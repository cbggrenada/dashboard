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drawings/drawing1.xml" ContentType="application/vnd.openxmlformats-officedocument.drawing+xml"/>
  <Override PartName="/xl/comments2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Operations\Brewing\Reports Local\Daily Process Report\2026 Daily Process Report\"/>
    </mc:Choice>
  </mc:AlternateContent>
  <xr:revisionPtr revIDLastSave="0" documentId="13_ncr:1_{AEC1C34F-2AF7-48D0-9DD5-D28D5F0BBCBB}" xr6:coauthVersionLast="47" xr6:coauthVersionMax="47" xr10:uidLastSave="{00000000-0000-0000-0000-000000000000}"/>
  <bookViews>
    <workbookView xWindow="-120" yWindow="-120" windowWidth="29040" windowHeight="15720" tabRatio="599" firstSheet="13" activeTab="20" xr2:uid="{1120807F-7390-4E10-A66F-84111922E872}"/>
  </bookViews>
  <sheets>
    <sheet name="Dec 18th" sheetId="658" state="hidden" r:id="rId1"/>
    <sheet name="Aug 2nd" sheetId="1041" r:id="rId2"/>
    <sheet name="Aug 3rd " sheetId="1043" r:id="rId3"/>
    <sheet name="Aug 4th" sheetId="1044" r:id="rId4"/>
    <sheet name="Aug 5th" sheetId="1045" r:id="rId5"/>
    <sheet name="Aug 6th" sheetId="1046" r:id="rId6"/>
    <sheet name="Aug 7th" sheetId="1047" r:id="rId7"/>
    <sheet name="Aug 12th" sheetId="1049" r:id="rId8"/>
    <sheet name="Aug 13th " sheetId="1048" r:id="rId9"/>
    <sheet name="Aug 14th&amp;15th" sheetId="1050" r:id="rId10"/>
    <sheet name="Aug 17th " sheetId="1051" r:id="rId11"/>
    <sheet name="Aug 18th" sheetId="1052" r:id="rId12"/>
    <sheet name="Aug 19th " sheetId="1053" r:id="rId13"/>
    <sheet name="Aug 20th " sheetId="1054" r:id="rId14"/>
    <sheet name="Aug 21st-22nd" sheetId="1055" r:id="rId15"/>
    <sheet name="Aug 24th" sheetId="1056" r:id="rId16"/>
    <sheet name="Aug 25th " sheetId="1057" r:id="rId17"/>
    <sheet name="Aug 26th" sheetId="1058" r:id="rId18"/>
    <sheet name="Aug 27th " sheetId="1059" r:id="rId19"/>
    <sheet name="Aug 28th " sheetId="1060" r:id="rId20"/>
    <sheet name="Aug 31st" sheetId="1061" r:id="rId21"/>
    <sheet name="MTD_Links" sheetId="18" r:id="rId22"/>
    <sheet name="YTD_Links" sheetId="19" r:id="rId23"/>
    <sheet name="KPIs" sheetId="20" state="hidden" r:id="rId24"/>
    <sheet name="Brewer Performance" sheetId="21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</externalReferences>
  <definedNames>
    <definedName name="_xlnm.Print_Area" localSheetId="24">'Brewer Performance'!$B$2:$K$35</definedName>
    <definedName name="_xlnm.Print_Area" localSheetId="21">MTD_Links!$B$2:$K$65</definedName>
    <definedName name="_xlnm.Print_Area" localSheetId="22">YTD_Links!$B$2:$K$65</definedName>
    <definedName name="ProductList" localSheetId="24">[1]November15!$R$3:$R$9</definedName>
    <definedName name="ProductList">[2]November15!$R$3:$R$9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3" i="1060" l="1"/>
  <c r="L23" i="1060"/>
  <c r="K23" i="1060"/>
  <c r="J23" i="1060"/>
  <c r="C11" i="1060"/>
  <c r="D11" i="1060"/>
  <c r="E11" i="1060"/>
  <c r="F11" i="1060"/>
  <c r="G11" i="1060"/>
  <c r="I11" i="1060"/>
  <c r="J11" i="1060"/>
  <c r="K11" i="1060"/>
  <c r="L11" i="1060"/>
  <c r="M11" i="1060"/>
  <c r="N11" i="1060"/>
  <c r="O11" i="1060"/>
  <c r="C12" i="1060"/>
  <c r="D12" i="1060"/>
  <c r="E12" i="1060"/>
  <c r="F12" i="1060"/>
  <c r="G12" i="1060"/>
  <c r="I12" i="1060"/>
  <c r="J12" i="1060"/>
  <c r="K12" i="1060"/>
  <c r="L12" i="1060"/>
  <c r="M12" i="1060"/>
  <c r="N12" i="1060"/>
  <c r="O12" i="1060"/>
  <c r="C13" i="1060"/>
  <c r="D13" i="1060"/>
  <c r="E13" i="1060"/>
  <c r="F13" i="1060"/>
  <c r="G13" i="1060"/>
  <c r="I13" i="1060"/>
  <c r="J13" i="1060"/>
  <c r="K13" i="1060"/>
  <c r="L13" i="1060"/>
  <c r="M13" i="1060"/>
  <c r="N13" i="1060"/>
  <c r="O13" i="1060"/>
  <c r="C14" i="1060"/>
  <c r="D14" i="1060"/>
  <c r="E14" i="1060"/>
  <c r="F14" i="1060"/>
  <c r="G14" i="1060"/>
  <c r="I14" i="1060"/>
  <c r="J14" i="1060"/>
  <c r="K14" i="1060"/>
  <c r="L14" i="1060"/>
  <c r="M14" i="1060"/>
  <c r="N14" i="1060"/>
  <c r="O14" i="1060"/>
  <c r="C15" i="1060"/>
  <c r="D15" i="1060"/>
  <c r="E15" i="1060"/>
  <c r="F15" i="1060"/>
  <c r="G15" i="1060"/>
  <c r="I15" i="1060"/>
  <c r="J15" i="1060"/>
  <c r="K15" i="1060"/>
  <c r="L15" i="1060"/>
  <c r="M15" i="1060"/>
  <c r="N15" i="1060"/>
  <c r="O15" i="1060"/>
  <c r="C16" i="1060"/>
  <c r="D16" i="1060"/>
  <c r="E16" i="1060"/>
  <c r="F16" i="1060"/>
  <c r="G16" i="1060"/>
  <c r="I16" i="1060"/>
  <c r="J16" i="1060"/>
  <c r="K16" i="1060"/>
  <c r="L16" i="1060"/>
  <c r="M16" i="1060"/>
  <c r="N16" i="1060"/>
  <c r="O16" i="1060"/>
  <c r="O10" i="1060"/>
  <c r="N10" i="1060"/>
  <c r="M10" i="1060"/>
  <c r="L10" i="1060"/>
  <c r="K10" i="1060"/>
  <c r="J10" i="1060"/>
  <c r="I10" i="1060"/>
  <c r="G10" i="1060"/>
  <c r="F10" i="1060"/>
  <c r="E10" i="1060"/>
  <c r="D10" i="1060"/>
  <c r="C10" i="1060"/>
  <c r="C22" i="1061" l="1" a="1"/>
  <c r="C22" i="1061" s="1"/>
  <c r="B22" i="1061"/>
  <c r="G65" i="1061"/>
  <c r="K51" i="1061"/>
  <c r="K65" i="1061" s="1"/>
  <c r="D11" i="1061" l="1"/>
  <c r="D12" i="1061"/>
  <c r="D13" i="1061"/>
  <c r="D14" i="1061"/>
  <c r="D15" i="1061"/>
  <c r="D16" i="1061"/>
  <c r="D17" i="1061"/>
  <c r="D10" i="1061"/>
  <c r="G51" i="1061" l="1"/>
  <c r="D51" i="1061"/>
  <c r="L51" i="1061" s="1"/>
  <c r="C65" i="1061" s="1"/>
  <c r="B51" i="1061"/>
  <c r="M22" i="1061"/>
  <c r="L22" i="1061"/>
  <c r="K22" i="1061"/>
  <c r="L11" i="1061"/>
  <c r="M11" i="1061"/>
  <c r="N11" i="1061"/>
  <c r="L12" i="1061"/>
  <c r="M12" i="1061"/>
  <c r="N12" i="1061"/>
  <c r="L13" i="1061"/>
  <c r="M13" i="1061"/>
  <c r="N13" i="1061"/>
  <c r="L14" i="1061"/>
  <c r="M14" i="1061"/>
  <c r="N14" i="1061"/>
  <c r="L15" i="1061"/>
  <c r="M15" i="1061"/>
  <c r="N15" i="1061"/>
  <c r="L16" i="1061"/>
  <c r="M16" i="1061"/>
  <c r="N16" i="1061"/>
  <c r="L17" i="1061"/>
  <c r="M17" i="1061"/>
  <c r="N17" i="1061"/>
  <c r="N10" i="1061"/>
  <c r="L10" i="1061"/>
  <c r="M10" i="1061"/>
  <c r="O11" i="1061"/>
  <c r="O12" i="1061"/>
  <c r="O13" i="1061"/>
  <c r="O14" i="1061"/>
  <c r="O15" i="1061"/>
  <c r="O16" i="1061"/>
  <c r="O17" i="1061"/>
  <c r="O10" i="1061"/>
  <c r="K10" i="1061"/>
  <c r="I11" i="1061"/>
  <c r="J11" i="1061"/>
  <c r="I12" i="1061"/>
  <c r="J12" i="1061"/>
  <c r="I13" i="1061"/>
  <c r="J13" i="1061"/>
  <c r="I14" i="1061"/>
  <c r="J14" i="1061"/>
  <c r="I15" i="1061"/>
  <c r="J15" i="1061"/>
  <c r="I16" i="1061"/>
  <c r="J16" i="1061"/>
  <c r="I17" i="1061"/>
  <c r="J17" i="1061"/>
  <c r="J10" i="1061"/>
  <c r="I10" i="1061"/>
  <c r="C17" i="1061"/>
  <c r="E17" i="1061"/>
  <c r="F17" i="1061"/>
  <c r="G17" i="1061"/>
  <c r="C16" i="1061"/>
  <c r="E16" i="1061"/>
  <c r="F16" i="1061"/>
  <c r="G16" i="1061"/>
  <c r="C10" i="1061"/>
  <c r="E10" i="1061"/>
  <c r="F10" i="1061"/>
  <c r="G10" i="1061"/>
  <c r="C11" i="1061"/>
  <c r="E11" i="1061"/>
  <c r="F11" i="1061"/>
  <c r="G11" i="1061"/>
  <c r="C12" i="1061"/>
  <c r="E12" i="1061"/>
  <c r="F12" i="1061"/>
  <c r="G12" i="1061"/>
  <c r="C13" i="1061"/>
  <c r="E13" i="1061"/>
  <c r="F13" i="1061"/>
  <c r="G13" i="1061"/>
  <c r="C14" i="1061"/>
  <c r="E14" i="1061"/>
  <c r="F14" i="1061"/>
  <c r="G14" i="1061"/>
  <c r="C15" i="1061"/>
  <c r="E15" i="1061"/>
  <c r="F15" i="1061"/>
  <c r="G15" i="1061"/>
  <c r="AX53" i="1061"/>
  <c r="AW53" i="1061"/>
  <c r="AV53" i="1061"/>
  <c r="AU53" i="1061"/>
  <c r="AT53" i="1061"/>
  <c r="AS53" i="1061"/>
  <c r="AR53" i="1061"/>
  <c r="AQ53" i="1061"/>
  <c r="AP53" i="1061"/>
  <c r="AO53" i="1061"/>
  <c r="AN53" i="1061"/>
  <c r="AM53" i="1061"/>
  <c r="AL53" i="1061"/>
  <c r="AK53" i="1061"/>
  <c r="AJ53" i="1061"/>
  <c r="AI53" i="1061"/>
  <c r="AH53" i="1061"/>
  <c r="AG53" i="1061"/>
  <c r="AF53" i="1061"/>
  <c r="AE53" i="1061"/>
  <c r="AD53" i="1061"/>
  <c r="AC53" i="1061"/>
  <c r="AB53" i="1061"/>
  <c r="AX52" i="1061"/>
  <c r="AW52" i="1061"/>
  <c r="AV52" i="1061"/>
  <c r="AU52" i="1061"/>
  <c r="AT52" i="1061"/>
  <c r="AS52" i="1061"/>
  <c r="AR52" i="1061"/>
  <c r="AQ52" i="1061"/>
  <c r="AP52" i="1061"/>
  <c r="AO52" i="1061"/>
  <c r="AN52" i="1061"/>
  <c r="AM52" i="1061"/>
  <c r="AL52" i="1061"/>
  <c r="AK52" i="1061"/>
  <c r="AJ52" i="1061"/>
  <c r="AI52" i="1061"/>
  <c r="AH52" i="1061"/>
  <c r="AG52" i="1061"/>
  <c r="AF52" i="1061"/>
  <c r="AE52" i="1061"/>
  <c r="AD52" i="1061"/>
  <c r="AC52" i="1061"/>
  <c r="AB52" i="1061"/>
  <c r="AX51" i="1061"/>
  <c r="AW51" i="1061"/>
  <c r="AV51" i="1061"/>
  <c r="AU51" i="1061"/>
  <c r="AT51" i="1061"/>
  <c r="AS51" i="1061"/>
  <c r="AR51" i="1061"/>
  <c r="AQ51" i="1061"/>
  <c r="AP51" i="1061"/>
  <c r="AO51" i="1061"/>
  <c r="AN51" i="1061"/>
  <c r="AM51" i="1061"/>
  <c r="AL51" i="1061"/>
  <c r="AK51" i="1061"/>
  <c r="AJ51" i="1061"/>
  <c r="AI51" i="1061"/>
  <c r="AH51" i="1061"/>
  <c r="AG51" i="1061"/>
  <c r="AF51" i="1061"/>
  <c r="AE51" i="1061"/>
  <c r="AD51" i="1061"/>
  <c r="AC51" i="1061"/>
  <c r="AB51" i="1061"/>
  <c r="K46" i="1061"/>
  <c r="Z33" i="1061"/>
  <c r="Y33" i="1061"/>
  <c r="X33" i="1061"/>
  <c r="W33" i="1061"/>
  <c r="V33" i="1061"/>
  <c r="U33" i="1061"/>
  <c r="T33" i="1061"/>
  <c r="S33" i="1061"/>
  <c r="R33" i="1061"/>
  <c r="Z32" i="1061"/>
  <c r="Y32" i="1061"/>
  <c r="X32" i="1061"/>
  <c r="W32" i="1061"/>
  <c r="V32" i="1061"/>
  <c r="U32" i="1061"/>
  <c r="T32" i="1061"/>
  <c r="S32" i="1061"/>
  <c r="R32" i="1061"/>
  <c r="Z31" i="1061"/>
  <c r="Y31" i="1061"/>
  <c r="X31" i="1061"/>
  <c r="W31" i="1061"/>
  <c r="V31" i="1061"/>
  <c r="U31" i="1061"/>
  <c r="T31" i="1061"/>
  <c r="S31" i="1061"/>
  <c r="R31" i="1061"/>
  <c r="Z30" i="1061"/>
  <c r="Y30" i="1061"/>
  <c r="X30" i="1061"/>
  <c r="W30" i="1061"/>
  <c r="V30" i="1061"/>
  <c r="U30" i="1061"/>
  <c r="T30" i="1061"/>
  <c r="S30" i="1061"/>
  <c r="R30" i="1061"/>
  <c r="Z29" i="1061"/>
  <c r="Y29" i="1061"/>
  <c r="X29" i="1061"/>
  <c r="W29" i="1061"/>
  <c r="V29" i="1061"/>
  <c r="U29" i="1061"/>
  <c r="T29" i="1061"/>
  <c r="S29" i="1061"/>
  <c r="R29" i="1061"/>
  <c r="Z28" i="1061"/>
  <c r="Y28" i="1061"/>
  <c r="X28" i="1061"/>
  <c r="W28" i="1061"/>
  <c r="V28" i="1061"/>
  <c r="U28" i="1061"/>
  <c r="T28" i="1061"/>
  <c r="S28" i="1061"/>
  <c r="R28" i="1061"/>
  <c r="M28" i="1061"/>
  <c r="L28" i="1061"/>
  <c r="K28" i="1061"/>
  <c r="Z27" i="1061"/>
  <c r="Y27" i="1061"/>
  <c r="X27" i="1061"/>
  <c r="W27" i="1061"/>
  <c r="V27" i="1061"/>
  <c r="U27" i="1061"/>
  <c r="T27" i="1061"/>
  <c r="S27" i="1061"/>
  <c r="R27" i="1061"/>
  <c r="M27" i="1061"/>
  <c r="Z26" i="1061"/>
  <c r="Y26" i="1061"/>
  <c r="X26" i="1061"/>
  <c r="W26" i="1061"/>
  <c r="V26" i="1061"/>
  <c r="U26" i="1061"/>
  <c r="T26" i="1061"/>
  <c r="S26" i="1061"/>
  <c r="R26" i="1061"/>
  <c r="Z25" i="1061"/>
  <c r="Y25" i="1061"/>
  <c r="X25" i="1061"/>
  <c r="W25" i="1061"/>
  <c r="V25" i="1061"/>
  <c r="U25" i="1061"/>
  <c r="T25" i="1061"/>
  <c r="S25" i="1061"/>
  <c r="R25" i="1061"/>
  <c r="M25" i="1061"/>
  <c r="L25" i="1061"/>
  <c r="K25" i="1061"/>
  <c r="Z24" i="1061"/>
  <c r="Y24" i="1061"/>
  <c r="X24" i="1061"/>
  <c r="W24" i="1061"/>
  <c r="V24" i="1061"/>
  <c r="U24" i="1061"/>
  <c r="T24" i="1061"/>
  <c r="S24" i="1061"/>
  <c r="R24" i="1061"/>
  <c r="M24" i="1061"/>
  <c r="L24" i="1061"/>
  <c r="K24" i="1061"/>
  <c r="Z23" i="1061"/>
  <c r="Y23" i="1061"/>
  <c r="X23" i="1061"/>
  <c r="W23" i="1061"/>
  <c r="V23" i="1061"/>
  <c r="U23" i="1061"/>
  <c r="T23" i="1061"/>
  <c r="S23" i="1061"/>
  <c r="R23" i="1061"/>
  <c r="M23" i="1061"/>
  <c r="L23" i="1061"/>
  <c r="K23" i="1061"/>
  <c r="Z22" i="1061"/>
  <c r="Y22" i="1061"/>
  <c r="X22" i="1061"/>
  <c r="W22" i="1061"/>
  <c r="V22" i="1061"/>
  <c r="U22" i="1061"/>
  <c r="T22" i="1061"/>
  <c r="S22" i="1061"/>
  <c r="R22" i="1061"/>
  <c r="Z21" i="1061"/>
  <c r="Y21" i="1061"/>
  <c r="X21" i="1061"/>
  <c r="W21" i="1061"/>
  <c r="V21" i="1061"/>
  <c r="U21" i="1061"/>
  <c r="T21" i="1061"/>
  <c r="S21" i="1061"/>
  <c r="R21" i="1061"/>
  <c r="Z20" i="1061"/>
  <c r="Y20" i="1061"/>
  <c r="X20" i="1061"/>
  <c r="W20" i="1061"/>
  <c r="V20" i="1061"/>
  <c r="U20" i="1061"/>
  <c r="T20" i="1061"/>
  <c r="S20" i="1061"/>
  <c r="R20" i="1061"/>
  <c r="Z19" i="1061"/>
  <c r="Y19" i="1061"/>
  <c r="X19" i="1061"/>
  <c r="W19" i="1061"/>
  <c r="V19" i="1061"/>
  <c r="U19" i="1061"/>
  <c r="T19" i="1061"/>
  <c r="S19" i="1061"/>
  <c r="R19" i="1061"/>
  <c r="Z18" i="1061"/>
  <c r="Y18" i="1061"/>
  <c r="X18" i="1061"/>
  <c r="W18" i="1061"/>
  <c r="V18" i="1061"/>
  <c r="U18" i="1061"/>
  <c r="T18" i="1061"/>
  <c r="S18" i="1061"/>
  <c r="R18" i="1061"/>
  <c r="Z17" i="1061"/>
  <c r="Y17" i="1061"/>
  <c r="X17" i="1061"/>
  <c r="W17" i="1061"/>
  <c r="V17" i="1061"/>
  <c r="U17" i="1061"/>
  <c r="T17" i="1061"/>
  <c r="S17" i="1061"/>
  <c r="R17" i="1061"/>
  <c r="Z16" i="1061"/>
  <c r="Y16" i="1061"/>
  <c r="X16" i="1061"/>
  <c r="W16" i="1061"/>
  <c r="V16" i="1061"/>
  <c r="U16" i="1061"/>
  <c r="T16" i="1061"/>
  <c r="S16" i="1061"/>
  <c r="R16" i="1061"/>
  <c r="Z15" i="1061"/>
  <c r="Y15" i="1061"/>
  <c r="X15" i="1061"/>
  <c r="W15" i="1061"/>
  <c r="V15" i="1061"/>
  <c r="U15" i="1061"/>
  <c r="T15" i="1061"/>
  <c r="S15" i="1061"/>
  <c r="R15" i="1061"/>
  <c r="Z14" i="1061"/>
  <c r="Y14" i="1061"/>
  <c r="X14" i="1061"/>
  <c r="W14" i="1061"/>
  <c r="V14" i="1061"/>
  <c r="U14" i="1061"/>
  <c r="T14" i="1061"/>
  <c r="S14" i="1061"/>
  <c r="R14" i="1061"/>
  <c r="Z13" i="1061"/>
  <c r="Y13" i="1061"/>
  <c r="X13" i="1061"/>
  <c r="W13" i="1061"/>
  <c r="V13" i="1061"/>
  <c r="U13" i="1061"/>
  <c r="T13" i="1061"/>
  <c r="S13" i="1061"/>
  <c r="R13" i="1061"/>
  <c r="Z12" i="1061"/>
  <c r="Y12" i="1061"/>
  <c r="X12" i="1061"/>
  <c r="W12" i="1061"/>
  <c r="V12" i="1061"/>
  <c r="U12" i="1061"/>
  <c r="T12" i="1061"/>
  <c r="S12" i="1061"/>
  <c r="R12" i="1061"/>
  <c r="Z11" i="1061"/>
  <c r="Y11" i="1061"/>
  <c r="X11" i="1061"/>
  <c r="W11" i="1061"/>
  <c r="V11" i="1061"/>
  <c r="U11" i="1061"/>
  <c r="T11" i="1061"/>
  <c r="S11" i="1061"/>
  <c r="R11" i="1061"/>
  <c r="Z10" i="1061"/>
  <c r="Y10" i="1061"/>
  <c r="X10" i="1061"/>
  <c r="W10" i="1061"/>
  <c r="V10" i="1061"/>
  <c r="U10" i="1061"/>
  <c r="T10" i="1061"/>
  <c r="S10" i="1061"/>
  <c r="R10" i="1061"/>
  <c r="R10" i="1060"/>
  <c r="S10" i="1060"/>
  <c r="T10" i="1060"/>
  <c r="U10" i="1060"/>
  <c r="V10" i="1060"/>
  <c r="W10" i="1060"/>
  <c r="X10" i="1060"/>
  <c r="Y10" i="1060"/>
  <c r="Z10" i="1060"/>
  <c r="R11" i="1060"/>
  <c r="S11" i="1060"/>
  <c r="T11" i="1060"/>
  <c r="U11" i="1060"/>
  <c r="V11" i="1060"/>
  <c r="W11" i="1060"/>
  <c r="X11" i="1060"/>
  <c r="Y11" i="1060"/>
  <c r="Z11" i="1060"/>
  <c r="R12" i="1060"/>
  <c r="S12" i="1060"/>
  <c r="T12" i="1060"/>
  <c r="U12" i="1060"/>
  <c r="V12" i="1060"/>
  <c r="W12" i="1060"/>
  <c r="X12" i="1060"/>
  <c r="Y12" i="1060"/>
  <c r="Z12" i="1060"/>
  <c r="R13" i="1060"/>
  <c r="S13" i="1060"/>
  <c r="T13" i="1060"/>
  <c r="U13" i="1060"/>
  <c r="V13" i="1060"/>
  <c r="W13" i="1060"/>
  <c r="X13" i="1060"/>
  <c r="Y13" i="1060"/>
  <c r="Z13" i="1060"/>
  <c r="R14" i="1060"/>
  <c r="S14" i="1060"/>
  <c r="T14" i="1060"/>
  <c r="U14" i="1060"/>
  <c r="V14" i="1060"/>
  <c r="W14" i="1060"/>
  <c r="X14" i="1060"/>
  <c r="Y14" i="1060"/>
  <c r="Z14" i="1060"/>
  <c r="R15" i="1060"/>
  <c r="S15" i="1060"/>
  <c r="T15" i="1060"/>
  <c r="U15" i="1060"/>
  <c r="V15" i="1060"/>
  <c r="W15" i="1060"/>
  <c r="X15" i="1060"/>
  <c r="Y15" i="1060"/>
  <c r="Z15" i="1060"/>
  <c r="R16" i="1060"/>
  <c r="S16" i="1060"/>
  <c r="T16" i="1060"/>
  <c r="U16" i="1060"/>
  <c r="V16" i="1060"/>
  <c r="W16" i="1060"/>
  <c r="X16" i="1060"/>
  <c r="Y16" i="1060"/>
  <c r="Z16" i="1060"/>
  <c r="R17" i="1060"/>
  <c r="S17" i="1060"/>
  <c r="T17" i="1060"/>
  <c r="U17" i="1060"/>
  <c r="V17" i="1060"/>
  <c r="W17" i="1060"/>
  <c r="X17" i="1060"/>
  <c r="Y17" i="1060"/>
  <c r="Z17" i="1060"/>
  <c r="R18" i="1060"/>
  <c r="S18" i="1060"/>
  <c r="T18" i="1060"/>
  <c r="U18" i="1060"/>
  <c r="V18" i="1060"/>
  <c r="W18" i="1060"/>
  <c r="X18" i="1060"/>
  <c r="Y18" i="1060"/>
  <c r="Z18" i="1060"/>
  <c r="R19" i="1060"/>
  <c r="S19" i="1060"/>
  <c r="T19" i="1060"/>
  <c r="U19" i="1060"/>
  <c r="V19" i="1060"/>
  <c r="W19" i="1060"/>
  <c r="X19" i="1060"/>
  <c r="Y19" i="1060"/>
  <c r="Z19" i="1060"/>
  <c r="R20" i="1060"/>
  <c r="S20" i="1060"/>
  <c r="T20" i="1060"/>
  <c r="U20" i="1060"/>
  <c r="V20" i="1060"/>
  <c r="W20" i="1060"/>
  <c r="X20" i="1060"/>
  <c r="Y20" i="1060"/>
  <c r="Z20" i="1060"/>
  <c r="R21" i="1060"/>
  <c r="S21" i="1060"/>
  <c r="T21" i="1060"/>
  <c r="U21" i="1060"/>
  <c r="V21" i="1060"/>
  <c r="W21" i="1060"/>
  <c r="X21" i="1060"/>
  <c r="Y21" i="1060"/>
  <c r="Z21" i="1060"/>
  <c r="R22" i="1060"/>
  <c r="S22" i="1060"/>
  <c r="T22" i="1060"/>
  <c r="U22" i="1060"/>
  <c r="V22" i="1060"/>
  <c r="W22" i="1060"/>
  <c r="R23" i="1060"/>
  <c r="S23" i="1060"/>
  <c r="T23" i="1060"/>
  <c r="U23" i="1060"/>
  <c r="V23" i="1060"/>
  <c r="W23" i="1060"/>
  <c r="X23" i="1060"/>
  <c r="Y23" i="1060"/>
  <c r="Z23" i="1060"/>
  <c r="AX53" i="1060"/>
  <c r="AW53" i="1060"/>
  <c r="AV53" i="1060"/>
  <c r="AU53" i="1060"/>
  <c r="AT53" i="1060"/>
  <c r="AS53" i="1060"/>
  <c r="AR53" i="1060"/>
  <c r="AQ53" i="1060"/>
  <c r="AP53" i="1060"/>
  <c r="AO53" i="1060"/>
  <c r="AN53" i="1060"/>
  <c r="AM53" i="1060"/>
  <c r="AL53" i="1060"/>
  <c r="AK53" i="1060"/>
  <c r="AJ53" i="1060"/>
  <c r="AI53" i="1060"/>
  <c r="AH53" i="1060"/>
  <c r="AG53" i="1060"/>
  <c r="AF53" i="1060"/>
  <c r="AE53" i="1060"/>
  <c r="AD53" i="1060"/>
  <c r="AC53" i="1060"/>
  <c r="AB53" i="1060"/>
  <c r="AX52" i="1060"/>
  <c r="AW52" i="1060"/>
  <c r="AV52" i="1060"/>
  <c r="AU52" i="1060"/>
  <c r="AT52" i="1060"/>
  <c r="AS52" i="1060"/>
  <c r="AR52" i="1060"/>
  <c r="AQ52" i="1060"/>
  <c r="AP52" i="1060"/>
  <c r="AO52" i="1060"/>
  <c r="AN52" i="1060"/>
  <c r="AM52" i="1060"/>
  <c r="AL52" i="1060"/>
  <c r="AK52" i="1060"/>
  <c r="AJ52" i="1060"/>
  <c r="AI52" i="1060"/>
  <c r="AH52" i="1060"/>
  <c r="AG52" i="1060"/>
  <c r="AF52" i="1060"/>
  <c r="AE52" i="1060"/>
  <c r="AD52" i="1060"/>
  <c r="AC52" i="1060"/>
  <c r="AB52" i="1060"/>
  <c r="AX51" i="1060"/>
  <c r="AW51" i="1060"/>
  <c r="AV51" i="1060"/>
  <c r="AU51" i="1060"/>
  <c r="AT51" i="1060"/>
  <c r="AS51" i="1060"/>
  <c r="AR51" i="1060"/>
  <c r="AQ51" i="1060"/>
  <c r="AP51" i="1060"/>
  <c r="AO51" i="1060"/>
  <c r="AN51" i="1060"/>
  <c r="AM51" i="1060"/>
  <c r="AL51" i="1060"/>
  <c r="AK51" i="1060"/>
  <c r="AJ51" i="1060"/>
  <c r="AI51" i="1060"/>
  <c r="AH51" i="1060"/>
  <c r="AG51" i="1060"/>
  <c r="AF51" i="1060"/>
  <c r="AE51" i="1060"/>
  <c r="AD51" i="1060"/>
  <c r="AC51" i="1060"/>
  <c r="AB51" i="1060"/>
  <c r="K46" i="1060"/>
  <c r="L37" i="1060" s="1"/>
  <c r="Z33" i="1060"/>
  <c r="Y33" i="1060"/>
  <c r="X33" i="1060"/>
  <c r="W33" i="1060"/>
  <c r="V33" i="1060"/>
  <c r="U33" i="1060"/>
  <c r="T33" i="1060"/>
  <c r="S33" i="1060"/>
  <c r="R33" i="1060"/>
  <c r="Z32" i="1060"/>
  <c r="Y32" i="1060"/>
  <c r="X32" i="1060"/>
  <c r="W32" i="1060"/>
  <c r="V32" i="1060"/>
  <c r="U32" i="1060"/>
  <c r="T32" i="1060"/>
  <c r="S32" i="1060"/>
  <c r="R32" i="1060"/>
  <c r="Z31" i="1060"/>
  <c r="Y31" i="1060"/>
  <c r="X31" i="1060"/>
  <c r="W31" i="1060"/>
  <c r="V31" i="1060"/>
  <c r="U31" i="1060"/>
  <c r="T31" i="1060"/>
  <c r="S31" i="1060"/>
  <c r="R31" i="1060"/>
  <c r="Z30" i="1060"/>
  <c r="Y30" i="1060"/>
  <c r="X30" i="1060"/>
  <c r="W30" i="1060"/>
  <c r="V30" i="1060"/>
  <c r="U30" i="1060"/>
  <c r="T30" i="1060"/>
  <c r="S30" i="1060"/>
  <c r="R30" i="1060"/>
  <c r="Z29" i="1060"/>
  <c r="Y29" i="1060"/>
  <c r="X29" i="1060"/>
  <c r="W29" i="1060"/>
  <c r="V29" i="1060"/>
  <c r="U29" i="1060"/>
  <c r="T29" i="1060"/>
  <c r="S29" i="1060"/>
  <c r="R29" i="1060"/>
  <c r="Z28" i="1060"/>
  <c r="Y28" i="1060"/>
  <c r="X28" i="1060"/>
  <c r="W28" i="1060"/>
  <c r="V28" i="1060"/>
  <c r="U28" i="1060"/>
  <c r="T28" i="1060"/>
  <c r="S28" i="1060"/>
  <c r="R28" i="1060"/>
  <c r="M28" i="1060"/>
  <c r="L28" i="1060"/>
  <c r="K28" i="1060"/>
  <c r="Z27" i="1060"/>
  <c r="Y27" i="1060"/>
  <c r="X27" i="1060"/>
  <c r="W27" i="1060"/>
  <c r="V27" i="1060"/>
  <c r="U27" i="1060"/>
  <c r="T27" i="1060"/>
  <c r="S27" i="1060"/>
  <c r="R27" i="1060"/>
  <c r="M27" i="1060"/>
  <c r="Z26" i="1060"/>
  <c r="Y26" i="1060"/>
  <c r="X26" i="1060"/>
  <c r="W26" i="1060"/>
  <c r="V26" i="1060"/>
  <c r="U26" i="1060"/>
  <c r="T26" i="1060"/>
  <c r="S26" i="1060"/>
  <c r="R26" i="1060"/>
  <c r="Z25" i="1060"/>
  <c r="Y25" i="1060"/>
  <c r="X25" i="1060"/>
  <c r="W25" i="1060"/>
  <c r="V25" i="1060"/>
  <c r="U25" i="1060"/>
  <c r="T25" i="1060"/>
  <c r="S25" i="1060"/>
  <c r="R25" i="1060"/>
  <c r="M25" i="1060"/>
  <c r="L25" i="1060"/>
  <c r="K25" i="1060"/>
  <c r="Z24" i="1060"/>
  <c r="Y24" i="1060"/>
  <c r="X24" i="1060"/>
  <c r="W24" i="1060"/>
  <c r="V24" i="1060"/>
  <c r="U24" i="1060"/>
  <c r="T24" i="1060"/>
  <c r="S24" i="1060"/>
  <c r="R24" i="1060"/>
  <c r="M24" i="1060"/>
  <c r="L24" i="1060"/>
  <c r="K24" i="1060"/>
  <c r="M22" i="1060"/>
  <c r="L22" i="1060"/>
  <c r="K22" i="1060"/>
  <c r="X22" i="1060"/>
  <c r="C31" i="1059" a="1"/>
  <c r="C31" i="1059" s="1"/>
  <c r="E60" i="1059"/>
  <c r="G60" i="1059"/>
  <c r="K60" i="1059"/>
  <c r="K76" i="1059" s="1"/>
  <c r="L37" i="1061" l="1"/>
  <c r="M37" i="1061" s="1"/>
  <c r="M37" i="1060"/>
  <c r="J22" i="1061"/>
  <c r="K32" i="1061"/>
  <c r="L32" i="1061" s="1"/>
  <c r="Z22" i="1060"/>
  <c r="Y22" i="1060"/>
  <c r="K32" i="1060"/>
  <c r="L32" i="1060"/>
  <c r="M32" i="1060" s="1"/>
  <c r="B60" i="1059"/>
  <c r="B31" i="1059"/>
  <c r="M32" i="1059"/>
  <c r="L32" i="1059"/>
  <c r="K32" i="1059"/>
  <c r="C22" i="1059"/>
  <c r="D22" i="1059"/>
  <c r="E22" i="1059"/>
  <c r="F22" i="1059"/>
  <c r="G22" i="1059"/>
  <c r="L22" i="1059"/>
  <c r="M22" i="1059"/>
  <c r="N22" i="1059"/>
  <c r="O22" i="1059"/>
  <c r="O20" i="1059"/>
  <c r="N20" i="1059"/>
  <c r="M20" i="1059"/>
  <c r="L20" i="1059"/>
  <c r="G20" i="1059"/>
  <c r="F20" i="1059"/>
  <c r="E20" i="1059"/>
  <c r="D20" i="1059"/>
  <c r="C20" i="1059"/>
  <c r="L46" i="1059"/>
  <c r="M46" i="1059" s="1"/>
  <c r="R12" i="1059"/>
  <c r="S12" i="1059"/>
  <c r="T12" i="1059"/>
  <c r="U12" i="1059"/>
  <c r="V12" i="1059"/>
  <c r="W12" i="1059"/>
  <c r="X12" i="1059"/>
  <c r="Y12" i="1059"/>
  <c r="Z12" i="1059"/>
  <c r="R13" i="1059"/>
  <c r="S13" i="1059"/>
  <c r="T13" i="1059"/>
  <c r="U13" i="1059"/>
  <c r="V13" i="1059"/>
  <c r="W13" i="1059"/>
  <c r="X13" i="1059"/>
  <c r="Y13" i="1059"/>
  <c r="Z13" i="1059"/>
  <c r="R14" i="1059"/>
  <c r="S14" i="1059"/>
  <c r="T14" i="1059"/>
  <c r="U14" i="1059"/>
  <c r="V14" i="1059"/>
  <c r="W14" i="1059"/>
  <c r="X14" i="1059"/>
  <c r="Y14" i="1059"/>
  <c r="Z14" i="1059"/>
  <c r="R15" i="1059"/>
  <c r="S15" i="1059"/>
  <c r="T15" i="1059"/>
  <c r="U15" i="1059"/>
  <c r="V15" i="1059"/>
  <c r="W15" i="1059"/>
  <c r="X15" i="1059"/>
  <c r="Y15" i="1059"/>
  <c r="Z15" i="1059"/>
  <c r="R16" i="1059"/>
  <c r="S16" i="1059"/>
  <c r="T16" i="1059"/>
  <c r="U16" i="1059"/>
  <c r="V16" i="1059"/>
  <c r="W16" i="1059"/>
  <c r="X16" i="1059"/>
  <c r="Y16" i="1059"/>
  <c r="Z16" i="1059"/>
  <c r="R17" i="1059"/>
  <c r="S17" i="1059"/>
  <c r="T17" i="1059"/>
  <c r="U17" i="1059"/>
  <c r="V17" i="1059"/>
  <c r="W17" i="1059"/>
  <c r="X17" i="1059"/>
  <c r="Y17" i="1059"/>
  <c r="Z17" i="1059"/>
  <c r="R18" i="1059"/>
  <c r="S18" i="1059"/>
  <c r="T18" i="1059"/>
  <c r="U18" i="1059"/>
  <c r="V18" i="1059"/>
  <c r="W18" i="1059"/>
  <c r="X18" i="1059"/>
  <c r="Y18" i="1059"/>
  <c r="Z18" i="1059"/>
  <c r="R19" i="1059"/>
  <c r="S19" i="1059"/>
  <c r="T19" i="1059"/>
  <c r="U19" i="1059"/>
  <c r="V19" i="1059"/>
  <c r="W19" i="1059"/>
  <c r="X19" i="1059"/>
  <c r="Y19" i="1059"/>
  <c r="Z19" i="1059"/>
  <c r="R20" i="1059"/>
  <c r="S20" i="1059"/>
  <c r="T20" i="1059"/>
  <c r="U20" i="1059"/>
  <c r="V20" i="1059"/>
  <c r="W20" i="1059"/>
  <c r="X20" i="1059"/>
  <c r="Y20" i="1059"/>
  <c r="Z20" i="1059"/>
  <c r="R22" i="1059"/>
  <c r="S22" i="1059"/>
  <c r="T22" i="1059"/>
  <c r="U22" i="1059"/>
  <c r="V22" i="1059"/>
  <c r="W22" i="1059"/>
  <c r="X22" i="1059"/>
  <c r="Y22" i="1059"/>
  <c r="Z22" i="1059"/>
  <c r="R23" i="1059"/>
  <c r="S23" i="1059"/>
  <c r="T23" i="1059"/>
  <c r="U23" i="1059"/>
  <c r="V23" i="1059"/>
  <c r="W23" i="1059"/>
  <c r="X23" i="1059"/>
  <c r="Y23" i="1059"/>
  <c r="Z23" i="1059"/>
  <c r="R24" i="1059"/>
  <c r="S24" i="1059"/>
  <c r="T24" i="1059"/>
  <c r="U24" i="1059"/>
  <c r="V24" i="1059"/>
  <c r="W24" i="1059"/>
  <c r="X24" i="1059"/>
  <c r="Y24" i="1059"/>
  <c r="Z24" i="1059"/>
  <c r="R25" i="1059"/>
  <c r="S25" i="1059"/>
  <c r="T25" i="1059"/>
  <c r="U25" i="1059"/>
  <c r="V25" i="1059"/>
  <c r="W25" i="1059"/>
  <c r="X25" i="1059"/>
  <c r="Y25" i="1059"/>
  <c r="Z25" i="1059"/>
  <c r="R26" i="1059"/>
  <c r="S26" i="1059"/>
  <c r="T26" i="1059"/>
  <c r="U26" i="1059"/>
  <c r="V26" i="1059"/>
  <c r="W26" i="1059"/>
  <c r="X26" i="1059"/>
  <c r="Y26" i="1059"/>
  <c r="Z26" i="1059"/>
  <c r="M31" i="1059"/>
  <c r="L31" i="1059"/>
  <c r="K31" i="1059"/>
  <c r="I10" i="1059"/>
  <c r="J10" i="1059"/>
  <c r="L10" i="1059"/>
  <c r="M10" i="1059"/>
  <c r="N10" i="1059"/>
  <c r="O10" i="1059"/>
  <c r="I11" i="1059"/>
  <c r="J11" i="1059"/>
  <c r="L11" i="1059"/>
  <c r="M11" i="1059"/>
  <c r="N11" i="1059"/>
  <c r="O11" i="1059"/>
  <c r="I12" i="1059"/>
  <c r="J12" i="1059"/>
  <c r="L12" i="1059"/>
  <c r="M12" i="1059"/>
  <c r="N12" i="1059"/>
  <c r="O12" i="1059"/>
  <c r="I13" i="1059"/>
  <c r="J13" i="1059"/>
  <c r="L13" i="1059"/>
  <c r="M13" i="1059"/>
  <c r="N13" i="1059"/>
  <c r="O13" i="1059"/>
  <c r="I14" i="1059"/>
  <c r="J14" i="1059"/>
  <c r="L14" i="1059"/>
  <c r="M14" i="1059"/>
  <c r="N14" i="1059"/>
  <c r="O14" i="1059"/>
  <c r="I15" i="1059"/>
  <c r="J15" i="1059"/>
  <c r="L15" i="1059"/>
  <c r="M15" i="1059"/>
  <c r="N15" i="1059"/>
  <c r="O15" i="1059"/>
  <c r="I16" i="1059"/>
  <c r="J16" i="1059"/>
  <c r="L16" i="1059"/>
  <c r="M16" i="1059"/>
  <c r="N16" i="1059"/>
  <c r="O16" i="1059"/>
  <c r="I17" i="1059"/>
  <c r="J17" i="1059"/>
  <c r="L17" i="1059"/>
  <c r="M17" i="1059"/>
  <c r="N17" i="1059"/>
  <c r="O17" i="1059"/>
  <c r="C10" i="1059"/>
  <c r="D10" i="1059"/>
  <c r="E10" i="1059"/>
  <c r="F10" i="1059"/>
  <c r="G10" i="1059"/>
  <c r="C11" i="1059"/>
  <c r="D11" i="1059"/>
  <c r="E11" i="1059"/>
  <c r="F11" i="1059"/>
  <c r="G11" i="1059"/>
  <c r="C12" i="1059"/>
  <c r="D12" i="1059"/>
  <c r="E12" i="1059"/>
  <c r="F12" i="1059"/>
  <c r="G12" i="1059"/>
  <c r="C13" i="1059"/>
  <c r="D13" i="1059"/>
  <c r="E13" i="1059"/>
  <c r="F13" i="1059"/>
  <c r="G13" i="1059"/>
  <c r="C14" i="1059"/>
  <c r="D14" i="1059"/>
  <c r="E14" i="1059"/>
  <c r="F14" i="1059"/>
  <c r="G14" i="1059"/>
  <c r="C15" i="1059"/>
  <c r="D15" i="1059"/>
  <c r="E15" i="1059"/>
  <c r="F15" i="1059"/>
  <c r="G15" i="1059"/>
  <c r="C16" i="1059"/>
  <c r="D16" i="1059"/>
  <c r="E16" i="1059"/>
  <c r="F16" i="1059"/>
  <c r="G16" i="1059"/>
  <c r="C17" i="1059"/>
  <c r="D17" i="1059"/>
  <c r="E17" i="1059"/>
  <c r="F17" i="1059"/>
  <c r="G17" i="1059"/>
  <c r="AX62" i="1059"/>
  <c r="AW62" i="1059"/>
  <c r="AV62" i="1059"/>
  <c r="AU62" i="1059"/>
  <c r="AT62" i="1059"/>
  <c r="AS62" i="1059"/>
  <c r="AR62" i="1059"/>
  <c r="AQ62" i="1059"/>
  <c r="AP62" i="1059"/>
  <c r="AO62" i="1059"/>
  <c r="AN62" i="1059"/>
  <c r="AM62" i="1059"/>
  <c r="AL62" i="1059"/>
  <c r="AK62" i="1059"/>
  <c r="AJ62" i="1059"/>
  <c r="AI62" i="1059"/>
  <c r="AH62" i="1059"/>
  <c r="AG62" i="1059"/>
  <c r="AF62" i="1059"/>
  <c r="AE62" i="1059"/>
  <c r="AD62" i="1059"/>
  <c r="AC62" i="1059"/>
  <c r="AB62" i="1059"/>
  <c r="AX61" i="1059"/>
  <c r="AW61" i="1059"/>
  <c r="AV61" i="1059"/>
  <c r="AU61" i="1059"/>
  <c r="AT61" i="1059"/>
  <c r="AS61" i="1059"/>
  <c r="AR61" i="1059"/>
  <c r="AQ61" i="1059"/>
  <c r="AP61" i="1059"/>
  <c r="AO61" i="1059"/>
  <c r="AN61" i="1059"/>
  <c r="AM61" i="1059"/>
  <c r="AL61" i="1059"/>
  <c r="AK61" i="1059"/>
  <c r="AJ61" i="1059"/>
  <c r="AI61" i="1059"/>
  <c r="AH61" i="1059"/>
  <c r="AG61" i="1059"/>
  <c r="AF61" i="1059"/>
  <c r="AE61" i="1059"/>
  <c r="AD61" i="1059"/>
  <c r="AC61" i="1059"/>
  <c r="AB61" i="1059"/>
  <c r="AX60" i="1059"/>
  <c r="AW60" i="1059"/>
  <c r="AV60" i="1059"/>
  <c r="AU60" i="1059"/>
  <c r="AT60" i="1059"/>
  <c r="AS60" i="1059"/>
  <c r="AR60" i="1059"/>
  <c r="AQ60" i="1059"/>
  <c r="AP60" i="1059"/>
  <c r="AO60" i="1059"/>
  <c r="AN60" i="1059"/>
  <c r="AM60" i="1059"/>
  <c r="AL60" i="1059"/>
  <c r="AK60" i="1059"/>
  <c r="AJ60" i="1059"/>
  <c r="AI60" i="1059"/>
  <c r="AH60" i="1059"/>
  <c r="AG60" i="1059"/>
  <c r="AF60" i="1059"/>
  <c r="AE60" i="1059"/>
  <c r="AD60" i="1059"/>
  <c r="AC60" i="1059"/>
  <c r="AB60" i="1059"/>
  <c r="K55" i="1059"/>
  <c r="Z42" i="1059"/>
  <c r="Y42" i="1059"/>
  <c r="X42" i="1059"/>
  <c r="W42" i="1059"/>
  <c r="V42" i="1059"/>
  <c r="U42" i="1059"/>
  <c r="T42" i="1059"/>
  <c r="S42" i="1059"/>
  <c r="R42" i="1059"/>
  <c r="Z41" i="1059"/>
  <c r="Y41" i="1059"/>
  <c r="X41" i="1059"/>
  <c r="W41" i="1059"/>
  <c r="V41" i="1059"/>
  <c r="U41" i="1059"/>
  <c r="T41" i="1059"/>
  <c r="S41" i="1059"/>
  <c r="R41" i="1059"/>
  <c r="Z40" i="1059"/>
  <c r="Y40" i="1059"/>
  <c r="X40" i="1059"/>
  <c r="W40" i="1059"/>
  <c r="V40" i="1059"/>
  <c r="U40" i="1059"/>
  <c r="T40" i="1059"/>
  <c r="S40" i="1059"/>
  <c r="R40" i="1059"/>
  <c r="Z39" i="1059"/>
  <c r="Y39" i="1059"/>
  <c r="X39" i="1059"/>
  <c r="W39" i="1059"/>
  <c r="V39" i="1059"/>
  <c r="U39" i="1059"/>
  <c r="T39" i="1059"/>
  <c r="S39" i="1059"/>
  <c r="R39" i="1059"/>
  <c r="Z38" i="1059"/>
  <c r="Y38" i="1059"/>
  <c r="X38" i="1059"/>
  <c r="W38" i="1059"/>
  <c r="V38" i="1059"/>
  <c r="U38" i="1059"/>
  <c r="T38" i="1059"/>
  <c r="S38" i="1059"/>
  <c r="R38" i="1059"/>
  <c r="Z37" i="1059"/>
  <c r="Y37" i="1059"/>
  <c r="X37" i="1059"/>
  <c r="W37" i="1059"/>
  <c r="V37" i="1059"/>
  <c r="U37" i="1059"/>
  <c r="T37" i="1059"/>
  <c r="S37" i="1059"/>
  <c r="R37" i="1059"/>
  <c r="M37" i="1059"/>
  <c r="L37" i="1059"/>
  <c r="K37" i="1059"/>
  <c r="Z36" i="1059"/>
  <c r="Y36" i="1059"/>
  <c r="X36" i="1059"/>
  <c r="W36" i="1059"/>
  <c r="V36" i="1059"/>
  <c r="U36" i="1059"/>
  <c r="T36" i="1059"/>
  <c r="S36" i="1059"/>
  <c r="R36" i="1059"/>
  <c r="M36" i="1059"/>
  <c r="Z35" i="1059"/>
  <c r="Y35" i="1059"/>
  <c r="X35" i="1059"/>
  <c r="W35" i="1059"/>
  <c r="V35" i="1059"/>
  <c r="U35" i="1059"/>
  <c r="T35" i="1059"/>
  <c r="S35" i="1059"/>
  <c r="R35" i="1059"/>
  <c r="Z34" i="1059"/>
  <c r="Y34" i="1059"/>
  <c r="X34" i="1059"/>
  <c r="W34" i="1059"/>
  <c r="V34" i="1059"/>
  <c r="U34" i="1059"/>
  <c r="T34" i="1059"/>
  <c r="S34" i="1059"/>
  <c r="R34" i="1059"/>
  <c r="M34" i="1059"/>
  <c r="L34" i="1059"/>
  <c r="K34" i="1059"/>
  <c r="Z33" i="1059"/>
  <c r="Y33" i="1059"/>
  <c r="X33" i="1059"/>
  <c r="W33" i="1059"/>
  <c r="V33" i="1059"/>
  <c r="U33" i="1059"/>
  <c r="T33" i="1059"/>
  <c r="S33" i="1059"/>
  <c r="R33" i="1059"/>
  <c r="M33" i="1059"/>
  <c r="L33" i="1059"/>
  <c r="K33" i="1059"/>
  <c r="Z32" i="1059"/>
  <c r="Y32" i="1059"/>
  <c r="X32" i="1059"/>
  <c r="W32" i="1059"/>
  <c r="V32" i="1059"/>
  <c r="U32" i="1059"/>
  <c r="T32" i="1059"/>
  <c r="S32" i="1059"/>
  <c r="R32" i="1059"/>
  <c r="Z31" i="1059"/>
  <c r="Z30" i="1059"/>
  <c r="Y30" i="1059"/>
  <c r="X30" i="1059"/>
  <c r="W30" i="1059"/>
  <c r="V30" i="1059"/>
  <c r="U30" i="1059"/>
  <c r="T30" i="1059"/>
  <c r="S30" i="1059"/>
  <c r="R30" i="1059"/>
  <c r="Z29" i="1059"/>
  <c r="Y29" i="1059"/>
  <c r="X29" i="1059"/>
  <c r="W29" i="1059"/>
  <c r="V29" i="1059"/>
  <c r="U29" i="1059"/>
  <c r="T29" i="1059"/>
  <c r="S29" i="1059"/>
  <c r="R29" i="1059"/>
  <c r="Z28" i="1059"/>
  <c r="Y28" i="1059"/>
  <c r="X28" i="1059"/>
  <c r="W28" i="1059"/>
  <c r="V28" i="1059"/>
  <c r="U28" i="1059"/>
  <c r="T28" i="1059"/>
  <c r="S28" i="1059"/>
  <c r="R28" i="1059"/>
  <c r="Z27" i="1059"/>
  <c r="Y27" i="1059"/>
  <c r="X27" i="1059"/>
  <c r="W27" i="1059"/>
  <c r="V27" i="1059"/>
  <c r="U27" i="1059"/>
  <c r="T27" i="1059"/>
  <c r="S27" i="1059"/>
  <c r="R27" i="1059"/>
  <c r="Z11" i="1059"/>
  <c r="Y11" i="1059"/>
  <c r="X11" i="1059"/>
  <c r="W11" i="1059"/>
  <c r="V11" i="1059"/>
  <c r="U11" i="1059"/>
  <c r="T11" i="1059"/>
  <c r="S11" i="1059"/>
  <c r="R11" i="1059"/>
  <c r="Z10" i="1059"/>
  <c r="Y10" i="1059"/>
  <c r="X10" i="1059"/>
  <c r="W10" i="1059"/>
  <c r="V10" i="1059"/>
  <c r="U10" i="1059"/>
  <c r="T10" i="1059"/>
  <c r="S10" i="1059"/>
  <c r="R10" i="1059"/>
  <c r="M32" i="1061" l="1"/>
  <c r="J31" i="1059"/>
  <c r="J22" i="1059"/>
  <c r="Y31" i="1059"/>
  <c r="U31" i="1059"/>
  <c r="K41" i="1059"/>
  <c r="L41" i="1059" s="1"/>
  <c r="M41" i="1059" s="1"/>
  <c r="X31" i="1059"/>
  <c r="R31" i="1059"/>
  <c r="S31" i="1059"/>
  <c r="T31" i="1059"/>
  <c r="V31" i="1059"/>
  <c r="W31" i="1059"/>
  <c r="C35" i="1058" a="1"/>
  <c r="C23" i="1058" a="1"/>
  <c r="G54" i="1058"/>
  <c r="D54" i="1058"/>
  <c r="E52" i="1058"/>
  <c r="G52" i="1058"/>
  <c r="G65" i="1058" l="1"/>
  <c r="J20" i="1059"/>
  <c r="I20" i="1059"/>
  <c r="J32" i="1059" s="1"/>
  <c r="I22" i="1059"/>
  <c r="B54" i="1058"/>
  <c r="L38" i="1058"/>
  <c r="M26" i="1058"/>
  <c r="L26" i="1058"/>
  <c r="K26" i="1058"/>
  <c r="C12" i="1058"/>
  <c r="D12" i="1058"/>
  <c r="E12" i="1058"/>
  <c r="F12" i="1058"/>
  <c r="G12" i="1058"/>
  <c r="I12" i="1058"/>
  <c r="J12" i="1058"/>
  <c r="L12" i="1058"/>
  <c r="M12" i="1058"/>
  <c r="N12" i="1058"/>
  <c r="O12" i="1058"/>
  <c r="C13" i="1058"/>
  <c r="D13" i="1058"/>
  <c r="E13" i="1058"/>
  <c r="F13" i="1058"/>
  <c r="G13" i="1058"/>
  <c r="I13" i="1058"/>
  <c r="J13" i="1058"/>
  <c r="L13" i="1058"/>
  <c r="M13" i="1058"/>
  <c r="N13" i="1058"/>
  <c r="O13" i="1058"/>
  <c r="C14" i="1058"/>
  <c r="D14" i="1058"/>
  <c r="E14" i="1058"/>
  <c r="F14" i="1058"/>
  <c r="G14" i="1058"/>
  <c r="I14" i="1058"/>
  <c r="J14" i="1058"/>
  <c r="L14" i="1058"/>
  <c r="M14" i="1058"/>
  <c r="N14" i="1058"/>
  <c r="O14" i="1058"/>
  <c r="C15" i="1058"/>
  <c r="D15" i="1058"/>
  <c r="E15" i="1058"/>
  <c r="F15" i="1058"/>
  <c r="G15" i="1058"/>
  <c r="I15" i="1058"/>
  <c r="J15" i="1058"/>
  <c r="L15" i="1058"/>
  <c r="M15" i="1058"/>
  <c r="N15" i="1058"/>
  <c r="O15" i="1058"/>
  <c r="C16" i="1058"/>
  <c r="D16" i="1058"/>
  <c r="E16" i="1058"/>
  <c r="F16" i="1058"/>
  <c r="G16" i="1058"/>
  <c r="I16" i="1058"/>
  <c r="J16" i="1058"/>
  <c r="L16" i="1058"/>
  <c r="M16" i="1058"/>
  <c r="N16" i="1058"/>
  <c r="O16" i="1058"/>
  <c r="C17" i="1058"/>
  <c r="D17" i="1058"/>
  <c r="E17" i="1058"/>
  <c r="F17" i="1058"/>
  <c r="G17" i="1058"/>
  <c r="I17" i="1058"/>
  <c r="J17" i="1058"/>
  <c r="L17" i="1058"/>
  <c r="M17" i="1058"/>
  <c r="N17" i="1058"/>
  <c r="O17" i="1058"/>
  <c r="C18" i="1058"/>
  <c r="D18" i="1058"/>
  <c r="E18" i="1058"/>
  <c r="F18" i="1058"/>
  <c r="G18" i="1058"/>
  <c r="I18" i="1058"/>
  <c r="J18" i="1058"/>
  <c r="L18" i="1058"/>
  <c r="M18" i="1058"/>
  <c r="N18" i="1058"/>
  <c r="O18" i="1058"/>
  <c r="C19" i="1058"/>
  <c r="D19" i="1058"/>
  <c r="E19" i="1058"/>
  <c r="F19" i="1058"/>
  <c r="G19" i="1058"/>
  <c r="I19" i="1058"/>
  <c r="J19" i="1058"/>
  <c r="L19" i="1058"/>
  <c r="M19" i="1058"/>
  <c r="N19" i="1058"/>
  <c r="O19" i="1058"/>
  <c r="J26" i="1058" l="1"/>
  <c r="B35" i="1058"/>
  <c r="B23" i="1058"/>
  <c r="AX54" i="1058"/>
  <c r="AW54" i="1058"/>
  <c r="AV54" i="1058"/>
  <c r="AU54" i="1058"/>
  <c r="AT54" i="1058"/>
  <c r="AS54" i="1058"/>
  <c r="AR54" i="1058"/>
  <c r="AQ54" i="1058"/>
  <c r="AP54" i="1058"/>
  <c r="AO54" i="1058"/>
  <c r="AN54" i="1058"/>
  <c r="AM54" i="1058"/>
  <c r="AL54" i="1058"/>
  <c r="AK54" i="1058"/>
  <c r="AJ54" i="1058"/>
  <c r="AI54" i="1058"/>
  <c r="AH54" i="1058"/>
  <c r="AG54" i="1058"/>
  <c r="AF54" i="1058"/>
  <c r="AE54" i="1058"/>
  <c r="AD54" i="1058"/>
  <c r="AC54" i="1058"/>
  <c r="AB54" i="1058"/>
  <c r="L54" i="1058"/>
  <c r="C65" i="1058" s="1"/>
  <c r="AX53" i="1058"/>
  <c r="AW53" i="1058"/>
  <c r="AV53" i="1058"/>
  <c r="AU53" i="1058"/>
  <c r="AT53" i="1058"/>
  <c r="AS53" i="1058"/>
  <c r="AR53" i="1058"/>
  <c r="AQ53" i="1058"/>
  <c r="AP53" i="1058"/>
  <c r="AO53" i="1058"/>
  <c r="AN53" i="1058"/>
  <c r="AM53" i="1058"/>
  <c r="AL53" i="1058"/>
  <c r="AK53" i="1058"/>
  <c r="AJ53" i="1058"/>
  <c r="AI53" i="1058"/>
  <c r="AH53" i="1058"/>
  <c r="AG53" i="1058"/>
  <c r="AF53" i="1058"/>
  <c r="AE53" i="1058"/>
  <c r="AD53" i="1058"/>
  <c r="AC53" i="1058"/>
  <c r="AB53" i="1058"/>
  <c r="AX52" i="1058"/>
  <c r="AW52" i="1058"/>
  <c r="AV52" i="1058"/>
  <c r="AU52" i="1058"/>
  <c r="AT52" i="1058"/>
  <c r="AS52" i="1058"/>
  <c r="AR52" i="1058"/>
  <c r="AQ52" i="1058"/>
  <c r="AP52" i="1058"/>
  <c r="AO52" i="1058"/>
  <c r="AN52" i="1058"/>
  <c r="AM52" i="1058"/>
  <c r="AL52" i="1058"/>
  <c r="AK52" i="1058"/>
  <c r="AJ52" i="1058"/>
  <c r="AI52" i="1058"/>
  <c r="AH52" i="1058"/>
  <c r="AG52" i="1058"/>
  <c r="AF52" i="1058"/>
  <c r="AE52" i="1058"/>
  <c r="AD52" i="1058"/>
  <c r="AC52" i="1058"/>
  <c r="AB52" i="1058"/>
  <c r="B52" i="1058"/>
  <c r="K47" i="1058"/>
  <c r="M38" i="1058" s="1"/>
  <c r="Z34" i="1058"/>
  <c r="Y34" i="1058"/>
  <c r="X34" i="1058"/>
  <c r="W34" i="1058"/>
  <c r="V34" i="1058"/>
  <c r="U34" i="1058"/>
  <c r="T34" i="1058"/>
  <c r="S34" i="1058"/>
  <c r="R34" i="1058"/>
  <c r="Z33" i="1058"/>
  <c r="Y33" i="1058"/>
  <c r="X33" i="1058"/>
  <c r="W33" i="1058"/>
  <c r="V33" i="1058"/>
  <c r="U33" i="1058"/>
  <c r="T33" i="1058"/>
  <c r="S33" i="1058"/>
  <c r="R33" i="1058"/>
  <c r="Z32" i="1058"/>
  <c r="Y32" i="1058"/>
  <c r="X32" i="1058"/>
  <c r="W32" i="1058"/>
  <c r="V32" i="1058"/>
  <c r="U32" i="1058"/>
  <c r="T32" i="1058"/>
  <c r="S32" i="1058"/>
  <c r="R32" i="1058"/>
  <c r="Z31" i="1058"/>
  <c r="Y31" i="1058"/>
  <c r="X31" i="1058"/>
  <c r="W31" i="1058"/>
  <c r="V31" i="1058"/>
  <c r="U31" i="1058"/>
  <c r="T31" i="1058"/>
  <c r="S31" i="1058"/>
  <c r="R31" i="1058"/>
  <c r="Z30" i="1058"/>
  <c r="Y30" i="1058"/>
  <c r="X30" i="1058"/>
  <c r="W30" i="1058"/>
  <c r="V30" i="1058"/>
  <c r="U30" i="1058"/>
  <c r="T30" i="1058"/>
  <c r="S30" i="1058"/>
  <c r="R30" i="1058"/>
  <c r="Z29" i="1058"/>
  <c r="Y29" i="1058"/>
  <c r="X29" i="1058"/>
  <c r="W29" i="1058"/>
  <c r="V29" i="1058"/>
  <c r="U29" i="1058"/>
  <c r="T29" i="1058"/>
  <c r="S29" i="1058"/>
  <c r="R29" i="1058"/>
  <c r="M29" i="1058"/>
  <c r="L29" i="1058"/>
  <c r="K29" i="1058"/>
  <c r="Z28" i="1058"/>
  <c r="Y28" i="1058"/>
  <c r="X28" i="1058"/>
  <c r="W28" i="1058"/>
  <c r="V28" i="1058"/>
  <c r="U28" i="1058"/>
  <c r="T28" i="1058"/>
  <c r="S28" i="1058"/>
  <c r="R28" i="1058"/>
  <c r="M28" i="1058"/>
  <c r="Z27" i="1058"/>
  <c r="Y27" i="1058"/>
  <c r="X27" i="1058"/>
  <c r="W27" i="1058"/>
  <c r="V27" i="1058"/>
  <c r="U27" i="1058"/>
  <c r="T27" i="1058"/>
  <c r="S27" i="1058"/>
  <c r="R27" i="1058"/>
  <c r="Z26" i="1058"/>
  <c r="Y26" i="1058"/>
  <c r="X26" i="1058"/>
  <c r="W26" i="1058"/>
  <c r="V26" i="1058"/>
  <c r="U26" i="1058"/>
  <c r="T26" i="1058"/>
  <c r="S26" i="1058"/>
  <c r="R26" i="1058"/>
  <c r="Z25" i="1058"/>
  <c r="Y25" i="1058"/>
  <c r="X25" i="1058"/>
  <c r="W25" i="1058"/>
  <c r="V25" i="1058"/>
  <c r="U25" i="1058"/>
  <c r="T25" i="1058"/>
  <c r="S25" i="1058"/>
  <c r="R25" i="1058"/>
  <c r="M25" i="1058"/>
  <c r="L25" i="1058"/>
  <c r="K25" i="1058"/>
  <c r="Z24" i="1058"/>
  <c r="Y24" i="1058"/>
  <c r="X24" i="1058"/>
  <c r="W24" i="1058"/>
  <c r="V24" i="1058"/>
  <c r="U24" i="1058"/>
  <c r="T24" i="1058"/>
  <c r="S24" i="1058"/>
  <c r="R24" i="1058"/>
  <c r="M24" i="1058"/>
  <c r="L24" i="1058"/>
  <c r="K24" i="1058"/>
  <c r="Z23" i="1058"/>
  <c r="Y23" i="1058"/>
  <c r="M23" i="1058"/>
  <c r="L23" i="1058"/>
  <c r="K23" i="1058"/>
  <c r="X23" i="1058"/>
  <c r="Z22" i="1058"/>
  <c r="Y22" i="1058"/>
  <c r="X22" i="1058"/>
  <c r="W22" i="1058"/>
  <c r="V22" i="1058"/>
  <c r="U22" i="1058"/>
  <c r="T22" i="1058"/>
  <c r="S22" i="1058"/>
  <c r="R22" i="1058"/>
  <c r="Z21" i="1058"/>
  <c r="Y21" i="1058"/>
  <c r="X21" i="1058"/>
  <c r="W21" i="1058"/>
  <c r="V21" i="1058"/>
  <c r="U21" i="1058"/>
  <c r="T21" i="1058"/>
  <c r="S21" i="1058"/>
  <c r="R21" i="1058"/>
  <c r="Z20" i="1058"/>
  <c r="Y20" i="1058"/>
  <c r="X20" i="1058"/>
  <c r="W20" i="1058"/>
  <c r="V20" i="1058"/>
  <c r="U20" i="1058"/>
  <c r="T20" i="1058"/>
  <c r="S20" i="1058"/>
  <c r="R20" i="1058"/>
  <c r="Z19" i="1058"/>
  <c r="Y19" i="1058"/>
  <c r="X19" i="1058"/>
  <c r="W19" i="1058"/>
  <c r="V19" i="1058"/>
  <c r="U19" i="1058"/>
  <c r="T19" i="1058"/>
  <c r="S19" i="1058"/>
  <c r="R19" i="1058"/>
  <c r="Z18" i="1058"/>
  <c r="Y18" i="1058"/>
  <c r="X18" i="1058"/>
  <c r="W18" i="1058"/>
  <c r="V18" i="1058"/>
  <c r="U18" i="1058"/>
  <c r="T18" i="1058"/>
  <c r="S18" i="1058"/>
  <c r="R18" i="1058"/>
  <c r="Z17" i="1058"/>
  <c r="Y17" i="1058"/>
  <c r="X17" i="1058"/>
  <c r="W17" i="1058"/>
  <c r="V17" i="1058"/>
  <c r="U17" i="1058"/>
  <c r="T17" i="1058"/>
  <c r="S17" i="1058"/>
  <c r="R17" i="1058"/>
  <c r="Z16" i="1058"/>
  <c r="Y16" i="1058"/>
  <c r="X16" i="1058"/>
  <c r="W16" i="1058"/>
  <c r="V16" i="1058"/>
  <c r="U16" i="1058"/>
  <c r="T16" i="1058"/>
  <c r="S16" i="1058"/>
  <c r="R16" i="1058"/>
  <c r="Z15" i="1058"/>
  <c r="Y15" i="1058"/>
  <c r="X15" i="1058"/>
  <c r="W15" i="1058"/>
  <c r="V15" i="1058"/>
  <c r="U15" i="1058"/>
  <c r="T15" i="1058"/>
  <c r="S15" i="1058"/>
  <c r="R15" i="1058"/>
  <c r="Z14" i="1058"/>
  <c r="Y14" i="1058"/>
  <c r="X14" i="1058"/>
  <c r="W14" i="1058"/>
  <c r="V14" i="1058"/>
  <c r="U14" i="1058"/>
  <c r="T14" i="1058"/>
  <c r="S14" i="1058"/>
  <c r="R14" i="1058"/>
  <c r="Z13" i="1058"/>
  <c r="Y13" i="1058"/>
  <c r="X13" i="1058"/>
  <c r="W13" i="1058"/>
  <c r="V13" i="1058"/>
  <c r="U13" i="1058"/>
  <c r="T13" i="1058"/>
  <c r="S13" i="1058"/>
  <c r="R13" i="1058"/>
  <c r="Z12" i="1058"/>
  <c r="Y12" i="1058"/>
  <c r="X12" i="1058"/>
  <c r="W12" i="1058"/>
  <c r="V12" i="1058"/>
  <c r="U12" i="1058"/>
  <c r="T12" i="1058"/>
  <c r="S12" i="1058"/>
  <c r="R12" i="1058"/>
  <c r="Z11" i="1058"/>
  <c r="Y11" i="1058"/>
  <c r="X11" i="1058"/>
  <c r="W11" i="1058"/>
  <c r="V11" i="1058"/>
  <c r="U11" i="1058"/>
  <c r="T11" i="1058"/>
  <c r="S11" i="1058"/>
  <c r="R11" i="1058"/>
  <c r="Z10" i="1058"/>
  <c r="Y10" i="1058"/>
  <c r="X10" i="1058"/>
  <c r="W10" i="1058"/>
  <c r="V10" i="1058"/>
  <c r="U10" i="1058"/>
  <c r="T10" i="1058"/>
  <c r="S10" i="1058"/>
  <c r="R10" i="1058"/>
  <c r="O10" i="1058"/>
  <c r="N10" i="1058"/>
  <c r="M10" i="1058"/>
  <c r="L10" i="1058"/>
  <c r="J10" i="1058"/>
  <c r="I10" i="1058"/>
  <c r="J23" i="1058" s="1"/>
  <c r="G10" i="1058"/>
  <c r="F10" i="1058"/>
  <c r="E10" i="1058"/>
  <c r="D10" i="1058"/>
  <c r="C10" i="1058"/>
  <c r="G63" i="1057"/>
  <c r="G65" i="1057"/>
  <c r="B63" i="1057"/>
  <c r="B65" i="1057"/>
  <c r="S23" i="1058" l="1"/>
  <c r="U23" i="1058"/>
  <c r="K33" i="1058"/>
  <c r="L33" i="1058" s="1"/>
  <c r="M33" i="1058" s="1"/>
  <c r="R23" i="1058"/>
  <c r="V23" i="1058"/>
  <c r="T23" i="1058"/>
  <c r="W23" i="1058"/>
  <c r="C46" i="1057"/>
  <c r="C47" i="1057"/>
  <c r="C48" i="1057"/>
  <c r="C49" i="1057"/>
  <c r="C50" i="1057"/>
  <c r="C51" i="1057"/>
  <c r="L49" i="1057"/>
  <c r="R19" i="1057"/>
  <c r="S19" i="1057"/>
  <c r="T19" i="1057"/>
  <c r="U19" i="1057"/>
  <c r="V19" i="1057"/>
  <c r="W19" i="1057"/>
  <c r="X19" i="1057"/>
  <c r="Y19" i="1057"/>
  <c r="Z19" i="1057"/>
  <c r="B34" i="1057"/>
  <c r="B46" i="1057"/>
  <c r="M34" i="1057"/>
  <c r="L34" i="1057"/>
  <c r="K34" i="1057"/>
  <c r="C11" i="1057"/>
  <c r="D11" i="1057"/>
  <c r="E11" i="1057"/>
  <c r="F11" i="1057"/>
  <c r="G11" i="1057"/>
  <c r="I11" i="1057"/>
  <c r="J11" i="1057"/>
  <c r="L11" i="1057"/>
  <c r="M11" i="1057"/>
  <c r="N11" i="1057"/>
  <c r="O11" i="1057"/>
  <c r="C12" i="1057"/>
  <c r="D12" i="1057"/>
  <c r="E12" i="1057"/>
  <c r="F12" i="1057"/>
  <c r="G12" i="1057"/>
  <c r="I12" i="1057"/>
  <c r="J12" i="1057"/>
  <c r="L12" i="1057"/>
  <c r="M12" i="1057"/>
  <c r="N12" i="1057"/>
  <c r="O12" i="1057"/>
  <c r="C13" i="1057"/>
  <c r="D13" i="1057"/>
  <c r="E13" i="1057"/>
  <c r="F13" i="1057"/>
  <c r="G13" i="1057"/>
  <c r="I13" i="1057"/>
  <c r="J13" i="1057"/>
  <c r="L13" i="1057"/>
  <c r="M13" i="1057"/>
  <c r="N13" i="1057"/>
  <c r="O13" i="1057"/>
  <c r="C14" i="1057"/>
  <c r="D14" i="1057"/>
  <c r="E14" i="1057"/>
  <c r="F14" i="1057"/>
  <c r="G14" i="1057"/>
  <c r="I14" i="1057"/>
  <c r="J14" i="1057"/>
  <c r="L14" i="1057"/>
  <c r="M14" i="1057"/>
  <c r="N14" i="1057"/>
  <c r="O14" i="1057"/>
  <c r="C15" i="1057"/>
  <c r="D15" i="1057"/>
  <c r="E15" i="1057"/>
  <c r="F15" i="1057"/>
  <c r="G15" i="1057"/>
  <c r="I15" i="1057"/>
  <c r="J15" i="1057"/>
  <c r="L15" i="1057"/>
  <c r="M15" i="1057"/>
  <c r="N15" i="1057"/>
  <c r="O15" i="1057"/>
  <c r="C16" i="1057"/>
  <c r="D16" i="1057"/>
  <c r="E16" i="1057"/>
  <c r="F16" i="1057"/>
  <c r="G16" i="1057"/>
  <c r="I16" i="1057"/>
  <c r="J16" i="1057"/>
  <c r="L16" i="1057"/>
  <c r="M16" i="1057"/>
  <c r="N16" i="1057"/>
  <c r="O16" i="1057"/>
  <c r="C17" i="1057"/>
  <c r="D17" i="1057"/>
  <c r="E17" i="1057"/>
  <c r="F17" i="1057"/>
  <c r="G17" i="1057"/>
  <c r="I17" i="1057"/>
  <c r="J17" i="1057"/>
  <c r="L17" i="1057"/>
  <c r="M17" i="1057"/>
  <c r="N17" i="1057"/>
  <c r="O17" i="1057"/>
  <c r="C18" i="1057"/>
  <c r="D18" i="1057"/>
  <c r="E18" i="1057"/>
  <c r="F18" i="1057"/>
  <c r="G18" i="1057"/>
  <c r="I18" i="1057"/>
  <c r="J18" i="1057"/>
  <c r="L18" i="1057"/>
  <c r="M18" i="1057"/>
  <c r="N18" i="1057"/>
  <c r="O18" i="1057"/>
  <c r="C20" i="1057"/>
  <c r="D20" i="1057"/>
  <c r="E20" i="1057"/>
  <c r="F20" i="1057"/>
  <c r="G20" i="1057"/>
  <c r="I20" i="1057"/>
  <c r="J20" i="1057"/>
  <c r="L20" i="1057"/>
  <c r="M20" i="1057"/>
  <c r="N20" i="1057"/>
  <c r="O20" i="1057"/>
  <c r="O10" i="1057"/>
  <c r="N10" i="1057"/>
  <c r="M10" i="1057"/>
  <c r="L10" i="1057"/>
  <c r="J10" i="1057"/>
  <c r="I10" i="1057"/>
  <c r="G10" i="1057"/>
  <c r="F10" i="1057"/>
  <c r="E10" i="1057"/>
  <c r="D10" i="1057"/>
  <c r="C10" i="1057"/>
  <c r="AX65" i="1057"/>
  <c r="AW65" i="1057"/>
  <c r="AV65" i="1057"/>
  <c r="AU65" i="1057"/>
  <c r="AT65" i="1057"/>
  <c r="AS65" i="1057"/>
  <c r="AR65" i="1057"/>
  <c r="AQ65" i="1057"/>
  <c r="AP65" i="1057"/>
  <c r="AO65" i="1057"/>
  <c r="AN65" i="1057"/>
  <c r="AM65" i="1057"/>
  <c r="AL65" i="1057"/>
  <c r="AK65" i="1057"/>
  <c r="AJ65" i="1057"/>
  <c r="AI65" i="1057"/>
  <c r="AH65" i="1057"/>
  <c r="AG65" i="1057"/>
  <c r="AF65" i="1057"/>
  <c r="AE65" i="1057"/>
  <c r="AD65" i="1057"/>
  <c r="AC65" i="1057"/>
  <c r="AB65" i="1057"/>
  <c r="AX64" i="1057"/>
  <c r="AW64" i="1057"/>
  <c r="AV64" i="1057"/>
  <c r="AU64" i="1057"/>
  <c r="AT64" i="1057"/>
  <c r="AS64" i="1057"/>
  <c r="AR64" i="1057"/>
  <c r="AQ64" i="1057"/>
  <c r="AP64" i="1057"/>
  <c r="AO64" i="1057"/>
  <c r="AN64" i="1057"/>
  <c r="AM64" i="1057"/>
  <c r="AL64" i="1057"/>
  <c r="AK64" i="1057"/>
  <c r="AJ64" i="1057"/>
  <c r="AI64" i="1057"/>
  <c r="AH64" i="1057"/>
  <c r="AG64" i="1057"/>
  <c r="AF64" i="1057"/>
  <c r="AE64" i="1057"/>
  <c r="AD64" i="1057"/>
  <c r="AC64" i="1057"/>
  <c r="AB64" i="1057"/>
  <c r="AX63" i="1057"/>
  <c r="AW63" i="1057"/>
  <c r="AV63" i="1057"/>
  <c r="AU63" i="1057"/>
  <c r="AT63" i="1057"/>
  <c r="AS63" i="1057"/>
  <c r="AR63" i="1057"/>
  <c r="AQ63" i="1057"/>
  <c r="AP63" i="1057"/>
  <c r="AO63" i="1057"/>
  <c r="AN63" i="1057"/>
  <c r="AM63" i="1057"/>
  <c r="AL63" i="1057"/>
  <c r="AK63" i="1057"/>
  <c r="AJ63" i="1057"/>
  <c r="AI63" i="1057"/>
  <c r="AH63" i="1057"/>
  <c r="AG63" i="1057"/>
  <c r="AF63" i="1057"/>
  <c r="AE63" i="1057"/>
  <c r="AD63" i="1057"/>
  <c r="AC63" i="1057"/>
  <c r="AB63" i="1057"/>
  <c r="K58" i="1057"/>
  <c r="M49" i="1057" s="1"/>
  <c r="Z45" i="1057"/>
  <c r="Y45" i="1057"/>
  <c r="X45" i="1057"/>
  <c r="W45" i="1057"/>
  <c r="V45" i="1057"/>
  <c r="U45" i="1057"/>
  <c r="T45" i="1057"/>
  <c r="S45" i="1057"/>
  <c r="R45" i="1057"/>
  <c r="Z44" i="1057"/>
  <c r="Y44" i="1057"/>
  <c r="X44" i="1057"/>
  <c r="W44" i="1057"/>
  <c r="V44" i="1057"/>
  <c r="U44" i="1057"/>
  <c r="T44" i="1057"/>
  <c r="S44" i="1057"/>
  <c r="R44" i="1057"/>
  <c r="Z43" i="1057"/>
  <c r="Y43" i="1057"/>
  <c r="X43" i="1057"/>
  <c r="W43" i="1057"/>
  <c r="V43" i="1057"/>
  <c r="U43" i="1057"/>
  <c r="T43" i="1057"/>
  <c r="S43" i="1057"/>
  <c r="R43" i="1057"/>
  <c r="Z42" i="1057"/>
  <c r="Y42" i="1057"/>
  <c r="X42" i="1057"/>
  <c r="W42" i="1057"/>
  <c r="V42" i="1057"/>
  <c r="U42" i="1057"/>
  <c r="T42" i="1057"/>
  <c r="S42" i="1057"/>
  <c r="R42" i="1057"/>
  <c r="Z41" i="1057"/>
  <c r="Y41" i="1057"/>
  <c r="X41" i="1057"/>
  <c r="W41" i="1057"/>
  <c r="V41" i="1057"/>
  <c r="U41" i="1057"/>
  <c r="T41" i="1057"/>
  <c r="S41" i="1057"/>
  <c r="R41" i="1057"/>
  <c r="Z40" i="1057"/>
  <c r="Y40" i="1057"/>
  <c r="X40" i="1057"/>
  <c r="W40" i="1057"/>
  <c r="V40" i="1057"/>
  <c r="U40" i="1057"/>
  <c r="T40" i="1057"/>
  <c r="S40" i="1057"/>
  <c r="R40" i="1057"/>
  <c r="M40" i="1057"/>
  <c r="L40" i="1057"/>
  <c r="K40" i="1057"/>
  <c r="Z39" i="1057"/>
  <c r="Y39" i="1057"/>
  <c r="X39" i="1057"/>
  <c r="W39" i="1057"/>
  <c r="V39" i="1057"/>
  <c r="U39" i="1057"/>
  <c r="T39" i="1057"/>
  <c r="S39" i="1057"/>
  <c r="R39" i="1057"/>
  <c r="M39" i="1057"/>
  <c r="Z38" i="1057"/>
  <c r="Y38" i="1057"/>
  <c r="X38" i="1057"/>
  <c r="W38" i="1057"/>
  <c r="V38" i="1057"/>
  <c r="U38" i="1057"/>
  <c r="T38" i="1057"/>
  <c r="S38" i="1057"/>
  <c r="R38" i="1057"/>
  <c r="Z37" i="1057"/>
  <c r="Y37" i="1057"/>
  <c r="X37" i="1057"/>
  <c r="W37" i="1057"/>
  <c r="V37" i="1057"/>
  <c r="U37" i="1057"/>
  <c r="T37" i="1057"/>
  <c r="S37" i="1057"/>
  <c r="R37" i="1057"/>
  <c r="M37" i="1057"/>
  <c r="Z36" i="1057"/>
  <c r="Y36" i="1057"/>
  <c r="X36" i="1057"/>
  <c r="W36" i="1057"/>
  <c r="V36" i="1057"/>
  <c r="U36" i="1057"/>
  <c r="T36" i="1057"/>
  <c r="S36" i="1057"/>
  <c r="R36" i="1057"/>
  <c r="M36" i="1057"/>
  <c r="L36" i="1057"/>
  <c r="K36" i="1057"/>
  <c r="Z35" i="1057"/>
  <c r="Y35" i="1057"/>
  <c r="X35" i="1057"/>
  <c r="W35" i="1057"/>
  <c r="V35" i="1057"/>
  <c r="U35" i="1057"/>
  <c r="T35" i="1057"/>
  <c r="S35" i="1057"/>
  <c r="R35" i="1057"/>
  <c r="M35" i="1057"/>
  <c r="L35" i="1057"/>
  <c r="K35" i="1057"/>
  <c r="S34" i="1057"/>
  <c r="Z33" i="1057"/>
  <c r="Y33" i="1057"/>
  <c r="X33" i="1057"/>
  <c r="W33" i="1057"/>
  <c r="V33" i="1057"/>
  <c r="U33" i="1057"/>
  <c r="T33" i="1057"/>
  <c r="S33" i="1057"/>
  <c r="R33" i="1057"/>
  <c r="Z32" i="1057"/>
  <c r="Y32" i="1057"/>
  <c r="X32" i="1057"/>
  <c r="W32" i="1057"/>
  <c r="V32" i="1057"/>
  <c r="U32" i="1057"/>
  <c r="T32" i="1057"/>
  <c r="S32" i="1057"/>
  <c r="R32" i="1057"/>
  <c r="Z31" i="1057"/>
  <c r="Y31" i="1057"/>
  <c r="X31" i="1057"/>
  <c r="W31" i="1057"/>
  <c r="V31" i="1057"/>
  <c r="U31" i="1057"/>
  <c r="T31" i="1057"/>
  <c r="S31" i="1057"/>
  <c r="R31" i="1057"/>
  <c r="Z30" i="1057"/>
  <c r="Y30" i="1057"/>
  <c r="X30" i="1057"/>
  <c r="W30" i="1057"/>
  <c r="V30" i="1057"/>
  <c r="U30" i="1057"/>
  <c r="T30" i="1057"/>
  <c r="S30" i="1057"/>
  <c r="R30" i="1057"/>
  <c r="Z29" i="1057"/>
  <c r="Y29" i="1057"/>
  <c r="X29" i="1057"/>
  <c r="W29" i="1057"/>
  <c r="V29" i="1057"/>
  <c r="U29" i="1057"/>
  <c r="T29" i="1057"/>
  <c r="S29" i="1057"/>
  <c r="R29" i="1057"/>
  <c r="Z28" i="1057"/>
  <c r="Y28" i="1057"/>
  <c r="X28" i="1057"/>
  <c r="W28" i="1057"/>
  <c r="V28" i="1057"/>
  <c r="U28" i="1057"/>
  <c r="T28" i="1057"/>
  <c r="S28" i="1057"/>
  <c r="R28" i="1057"/>
  <c r="Z27" i="1057"/>
  <c r="Y27" i="1057"/>
  <c r="X27" i="1057"/>
  <c r="W27" i="1057"/>
  <c r="V27" i="1057"/>
  <c r="U27" i="1057"/>
  <c r="T27" i="1057"/>
  <c r="S27" i="1057"/>
  <c r="R27" i="1057"/>
  <c r="Z26" i="1057"/>
  <c r="Y26" i="1057"/>
  <c r="X26" i="1057"/>
  <c r="W26" i="1057"/>
  <c r="V26" i="1057"/>
  <c r="U26" i="1057"/>
  <c r="T26" i="1057"/>
  <c r="S26" i="1057"/>
  <c r="R26" i="1057"/>
  <c r="Z25" i="1057"/>
  <c r="Y25" i="1057"/>
  <c r="X25" i="1057"/>
  <c r="W25" i="1057"/>
  <c r="V25" i="1057"/>
  <c r="U25" i="1057"/>
  <c r="T25" i="1057"/>
  <c r="S25" i="1057"/>
  <c r="R25" i="1057"/>
  <c r="Z24" i="1057"/>
  <c r="Y24" i="1057"/>
  <c r="X24" i="1057"/>
  <c r="W24" i="1057"/>
  <c r="V24" i="1057"/>
  <c r="U24" i="1057"/>
  <c r="T24" i="1057"/>
  <c r="S24" i="1057"/>
  <c r="R24" i="1057"/>
  <c r="Z23" i="1057"/>
  <c r="Y23" i="1057"/>
  <c r="X23" i="1057"/>
  <c r="W23" i="1057"/>
  <c r="V23" i="1057"/>
  <c r="U23" i="1057"/>
  <c r="T23" i="1057"/>
  <c r="S23" i="1057"/>
  <c r="R23" i="1057"/>
  <c r="Z22" i="1057"/>
  <c r="Y22" i="1057"/>
  <c r="X22" i="1057"/>
  <c r="W22" i="1057"/>
  <c r="V22" i="1057"/>
  <c r="U22" i="1057"/>
  <c r="T22" i="1057"/>
  <c r="S22" i="1057"/>
  <c r="R22" i="1057"/>
  <c r="Z21" i="1057"/>
  <c r="Y21" i="1057"/>
  <c r="X21" i="1057"/>
  <c r="W21" i="1057"/>
  <c r="V21" i="1057"/>
  <c r="U21" i="1057"/>
  <c r="T21" i="1057"/>
  <c r="S21" i="1057"/>
  <c r="R21" i="1057"/>
  <c r="Z20" i="1057"/>
  <c r="Y20" i="1057"/>
  <c r="X20" i="1057"/>
  <c r="W20" i="1057"/>
  <c r="V20" i="1057"/>
  <c r="U20" i="1057"/>
  <c r="T20" i="1057"/>
  <c r="S20" i="1057"/>
  <c r="R20" i="1057"/>
  <c r="Z18" i="1057"/>
  <c r="Y18" i="1057"/>
  <c r="X18" i="1057"/>
  <c r="W18" i="1057"/>
  <c r="V18" i="1057"/>
  <c r="U18" i="1057"/>
  <c r="T18" i="1057"/>
  <c r="S18" i="1057"/>
  <c r="R18" i="1057"/>
  <c r="Z17" i="1057"/>
  <c r="Y17" i="1057"/>
  <c r="X17" i="1057"/>
  <c r="W17" i="1057"/>
  <c r="V17" i="1057"/>
  <c r="U17" i="1057"/>
  <c r="T17" i="1057"/>
  <c r="S17" i="1057"/>
  <c r="R17" i="1057"/>
  <c r="Z16" i="1057"/>
  <c r="Y16" i="1057"/>
  <c r="X16" i="1057"/>
  <c r="W16" i="1057"/>
  <c r="V16" i="1057"/>
  <c r="U16" i="1057"/>
  <c r="T16" i="1057"/>
  <c r="S16" i="1057"/>
  <c r="R16" i="1057"/>
  <c r="Z15" i="1057"/>
  <c r="Y15" i="1057"/>
  <c r="X15" i="1057"/>
  <c r="W15" i="1057"/>
  <c r="V15" i="1057"/>
  <c r="U15" i="1057"/>
  <c r="T15" i="1057"/>
  <c r="S15" i="1057"/>
  <c r="R15" i="1057"/>
  <c r="Z14" i="1057"/>
  <c r="Y14" i="1057"/>
  <c r="X14" i="1057"/>
  <c r="W14" i="1057"/>
  <c r="V14" i="1057"/>
  <c r="U14" i="1057"/>
  <c r="T14" i="1057"/>
  <c r="S14" i="1057"/>
  <c r="R14" i="1057"/>
  <c r="Z13" i="1057"/>
  <c r="Y13" i="1057"/>
  <c r="X13" i="1057"/>
  <c r="W13" i="1057"/>
  <c r="V13" i="1057"/>
  <c r="U13" i="1057"/>
  <c r="T13" i="1057"/>
  <c r="S13" i="1057"/>
  <c r="R13" i="1057"/>
  <c r="Z12" i="1057"/>
  <c r="Y12" i="1057"/>
  <c r="X12" i="1057"/>
  <c r="W12" i="1057"/>
  <c r="V12" i="1057"/>
  <c r="U12" i="1057"/>
  <c r="T12" i="1057"/>
  <c r="S12" i="1057"/>
  <c r="R12" i="1057"/>
  <c r="Z11" i="1057"/>
  <c r="Y11" i="1057"/>
  <c r="X11" i="1057"/>
  <c r="W11" i="1057"/>
  <c r="V11" i="1057"/>
  <c r="U11" i="1057"/>
  <c r="T11" i="1057"/>
  <c r="S11" i="1057"/>
  <c r="R11" i="1057"/>
  <c r="Z10" i="1057"/>
  <c r="Y10" i="1057"/>
  <c r="X10" i="1057"/>
  <c r="W10" i="1057"/>
  <c r="V10" i="1057"/>
  <c r="U10" i="1057"/>
  <c r="T10" i="1057"/>
  <c r="S10" i="1057"/>
  <c r="R10" i="1057"/>
  <c r="L17" i="1056"/>
  <c r="L13" i="1056"/>
  <c r="L11" i="1056"/>
  <c r="L12" i="1056"/>
  <c r="N11" i="1056"/>
  <c r="N12" i="1056"/>
  <c r="N13" i="1056"/>
  <c r="N15" i="1056"/>
  <c r="N16" i="1056"/>
  <c r="N17" i="1056"/>
  <c r="C15" i="1056"/>
  <c r="C19" i="1056"/>
  <c r="L10" i="1056"/>
  <c r="M10" i="1056"/>
  <c r="O10" i="1056"/>
  <c r="M11" i="1056"/>
  <c r="O11" i="1056"/>
  <c r="M12" i="1056"/>
  <c r="O12" i="1056"/>
  <c r="M13" i="1056"/>
  <c r="O13" i="1056"/>
  <c r="L14" i="1056"/>
  <c r="M14" i="1056"/>
  <c r="N14" i="1056"/>
  <c r="O14" i="1056"/>
  <c r="L15" i="1056"/>
  <c r="M15" i="1056"/>
  <c r="O15" i="1056"/>
  <c r="L16" i="1056"/>
  <c r="M16" i="1056"/>
  <c r="O16" i="1056"/>
  <c r="M17" i="1056"/>
  <c r="O17" i="1056"/>
  <c r="L18" i="1056"/>
  <c r="M18" i="1056"/>
  <c r="N18" i="1056"/>
  <c r="O18" i="1056"/>
  <c r="I19" i="1056"/>
  <c r="J19" i="1056"/>
  <c r="L19" i="1056"/>
  <c r="M19" i="1056"/>
  <c r="N19" i="1056"/>
  <c r="O19" i="1056"/>
  <c r="D10" i="1056"/>
  <c r="E10" i="1056"/>
  <c r="F10" i="1056"/>
  <c r="G10" i="1056"/>
  <c r="D11" i="1056"/>
  <c r="E11" i="1056"/>
  <c r="F11" i="1056"/>
  <c r="G11" i="1056"/>
  <c r="D12" i="1056"/>
  <c r="E12" i="1056"/>
  <c r="F12" i="1056"/>
  <c r="G12" i="1056"/>
  <c r="D13" i="1056"/>
  <c r="E13" i="1056"/>
  <c r="F13" i="1056"/>
  <c r="G13" i="1056"/>
  <c r="C14" i="1056"/>
  <c r="D14" i="1056"/>
  <c r="E14" i="1056"/>
  <c r="F14" i="1056"/>
  <c r="G14" i="1056"/>
  <c r="D15" i="1056"/>
  <c r="E15" i="1056"/>
  <c r="F15" i="1056"/>
  <c r="G15" i="1056"/>
  <c r="C16" i="1056"/>
  <c r="D16" i="1056"/>
  <c r="E16" i="1056"/>
  <c r="F16" i="1056"/>
  <c r="G16" i="1056"/>
  <c r="C17" i="1056"/>
  <c r="D17" i="1056"/>
  <c r="E17" i="1056"/>
  <c r="F17" i="1056"/>
  <c r="G17" i="1056"/>
  <c r="C18" i="1056"/>
  <c r="D18" i="1056"/>
  <c r="E18" i="1056"/>
  <c r="F18" i="1056"/>
  <c r="G18" i="1056"/>
  <c r="D19" i="1056"/>
  <c r="E19" i="1056"/>
  <c r="F19" i="1056"/>
  <c r="G19" i="1056"/>
  <c r="B33" i="1056"/>
  <c r="C33" i="1056" a="1"/>
  <c r="AX64" i="1056"/>
  <c r="AW64" i="1056"/>
  <c r="AV64" i="1056"/>
  <c r="AU64" i="1056"/>
  <c r="AT64" i="1056"/>
  <c r="AS64" i="1056"/>
  <c r="AR64" i="1056"/>
  <c r="AQ64" i="1056"/>
  <c r="AP64" i="1056"/>
  <c r="AO64" i="1056"/>
  <c r="AN64" i="1056"/>
  <c r="AM64" i="1056"/>
  <c r="AL64" i="1056"/>
  <c r="AK64" i="1056"/>
  <c r="AJ64" i="1056"/>
  <c r="AI64" i="1056"/>
  <c r="AH64" i="1056"/>
  <c r="AG64" i="1056"/>
  <c r="AF64" i="1056"/>
  <c r="AE64" i="1056"/>
  <c r="AD64" i="1056"/>
  <c r="AC64" i="1056"/>
  <c r="AB64" i="1056"/>
  <c r="AX63" i="1056"/>
  <c r="AW63" i="1056"/>
  <c r="AV63" i="1056"/>
  <c r="AU63" i="1056"/>
  <c r="AT63" i="1056"/>
  <c r="AS63" i="1056"/>
  <c r="AR63" i="1056"/>
  <c r="AQ63" i="1056"/>
  <c r="AP63" i="1056"/>
  <c r="AO63" i="1056"/>
  <c r="AN63" i="1056"/>
  <c r="AM63" i="1056"/>
  <c r="AL63" i="1056"/>
  <c r="AK63" i="1056"/>
  <c r="AJ63" i="1056"/>
  <c r="AI63" i="1056"/>
  <c r="AH63" i="1056"/>
  <c r="AG63" i="1056"/>
  <c r="AF63" i="1056"/>
  <c r="AE63" i="1056"/>
  <c r="AD63" i="1056"/>
  <c r="AC63" i="1056"/>
  <c r="AB63" i="1056"/>
  <c r="AX62" i="1056"/>
  <c r="AW62" i="1056"/>
  <c r="AV62" i="1056"/>
  <c r="AU62" i="1056"/>
  <c r="AT62" i="1056"/>
  <c r="AS62" i="1056"/>
  <c r="AR62" i="1056"/>
  <c r="AQ62" i="1056"/>
  <c r="AP62" i="1056"/>
  <c r="AO62" i="1056"/>
  <c r="AN62" i="1056"/>
  <c r="AM62" i="1056"/>
  <c r="AL62" i="1056"/>
  <c r="AK62" i="1056"/>
  <c r="AJ62" i="1056"/>
  <c r="AI62" i="1056"/>
  <c r="AH62" i="1056"/>
  <c r="AG62" i="1056"/>
  <c r="AF62" i="1056"/>
  <c r="AE62" i="1056"/>
  <c r="AD62" i="1056"/>
  <c r="AC62" i="1056"/>
  <c r="AB62" i="1056"/>
  <c r="B62" i="1056"/>
  <c r="K57" i="1056"/>
  <c r="L48" i="1056" s="1"/>
  <c r="Z44" i="1056"/>
  <c r="Y44" i="1056"/>
  <c r="X44" i="1056"/>
  <c r="W44" i="1056"/>
  <c r="V44" i="1056"/>
  <c r="U44" i="1056"/>
  <c r="T44" i="1056"/>
  <c r="S44" i="1056"/>
  <c r="R44" i="1056"/>
  <c r="Z43" i="1056"/>
  <c r="Y43" i="1056"/>
  <c r="X43" i="1056"/>
  <c r="W43" i="1056"/>
  <c r="V43" i="1056"/>
  <c r="U43" i="1056"/>
  <c r="T43" i="1056"/>
  <c r="S43" i="1056"/>
  <c r="R43" i="1056"/>
  <c r="Z42" i="1056"/>
  <c r="Y42" i="1056"/>
  <c r="X42" i="1056"/>
  <c r="W42" i="1056"/>
  <c r="V42" i="1056"/>
  <c r="U42" i="1056"/>
  <c r="T42" i="1056"/>
  <c r="S42" i="1056"/>
  <c r="R42" i="1056"/>
  <c r="Z41" i="1056"/>
  <c r="Y41" i="1056"/>
  <c r="X41" i="1056"/>
  <c r="W41" i="1056"/>
  <c r="V41" i="1056"/>
  <c r="U41" i="1056"/>
  <c r="T41" i="1056"/>
  <c r="S41" i="1056"/>
  <c r="R41" i="1056"/>
  <c r="Z40" i="1056"/>
  <c r="Y40" i="1056"/>
  <c r="X40" i="1056"/>
  <c r="W40" i="1056"/>
  <c r="V40" i="1056"/>
  <c r="U40" i="1056"/>
  <c r="T40" i="1056"/>
  <c r="S40" i="1056"/>
  <c r="R40" i="1056"/>
  <c r="Z39" i="1056"/>
  <c r="Y39" i="1056"/>
  <c r="X39" i="1056"/>
  <c r="W39" i="1056"/>
  <c r="V39" i="1056"/>
  <c r="U39" i="1056"/>
  <c r="T39" i="1056"/>
  <c r="S39" i="1056"/>
  <c r="R39" i="1056"/>
  <c r="M39" i="1056"/>
  <c r="L39" i="1056"/>
  <c r="K39" i="1056"/>
  <c r="Z38" i="1056"/>
  <c r="Y38" i="1056"/>
  <c r="X38" i="1056"/>
  <c r="W38" i="1056"/>
  <c r="V38" i="1056"/>
  <c r="U38" i="1056"/>
  <c r="T38" i="1056"/>
  <c r="S38" i="1056"/>
  <c r="R38" i="1056"/>
  <c r="M38" i="1056"/>
  <c r="Z37" i="1056"/>
  <c r="Y37" i="1056"/>
  <c r="X37" i="1056"/>
  <c r="W37" i="1056"/>
  <c r="V37" i="1056"/>
  <c r="U37" i="1056"/>
  <c r="T37" i="1056"/>
  <c r="S37" i="1056"/>
  <c r="R37" i="1056"/>
  <c r="Z36" i="1056"/>
  <c r="Y36" i="1056"/>
  <c r="X36" i="1056"/>
  <c r="W36" i="1056"/>
  <c r="V36" i="1056"/>
  <c r="U36" i="1056"/>
  <c r="T36" i="1056"/>
  <c r="S36" i="1056"/>
  <c r="R36" i="1056"/>
  <c r="M36" i="1056"/>
  <c r="Z35" i="1056"/>
  <c r="Y35" i="1056"/>
  <c r="X35" i="1056"/>
  <c r="W35" i="1056"/>
  <c r="V35" i="1056"/>
  <c r="U35" i="1056"/>
  <c r="T35" i="1056"/>
  <c r="S35" i="1056"/>
  <c r="R35" i="1056"/>
  <c r="M35" i="1056"/>
  <c r="L35" i="1056"/>
  <c r="K35" i="1056"/>
  <c r="Z34" i="1056"/>
  <c r="Y34" i="1056"/>
  <c r="X34" i="1056"/>
  <c r="W34" i="1056"/>
  <c r="V34" i="1056"/>
  <c r="U34" i="1056"/>
  <c r="T34" i="1056"/>
  <c r="S34" i="1056"/>
  <c r="R34" i="1056"/>
  <c r="M34" i="1056"/>
  <c r="L34" i="1056"/>
  <c r="K34" i="1056"/>
  <c r="M33" i="1056"/>
  <c r="L33" i="1056"/>
  <c r="K33" i="1056"/>
  <c r="W33" i="1056"/>
  <c r="Z32" i="1056"/>
  <c r="Y32" i="1056"/>
  <c r="X32" i="1056"/>
  <c r="W32" i="1056"/>
  <c r="V32" i="1056"/>
  <c r="U32" i="1056"/>
  <c r="T32" i="1056"/>
  <c r="S32" i="1056"/>
  <c r="R32" i="1056"/>
  <c r="Z31" i="1056"/>
  <c r="Y31" i="1056"/>
  <c r="X31" i="1056"/>
  <c r="W31" i="1056"/>
  <c r="V31" i="1056"/>
  <c r="U31" i="1056"/>
  <c r="T31" i="1056"/>
  <c r="S31" i="1056"/>
  <c r="R31" i="1056"/>
  <c r="Z30" i="1056"/>
  <c r="Y30" i="1056"/>
  <c r="X30" i="1056"/>
  <c r="W30" i="1056"/>
  <c r="V30" i="1056"/>
  <c r="U30" i="1056"/>
  <c r="T30" i="1056"/>
  <c r="S30" i="1056"/>
  <c r="R30" i="1056"/>
  <c r="Z29" i="1056"/>
  <c r="Y29" i="1056"/>
  <c r="X29" i="1056"/>
  <c r="W29" i="1056"/>
  <c r="V29" i="1056"/>
  <c r="U29" i="1056"/>
  <c r="T29" i="1056"/>
  <c r="S29" i="1056"/>
  <c r="R29" i="1056"/>
  <c r="Z28" i="1056"/>
  <c r="Y28" i="1056"/>
  <c r="X28" i="1056"/>
  <c r="W28" i="1056"/>
  <c r="V28" i="1056"/>
  <c r="U28" i="1056"/>
  <c r="T28" i="1056"/>
  <c r="S28" i="1056"/>
  <c r="R28" i="1056"/>
  <c r="Z27" i="1056"/>
  <c r="Y27" i="1056"/>
  <c r="X27" i="1056"/>
  <c r="W27" i="1056"/>
  <c r="V27" i="1056"/>
  <c r="U27" i="1056"/>
  <c r="T27" i="1056"/>
  <c r="S27" i="1056"/>
  <c r="R27" i="1056"/>
  <c r="Z26" i="1056"/>
  <c r="Y26" i="1056"/>
  <c r="X26" i="1056"/>
  <c r="W26" i="1056"/>
  <c r="V26" i="1056"/>
  <c r="U26" i="1056"/>
  <c r="T26" i="1056"/>
  <c r="S26" i="1056"/>
  <c r="R26" i="1056"/>
  <c r="Z25" i="1056"/>
  <c r="Y25" i="1056"/>
  <c r="X25" i="1056"/>
  <c r="W25" i="1056"/>
  <c r="V25" i="1056"/>
  <c r="U25" i="1056"/>
  <c r="T25" i="1056"/>
  <c r="S25" i="1056"/>
  <c r="R25" i="1056"/>
  <c r="Z24" i="1056"/>
  <c r="Y24" i="1056"/>
  <c r="X24" i="1056"/>
  <c r="W24" i="1056"/>
  <c r="V24" i="1056"/>
  <c r="U24" i="1056"/>
  <c r="T24" i="1056"/>
  <c r="S24" i="1056"/>
  <c r="R24" i="1056"/>
  <c r="Z23" i="1056"/>
  <c r="Y23" i="1056"/>
  <c r="X23" i="1056"/>
  <c r="W23" i="1056"/>
  <c r="V23" i="1056"/>
  <c r="U23" i="1056"/>
  <c r="T23" i="1056"/>
  <c r="S23" i="1056"/>
  <c r="R23" i="1056"/>
  <c r="Z22" i="1056"/>
  <c r="Y22" i="1056"/>
  <c r="X22" i="1056"/>
  <c r="W22" i="1056"/>
  <c r="V22" i="1056"/>
  <c r="U22" i="1056"/>
  <c r="T22" i="1056"/>
  <c r="S22" i="1056"/>
  <c r="R22" i="1056"/>
  <c r="Z21" i="1056"/>
  <c r="Y21" i="1056"/>
  <c r="X21" i="1056"/>
  <c r="W21" i="1056"/>
  <c r="V21" i="1056"/>
  <c r="U21" i="1056"/>
  <c r="T21" i="1056"/>
  <c r="S21" i="1056"/>
  <c r="R21" i="1056"/>
  <c r="Z20" i="1056"/>
  <c r="Y20" i="1056"/>
  <c r="X20" i="1056"/>
  <c r="W20" i="1056"/>
  <c r="V20" i="1056"/>
  <c r="U20" i="1056"/>
  <c r="T20" i="1056"/>
  <c r="S20" i="1056"/>
  <c r="R20" i="1056"/>
  <c r="Z19" i="1056"/>
  <c r="Y19" i="1056"/>
  <c r="X19" i="1056"/>
  <c r="W19" i="1056"/>
  <c r="V19" i="1056"/>
  <c r="U19" i="1056"/>
  <c r="T19" i="1056"/>
  <c r="S19" i="1056"/>
  <c r="R19" i="1056"/>
  <c r="Z18" i="1056"/>
  <c r="Y18" i="1056"/>
  <c r="X18" i="1056"/>
  <c r="W18" i="1056"/>
  <c r="V18" i="1056"/>
  <c r="U18" i="1056"/>
  <c r="T18" i="1056"/>
  <c r="S18" i="1056"/>
  <c r="R18" i="1056"/>
  <c r="Z17" i="1056"/>
  <c r="Y17" i="1056"/>
  <c r="X17" i="1056"/>
  <c r="W17" i="1056"/>
  <c r="V17" i="1056"/>
  <c r="U17" i="1056"/>
  <c r="T17" i="1056"/>
  <c r="S17" i="1056"/>
  <c r="R17" i="1056"/>
  <c r="Z16" i="1056"/>
  <c r="Y16" i="1056"/>
  <c r="X16" i="1056"/>
  <c r="W16" i="1056"/>
  <c r="V16" i="1056"/>
  <c r="U16" i="1056"/>
  <c r="T16" i="1056"/>
  <c r="S16" i="1056"/>
  <c r="R16" i="1056"/>
  <c r="Z15" i="1056"/>
  <c r="Y15" i="1056"/>
  <c r="X15" i="1056"/>
  <c r="W15" i="1056"/>
  <c r="V15" i="1056"/>
  <c r="U15" i="1056"/>
  <c r="T15" i="1056"/>
  <c r="S15" i="1056"/>
  <c r="R15" i="1056"/>
  <c r="Z14" i="1056"/>
  <c r="Y14" i="1056"/>
  <c r="X14" i="1056"/>
  <c r="W14" i="1056"/>
  <c r="V14" i="1056"/>
  <c r="U14" i="1056"/>
  <c r="T14" i="1056"/>
  <c r="S14" i="1056"/>
  <c r="R14" i="1056"/>
  <c r="Z13" i="1056"/>
  <c r="Y13" i="1056"/>
  <c r="X13" i="1056"/>
  <c r="W13" i="1056"/>
  <c r="V13" i="1056"/>
  <c r="U13" i="1056"/>
  <c r="T13" i="1056"/>
  <c r="S13" i="1056"/>
  <c r="R13" i="1056"/>
  <c r="Z12" i="1056"/>
  <c r="Y12" i="1056"/>
  <c r="X12" i="1056"/>
  <c r="W12" i="1056"/>
  <c r="V12" i="1056"/>
  <c r="U12" i="1056"/>
  <c r="T12" i="1056"/>
  <c r="S12" i="1056"/>
  <c r="R12" i="1056"/>
  <c r="Z11" i="1056"/>
  <c r="Y11" i="1056"/>
  <c r="X11" i="1056"/>
  <c r="W11" i="1056"/>
  <c r="V11" i="1056"/>
  <c r="U11" i="1056"/>
  <c r="T11" i="1056"/>
  <c r="S11" i="1056"/>
  <c r="R11" i="1056"/>
  <c r="Z10" i="1056"/>
  <c r="Y10" i="1056"/>
  <c r="X10" i="1056"/>
  <c r="W10" i="1056"/>
  <c r="V10" i="1056"/>
  <c r="U10" i="1056"/>
  <c r="T10" i="1056"/>
  <c r="S10" i="1056"/>
  <c r="R10" i="1056"/>
  <c r="L56" i="1055"/>
  <c r="B41" i="1055"/>
  <c r="Z41" i="1055" s="1"/>
  <c r="J65" i="1055"/>
  <c r="B70" i="1055"/>
  <c r="O26" i="1055"/>
  <c r="O27" i="1055"/>
  <c r="O28" i="1055"/>
  <c r="O29" i="1055"/>
  <c r="O20" i="1055"/>
  <c r="O21" i="1055"/>
  <c r="O22" i="1055"/>
  <c r="O23" i="1055"/>
  <c r="O24" i="1055"/>
  <c r="M26" i="1055"/>
  <c r="M27" i="1055"/>
  <c r="M28" i="1055"/>
  <c r="N28" i="1055"/>
  <c r="M29" i="1055"/>
  <c r="N29" i="1055"/>
  <c r="M20" i="1055"/>
  <c r="N20" i="1055"/>
  <c r="M21" i="1055"/>
  <c r="N21" i="1055"/>
  <c r="M22" i="1055"/>
  <c r="N22" i="1055"/>
  <c r="M23" i="1055"/>
  <c r="N23" i="1055"/>
  <c r="M24" i="1055"/>
  <c r="N24" i="1055"/>
  <c r="M47" i="1055"/>
  <c r="L47" i="1055"/>
  <c r="K47" i="1055"/>
  <c r="R16" i="1055"/>
  <c r="S16" i="1055"/>
  <c r="T16" i="1055"/>
  <c r="U16" i="1055"/>
  <c r="V16" i="1055"/>
  <c r="W16" i="1055"/>
  <c r="X16" i="1055"/>
  <c r="Y16" i="1055"/>
  <c r="Z16" i="1055"/>
  <c r="R17" i="1055"/>
  <c r="S17" i="1055"/>
  <c r="T17" i="1055"/>
  <c r="U17" i="1055"/>
  <c r="V17" i="1055"/>
  <c r="W17" i="1055"/>
  <c r="X17" i="1055"/>
  <c r="Y17" i="1055"/>
  <c r="Z17" i="1055"/>
  <c r="R18" i="1055"/>
  <c r="S18" i="1055"/>
  <c r="T18" i="1055"/>
  <c r="U18" i="1055"/>
  <c r="V18" i="1055"/>
  <c r="W18" i="1055"/>
  <c r="X18" i="1055"/>
  <c r="Y18" i="1055"/>
  <c r="Z18" i="1055"/>
  <c r="R19" i="1055"/>
  <c r="S19" i="1055"/>
  <c r="T19" i="1055"/>
  <c r="U19" i="1055"/>
  <c r="V19" i="1055"/>
  <c r="W19" i="1055"/>
  <c r="X19" i="1055"/>
  <c r="Y19" i="1055"/>
  <c r="Z19" i="1055"/>
  <c r="R20" i="1055"/>
  <c r="S20" i="1055"/>
  <c r="T20" i="1055"/>
  <c r="U20" i="1055"/>
  <c r="V20" i="1055"/>
  <c r="W20" i="1055"/>
  <c r="X20" i="1055"/>
  <c r="Y20" i="1055"/>
  <c r="Z20" i="1055"/>
  <c r="R21" i="1055"/>
  <c r="S21" i="1055"/>
  <c r="T21" i="1055"/>
  <c r="U21" i="1055"/>
  <c r="V21" i="1055"/>
  <c r="W21" i="1055"/>
  <c r="X21" i="1055"/>
  <c r="Y21" i="1055"/>
  <c r="Z21" i="1055"/>
  <c r="R22" i="1055"/>
  <c r="S22" i="1055"/>
  <c r="T22" i="1055"/>
  <c r="U22" i="1055"/>
  <c r="V22" i="1055"/>
  <c r="W22" i="1055"/>
  <c r="X22" i="1055"/>
  <c r="Y22" i="1055"/>
  <c r="Z22" i="1055"/>
  <c r="R23" i="1055"/>
  <c r="S23" i="1055"/>
  <c r="T23" i="1055"/>
  <c r="U23" i="1055"/>
  <c r="V23" i="1055"/>
  <c r="W23" i="1055"/>
  <c r="X23" i="1055"/>
  <c r="Y23" i="1055"/>
  <c r="Z23" i="1055"/>
  <c r="R24" i="1055"/>
  <c r="S24" i="1055"/>
  <c r="T24" i="1055"/>
  <c r="U24" i="1055"/>
  <c r="V24" i="1055"/>
  <c r="W24" i="1055"/>
  <c r="X24" i="1055"/>
  <c r="Y24" i="1055"/>
  <c r="Z24" i="1055"/>
  <c r="R25" i="1055"/>
  <c r="S25" i="1055"/>
  <c r="T25" i="1055"/>
  <c r="U25" i="1055"/>
  <c r="V25" i="1055"/>
  <c r="W25" i="1055"/>
  <c r="X25" i="1055"/>
  <c r="Y25" i="1055"/>
  <c r="Z25" i="1055"/>
  <c r="R26" i="1055"/>
  <c r="S26" i="1055"/>
  <c r="T26" i="1055"/>
  <c r="U26" i="1055"/>
  <c r="V26" i="1055"/>
  <c r="W26" i="1055"/>
  <c r="X26" i="1055"/>
  <c r="Y26" i="1055"/>
  <c r="Z26" i="1055"/>
  <c r="R27" i="1055"/>
  <c r="S27" i="1055"/>
  <c r="T27" i="1055"/>
  <c r="U27" i="1055"/>
  <c r="V27" i="1055"/>
  <c r="W27" i="1055"/>
  <c r="X27" i="1055"/>
  <c r="Y27" i="1055"/>
  <c r="Z27" i="1055"/>
  <c r="R28" i="1055"/>
  <c r="S28" i="1055"/>
  <c r="T28" i="1055"/>
  <c r="U28" i="1055"/>
  <c r="V28" i="1055"/>
  <c r="W28" i="1055"/>
  <c r="X28" i="1055"/>
  <c r="Y28" i="1055"/>
  <c r="Z28" i="1055"/>
  <c r="R29" i="1055"/>
  <c r="S29" i="1055"/>
  <c r="T29" i="1055"/>
  <c r="U29" i="1055"/>
  <c r="V29" i="1055"/>
  <c r="W29" i="1055"/>
  <c r="X29" i="1055"/>
  <c r="Y29" i="1055"/>
  <c r="Z29" i="1055"/>
  <c r="R30" i="1055"/>
  <c r="S30" i="1055"/>
  <c r="T30" i="1055"/>
  <c r="U30" i="1055"/>
  <c r="V30" i="1055"/>
  <c r="W30" i="1055"/>
  <c r="X30" i="1055"/>
  <c r="Y30" i="1055"/>
  <c r="Z30" i="1055"/>
  <c r="R31" i="1055"/>
  <c r="S31" i="1055"/>
  <c r="T31" i="1055"/>
  <c r="U31" i="1055"/>
  <c r="V31" i="1055"/>
  <c r="W31" i="1055"/>
  <c r="X31" i="1055"/>
  <c r="Y31" i="1055"/>
  <c r="Z31" i="1055"/>
  <c r="R32" i="1055"/>
  <c r="S32" i="1055"/>
  <c r="T32" i="1055"/>
  <c r="U32" i="1055"/>
  <c r="V32" i="1055"/>
  <c r="W32" i="1055"/>
  <c r="X32" i="1055"/>
  <c r="Y32" i="1055"/>
  <c r="Z32" i="1055"/>
  <c r="C20" i="1055"/>
  <c r="D20" i="1055"/>
  <c r="E20" i="1055"/>
  <c r="F20" i="1055"/>
  <c r="G20" i="1055"/>
  <c r="I20" i="1055"/>
  <c r="J20" i="1055"/>
  <c r="K20" i="1055"/>
  <c r="L20" i="1055"/>
  <c r="C21" i="1055"/>
  <c r="D21" i="1055"/>
  <c r="E21" i="1055"/>
  <c r="F21" i="1055"/>
  <c r="G21" i="1055"/>
  <c r="I21" i="1055"/>
  <c r="J21" i="1055"/>
  <c r="K21" i="1055"/>
  <c r="L21" i="1055"/>
  <c r="C22" i="1055"/>
  <c r="D22" i="1055"/>
  <c r="E22" i="1055"/>
  <c r="F22" i="1055"/>
  <c r="G22" i="1055"/>
  <c r="I22" i="1055"/>
  <c r="J22" i="1055"/>
  <c r="K22" i="1055"/>
  <c r="L22" i="1055"/>
  <c r="C23" i="1055"/>
  <c r="D23" i="1055"/>
  <c r="E23" i="1055"/>
  <c r="F23" i="1055"/>
  <c r="G23" i="1055"/>
  <c r="I23" i="1055"/>
  <c r="J23" i="1055"/>
  <c r="K23" i="1055"/>
  <c r="L23" i="1055"/>
  <c r="C24" i="1055"/>
  <c r="D24" i="1055"/>
  <c r="E24" i="1055"/>
  <c r="F24" i="1055"/>
  <c r="G24" i="1055"/>
  <c r="I24" i="1055"/>
  <c r="J24" i="1055"/>
  <c r="K24" i="1055"/>
  <c r="L24" i="1055"/>
  <c r="I26" i="1055"/>
  <c r="J26" i="1055"/>
  <c r="K26" i="1055"/>
  <c r="L26" i="1055"/>
  <c r="I27" i="1055"/>
  <c r="J27" i="1055"/>
  <c r="K27" i="1055"/>
  <c r="L27" i="1055"/>
  <c r="I28" i="1055"/>
  <c r="J28" i="1055"/>
  <c r="K28" i="1055"/>
  <c r="L28" i="1055"/>
  <c r="I29" i="1055"/>
  <c r="J29" i="1055"/>
  <c r="K29" i="1055"/>
  <c r="L29" i="1055"/>
  <c r="C26" i="1055"/>
  <c r="D26" i="1055"/>
  <c r="E26" i="1055"/>
  <c r="F26" i="1055"/>
  <c r="G26" i="1055"/>
  <c r="C27" i="1055"/>
  <c r="D27" i="1055"/>
  <c r="E27" i="1055"/>
  <c r="F27" i="1055"/>
  <c r="G27" i="1055"/>
  <c r="C28" i="1055"/>
  <c r="D28" i="1055"/>
  <c r="E28" i="1055"/>
  <c r="F28" i="1055"/>
  <c r="G28" i="1055"/>
  <c r="C29" i="1055"/>
  <c r="D29" i="1055"/>
  <c r="E29" i="1055"/>
  <c r="F29" i="1055"/>
  <c r="G29" i="1055"/>
  <c r="O25" i="1055"/>
  <c r="N25" i="1055"/>
  <c r="M25" i="1055"/>
  <c r="L25" i="1055"/>
  <c r="K25" i="1055"/>
  <c r="J25" i="1055"/>
  <c r="I25" i="1055"/>
  <c r="G25" i="1055"/>
  <c r="F25" i="1055"/>
  <c r="E25" i="1055"/>
  <c r="D25" i="1055"/>
  <c r="C25" i="1055"/>
  <c r="M41" i="1055"/>
  <c r="L41" i="1055"/>
  <c r="K41" i="1055"/>
  <c r="R10" i="1055"/>
  <c r="S10" i="1055"/>
  <c r="T10" i="1055"/>
  <c r="U10" i="1055"/>
  <c r="V10" i="1055"/>
  <c r="W10" i="1055"/>
  <c r="X10" i="1055"/>
  <c r="Y10" i="1055"/>
  <c r="Z10" i="1055"/>
  <c r="R11" i="1055"/>
  <c r="S11" i="1055"/>
  <c r="T11" i="1055"/>
  <c r="U11" i="1055"/>
  <c r="V11" i="1055"/>
  <c r="W11" i="1055"/>
  <c r="X11" i="1055"/>
  <c r="Y11" i="1055"/>
  <c r="Z11" i="1055"/>
  <c r="R12" i="1055"/>
  <c r="S12" i="1055"/>
  <c r="T12" i="1055"/>
  <c r="U12" i="1055"/>
  <c r="V12" i="1055"/>
  <c r="W12" i="1055"/>
  <c r="X12" i="1055"/>
  <c r="Y12" i="1055"/>
  <c r="Z12" i="1055"/>
  <c r="R13" i="1055"/>
  <c r="S13" i="1055"/>
  <c r="T13" i="1055"/>
  <c r="U13" i="1055"/>
  <c r="V13" i="1055"/>
  <c r="W13" i="1055"/>
  <c r="X13" i="1055"/>
  <c r="Y13" i="1055"/>
  <c r="Z13" i="1055"/>
  <c r="R14" i="1055"/>
  <c r="S14" i="1055"/>
  <c r="T14" i="1055"/>
  <c r="U14" i="1055"/>
  <c r="V14" i="1055"/>
  <c r="W14" i="1055"/>
  <c r="X14" i="1055"/>
  <c r="Y14" i="1055"/>
  <c r="Z14" i="1055"/>
  <c r="R15" i="1055"/>
  <c r="S15" i="1055"/>
  <c r="T15" i="1055"/>
  <c r="U15" i="1055"/>
  <c r="V15" i="1055"/>
  <c r="W15" i="1055"/>
  <c r="X15" i="1055"/>
  <c r="Y15" i="1055"/>
  <c r="Z15" i="1055"/>
  <c r="R33" i="1055"/>
  <c r="S33" i="1055"/>
  <c r="T33" i="1055"/>
  <c r="U33" i="1055"/>
  <c r="V33" i="1055"/>
  <c r="W33" i="1055"/>
  <c r="X33" i="1055"/>
  <c r="Y33" i="1055"/>
  <c r="Z33" i="1055"/>
  <c r="R34" i="1055"/>
  <c r="S34" i="1055"/>
  <c r="T34" i="1055"/>
  <c r="U34" i="1055"/>
  <c r="V34" i="1055"/>
  <c r="W34" i="1055"/>
  <c r="X34" i="1055"/>
  <c r="Y34" i="1055"/>
  <c r="Z34" i="1055"/>
  <c r="R35" i="1055"/>
  <c r="S35" i="1055"/>
  <c r="T35" i="1055"/>
  <c r="U35" i="1055"/>
  <c r="V35" i="1055"/>
  <c r="W35" i="1055"/>
  <c r="X35" i="1055"/>
  <c r="Y35" i="1055"/>
  <c r="Z35" i="1055"/>
  <c r="R36" i="1055"/>
  <c r="S36" i="1055"/>
  <c r="T36" i="1055"/>
  <c r="U36" i="1055"/>
  <c r="V36" i="1055"/>
  <c r="W36" i="1055"/>
  <c r="X36" i="1055"/>
  <c r="Y36" i="1055"/>
  <c r="Z36" i="1055"/>
  <c r="R37" i="1055"/>
  <c r="S37" i="1055"/>
  <c r="T37" i="1055"/>
  <c r="U37" i="1055"/>
  <c r="V37" i="1055"/>
  <c r="W37" i="1055"/>
  <c r="X37" i="1055"/>
  <c r="Y37" i="1055"/>
  <c r="Z37" i="1055"/>
  <c r="R38" i="1055"/>
  <c r="S38" i="1055"/>
  <c r="T38" i="1055"/>
  <c r="U38" i="1055"/>
  <c r="V38" i="1055"/>
  <c r="W38" i="1055"/>
  <c r="X38" i="1055"/>
  <c r="Y38" i="1055"/>
  <c r="Z38" i="1055"/>
  <c r="R39" i="1055"/>
  <c r="S39" i="1055"/>
  <c r="T39" i="1055"/>
  <c r="U39" i="1055"/>
  <c r="V39" i="1055"/>
  <c r="W39" i="1055"/>
  <c r="X39" i="1055"/>
  <c r="Y39" i="1055"/>
  <c r="Z39" i="1055"/>
  <c r="R40" i="1055"/>
  <c r="S40" i="1055"/>
  <c r="T40" i="1055"/>
  <c r="U40" i="1055"/>
  <c r="V40" i="1055"/>
  <c r="W40" i="1055"/>
  <c r="X40" i="1055"/>
  <c r="Y40" i="1055"/>
  <c r="Z40" i="1055"/>
  <c r="I10" i="1055"/>
  <c r="J10" i="1055"/>
  <c r="L10" i="1055"/>
  <c r="M10" i="1055"/>
  <c r="N10" i="1055"/>
  <c r="O10" i="1055"/>
  <c r="I11" i="1055"/>
  <c r="J11" i="1055"/>
  <c r="L11" i="1055"/>
  <c r="M11" i="1055"/>
  <c r="N11" i="1055"/>
  <c r="O11" i="1055"/>
  <c r="I12" i="1055"/>
  <c r="J12" i="1055"/>
  <c r="L12" i="1055"/>
  <c r="M12" i="1055"/>
  <c r="N12" i="1055"/>
  <c r="O12" i="1055"/>
  <c r="I13" i="1055"/>
  <c r="J13" i="1055"/>
  <c r="L13" i="1055"/>
  <c r="M13" i="1055"/>
  <c r="N13" i="1055"/>
  <c r="O13" i="1055"/>
  <c r="I14" i="1055"/>
  <c r="J14" i="1055"/>
  <c r="L14" i="1055"/>
  <c r="M14" i="1055"/>
  <c r="N14" i="1055"/>
  <c r="O14" i="1055"/>
  <c r="I15" i="1055"/>
  <c r="J15" i="1055"/>
  <c r="L15" i="1055"/>
  <c r="M15" i="1055"/>
  <c r="N15" i="1055"/>
  <c r="O15" i="1055"/>
  <c r="I16" i="1055"/>
  <c r="J16" i="1055"/>
  <c r="L16" i="1055"/>
  <c r="M16" i="1055"/>
  <c r="N16" i="1055"/>
  <c r="O16" i="1055"/>
  <c r="I17" i="1055"/>
  <c r="J17" i="1055"/>
  <c r="L17" i="1055"/>
  <c r="M17" i="1055"/>
  <c r="N17" i="1055"/>
  <c r="O17" i="1055"/>
  <c r="C10" i="1055"/>
  <c r="D10" i="1055"/>
  <c r="E10" i="1055"/>
  <c r="F10" i="1055"/>
  <c r="G10" i="1055"/>
  <c r="C11" i="1055"/>
  <c r="D11" i="1055"/>
  <c r="E11" i="1055"/>
  <c r="F11" i="1055"/>
  <c r="G11" i="1055"/>
  <c r="C12" i="1055"/>
  <c r="D12" i="1055"/>
  <c r="E12" i="1055"/>
  <c r="F12" i="1055"/>
  <c r="G12" i="1055"/>
  <c r="C13" i="1055"/>
  <c r="D13" i="1055"/>
  <c r="E13" i="1055"/>
  <c r="F13" i="1055"/>
  <c r="G13" i="1055"/>
  <c r="C14" i="1055"/>
  <c r="D14" i="1055"/>
  <c r="E14" i="1055"/>
  <c r="F14" i="1055"/>
  <c r="G14" i="1055"/>
  <c r="C15" i="1055"/>
  <c r="D15" i="1055"/>
  <c r="E15" i="1055"/>
  <c r="F15" i="1055"/>
  <c r="G15" i="1055"/>
  <c r="C16" i="1055"/>
  <c r="D16" i="1055"/>
  <c r="E16" i="1055"/>
  <c r="F16" i="1055"/>
  <c r="G16" i="1055"/>
  <c r="C17" i="1055"/>
  <c r="D17" i="1055"/>
  <c r="E17" i="1055"/>
  <c r="F17" i="1055"/>
  <c r="G17" i="1055"/>
  <c r="C43" i="1055" a="1"/>
  <c r="C41" i="1055" a="1"/>
  <c r="AX72" i="1055"/>
  <c r="AW72" i="1055"/>
  <c r="AV72" i="1055"/>
  <c r="AU72" i="1055"/>
  <c r="AT72" i="1055"/>
  <c r="AS72" i="1055"/>
  <c r="AR72" i="1055"/>
  <c r="AQ72" i="1055"/>
  <c r="AP72" i="1055"/>
  <c r="AO72" i="1055"/>
  <c r="AN72" i="1055"/>
  <c r="AM72" i="1055"/>
  <c r="AL72" i="1055"/>
  <c r="AK72" i="1055"/>
  <c r="AJ72" i="1055"/>
  <c r="AI72" i="1055"/>
  <c r="AH72" i="1055"/>
  <c r="AG72" i="1055"/>
  <c r="AF72" i="1055"/>
  <c r="AE72" i="1055"/>
  <c r="AD72" i="1055"/>
  <c r="AC72" i="1055"/>
  <c r="AB72" i="1055"/>
  <c r="AX71" i="1055"/>
  <c r="AW71" i="1055"/>
  <c r="AV71" i="1055"/>
  <c r="AU71" i="1055"/>
  <c r="AT71" i="1055"/>
  <c r="AS71" i="1055"/>
  <c r="AR71" i="1055"/>
  <c r="AQ71" i="1055"/>
  <c r="AP71" i="1055"/>
  <c r="AO71" i="1055"/>
  <c r="AN71" i="1055"/>
  <c r="AM71" i="1055"/>
  <c r="AL71" i="1055"/>
  <c r="AK71" i="1055"/>
  <c r="AJ71" i="1055"/>
  <c r="AI71" i="1055"/>
  <c r="AH71" i="1055"/>
  <c r="AG71" i="1055"/>
  <c r="AF71" i="1055"/>
  <c r="AE71" i="1055"/>
  <c r="AD71" i="1055"/>
  <c r="AC71" i="1055"/>
  <c r="AB71" i="1055"/>
  <c r="AX70" i="1055"/>
  <c r="AW70" i="1055"/>
  <c r="AV70" i="1055"/>
  <c r="AU70" i="1055"/>
  <c r="AT70" i="1055"/>
  <c r="AS70" i="1055"/>
  <c r="AR70" i="1055"/>
  <c r="AQ70" i="1055"/>
  <c r="AP70" i="1055"/>
  <c r="AO70" i="1055"/>
  <c r="AN70" i="1055"/>
  <c r="AM70" i="1055"/>
  <c r="AL70" i="1055"/>
  <c r="AK70" i="1055"/>
  <c r="AJ70" i="1055"/>
  <c r="AI70" i="1055"/>
  <c r="AH70" i="1055"/>
  <c r="AG70" i="1055"/>
  <c r="AF70" i="1055"/>
  <c r="AE70" i="1055"/>
  <c r="AD70" i="1055"/>
  <c r="AC70" i="1055"/>
  <c r="AB70" i="1055"/>
  <c r="K65" i="1055"/>
  <c r="M56" i="1055"/>
  <c r="Z52" i="1055"/>
  <c r="Y52" i="1055"/>
  <c r="X52" i="1055"/>
  <c r="W52" i="1055"/>
  <c r="V52" i="1055"/>
  <c r="U52" i="1055"/>
  <c r="T52" i="1055"/>
  <c r="S52" i="1055"/>
  <c r="R52" i="1055"/>
  <c r="Z51" i="1055"/>
  <c r="Y51" i="1055"/>
  <c r="X51" i="1055"/>
  <c r="W51" i="1055"/>
  <c r="V51" i="1055"/>
  <c r="U51" i="1055"/>
  <c r="T51" i="1055"/>
  <c r="S51" i="1055"/>
  <c r="R51" i="1055"/>
  <c r="Z50" i="1055"/>
  <c r="Y50" i="1055"/>
  <c r="X50" i="1055"/>
  <c r="W50" i="1055"/>
  <c r="V50" i="1055"/>
  <c r="U50" i="1055"/>
  <c r="T50" i="1055"/>
  <c r="S50" i="1055"/>
  <c r="R50" i="1055"/>
  <c r="Z49" i="1055"/>
  <c r="Y49" i="1055"/>
  <c r="X49" i="1055"/>
  <c r="W49" i="1055"/>
  <c r="V49" i="1055"/>
  <c r="U49" i="1055"/>
  <c r="T49" i="1055"/>
  <c r="S49" i="1055"/>
  <c r="R49" i="1055"/>
  <c r="Z48" i="1055"/>
  <c r="Y48" i="1055"/>
  <c r="X48" i="1055"/>
  <c r="W48" i="1055"/>
  <c r="V48" i="1055"/>
  <c r="U48" i="1055"/>
  <c r="T48" i="1055"/>
  <c r="S48" i="1055"/>
  <c r="R48" i="1055"/>
  <c r="Z47" i="1055"/>
  <c r="Y47" i="1055"/>
  <c r="X47" i="1055"/>
  <c r="W47" i="1055"/>
  <c r="V47" i="1055"/>
  <c r="U47" i="1055"/>
  <c r="T47" i="1055"/>
  <c r="S47" i="1055"/>
  <c r="R47" i="1055"/>
  <c r="Z46" i="1055"/>
  <c r="Y46" i="1055"/>
  <c r="X46" i="1055"/>
  <c r="W46" i="1055"/>
  <c r="V46" i="1055"/>
  <c r="U46" i="1055"/>
  <c r="T46" i="1055"/>
  <c r="S46" i="1055"/>
  <c r="R46" i="1055"/>
  <c r="M46" i="1055"/>
  <c r="Z45" i="1055"/>
  <c r="Y45" i="1055"/>
  <c r="X45" i="1055"/>
  <c r="W45" i="1055"/>
  <c r="V45" i="1055"/>
  <c r="U45" i="1055"/>
  <c r="T45" i="1055"/>
  <c r="S45" i="1055"/>
  <c r="R45" i="1055"/>
  <c r="Z44" i="1055"/>
  <c r="Y44" i="1055"/>
  <c r="X44" i="1055"/>
  <c r="W44" i="1055"/>
  <c r="V44" i="1055"/>
  <c r="U44" i="1055"/>
  <c r="T44" i="1055"/>
  <c r="S44" i="1055"/>
  <c r="R44" i="1055"/>
  <c r="M44" i="1055"/>
  <c r="Z43" i="1055"/>
  <c r="Y43" i="1055"/>
  <c r="X43" i="1055"/>
  <c r="W43" i="1055"/>
  <c r="V43" i="1055"/>
  <c r="U43" i="1055"/>
  <c r="T43" i="1055"/>
  <c r="S43" i="1055"/>
  <c r="R43" i="1055"/>
  <c r="M43" i="1055"/>
  <c r="L43" i="1055"/>
  <c r="K43" i="1055"/>
  <c r="Z42" i="1055"/>
  <c r="Y42" i="1055"/>
  <c r="X42" i="1055"/>
  <c r="W42" i="1055"/>
  <c r="V42" i="1055"/>
  <c r="U42" i="1055"/>
  <c r="T42" i="1055"/>
  <c r="S42" i="1055"/>
  <c r="R42" i="1055"/>
  <c r="M42" i="1055"/>
  <c r="L42" i="1055"/>
  <c r="K42" i="1055"/>
  <c r="J47" i="1055" l="1"/>
  <c r="K44" i="1057"/>
  <c r="J34" i="1057"/>
  <c r="T34" i="1057"/>
  <c r="L44" i="1057"/>
  <c r="M44" i="1057" s="1"/>
  <c r="U34" i="1057"/>
  <c r="V34" i="1057"/>
  <c r="W34" i="1057"/>
  <c r="X34" i="1057"/>
  <c r="Y34" i="1057"/>
  <c r="Z34" i="1057"/>
  <c r="R34" i="1057"/>
  <c r="K43" i="1056"/>
  <c r="L43" i="1056" s="1"/>
  <c r="M43" i="1056" s="1"/>
  <c r="M48" i="1056"/>
  <c r="X33" i="1056"/>
  <c r="Y33" i="1056"/>
  <c r="Z33" i="1056"/>
  <c r="T33" i="1056"/>
  <c r="U33" i="1056"/>
  <c r="V33" i="1056"/>
  <c r="R33" i="1056"/>
  <c r="S33" i="1056"/>
  <c r="J41" i="1055"/>
  <c r="K51" i="1055"/>
  <c r="L51" i="1055" s="1"/>
  <c r="M51" i="1055" s="1"/>
  <c r="R41" i="1055"/>
  <c r="S41" i="1055"/>
  <c r="T41" i="1055"/>
  <c r="U41" i="1055"/>
  <c r="V41" i="1055"/>
  <c r="W41" i="1055"/>
  <c r="X41" i="1055"/>
  <c r="Y41" i="1055"/>
  <c r="M31" i="1054" l="1"/>
  <c r="L31" i="1054"/>
  <c r="K31" i="1054"/>
  <c r="C11" i="1054" l="1"/>
  <c r="D11" i="1054"/>
  <c r="E11" i="1054"/>
  <c r="F11" i="1054"/>
  <c r="G11" i="1054"/>
  <c r="I11" i="1054"/>
  <c r="J11" i="1054"/>
  <c r="L11" i="1054"/>
  <c r="M11" i="1054"/>
  <c r="N11" i="1054"/>
  <c r="O11" i="1054"/>
  <c r="C12" i="1054"/>
  <c r="D12" i="1054"/>
  <c r="E12" i="1054"/>
  <c r="F12" i="1054"/>
  <c r="G12" i="1054"/>
  <c r="I12" i="1054"/>
  <c r="J12" i="1054"/>
  <c r="L12" i="1054"/>
  <c r="M12" i="1054"/>
  <c r="N12" i="1054"/>
  <c r="O12" i="1054"/>
  <c r="C13" i="1054"/>
  <c r="D13" i="1054"/>
  <c r="E13" i="1054"/>
  <c r="F13" i="1054"/>
  <c r="G13" i="1054"/>
  <c r="I13" i="1054"/>
  <c r="J13" i="1054"/>
  <c r="L13" i="1054"/>
  <c r="M13" i="1054"/>
  <c r="N13" i="1054"/>
  <c r="O13" i="1054"/>
  <c r="C14" i="1054"/>
  <c r="D14" i="1054"/>
  <c r="E14" i="1054"/>
  <c r="F14" i="1054"/>
  <c r="G14" i="1054"/>
  <c r="I14" i="1054"/>
  <c r="J14" i="1054"/>
  <c r="L14" i="1054"/>
  <c r="M14" i="1054"/>
  <c r="N14" i="1054"/>
  <c r="O14" i="1054"/>
  <c r="C15" i="1054"/>
  <c r="D15" i="1054"/>
  <c r="E15" i="1054"/>
  <c r="F15" i="1054"/>
  <c r="G15" i="1054"/>
  <c r="I15" i="1054"/>
  <c r="J15" i="1054"/>
  <c r="L15" i="1054"/>
  <c r="M15" i="1054"/>
  <c r="N15" i="1054"/>
  <c r="O15" i="1054"/>
  <c r="C16" i="1054"/>
  <c r="D16" i="1054"/>
  <c r="E16" i="1054"/>
  <c r="F16" i="1054"/>
  <c r="G16" i="1054"/>
  <c r="I16" i="1054"/>
  <c r="J16" i="1054"/>
  <c r="L16" i="1054"/>
  <c r="M16" i="1054"/>
  <c r="N16" i="1054"/>
  <c r="O16" i="1054"/>
  <c r="C17" i="1054"/>
  <c r="D17" i="1054"/>
  <c r="E17" i="1054"/>
  <c r="F17" i="1054"/>
  <c r="G17" i="1054"/>
  <c r="I17" i="1054"/>
  <c r="J17" i="1054"/>
  <c r="L17" i="1054"/>
  <c r="M17" i="1054"/>
  <c r="N17" i="1054"/>
  <c r="O17" i="1054"/>
  <c r="C18" i="1054"/>
  <c r="D18" i="1054"/>
  <c r="E18" i="1054"/>
  <c r="F18" i="1054"/>
  <c r="G18" i="1054"/>
  <c r="I18" i="1054"/>
  <c r="J18" i="1054"/>
  <c r="L18" i="1054"/>
  <c r="M18" i="1054"/>
  <c r="N18" i="1054"/>
  <c r="O18" i="1054"/>
  <c r="C19" i="1054"/>
  <c r="D19" i="1054"/>
  <c r="E19" i="1054"/>
  <c r="F19" i="1054"/>
  <c r="G19" i="1054"/>
  <c r="I19" i="1054"/>
  <c r="J19" i="1054"/>
  <c r="L19" i="1054"/>
  <c r="M19" i="1054"/>
  <c r="N19" i="1054"/>
  <c r="O19" i="1054"/>
  <c r="O10" i="1054"/>
  <c r="N10" i="1054"/>
  <c r="M10" i="1054"/>
  <c r="L10" i="1054"/>
  <c r="J10" i="1054"/>
  <c r="I10" i="1054"/>
  <c r="G10" i="1054"/>
  <c r="F10" i="1054"/>
  <c r="E10" i="1054"/>
  <c r="D10" i="1054"/>
  <c r="C10" i="1054"/>
  <c r="C32" i="1054"/>
  <c r="C33" i="1054"/>
  <c r="C34" i="1054"/>
  <c r="C35" i="1054"/>
  <c r="C36" i="1054"/>
  <c r="C37" i="1054"/>
  <c r="C38" i="1054"/>
  <c r="C39" i="1054"/>
  <c r="C40" i="1054"/>
  <c r="C31" i="1054"/>
  <c r="B31" i="1054"/>
  <c r="B60" i="1054"/>
  <c r="J31" i="1054" l="1"/>
  <c r="AX62" i="1054"/>
  <c r="AW62" i="1054"/>
  <c r="AV62" i="1054"/>
  <c r="AU62" i="1054"/>
  <c r="AT62" i="1054"/>
  <c r="AS62" i="1054"/>
  <c r="AR62" i="1054"/>
  <c r="AQ62" i="1054"/>
  <c r="AP62" i="1054"/>
  <c r="AO62" i="1054"/>
  <c r="AN62" i="1054"/>
  <c r="AM62" i="1054"/>
  <c r="AL62" i="1054"/>
  <c r="AK62" i="1054"/>
  <c r="AJ62" i="1054"/>
  <c r="AI62" i="1054"/>
  <c r="AH62" i="1054"/>
  <c r="AG62" i="1054"/>
  <c r="AF62" i="1054"/>
  <c r="AE62" i="1054"/>
  <c r="AD62" i="1054"/>
  <c r="AC62" i="1054"/>
  <c r="AB62" i="1054"/>
  <c r="AX61" i="1054"/>
  <c r="AW61" i="1054"/>
  <c r="AV61" i="1054"/>
  <c r="AU61" i="1054"/>
  <c r="AT61" i="1054"/>
  <c r="AS61" i="1054"/>
  <c r="AR61" i="1054"/>
  <c r="AQ61" i="1054"/>
  <c r="AP61" i="1054"/>
  <c r="AO61" i="1054"/>
  <c r="AN61" i="1054"/>
  <c r="AM61" i="1054"/>
  <c r="AL61" i="1054"/>
  <c r="AK61" i="1054"/>
  <c r="AJ61" i="1054"/>
  <c r="AI61" i="1054"/>
  <c r="AH61" i="1054"/>
  <c r="AG61" i="1054"/>
  <c r="AF61" i="1054"/>
  <c r="AE61" i="1054"/>
  <c r="AD61" i="1054"/>
  <c r="AC61" i="1054"/>
  <c r="AB61" i="1054"/>
  <c r="AX60" i="1054"/>
  <c r="AW60" i="1054"/>
  <c r="AV60" i="1054"/>
  <c r="AU60" i="1054"/>
  <c r="AT60" i="1054"/>
  <c r="AS60" i="1054"/>
  <c r="AR60" i="1054"/>
  <c r="AQ60" i="1054"/>
  <c r="AP60" i="1054"/>
  <c r="AO60" i="1054"/>
  <c r="AN60" i="1054"/>
  <c r="AM60" i="1054"/>
  <c r="AL60" i="1054"/>
  <c r="AK60" i="1054"/>
  <c r="AJ60" i="1054"/>
  <c r="AI60" i="1054"/>
  <c r="AH60" i="1054"/>
  <c r="AG60" i="1054"/>
  <c r="AF60" i="1054"/>
  <c r="AE60" i="1054"/>
  <c r="AD60" i="1054"/>
  <c r="AC60" i="1054"/>
  <c r="AB60" i="1054"/>
  <c r="K55" i="1054"/>
  <c r="L46" i="1054" s="1"/>
  <c r="M46" i="1054"/>
  <c r="Z42" i="1054"/>
  <c r="Y42" i="1054"/>
  <c r="X42" i="1054"/>
  <c r="W42" i="1054"/>
  <c r="V42" i="1054"/>
  <c r="U42" i="1054"/>
  <c r="T42" i="1054"/>
  <c r="S42" i="1054"/>
  <c r="R42" i="1054"/>
  <c r="Z41" i="1054"/>
  <c r="Y41" i="1054"/>
  <c r="X41" i="1054"/>
  <c r="W41" i="1054"/>
  <c r="V41" i="1054"/>
  <c r="U41" i="1054"/>
  <c r="T41" i="1054"/>
  <c r="S41" i="1054"/>
  <c r="R41" i="1054"/>
  <c r="Z40" i="1054"/>
  <c r="Y40" i="1054"/>
  <c r="X40" i="1054"/>
  <c r="W40" i="1054"/>
  <c r="V40" i="1054"/>
  <c r="U40" i="1054"/>
  <c r="T40" i="1054"/>
  <c r="S40" i="1054"/>
  <c r="R40" i="1054"/>
  <c r="Z39" i="1054"/>
  <c r="Y39" i="1054"/>
  <c r="X39" i="1054"/>
  <c r="W39" i="1054"/>
  <c r="V39" i="1054"/>
  <c r="U39" i="1054"/>
  <c r="T39" i="1054"/>
  <c r="S39" i="1054"/>
  <c r="R39" i="1054"/>
  <c r="Z38" i="1054"/>
  <c r="Y38" i="1054"/>
  <c r="X38" i="1054"/>
  <c r="W38" i="1054"/>
  <c r="V38" i="1054"/>
  <c r="U38" i="1054"/>
  <c r="T38" i="1054"/>
  <c r="S38" i="1054"/>
  <c r="R38" i="1054"/>
  <c r="Z37" i="1054"/>
  <c r="Y37" i="1054"/>
  <c r="X37" i="1054"/>
  <c r="W37" i="1054"/>
  <c r="V37" i="1054"/>
  <c r="U37" i="1054"/>
  <c r="T37" i="1054"/>
  <c r="S37" i="1054"/>
  <c r="R37" i="1054"/>
  <c r="M37" i="1054"/>
  <c r="L37" i="1054"/>
  <c r="K37" i="1054"/>
  <c r="Z36" i="1054"/>
  <c r="Y36" i="1054"/>
  <c r="X36" i="1054"/>
  <c r="W36" i="1054"/>
  <c r="V36" i="1054"/>
  <c r="U36" i="1054"/>
  <c r="T36" i="1054"/>
  <c r="S36" i="1054"/>
  <c r="R36" i="1054"/>
  <c r="M36" i="1054"/>
  <c r="Z35" i="1054"/>
  <c r="Y35" i="1054"/>
  <c r="X35" i="1054"/>
  <c r="W35" i="1054"/>
  <c r="V35" i="1054"/>
  <c r="U35" i="1054"/>
  <c r="T35" i="1054"/>
  <c r="S35" i="1054"/>
  <c r="R35" i="1054"/>
  <c r="Z34" i="1054"/>
  <c r="Y34" i="1054"/>
  <c r="X34" i="1054"/>
  <c r="W34" i="1054"/>
  <c r="V34" i="1054"/>
  <c r="U34" i="1054"/>
  <c r="T34" i="1054"/>
  <c r="S34" i="1054"/>
  <c r="R34" i="1054"/>
  <c r="M34" i="1054"/>
  <c r="Z33" i="1054"/>
  <c r="Y33" i="1054"/>
  <c r="X33" i="1054"/>
  <c r="W33" i="1054"/>
  <c r="V33" i="1054"/>
  <c r="U33" i="1054"/>
  <c r="T33" i="1054"/>
  <c r="S33" i="1054"/>
  <c r="R33" i="1054"/>
  <c r="M33" i="1054"/>
  <c r="L33" i="1054"/>
  <c r="K33" i="1054"/>
  <c r="Z32" i="1054"/>
  <c r="Y32" i="1054"/>
  <c r="X32" i="1054"/>
  <c r="W32" i="1054"/>
  <c r="V32" i="1054"/>
  <c r="U32" i="1054"/>
  <c r="T32" i="1054"/>
  <c r="S32" i="1054"/>
  <c r="R32" i="1054"/>
  <c r="M32" i="1054"/>
  <c r="L32" i="1054"/>
  <c r="K32" i="1054"/>
  <c r="Z31" i="1054"/>
  <c r="Y31" i="1054"/>
  <c r="X31" i="1054"/>
  <c r="W31" i="1054"/>
  <c r="V31" i="1054"/>
  <c r="U31" i="1054"/>
  <c r="T31" i="1054"/>
  <c r="S31" i="1054"/>
  <c r="R31" i="1054"/>
  <c r="Z30" i="1054"/>
  <c r="Y30" i="1054"/>
  <c r="X30" i="1054"/>
  <c r="W30" i="1054"/>
  <c r="V30" i="1054"/>
  <c r="U30" i="1054"/>
  <c r="T30" i="1054"/>
  <c r="S30" i="1054"/>
  <c r="R30" i="1054"/>
  <c r="Z29" i="1054"/>
  <c r="Y29" i="1054"/>
  <c r="X29" i="1054"/>
  <c r="W29" i="1054"/>
  <c r="V29" i="1054"/>
  <c r="U29" i="1054"/>
  <c r="T29" i="1054"/>
  <c r="S29" i="1054"/>
  <c r="R29" i="1054"/>
  <c r="Z28" i="1054"/>
  <c r="Y28" i="1054"/>
  <c r="X28" i="1054"/>
  <c r="W28" i="1054"/>
  <c r="V28" i="1054"/>
  <c r="U28" i="1054"/>
  <c r="T28" i="1054"/>
  <c r="S28" i="1054"/>
  <c r="R28" i="1054"/>
  <c r="Z25" i="1054"/>
  <c r="Y25" i="1054"/>
  <c r="X25" i="1054"/>
  <c r="W25" i="1054"/>
  <c r="V25" i="1054"/>
  <c r="U25" i="1054"/>
  <c r="T25" i="1054"/>
  <c r="S25" i="1054"/>
  <c r="R25" i="1054"/>
  <c r="Z24" i="1054"/>
  <c r="Y24" i="1054"/>
  <c r="X24" i="1054"/>
  <c r="W24" i="1054"/>
  <c r="V24" i="1054"/>
  <c r="U24" i="1054"/>
  <c r="T24" i="1054"/>
  <c r="S24" i="1054"/>
  <c r="R24" i="1054"/>
  <c r="Z23" i="1054"/>
  <c r="Y23" i="1054"/>
  <c r="X23" i="1054"/>
  <c r="W23" i="1054"/>
  <c r="V23" i="1054"/>
  <c r="U23" i="1054"/>
  <c r="T23" i="1054"/>
  <c r="S23" i="1054"/>
  <c r="R23" i="1054"/>
  <c r="Z22" i="1054"/>
  <c r="Y22" i="1054"/>
  <c r="X22" i="1054"/>
  <c r="W22" i="1054"/>
  <c r="V22" i="1054"/>
  <c r="U22" i="1054"/>
  <c r="T22" i="1054"/>
  <c r="S22" i="1054"/>
  <c r="R22" i="1054"/>
  <c r="Z19" i="1054"/>
  <c r="Y19" i="1054"/>
  <c r="X19" i="1054"/>
  <c r="W19" i="1054"/>
  <c r="V19" i="1054"/>
  <c r="U19" i="1054"/>
  <c r="T19" i="1054"/>
  <c r="S19" i="1054"/>
  <c r="R19" i="1054"/>
  <c r="Z18" i="1054"/>
  <c r="Y18" i="1054"/>
  <c r="X18" i="1054"/>
  <c r="W18" i="1054"/>
  <c r="V18" i="1054"/>
  <c r="U18" i="1054"/>
  <c r="T18" i="1054"/>
  <c r="S18" i="1054"/>
  <c r="R18" i="1054"/>
  <c r="Z17" i="1054"/>
  <c r="Y17" i="1054"/>
  <c r="X17" i="1054"/>
  <c r="W17" i="1054"/>
  <c r="V17" i="1054"/>
  <c r="U17" i="1054"/>
  <c r="T17" i="1054"/>
  <c r="S17" i="1054"/>
  <c r="R17" i="1054"/>
  <c r="Z16" i="1054"/>
  <c r="Y16" i="1054"/>
  <c r="X16" i="1054"/>
  <c r="W16" i="1054"/>
  <c r="V16" i="1054"/>
  <c r="U16" i="1054"/>
  <c r="T16" i="1054"/>
  <c r="S16" i="1054"/>
  <c r="R16" i="1054"/>
  <c r="Z15" i="1054"/>
  <c r="Y15" i="1054"/>
  <c r="X15" i="1054"/>
  <c r="W15" i="1054"/>
  <c r="V15" i="1054"/>
  <c r="U15" i="1054"/>
  <c r="T15" i="1054"/>
  <c r="S15" i="1054"/>
  <c r="R15" i="1054"/>
  <c r="Z14" i="1054"/>
  <c r="Y14" i="1054"/>
  <c r="X14" i="1054"/>
  <c r="W14" i="1054"/>
  <c r="V14" i="1054"/>
  <c r="U14" i="1054"/>
  <c r="T14" i="1054"/>
  <c r="S14" i="1054"/>
  <c r="R14" i="1054"/>
  <c r="Z13" i="1054"/>
  <c r="Y13" i="1054"/>
  <c r="X13" i="1054"/>
  <c r="W13" i="1054"/>
  <c r="V13" i="1054"/>
  <c r="U13" i="1054"/>
  <c r="T13" i="1054"/>
  <c r="S13" i="1054"/>
  <c r="R13" i="1054"/>
  <c r="Z12" i="1054"/>
  <c r="Y12" i="1054"/>
  <c r="X12" i="1054"/>
  <c r="W12" i="1054"/>
  <c r="V12" i="1054"/>
  <c r="U12" i="1054"/>
  <c r="T12" i="1054"/>
  <c r="S12" i="1054"/>
  <c r="R12" i="1054"/>
  <c r="Z11" i="1054"/>
  <c r="Y11" i="1054"/>
  <c r="X11" i="1054"/>
  <c r="W11" i="1054"/>
  <c r="V11" i="1054"/>
  <c r="U11" i="1054"/>
  <c r="T11" i="1054"/>
  <c r="S11" i="1054"/>
  <c r="R11" i="1054"/>
  <c r="Z10" i="1054"/>
  <c r="Y10" i="1054"/>
  <c r="X10" i="1054"/>
  <c r="W10" i="1054"/>
  <c r="V10" i="1054"/>
  <c r="U10" i="1054"/>
  <c r="T10" i="1054"/>
  <c r="S10" i="1054"/>
  <c r="R10" i="1054"/>
  <c r="C16" i="1053"/>
  <c r="D16" i="1053"/>
  <c r="E16" i="1053"/>
  <c r="F16" i="1053"/>
  <c r="G16" i="1053"/>
  <c r="I16" i="1053"/>
  <c r="J16" i="1053"/>
  <c r="L16" i="1053"/>
  <c r="M16" i="1053"/>
  <c r="N16" i="1053"/>
  <c r="O16" i="1053"/>
  <c r="C17" i="1053"/>
  <c r="D17" i="1053"/>
  <c r="E17" i="1053"/>
  <c r="F17" i="1053"/>
  <c r="G17" i="1053"/>
  <c r="I17" i="1053"/>
  <c r="J17" i="1053"/>
  <c r="L17" i="1053"/>
  <c r="M17" i="1053"/>
  <c r="N17" i="1053"/>
  <c r="O17" i="1053"/>
  <c r="C18" i="1053"/>
  <c r="D18" i="1053"/>
  <c r="E18" i="1053"/>
  <c r="F18" i="1053"/>
  <c r="G18" i="1053"/>
  <c r="I18" i="1053"/>
  <c r="J18" i="1053"/>
  <c r="L18" i="1053"/>
  <c r="M18" i="1053"/>
  <c r="N18" i="1053"/>
  <c r="O18" i="1053"/>
  <c r="C19" i="1053"/>
  <c r="D19" i="1053"/>
  <c r="E19" i="1053"/>
  <c r="F19" i="1053"/>
  <c r="G19" i="1053"/>
  <c r="I19" i="1053"/>
  <c r="J19" i="1053"/>
  <c r="L19" i="1053"/>
  <c r="M19" i="1053"/>
  <c r="N19" i="1053"/>
  <c r="O19" i="1053"/>
  <c r="C20" i="1053"/>
  <c r="D20" i="1053"/>
  <c r="E20" i="1053"/>
  <c r="F20" i="1053"/>
  <c r="G20" i="1053"/>
  <c r="I20" i="1053"/>
  <c r="J20" i="1053"/>
  <c r="L20" i="1053"/>
  <c r="M20" i="1053"/>
  <c r="N20" i="1053"/>
  <c r="O20" i="1053"/>
  <c r="O15" i="1053"/>
  <c r="N15" i="1053"/>
  <c r="M15" i="1053"/>
  <c r="L15" i="1053"/>
  <c r="J15" i="1053"/>
  <c r="I15" i="1053"/>
  <c r="G15" i="1053"/>
  <c r="F15" i="1053"/>
  <c r="E15" i="1053"/>
  <c r="D15" i="1053"/>
  <c r="C15" i="1053"/>
  <c r="J31" i="1053" l="1"/>
  <c r="K41" i="1054"/>
  <c r="L41" i="1054" s="1"/>
  <c r="M41" i="1054" s="1"/>
  <c r="M32" i="1053"/>
  <c r="L32" i="1053"/>
  <c r="K32" i="1053"/>
  <c r="N12" i="1053" l="1"/>
  <c r="J10" i="1053"/>
  <c r="J12" i="1053"/>
  <c r="I12" i="1053"/>
  <c r="I11" i="1053"/>
  <c r="C13" i="1053"/>
  <c r="D13" i="1053"/>
  <c r="E13" i="1053"/>
  <c r="F13" i="1053"/>
  <c r="G13" i="1053"/>
  <c r="L13" i="1053"/>
  <c r="M13" i="1053"/>
  <c r="N13" i="1053"/>
  <c r="O13" i="1053"/>
  <c r="C11" i="1053"/>
  <c r="D11" i="1053"/>
  <c r="E11" i="1053"/>
  <c r="F11" i="1053"/>
  <c r="G11" i="1053"/>
  <c r="J11" i="1053"/>
  <c r="L11" i="1053"/>
  <c r="M11" i="1053"/>
  <c r="N11" i="1053"/>
  <c r="O11" i="1053"/>
  <c r="C12" i="1053"/>
  <c r="D12" i="1053"/>
  <c r="E12" i="1053"/>
  <c r="F12" i="1053"/>
  <c r="G12" i="1053"/>
  <c r="L12" i="1053"/>
  <c r="M12" i="1053"/>
  <c r="O12" i="1053"/>
  <c r="O10" i="1053"/>
  <c r="N10" i="1053"/>
  <c r="M10" i="1053"/>
  <c r="L10" i="1053"/>
  <c r="G10" i="1053"/>
  <c r="F10" i="1053"/>
  <c r="E10" i="1053"/>
  <c r="D10" i="1053"/>
  <c r="C10" i="1053"/>
  <c r="AX62" i="1053"/>
  <c r="AW62" i="1053"/>
  <c r="AV62" i="1053"/>
  <c r="AU62" i="1053"/>
  <c r="AT62" i="1053"/>
  <c r="AS62" i="1053"/>
  <c r="AR62" i="1053"/>
  <c r="AQ62" i="1053"/>
  <c r="AP62" i="1053"/>
  <c r="AO62" i="1053"/>
  <c r="AN62" i="1053"/>
  <c r="AM62" i="1053"/>
  <c r="AL62" i="1053"/>
  <c r="AK62" i="1053"/>
  <c r="AJ62" i="1053"/>
  <c r="AI62" i="1053"/>
  <c r="AH62" i="1053"/>
  <c r="AG62" i="1053"/>
  <c r="AF62" i="1053"/>
  <c r="AE62" i="1053"/>
  <c r="AD62" i="1053"/>
  <c r="AC62" i="1053"/>
  <c r="AB62" i="1053"/>
  <c r="AX61" i="1053"/>
  <c r="AW61" i="1053"/>
  <c r="AV61" i="1053"/>
  <c r="AU61" i="1053"/>
  <c r="AT61" i="1053"/>
  <c r="AS61" i="1053"/>
  <c r="AR61" i="1053"/>
  <c r="AQ61" i="1053"/>
  <c r="AP61" i="1053"/>
  <c r="AO61" i="1053"/>
  <c r="AN61" i="1053"/>
  <c r="AM61" i="1053"/>
  <c r="AL61" i="1053"/>
  <c r="AK61" i="1053"/>
  <c r="AJ61" i="1053"/>
  <c r="AI61" i="1053"/>
  <c r="AH61" i="1053"/>
  <c r="AG61" i="1053"/>
  <c r="AF61" i="1053"/>
  <c r="AE61" i="1053"/>
  <c r="AD61" i="1053"/>
  <c r="AC61" i="1053"/>
  <c r="AB61" i="1053"/>
  <c r="AX60" i="1053"/>
  <c r="AW60" i="1053"/>
  <c r="AV60" i="1053"/>
  <c r="AU60" i="1053"/>
  <c r="AT60" i="1053"/>
  <c r="AS60" i="1053"/>
  <c r="AR60" i="1053"/>
  <c r="AQ60" i="1053"/>
  <c r="AP60" i="1053"/>
  <c r="AO60" i="1053"/>
  <c r="AN60" i="1053"/>
  <c r="AM60" i="1053"/>
  <c r="AL60" i="1053"/>
  <c r="AK60" i="1053"/>
  <c r="AJ60" i="1053"/>
  <c r="AI60" i="1053"/>
  <c r="AH60" i="1053"/>
  <c r="AG60" i="1053"/>
  <c r="AF60" i="1053"/>
  <c r="AE60" i="1053"/>
  <c r="AD60" i="1053"/>
  <c r="AC60" i="1053"/>
  <c r="AB60" i="1053"/>
  <c r="L60" i="1053"/>
  <c r="K55" i="1053"/>
  <c r="L46" i="1053" s="1"/>
  <c r="M46" i="1053" s="1"/>
  <c r="Z42" i="1053"/>
  <c r="Y42" i="1053"/>
  <c r="X42" i="1053"/>
  <c r="W42" i="1053"/>
  <c r="V42" i="1053"/>
  <c r="U42" i="1053"/>
  <c r="T42" i="1053"/>
  <c r="S42" i="1053"/>
  <c r="R42" i="1053"/>
  <c r="Z41" i="1053"/>
  <c r="Y41" i="1053"/>
  <c r="X41" i="1053"/>
  <c r="W41" i="1053"/>
  <c r="V41" i="1053"/>
  <c r="U41" i="1053"/>
  <c r="T41" i="1053"/>
  <c r="S41" i="1053"/>
  <c r="R41" i="1053"/>
  <c r="Z40" i="1053"/>
  <c r="Y40" i="1053"/>
  <c r="X40" i="1053"/>
  <c r="W40" i="1053"/>
  <c r="V40" i="1053"/>
  <c r="U40" i="1053"/>
  <c r="T40" i="1053"/>
  <c r="S40" i="1053"/>
  <c r="R40" i="1053"/>
  <c r="Z39" i="1053"/>
  <c r="Y39" i="1053"/>
  <c r="X39" i="1053"/>
  <c r="W39" i="1053"/>
  <c r="V39" i="1053"/>
  <c r="U39" i="1053"/>
  <c r="T39" i="1053"/>
  <c r="S39" i="1053"/>
  <c r="R39" i="1053"/>
  <c r="Z38" i="1053"/>
  <c r="Y38" i="1053"/>
  <c r="X38" i="1053"/>
  <c r="W38" i="1053"/>
  <c r="V38" i="1053"/>
  <c r="U38" i="1053"/>
  <c r="T38" i="1053"/>
  <c r="S38" i="1053"/>
  <c r="R38" i="1053"/>
  <c r="Z37" i="1053"/>
  <c r="Y37" i="1053"/>
  <c r="X37" i="1053"/>
  <c r="W37" i="1053"/>
  <c r="V37" i="1053"/>
  <c r="U37" i="1053"/>
  <c r="T37" i="1053"/>
  <c r="S37" i="1053"/>
  <c r="R37" i="1053"/>
  <c r="M37" i="1053"/>
  <c r="L37" i="1053"/>
  <c r="K37" i="1053"/>
  <c r="Z36" i="1053"/>
  <c r="Y36" i="1053"/>
  <c r="X36" i="1053"/>
  <c r="W36" i="1053"/>
  <c r="V36" i="1053"/>
  <c r="U36" i="1053"/>
  <c r="T36" i="1053"/>
  <c r="S36" i="1053"/>
  <c r="R36" i="1053"/>
  <c r="M36" i="1053"/>
  <c r="Z35" i="1053"/>
  <c r="Y35" i="1053"/>
  <c r="X35" i="1053"/>
  <c r="W35" i="1053"/>
  <c r="V35" i="1053"/>
  <c r="U35" i="1053"/>
  <c r="T35" i="1053"/>
  <c r="S35" i="1053"/>
  <c r="R35" i="1053"/>
  <c r="Z34" i="1053"/>
  <c r="Y34" i="1053"/>
  <c r="X34" i="1053"/>
  <c r="W34" i="1053"/>
  <c r="V34" i="1053"/>
  <c r="U34" i="1053"/>
  <c r="T34" i="1053"/>
  <c r="S34" i="1053"/>
  <c r="R34" i="1053"/>
  <c r="M34" i="1053"/>
  <c r="Z33" i="1053"/>
  <c r="Y33" i="1053"/>
  <c r="X33" i="1053"/>
  <c r="W33" i="1053"/>
  <c r="V33" i="1053"/>
  <c r="U33" i="1053"/>
  <c r="T33" i="1053"/>
  <c r="S33" i="1053"/>
  <c r="R33" i="1053"/>
  <c r="M33" i="1053"/>
  <c r="L33" i="1053"/>
  <c r="K33" i="1053"/>
  <c r="Z32" i="1053"/>
  <c r="Y32" i="1053"/>
  <c r="X32" i="1053"/>
  <c r="W32" i="1053"/>
  <c r="V32" i="1053"/>
  <c r="U32" i="1053"/>
  <c r="T32" i="1053"/>
  <c r="S32" i="1053"/>
  <c r="R32" i="1053"/>
  <c r="M31" i="1053"/>
  <c r="L31" i="1053"/>
  <c r="K31" i="1053"/>
  <c r="Z31" i="1053"/>
  <c r="Z30" i="1053"/>
  <c r="Y30" i="1053"/>
  <c r="X30" i="1053"/>
  <c r="W30" i="1053"/>
  <c r="V30" i="1053"/>
  <c r="U30" i="1053"/>
  <c r="T30" i="1053"/>
  <c r="S30" i="1053"/>
  <c r="R30" i="1053"/>
  <c r="Z29" i="1053"/>
  <c r="Y29" i="1053"/>
  <c r="X29" i="1053"/>
  <c r="W29" i="1053"/>
  <c r="V29" i="1053"/>
  <c r="U29" i="1053"/>
  <c r="T29" i="1053"/>
  <c r="S29" i="1053"/>
  <c r="R29" i="1053"/>
  <c r="Z28" i="1053"/>
  <c r="Y28" i="1053"/>
  <c r="X28" i="1053"/>
  <c r="W28" i="1053"/>
  <c r="V28" i="1053"/>
  <c r="U28" i="1053"/>
  <c r="T28" i="1053"/>
  <c r="S28" i="1053"/>
  <c r="R28" i="1053"/>
  <c r="Z25" i="1053"/>
  <c r="Y25" i="1053"/>
  <c r="X25" i="1053"/>
  <c r="W25" i="1053"/>
  <c r="V25" i="1053"/>
  <c r="U25" i="1053"/>
  <c r="T25" i="1053"/>
  <c r="S25" i="1053"/>
  <c r="R25" i="1053"/>
  <c r="Z24" i="1053"/>
  <c r="Y24" i="1053"/>
  <c r="X24" i="1053"/>
  <c r="W24" i="1053"/>
  <c r="V24" i="1053"/>
  <c r="U24" i="1053"/>
  <c r="T24" i="1053"/>
  <c r="S24" i="1053"/>
  <c r="R24" i="1053"/>
  <c r="Z23" i="1053"/>
  <c r="Y23" i="1053"/>
  <c r="X23" i="1053"/>
  <c r="W23" i="1053"/>
  <c r="V23" i="1053"/>
  <c r="U23" i="1053"/>
  <c r="T23" i="1053"/>
  <c r="S23" i="1053"/>
  <c r="R23" i="1053"/>
  <c r="Z22" i="1053"/>
  <c r="Y22" i="1053"/>
  <c r="X22" i="1053"/>
  <c r="W22" i="1053"/>
  <c r="V22" i="1053"/>
  <c r="U22" i="1053"/>
  <c r="T22" i="1053"/>
  <c r="S22" i="1053"/>
  <c r="R22" i="1053"/>
  <c r="Z19" i="1053"/>
  <c r="Y19" i="1053"/>
  <c r="X19" i="1053"/>
  <c r="W19" i="1053"/>
  <c r="V19" i="1053"/>
  <c r="U19" i="1053"/>
  <c r="T19" i="1053"/>
  <c r="S19" i="1053"/>
  <c r="R19" i="1053"/>
  <c r="Z18" i="1053"/>
  <c r="Y18" i="1053"/>
  <c r="X18" i="1053"/>
  <c r="W18" i="1053"/>
  <c r="V18" i="1053"/>
  <c r="U18" i="1053"/>
  <c r="T18" i="1053"/>
  <c r="S18" i="1053"/>
  <c r="R18" i="1053"/>
  <c r="Z17" i="1053"/>
  <c r="Y17" i="1053"/>
  <c r="X17" i="1053"/>
  <c r="W17" i="1053"/>
  <c r="V17" i="1053"/>
  <c r="U17" i="1053"/>
  <c r="T17" i="1053"/>
  <c r="S17" i="1053"/>
  <c r="R17" i="1053"/>
  <c r="Z16" i="1053"/>
  <c r="Y16" i="1053"/>
  <c r="X16" i="1053"/>
  <c r="W16" i="1053"/>
  <c r="V16" i="1053"/>
  <c r="U16" i="1053"/>
  <c r="T16" i="1053"/>
  <c r="S16" i="1053"/>
  <c r="R16" i="1053"/>
  <c r="Z15" i="1053"/>
  <c r="Y15" i="1053"/>
  <c r="X15" i="1053"/>
  <c r="W15" i="1053"/>
  <c r="V15" i="1053"/>
  <c r="U15" i="1053"/>
  <c r="T15" i="1053"/>
  <c r="S15" i="1053"/>
  <c r="R15" i="1053"/>
  <c r="Z14" i="1053"/>
  <c r="Y14" i="1053"/>
  <c r="X14" i="1053"/>
  <c r="W14" i="1053"/>
  <c r="V14" i="1053"/>
  <c r="U14" i="1053"/>
  <c r="T14" i="1053"/>
  <c r="S14" i="1053"/>
  <c r="R14" i="1053"/>
  <c r="Z13" i="1053"/>
  <c r="Y13" i="1053"/>
  <c r="X13" i="1053"/>
  <c r="W13" i="1053"/>
  <c r="V13" i="1053"/>
  <c r="U13" i="1053"/>
  <c r="T13" i="1053"/>
  <c r="S13" i="1053"/>
  <c r="R13" i="1053"/>
  <c r="Z12" i="1053"/>
  <c r="Y12" i="1053"/>
  <c r="X12" i="1053"/>
  <c r="W12" i="1053"/>
  <c r="V12" i="1053"/>
  <c r="U12" i="1053"/>
  <c r="T12" i="1053"/>
  <c r="S12" i="1053"/>
  <c r="R12" i="1053"/>
  <c r="Z11" i="1053"/>
  <c r="Y11" i="1053"/>
  <c r="X11" i="1053"/>
  <c r="W11" i="1053"/>
  <c r="V11" i="1053"/>
  <c r="U11" i="1053"/>
  <c r="T11" i="1053"/>
  <c r="S11" i="1053"/>
  <c r="R11" i="1053"/>
  <c r="Z10" i="1053"/>
  <c r="Y10" i="1053"/>
  <c r="X10" i="1053"/>
  <c r="W10" i="1053"/>
  <c r="V10" i="1053"/>
  <c r="U10" i="1053"/>
  <c r="T10" i="1053"/>
  <c r="S10" i="1053"/>
  <c r="R10" i="1053"/>
  <c r="K32" i="1052"/>
  <c r="M32" i="1052" l="1"/>
  <c r="I10" i="1053"/>
  <c r="L32" i="1052"/>
  <c r="I13" i="1053"/>
  <c r="J13" i="1053"/>
  <c r="K41" i="1053"/>
  <c r="R31" i="1053"/>
  <c r="S31" i="1053"/>
  <c r="T31" i="1053"/>
  <c r="U31" i="1053"/>
  <c r="V31" i="1053"/>
  <c r="W31" i="1053"/>
  <c r="Y31" i="1053"/>
  <c r="X31" i="1053"/>
  <c r="C43" i="1052"/>
  <c r="C44" i="1052"/>
  <c r="C45" i="1052"/>
  <c r="C46" i="1052"/>
  <c r="C47" i="1052"/>
  <c r="C48" i="1052"/>
  <c r="C49" i="1052"/>
  <c r="C50" i="1052"/>
  <c r="J32" i="1053" l="1"/>
  <c r="L41" i="1053"/>
  <c r="M41" i="1053" s="1"/>
  <c r="B43" i="1052"/>
  <c r="B64" i="1052"/>
  <c r="C31" i="1052" l="1"/>
  <c r="C32" i="1052"/>
  <c r="C33" i="1052"/>
  <c r="C34" i="1052"/>
  <c r="C35" i="1052"/>
  <c r="C36" i="1052"/>
  <c r="C37" i="1052"/>
  <c r="C38" i="1052"/>
  <c r="M33" i="1052"/>
  <c r="B31" i="1052" l="1"/>
  <c r="C13" i="1052"/>
  <c r="D13" i="1052"/>
  <c r="E13" i="1052"/>
  <c r="F13" i="1052"/>
  <c r="G13" i="1052"/>
  <c r="I13" i="1052"/>
  <c r="J13" i="1052"/>
  <c r="L13" i="1052"/>
  <c r="M13" i="1052"/>
  <c r="N13" i="1052"/>
  <c r="O13" i="1052"/>
  <c r="C14" i="1052"/>
  <c r="D14" i="1052"/>
  <c r="E14" i="1052"/>
  <c r="F14" i="1052"/>
  <c r="G14" i="1052"/>
  <c r="I14" i="1052"/>
  <c r="J14" i="1052"/>
  <c r="L14" i="1052"/>
  <c r="M14" i="1052"/>
  <c r="N14" i="1052"/>
  <c r="O14" i="1052"/>
  <c r="C15" i="1052"/>
  <c r="D15" i="1052"/>
  <c r="E15" i="1052"/>
  <c r="F15" i="1052"/>
  <c r="G15" i="1052"/>
  <c r="I15" i="1052"/>
  <c r="J15" i="1052"/>
  <c r="L15" i="1052"/>
  <c r="M15" i="1052"/>
  <c r="N15" i="1052"/>
  <c r="O15" i="1052"/>
  <c r="C16" i="1052"/>
  <c r="D16" i="1052"/>
  <c r="E16" i="1052"/>
  <c r="F16" i="1052"/>
  <c r="G16" i="1052"/>
  <c r="I16" i="1052"/>
  <c r="J16" i="1052"/>
  <c r="L16" i="1052"/>
  <c r="M16" i="1052"/>
  <c r="N16" i="1052"/>
  <c r="O16" i="1052"/>
  <c r="C17" i="1052"/>
  <c r="D17" i="1052"/>
  <c r="E17" i="1052"/>
  <c r="F17" i="1052"/>
  <c r="G17" i="1052"/>
  <c r="I17" i="1052"/>
  <c r="J17" i="1052"/>
  <c r="L17" i="1052"/>
  <c r="M17" i="1052"/>
  <c r="N17" i="1052"/>
  <c r="O17" i="1052"/>
  <c r="O12" i="1052"/>
  <c r="N12" i="1052"/>
  <c r="M12" i="1052"/>
  <c r="L12" i="1052"/>
  <c r="J12" i="1052"/>
  <c r="I12" i="1052"/>
  <c r="G12" i="1052"/>
  <c r="F12" i="1052"/>
  <c r="E12" i="1052"/>
  <c r="D12" i="1052"/>
  <c r="C12" i="1052"/>
  <c r="L33" i="1052"/>
  <c r="K33" i="1052"/>
  <c r="O10" i="1052"/>
  <c r="N10" i="1052"/>
  <c r="M10" i="1052"/>
  <c r="L10" i="1052"/>
  <c r="K10" i="1052"/>
  <c r="J10" i="1052"/>
  <c r="I10" i="1052"/>
  <c r="J33" i="1052" s="1"/>
  <c r="G10" i="1052"/>
  <c r="F10" i="1052"/>
  <c r="E10" i="1052"/>
  <c r="D10" i="1052"/>
  <c r="C10" i="1052"/>
  <c r="AX62" i="1052"/>
  <c r="AW62" i="1052"/>
  <c r="AV62" i="1052"/>
  <c r="AU62" i="1052"/>
  <c r="AT62" i="1052"/>
  <c r="AS62" i="1052"/>
  <c r="AR62" i="1052"/>
  <c r="AQ62" i="1052"/>
  <c r="AP62" i="1052"/>
  <c r="AO62" i="1052"/>
  <c r="AN62" i="1052"/>
  <c r="AM62" i="1052"/>
  <c r="AL62" i="1052"/>
  <c r="AK62" i="1052"/>
  <c r="AJ62" i="1052"/>
  <c r="AI62" i="1052"/>
  <c r="AH62" i="1052"/>
  <c r="AG62" i="1052"/>
  <c r="AF62" i="1052"/>
  <c r="AE62" i="1052"/>
  <c r="AD62" i="1052"/>
  <c r="AC62" i="1052"/>
  <c r="AB62" i="1052"/>
  <c r="B62" i="1052"/>
  <c r="AX61" i="1052"/>
  <c r="AW61" i="1052"/>
  <c r="AV61" i="1052"/>
  <c r="AU61" i="1052"/>
  <c r="AT61" i="1052"/>
  <c r="AS61" i="1052"/>
  <c r="AR61" i="1052"/>
  <c r="AQ61" i="1052"/>
  <c r="AP61" i="1052"/>
  <c r="AO61" i="1052"/>
  <c r="AN61" i="1052"/>
  <c r="AM61" i="1052"/>
  <c r="AL61" i="1052"/>
  <c r="AK61" i="1052"/>
  <c r="AJ61" i="1052"/>
  <c r="AI61" i="1052"/>
  <c r="AH61" i="1052"/>
  <c r="AG61" i="1052"/>
  <c r="AF61" i="1052"/>
  <c r="AE61" i="1052"/>
  <c r="AD61" i="1052"/>
  <c r="AC61" i="1052"/>
  <c r="AB61" i="1052"/>
  <c r="AX60" i="1052"/>
  <c r="AW60" i="1052"/>
  <c r="AV60" i="1052"/>
  <c r="AU60" i="1052"/>
  <c r="AT60" i="1052"/>
  <c r="AS60" i="1052"/>
  <c r="AR60" i="1052"/>
  <c r="AQ60" i="1052"/>
  <c r="AP60" i="1052"/>
  <c r="AO60" i="1052"/>
  <c r="AN60" i="1052"/>
  <c r="AM60" i="1052"/>
  <c r="AL60" i="1052"/>
  <c r="AK60" i="1052"/>
  <c r="AJ60" i="1052"/>
  <c r="AI60" i="1052"/>
  <c r="AH60" i="1052"/>
  <c r="AG60" i="1052"/>
  <c r="AF60" i="1052"/>
  <c r="AE60" i="1052"/>
  <c r="AD60" i="1052"/>
  <c r="AC60" i="1052"/>
  <c r="AB60" i="1052"/>
  <c r="B60" i="1052"/>
  <c r="K55" i="1052"/>
  <c r="L46" i="1052" s="1"/>
  <c r="M46" i="1052" s="1"/>
  <c r="Z42" i="1052"/>
  <c r="Y42" i="1052"/>
  <c r="X42" i="1052"/>
  <c r="W42" i="1052"/>
  <c r="V42" i="1052"/>
  <c r="U42" i="1052"/>
  <c r="T42" i="1052"/>
  <c r="S42" i="1052"/>
  <c r="R42" i="1052"/>
  <c r="Z41" i="1052"/>
  <c r="Y41" i="1052"/>
  <c r="X41" i="1052"/>
  <c r="W41" i="1052"/>
  <c r="V41" i="1052"/>
  <c r="U41" i="1052"/>
  <c r="T41" i="1052"/>
  <c r="S41" i="1052"/>
  <c r="R41" i="1052"/>
  <c r="Z40" i="1052"/>
  <c r="Y40" i="1052"/>
  <c r="X40" i="1052"/>
  <c r="W40" i="1052"/>
  <c r="V40" i="1052"/>
  <c r="U40" i="1052"/>
  <c r="T40" i="1052"/>
  <c r="S40" i="1052"/>
  <c r="R40" i="1052"/>
  <c r="Z39" i="1052"/>
  <c r="Y39" i="1052"/>
  <c r="X39" i="1052"/>
  <c r="W39" i="1052"/>
  <c r="V39" i="1052"/>
  <c r="U39" i="1052"/>
  <c r="T39" i="1052"/>
  <c r="S39" i="1052"/>
  <c r="R39" i="1052"/>
  <c r="Z38" i="1052"/>
  <c r="Y38" i="1052"/>
  <c r="X38" i="1052"/>
  <c r="W38" i="1052"/>
  <c r="V38" i="1052"/>
  <c r="U38" i="1052"/>
  <c r="T38" i="1052"/>
  <c r="S38" i="1052"/>
  <c r="R38" i="1052"/>
  <c r="Z37" i="1052"/>
  <c r="Y37" i="1052"/>
  <c r="X37" i="1052"/>
  <c r="W37" i="1052"/>
  <c r="V37" i="1052"/>
  <c r="U37" i="1052"/>
  <c r="T37" i="1052"/>
  <c r="S37" i="1052"/>
  <c r="R37" i="1052"/>
  <c r="M37" i="1052"/>
  <c r="L37" i="1052"/>
  <c r="K37" i="1052"/>
  <c r="Z36" i="1052"/>
  <c r="Y36" i="1052"/>
  <c r="X36" i="1052"/>
  <c r="W36" i="1052"/>
  <c r="V36" i="1052"/>
  <c r="U36" i="1052"/>
  <c r="T36" i="1052"/>
  <c r="S36" i="1052"/>
  <c r="R36" i="1052"/>
  <c r="M36" i="1052"/>
  <c r="Z35" i="1052"/>
  <c r="Y35" i="1052"/>
  <c r="X35" i="1052"/>
  <c r="W35" i="1052"/>
  <c r="V35" i="1052"/>
  <c r="U35" i="1052"/>
  <c r="T35" i="1052"/>
  <c r="S35" i="1052"/>
  <c r="R35" i="1052"/>
  <c r="Z34" i="1052"/>
  <c r="Y34" i="1052"/>
  <c r="X34" i="1052"/>
  <c r="W34" i="1052"/>
  <c r="V34" i="1052"/>
  <c r="U34" i="1052"/>
  <c r="T34" i="1052"/>
  <c r="S34" i="1052"/>
  <c r="R34" i="1052"/>
  <c r="M34" i="1052"/>
  <c r="Z33" i="1052"/>
  <c r="Y33" i="1052"/>
  <c r="X33" i="1052"/>
  <c r="W33" i="1052"/>
  <c r="V33" i="1052"/>
  <c r="U33" i="1052"/>
  <c r="T33" i="1052"/>
  <c r="S33" i="1052"/>
  <c r="R33" i="1052"/>
  <c r="Z32" i="1052"/>
  <c r="Y32" i="1052"/>
  <c r="X32" i="1052"/>
  <c r="W32" i="1052"/>
  <c r="V32" i="1052"/>
  <c r="U32" i="1052"/>
  <c r="T32" i="1052"/>
  <c r="S32" i="1052"/>
  <c r="R32" i="1052"/>
  <c r="Z31" i="1052"/>
  <c r="Y31" i="1052"/>
  <c r="W31" i="1052"/>
  <c r="M31" i="1052"/>
  <c r="L31" i="1052"/>
  <c r="K31" i="1052"/>
  <c r="X31" i="1052"/>
  <c r="Z30" i="1052"/>
  <c r="Y30" i="1052"/>
  <c r="X30" i="1052"/>
  <c r="W30" i="1052"/>
  <c r="V30" i="1052"/>
  <c r="U30" i="1052"/>
  <c r="T30" i="1052"/>
  <c r="S30" i="1052"/>
  <c r="R30" i="1052"/>
  <c r="Z29" i="1052"/>
  <c r="Y29" i="1052"/>
  <c r="X29" i="1052"/>
  <c r="W29" i="1052"/>
  <c r="V29" i="1052"/>
  <c r="U29" i="1052"/>
  <c r="T29" i="1052"/>
  <c r="S29" i="1052"/>
  <c r="R29" i="1052"/>
  <c r="Z28" i="1052"/>
  <c r="Y28" i="1052"/>
  <c r="X28" i="1052"/>
  <c r="W28" i="1052"/>
  <c r="V28" i="1052"/>
  <c r="U28" i="1052"/>
  <c r="T28" i="1052"/>
  <c r="S28" i="1052"/>
  <c r="R28" i="1052"/>
  <c r="Z25" i="1052"/>
  <c r="Y25" i="1052"/>
  <c r="X25" i="1052"/>
  <c r="W25" i="1052"/>
  <c r="V25" i="1052"/>
  <c r="U25" i="1052"/>
  <c r="T25" i="1052"/>
  <c r="S25" i="1052"/>
  <c r="R25" i="1052"/>
  <c r="Z24" i="1052"/>
  <c r="Y24" i="1052"/>
  <c r="X24" i="1052"/>
  <c r="W24" i="1052"/>
  <c r="V24" i="1052"/>
  <c r="U24" i="1052"/>
  <c r="T24" i="1052"/>
  <c r="S24" i="1052"/>
  <c r="R24" i="1052"/>
  <c r="Z23" i="1052"/>
  <c r="Y23" i="1052"/>
  <c r="X23" i="1052"/>
  <c r="W23" i="1052"/>
  <c r="V23" i="1052"/>
  <c r="U23" i="1052"/>
  <c r="T23" i="1052"/>
  <c r="S23" i="1052"/>
  <c r="R23" i="1052"/>
  <c r="Z22" i="1052"/>
  <c r="Y22" i="1052"/>
  <c r="X22" i="1052"/>
  <c r="W22" i="1052"/>
  <c r="V22" i="1052"/>
  <c r="U22" i="1052"/>
  <c r="T22" i="1052"/>
  <c r="S22" i="1052"/>
  <c r="R22" i="1052"/>
  <c r="Z19" i="1052"/>
  <c r="Y19" i="1052"/>
  <c r="X19" i="1052"/>
  <c r="W19" i="1052"/>
  <c r="V19" i="1052"/>
  <c r="U19" i="1052"/>
  <c r="T19" i="1052"/>
  <c r="S19" i="1052"/>
  <c r="R19" i="1052"/>
  <c r="Z18" i="1052"/>
  <c r="Y18" i="1052"/>
  <c r="X18" i="1052"/>
  <c r="W18" i="1052"/>
  <c r="V18" i="1052"/>
  <c r="U18" i="1052"/>
  <c r="T18" i="1052"/>
  <c r="S18" i="1052"/>
  <c r="R18" i="1052"/>
  <c r="Z17" i="1052"/>
  <c r="Y17" i="1052"/>
  <c r="X17" i="1052"/>
  <c r="W17" i="1052"/>
  <c r="V17" i="1052"/>
  <c r="U17" i="1052"/>
  <c r="T17" i="1052"/>
  <c r="S17" i="1052"/>
  <c r="R17" i="1052"/>
  <c r="Z16" i="1052"/>
  <c r="Y16" i="1052"/>
  <c r="X16" i="1052"/>
  <c r="W16" i="1052"/>
  <c r="V16" i="1052"/>
  <c r="U16" i="1052"/>
  <c r="T16" i="1052"/>
  <c r="S16" i="1052"/>
  <c r="R16" i="1052"/>
  <c r="Z15" i="1052"/>
  <c r="Y15" i="1052"/>
  <c r="X15" i="1052"/>
  <c r="W15" i="1052"/>
  <c r="V15" i="1052"/>
  <c r="U15" i="1052"/>
  <c r="T15" i="1052"/>
  <c r="S15" i="1052"/>
  <c r="R15" i="1052"/>
  <c r="Z14" i="1052"/>
  <c r="Y14" i="1052"/>
  <c r="X14" i="1052"/>
  <c r="W14" i="1052"/>
  <c r="V14" i="1052"/>
  <c r="U14" i="1052"/>
  <c r="T14" i="1052"/>
  <c r="S14" i="1052"/>
  <c r="R14" i="1052"/>
  <c r="Z13" i="1052"/>
  <c r="Y13" i="1052"/>
  <c r="X13" i="1052"/>
  <c r="W13" i="1052"/>
  <c r="V13" i="1052"/>
  <c r="U13" i="1052"/>
  <c r="T13" i="1052"/>
  <c r="S13" i="1052"/>
  <c r="R13" i="1052"/>
  <c r="Z12" i="1052"/>
  <c r="Y12" i="1052"/>
  <c r="X12" i="1052"/>
  <c r="W12" i="1052"/>
  <c r="V12" i="1052"/>
  <c r="U12" i="1052"/>
  <c r="T12" i="1052"/>
  <c r="S12" i="1052"/>
  <c r="R12" i="1052"/>
  <c r="Z11" i="1052"/>
  <c r="Y11" i="1052"/>
  <c r="X11" i="1052"/>
  <c r="W11" i="1052"/>
  <c r="V11" i="1052"/>
  <c r="U11" i="1052"/>
  <c r="T11" i="1052"/>
  <c r="S11" i="1052"/>
  <c r="R11" i="1052"/>
  <c r="Z10" i="1052"/>
  <c r="Y10" i="1052"/>
  <c r="X10" i="1052"/>
  <c r="W10" i="1052"/>
  <c r="V10" i="1052"/>
  <c r="U10" i="1052"/>
  <c r="T10" i="1052"/>
  <c r="S10" i="1052"/>
  <c r="R10" i="1052"/>
  <c r="M33" i="1051"/>
  <c r="L33" i="1051"/>
  <c r="K33" i="1051"/>
  <c r="J32" i="1052" l="1"/>
  <c r="K41" i="1052"/>
  <c r="L41" i="1052" s="1"/>
  <c r="M41" i="1052" s="1"/>
  <c r="R31" i="1052"/>
  <c r="S31" i="1052"/>
  <c r="U31" i="1052"/>
  <c r="T31" i="1052"/>
  <c r="V31" i="1052"/>
  <c r="J10" i="1051"/>
  <c r="I10" i="1051"/>
  <c r="I14" i="1051"/>
  <c r="I12" i="1051"/>
  <c r="I11" i="1051"/>
  <c r="D11" i="1051"/>
  <c r="E11" i="1051"/>
  <c r="F11" i="1051"/>
  <c r="G11" i="1051"/>
  <c r="J11" i="1051"/>
  <c r="K11" i="1051"/>
  <c r="L11" i="1051"/>
  <c r="M11" i="1051"/>
  <c r="N11" i="1051"/>
  <c r="O11" i="1051"/>
  <c r="C12" i="1051"/>
  <c r="D12" i="1051"/>
  <c r="E12" i="1051"/>
  <c r="F12" i="1051"/>
  <c r="G12" i="1051"/>
  <c r="J12" i="1051"/>
  <c r="K12" i="1051"/>
  <c r="L12" i="1051"/>
  <c r="M12" i="1051"/>
  <c r="N12" i="1051"/>
  <c r="O12" i="1051"/>
  <c r="C13" i="1051"/>
  <c r="D13" i="1051"/>
  <c r="E13" i="1051"/>
  <c r="F13" i="1051"/>
  <c r="G13" i="1051"/>
  <c r="I13" i="1051"/>
  <c r="J13" i="1051"/>
  <c r="K13" i="1051"/>
  <c r="L13" i="1051"/>
  <c r="M13" i="1051"/>
  <c r="N13" i="1051"/>
  <c r="O13" i="1051"/>
  <c r="C14" i="1051"/>
  <c r="D14" i="1051"/>
  <c r="E14" i="1051"/>
  <c r="F14" i="1051"/>
  <c r="G14" i="1051"/>
  <c r="J14" i="1051"/>
  <c r="K14" i="1051"/>
  <c r="L14" i="1051"/>
  <c r="M14" i="1051"/>
  <c r="N14" i="1051"/>
  <c r="O14" i="1051"/>
  <c r="D15" i="1051"/>
  <c r="E15" i="1051"/>
  <c r="F15" i="1051"/>
  <c r="G15" i="1051"/>
  <c r="I15" i="1051"/>
  <c r="J15" i="1051"/>
  <c r="K15" i="1051"/>
  <c r="L15" i="1051"/>
  <c r="M15" i="1051"/>
  <c r="N15" i="1051"/>
  <c r="O15" i="1051"/>
  <c r="C16" i="1051"/>
  <c r="D16" i="1051"/>
  <c r="E16" i="1051"/>
  <c r="F16" i="1051"/>
  <c r="G16" i="1051"/>
  <c r="I16" i="1051"/>
  <c r="J16" i="1051"/>
  <c r="K16" i="1051"/>
  <c r="L16" i="1051"/>
  <c r="M16" i="1051"/>
  <c r="N16" i="1051"/>
  <c r="O16" i="1051"/>
  <c r="O10" i="1051"/>
  <c r="N10" i="1051"/>
  <c r="M10" i="1051"/>
  <c r="L10" i="1051"/>
  <c r="K10" i="1051"/>
  <c r="G10" i="1051"/>
  <c r="F10" i="1051"/>
  <c r="E10" i="1051"/>
  <c r="D10" i="1051"/>
  <c r="C11" i="1051"/>
  <c r="C15" i="1051"/>
  <c r="J33" i="1051" l="1"/>
  <c r="C10" i="1051"/>
  <c r="C39" i="1051"/>
  <c r="C40" i="1051"/>
  <c r="C31" i="1051"/>
  <c r="C32" i="1051"/>
  <c r="C33" i="1051"/>
  <c r="C34" i="1051"/>
  <c r="C35" i="1051"/>
  <c r="C36" i="1051"/>
  <c r="C37" i="1051"/>
  <c r="C38" i="1051"/>
  <c r="B31" i="1051"/>
  <c r="L46" i="1051" l="1"/>
  <c r="AX62" i="1051"/>
  <c r="AW62" i="1051"/>
  <c r="AV62" i="1051"/>
  <c r="AU62" i="1051"/>
  <c r="AT62" i="1051"/>
  <c r="AS62" i="1051"/>
  <c r="AR62" i="1051"/>
  <c r="AQ62" i="1051"/>
  <c r="AP62" i="1051"/>
  <c r="AO62" i="1051"/>
  <c r="AN62" i="1051"/>
  <c r="AM62" i="1051"/>
  <c r="AL62" i="1051"/>
  <c r="AK62" i="1051"/>
  <c r="AJ62" i="1051"/>
  <c r="AI62" i="1051"/>
  <c r="AH62" i="1051"/>
  <c r="AG62" i="1051"/>
  <c r="AF62" i="1051"/>
  <c r="AE62" i="1051"/>
  <c r="AD62" i="1051"/>
  <c r="AC62" i="1051"/>
  <c r="AB62" i="1051"/>
  <c r="B62" i="1051"/>
  <c r="AX61" i="1051"/>
  <c r="AW61" i="1051"/>
  <c r="AV61" i="1051"/>
  <c r="AU61" i="1051"/>
  <c r="AT61" i="1051"/>
  <c r="AS61" i="1051"/>
  <c r="AR61" i="1051"/>
  <c r="AQ61" i="1051"/>
  <c r="AP61" i="1051"/>
  <c r="AO61" i="1051"/>
  <c r="AN61" i="1051"/>
  <c r="AM61" i="1051"/>
  <c r="AL61" i="1051"/>
  <c r="AK61" i="1051"/>
  <c r="AJ61" i="1051"/>
  <c r="AI61" i="1051"/>
  <c r="AH61" i="1051"/>
  <c r="AG61" i="1051"/>
  <c r="AF61" i="1051"/>
  <c r="AE61" i="1051"/>
  <c r="AD61" i="1051"/>
  <c r="AC61" i="1051"/>
  <c r="AB61" i="1051"/>
  <c r="AX60" i="1051"/>
  <c r="AW60" i="1051"/>
  <c r="AV60" i="1051"/>
  <c r="AU60" i="1051"/>
  <c r="AT60" i="1051"/>
  <c r="AS60" i="1051"/>
  <c r="AR60" i="1051"/>
  <c r="AQ60" i="1051"/>
  <c r="AP60" i="1051"/>
  <c r="AO60" i="1051"/>
  <c r="AN60" i="1051"/>
  <c r="AM60" i="1051"/>
  <c r="AL60" i="1051"/>
  <c r="AK60" i="1051"/>
  <c r="AJ60" i="1051"/>
  <c r="AI60" i="1051"/>
  <c r="AH60" i="1051"/>
  <c r="AG60" i="1051"/>
  <c r="AF60" i="1051"/>
  <c r="AE60" i="1051"/>
  <c r="AD60" i="1051"/>
  <c r="AC60" i="1051"/>
  <c r="AB60" i="1051"/>
  <c r="B60" i="1051"/>
  <c r="K55" i="1051"/>
  <c r="Z42" i="1051"/>
  <c r="Y42" i="1051"/>
  <c r="X42" i="1051"/>
  <c r="W42" i="1051"/>
  <c r="V42" i="1051"/>
  <c r="U42" i="1051"/>
  <c r="T42" i="1051"/>
  <c r="S42" i="1051"/>
  <c r="R42" i="1051"/>
  <c r="Z41" i="1051"/>
  <c r="Y41" i="1051"/>
  <c r="X41" i="1051"/>
  <c r="W41" i="1051"/>
  <c r="V41" i="1051"/>
  <c r="U41" i="1051"/>
  <c r="T41" i="1051"/>
  <c r="S41" i="1051"/>
  <c r="R41" i="1051"/>
  <c r="Z40" i="1051"/>
  <c r="Y40" i="1051"/>
  <c r="X40" i="1051"/>
  <c r="W40" i="1051"/>
  <c r="V40" i="1051"/>
  <c r="U40" i="1051"/>
  <c r="T40" i="1051"/>
  <c r="S40" i="1051"/>
  <c r="R40" i="1051"/>
  <c r="Z39" i="1051"/>
  <c r="Y39" i="1051"/>
  <c r="X39" i="1051"/>
  <c r="W39" i="1051"/>
  <c r="V39" i="1051"/>
  <c r="U39" i="1051"/>
  <c r="T39" i="1051"/>
  <c r="S39" i="1051"/>
  <c r="R39" i="1051"/>
  <c r="Z38" i="1051"/>
  <c r="Y38" i="1051"/>
  <c r="X38" i="1051"/>
  <c r="W38" i="1051"/>
  <c r="V38" i="1051"/>
  <c r="U38" i="1051"/>
  <c r="T38" i="1051"/>
  <c r="S38" i="1051"/>
  <c r="R38" i="1051"/>
  <c r="Z37" i="1051"/>
  <c r="Y37" i="1051"/>
  <c r="X37" i="1051"/>
  <c r="W37" i="1051"/>
  <c r="V37" i="1051"/>
  <c r="U37" i="1051"/>
  <c r="T37" i="1051"/>
  <c r="S37" i="1051"/>
  <c r="R37" i="1051"/>
  <c r="M37" i="1051"/>
  <c r="L37" i="1051"/>
  <c r="K37" i="1051"/>
  <c r="Z36" i="1051"/>
  <c r="Y36" i="1051"/>
  <c r="X36" i="1051"/>
  <c r="W36" i="1051"/>
  <c r="V36" i="1051"/>
  <c r="U36" i="1051"/>
  <c r="T36" i="1051"/>
  <c r="S36" i="1051"/>
  <c r="R36" i="1051"/>
  <c r="M36" i="1051"/>
  <c r="Z35" i="1051"/>
  <c r="Y35" i="1051"/>
  <c r="X35" i="1051"/>
  <c r="W35" i="1051"/>
  <c r="V35" i="1051"/>
  <c r="U35" i="1051"/>
  <c r="T35" i="1051"/>
  <c r="S35" i="1051"/>
  <c r="R35" i="1051"/>
  <c r="Z34" i="1051"/>
  <c r="Y34" i="1051"/>
  <c r="X34" i="1051"/>
  <c r="W34" i="1051"/>
  <c r="V34" i="1051"/>
  <c r="U34" i="1051"/>
  <c r="T34" i="1051"/>
  <c r="S34" i="1051"/>
  <c r="R34" i="1051"/>
  <c r="M34" i="1051"/>
  <c r="Z33" i="1051"/>
  <c r="Y33" i="1051"/>
  <c r="X33" i="1051"/>
  <c r="W33" i="1051"/>
  <c r="V33" i="1051"/>
  <c r="U33" i="1051"/>
  <c r="T33" i="1051"/>
  <c r="S33" i="1051"/>
  <c r="R33" i="1051"/>
  <c r="Z32" i="1051"/>
  <c r="Y32" i="1051"/>
  <c r="X32" i="1051"/>
  <c r="W32" i="1051"/>
  <c r="V32" i="1051"/>
  <c r="U32" i="1051"/>
  <c r="T32" i="1051"/>
  <c r="S32" i="1051"/>
  <c r="R32" i="1051"/>
  <c r="M32" i="1051"/>
  <c r="L32" i="1051"/>
  <c r="K32" i="1051"/>
  <c r="Z31" i="1051"/>
  <c r="Y31" i="1051"/>
  <c r="X31" i="1051"/>
  <c r="W31" i="1051"/>
  <c r="V31" i="1051"/>
  <c r="U31" i="1051"/>
  <c r="S31" i="1051"/>
  <c r="R31" i="1051"/>
  <c r="M31" i="1051"/>
  <c r="L31" i="1051"/>
  <c r="K31" i="1051"/>
  <c r="T31" i="1051"/>
  <c r="Z30" i="1051"/>
  <c r="Y30" i="1051"/>
  <c r="X30" i="1051"/>
  <c r="W30" i="1051"/>
  <c r="V30" i="1051"/>
  <c r="U30" i="1051"/>
  <c r="T30" i="1051"/>
  <c r="S30" i="1051"/>
  <c r="R30" i="1051"/>
  <c r="Z29" i="1051"/>
  <c r="Y29" i="1051"/>
  <c r="X29" i="1051"/>
  <c r="W29" i="1051"/>
  <c r="V29" i="1051"/>
  <c r="U29" i="1051"/>
  <c r="T29" i="1051"/>
  <c r="S29" i="1051"/>
  <c r="R29" i="1051"/>
  <c r="Z28" i="1051"/>
  <c r="Y28" i="1051"/>
  <c r="X28" i="1051"/>
  <c r="W28" i="1051"/>
  <c r="V28" i="1051"/>
  <c r="U28" i="1051"/>
  <c r="T28" i="1051"/>
  <c r="S28" i="1051"/>
  <c r="R28" i="1051"/>
  <c r="Z25" i="1051"/>
  <c r="Y25" i="1051"/>
  <c r="X25" i="1051"/>
  <c r="W25" i="1051"/>
  <c r="V25" i="1051"/>
  <c r="U25" i="1051"/>
  <c r="T25" i="1051"/>
  <c r="S25" i="1051"/>
  <c r="R25" i="1051"/>
  <c r="Z24" i="1051"/>
  <c r="Y24" i="1051"/>
  <c r="X24" i="1051"/>
  <c r="W24" i="1051"/>
  <c r="V24" i="1051"/>
  <c r="U24" i="1051"/>
  <c r="T24" i="1051"/>
  <c r="S24" i="1051"/>
  <c r="R24" i="1051"/>
  <c r="Z23" i="1051"/>
  <c r="Y23" i="1051"/>
  <c r="X23" i="1051"/>
  <c r="W23" i="1051"/>
  <c r="V23" i="1051"/>
  <c r="U23" i="1051"/>
  <c r="T23" i="1051"/>
  <c r="S23" i="1051"/>
  <c r="R23" i="1051"/>
  <c r="Z22" i="1051"/>
  <c r="Y22" i="1051"/>
  <c r="X22" i="1051"/>
  <c r="W22" i="1051"/>
  <c r="V22" i="1051"/>
  <c r="U22" i="1051"/>
  <c r="T22" i="1051"/>
  <c r="S22" i="1051"/>
  <c r="R22" i="1051"/>
  <c r="Z19" i="1051"/>
  <c r="Y19" i="1051"/>
  <c r="X19" i="1051"/>
  <c r="W19" i="1051"/>
  <c r="V19" i="1051"/>
  <c r="U19" i="1051"/>
  <c r="T19" i="1051"/>
  <c r="S19" i="1051"/>
  <c r="R19" i="1051"/>
  <c r="Z18" i="1051"/>
  <c r="Y18" i="1051"/>
  <c r="X18" i="1051"/>
  <c r="W18" i="1051"/>
  <c r="V18" i="1051"/>
  <c r="U18" i="1051"/>
  <c r="T18" i="1051"/>
  <c r="S18" i="1051"/>
  <c r="R18" i="1051"/>
  <c r="Z17" i="1051"/>
  <c r="Y17" i="1051"/>
  <c r="X17" i="1051"/>
  <c r="W17" i="1051"/>
  <c r="V17" i="1051"/>
  <c r="U17" i="1051"/>
  <c r="T17" i="1051"/>
  <c r="S17" i="1051"/>
  <c r="R17" i="1051"/>
  <c r="Z16" i="1051"/>
  <c r="Y16" i="1051"/>
  <c r="X16" i="1051"/>
  <c r="W16" i="1051"/>
  <c r="V16" i="1051"/>
  <c r="U16" i="1051"/>
  <c r="T16" i="1051"/>
  <c r="S16" i="1051"/>
  <c r="R16" i="1051"/>
  <c r="Z15" i="1051"/>
  <c r="Y15" i="1051"/>
  <c r="X15" i="1051"/>
  <c r="W15" i="1051"/>
  <c r="V15" i="1051"/>
  <c r="U15" i="1051"/>
  <c r="T15" i="1051"/>
  <c r="S15" i="1051"/>
  <c r="R15" i="1051"/>
  <c r="Z14" i="1051"/>
  <c r="Y14" i="1051"/>
  <c r="X14" i="1051"/>
  <c r="W14" i="1051"/>
  <c r="V14" i="1051"/>
  <c r="U14" i="1051"/>
  <c r="T14" i="1051"/>
  <c r="S14" i="1051"/>
  <c r="R14" i="1051"/>
  <c r="Z13" i="1051"/>
  <c r="Y13" i="1051"/>
  <c r="X13" i="1051"/>
  <c r="W13" i="1051"/>
  <c r="V13" i="1051"/>
  <c r="U13" i="1051"/>
  <c r="T13" i="1051"/>
  <c r="S13" i="1051"/>
  <c r="R13" i="1051"/>
  <c r="Z12" i="1051"/>
  <c r="Y12" i="1051"/>
  <c r="X12" i="1051"/>
  <c r="W12" i="1051"/>
  <c r="V12" i="1051"/>
  <c r="U12" i="1051"/>
  <c r="T12" i="1051"/>
  <c r="S12" i="1051"/>
  <c r="R12" i="1051"/>
  <c r="Z11" i="1051"/>
  <c r="Y11" i="1051"/>
  <c r="X11" i="1051"/>
  <c r="W11" i="1051"/>
  <c r="V11" i="1051"/>
  <c r="U11" i="1051"/>
  <c r="T11" i="1051"/>
  <c r="S11" i="1051"/>
  <c r="R11" i="1051"/>
  <c r="Z10" i="1051"/>
  <c r="Y10" i="1051"/>
  <c r="X10" i="1051"/>
  <c r="W10" i="1051"/>
  <c r="V10" i="1051"/>
  <c r="U10" i="1051"/>
  <c r="T10" i="1051"/>
  <c r="S10" i="1051"/>
  <c r="R10" i="1051"/>
  <c r="L46" i="1050"/>
  <c r="I55" i="1050"/>
  <c r="K31" i="1050"/>
  <c r="M46" i="1051" l="1"/>
  <c r="K41" i="1051"/>
  <c r="L41" i="1051" s="1"/>
  <c r="M41" i="1051" s="1"/>
  <c r="C25" i="1050"/>
  <c r="D25" i="1050"/>
  <c r="E25" i="1050"/>
  <c r="F25" i="1050"/>
  <c r="G25" i="1050"/>
  <c r="L25" i="1050"/>
  <c r="M25" i="1050"/>
  <c r="N25" i="1050"/>
  <c r="O25" i="1050"/>
  <c r="D26" i="1050"/>
  <c r="E26" i="1050"/>
  <c r="F26" i="1050"/>
  <c r="G26" i="1050"/>
  <c r="L26" i="1050"/>
  <c r="M26" i="1050"/>
  <c r="N26" i="1050"/>
  <c r="O26" i="1050"/>
  <c r="D27" i="1050"/>
  <c r="E27" i="1050"/>
  <c r="F27" i="1050"/>
  <c r="G27" i="1050"/>
  <c r="L27" i="1050"/>
  <c r="M27" i="1050"/>
  <c r="N27" i="1050"/>
  <c r="O27" i="1050"/>
  <c r="C22" i="1050"/>
  <c r="C23" i="1050"/>
  <c r="C24" i="1050"/>
  <c r="C26" i="1050"/>
  <c r="C27" i="1050"/>
  <c r="D11" i="1050"/>
  <c r="E11" i="1050"/>
  <c r="F11" i="1050"/>
  <c r="G11" i="1050"/>
  <c r="L11" i="1050"/>
  <c r="M11" i="1050"/>
  <c r="O11" i="1050"/>
  <c r="D12" i="1050"/>
  <c r="E12" i="1050"/>
  <c r="F12" i="1050"/>
  <c r="G12" i="1050"/>
  <c r="L12" i="1050"/>
  <c r="M12" i="1050"/>
  <c r="O12" i="1050"/>
  <c r="D13" i="1050"/>
  <c r="E13" i="1050"/>
  <c r="F13" i="1050"/>
  <c r="G13" i="1050"/>
  <c r="L13" i="1050"/>
  <c r="M13" i="1050"/>
  <c r="O13" i="1050"/>
  <c r="D14" i="1050"/>
  <c r="E14" i="1050"/>
  <c r="F14" i="1050"/>
  <c r="G14" i="1050"/>
  <c r="L14" i="1050"/>
  <c r="M14" i="1050"/>
  <c r="N14" i="1050"/>
  <c r="O14" i="1050"/>
  <c r="D15" i="1050"/>
  <c r="E15" i="1050"/>
  <c r="F15" i="1050"/>
  <c r="G15" i="1050"/>
  <c r="L15" i="1050"/>
  <c r="M15" i="1050"/>
  <c r="N15" i="1050"/>
  <c r="O15" i="1050"/>
  <c r="D16" i="1050"/>
  <c r="E16" i="1050"/>
  <c r="F16" i="1050"/>
  <c r="G16" i="1050"/>
  <c r="L16" i="1050"/>
  <c r="M16" i="1050"/>
  <c r="N16" i="1050"/>
  <c r="O16" i="1050"/>
  <c r="D17" i="1050"/>
  <c r="E17" i="1050"/>
  <c r="F17" i="1050"/>
  <c r="G17" i="1050"/>
  <c r="L17" i="1050"/>
  <c r="M17" i="1050"/>
  <c r="N17" i="1050"/>
  <c r="O17" i="1050"/>
  <c r="D18" i="1050"/>
  <c r="E18" i="1050"/>
  <c r="F18" i="1050"/>
  <c r="G18" i="1050"/>
  <c r="L18" i="1050"/>
  <c r="M18" i="1050"/>
  <c r="N18" i="1050"/>
  <c r="O18" i="1050"/>
  <c r="D19" i="1050"/>
  <c r="E19" i="1050"/>
  <c r="F19" i="1050"/>
  <c r="G19" i="1050"/>
  <c r="L19" i="1050"/>
  <c r="M19" i="1050"/>
  <c r="N19" i="1050"/>
  <c r="O19" i="1050"/>
  <c r="D22" i="1050"/>
  <c r="E22" i="1050"/>
  <c r="F22" i="1050"/>
  <c r="G22" i="1050"/>
  <c r="L22" i="1050"/>
  <c r="M22" i="1050"/>
  <c r="N22" i="1050"/>
  <c r="O22" i="1050"/>
  <c r="D23" i="1050"/>
  <c r="E23" i="1050"/>
  <c r="F23" i="1050"/>
  <c r="G23" i="1050"/>
  <c r="L23" i="1050"/>
  <c r="M23" i="1050"/>
  <c r="N23" i="1050"/>
  <c r="O23" i="1050"/>
  <c r="D24" i="1050"/>
  <c r="E24" i="1050"/>
  <c r="F24" i="1050"/>
  <c r="G24" i="1050"/>
  <c r="L24" i="1050"/>
  <c r="M24" i="1050"/>
  <c r="N24" i="1050"/>
  <c r="O24" i="1050"/>
  <c r="O10" i="1050"/>
  <c r="M10" i="1050"/>
  <c r="G10" i="1050"/>
  <c r="F10" i="1050"/>
  <c r="E10" i="1050"/>
  <c r="D10" i="1050"/>
  <c r="B62" i="1050" l="1"/>
  <c r="J26" i="1050" l="1"/>
  <c r="J24" i="1050"/>
  <c r="J25" i="1050"/>
  <c r="J23" i="1050"/>
  <c r="J22" i="1050"/>
  <c r="J27" i="1050"/>
  <c r="I24" i="1050" l="1"/>
  <c r="I26" i="1050"/>
  <c r="I27" i="1050"/>
  <c r="I22" i="1050"/>
  <c r="I23" i="1050"/>
  <c r="I25" i="1050"/>
  <c r="L10" i="1050" l="1"/>
  <c r="N10" i="1050" l="1"/>
  <c r="N11" i="1050"/>
  <c r="N12" i="1050"/>
  <c r="N13" i="1050"/>
  <c r="C19" i="1050" l="1"/>
  <c r="C11" i="1050" l="1"/>
  <c r="J17" i="1050"/>
  <c r="C14" i="1050"/>
  <c r="J19" i="1050"/>
  <c r="J16" i="1050"/>
  <c r="C13" i="1050"/>
  <c r="C10" i="1050"/>
  <c r="C18" i="1050"/>
  <c r="C17" i="1050"/>
  <c r="C16" i="1050"/>
  <c r="J18" i="1050"/>
  <c r="C15" i="1050"/>
  <c r="C12" i="1050"/>
  <c r="J14" i="1050"/>
  <c r="J15" i="1050"/>
  <c r="J11" i="1050"/>
  <c r="J12" i="1050"/>
  <c r="J13" i="1050"/>
  <c r="J10" i="1050"/>
  <c r="I14" i="1050" l="1"/>
  <c r="I18" i="1050"/>
  <c r="I19" i="1050"/>
  <c r="I17" i="1050"/>
  <c r="I13" i="1050"/>
  <c r="I16" i="1050"/>
  <c r="I12" i="1050"/>
  <c r="I11" i="1050"/>
  <c r="I10" i="1050"/>
  <c r="I15" i="1050"/>
  <c r="J31" i="1050" l="1"/>
  <c r="M31" i="1050"/>
  <c r="L31" i="1050"/>
  <c r="C31" i="1050" l="1"/>
  <c r="C32" i="1050"/>
  <c r="C33" i="1050"/>
  <c r="C34" i="1050"/>
  <c r="C35" i="1050"/>
  <c r="C36" i="1050"/>
  <c r="B31" i="1050" l="1"/>
  <c r="Y31" i="1050" s="1"/>
  <c r="AX62" i="1050"/>
  <c r="AW62" i="1050"/>
  <c r="AV62" i="1050"/>
  <c r="AU62" i="1050"/>
  <c r="AT62" i="1050"/>
  <c r="AS62" i="1050"/>
  <c r="AR62" i="1050"/>
  <c r="AQ62" i="1050"/>
  <c r="AP62" i="1050"/>
  <c r="AO62" i="1050"/>
  <c r="AN62" i="1050"/>
  <c r="AM62" i="1050"/>
  <c r="AL62" i="1050"/>
  <c r="AK62" i="1050"/>
  <c r="AJ62" i="1050"/>
  <c r="AI62" i="1050"/>
  <c r="AH62" i="1050"/>
  <c r="AG62" i="1050"/>
  <c r="AF62" i="1050"/>
  <c r="AE62" i="1050"/>
  <c r="AD62" i="1050"/>
  <c r="AC62" i="1050"/>
  <c r="AB62" i="1050"/>
  <c r="AX61" i="1050"/>
  <c r="AW61" i="1050"/>
  <c r="AV61" i="1050"/>
  <c r="AU61" i="1050"/>
  <c r="AT61" i="1050"/>
  <c r="AS61" i="1050"/>
  <c r="AR61" i="1050"/>
  <c r="AQ61" i="1050"/>
  <c r="AP61" i="1050"/>
  <c r="AO61" i="1050"/>
  <c r="AN61" i="1050"/>
  <c r="AM61" i="1050"/>
  <c r="AL61" i="1050"/>
  <c r="AK61" i="1050"/>
  <c r="AJ61" i="1050"/>
  <c r="AI61" i="1050"/>
  <c r="AH61" i="1050"/>
  <c r="AG61" i="1050"/>
  <c r="AF61" i="1050"/>
  <c r="AE61" i="1050"/>
  <c r="AD61" i="1050"/>
  <c r="AC61" i="1050"/>
  <c r="AB61" i="1050"/>
  <c r="AX60" i="1050"/>
  <c r="AW60" i="1050"/>
  <c r="AV60" i="1050"/>
  <c r="AU60" i="1050"/>
  <c r="AT60" i="1050"/>
  <c r="AS60" i="1050"/>
  <c r="AR60" i="1050"/>
  <c r="AQ60" i="1050"/>
  <c r="AP60" i="1050"/>
  <c r="AO60" i="1050"/>
  <c r="AN60" i="1050"/>
  <c r="AM60" i="1050"/>
  <c r="AL60" i="1050"/>
  <c r="AK60" i="1050"/>
  <c r="AJ60" i="1050"/>
  <c r="AI60" i="1050"/>
  <c r="AH60" i="1050"/>
  <c r="AG60" i="1050"/>
  <c r="AF60" i="1050"/>
  <c r="AE60" i="1050"/>
  <c r="AD60" i="1050"/>
  <c r="AC60" i="1050"/>
  <c r="AB60" i="1050"/>
  <c r="B60" i="1050"/>
  <c r="K55" i="1050"/>
  <c r="M46" i="1050" s="1"/>
  <c r="Z42" i="1050"/>
  <c r="Y42" i="1050"/>
  <c r="X42" i="1050"/>
  <c r="W42" i="1050"/>
  <c r="V42" i="1050"/>
  <c r="U42" i="1050"/>
  <c r="T42" i="1050"/>
  <c r="S42" i="1050"/>
  <c r="R42" i="1050"/>
  <c r="Z41" i="1050"/>
  <c r="Y41" i="1050"/>
  <c r="X41" i="1050"/>
  <c r="W41" i="1050"/>
  <c r="V41" i="1050"/>
  <c r="U41" i="1050"/>
  <c r="T41" i="1050"/>
  <c r="S41" i="1050"/>
  <c r="R41" i="1050"/>
  <c r="Z40" i="1050"/>
  <c r="Y40" i="1050"/>
  <c r="X40" i="1050"/>
  <c r="W40" i="1050"/>
  <c r="V40" i="1050"/>
  <c r="U40" i="1050"/>
  <c r="T40" i="1050"/>
  <c r="S40" i="1050"/>
  <c r="R40" i="1050"/>
  <c r="Z39" i="1050"/>
  <c r="Y39" i="1050"/>
  <c r="X39" i="1050"/>
  <c r="W39" i="1050"/>
  <c r="V39" i="1050"/>
  <c r="U39" i="1050"/>
  <c r="T39" i="1050"/>
  <c r="S39" i="1050"/>
  <c r="R39" i="1050"/>
  <c r="Z38" i="1050"/>
  <c r="Y38" i="1050"/>
  <c r="X38" i="1050"/>
  <c r="W38" i="1050"/>
  <c r="V38" i="1050"/>
  <c r="U38" i="1050"/>
  <c r="T38" i="1050"/>
  <c r="S38" i="1050"/>
  <c r="R38" i="1050"/>
  <c r="Z37" i="1050"/>
  <c r="Y37" i="1050"/>
  <c r="X37" i="1050"/>
  <c r="W37" i="1050"/>
  <c r="V37" i="1050"/>
  <c r="U37" i="1050"/>
  <c r="T37" i="1050"/>
  <c r="S37" i="1050"/>
  <c r="R37" i="1050"/>
  <c r="M37" i="1050"/>
  <c r="L37" i="1050"/>
  <c r="K37" i="1050"/>
  <c r="Z36" i="1050"/>
  <c r="Y36" i="1050"/>
  <c r="X36" i="1050"/>
  <c r="W36" i="1050"/>
  <c r="V36" i="1050"/>
  <c r="U36" i="1050"/>
  <c r="T36" i="1050"/>
  <c r="S36" i="1050"/>
  <c r="R36" i="1050"/>
  <c r="M36" i="1050"/>
  <c r="Z35" i="1050"/>
  <c r="Y35" i="1050"/>
  <c r="X35" i="1050"/>
  <c r="W35" i="1050"/>
  <c r="V35" i="1050"/>
  <c r="U35" i="1050"/>
  <c r="T35" i="1050"/>
  <c r="S35" i="1050"/>
  <c r="R35" i="1050"/>
  <c r="Z34" i="1050"/>
  <c r="Y34" i="1050"/>
  <c r="X34" i="1050"/>
  <c r="W34" i="1050"/>
  <c r="V34" i="1050"/>
  <c r="U34" i="1050"/>
  <c r="T34" i="1050"/>
  <c r="S34" i="1050"/>
  <c r="R34" i="1050"/>
  <c r="M34" i="1050"/>
  <c r="Z33" i="1050"/>
  <c r="Y33" i="1050"/>
  <c r="X33" i="1050"/>
  <c r="W33" i="1050"/>
  <c r="V33" i="1050"/>
  <c r="U33" i="1050"/>
  <c r="T33" i="1050"/>
  <c r="S33" i="1050"/>
  <c r="R33" i="1050"/>
  <c r="M33" i="1050"/>
  <c r="Z32" i="1050"/>
  <c r="Y32" i="1050"/>
  <c r="X32" i="1050"/>
  <c r="W32" i="1050"/>
  <c r="V32" i="1050"/>
  <c r="U32" i="1050"/>
  <c r="T32" i="1050"/>
  <c r="S32" i="1050"/>
  <c r="R32" i="1050"/>
  <c r="M32" i="1050"/>
  <c r="L32" i="1050"/>
  <c r="K32" i="1050"/>
  <c r="Z31" i="1050"/>
  <c r="X31" i="1050"/>
  <c r="V31" i="1050"/>
  <c r="U31" i="1050"/>
  <c r="T31" i="1050"/>
  <c r="Z30" i="1050"/>
  <c r="Y30" i="1050"/>
  <c r="X30" i="1050"/>
  <c r="W30" i="1050"/>
  <c r="V30" i="1050"/>
  <c r="U30" i="1050"/>
  <c r="T30" i="1050"/>
  <c r="S30" i="1050"/>
  <c r="R30" i="1050"/>
  <c r="Z29" i="1050"/>
  <c r="Y29" i="1050"/>
  <c r="X29" i="1050"/>
  <c r="W29" i="1050"/>
  <c r="V29" i="1050"/>
  <c r="U29" i="1050"/>
  <c r="T29" i="1050"/>
  <c r="S29" i="1050"/>
  <c r="R29" i="1050"/>
  <c r="Z28" i="1050"/>
  <c r="Y28" i="1050"/>
  <c r="X28" i="1050"/>
  <c r="W28" i="1050"/>
  <c r="V28" i="1050"/>
  <c r="U28" i="1050"/>
  <c r="T28" i="1050"/>
  <c r="S28" i="1050"/>
  <c r="R28" i="1050"/>
  <c r="Z25" i="1050"/>
  <c r="Y25" i="1050"/>
  <c r="X25" i="1050"/>
  <c r="W25" i="1050"/>
  <c r="V25" i="1050"/>
  <c r="U25" i="1050"/>
  <c r="T25" i="1050"/>
  <c r="S25" i="1050"/>
  <c r="R25" i="1050"/>
  <c r="Z24" i="1050"/>
  <c r="Y24" i="1050"/>
  <c r="X24" i="1050"/>
  <c r="W24" i="1050"/>
  <c r="V24" i="1050"/>
  <c r="U24" i="1050"/>
  <c r="T24" i="1050"/>
  <c r="S24" i="1050"/>
  <c r="R24" i="1050"/>
  <c r="Z23" i="1050"/>
  <c r="Y23" i="1050"/>
  <c r="X23" i="1050"/>
  <c r="W23" i="1050"/>
  <c r="V23" i="1050"/>
  <c r="U23" i="1050"/>
  <c r="T23" i="1050"/>
  <c r="S23" i="1050"/>
  <c r="R23" i="1050"/>
  <c r="Z22" i="1050"/>
  <c r="Y22" i="1050"/>
  <c r="X22" i="1050"/>
  <c r="W22" i="1050"/>
  <c r="V22" i="1050"/>
  <c r="U22" i="1050"/>
  <c r="T22" i="1050"/>
  <c r="S22" i="1050"/>
  <c r="R22" i="1050"/>
  <c r="Z19" i="1050"/>
  <c r="Y19" i="1050"/>
  <c r="X19" i="1050"/>
  <c r="W19" i="1050"/>
  <c r="V19" i="1050"/>
  <c r="U19" i="1050"/>
  <c r="T19" i="1050"/>
  <c r="S19" i="1050"/>
  <c r="R19" i="1050"/>
  <c r="Z18" i="1050"/>
  <c r="Y18" i="1050"/>
  <c r="X18" i="1050"/>
  <c r="W18" i="1050"/>
  <c r="V18" i="1050"/>
  <c r="U18" i="1050"/>
  <c r="T18" i="1050"/>
  <c r="S18" i="1050"/>
  <c r="R18" i="1050"/>
  <c r="Z17" i="1050"/>
  <c r="Y17" i="1050"/>
  <c r="X17" i="1050"/>
  <c r="W17" i="1050"/>
  <c r="V17" i="1050"/>
  <c r="U17" i="1050"/>
  <c r="T17" i="1050"/>
  <c r="S17" i="1050"/>
  <c r="R17" i="1050"/>
  <c r="Z16" i="1050"/>
  <c r="Y16" i="1050"/>
  <c r="X16" i="1050"/>
  <c r="W16" i="1050"/>
  <c r="V16" i="1050"/>
  <c r="U16" i="1050"/>
  <c r="T16" i="1050"/>
  <c r="S16" i="1050"/>
  <c r="R16" i="1050"/>
  <c r="Z15" i="1050"/>
  <c r="Y15" i="1050"/>
  <c r="X15" i="1050"/>
  <c r="W15" i="1050"/>
  <c r="V15" i="1050"/>
  <c r="U15" i="1050"/>
  <c r="T15" i="1050"/>
  <c r="S15" i="1050"/>
  <c r="R15" i="1050"/>
  <c r="Z14" i="1050"/>
  <c r="Y14" i="1050"/>
  <c r="X14" i="1050"/>
  <c r="W14" i="1050"/>
  <c r="V14" i="1050"/>
  <c r="U14" i="1050"/>
  <c r="T14" i="1050"/>
  <c r="S14" i="1050"/>
  <c r="R14" i="1050"/>
  <c r="Z13" i="1050"/>
  <c r="Y13" i="1050"/>
  <c r="X13" i="1050"/>
  <c r="W13" i="1050"/>
  <c r="V13" i="1050"/>
  <c r="U13" i="1050"/>
  <c r="T13" i="1050"/>
  <c r="S13" i="1050"/>
  <c r="R13" i="1050"/>
  <c r="Z12" i="1050"/>
  <c r="Y12" i="1050"/>
  <c r="X12" i="1050"/>
  <c r="W12" i="1050"/>
  <c r="V12" i="1050"/>
  <c r="U12" i="1050"/>
  <c r="T12" i="1050"/>
  <c r="S12" i="1050"/>
  <c r="R12" i="1050"/>
  <c r="Z11" i="1050"/>
  <c r="Y11" i="1050"/>
  <c r="X11" i="1050"/>
  <c r="W11" i="1050"/>
  <c r="V11" i="1050"/>
  <c r="U11" i="1050"/>
  <c r="T11" i="1050"/>
  <c r="S11" i="1050"/>
  <c r="R11" i="1050"/>
  <c r="Z10" i="1050"/>
  <c r="Y10" i="1050"/>
  <c r="X10" i="1050"/>
  <c r="W10" i="1050"/>
  <c r="V10" i="1050"/>
  <c r="U10" i="1050"/>
  <c r="T10" i="1050"/>
  <c r="S10" i="1050"/>
  <c r="R10" i="1050"/>
  <c r="B58" i="1048"/>
  <c r="L42" i="1048"/>
  <c r="C27" i="1048"/>
  <c r="C28" i="1048"/>
  <c r="C29" i="1048"/>
  <c r="C30" i="1048"/>
  <c r="C31" i="1048"/>
  <c r="C32" i="1048"/>
  <c r="C33" i="1048"/>
  <c r="C34" i="1048"/>
  <c r="C35" i="1048"/>
  <c r="C36" i="1048"/>
  <c r="C37" i="1048"/>
  <c r="C38" i="1048"/>
  <c r="C39" i="1048"/>
  <c r="C40" i="1048"/>
  <c r="K41" i="1050" l="1"/>
  <c r="L41" i="1050" s="1"/>
  <c r="M41" i="1050" s="1"/>
  <c r="R31" i="1050"/>
  <c r="S31" i="1050"/>
  <c r="W31" i="1050"/>
  <c r="N13" i="1048"/>
  <c r="N14" i="1048"/>
  <c r="N15" i="1048"/>
  <c r="J13" i="1048"/>
  <c r="J17" i="1048"/>
  <c r="C13" i="1048"/>
  <c r="D13" i="1048"/>
  <c r="E13" i="1048"/>
  <c r="F13" i="1048"/>
  <c r="G13" i="1048"/>
  <c r="L13" i="1048"/>
  <c r="M13" i="1048"/>
  <c r="O13" i="1048"/>
  <c r="C14" i="1048"/>
  <c r="D14" i="1048"/>
  <c r="E14" i="1048"/>
  <c r="F14" i="1048"/>
  <c r="G14" i="1048"/>
  <c r="L14" i="1048"/>
  <c r="M14" i="1048"/>
  <c r="O14" i="1048"/>
  <c r="C15" i="1048"/>
  <c r="D15" i="1048"/>
  <c r="E15" i="1048"/>
  <c r="F15" i="1048"/>
  <c r="G15" i="1048"/>
  <c r="L15" i="1048"/>
  <c r="M15" i="1048"/>
  <c r="O15" i="1048"/>
  <c r="C16" i="1048"/>
  <c r="D16" i="1048"/>
  <c r="E16" i="1048"/>
  <c r="F16" i="1048"/>
  <c r="G16" i="1048"/>
  <c r="L16" i="1048"/>
  <c r="M16" i="1048"/>
  <c r="N16" i="1048"/>
  <c r="O16" i="1048"/>
  <c r="C17" i="1048"/>
  <c r="D17" i="1048"/>
  <c r="E17" i="1048"/>
  <c r="F17" i="1048"/>
  <c r="G17" i="1048"/>
  <c r="L17" i="1048"/>
  <c r="M17" i="1048"/>
  <c r="N17" i="1048"/>
  <c r="O17" i="1048"/>
  <c r="B27" i="1048"/>
  <c r="AX58" i="1049"/>
  <c r="AW58" i="1049"/>
  <c r="AV58" i="1049"/>
  <c r="AU58" i="1049"/>
  <c r="AT58" i="1049"/>
  <c r="AS58" i="1049"/>
  <c r="AR58" i="1049"/>
  <c r="AQ58" i="1049"/>
  <c r="AP58" i="1049"/>
  <c r="AO58" i="1049"/>
  <c r="AN58" i="1049"/>
  <c r="AM58" i="1049"/>
  <c r="AL58" i="1049"/>
  <c r="AK58" i="1049"/>
  <c r="AJ58" i="1049"/>
  <c r="AI58" i="1049"/>
  <c r="AH58" i="1049"/>
  <c r="AG58" i="1049"/>
  <c r="AF58" i="1049"/>
  <c r="AE58" i="1049"/>
  <c r="AD58" i="1049"/>
  <c r="AC58" i="1049"/>
  <c r="AB58" i="1049"/>
  <c r="B58" i="1049"/>
  <c r="AX57" i="1049"/>
  <c r="AW57" i="1049"/>
  <c r="AV57" i="1049"/>
  <c r="AU57" i="1049"/>
  <c r="AT57" i="1049"/>
  <c r="AS57" i="1049"/>
  <c r="AR57" i="1049"/>
  <c r="AQ57" i="1049"/>
  <c r="AP57" i="1049"/>
  <c r="AO57" i="1049"/>
  <c r="AN57" i="1049"/>
  <c r="AM57" i="1049"/>
  <c r="AL57" i="1049"/>
  <c r="AK57" i="1049"/>
  <c r="AJ57" i="1049"/>
  <c r="AI57" i="1049"/>
  <c r="AH57" i="1049"/>
  <c r="AG57" i="1049"/>
  <c r="AF57" i="1049"/>
  <c r="AE57" i="1049"/>
  <c r="AD57" i="1049"/>
  <c r="AC57" i="1049"/>
  <c r="AB57" i="1049"/>
  <c r="AX56" i="1049"/>
  <c r="AW56" i="1049"/>
  <c r="AV56" i="1049"/>
  <c r="AU56" i="1049"/>
  <c r="AT56" i="1049"/>
  <c r="AS56" i="1049"/>
  <c r="AR56" i="1049"/>
  <c r="AQ56" i="1049"/>
  <c r="AP56" i="1049"/>
  <c r="AO56" i="1049"/>
  <c r="AN56" i="1049"/>
  <c r="AM56" i="1049"/>
  <c r="AL56" i="1049"/>
  <c r="AK56" i="1049"/>
  <c r="AJ56" i="1049"/>
  <c r="AI56" i="1049"/>
  <c r="AH56" i="1049"/>
  <c r="AG56" i="1049"/>
  <c r="AF56" i="1049"/>
  <c r="AE56" i="1049"/>
  <c r="AD56" i="1049"/>
  <c r="AC56" i="1049"/>
  <c r="AB56" i="1049"/>
  <c r="B56" i="1049"/>
  <c r="K51" i="1049"/>
  <c r="L42" i="1049"/>
  <c r="M42" i="1049" s="1"/>
  <c r="Z38" i="1049"/>
  <c r="Y38" i="1049"/>
  <c r="X38" i="1049"/>
  <c r="W38" i="1049"/>
  <c r="V38" i="1049"/>
  <c r="U38" i="1049"/>
  <c r="T38" i="1049"/>
  <c r="S38" i="1049"/>
  <c r="R38" i="1049"/>
  <c r="Z37" i="1049"/>
  <c r="Y37" i="1049"/>
  <c r="X37" i="1049"/>
  <c r="W37" i="1049"/>
  <c r="V37" i="1049"/>
  <c r="U37" i="1049"/>
  <c r="T37" i="1049"/>
  <c r="S37" i="1049"/>
  <c r="R37" i="1049"/>
  <c r="Z36" i="1049"/>
  <c r="Y36" i="1049"/>
  <c r="X36" i="1049"/>
  <c r="W36" i="1049"/>
  <c r="V36" i="1049"/>
  <c r="U36" i="1049"/>
  <c r="T36" i="1049"/>
  <c r="S36" i="1049"/>
  <c r="R36" i="1049"/>
  <c r="Z35" i="1049"/>
  <c r="Y35" i="1049"/>
  <c r="X35" i="1049"/>
  <c r="W35" i="1049"/>
  <c r="V35" i="1049"/>
  <c r="U35" i="1049"/>
  <c r="T35" i="1049"/>
  <c r="S35" i="1049"/>
  <c r="R35" i="1049"/>
  <c r="Z34" i="1049"/>
  <c r="Y34" i="1049"/>
  <c r="X34" i="1049"/>
  <c r="W34" i="1049"/>
  <c r="V34" i="1049"/>
  <c r="U34" i="1049"/>
  <c r="T34" i="1049"/>
  <c r="S34" i="1049"/>
  <c r="R34" i="1049"/>
  <c r="C34" i="1049"/>
  <c r="Z33" i="1049"/>
  <c r="Y33" i="1049"/>
  <c r="X33" i="1049"/>
  <c r="W33" i="1049"/>
  <c r="V33" i="1049"/>
  <c r="U33" i="1049"/>
  <c r="T33" i="1049"/>
  <c r="S33" i="1049"/>
  <c r="R33" i="1049"/>
  <c r="M33" i="1049"/>
  <c r="L33" i="1049"/>
  <c r="K33" i="1049"/>
  <c r="C33" i="1049"/>
  <c r="Z32" i="1049"/>
  <c r="Y32" i="1049"/>
  <c r="X32" i="1049"/>
  <c r="W32" i="1049"/>
  <c r="V32" i="1049"/>
  <c r="U32" i="1049"/>
  <c r="T32" i="1049"/>
  <c r="S32" i="1049"/>
  <c r="R32" i="1049"/>
  <c r="M32" i="1049"/>
  <c r="C32" i="1049"/>
  <c r="Z31" i="1049"/>
  <c r="Y31" i="1049"/>
  <c r="X31" i="1049"/>
  <c r="W31" i="1049"/>
  <c r="V31" i="1049"/>
  <c r="U31" i="1049"/>
  <c r="T31" i="1049"/>
  <c r="S31" i="1049"/>
  <c r="R31" i="1049"/>
  <c r="C31" i="1049"/>
  <c r="Z30" i="1049"/>
  <c r="Y30" i="1049"/>
  <c r="X30" i="1049"/>
  <c r="W30" i="1049"/>
  <c r="V30" i="1049"/>
  <c r="U30" i="1049"/>
  <c r="T30" i="1049"/>
  <c r="S30" i="1049"/>
  <c r="R30" i="1049"/>
  <c r="M30" i="1049"/>
  <c r="C30" i="1049"/>
  <c r="Z29" i="1049"/>
  <c r="Y29" i="1049"/>
  <c r="X29" i="1049"/>
  <c r="W29" i="1049"/>
  <c r="V29" i="1049"/>
  <c r="U29" i="1049"/>
  <c r="T29" i="1049"/>
  <c r="S29" i="1049"/>
  <c r="R29" i="1049"/>
  <c r="M29" i="1049"/>
  <c r="C29" i="1049"/>
  <c r="Z28" i="1049"/>
  <c r="Y28" i="1049"/>
  <c r="X28" i="1049"/>
  <c r="W28" i="1049"/>
  <c r="V28" i="1049"/>
  <c r="U28" i="1049"/>
  <c r="T28" i="1049"/>
  <c r="S28" i="1049"/>
  <c r="R28" i="1049"/>
  <c r="M28" i="1049"/>
  <c r="L28" i="1049"/>
  <c r="K28" i="1049"/>
  <c r="C28" i="1049"/>
  <c r="M27" i="1049"/>
  <c r="L27" i="1049"/>
  <c r="K27" i="1049"/>
  <c r="C27" i="1049"/>
  <c r="B27" i="1049"/>
  <c r="Z27" i="1049" s="1"/>
  <c r="Z26" i="1049"/>
  <c r="Y26" i="1049"/>
  <c r="X26" i="1049"/>
  <c r="W26" i="1049"/>
  <c r="V26" i="1049"/>
  <c r="U26" i="1049"/>
  <c r="T26" i="1049"/>
  <c r="S26" i="1049"/>
  <c r="R26" i="1049"/>
  <c r="Z25" i="1049"/>
  <c r="Y25" i="1049"/>
  <c r="X25" i="1049"/>
  <c r="W25" i="1049"/>
  <c r="V25" i="1049"/>
  <c r="U25" i="1049"/>
  <c r="T25" i="1049"/>
  <c r="S25" i="1049"/>
  <c r="R25" i="1049"/>
  <c r="Z24" i="1049"/>
  <c r="Y24" i="1049"/>
  <c r="X24" i="1049"/>
  <c r="W24" i="1049"/>
  <c r="V24" i="1049"/>
  <c r="U24" i="1049"/>
  <c r="T24" i="1049"/>
  <c r="S24" i="1049"/>
  <c r="R24" i="1049"/>
  <c r="Z23" i="1049"/>
  <c r="Y23" i="1049"/>
  <c r="X23" i="1049"/>
  <c r="W23" i="1049"/>
  <c r="V23" i="1049"/>
  <c r="U23" i="1049"/>
  <c r="T23" i="1049"/>
  <c r="S23" i="1049"/>
  <c r="R23" i="1049"/>
  <c r="Z22" i="1049"/>
  <c r="Y22" i="1049"/>
  <c r="X22" i="1049"/>
  <c r="W22" i="1049"/>
  <c r="V22" i="1049"/>
  <c r="U22" i="1049"/>
  <c r="T22" i="1049"/>
  <c r="S22" i="1049"/>
  <c r="R22" i="1049"/>
  <c r="Z21" i="1049"/>
  <c r="Y21" i="1049"/>
  <c r="X21" i="1049"/>
  <c r="W21" i="1049"/>
  <c r="V21" i="1049"/>
  <c r="U21" i="1049"/>
  <c r="T21" i="1049"/>
  <c r="S21" i="1049"/>
  <c r="R21" i="1049"/>
  <c r="Z20" i="1049"/>
  <c r="Y20" i="1049"/>
  <c r="X20" i="1049"/>
  <c r="W20" i="1049"/>
  <c r="V20" i="1049"/>
  <c r="U20" i="1049"/>
  <c r="T20" i="1049"/>
  <c r="S20" i="1049"/>
  <c r="R20" i="1049"/>
  <c r="Z19" i="1049"/>
  <c r="Y19" i="1049"/>
  <c r="X19" i="1049"/>
  <c r="W19" i="1049"/>
  <c r="V19" i="1049"/>
  <c r="U19" i="1049"/>
  <c r="T19" i="1049"/>
  <c r="S19" i="1049"/>
  <c r="R19" i="1049"/>
  <c r="Z18" i="1049"/>
  <c r="Y18" i="1049"/>
  <c r="X18" i="1049"/>
  <c r="W18" i="1049"/>
  <c r="V18" i="1049"/>
  <c r="U18" i="1049"/>
  <c r="T18" i="1049"/>
  <c r="S18" i="1049"/>
  <c r="R18" i="1049"/>
  <c r="Z17" i="1049"/>
  <c r="Y17" i="1049"/>
  <c r="X17" i="1049"/>
  <c r="W17" i="1049"/>
  <c r="V17" i="1049"/>
  <c r="U17" i="1049"/>
  <c r="T17" i="1049"/>
  <c r="S17" i="1049"/>
  <c r="R17" i="1049"/>
  <c r="Z16" i="1049"/>
  <c r="Y16" i="1049"/>
  <c r="X16" i="1049"/>
  <c r="W16" i="1049"/>
  <c r="V16" i="1049"/>
  <c r="U16" i="1049"/>
  <c r="T16" i="1049"/>
  <c r="S16" i="1049"/>
  <c r="R16" i="1049"/>
  <c r="Z15" i="1049"/>
  <c r="Y15" i="1049"/>
  <c r="X15" i="1049"/>
  <c r="W15" i="1049"/>
  <c r="V15" i="1049"/>
  <c r="U15" i="1049"/>
  <c r="T15" i="1049"/>
  <c r="S15" i="1049"/>
  <c r="R15" i="1049"/>
  <c r="Z14" i="1049"/>
  <c r="Y14" i="1049"/>
  <c r="X14" i="1049"/>
  <c r="W14" i="1049"/>
  <c r="V14" i="1049"/>
  <c r="U14" i="1049"/>
  <c r="T14" i="1049"/>
  <c r="S14" i="1049"/>
  <c r="R14" i="1049"/>
  <c r="Z13" i="1049"/>
  <c r="Y13" i="1049"/>
  <c r="X13" i="1049"/>
  <c r="W13" i="1049"/>
  <c r="V13" i="1049"/>
  <c r="U13" i="1049"/>
  <c r="T13" i="1049"/>
  <c r="S13" i="1049"/>
  <c r="R13" i="1049"/>
  <c r="Z12" i="1049"/>
  <c r="Y12" i="1049"/>
  <c r="X12" i="1049"/>
  <c r="W12" i="1049"/>
  <c r="V12" i="1049"/>
  <c r="U12" i="1049"/>
  <c r="T12" i="1049"/>
  <c r="S12" i="1049"/>
  <c r="R12" i="1049"/>
  <c r="O12" i="1049"/>
  <c r="N12" i="1049"/>
  <c r="M12" i="1049"/>
  <c r="L12" i="1049"/>
  <c r="J12" i="1049"/>
  <c r="I12" i="1049"/>
  <c r="G12" i="1049"/>
  <c r="F12" i="1049"/>
  <c r="E12" i="1049"/>
  <c r="D12" i="1049"/>
  <c r="C12" i="1049"/>
  <c r="Z11" i="1049"/>
  <c r="Y11" i="1049"/>
  <c r="X11" i="1049"/>
  <c r="W11" i="1049"/>
  <c r="V11" i="1049"/>
  <c r="U11" i="1049"/>
  <c r="T11" i="1049"/>
  <c r="S11" i="1049"/>
  <c r="R11" i="1049"/>
  <c r="O11" i="1049"/>
  <c r="N11" i="1049"/>
  <c r="M11" i="1049"/>
  <c r="L11" i="1049"/>
  <c r="J11" i="1049"/>
  <c r="I11" i="1049"/>
  <c r="G11" i="1049"/>
  <c r="F11" i="1049"/>
  <c r="E11" i="1049"/>
  <c r="D11" i="1049"/>
  <c r="C11" i="1049"/>
  <c r="Z10" i="1049"/>
  <c r="Y10" i="1049"/>
  <c r="X10" i="1049"/>
  <c r="W10" i="1049"/>
  <c r="V10" i="1049"/>
  <c r="U10" i="1049"/>
  <c r="T10" i="1049"/>
  <c r="S10" i="1049"/>
  <c r="R10" i="1049"/>
  <c r="O10" i="1049"/>
  <c r="N10" i="1049"/>
  <c r="M10" i="1049"/>
  <c r="L10" i="1049"/>
  <c r="J10" i="1049"/>
  <c r="I10" i="1049"/>
  <c r="G10" i="1049"/>
  <c r="F10" i="1049"/>
  <c r="E10" i="1049"/>
  <c r="D10" i="1049"/>
  <c r="C10" i="1049"/>
  <c r="M28" i="1048"/>
  <c r="L28" i="1048"/>
  <c r="K28" i="1048"/>
  <c r="K37" i="1049" l="1"/>
  <c r="L37" i="1049" s="1"/>
  <c r="M37" i="1049" s="1"/>
  <c r="J16" i="1048"/>
  <c r="I13" i="1048"/>
  <c r="J15" i="1048"/>
  <c r="I17" i="1048"/>
  <c r="J14" i="1048"/>
  <c r="J28" i="1049"/>
  <c r="R27" i="1049"/>
  <c r="S27" i="1049"/>
  <c r="T27" i="1049"/>
  <c r="U27" i="1049"/>
  <c r="V27" i="1049"/>
  <c r="W27" i="1049"/>
  <c r="X27" i="1049"/>
  <c r="Y27" i="1049"/>
  <c r="I15" i="1048" l="1"/>
  <c r="I16" i="1048"/>
  <c r="I14" i="1048"/>
  <c r="AX58" i="1048"/>
  <c r="AW58" i="1048"/>
  <c r="AV58" i="1048"/>
  <c r="AU58" i="1048"/>
  <c r="AT58" i="1048"/>
  <c r="AS58" i="1048"/>
  <c r="AR58" i="1048"/>
  <c r="AQ58" i="1048"/>
  <c r="AP58" i="1048"/>
  <c r="AO58" i="1048"/>
  <c r="AN58" i="1048"/>
  <c r="AM58" i="1048"/>
  <c r="AL58" i="1048"/>
  <c r="AK58" i="1048"/>
  <c r="AJ58" i="1048"/>
  <c r="AI58" i="1048"/>
  <c r="AH58" i="1048"/>
  <c r="AG58" i="1048"/>
  <c r="AF58" i="1048"/>
  <c r="AE58" i="1048"/>
  <c r="AD58" i="1048"/>
  <c r="AC58" i="1048"/>
  <c r="AB58" i="1048"/>
  <c r="AX57" i="1048"/>
  <c r="AW57" i="1048"/>
  <c r="AV57" i="1048"/>
  <c r="AU57" i="1048"/>
  <c r="AT57" i="1048"/>
  <c r="AS57" i="1048"/>
  <c r="AR57" i="1048"/>
  <c r="AQ57" i="1048"/>
  <c r="AP57" i="1048"/>
  <c r="AO57" i="1048"/>
  <c r="AN57" i="1048"/>
  <c r="AM57" i="1048"/>
  <c r="AL57" i="1048"/>
  <c r="AK57" i="1048"/>
  <c r="AJ57" i="1048"/>
  <c r="AI57" i="1048"/>
  <c r="AH57" i="1048"/>
  <c r="AG57" i="1048"/>
  <c r="AF57" i="1048"/>
  <c r="AE57" i="1048"/>
  <c r="AD57" i="1048"/>
  <c r="AC57" i="1048"/>
  <c r="AB57" i="1048"/>
  <c r="AX56" i="1048"/>
  <c r="AW56" i="1048"/>
  <c r="AV56" i="1048"/>
  <c r="AU56" i="1048"/>
  <c r="AT56" i="1048"/>
  <c r="AS56" i="1048"/>
  <c r="AR56" i="1048"/>
  <c r="AQ56" i="1048"/>
  <c r="AP56" i="1048"/>
  <c r="AO56" i="1048"/>
  <c r="AN56" i="1048"/>
  <c r="AM56" i="1048"/>
  <c r="AL56" i="1048"/>
  <c r="AK56" i="1048"/>
  <c r="AJ56" i="1048"/>
  <c r="AI56" i="1048"/>
  <c r="AH56" i="1048"/>
  <c r="AG56" i="1048"/>
  <c r="AF56" i="1048"/>
  <c r="AE56" i="1048"/>
  <c r="AD56" i="1048"/>
  <c r="AC56" i="1048"/>
  <c r="AB56" i="1048"/>
  <c r="B56" i="1048"/>
  <c r="K51" i="1048"/>
  <c r="Z38" i="1048"/>
  <c r="Y38" i="1048"/>
  <c r="X38" i="1048"/>
  <c r="W38" i="1048"/>
  <c r="V38" i="1048"/>
  <c r="U38" i="1048"/>
  <c r="T38" i="1048"/>
  <c r="S38" i="1048"/>
  <c r="R38" i="1048"/>
  <c r="Z37" i="1048"/>
  <c r="Y37" i="1048"/>
  <c r="X37" i="1048"/>
  <c r="W37" i="1048"/>
  <c r="V37" i="1048"/>
  <c r="U37" i="1048"/>
  <c r="T37" i="1048"/>
  <c r="S37" i="1048"/>
  <c r="R37" i="1048"/>
  <c r="Z36" i="1048"/>
  <c r="Y36" i="1048"/>
  <c r="X36" i="1048"/>
  <c r="W36" i="1048"/>
  <c r="V36" i="1048"/>
  <c r="U36" i="1048"/>
  <c r="T36" i="1048"/>
  <c r="S36" i="1048"/>
  <c r="R36" i="1048"/>
  <c r="Z35" i="1048"/>
  <c r="Y35" i="1048"/>
  <c r="X35" i="1048"/>
  <c r="W35" i="1048"/>
  <c r="V35" i="1048"/>
  <c r="U35" i="1048"/>
  <c r="T35" i="1048"/>
  <c r="S35" i="1048"/>
  <c r="R35" i="1048"/>
  <c r="Z34" i="1048"/>
  <c r="Y34" i="1048"/>
  <c r="X34" i="1048"/>
  <c r="W34" i="1048"/>
  <c r="V34" i="1048"/>
  <c r="U34" i="1048"/>
  <c r="T34" i="1048"/>
  <c r="S34" i="1048"/>
  <c r="R34" i="1048"/>
  <c r="Z33" i="1048"/>
  <c r="Y33" i="1048"/>
  <c r="X33" i="1048"/>
  <c r="W33" i="1048"/>
  <c r="V33" i="1048"/>
  <c r="U33" i="1048"/>
  <c r="T33" i="1048"/>
  <c r="S33" i="1048"/>
  <c r="R33" i="1048"/>
  <c r="M33" i="1048"/>
  <c r="L33" i="1048"/>
  <c r="K33" i="1048"/>
  <c r="Z32" i="1048"/>
  <c r="Y32" i="1048"/>
  <c r="X32" i="1048"/>
  <c r="W32" i="1048"/>
  <c r="V32" i="1048"/>
  <c r="U32" i="1048"/>
  <c r="T32" i="1048"/>
  <c r="S32" i="1048"/>
  <c r="R32" i="1048"/>
  <c r="M32" i="1048"/>
  <c r="Z31" i="1048"/>
  <c r="Y31" i="1048"/>
  <c r="X31" i="1048"/>
  <c r="W31" i="1048"/>
  <c r="V31" i="1048"/>
  <c r="U31" i="1048"/>
  <c r="T31" i="1048"/>
  <c r="S31" i="1048"/>
  <c r="R31" i="1048"/>
  <c r="Z30" i="1048"/>
  <c r="Y30" i="1048"/>
  <c r="X30" i="1048"/>
  <c r="W30" i="1048"/>
  <c r="V30" i="1048"/>
  <c r="U30" i="1048"/>
  <c r="T30" i="1048"/>
  <c r="S30" i="1048"/>
  <c r="R30" i="1048"/>
  <c r="M30" i="1048"/>
  <c r="Z29" i="1048"/>
  <c r="Y29" i="1048"/>
  <c r="X29" i="1048"/>
  <c r="W29" i="1048"/>
  <c r="V29" i="1048"/>
  <c r="U29" i="1048"/>
  <c r="T29" i="1048"/>
  <c r="S29" i="1048"/>
  <c r="R29" i="1048"/>
  <c r="M29" i="1048"/>
  <c r="Z28" i="1048"/>
  <c r="Y28" i="1048"/>
  <c r="X28" i="1048"/>
  <c r="W28" i="1048"/>
  <c r="V28" i="1048"/>
  <c r="U28" i="1048"/>
  <c r="T28" i="1048"/>
  <c r="S28" i="1048"/>
  <c r="R28" i="1048"/>
  <c r="M27" i="1048"/>
  <c r="L27" i="1048"/>
  <c r="K27" i="1048"/>
  <c r="X27" i="1048"/>
  <c r="Z26" i="1048"/>
  <c r="Y26" i="1048"/>
  <c r="X26" i="1048"/>
  <c r="W26" i="1048"/>
  <c r="V26" i="1048"/>
  <c r="U26" i="1048"/>
  <c r="T26" i="1048"/>
  <c r="S26" i="1048"/>
  <c r="R26" i="1048"/>
  <c r="Z25" i="1048"/>
  <c r="Y25" i="1048"/>
  <c r="X25" i="1048"/>
  <c r="W25" i="1048"/>
  <c r="V25" i="1048"/>
  <c r="U25" i="1048"/>
  <c r="T25" i="1048"/>
  <c r="S25" i="1048"/>
  <c r="R25" i="1048"/>
  <c r="Z24" i="1048"/>
  <c r="Y24" i="1048"/>
  <c r="X24" i="1048"/>
  <c r="W24" i="1048"/>
  <c r="V24" i="1048"/>
  <c r="U24" i="1048"/>
  <c r="T24" i="1048"/>
  <c r="S24" i="1048"/>
  <c r="R24" i="1048"/>
  <c r="Z23" i="1048"/>
  <c r="Y23" i="1048"/>
  <c r="X23" i="1048"/>
  <c r="W23" i="1048"/>
  <c r="V23" i="1048"/>
  <c r="U23" i="1048"/>
  <c r="T23" i="1048"/>
  <c r="S23" i="1048"/>
  <c r="R23" i="1048"/>
  <c r="Z22" i="1048"/>
  <c r="Y22" i="1048"/>
  <c r="X22" i="1048"/>
  <c r="W22" i="1048"/>
  <c r="V22" i="1048"/>
  <c r="U22" i="1048"/>
  <c r="T22" i="1048"/>
  <c r="S22" i="1048"/>
  <c r="R22" i="1048"/>
  <c r="Z21" i="1048"/>
  <c r="Y21" i="1048"/>
  <c r="X21" i="1048"/>
  <c r="W21" i="1048"/>
  <c r="V21" i="1048"/>
  <c r="U21" i="1048"/>
  <c r="T21" i="1048"/>
  <c r="S21" i="1048"/>
  <c r="R21" i="1048"/>
  <c r="Z20" i="1048"/>
  <c r="Y20" i="1048"/>
  <c r="X20" i="1048"/>
  <c r="W20" i="1048"/>
  <c r="V20" i="1048"/>
  <c r="U20" i="1048"/>
  <c r="T20" i="1048"/>
  <c r="S20" i="1048"/>
  <c r="R20" i="1048"/>
  <c r="Z19" i="1048"/>
  <c r="Y19" i="1048"/>
  <c r="X19" i="1048"/>
  <c r="W19" i="1048"/>
  <c r="V19" i="1048"/>
  <c r="U19" i="1048"/>
  <c r="T19" i="1048"/>
  <c r="S19" i="1048"/>
  <c r="R19" i="1048"/>
  <c r="Z18" i="1048"/>
  <c r="Y18" i="1048"/>
  <c r="X18" i="1048"/>
  <c r="W18" i="1048"/>
  <c r="V18" i="1048"/>
  <c r="U18" i="1048"/>
  <c r="T18" i="1048"/>
  <c r="S18" i="1048"/>
  <c r="R18" i="1048"/>
  <c r="Z17" i="1048"/>
  <c r="Y17" i="1048"/>
  <c r="X17" i="1048"/>
  <c r="W17" i="1048"/>
  <c r="V17" i="1048"/>
  <c r="U17" i="1048"/>
  <c r="T17" i="1048"/>
  <c r="S17" i="1048"/>
  <c r="R17" i="1048"/>
  <c r="Z16" i="1048"/>
  <c r="Y16" i="1048"/>
  <c r="X16" i="1048"/>
  <c r="W16" i="1048"/>
  <c r="V16" i="1048"/>
  <c r="U16" i="1048"/>
  <c r="T16" i="1048"/>
  <c r="S16" i="1048"/>
  <c r="R16" i="1048"/>
  <c r="Z15" i="1048"/>
  <c r="Y15" i="1048"/>
  <c r="X15" i="1048"/>
  <c r="W15" i="1048"/>
  <c r="V15" i="1048"/>
  <c r="U15" i="1048"/>
  <c r="T15" i="1048"/>
  <c r="S15" i="1048"/>
  <c r="R15" i="1048"/>
  <c r="Z14" i="1048"/>
  <c r="Y14" i="1048"/>
  <c r="X14" i="1048"/>
  <c r="W14" i="1048"/>
  <c r="V14" i="1048"/>
  <c r="U14" i="1048"/>
  <c r="T14" i="1048"/>
  <c r="S14" i="1048"/>
  <c r="R14" i="1048"/>
  <c r="Z13" i="1048"/>
  <c r="Y13" i="1048"/>
  <c r="X13" i="1048"/>
  <c r="W13" i="1048"/>
  <c r="V13" i="1048"/>
  <c r="U13" i="1048"/>
  <c r="T13" i="1048"/>
  <c r="S13" i="1048"/>
  <c r="R13" i="1048"/>
  <c r="Z12" i="1048"/>
  <c r="Y12" i="1048"/>
  <c r="X12" i="1048"/>
  <c r="W12" i="1048"/>
  <c r="V12" i="1048"/>
  <c r="U12" i="1048"/>
  <c r="T12" i="1048"/>
  <c r="S12" i="1048"/>
  <c r="R12" i="1048"/>
  <c r="Z11" i="1048"/>
  <c r="Y11" i="1048"/>
  <c r="X11" i="1048"/>
  <c r="W11" i="1048"/>
  <c r="V11" i="1048"/>
  <c r="U11" i="1048"/>
  <c r="T11" i="1048"/>
  <c r="S11" i="1048"/>
  <c r="R11" i="1048"/>
  <c r="Z10" i="1048"/>
  <c r="Y10" i="1048"/>
  <c r="X10" i="1048"/>
  <c r="W10" i="1048"/>
  <c r="V10" i="1048"/>
  <c r="U10" i="1048"/>
  <c r="T10" i="1048"/>
  <c r="S10" i="1048"/>
  <c r="R10" i="1048"/>
  <c r="K27" i="1045"/>
  <c r="C10" i="1045"/>
  <c r="D10" i="1045"/>
  <c r="E10" i="1045"/>
  <c r="F10" i="1045"/>
  <c r="G10" i="1045"/>
  <c r="I10" i="1045"/>
  <c r="J10" i="1045"/>
  <c r="L10" i="1045"/>
  <c r="M10" i="1045"/>
  <c r="N10" i="1045"/>
  <c r="O10" i="1045"/>
  <c r="C17" i="1044"/>
  <c r="D17" i="1044"/>
  <c r="E17" i="1044"/>
  <c r="F17" i="1044"/>
  <c r="G17" i="1044"/>
  <c r="I17" i="1044"/>
  <c r="J17" i="1044"/>
  <c r="L17" i="1044"/>
  <c r="M17" i="1044"/>
  <c r="N17" i="1044"/>
  <c r="O17" i="1044"/>
  <c r="C18" i="1044"/>
  <c r="D18" i="1044"/>
  <c r="E18" i="1044"/>
  <c r="F18" i="1044"/>
  <c r="G18" i="1044"/>
  <c r="I18" i="1044"/>
  <c r="J18" i="1044"/>
  <c r="L18" i="1044"/>
  <c r="M18" i="1044"/>
  <c r="N18" i="1044"/>
  <c r="O18" i="1044"/>
  <c r="J28" i="1048" l="1"/>
  <c r="M42" i="1048"/>
  <c r="K37" i="1048"/>
  <c r="L37" i="1048" s="1"/>
  <c r="M37" i="1048" s="1"/>
  <c r="R27" i="1048"/>
  <c r="S27" i="1048"/>
  <c r="U27" i="1048"/>
  <c r="W27" i="1048"/>
  <c r="Y27" i="1048"/>
  <c r="Z27" i="1048"/>
  <c r="T27" i="1048"/>
  <c r="V27" i="1048"/>
  <c r="M27" i="1047"/>
  <c r="L27" i="1047"/>
  <c r="K27" i="1047"/>
  <c r="C29" i="1047" l="1"/>
  <c r="C30" i="1047"/>
  <c r="C31" i="1047"/>
  <c r="C32" i="1047"/>
  <c r="C27" i="1047"/>
  <c r="C28" i="1047"/>
  <c r="C11" i="1047" l="1"/>
  <c r="D11" i="1047"/>
  <c r="E11" i="1047"/>
  <c r="F11" i="1047"/>
  <c r="G11" i="1047"/>
  <c r="I11" i="1047"/>
  <c r="J11" i="1047"/>
  <c r="L11" i="1047"/>
  <c r="M11" i="1047"/>
  <c r="N11" i="1047"/>
  <c r="O11" i="1047"/>
  <c r="C12" i="1047"/>
  <c r="D12" i="1047"/>
  <c r="E12" i="1047"/>
  <c r="F12" i="1047"/>
  <c r="G12" i="1047"/>
  <c r="I12" i="1047"/>
  <c r="J12" i="1047"/>
  <c r="L12" i="1047"/>
  <c r="M12" i="1047"/>
  <c r="N12" i="1047"/>
  <c r="O12" i="1047"/>
  <c r="C13" i="1047"/>
  <c r="D13" i="1047"/>
  <c r="E13" i="1047"/>
  <c r="F13" i="1047"/>
  <c r="G13" i="1047"/>
  <c r="I13" i="1047"/>
  <c r="J13" i="1047"/>
  <c r="L13" i="1047"/>
  <c r="M13" i="1047"/>
  <c r="N13" i="1047"/>
  <c r="O13" i="1047"/>
  <c r="C14" i="1047"/>
  <c r="D14" i="1047"/>
  <c r="E14" i="1047"/>
  <c r="F14" i="1047"/>
  <c r="G14" i="1047"/>
  <c r="I14" i="1047"/>
  <c r="J14" i="1047"/>
  <c r="L14" i="1047"/>
  <c r="M14" i="1047"/>
  <c r="N14" i="1047"/>
  <c r="O14" i="1047"/>
  <c r="O10" i="1047"/>
  <c r="N10" i="1047"/>
  <c r="M10" i="1047"/>
  <c r="L10" i="1047"/>
  <c r="J10" i="1047"/>
  <c r="I10" i="1047"/>
  <c r="G10" i="1047"/>
  <c r="F10" i="1047"/>
  <c r="E10" i="1047"/>
  <c r="D10" i="1047"/>
  <c r="C10" i="1047"/>
  <c r="AX58" i="1047"/>
  <c r="AW58" i="1047"/>
  <c r="AV58" i="1047"/>
  <c r="AU58" i="1047"/>
  <c r="AT58" i="1047"/>
  <c r="AS58" i="1047"/>
  <c r="AR58" i="1047"/>
  <c r="AQ58" i="1047"/>
  <c r="AP58" i="1047"/>
  <c r="AO58" i="1047"/>
  <c r="AN58" i="1047"/>
  <c r="AM58" i="1047"/>
  <c r="AL58" i="1047"/>
  <c r="AK58" i="1047"/>
  <c r="AJ58" i="1047"/>
  <c r="AI58" i="1047"/>
  <c r="AH58" i="1047"/>
  <c r="AG58" i="1047"/>
  <c r="AF58" i="1047"/>
  <c r="AE58" i="1047"/>
  <c r="AD58" i="1047"/>
  <c r="AC58" i="1047"/>
  <c r="AB58" i="1047"/>
  <c r="B58" i="1047"/>
  <c r="AX57" i="1047"/>
  <c r="AW57" i="1047"/>
  <c r="AV57" i="1047"/>
  <c r="AU57" i="1047"/>
  <c r="AT57" i="1047"/>
  <c r="AS57" i="1047"/>
  <c r="AR57" i="1047"/>
  <c r="AQ57" i="1047"/>
  <c r="AP57" i="1047"/>
  <c r="AO57" i="1047"/>
  <c r="AN57" i="1047"/>
  <c r="AM57" i="1047"/>
  <c r="AL57" i="1047"/>
  <c r="AK57" i="1047"/>
  <c r="AJ57" i="1047"/>
  <c r="AI57" i="1047"/>
  <c r="AH57" i="1047"/>
  <c r="AG57" i="1047"/>
  <c r="AF57" i="1047"/>
  <c r="AE57" i="1047"/>
  <c r="AD57" i="1047"/>
  <c r="AC57" i="1047"/>
  <c r="AB57" i="1047"/>
  <c r="AX56" i="1047"/>
  <c r="AW56" i="1047"/>
  <c r="AV56" i="1047"/>
  <c r="AU56" i="1047"/>
  <c r="AT56" i="1047"/>
  <c r="AS56" i="1047"/>
  <c r="AR56" i="1047"/>
  <c r="AQ56" i="1047"/>
  <c r="AP56" i="1047"/>
  <c r="AO56" i="1047"/>
  <c r="AN56" i="1047"/>
  <c r="AM56" i="1047"/>
  <c r="AL56" i="1047"/>
  <c r="AK56" i="1047"/>
  <c r="AJ56" i="1047"/>
  <c r="AI56" i="1047"/>
  <c r="AH56" i="1047"/>
  <c r="AG56" i="1047"/>
  <c r="AF56" i="1047"/>
  <c r="AE56" i="1047"/>
  <c r="AD56" i="1047"/>
  <c r="AC56" i="1047"/>
  <c r="AB56" i="1047"/>
  <c r="B56" i="1047"/>
  <c r="K51" i="1047"/>
  <c r="Z38" i="1047"/>
  <c r="Y38" i="1047"/>
  <c r="X38" i="1047"/>
  <c r="W38" i="1047"/>
  <c r="V38" i="1047"/>
  <c r="U38" i="1047"/>
  <c r="T38" i="1047"/>
  <c r="S38" i="1047"/>
  <c r="R38" i="1047"/>
  <c r="Z37" i="1047"/>
  <c r="Y37" i="1047"/>
  <c r="X37" i="1047"/>
  <c r="W37" i="1047"/>
  <c r="V37" i="1047"/>
  <c r="U37" i="1047"/>
  <c r="T37" i="1047"/>
  <c r="S37" i="1047"/>
  <c r="R37" i="1047"/>
  <c r="Z36" i="1047"/>
  <c r="Y36" i="1047"/>
  <c r="X36" i="1047"/>
  <c r="W36" i="1047"/>
  <c r="V36" i="1047"/>
  <c r="U36" i="1047"/>
  <c r="T36" i="1047"/>
  <c r="S36" i="1047"/>
  <c r="R36" i="1047"/>
  <c r="Z35" i="1047"/>
  <c r="Y35" i="1047"/>
  <c r="X35" i="1047"/>
  <c r="W35" i="1047"/>
  <c r="V35" i="1047"/>
  <c r="U35" i="1047"/>
  <c r="T35" i="1047"/>
  <c r="S35" i="1047"/>
  <c r="R35" i="1047"/>
  <c r="Z34" i="1047"/>
  <c r="Y34" i="1047"/>
  <c r="X34" i="1047"/>
  <c r="W34" i="1047"/>
  <c r="V34" i="1047"/>
  <c r="U34" i="1047"/>
  <c r="T34" i="1047"/>
  <c r="S34" i="1047"/>
  <c r="R34" i="1047"/>
  <c r="Z33" i="1047"/>
  <c r="Y33" i="1047"/>
  <c r="X33" i="1047"/>
  <c r="W33" i="1047"/>
  <c r="V33" i="1047"/>
  <c r="U33" i="1047"/>
  <c r="T33" i="1047"/>
  <c r="S33" i="1047"/>
  <c r="R33" i="1047"/>
  <c r="M33" i="1047"/>
  <c r="L33" i="1047"/>
  <c r="K33" i="1047"/>
  <c r="Z32" i="1047"/>
  <c r="Y32" i="1047"/>
  <c r="X32" i="1047"/>
  <c r="W32" i="1047"/>
  <c r="V32" i="1047"/>
  <c r="U32" i="1047"/>
  <c r="T32" i="1047"/>
  <c r="S32" i="1047"/>
  <c r="R32" i="1047"/>
  <c r="M32" i="1047"/>
  <c r="Z31" i="1047"/>
  <c r="Y31" i="1047"/>
  <c r="X31" i="1047"/>
  <c r="W31" i="1047"/>
  <c r="V31" i="1047"/>
  <c r="U31" i="1047"/>
  <c r="T31" i="1047"/>
  <c r="S31" i="1047"/>
  <c r="R31" i="1047"/>
  <c r="Z30" i="1047"/>
  <c r="Y30" i="1047"/>
  <c r="X30" i="1047"/>
  <c r="W30" i="1047"/>
  <c r="V30" i="1047"/>
  <c r="U30" i="1047"/>
  <c r="T30" i="1047"/>
  <c r="S30" i="1047"/>
  <c r="R30" i="1047"/>
  <c r="M30" i="1047"/>
  <c r="Z29" i="1047"/>
  <c r="Y29" i="1047"/>
  <c r="X29" i="1047"/>
  <c r="W29" i="1047"/>
  <c r="V29" i="1047"/>
  <c r="U29" i="1047"/>
  <c r="T29" i="1047"/>
  <c r="S29" i="1047"/>
  <c r="R29" i="1047"/>
  <c r="M29" i="1047"/>
  <c r="Z28" i="1047"/>
  <c r="Y28" i="1047"/>
  <c r="X28" i="1047"/>
  <c r="W28" i="1047"/>
  <c r="V28" i="1047"/>
  <c r="U28" i="1047"/>
  <c r="T28" i="1047"/>
  <c r="S28" i="1047"/>
  <c r="R28" i="1047"/>
  <c r="M28" i="1047"/>
  <c r="L28" i="1047"/>
  <c r="K28" i="1047"/>
  <c r="B27" i="1047"/>
  <c r="Z27" i="1047" s="1"/>
  <c r="Z26" i="1047"/>
  <c r="Y26" i="1047"/>
  <c r="X26" i="1047"/>
  <c r="W26" i="1047"/>
  <c r="V26" i="1047"/>
  <c r="U26" i="1047"/>
  <c r="T26" i="1047"/>
  <c r="S26" i="1047"/>
  <c r="R26" i="1047"/>
  <c r="Z25" i="1047"/>
  <c r="Y25" i="1047"/>
  <c r="X25" i="1047"/>
  <c r="W25" i="1047"/>
  <c r="V25" i="1047"/>
  <c r="U25" i="1047"/>
  <c r="T25" i="1047"/>
  <c r="S25" i="1047"/>
  <c r="R25" i="1047"/>
  <c r="Z24" i="1047"/>
  <c r="Y24" i="1047"/>
  <c r="X24" i="1047"/>
  <c r="W24" i="1047"/>
  <c r="V24" i="1047"/>
  <c r="U24" i="1047"/>
  <c r="T24" i="1047"/>
  <c r="S24" i="1047"/>
  <c r="R24" i="1047"/>
  <c r="Z23" i="1047"/>
  <c r="Y23" i="1047"/>
  <c r="X23" i="1047"/>
  <c r="W23" i="1047"/>
  <c r="V23" i="1047"/>
  <c r="U23" i="1047"/>
  <c r="T23" i="1047"/>
  <c r="S23" i="1047"/>
  <c r="R23" i="1047"/>
  <c r="Z22" i="1047"/>
  <c r="Y22" i="1047"/>
  <c r="X22" i="1047"/>
  <c r="W22" i="1047"/>
  <c r="V22" i="1047"/>
  <c r="U22" i="1047"/>
  <c r="T22" i="1047"/>
  <c r="S22" i="1047"/>
  <c r="R22" i="1047"/>
  <c r="Z21" i="1047"/>
  <c r="Y21" i="1047"/>
  <c r="X21" i="1047"/>
  <c r="W21" i="1047"/>
  <c r="V21" i="1047"/>
  <c r="U21" i="1047"/>
  <c r="T21" i="1047"/>
  <c r="S21" i="1047"/>
  <c r="R21" i="1047"/>
  <c r="Z20" i="1047"/>
  <c r="Y20" i="1047"/>
  <c r="X20" i="1047"/>
  <c r="W20" i="1047"/>
  <c r="V20" i="1047"/>
  <c r="U20" i="1047"/>
  <c r="T20" i="1047"/>
  <c r="S20" i="1047"/>
  <c r="R20" i="1047"/>
  <c r="Z19" i="1047"/>
  <c r="Y19" i="1047"/>
  <c r="X19" i="1047"/>
  <c r="W19" i="1047"/>
  <c r="V19" i="1047"/>
  <c r="U19" i="1047"/>
  <c r="T19" i="1047"/>
  <c r="S19" i="1047"/>
  <c r="R19" i="1047"/>
  <c r="Z18" i="1047"/>
  <c r="Y18" i="1047"/>
  <c r="X18" i="1047"/>
  <c r="W18" i="1047"/>
  <c r="V18" i="1047"/>
  <c r="U18" i="1047"/>
  <c r="T18" i="1047"/>
  <c r="S18" i="1047"/>
  <c r="R18" i="1047"/>
  <c r="Z17" i="1047"/>
  <c r="Y17" i="1047"/>
  <c r="X17" i="1047"/>
  <c r="W17" i="1047"/>
  <c r="V17" i="1047"/>
  <c r="U17" i="1047"/>
  <c r="T17" i="1047"/>
  <c r="S17" i="1047"/>
  <c r="R17" i="1047"/>
  <c r="Z16" i="1047"/>
  <c r="Y16" i="1047"/>
  <c r="X16" i="1047"/>
  <c r="W16" i="1047"/>
  <c r="V16" i="1047"/>
  <c r="U16" i="1047"/>
  <c r="T16" i="1047"/>
  <c r="S16" i="1047"/>
  <c r="R16" i="1047"/>
  <c r="Z15" i="1047"/>
  <c r="Y15" i="1047"/>
  <c r="X15" i="1047"/>
  <c r="W15" i="1047"/>
  <c r="V15" i="1047"/>
  <c r="U15" i="1047"/>
  <c r="T15" i="1047"/>
  <c r="S15" i="1047"/>
  <c r="R15" i="1047"/>
  <c r="Z14" i="1047"/>
  <c r="Y14" i="1047"/>
  <c r="X14" i="1047"/>
  <c r="W14" i="1047"/>
  <c r="V14" i="1047"/>
  <c r="U14" i="1047"/>
  <c r="T14" i="1047"/>
  <c r="S14" i="1047"/>
  <c r="R14" i="1047"/>
  <c r="Z13" i="1047"/>
  <c r="Y13" i="1047"/>
  <c r="X13" i="1047"/>
  <c r="W13" i="1047"/>
  <c r="V13" i="1047"/>
  <c r="U13" i="1047"/>
  <c r="T13" i="1047"/>
  <c r="S13" i="1047"/>
  <c r="R13" i="1047"/>
  <c r="Z12" i="1047"/>
  <c r="Y12" i="1047"/>
  <c r="X12" i="1047"/>
  <c r="W12" i="1047"/>
  <c r="V12" i="1047"/>
  <c r="U12" i="1047"/>
  <c r="T12" i="1047"/>
  <c r="S12" i="1047"/>
  <c r="R12" i="1047"/>
  <c r="Z11" i="1047"/>
  <c r="Y11" i="1047"/>
  <c r="X11" i="1047"/>
  <c r="W11" i="1047"/>
  <c r="V11" i="1047"/>
  <c r="U11" i="1047"/>
  <c r="T11" i="1047"/>
  <c r="S11" i="1047"/>
  <c r="R11" i="1047"/>
  <c r="Z10" i="1047"/>
  <c r="Y10" i="1047"/>
  <c r="X10" i="1047"/>
  <c r="W10" i="1047"/>
  <c r="V10" i="1047"/>
  <c r="U10" i="1047"/>
  <c r="T10" i="1047"/>
  <c r="S10" i="1047"/>
  <c r="R10" i="1047"/>
  <c r="J27" i="1047" l="1"/>
  <c r="K37" i="1047"/>
  <c r="L37" i="1047" s="1"/>
  <c r="M37" i="1047" s="1"/>
  <c r="R27" i="1047"/>
  <c r="U27" i="1047"/>
  <c r="V27" i="1047"/>
  <c r="W27" i="1047"/>
  <c r="T27" i="1047"/>
  <c r="X27" i="1047"/>
  <c r="Y27" i="1047"/>
  <c r="S27" i="1047"/>
  <c r="R15" i="1046" l="1"/>
  <c r="S15" i="1046"/>
  <c r="T15" i="1046"/>
  <c r="U15" i="1046"/>
  <c r="V15" i="1046"/>
  <c r="W15" i="1046"/>
  <c r="X15" i="1046"/>
  <c r="Y15" i="1046"/>
  <c r="Z15" i="1046"/>
  <c r="R16" i="1046"/>
  <c r="S16" i="1046"/>
  <c r="T16" i="1046"/>
  <c r="U16" i="1046"/>
  <c r="V16" i="1046"/>
  <c r="W16" i="1046"/>
  <c r="X16" i="1046"/>
  <c r="Y16" i="1046"/>
  <c r="Z16" i="1046"/>
  <c r="R17" i="1046"/>
  <c r="S17" i="1046"/>
  <c r="T17" i="1046"/>
  <c r="U17" i="1046"/>
  <c r="V17" i="1046"/>
  <c r="W17" i="1046"/>
  <c r="X17" i="1046"/>
  <c r="Y17" i="1046"/>
  <c r="Z17" i="1046"/>
  <c r="R18" i="1046"/>
  <c r="S18" i="1046"/>
  <c r="T18" i="1046"/>
  <c r="U18" i="1046"/>
  <c r="V18" i="1046"/>
  <c r="W18" i="1046"/>
  <c r="X18" i="1046"/>
  <c r="Y18" i="1046"/>
  <c r="Z18" i="1046"/>
  <c r="R19" i="1046"/>
  <c r="S19" i="1046"/>
  <c r="T19" i="1046"/>
  <c r="U19" i="1046"/>
  <c r="V19" i="1046"/>
  <c r="W19" i="1046"/>
  <c r="X19" i="1046"/>
  <c r="Y19" i="1046"/>
  <c r="Z19" i="1046"/>
  <c r="R20" i="1046"/>
  <c r="S20" i="1046"/>
  <c r="T20" i="1046"/>
  <c r="U20" i="1046"/>
  <c r="V20" i="1046"/>
  <c r="W20" i="1046"/>
  <c r="X20" i="1046"/>
  <c r="Y20" i="1046"/>
  <c r="Z20" i="1046"/>
  <c r="R21" i="1046"/>
  <c r="S21" i="1046"/>
  <c r="T21" i="1046"/>
  <c r="U21" i="1046"/>
  <c r="V21" i="1046"/>
  <c r="W21" i="1046"/>
  <c r="X21" i="1046"/>
  <c r="Y21" i="1046"/>
  <c r="Z21" i="1046"/>
  <c r="R22" i="1046"/>
  <c r="S22" i="1046"/>
  <c r="T22" i="1046"/>
  <c r="U22" i="1046"/>
  <c r="V22" i="1046"/>
  <c r="W22" i="1046"/>
  <c r="X22" i="1046"/>
  <c r="Y22" i="1046"/>
  <c r="Z22" i="1046"/>
  <c r="R23" i="1046"/>
  <c r="S23" i="1046"/>
  <c r="T23" i="1046"/>
  <c r="U23" i="1046"/>
  <c r="V23" i="1046"/>
  <c r="W23" i="1046"/>
  <c r="X23" i="1046"/>
  <c r="Y23" i="1046"/>
  <c r="Z23" i="1046"/>
  <c r="R24" i="1046"/>
  <c r="S24" i="1046"/>
  <c r="T24" i="1046"/>
  <c r="U24" i="1046"/>
  <c r="V24" i="1046"/>
  <c r="W24" i="1046"/>
  <c r="X24" i="1046"/>
  <c r="Y24" i="1046"/>
  <c r="Z24" i="1046"/>
  <c r="R25" i="1046"/>
  <c r="S25" i="1046"/>
  <c r="T25" i="1046"/>
  <c r="U25" i="1046"/>
  <c r="V25" i="1046"/>
  <c r="W25" i="1046"/>
  <c r="X25" i="1046"/>
  <c r="Y25" i="1046"/>
  <c r="Z25" i="1046"/>
  <c r="R26" i="1046"/>
  <c r="S26" i="1046"/>
  <c r="T26" i="1046"/>
  <c r="U26" i="1046"/>
  <c r="V26" i="1046"/>
  <c r="W26" i="1046"/>
  <c r="X26" i="1046"/>
  <c r="Y26" i="1046"/>
  <c r="Z26" i="1046"/>
  <c r="R27" i="1046"/>
  <c r="S27" i="1046"/>
  <c r="T27" i="1046"/>
  <c r="U27" i="1046"/>
  <c r="V27" i="1046"/>
  <c r="W27" i="1046"/>
  <c r="X27" i="1046"/>
  <c r="Y27" i="1046"/>
  <c r="Z27" i="1046"/>
  <c r="R10" i="1045"/>
  <c r="S10" i="1045"/>
  <c r="T10" i="1045"/>
  <c r="U10" i="1045"/>
  <c r="V10" i="1045"/>
  <c r="W10" i="1045"/>
  <c r="X10" i="1045"/>
  <c r="Y10" i="1045"/>
  <c r="Z10" i="1045"/>
  <c r="R11" i="1045"/>
  <c r="S11" i="1045"/>
  <c r="T11" i="1045"/>
  <c r="U11" i="1045"/>
  <c r="V11" i="1045"/>
  <c r="W11" i="1045"/>
  <c r="X11" i="1045"/>
  <c r="Y11" i="1045"/>
  <c r="Z11" i="1045"/>
  <c r="R12" i="1045"/>
  <c r="S12" i="1045"/>
  <c r="T12" i="1045"/>
  <c r="U12" i="1045"/>
  <c r="V12" i="1045"/>
  <c r="W12" i="1045"/>
  <c r="X12" i="1045"/>
  <c r="Y12" i="1045"/>
  <c r="Z12" i="1045"/>
  <c r="R13" i="1045"/>
  <c r="S13" i="1045"/>
  <c r="T13" i="1045"/>
  <c r="U13" i="1045"/>
  <c r="V13" i="1045"/>
  <c r="W13" i="1045"/>
  <c r="X13" i="1045"/>
  <c r="Y13" i="1045"/>
  <c r="Z13" i="1045"/>
  <c r="R14" i="1045"/>
  <c r="S14" i="1045"/>
  <c r="T14" i="1045"/>
  <c r="U14" i="1045"/>
  <c r="V14" i="1045"/>
  <c r="W14" i="1045"/>
  <c r="X14" i="1045"/>
  <c r="Y14" i="1045"/>
  <c r="Z14" i="1045"/>
  <c r="R15" i="1045"/>
  <c r="S15" i="1045"/>
  <c r="T15" i="1045"/>
  <c r="U15" i="1045"/>
  <c r="V15" i="1045"/>
  <c r="W15" i="1045"/>
  <c r="X15" i="1045"/>
  <c r="Y15" i="1045"/>
  <c r="Z15" i="1045"/>
  <c r="R16" i="1045"/>
  <c r="S16" i="1045"/>
  <c r="T16" i="1045"/>
  <c r="U16" i="1045"/>
  <c r="V16" i="1045"/>
  <c r="W16" i="1045"/>
  <c r="X16" i="1045"/>
  <c r="Y16" i="1045"/>
  <c r="Z16" i="1045"/>
  <c r="R17" i="1045"/>
  <c r="S17" i="1045"/>
  <c r="T17" i="1045"/>
  <c r="U17" i="1045"/>
  <c r="V17" i="1045"/>
  <c r="W17" i="1045"/>
  <c r="X17" i="1045"/>
  <c r="Y17" i="1045"/>
  <c r="Z17" i="1045"/>
  <c r="R18" i="1045"/>
  <c r="S18" i="1045"/>
  <c r="T18" i="1045"/>
  <c r="U18" i="1045"/>
  <c r="V18" i="1045"/>
  <c r="W18" i="1045"/>
  <c r="X18" i="1045"/>
  <c r="Y18" i="1045"/>
  <c r="Z18" i="1045"/>
  <c r="R19" i="1045"/>
  <c r="S19" i="1045"/>
  <c r="T19" i="1045"/>
  <c r="U19" i="1045"/>
  <c r="V19" i="1045"/>
  <c r="W19" i="1045"/>
  <c r="X19" i="1045"/>
  <c r="Y19" i="1045"/>
  <c r="Z19" i="1045"/>
  <c r="R20" i="1045"/>
  <c r="S20" i="1045"/>
  <c r="T20" i="1045"/>
  <c r="U20" i="1045"/>
  <c r="V20" i="1045"/>
  <c r="W20" i="1045"/>
  <c r="X20" i="1045"/>
  <c r="Y20" i="1045"/>
  <c r="Z20" i="1045"/>
  <c r="R21" i="1045"/>
  <c r="S21" i="1045"/>
  <c r="T21" i="1045"/>
  <c r="U21" i="1045"/>
  <c r="V21" i="1045"/>
  <c r="W21" i="1045"/>
  <c r="X21" i="1045"/>
  <c r="Y21" i="1045"/>
  <c r="Z21" i="1045"/>
  <c r="R22" i="1045"/>
  <c r="S22" i="1045"/>
  <c r="T22" i="1045"/>
  <c r="U22" i="1045"/>
  <c r="V22" i="1045"/>
  <c r="W22" i="1045"/>
  <c r="X22" i="1045"/>
  <c r="Y22" i="1045"/>
  <c r="Z22" i="1045"/>
  <c r="R23" i="1045"/>
  <c r="S23" i="1045"/>
  <c r="T23" i="1045"/>
  <c r="U23" i="1045"/>
  <c r="V23" i="1045"/>
  <c r="W23" i="1045"/>
  <c r="X23" i="1045"/>
  <c r="Y23" i="1045"/>
  <c r="Z23" i="1045"/>
  <c r="R24" i="1045"/>
  <c r="S24" i="1045"/>
  <c r="T24" i="1045"/>
  <c r="U24" i="1045"/>
  <c r="V24" i="1045"/>
  <c r="W24" i="1045"/>
  <c r="X24" i="1045"/>
  <c r="Y24" i="1045"/>
  <c r="Z24" i="1045"/>
  <c r="R25" i="1045"/>
  <c r="S25" i="1045"/>
  <c r="T25" i="1045"/>
  <c r="U25" i="1045"/>
  <c r="V25" i="1045"/>
  <c r="W25" i="1045"/>
  <c r="X25" i="1045"/>
  <c r="Y25" i="1045"/>
  <c r="Z25" i="1045"/>
  <c r="R26" i="1045"/>
  <c r="S26" i="1045"/>
  <c r="T26" i="1045"/>
  <c r="U26" i="1045"/>
  <c r="V26" i="1045"/>
  <c r="W26" i="1045"/>
  <c r="X26" i="1045"/>
  <c r="Y26" i="1045"/>
  <c r="Z26" i="1045"/>
  <c r="R28" i="1045"/>
  <c r="S28" i="1045"/>
  <c r="T28" i="1045"/>
  <c r="U28" i="1045"/>
  <c r="V28" i="1045"/>
  <c r="W28" i="1045"/>
  <c r="X28" i="1045"/>
  <c r="Y28" i="1045"/>
  <c r="Z28" i="1045"/>
  <c r="R29" i="1045"/>
  <c r="S29" i="1045"/>
  <c r="T29" i="1045"/>
  <c r="U29" i="1045"/>
  <c r="V29" i="1045"/>
  <c r="W29" i="1045"/>
  <c r="X29" i="1045"/>
  <c r="Y29" i="1045"/>
  <c r="Z29" i="1045"/>
  <c r="K27" i="1046"/>
  <c r="C14" i="1046"/>
  <c r="D14" i="1046"/>
  <c r="E14" i="1046"/>
  <c r="F14" i="1046"/>
  <c r="G14" i="1046"/>
  <c r="I14" i="1046"/>
  <c r="J14" i="1046"/>
  <c r="L14" i="1046"/>
  <c r="M14" i="1046"/>
  <c r="O14" i="1046"/>
  <c r="C15" i="1046"/>
  <c r="D15" i="1046"/>
  <c r="E15" i="1046"/>
  <c r="F15" i="1046"/>
  <c r="G15" i="1046"/>
  <c r="I15" i="1046"/>
  <c r="J15" i="1046"/>
  <c r="L15" i="1046"/>
  <c r="M15" i="1046"/>
  <c r="N15" i="1046"/>
  <c r="O15" i="1046"/>
  <c r="C16" i="1046"/>
  <c r="D16" i="1046"/>
  <c r="E16" i="1046"/>
  <c r="F16" i="1046"/>
  <c r="G16" i="1046"/>
  <c r="I16" i="1046"/>
  <c r="J16" i="1046"/>
  <c r="L16" i="1046"/>
  <c r="M16" i="1046"/>
  <c r="N16" i="1046"/>
  <c r="O16" i="1046"/>
  <c r="C17" i="1046"/>
  <c r="D17" i="1046"/>
  <c r="E17" i="1046"/>
  <c r="F17" i="1046"/>
  <c r="G17" i="1046"/>
  <c r="I17" i="1046"/>
  <c r="J17" i="1046"/>
  <c r="L17" i="1046"/>
  <c r="M17" i="1046"/>
  <c r="N17" i="1046"/>
  <c r="O17" i="1046"/>
  <c r="C18" i="1046"/>
  <c r="D18" i="1046"/>
  <c r="E18" i="1046"/>
  <c r="F18" i="1046"/>
  <c r="G18" i="1046"/>
  <c r="I18" i="1046"/>
  <c r="J18" i="1046"/>
  <c r="L18" i="1046"/>
  <c r="M18" i="1046"/>
  <c r="N18" i="1046"/>
  <c r="O18" i="1046"/>
  <c r="C21" i="1046"/>
  <c r="D21" i="1046"/>
  <c r="E21" i="1046"/>
  <c r="F21" i="1046"/>
  <c r="G21" i="1046"/>
  <c r="L21" i="1046"/>
  <c r="M21" i="1046"/>
  <c r="N21" i="1046"/>
  <c r="O21" i="1046"/>
  <c r="J21" i="1046" l="1"/>
  <c r="I21" i="1046"/>
  <c r="L27" i="1046"/>
  <c r="M27" i="1046"/>
  <c r="C39" i="1046" l="1"/>
  <c r="C40" i="1046"/>
  <c r="C41" i="1046"/>
  <c r="C42" i="1046"/>
  <c r="C43" i="1046"/>
  <c r="C44" i="1046"/>
  <c r="C45" i="1046"/>
  <c r="C46" i="1046"/>
  <c r="B39" i="1046"/>
  <c r="N14" i="1046" l="1"/>
  <c r="M60" i="1046"/>
  <c r="B62" i="1046"/>
  <c r="B60" i="1046"/>
  <c r="C27" i="1046"/>
  <c r="C28" i="1046"/>
  <c r="C29" i="1046"/>
  <c r="C30" i="1046"/>
  <c r="C31" i="1046"/>
  <c r="C32" i="1046"/>
  <c r="C33" i="1046"/>
  <c r="C34" i="1046"/>
  <c r="C35" i="1046"/>
  <c r="C36" i="1046"/>
  <c r="C11" i="1046" l="1"/>
  <c r="D11" i="1046"/>
  <c r="E11" i="1046"/>
  <c r="F11" i="1046"/>
  <c r="G11" i="1046"/>
  <c r="I11" i="1046"/>
  <c r="J11" i="1046"/>
  <c r="L11" i="1046"/>
  <c r="M11" i="1046"/>
  <c r="N11" i="1046"/>
  <c r="O11" i="1046"/>
  <c r="C12" i="1046"/>
  <c r="D12" i="1046"/>
  <c r="E12" i="1046"/>
  <c r="F12" i="1046"/>
  <c r="G12" i="1046"/>
  <c r="I12" i="1046"/>
  <c r="J12" i="1046"/>
  <c r="L12" i="1046"/>
  <c r="M12" i="1046"/>
  <c r="N12" i="1046"/>
  <c r="O12" i="1046"/>
  <c r="C13" i="1046"/>
  <c r="D13" i="1046"/>
  <c r="E13" i="1046"/>
  <c r="F13" i="1046"/>
  <c r="G13" i="1046"/>
  <c r="I13" i="1046"/>
  <c r="J13" i="1046"/>
  <c r="L13" i="1046"/>
  <c r="M13" i="1046"/>
  <c r="N13" i="1046"/>
  <c r="O13" i="1046"/>
  <c r="O10" i="1046"/>
  <c r="N10" i="1046"/>
  <c r="M10" i="1046"/>
  <c r="L10" i="1046"/>
  <c r="J10" i="1046"/>
  <c r="I10" i="1046"/>
  <c r="G10" i="1046"/>
  <c r="F10" i="1046"/>
  <c r="E10" i="1046"/>
  <c r="D10" i="1046"/>
  <c r="C10" i="1046"/>
  <c r="B27" i="1046"/>
  <c r="AX58" i="1046"/>
  <c r="AW58" i="1046"/>
  <c r="AV58" i="1046"/>
  <c r="AU58" i="1046"/>
  <c r="AT58" i="1046"/>
  <c r="AS58" i="1046"/>
  <c r="AR58" i="1046"/>
  <c r="AQ58" i="1046"/>
  <c r="AP58" i="1046"/>
  <c r="AO58" i="1046"/>
  <c r="AN58" i="1046"/>
  <c r="AM58" i="1046"/>
  <c r="AL58" i="1046"/>
  <c r="AK58" i="1046"/>
  <c r="AJ58" i="1046"/>
  <c r="AI58" i="1046"/>
  <c r="AH58" i="1046"/>
  <c r="AG58" i="1046"/>
  <c r="AF58" i="1046"/>
  <c r="AE58" i="1046"/>
  <c r="AD58" i="1046"/>
  <c r="AC58" i="1046"/>
  <c r="AB58" i="1046"/>
  <c r="B58" i="1046"/>
  <c r="AX57" i="1046"/>
  <c r="AW57" i="1046"/>
  <c r="AV57" i="1046"/>
  <c r="AU57" i="1046"/>
  <c r="AT57" i="1046"/>
  <c r="AS57" i="1046"/>
  <c r="AR57" i="1046"/>
  <c r="AQ57" i="1046"/>
  <c r="AP57" i="1046"/>
  <c r="AO57" i="1046"/>
  <c r="AN57" i="1046"/>
  <c r="AM57" i="1046"/>
  <c r="AL57" i="1046"/>
  <c r="AK57" i="1046"/>
  <c r="AJ57" i="1046"/>
  <c r="AI57" i="1046"/>
  <c r="AH57" i="1046"/>
  <c r="AG57" i="1046"/>
  <c r="AF57" i="1046"/>
  <c r="AE57" i="1046"/>
  <c r="AD57" i="1046"/>
  <c r="AC57" i="1046"/>
  <c r="AB57" i="1046"/>
  <c r="AX56" i="1046"/>
  <c r="AW56" i="1046"/>
  <c r="AV56" i="1046"/>
  <c r="AU56" i="1046"/>
  <c r="AT56" i="1046"/>
  <c r="AS56" i="1046"/>
  <c r="AR56" i="1046"/>
  <c r="AQ56" i="1046"/>
  <c r="AP56" i="1046"/>
  <c r="AO56" i="1046"/>
  <c r="AN56" i="1046"/>
  <c r="AM56" i="1046"/>
  <c r="AL56" i="1046"/>
  <c r="AK56" i="1046"/>
  <c r="AJ56" i="1046"/>
  <c r="AI56" i="1046"/>
  <c r="AH56" i="1046"/>
  <c r="AG56" i="1046"/>
  <c r="AF56" i="1046"/>
  <c r="AE56" i="1046"/>
  <c r="AD56" i="1046"/>
  <c r="AC56" i="1046"/>
  <c r="AB56" i="1046"/>
  <c r="B56" i="1046"/>
  <c r="K51" i="1046"/>
  <c r="Z38" i="1046"/>
  <c r="Y38" i="1046"/>
  <c r="X38" i="1046"/>
  <c r="W38" i="1046"/>
  <c r="V38" i="1046"/>
  <c r="U38" i="1046"/>
  <c r="T38" i="1046"/>
  <c r="S38" i="1046"/>
  <c r="R38" i="1046"/>
  <c r="Z37" i="1046"/>
  <c r="Y37" i="1046"/>
  <c r="X37" i="1046"/>
  <c r="W37" i="1046"/>
  <c r="V37" i="1046"/>
  <c r="U37" i="1046"/>
  <c r="T37" i="1046"/>
  <c r="S37" i="1046"/>
  <c r="R37" i="1046"/>
  <c r="Z36" i="1046"/>
  <c r="Y36" i="1046"/>
  <c r="X36" i="1046"/>
  <c r="W36" i="1046"/>
  <c r="V36" i="1046"/>
  <c r="U36" i="1046"/>
  <c r="T36" i="1046"/>
  <c r="S36" i="1046"/>
  <c r="R36" i="1046"/>
  <c r="Z35" i="1046"/>
  <c r="Y35" i="1046"/>
  <c r="X35" i="1046"/>
  <c r="W35" i="1046"/>
  <c r="V35" i="1046"/>
  <c r="U35" i="1046"/>
  <c r="T35" i="1046"/>
  <c r="S35" i="1046"/>
  <c r="R35" i="1046"/>
  <c r="Z34" i="1046"/>
  <c r="Y34" i="1046"/>
  <c r="X34" i="1046"/>
  <c r="W34" i="1046"/>
  <c r="V34" i="1046"/>
  <c r="U34" i="1046"/>
  <c r="T34" i="1046"/>
  <c r="S34" i="1046"/>
  <c r="R34" i="1046"/>
  <c r="Z33" i="1046"/>
  <c r="Y33" i="1046"/>
  <c r="X33" i="1046"/>
  <c r="W33" i="1046"/>
  <c r="V33" i="1046"/>
  <c r="U33" i="1046"/>
  <c r="T33" i="1046"/>
  <c r="S33" i="1046"/>
  <c r="R33" i="1046"/>
  <c r="M33" i="1046"/>
  <c r="L33" i="1046"/>
  <c r="K33" i="1046"/>
  <c r="Z32" i="1046"/>
  <c r="Y32" i="1046"/>
  <c r="X32" i="1046"/>
  <c r="W32" i="1046"/>
  <c r="V32" i="1046"/>
  <c r="U32" i="1046"/>
  <c r="T32" i="1046"/>
  <c r="S32" i="1046"/>
  <c r="R32" i="1046"/>
  <c r="M32" i="1046"/>
  <c r="Z31" i="1046"/>
  <c r="Y31" i="1046"/>
  <c r="X31" i="1046"/>
  <c r="W31" i="1046"/>
  <c r="V31" i="1046"/>
  <c r="U31" i="1046"/>
  <c r="T31" i="1046"/>
  <c r="S31" i="1046"/>
  <c r="R31" i="1046"/>
  <c r="Z30" i="1046"/>
  <c r="Y30" i="1046"/>
  <c r="X30" i="1046"/>
  <c r="W30" i="1046"/>
  <c r="V30" i="1046"/>
  <c r="U30" i="1046"/>
  <c r="T30" i="1046"/>
  <c r="S30" i="1046"/>
  <c r="R30" i="1046"/>
  <c r="M30" i="1046"/>
  <c r="Z29" i="1046"/>
  <c r="Y29" i="1046"/>
  <c r="X29" i="1046"/>
  <c r="W29" i="1046"/>
  <c r="V29" i="1046"/>
  <c r="U29" i="1046"/>
  <c r="T29" i="1046"/>
  <c r="S29" i="1046"/>
  <c r="R29" i="1046"/>
  <c r="M29" i="1046"/>
  <c r="Z28" i="1046"/>
  <c r="Y28" i="1046"/>
  <c r="X28" i="1046"/>
  <c r="W28" i="1046"/>
  <c r="V28" i="1046"/>
  <c r="U28" i="1046"/>
  <c r="T28" i="1046"/>
  <c r="S28" i="1046"/>
  <c r="R28" i="1046"/>
  <c r="M28" i="1046"/>
  <c r="L28" i="1046"/>
  <c r="K28" i="1046"/>
  <c r="Z14" i="1046"/>
  <c r="Y14" i="1046"/>
  <c r="X14" i="1046"/>
  <c r="W14" i="1046"/>
  <c r="V14" i="1046"/>
  <c r="U14" i="1046"/>
  <c r="T14" i="1046"/>
  <c r="S14" i="1046"/>
  <c r="R14" i="1046"/>
  <c r="Z13" i="1046"/>
  <c r="Y13" i="1046"/>
  <c r="X13" i="1046"/>
  <c r="W13" i="1046"/>
  <c r="V13" i="1046"/>
  <c r="U13" i="1046"/>
  <c r="T13" i="1046"/>
  <c r="S13" i="1046"/>
  <c r="R13" i="1046"/>
  <c r="Z12" i="1046"/>
  <c r="Y12" i="1046"/>
  <c r="X12" i="1046"/>
  <c r="W12" i="1046"/>
  <c r="V12" i="1046"/>
  <c r="U12" i="1046"/>
  <c r="T12" i="1046"/>
  <c r="S12" i="1046"/>
  <c r="R12" i="1046"/>
  <c r="Z11" i="1046"/>
  <c r="Y11" i="1046"/>
  <c r="X11" i="1046"/>
  <c r="W11" i="1046"/>
  <c r="V11" i="1046"/>
  <c r="U11" i="1046"/>
  <c r="T11" i="1046"/>
  <c r="S11" i="1046"/>
  <c r="R11" i="1046"/>
  <c r="Z10" i="1046"/>
  <c r="Y10" i="1046"/>
  <c r="X10" i="1046"/>
  <c r="W10" i="1046"/>
  <c r="V10" i="1046"/>
  <c r="U10" i="1046"/>
  <c r="T10" i="1046"/>
  <c r="S10" i="1046"/>
  <c r="R10" i="1046"/>
  <c r="J27" i="1046" l="1"/>
  <c r="K37" i="1046"/>
  <c r="L37" i="1046" s="1"/>
  <c r="M37" i="1046" s="1"/>
  <c r="C27" i="1045"/>
  <c r="C28" i="1045"/>
  <c r="C29" i="1045"/>
  <c r="C30" i="1045"/>
  <c r="C31" i="1045"/>
  <c r="C32" i="1045"/>
  <c r="B27" i="1045" l="1"/>
  <c r="M27" i="1045"/>
  <c r="L27" i="1045"/>
  <c r="T27" i="1045" l="1"/>
  <c r="U27" i="1045"/>
  <c r="S27" i="1045"/>
  <c r="W27" i="1045"/>
  <c r="Z27" i="1045"/>
  <c r="R27" i="1045"/>
  <c r="V27" i="1045"/>
  <c r="X27" i="1045"/>
  <c r="Y27" i="1045"/>
  <c r="G63" i="19"/>
  <c r="C11" i="1045" l="1"/>
  <c r="D11" i="1045"/>
  <c r="E11" i="1045"/>
  <c r="F11" i="1045"/>
  <c r="G11" i="1045"/>
  <c r="I11" i="1045"/>
  <c r="J11" i="1045"/>
  <c r="L11" i="1045"/>
  <c r="M11" i="1045"/>
  <c r="N11" i="1045"/>
  <c r="O11" i="1045"/>
  <c r="C12" i="1045"/>
  <c r="D12" i="1045"/>
  <c r="E12" i="1045"/>
  <c r="F12" i="1045"/>
  <c r="G12" i="1045"/>
  <c r="I12" i="1045"/>
  <c r="J12" i="1045"/>
  <c r="L12" i="1045"/>
  <c r="M12" i="1045"/>
  <c r="N12" i="1045"/>
  <c r="O12" i="1045"/>
  <c r="C13" i="1045"/>
  <c r="D13" i="1045"/>
  <c r="E13" i="1045"/>
  <c r="F13" i="1045"/>
  <c r="G13" i="1045"/>
  <c r="I13" i="1045"/>
  <c r="J13" i="1045"/>
  <c r="L13" i="1045"/>
  <c r="M13" i="1045"/>
  <c r="N13" i="1045"/>
  <c r="O13" i="1045"/>
  <c r="C14" i="1045"/>
  <c r="D14" i="1045"/>
  <c r="E14" i="1045"/>
  <c r="F14" i="1045"/>
  <c r="G14" i="1045"/>
  <c r="I14" i="1045"/>
  <c r="J14" i="1045"/>
  <c r="L14" i="1045"/>
  <c r="M14" i="1045"/>
  <c r="N14" i="1045"/>
  <c r="O14" i="1045"/>
  <c r="C15" i="1045"/>
  <c r="D15" i="1045"/>
  <c r="E15" i="1045"/>
  <c r="F15" i="1045"/>
  <c r="G15" i="1045"/>
  <c r="I15" i="1045"/>
  <c r="J15" i="1045"/>
  <c r="L15" i="1045"/>
  <c r="M15" i="1045"/>
  <c r="N15" i="1045"/>
  <c r="O15" i="1045"/>
  <c r="C16" i="1045"/>
  <c r="D16" i="1045"/>
  <c r="E16" i="1045"/>
  <c r="F16" i="1045"/>
  <c r="G16" i="1045"/>
  <c r="I16" i="1045"/>
  <c r="J16" i="1045"/>
  <c r="L16" i="1045"/>
  <c r="M16" i="1045"/>
  <c r="N16" i="1045"/>
  <c r="O16" i="1045"/>
  <c r="AX58" i="1045"/>
  <c r="AW58" i="1045"/>
  <c r="AV58" i="1045"/>
  <c r="AU58" i="1045"/>
  <c r="AT58" i="1045"/>
  <c r="AS58" i="1045"/>
  <c r="AR58" i="1045"/>
  <c r="AQ58" i="1045"/>
  <c r="AP58" i="1045"/>
  <c r="AO58" i="1045"/>
  <c r="AN58" i="1045"/>
  <c r="AM58" i="1045"/>
  <c r="AL58" i="1045"/>
  <c r="AK58" i="1045"/>
  <c r="AJ58" i="1045"/>
  <c r="AI58" i="1045"/>
  <c r="AH58" i="1045"/>
  <c r="AG58" i="1045"/>
  <c r="AF58" i="1045"/>
  <c r="AE58" i="1045"/>
  <c r="AD58" i="1045"/>
  <c r="AC58" i="1045"/>
  <c r="AB58" i="1045"/>
  <c r="B58" i="1045"/>
  <c r="AX57" i="1045"/>
  <c r="AW57" i="1045"/>
  <c r="AV57" i="1045"/>
  <c r="AU57" i="1045"/>
  <c r="AT57" i="1045"/>
  <c r="AS57" i="1045"/>
  <c r="AR57" i="1045"/>
  <c r="AQ57" i="1045"/>
  <c r="AP57" i="1045"/>
  <c r="AO57" i="1045"/>
  <c r="AN57" i="1045"/>
  <c r="AM57" i="1045"/>
  <c r="AL57" i="1045"/>
  <c r="AK57" i="1045"/>
  <c r="AJ57" i="1045"/>
  <c r="AI57" i="1045"/>
  <c r="AH57" i="1045"/>
  <c r="AG57" i="1045"/>
  <c r="AF57" i="1045"/>
  <c r="AE57" i="1045"/>
  <c r="AD57" i="1045"/>
  <c r="AC57" i="1045"/>
  <c r="AB57" i="1045"/>
  <c r="AX56" i="1045"/>
  <c r="AW56" i="1045"/>
  <c r="AV56" i="1045"/>
  <c r="AU56" i="1045"/>
  <c r="AT56" i="1045"/>
  <c r="AS56" i="1045"/>
  <c r="AR56" i="1045"/>
  <c r="AQ56" i="1045"/>
  <c r="AP56" i="1045"/>
  <c r="AO56" i="1045"/>
  <c r="AN56" i="1045"/>
  <c r="AM56" i="1045"/>
  <c r="AL56" i="1045"/>
  <c r="AK56" i="1045"/>
  <c r="AJ56" i="1045"/>
  <c r="AI56" i="1045"/>
  <c r="AH56" i="1045"/>
  <c r="AG56" i="1045"/>
  <c r="AF56" i="1045"/>
  <c r="AE56" i="1045"/>
  <c r="AD56" i="1045"/>
  <c r="AC56" i="1045"/>
  <c r="AB56" i="1045"/>
  <c r="B56" i="1045"/>
  <c r="K51" i="1045"/>
  <c r="Z38" i="1045"/>
  <c r="Y38" i="1045"/>
  <c r="X38" i="1045"/>
  <c r="W38" i="1045"/>
  <c r="V38" i="1045"/>
  <c r="U38" i="1045"/>
  <c r="T38" i="1045"/>
  <c r="S38" i="1045"/>
  <c r="R38" i="1045"/>
  <c r="Z37" i="1045"/>
  <c r="Y37" i="1045"/>
  <c r="X37" i="1045"/>
  <c r="W37" i="1045"/>
  <c r="V37" i="1045"/>
  <c r="U37" i="1045"/>
  <c r="T37" i="1045"/>
  <c r="S37" i="1045"/>
  <c r="R37" i="1045"/>
  <c r="Z36" i="1045"/>
  <c r="Y36" i="1045"/>
  <c r="X36" i="1045"/>
  <c r="W36" i="1045"/>
  <c r="V36" i="1045"/>
  <c r="U36" i="1045"/>
  <c r="T36" i="1045"/>
  <c r="S36" i="1045"/>
  <c r="R36" i="1045"/>
  <c r="Z35" i="1045"/>
  <c r="Y35" i="1045"/>
  <c r="X35" i="1045"/>
  <c r="W35" i="1045"/>
  <c r="V35" i="1045"/>
  <c r="U35" i="1045"/>
  <c r="T35" i="1045"/>
  <c r="S35" i="1045"/>
  <c r="R35" i="1045"/>
  <c r="Z34" i="1045"/>
  <c r="Y34" i="1045"/>
  <c r="X34" i="1045"/>
  <c r="W34" i="1045"/>
  <c r="V34" i="1045"/>
  <c r="U34" i="1045"/>
  <c r="T34" i="1045"/>
  <c r="S34" i="1045"/>
  <c r="R34" i="1045"/>
  <c r="Z33" i="1045"/>
  <c r="Y33" i="1045"/>
  <c r="X33" i="1045"/>
  <c r="W33" i="1045"/>
  <c r="V33" i="1045"/>
  <c r="U33" i="1045"/>
  <c r="T33" i="1045"/>
  <c r="S33" i="1045"/>
  <c r="R33" i="1045"/>
  <c r="M33" i="1045"/>
  <c r="L33" i="1045"/>
  <c r="K33" i="1045"/>
  <c r="Z32" i="1045"/>
  <c r="Y32" i="1045"/>
  <c r="X32" i="1045"/>
  <c r="W32" i="1045"/>
  <c r="V32" i="1045"/>
  <c r="U32" i="1045"/>
  <c r="T32" i="1045"/>
  <c r="S32" i="1045"/>
  <c r="R32" i="1045"/>
  <c r="M32" i="1045"/>
  <c r="Z31" i="1045"/>
  <c r="Y31" i="1045"/>
  <c r="X31" i="1045"/>
  <c r="W31" i="1045"/>
  <c r="V31" i="1045"/>
  <c r="U31" i="1045"/>
  <c r="T31" i="1045"/>
  <c r="S31" i="1045"/>
  <c r="R31" i="1045"/>
  <c r="Z30" i="1045"/>
  <c r="Y30" i="1045"/>
  <c r="X30" i="1045"/>
  <c r="W30" i="1045"/>
  <c r="V30" i="1045"/>
  <c r="U30" i="1045"/>
  <c r="T30" i="1045"/>
  <c r="S30" i="1045"/>
  <c r="R30" i="1045"/>
  <c r="M30" i="1045"/>
  <c r="M29" i="1045"/>
  <c r="M28" i="1045"/>
  <c r="L28" i="1045"/>
  <c r="K28" i="1045"/>
  <c r="J60" i="19"/>
  <c r="J63" i="19"/>
  <c r="J64" i="19"/>
  <c r="G60" i="19"/>
  <c r="G64" i="19"/>
  <c r="J59" i="18"/>
  <c r="J60" i="18"/>
  <c r="J61" i="18"/>
  <c r="J63" i="18"/>
  <c r="J64" i="18"/>
  <c r="G60" i="18"/>
  <c r="G61" i="18"/>
  <c r="G63" i="18"/>
  <c r="G64" i="18"/>
  <c r="D60" i="18"/>
  <c r="D61" i="18"/>
  <c r="D63" i="18"/>
  <c r="D64" i="18"/>
  <c r="J27" i="1045" l="1"/>
  <c r="K37" i="1045"/>
  <c r="L37" i="1045" s="1"/>
  <c r="M37" i="1045" s="1"/>
  <c r="B54" i="1044" l="1"/>
  <c r="K13" i="1044" l="1"/>
  <c r="M29" i="1041"/>
  <c r="L29" i="1041"/>
  <c r="K29" i="1041"/>
  <c r="R10" i="1041"/>
  <c r="S10" i="1041"/>
  <c r="T10" i="1041"/>
  <c r="U10" i="1041"/>
  <c r="V10" i="1041"/>
  <c r="W10" i="1041"/>
  <c r="X10" i="1041"/>
  <c r="Y10" i="1041"/>
  <c r="Z10" i="1041"/>
  <c r="R11" i="1041"/>
  <c r="S11" i="1041"/>
  <c r="T11" i="1041"/>
  <c r="U11" i="1041"/>
  <c r="V11" i="1041"/>
  <c r="W11" i="1041"/>
  <c r="X11" i="1041"/>
  <c r="Y11" i="1041"/>
  <c r="Z11" i="1041"/>
  <c r="R12" i="1041"/>
  <c r="S12" i="1041"/>
  <c r="T12" i="1041"/>
  <c r="U12" i="1041"/>
  <c r="V12" i="1041"/>
  <c r="W12" i="1041"/>
  <c r="X12" i="1041"/>
  <c r="Y12" i="1041"/>
  <c r="Z12" i="1041"/>
  <c r="R13" i="1041"/>
  <c r="S13" i="1041"/>
  <c r="T13" i="1041"/>
  <c r="U13" i="1041"/>
  <c r="V13" i="1041"/>
  <c r="W13" i="1041"/>
  <c r="X13" i="1041"/>
  <c r="Y13" i="1041"/>
  <c r="Z13" i="1041"/>
  <c r="R14" i="1041"/>
  <c r="S14" i="1041"/>
  <c r="T14" i="1041"/>
  <c r="U14" i="1041"/>
  <c r="V14" i="1041"/>
  <c r="W14" i="1041"/>
  <c r="X14" i="1041"/>
  <c r="Y14" i="1041"/>
  <c r="Z14" i="1041"/>
  <c r="R15" i="1041"/>
  <c r="S15" i="1041"/>
  <c r="T15" i="1041"/>
  <c r="U15" i="1041"/>
  <c r="V15" i="1041"/>
  <c r="W15" i="1041"/>
  <c r="X15" i="1041"/>
  <c r="Y15" i="1041"/>
  <c r="Z15" i="1041"/>
  <c r="R16" i="1041"/>
  <c r="S16" i="1041"/>
  <c r="T16" i="1041"/>
  <c r="U16" i="1041"/>
  <c r="V16" i="1041"/>
  <c r="W16" i="1041"/>
  <c r="X16" i="1041"/>
  <c r="Y16" i="1041"/>
  <c r="Z16" i="1041"/>
  <c r="R17" i="1041"/>
  <c r="S17" i="1041"/>
  <c r="T17" i="1041"/>
  <c r="U17" i="1041"/>
  <c r="V17" i="1041"/>
  <c r="W17" i="1041"/>
  <c r="X17" i="1041"/>
  <c r="Y17" i="1041"/>
  <c r="Z17" i="1041"/>
  <c r="R18" i="1041"/>
  <c r="S18" i="1041"/>
  <c r="T18" i="1041"/>
  <c r="U18" i="1041"/>
  <c r="V18" i="1041"/>
  <c r="W18" i="1041"/>
  <c r="X18" i="1041"/>
  <c r="Y18" i="1041"/>
  <c r="Z18" i="1041"/>
  <c r="R19" i="1041"/>
  <c r="S19" i="1041"/>
  <c r="T19" i="1041"/>
  <c r="U19" i="1041"/>
  <c r="V19" i="1041"/>
  <c r="W19" i="1041"/>
  <c r="X19" i="1041"/>
  <c r="Y19" i="1041"/>
  <c r="Z19" i="1041"/>
  <c r="R20" i="1041"/>
  <c r="S20" i="1041"/>
  <c r="T20" i="1041"/>
  <c r="U20" i="1041"/>
  <c r="V20" i="1041"/>
  <c r="W20" i="1041"/>
  <c r="X20" i="1041"/>
  <c r="Y20" i="1041"/>
  <c r="Z20" i="1041"/>
  <c r="R21" i="1041"/>
  <c r="S21" i="1041"/>
  <c r="T21" i="1041"/>
  <c r="U21" i="1041"/>
  <c r="V21" i="1041"/>
  <c r="W21" i="1041"/>
  <c r="X21" i="1041"/>
  <c r="Y21" i="1041"/>
  <c r="Z21" i="1041"/>
  <c r="R22" i="1041"/>
  <c r="S22" i="1041"/>
  <c r="T22" i="1041"/>
  <c r="U22" i="1041"/>
  <c r="V22" i="1041"/>
  <c r="W22" i="1041"/>
  <c r="X22" i="1041"/>
  <c r="Y22" i="1041"/>
  <c r="Z22" i="1041"/>
  <c r="R23" i="1041"/>
  <c r="S23" i="1041"/>
  <c r="T23" i="1041"/>
  <c r="U23" i="1041"/>
  <c r="V23" i="1041"/>
  <c r="W23" i="1041"/>
  <c r="X23" i="1041"/>
  <c r="Y23" i="1041"/>
  <c r="Z23" i="1041"/>
  <c r="R24" i="1041"/>
  <c r="S24" i="1041"/>
  <c r="T24" i="1041"/>
  <c r="U24" i="1041"/>
  <c r="V24" i="1041"/>
  <c r="W24" i="1041"/>
  <c r="X24" i="1041"/>
  <c r="Y24" i="1041"/>
  <c r="Z24" i="1041"/>
  <c r="R25" i="1041"/>
  <c r="S25" i="1041"/>
  <c r="T25" i="1041"/>
  <c r="U25" i="1041"/>
  <c r="V25" i="1041"/>
  <c r="W25" i="1041"/>
  <c r="X25" i="1041"/>
  <c r="Y25" i="1041"/>
  <c r="Z25" i="1041"/>
  <c r="M28" i="1041"/>
  <c r="M30" i="1041"/>
  <c r="M31" i="1041"/>
  <c r="M33" i="1041"/>
  <c r="M34" i="1041"/>
  <c r="L38" i="1044"/>
  <c r="M38" i="1044" s="1"/>
  <c r="M29" i="1044"/>
  <c r="L29" i="1044"/>
  <c r="K29" i="1044"/>
  <c r="M23" i="1044"/>
  <c r="L23" i="1044"/>
  <c r="K23" i="1044"/>
  <c r="O16" i="1044"/>
  <c r="N16" i="1044"/>
  <c r="M16" i="1044"/>
  <c r="L16" i="1044"/>
  <c r="J16" i="1044"/>
  <c r="I16" i="1044"/>
  <c r="J23" i="1044" s="1"/>
  <c r="G16" i="1044"/>
  <c r="F16" i="1044"/>
  <c r="E16" i="1044"/>
  <c r="D16" i="1044"/>
  <c r="C16" i="1044"/>
  <c r="C11" i="1044"/>
  <c r="D11" i="1044"/>
  <c r="E11" i="1044"/>
  <c r="F11" i="1044"/>
  <c r="G11" i="1044"/>
  <c r="I11" i="1044"/>
  <c r="J11" i="1044"/>
  <c r="K11" i="1044"/>
  <c r="L11" i="1044"/>
  <c r="M11" i="1044"/>
  <c r="N11" i="1044"/>
  <c r="O11" i="1044"/>
  <c r="C12" i="1044"/>
  <c r="D12" i="1044"/>
  <c r="E12" i="1044"/>
  <c r="F12" i="1044"/>
  <c r="G12" i="1044"/>
  <c r="I12" i="1044"/>
  <c r="J12" i="1044"/>
  <c r="K12" i="1044"/>
  <c r="L12" i="1044"/>
  <c r="M12" i="1044"/>
  <c r="N12" i="1044"/>
  <c r="O12" i="1044"/>
  <c r="C13" i="1044"/>
  <c r="D13" i="1044"/>
  <c r="E13" i="1044"/>
  <c r="F13" i="1044"/>
  <c r="G13" i="1044"/>
  <c r="I13" i="1044"/>
  <c r="J13" i="1044"/>
  <c r="L13" i="1044"/>
  <c r="M13" i="1044"/>
  <c r="N13" i="1044"/>
  <c r="O13" i="1044"/>
  <c r="C14" i="1044"/>
  <c r="D14" i="1044"/>
  <c r="E14" i="1044"/>
  <c r="F14" i="1044"/>
  <c r="G14" i="1044"/>
  <c r="I14" i="1044"/>
  <c r="J14" i="1044"/>
  <c r="K14" i="1044"/>
  <c r="L14" i="1044"/>
  <c r="M14" i="1044"/>
  <c r="N14" i="1044"/>
  <c r="O14" i="1044"/>
  <c r="O10" i="1044"/>
  <c r="N10" i="1044"/>
  <c r="M10" i="1044"/>
  <c r="L10" i="1044"/>
  <c r="K10" i="1044"/>
  <c r="J10" i="1044"/>
  <c r="I10" i="1044"/>
  <c r="G10" i="1044"/>
  <c r="F10" i="1044"/>
  <c r="E10" i="1044"/>
  <c r="D10" i="1044"/>
  <c r="C10" i="1044"/>
  <c r="AX54" i="1044"/>
  <c r="AW54" i="1044"/>
  <c r="AV54" i="1044"/>
  <c r="AU54" i="1044"/>
  <c r="AT54" i="1044"/>
  <c r="AS54" i="1044"/>
  <c r="AR54" i="1044"/>
  <c r="AQ54" i="1044"/>
  <c r="AP54" i="1044"/>
  <c r="AO54" i="1044"/>
  <c r="AN54" i="1044"/>
  <c r="AM54" i="1044"/>
  <c r="AL54" i="1044"/>
  <c r="AK54" i="1044"/>
  <c r="AJ54" i="1044"/>
  <c r="AI54" i="1044"/>
  <c r="AH54" i="1044"/>
  <c r="AG54" i="1044"/>
  <c r="AF54" i="1044"/>
  <c r="AE54" i="1044"/>
  <c r="AD54" i="1044"/>
  <c r="AC54" i="1044"/>
  <c r="AB54" i="1044"/>
  <c r="AX53" i="1044"/>
  <c r="AW53" i="1044"/>
  <c r="AV53" i="1044"/>
  <c r="AU53" i="1044"/>
  <c r="AT53" i="1044"/>
  <c r="AS53" i="1044"/>
  <c r="AR53" i="1044"/>
  <c r="AQ53" i="1044"/>
  <c r="AP53" i="1044"/>
  <c r="AO53" i="1044"/>
  <c r="AN53" i="1044"/>
  <c r="AM53" i="1044"/>
  <c r="AL53" i="1044"/>
  <c r="AK53" i="1044"/>
  <c r="AJ53" i="1044"/>
  <c r="AI53" i="1044"/>
  <c r="AH53" i="1044"/>
  <c r="AG53" i="1044"/>
  <c r="AF53" i="1044"/>
  <c r="AE53" i="1044"/>
  <c r="AD53" i="1044"/>
  <c r="AC53" i="1044"/>
  <c r="AB53" i="1044"/>
  <c r="AX52" i="1044"/>
  <c r="AW52" i="1044"/>
  <c r="AV52" i="1044"/>
  <c r="AU52" i="1044"/>
  <c r="AT52" i="1044"/>
  <c r="AS52" i="1044"/>
  <c r="AR52" i="1044"/>
  <c r="AQ52" i="1044"/>
  <c r="AP52" i="1044"/>
  <c r="AO52" i="1044"/>
  <c r="AN52" i="1044"/>
  <c r="AM52" i="1044"/>
  <c r="AL52" i="1044"/>
  <c r="AK52" i="1044"/>
  <c r="AJ52" i="1044"/>
  <c r="AI52" i="1044"/>
  <c r="AH52" i="1044"/>
  <c r="AG52" i="1044"/>
  <c r="AF52" i="1044"/>
  <c r="AE52" i="1044"/>
  <c r="AD52" i="1044"/>
  <c r="AC52" i="1044"/>
  <c r="AB52" i="1044"/>
  <c r="B52" i="1044"/>
  <c r="K47" i="1044"/>
  <c r="Z34" i="1044"/>
  <c r="Y34" i="1044"/>
  <c r="X34" i="1044"/>
  <c r="W34" i="1044"/>
  <c r="V34" i="1044"/>
  <c r="U34" i="1044"/>
  <c r="T34" i="1044"/>
  <c r="S34" i="1044"/>
  <c r="R34" i="1044"/>
  <c r="Z33" i="1044"/>
  <c r="Y33" i="1044"/>
  <c r="X33" i="1044"/>
  <c r="W33" i="1044"/>
  <c r="V33" i="1044"/>
  <c r="U33" i="1044"/>
  <c r="T33" i="1044"/>
  <c r="S33" i="1044"/>
  <c r="R33" i="1044"/>
  <c r="Z32" i="1044"/>
  <c r="Y32" i="1044"/>
  <c r="X32" i="1044"/>
  <c r="W32" i="1044"/>
  <c r="V32" i="1044"/>
  <c r="U32" i="1044"/>
  <c r="T32" i="1044"/>
  <c r="S32" i="1044"/>
  <c r="R32" i="1044"/>
  <c r="Z31" i="1044"/>
  <c r="Y31" i="1044"/>
  <c r="X31" i="1044"/>
  <c r="W31" i="1044"/>
  <c r="V31" i="1044"/>
  <c r="U31" i="1044"/>
  <c r="T31" i="1044"/>
  <c r="S31" i="1044"/>
  <c r="R31" i="1044"/>
  <c r="Z30" i="1044"/>
  <c r="Y30" i="1044"/>
  <c r="X30" i="1044"/>
  <c r="W30" i="1044"/>
  <c r="V30" i="1044"/>
  <c r="U30" i="1044"/>
  <c r="T30" i="1044"/>
  <c r="S30" i="1044"/>
  <c r="R30" i="1044"/>
  <c r="Z29" i="1044"/>
  <c r="Y29" i="1044"/>
  <c r="X29" i="1044"/>
  <c r="W29" i="1044"/>
  <c r="V29" i="1044"/>
  <c r="U29" i="1044"/>
  <c r="T29" i="1044"/>
  <c r="S29" i="1044"/>
  <c r="R29" i="1044"/>
  <c r="Z28" i="1044"/>
  <c r="Y28" i="1044"/>
  <c r="X28" i="1044"/>
  <c r="W28" i="1044"/>
  <c r="V28" i="1044"/>
  <c r="U28" i="1044"/>
  <c r="T28" i="1044"/>
  <c r="S28" i="1044"/>
  <c r="R28" i="1044"/>
  <c r="M28" i="1044"/>
  <c r="Z27" i="1044"/>
  <c r="Y27" i="1044"/>
  <c r="X27" i="1044"/>
  <c r="W27" i="1044"/>
  <c r="V27" i="1044"/>
  <c r="U27" i="1044"/>
  <c r="T27" i="1044"/>
  <c r="S27" i="1044"/>
  <c r="R27" i="1044"/>
  <c r="Z26" i="1044"/>
  <c r="Y26" i="1044"/>
  <c r="X26" i="1044"/>
  <c r="W26" i="1044"/>
  <c r="V26" i="1044"/>
  <c r="U26" i="1044"/>
  <c r="T26" i="1044"/>
  <c r="S26" i="1044"/>
  <c r="R26" i="1044"/>
  <c r="M26" i="1044"/>
  <c r="Z25" i="1044"/>
  <c r="Y25" i="1044"/>
  <c r="X25" i="1044"/>
  <c r="W25" i="1044"/>
  <c r="V25" i="1044"/>
  <c r="U25" i="1044"/>
  <c r="T25" i="1044"/>
  <c r="S25" i="1044"/>
  <c r="R25" i="1044"/>
  <c r="M25" i="1044"/>
  <c r="Z24" i="1044"/>
  <c r="Y24" i="1044"/>
  <c r="X24" i="1044"/>
  <c r="W24" i="1044"/>
  <c r="V24" i="1044"/>
  <c r="U24" i="1044"/>
  <c r="T24" i="1044"/>
  <c r="S24" i="1044"/>
  <c r="R24" i="1044"/>
  <c r="M24" i="1044"/>
  <c r="L24" i="1044"/>
  <c r="K24" i="1044"/>
  <c r="Z23" i="1044"/>
  <c r="Y23" i="1044"/>
  <c r="X23" i="1044"/>
  <c r="W23" i="1044"/>
  <c r="V23" i="1044"/>
  <c r="U23" i="1044"/>
  <c r="T23" i="1044"/>
  <c r="S23" i="1044"/>
  <c r="R23" i="1044"/>
  <c r="Z22" i="1044"/>
  <c r="Y22" i="1044"/>
  <c r="X22" i="1044"/>
  <c r="W22" i="1044"/>
  <c r="V22" i="1044"/>
  <c r="U22" i="1044"/>
  <c r="T22" i="1044"/>
  <c r="S22" i="1044"/>
  <c r="R22" i="1044"/>
  <c r="Z21" i="1044"/>
  <c r="Y21" i="1044"/>
  <c r="X21" i="1044"/>
  <c r="W21" i="1044"/>
  <c r="V21" i="1044"/>
  <c r="U21" i="1044"/>
  <c r="T21" i="1044"/>
  <c r="S21" i="1044"/>
  <c r="R21" i="1044"/>
  <c r="Z20" i="1044"/>
  <c r="Y20" i="1044"/>
  <c r="X20" i="1044"/>
  <c r="W20" i="1044"/>
  <c r="V20" i="1044"/>
  <c r="U20" i="1044"/>
  <c r="T20" i="1044"/>
  <c r="S20" i="1044"/>
  <c r="R20" i="1044"/>
  <c r="Z19" i="1044"/>
  <c r="Y19" i="1044"/>
  <c r="X19" i="1044"/>
  <c r="W19" i="1044"/>
  <c r="V19" i="1044"/>
  <c r="U19" i="1044"/>
  <c r="T19" i="1044"/>
  <c r="S19" i="1044"/>
  <c r="R19" i="1044"/>
  <c r="Z18" i="1044"/>
  <c r="Y18" i="1044"/>
  <c r="X18" i="1044"/>
  <c r="W18" i="1044"/>
  <c r="V18" i="1044"/>
  <c r="U18" i="1044"/>
  <c r="T18" i="1044"/>
  <c r="S18" i="1044"/>
  <c r="R18" i="1044"/>
  <c r="Z17" i="1044"/>
  <c r="Y17" i="1044"/>
  <c r="X17" i="1044"/>
  <c r="W17" i="1044"/>
  <c r="V17" i="1044"/>
  <c r="U17" i="1044"/>
  <c r="T17" i="1044"/>
  <c r="S17" i="1044"/>
  <c r="R17" i="1044"/>
  <c r="Z16" i="1044"/>
  <c r="Y16" i="1044"/>
  <c r="X16" i="1044"/>
  <c r="W16" i="1044"/>
  <c r="V16" i="1044"/>
  <c r="U16" i="1044"/>
  <c r="T16" i="1044"/>
  <c r="S16" i="1044"/>
  <c r="R16" i="1044"/>
  <c r="Z15" i="1044"/>
  <c r="Y15" i="1044"/>
  <c r="X15" i="1044"/>
  <c r="W15" i="1044"/>
  <c r="V15" i="1044"/>
  <c r="U15" i="1044"/>
  <c r="T15" i="1044"/>
  <c r="S15" i="1044"/>
  <c r="R15" i="1044"/>
  <c r="Z14" i="1044"/>
  <c r="Y14" i="1044"/>
  <c r="X14" i="1044"/>
  <c r="W14" i="1044"/>
  <c r="V14" i="1044"/>
  <c r="U14" i="1044"/>
  <c r="T14" i="1044"/>
  <c r="S14" i="1044"/>
  <c r="R14" i="1044"/>
  <c r="Z13" i="1044"/>
  <c r="Y13" i="1044"/>
  <c r="X13" i="1044"/>
  <c r="W13" i="1044"/>
  <c r="V13" i="1044"/>
  <c r="U13" i="1044"/>
  <c r="T13" i="1044"/>
  <c r="S13" i="1044"/>
  <c r="R13" i="1044"/>
  <c r="Z12" i="1044"/>
  <c r="Y12" i="1044"/>
  <c r="X12" i="1044"/>
  <c r="W12" i="1044"/>
  <c r="V12" i="1044"/>
  <c r="U12" i="1044"/>
  <c r="T12" i="1044"/>
  <c r="S12" i="1044"/>
  <c r="R12" i="1044"/>
  <c r="Z11" i="1044"/>
  <c r="Y11" i="1044"/>
  <c r="X11" i="1044"/>
  <c r="W11" i="1044"/>
  <c r="V11" i="1044"/>
  <c r="U11" i="1044"/>
  <c r="T11" i="1044"/>
  <c r="S11" i="1044"/>
  <c r="R11" i="1044"/>
  <c r="Z10" i="1044"/>
  <c r="Y10" i="1044"/>
  <c r="X10" i="1044"/>
  <c r="W10" i="1044"/>
  <c r="V10" i="1044"/>
  <c r="U10" i="1044"/>
  <c r="T10" i="1044"/>
  <c r="S10" i="1044"/>
  <c r="R10" i="1044"/>
  <c r="M29" i="1043"/>
  <c r="L29" i="1043"/>
  <c r="K29" i="1043"/>
  <c r="C17" i="1043"/>
  <c r="D17" i="1043"/>
  <c r="E17" i="1043"/>
  <c r="F17" i="1043"/>
  <c r="G17" i="1043"/>
  <c r="I17" i="1043"/>
  <c r="J17" i="1043"/>
  <c r="K17" i="1043"/>
  <c r="L17" i="1043"/>
  <c r="M17" i="1043"/>
  <c r="N17" i="1043"/>
  <c r="O17" i="1043"/>
  <c r="C18" i="1043"/>
  <c r="D18" i="1043"/>
  <c r="E18" i="1043"/>
  <c r="F18" i="1043"/>
  <c r="G18" i="1043"/>
  <c r="I18" i="1043"/>
  <c r="J18" i="1043"/>
  <c r="K18" i="1043"/>
  <c r="L18" i="1043"/>
  <c r="M18" i="1043"/>
  <c r="N18" i="1043"/>
  <c r="O18" i="1043"/>
  <c r="C19" i="1043"/>
  <c r="D19" i="1043"/>
  <c r="E19" i="1043"/>
  <c r="F19" i="1043"/>
  <c r="G19" i="1043"/>
  <c r="I19" i="1043"/>
  <c r="J19" i="1043"/>
  <c r="K19" i="1043"/>
  <c r="L19" i="1043"/>
  <c r="M19" i="1043"/>
  <c r="N19" i="1043"/>
  <c r="O19" i="1043"/>
  <c r="E54" i="1043"/>
  <c r="B54" i="1043"/>
  <c r="L43" i="1041"/>
  <c r="M24" i="1043"/>
  <c r="L24" i="1043"/>
  <c r="K24" i="1043"/>
  <c r="R10" i="1043"/>
  <c r="S10" i="1043"/>
  <c r="T10" i="1043"/>
  <c r="U10" i="1043"/>
  <c r="V10" i="1043"/>
  <c r="W10" i="1043"/>
  <c r="X10" i="1043"/>
  <c r="Y10" i="1043"/>
  <c r="Z10" i="1043"/>
  <c r="R11" i="1043"/>
  <c r="S11" i="1043"/>
  <c r="T11" i="1043"/>
  <c r="U11" i="1043"/>
  <c r="V11" i="1043"/>
  <c r="W11" i="1043"/>
  <c r="X11" i="1043"/>
  <c r="Y11" i="1043"/>
  <c r="Z11" i="1043"/>
  <c r="R12" i="1043"/>
  <c r="S12" i="1043"/>
  <c r="T12" i="1043"/>
  <c r="U12" i="1043"/>
  <c r="V12" i="1043"/>
  <c r="W12" i="1043"/>
  <c r="X12" i="1043"/>
  <c r="Y12" i="1043"/>
  <c r="Z12" i="1043"/>
  <c r="R13" i="1043"/>
  <c r="S13" i="1043"/>
  <c r="T13" i="1043"/>
  <c r="U13" i="1043"/>
  <c r="V13" i="1043"/>
  <c r="W13" i="1043"/>
  <c r="X13" i="1043"/>
  <c r="Y13" i="1043"/>
  <c r="Z13" i="1043"/>
  <c r="R14" i="1043"/>
  <c r="S14" i="1043"/>
  <c r="T14" i="1043"/>
  <c r="U14" i="1043"/>
  <c r="V14" i="1043"/>
  <c r="W14" i="1043"/>
  <c r="X14" i="1043"/>
  <c r="Y14" i="1043"/>
  <c r="Z14" i="1043"/>
  <c r="R15" i="1043"/>
  <c r="S15" i="1043"/>
  <c r="T15" i="1043"/>
  <c r="U15" i="1043"/>
  <c r="V15" i="1043"/>
  <c r="W15" i="1043"/>
  <c r="X15" i="1043"/>
  <c r="Y15" i="1043"/>
  <c r="Z15" i="1043"/>
  <c r="AX54" i="1043"/>
  <c r="AW54" i="1043"/>
  <c r="AV54" i="1043"/>
  <c r="AU54" i="1043"/>
  <c r="AT54" i="1043"/>
  <c r="AS54" i="1043"/>
  <c r="AR54" i="1043"/>
  <c r="AQ54" i="1043"/>
  <c r="AP54" i="1043"/>
  <c r="AO54" i="1043"/>
  <c r="AN54" i="1043"/>
  <c r="AM54" i="1043"/>
  <c r="AL54" i="1043"/>
  <c r="AK54" i="1043"/>
  <c r="AJ54" i="1043"/>
  <c r="AI54" i="1043"/>
  <c r="AH54" i="1043"/>
  <c r="AG54" i="1043"/>
  <c r="AF54" i="1043"/>
  <c r="AE54" i="1043"/>
  <c r="AD54" i="1043"/>
  <c r="AC54" i="1043"/>
  <c r="AB54" i="1043"/>
  <c r="AX53" i="1043"/>
  <c r="AW53" i="1043"/>
  <c r="AV53" i="1043"/>
  <c r="AU53" i="1043"/>
  <c r="AT53" i="1043"/>
  <c r="AS53" i="1043"/>
  <c r="AR53" i="1043"/>
  <c r="AQ53" i="1043"/>
  <c r="AP53" i="1043"/>
  <c r="AO53" i="1043"/>
  <c r="AN53" i="1043"/>
  <c r="AM53" i="1043"/>
  <c r="AL53" i="1043"/>
  <c r="AK53" i="1043"/>
  <c r="AJ53" i="1043"/>
  <c r="AI53" i="1043"/>
  <c r="AH53" i="1043"/>
  <c r="AG53" i="1043"/>
  <c r="AF53" i="1043"/>
  <c r="AE53" i="1043"/>
  <c r="AD53" i="1043"/>
  <c r="AC53" i="1043"/>
  <c r="AB53" i="1043"/>
  <c r="AX52" i="1043"/>
  <c r="AW52" i="1043"/>
  <c r="AV52" i="1043"/>
  <c r="AU52" i="1043"/>
  <c r="AT52" i="1043"/>
  <c r="AS52" i="1043"/>
  <c r="AR52" i="1043"/>
  <c r="AQ52" i="1043"/>
  <c r="AP52" i="1043"/>
  <c r="AO52" i="1043"/>
  <c r="AN52" i="1043"/>
  <c r="AM52" i="1043"/>
  <c r="AL52" i="1043"/>
  <c r="AK52" i="1043"/>
  <c r="AJ52" i="1043"/>
  <c r="AI52" i="1043"/>
  <c r="AH52" i="1043"/>
  <c r="AG52" i="1043"/>
  <c r="AF52" i="1043"/>
  <c r="AE52" i="1043"/>
  <c r="AD52" i="1043"/>
  <c r="AC52" i="1043"/>
  <c r="AB52" i="1043"/>
  <c r="B52" i="1043"/>
  <c r="K47" i="1043"/>
  <c r="L38" i="1043" s="1"/>
  <c r="M38" i="1043" s="1"/>
  <c r="Z34" i="1043"/>
  <c r="Y34" i="1043"/>
  <c r="X34" i="1043"/>
  <c r="W34" i="1043"/>
  <c r="V34" i="1043"/>
  <c r="U34" i="1043"/>
  <c r="T34" i="1043"/>
  <c r="S34" i="1043"/>
  <c r="R34" i="1043"/>
  <c r="Z33" i="1043"/>
  <c r="Y33" i="1043"/>
  <c r="X33" i="1043"/>
  <c r="W33" i="1043"/>
  <c r="V33" i="1043"/>
  <c r="U33" i="1043"/>
  <c r="T33" i="1043"/>
  <c r="S33" i="1043"/>
  <c r="R33" i="1043"/>
  <c r="Z32" i="1043"/>
  <c r="Y32" i="1043"/>
  <c r="X32" i="1043"/>
  <c r="W32" i="1043"/>
  <c r="V32" i="1043"/>
  <c r="U32" i="1043"/>
  <c r="T32" i="1043"/>
  <c r="S32" i="1043"/>
  <c r="R32" i="1043"/>
  <c r="Z31" i="1043"/>
  <c r="Y31" i="1043"/>
  <c r="X31" i="1043"/>
  <c r="W31" i="1043"/>
  <c r="V31" i="1043"/>
  <c r="U31" i="1043"/>
  <c r="T31" i="1043"/>
  <c r="S31" i="1043"/>
  <c r="R31" i="1043"/>
  <c r="Z30" i="1043"/>
  <c r="Y30" i="1043"/>
  <c r="X30" i="1043"/>
  <c r="W30" i="1043"/>
  <c r="V30" i="1043"/>
  <c r="U30" i="1043"/>
  <c r="T30" i="1043"/>
  <c r="S30" i="1043"/>
  <c r="R30" i="1043"/>
  <c r="Z29" i="1043"/>
  <c r="Y29" i="1043"/>
  <c r="X29" i="1043"/>
  <c r="W29" i="1043"/>
  <c r="V29" i="1043"/>
  <c r="U29" i="1043"/>
  <c r="T29" i="1043"/>
  <c r="S29" i="1043"/>
  <c r="R29" i="1043"/>
  <c r="Z28" i="1043"/>
  <c r="Y28" i="1043"/>
  <c r="X28" i="1043"/>
  <c r="W28" i="1043"/>
  <c r="V28" i="1043"/>
  <c r="U28" i="1043"/>
  <c r="T28" i="1043"/>
  <c r="S28" i="1043"/>
  <c r="R28" i="1043"/>
  <c r="M28" i="1043"/>
  <c r="Z27" i="1043"/>
  <c r="Y27" i="1043"/>
  <c r="X27" i="1043"/>
  <c r="W27" i="1043"/>
  <c r="V27" i="1043"/>
  <c r="U27" i="1043"/>
  <c r="T27" i="1043"/>
  <c r="S27" i="1043"/>
  <c r="R27" i="1043"/>
  <c r="Z26" i="1043"/>
  <c r="Y26" i="1043"/>
  <c r="X26" i="1043"/>
  <c r="W26" i="1043"/>
  <c r="V26" i="1043"/>
  <c r="U26" i="1043"/>
  <c r="T26" i="1043"/>
  <c r="S26" i="1043"/>
  <c r="R26" i="1043"/>
  <c r="M26" i="1043"/>
  <c r="Z25" i="1043"/>
  <c r="Y25" i="1043"/>
  <c r="X25" i="1043"/>
  <c r="W25" i="1043"/>
  <c r="V25" i="1043"/>
  <c r="U25" i="1043"/>
  <c r="T25" i="1043"/>
  <c r="S25" i="1043"/>
  <c r="R25" i="1043"/>
  <c r="M25" i="1043"/>
  <c r="Z24" i="1043"/>
  <c r="Y24" i="1043"/>
  <c r="X24" i="1043"/>
  <c r="W24" i="1043"/>
  <c r="V24" i="1043"/>
  <c r="U24" i="1043"/>
  <c r="T24" i="1043"/>
  <c r="S24" i="1043"/>
  <c r="R24" i="1043"/>
  <c r="Z23" i="1043"/>
  <c r="Y23" i="1043"/>
  <c r="X23" i="1043"/>
  <c r="W23" i="1043"/>
  <c r="V23" i="1043"/>
  <c r="U23" i="1043"/>
  <c r="T23" i="1043"/>
  <c r="S23" i="1043"/>
  <c r="R23" i="1043"/>
  <c r="M23" i="1043"/>
  <c r="Z22" i="1043"/>
  <c r="Y22" i="1043"/>
  <c r="X22" i="1043"/>
  <c r="W22" i="1043"/>
  <c r="V22" i="1043"/>
  <c r="U22" i="1043"/>
  <c r="T22" i="1043"/>
  <c r="S22" i="1043"/>
  <c r="R22" i="1043"/>
  <c r="Z21" i="1043"/>
  <c r="Y21" i="1043"/>
  <c r="X21" i="1043"/>
  <c r="W21" i="1043"/>
  <c r="V21" i="1043"/>
  <c r="U21" i="1043"/>
  <c r="T21" i="1043"/>
  <c r="S21" i="1043"/>
  <c r="R21" i="1043"/>
  <c r="Z20" i="1043"/>
  <c r="Y20" i="1043"/>
  <c r="X20" i="1043"/>
  <c r="W20" i="1043"/>
  <c r="V20" i="1043"/>
  <c r="U20" i="1043"/>
  <c r="T20" i="1043"/>
  <c r="S20" i="1043"/>
  <c r="R20" i="1043"/>
  <c r="Z19" i="1043"/>
  <c r="Y19" i="1043"/>
  <c r="X19" i="1043"/>
  <c r="W19" i="1043"/>
  <c r="V19" i="1043"/>
  <c r="U19" i="1043"/>
  <c r="T19" i="1043"/>
  <c r="S19" i="1043"/>
  <c r="R19" i="1043"/>
  <c r="Z18" i="1043"/>
  <c r="Y18" i="1043"/>
  <c r="X18" i="1043"/>
  <c r="W18" i="1043"/>
  <c r="V18" i="1043"/>
  <c r="U18" i="1043"/>
  <c r="T18" i="1043"/>
  <c r="S18" i="1043"/>
  <c r="R18" i="1043"/>
  <c r="Z17" i="1043"/>
  <c r="Y17" i="1043"/>
  <c r="X17" i="1043"/>
  <c r="W17" i="1043"/>
  <c r="V17" i="1043"/>
  <c r="U17" i="1043"/>
  <c r="T17" i="1043"/>
  <c r="S17" i="1043"/>
  <c r="R17" i="1043"/>
  <c r="Z16" i="1043"/>
  <c r="Y16" i="1043"/>
  <c r="X16" i="1043"/>
  <c r="W16" i="1043"/>
  <c r="V16" i="1043"/>
  <c r="U16" i="1043"/>
  <c r="T16" i="1043"/>
  <c r="S16" i="1043"/>
  <c r="R16" i="1043"/>
  <c r="O14" i="1043"/>
  <c r="N14" i="1043"/>
  <c r="M14" i="1043"/>
  <c r="L14" i="1043"/>
  <c r="J14" i="1043"/>
  <c r="I14" i="1043"/>
  <c r="G14" i="1043"/>
  <c r="F14" i="1043"/>
  <c r="E14" i="1043"/>
  <c r="D14" i="1043"/>
  <c r="C14" i="1043"/>
  <c r="O13" i="1043"/>
  <c r="N13" i="1043"/>
  <c r="M13" i="1043"/>
  <c r="L13" i="1043"/>
  <c r="J13" i="1043"/>
  <c r="I13" i="1043"/>
  <c r="G13" i="1043"/>
  <c r="F13" i="1043"/>
  <c r="E13" i="1043"/>
  <c r="D13" i="1043"/>
  <c r="C13" i="1043"/>
  <c r="O12" i="1043"/>
  <c r="N12" i="1043"/>
  <c r="M12" i="1043"/>
  <c r="L12" i="1043"/>
  <c r="J12" i="1043"/>
  <c r="I12" i="1043"/>
  <c r="G12" i="1043"/>
  <c r="F12" i="1043"/>
  <c r="E12" i="1043"/>
  <c r="D12" i="1043"/>
  <c r="C12" i="1043"/>
  <c r="O11" i="1043"/>
  <c r="N11" i="1043"/>
  <c r="M11" i="1043"/>
  <c r="L11" i="1043"/>
  <c r="J11" i="1043"/>
  <c r="I11" i="1043"/>
  <c r="G11" i="1043"/>
  <c r="F11" i="1043"/>
  <c r="E11" i="1043"/>
  <c r="D11" i="1043"/>
  <c r="C11" i="1043"/>
  <c r="O10" i="1043"/>
  <c r="N10" i="1043"/>
  <c r="M10" i="1043"/>
  <c r="L10" i="1043"/>
  <c r="J10" i="1043"/>
  <c r="I10" i="1043"/>
  <c r="G10" i="1043"/>
  <c r="F10" i="1043"/>
  <c r="E10" i="1043"/>
  <c r="D10" i="1043"/>
  <c r="C10" i="1043"/>
  <c r="C11" i="1041"/>
  <c r="D11" i="1041"/>
  <c r="E11" i="1041"/>
  <c r="F11" i="1041"/>
  <c r="G11" i="1041"/>
  <c r="I11" i="1041"/>
  <c r="J11" i="1041"/>
  <c r="L11" i="1041"/>
  <c r="M11" i="1041"/>
  <c r="N11" i="1041"/>
  <c r="O11" i="1041"/>
  <c r="C12" i="1041"/>
  <c r="D12" i="1041"/>
  <c r="E12" i="1041"/>
  <c r="F12" i="1041"/>
  <c r="G12" i="1041"/>
  <c r="I12" i="1041"/>
  <c r="J12" i="1041"/>
  <c r="L12" i="1041"/>
  <c r="M12" i="1041"/>
  <c r="N12" i="1041"/>
  <c r="O12" i="1041"/>
  <c r="C13" i="1041"/>
  <c r="D13" i="1041"/>
  <c r="E13" i="1041"/>
  <c r="F13" i="1041"/>
  <c r="G13" i="1041"/>
  <c r="I13" i="1041"/>
  <c r="J13" i="1041"/>
  <c r="L13" i="1041"/>
  <c r="M13" i="1041"/>
  <c r="N13" i="1041"/>
  <c r="O13" i="1041"/>
  <c r="C10" i="1041"/>
  <c r="D10" i="1041"/>
  <c r="E10" i="1041"/>
  <c r="F10" i="1041"/>
  <c r="G10" i="1041"/>
  <c r="I10" i="1041"/>
  <c r="J10" i="1041"/>
  <c r="L10" i="1041"/>
  <c r="M10" i="1041"/>
  <c r="N10" i="1041"/>
  <c r="O10" i="1041"/>
  <c r="AX59" i="1041"/>
  <c r="AW59" i="1041"/>
  <c r="AV59" i="1041"/>
  <c r="AU59" i="1041"/>
  <c r="AT59" i="1041"/>
  <c r="AS59" i="1041"/>
  <c r="AR59" i="1041"/>
  <c r="AQ59" i="1041"/>
  <c r="AP59" i="1041"/>
  <c r="AO59" i="1041"/>
  <c r="AN59" i="1041"/>
  <c r="AM59" i="1041"/>
  <c r="AL59" i="1041"/>
  <c r="AK59" i="1041"/>
  <c r="AJ59" i="1041"/>
  <c r="AI59" i="1041"/>
  <c r="AH59" i="1041"/>
  <c r="AG59" i="1041"/>
  <c r="AF59" i="1041"/>
  <c r="AE59" i="1041"/>
  <c r="AD59" i="1041"/>
  <c r="AC59" i="1041"/>
  <c r="AB59" i="1041"/>
  <c r="L59" i="1041"/>
  <c r="B59" i="1041"/>
  <c r="AX58" i="1041"/>
  <c r="AW58" i="1041"/>
  <c r="AV58" i="1041"/>
  <c r="AU58" i="1041"/>
  <c r="AT58" i="1041"/>
  <c r="AS58" i="1041"/>
  <c r="AR58" i="1041"/>
  <c r="AQ58" i="1041"/>
  <c r="AP58" i="1041"/>
  <c r="AO58" i="1041"/>
  <c r="AN58" i="1041"/>
  <c r="AM58" i="1041"/>
  <c r="AL58" i="1041"/>
  <c r="AK58" i="1041"/>
  <c r="AJ58" i="1041"/>
  <c r="AI58" i="1041"/>
  <c r="AH58" i="1041"/>
  <c r="AG58" i="1041"/>
  <c r="AF58" i="1041"/>
  <c r="AE58" i="1041"/>
  <c r="AD58" i="1041"/>
  <c r="AC58" i="1041"/>
  <c r="AB58" i="1041"/>
  <c r="AX57" i="1041"/>
  <c r="AW57" i="1041"/>
  <c r="AV57" i="1041"/>
  <c r="AU57" i="1041"/>
  <c r="AT57" i="1041"/>
  <c r="AS57" i="1041"/>
  <c r="AR57" i="1041"/>
  <c r="AQ57" i="1041"/>
  <c r="AP57" i="1041"/>
  <c r="AO57" i="1041"/>
  <c r="AN57" i="1041"/>
  <c r="AM57" i="1041"/>
  <c r="AL57" i="1041"/>
  <c r="AK57" i="1041"/>
  <c r="AJ57" i="1041"/>
  <c r="AI57" i="1041"/>
  <c r="AH57" i="1041"/>
  <c r="AG57" i="1041"/>
  <c r="AF57" i="1041"/>
  <c r="AE57" i="1041"/>
  <c r="AD57" i="1041"/>
  <c r="AC57" i="1041"/>
  <c r="AB57" i="1041"/>
  <c r="B57" i="1041"/>
  <c r="K52" i="1041"/>
  <c r="M43" i="1041" s="1"/>
  <c r="Z39" i="1041"/>
  <c r="Y39" i="1041"/>
  <c r="X39" i="1041"/>
  <c r="W39" i="1041"/>
  <c r="V39" i="1041"/>
  <c r="U39" i="1041"/>
  <c r="T39" i="1041"/>
  <c r="S39" i="1041"/>
  <c r="R39" i="1041"/>
  <c r="Z38" i="1041"/>
  <c r="Y38" i="1041"/>
  <c r="X38" i="1041"/>
  <c r="W38" i="1041"/>
  <c r="V38" i="1041"/>
  <c r="U38" i="1041"/>
  <c r="T38" i="1041"/>
  <c r="S38" i="1041"/>
  <c r="R38" i="1041"/>
  <c r="Z37" i="1041"/>
  <c r="Y37" i="1041"/>
  <c r="X37" i="1041"/>
  <c r="W37" i="1041"/>
  <c r="V37" i="1041"/>
  <c r="U37" i="1041"/>
  <c r="T37" i="1041"/>
  <c r="S37" i="1041"/>
  <c r="R37" i="1041"/>
  <c r="Z36" i="1041"/>
  <c r="Y36" i="1041"/>
  <c r="X36" i="1041"/>
  <c r="W36" i="1041"/>
  <c r="V36" i="1041"/>
  <c r="U36" i="1041"/>
  <c r="T36" i="1041"/>
  <c r="S36" i="1041"/>
  <c r="R36" i="1041"/>
  <c r="Z35" i="1041"/>
  <c r="Y35" i="1041"/>
  <c r="X35" i="1041"/>
  <c r="W35" i="1041"/>
  <c r="V35" i="1041"/>
  <c r="U35" i="1041"/>
  <c r="T35" i="1041"/>
  <c r="S35" i="1041"/>
  <c r="R35" i="1041"/>
  <c r="Z34" i="1041"/>
  <c r="Y34" i="1041"/>
  <c r="X34" i="1041"/>
  <c r="W34" i="1041"/>
  <c r="V34" i="1041"/>
  <c r="U34" i="1041"/>
  <c r="T34" i="1041"/>
  <c r="S34" i="1041"/>
  <c r="R34" i="1041"/>
  <c r="Z33" i="1041"/>
  <c r="Y33" i="1041"/>
  <c r="X33" i="1041"/>
  <c r="W33" i="1041"/>
  <c r="V33" i="1041"/>
  <c r="U33" i="1041"/>
  <c r="T33" i="1041"/>
  <c r="S33" i="1041"/>
  <c r="R33" i="1041"/>
  <c r="Z32" i="1041"/>
  <c r="Y32" i="1041"/>
  <c r="X32" i="1041"/>
  <c r="W32" i="1041"/>
  <c r="V32" i="1041"/>
  <c r="U32" i="1041"/>
  <c r="T32" i="1041"/>
  <c r="S32" i="1041"/>
  <c r="R32" i="1041"/>
  <c r="Z31" i="1041"/>
  <c r="Y31" i="1041"/>
  <c r="X31" i="1041"/>
  <c r="W31" i="1041"/>
  <c r="V31" i="1041"/>
  <c r="U31" i="1041"/>
  <c r="T31" i="1041"/>
  <c r="S31" i="1041"/>
  <c r="R31" i="1041"/>
  <c r="Z30" i="1041"/>
  <c r="Y30" i="1041"/>
  <c r="X30" i="1041"/>
  <c r="W30" i="1041"/>
  <c r="V30" i="1041"/>
  <c r="U30" i="1041"/>
  <c r="T30" i="1041"/>
  <c r="S30" i="1041"/>
  <c r="R30" i="1041"/>
  <c r="Z29" i="1041"/>
  <c r="Y29" i="1041"/>
  <c r="X29" i="1041"/>
  <c r="W29" i="1041"/>
  <c r="V29" i="1041"/>
  <c r="U29" i="1041"/>
  <c r="T29" i="1041"/>
  <c r="S29" i="1041"/>
  <c r="R29" i="1041"/>
  <c r="Z28" i="1041"/>
  <c r="Y28" i="1041"/>
  <c r="X28" i="1041"/>
  <c r="W28" i="1041"/>
  <c r="V28" i="1041"/>
  <c r="U28" i="1041"/>
  <c r="T28" i="1041"/>
  <c r="S28" i="1041"/>
  <c r="R28" i="1041"/>
  <c r="Z27" i="1041"/>
  <c r="Y27" i="1041"/>
  <c r="X27" i="1041"/>
  <c r="W27" i="1041"/>
  <c r="V27" i="1041"/>
  <c r="U27" i="1041"/>
  <c r="T27" i="1041"/>
  <c r="S27" i="1041"/>
  <c r="R27" i="1041"/>
  <c r="Z26" i="1041"/>
  <c r="Y26" i="1041"/>
  <c r="X26" i="1041"/>
  <c r="W26" i="1041"/>
  <c r="V26" i="1041"/>
  <c r="U26" i="1041"/>
  <c r="T26" i="1041"/>
  <c r="S26" i="1041"/>
  <c r="R26" i="1041"/>
  <c r="L42" i="1047" l="1"/>
  <c r="M42" i="1047" s="1"/>
  <c r="L42" i="1046"/>
  <c r="M42" i="1046" s="1"/>
  <c r="L42" i="1045"/>
  <c r="M42" i="1045" s="1"/>
  <c r="J29" i="1044"/>
  <c r="J29" i="1041"/>
  <c r="K33" i="1044"/>
  <c r="L33" i="1044" s="1"/>
  <c r="M33" i="1044" s="1"/>
  <c r="J29" i="1043"/>
  <c r="J24" i="1043"/>
  <c r="K33" i="1043"/>
  <c r="L33" i="1043" s="1"/>
  <c r="M33" i="1043" s="1"/>
  <c r="K38" i="1041"/>
  <c r="L38" i="1041" s="1"/>
  <c r="M38" i="1041" s="1"/>
  <c r="O47" i="21" l="1"/>
  <c r="N47" i="21"/>
  <c r="M47" i="21"/>
  <c r="L47" i="21"/>
  <c r="K47" i="21"/>
  <c r="J47" i="21"/>
  <c r="I47" i="21"/>
  <c r="G47" i="21"/>
  <c r="F47" i="21"/>
  <c r="D47" i="21"/>
  <c r="D45" i="21"/>
  <c r="P45" i="21" s="1"/>
  <c r="F9" i="21" s="1"/>
  <c r="H44" i="21"/>
  <c r="E44" i="21"/>
  <c r="D44" i="21"/>
  <c r="P42" i="21"/>
  <c r="H41" i="21"/>
  <c r="E41" i="21"/>
  <c r="D41" i="21"/>
  <c r="H40" i="21"/>
  <c r="E40" i="21"/>
  <c r="D40" i="21"/>
  <c r="F38" i="21"/>
  <c r="E9" i="21"/>
  <c r="E8" i="21"/>
  <c r="F7" i="21"/>
  <c r="E7" i="21"/>
  <c r="E6" i="21"/>
  <c r="E5" i="21"/>
  <c r="E3" i="21"/>
  <c r="D37" i="19"/>
  <c r="D36" i="19"/>
  <c r="D34" i="19"/>
  <c r="D33" i="19"/>
  <c r="E29" i="19"/>
  <c r="E27" i="19"/>
  <c r="K26" i="19"/>
  <c r="K25" i="19"/>
  <c r="K24" i="19"/>
  <c r="K23" i="19"/>
  <c r="J13" i="19"/>
  <c r="I13" i="19"/>
  <c r="H13" i="19"/>
  <c r="G13" i="19"/>
  <c r="F13" i="19"/>
  <c r="E13" i="19"/>
  <c r="D13" i="19"/>
  <c r="C13" i="19"/>
  <c r="E26" i="19" s="1"/>
  <c r="J12" i="19"/>
  <c r="I12" i="19"/>
  <c r="H12" i="19"/>
  <c r="G12" i="19"/>
  <c r="F12" i="19"/>
  <c r="E12" i="19"/>
  <c r="D12" i="19"/>
  <c r="C12" i="19"/>
  <c r="E25" i="19" s="1"/>
  <c r="J11" i="19"/>
  <c r="I11" i="19"/>
  <c r="H11" i="19"/>
  <c r="G11" i="19"/>
  <c r="F11" i="19"/>
  <c r="E11" i="19"/>
  <c r="D11" i="19"/>
  <c r="C11" i="19"/>
  <c r="E24" i="19" s="1"/>
  <c r="J10" i="19"/>
  <c r="I10" i="19"/>
  <c r="H10" i="19"/>
  <c r="G10" i="19"/>
  <c r="F10" i="19"/>
  <c r="E10" i="19"/>
  <c r="D10" i="19"/>
  <c r="C10" i="19"/>
  <c r="E23" i="19" s="1"/>
  <c r="D37" i="18"/>
  <c r="D36" i="18"/>
  <c r="D34" i="18"/>
  <c r="D33" i="18"/>
  <c r="E29" i="18"/>
  <c r="E27" i="18"/>
  <c r="K26" i="18"/>
  <c r="K25" i="18"/>
  <c r="K24" i="18"/>
  <c r="K23" i="18"/>
  <c r="J13" i="18"/>
  <c r="I13" i="18"/>
  <c r="H13" i="18"/>
  <c r="G13" i="18"/>
  <c r="F13" i="18"/>
  <c r="E13" i="18"/>
  <c r="D13" i="18"/>
  <c r="C13" i="18"/>
  <c r="E26" i="18" s="1"/>
  <c r="J12" i="18"/>
  <c r="I12" i="18"/>
  <c r="H12" i="18"/>
  <c r="G12" i="18"/>
  <c r="F12" i="18"/>
  <c r="E12" i="18"/>
  <c r="D12" i="18"/>
  <c r="C12" i="18"/>
  <c r="E25" i="18" s="1"/>
  <c r="J11" i="18"/>
  <c r="I11" i="18"/>
  <c r="H11" i="18"/>
  <c r="G11" i="18"/>
  <c r="F11" i="18"/>
  <c r="E11" i="18"/>
  <c r="D11" i="18"/>
  <c r="C11" i="18"/>
  <c r="E24" i="18" s="1"/>
  <c r="J10" i="18"/>
  <c r="I10" i="18"/>
  <c r="H10" i="18"/>
  <c r="G10" i="18"/>
  <c r="F10" i="18"/>
  <c r="E10" i="18"/>
  <c r="D10" i="18"/>
  <c r="C10" i="18"/>
  <c r="E23" i="18" s="1"/>
  <c r="F94" i="658"/>
  <c r="G90" i="658"/>
  <c r="AY80" i="658"/>
  <c r="AX80" i="658"/>
  <c r="AW80" i="658"/>
  <c r="AV80" i="658"/>
  <c r="AU80" i="658"/>
  <c r="AT80" i="658"/>
  <c r="AS80" i="658"/>
  <c r="AR80" i="658"/>
  <c r="AQ80" i="658"/>
  <c r="AP80" i="658"/>
  <c r="AO80" i="658"/>
  <c r="AN80" i="658"/>
  <c r="AM80" i="658"/>
  <c r="AL80" i="658"/>
  <c r="AK80" i="658"/>
  <c r="AJ80" i="658"/>
  <c r="AI80" i="658"/>
  <c r="AH80" i="658"/>
  <c r="AG80" i="658"/>
  <c r="AF80" i="658"/>
  <c r="AE80" i="658"/>
  <c r="AD80" i="658"/>
  <c r="AC80" i="658"/>
  <c r="AB80" i="658"/>
  <c r="AA80" i="658"/>
  <c r="Z80" i="658"/>
  <c r="Y80" i="658"/>
  <c r="X80" i="658"/>
  <c r="W80" i="658"/>
  <c r="V80" i="658"/>
  <c r="U80" i="658"/>
  <c r="K79" i="658"/>
  <c r="K90" i="658" s="1"/>
  <c r="G79" i="658"/>
  <c r="D79" i="658"/>
  <c r="K74" i="658"/>
  <c r="D72" i="658"/>
  <c r="M65" i="658"/>
  <c r="L65" i="658"/>
  <c r="M58" i="658"/>
  <c r="M57" i="658"/>
  <c r="M56" i="658"/>
  <c r="L56" i="658"/>
  <c r="K56" i="658"/>
  <c r="M55" i="658"/>
  <c r="M53" i="658"/>
  <c r="L53" i="658"/>
  <c r="K53" i="658"/>
  <c r="M52" i="658"/>
  <c r="L52" i="658"/>
  <c r="K52" i="658"/>
  <c r="M51" i="658"/>
  <c r="L51" i="658"/>
  <c r="K51" i="658"/>
  <c r="M50" i="658"/>
  <c r="L50" i="658"/>
  <c r="K50" i="658"/>
  <c r="AA47" i="658"/>
  <c r="Z47" i="658"/>
  <c r="Y47" i="658"/>
  <c r="X47" i="658"/>
  <c r="W47" i="658"/>
  <c r="V47" i="658"/>
  <c r="U47" i="658"/>
  <c r="T47" i="658"/>
  <c r="S47" i="658"/>
  <c r="AA46" i="658"/>
  <c r="Z46" i="658"/>
  <c r="Y46" i="658"/>
  <c r="X46" i="658"/>
  <c r="W46" i="658"/>
  <c r="V46" i="658"/>
  <c r="U46" i="658"/>
  <c r="T46" i="658"/>
  <c r="S46" i="658"/>
  <c r="AA45" i="658"/>
  <c r="Z45" i="658"/>
  <c r="Y45" i="658"/>
  <c r="X45" i="658"/>
  <c r="W45" i="658"/>
  <c r="V45" i="658"/>
  <c r="U45" i="658"/>
  <c r="T45" i="658"/>
  <c r="S45" i="658"/>
  <c r="AA44" i="658"/>
  <c r="Z44" i="658"/>
  <c r="Y44" i="658"/>
  <c r="X44" i="658"/>
  <c r="W44" i="658"/>
  <c r="V44" i="658"/>
  <c r="U44" i="658"/>
  <c r="T44" i="658"/>
  <c r="S44" i="658"/>
  <c r="AA43" i="658"/>
  <c r="Z43" i="658"/>
  <c r="Y43" i="658"/>
  <c r="X43" i="658"/>
  <c r="W43" i="658"/>
  <c r="V43" i="658"/>
  <c r="U43" i="658"/>
  <c r="T43" i="658"/>
  <c r="S43" i="658"/>
  <c r="AA42" i="658"/>
  <c r="Z42" i="658"/>
  <c r="Y42" i="658"/>
  <c r="X42" i="658"/>
  <c r="W42" i="658"/>
  <c r="V42" i="658"/>
  <c r="U42" i="658"/>
  <c r="T42" i="658"/>
  <c r="S42" i="658"/>
  <c r="AA41" i="658"/>
  <c r="Z41" i="658"/>
  <c r="Y41" i="658"/>
  <c r="X41" i="658"/>
  <c r="W41" i="658"/>
  <c r="V41" i="658"/>
  <c r="U41" i="658"/>
  <c r="T41" i="658"/>
  <c r="S41" i="658"/>
  <c r="AA40" i="658"/>
  <c r="Z40" i="658"/>
  <c r="Y40" i="658"/>
  <c r="X40" i="658"/>
  <c r="W40" i="658"/>
  <c r="V40" i="658"/>
  <c r="U40" i="658"/>
  <c r="T40" i="658"/>
  <c r="S40" i="658"/>
  <c r="AA39" i="658"/>
  <c r="Z39" i="658"/>
  <c r="Y39" i="658"/>
  <c r="X39" i="658"/>
  <c r="W39" i="658"/>
  <c r="V39" i="658"/>
  <c r="U39" i="658"/>
  <c r="T39" i="658"/>
  <c r="S39" i="658"/>
  <c r="AA38" i="658"/>
  <c r="Z38" i="658"/>
  <c r="Y38" i="658"/>
  <c r="X38" i="658"/>
  <c r="W38" i="658"/>
  <c r="V38" i="658"/>
  <c r="U38" i="658"/>
  <c r="T38" i="658"/>
  <c r="S38" i="658"/>
  <c r="AA37" i="658"/>
  <c r="Z37" i="658"/>
  <c r="Y37" i="658"/>
  <c r="X37" i="658"/>
  <c r="W37" i="658"/>
  <c r="V37" i="658"/>
  <c r="U37" i="658"/>
  <c r="T37" i="658"/>
  <c r="S37" i="658"/>
  <c r="AA36" i="658"/>
  <c r="Z36" i="658"/>
  <c r="Y36" i="658"/>
  <c r="X36" i="658"/>
  <c r="W36" i="658"/>
  <c r="V36" i="658"/>
  <c r="U36" i="658"/>
  <c r="T36" i="658"/>
  <c r="S36" i="658"/>
  <c r="AA35" i="658"/>
  <c r="Z35" i="658"/>
  <c r="Y35" i="658"/>
  <c r="X35" i="658"/>
  <c r="W35" i="658"/>
  <c r="V35" i="658"/>
  <c r="U35" i="658"/>
  <c r="T35" i="658"/>
  <c r="S35" i="658"/>
  <c r="AA34" i="658"/>
  <c r="Z34" i="658"/>
  <c r="Y34" i="658"/>
  <c r="X34" i="658"/>
  <c r="W34" i="658"/>
  <c r="V34" i="658"/>
  <c r="U34" i="658"/>
  <c r="T34" i="658"/>
  <c r="S34" i="658"/>
  <c r="AA33" i="658"/>
  <c r="Z33" i="658"/>
  <c r="Y33" i="658"/>
  <c r="X33" i="658"/>
  <c r="W33" i="658"/>
  <c r="V33" i="658"/>
  <c r="U33" i="658"/>
  <c r="T33" i="658"/>
  <c r="S33" i="658"/>
  <c r="AA32" i="658"/>
  <c r="Z32" i="658"/>
  <c r="Y32" i="658"/>
  <c r="X32" i="658"/>
  <c r="W32" i="658"/>
  <c r="V32" i="658"/>
  <c r="U32" i="658"/>
  <c r="T32" i="658"/>
  <c r="S32" i="658"/>
  <c r="AA31" i="658"/>
  <c r="Z31" i="658"/>
  <c r="Y31" i="658"/>
  <c r="X31" i="658"/>
  <c r="W31" i="658"/>
  <c r="V31" i="658"/>
  <c r="U31" i="658"/>
  <c r="T31" i="658"/>
  <c r="S31" i="658"/>
  <c r="AA30" i="658"/>
  <c r="Z30" i="658"/>
  <c r="Y30" i="658"/>
  <c r="X30" i="658"/>
  <c r="W30" i="658"/>
  <c r="V30" i="658"/>
  <c r="U30" i="658"/>
  <c r="T30" i="658"/>
  <c r="S30" i="658"/>
  <c r="AA29" i="658"/>
  <c r="Z29" i="658"/>
  <c r="Y29" i="658"/>
  <c r="X29" i="658"/>
  <c r="W29" i="658"/>
  <c r="V29" i="658"/>
  <c r="U29" i="658"/>
  <c r="T29" i="658"/>
  <c r="S29" i="658"/>
  <c r="AA28" i="658"/>
  <c r="Z28" i="658"/>
  <c r="Y28" i="658"/>
  <c r="X28" i="658"/>
  <c r="W28" i="658"/>
  <c r="V28" i="658"/>
  <c r="U28" i="658"/>
  <c r="T28" i="658"/>
  <c r="S28" i="658"/>
  <c r="AA27" i="658"/>
  <c r="Z27" i="658"/>
  <c r="Y27" i="658"/>
  <c r="X27" i="658"/>
  <c r="W27" i="658"/>
  <c r="V27" i="658"/>
  <c r="U27" i="658"/>
  <c r="T27" i="658"/>
  <c r="S27" i="658"/>
  <c r="AA26" i="658"/>
  <c r="Z26" i="658"/>
  <c r="Y26" i="658"/>
  <c r="X26" i="658"/>
  <c r="W26" i="658"/>
  <c r="V26" i="658"/>
  <c r="U26" i="658"/>
  <c r="T26" i="658"/>
  <c r="S26" i="658"/>
  <c r="AA25" i="658"/>
  <c r="Z25" i="658"/>
  <c r="Y25" i="658"/>
  <c r="X25" i="658"/>
  <c r="W25" i="658"/>
  <c r="V25" i="658"/>
  <c r="U25" i="658"/>
  <c r="T25" i="658"/>
  <c r="S25" i="658"/>
  <c r="AA24" i="658"/>
  <c r="Z24" i="658"/>
  <c r="Y24" i="658"/>
  <c r="X24" i="658"/>
  <c r="W24" i="658"/>
  <c r="V24" i="658"/>
  <c r="U24" i="658"/>
  <c r="T24" i="658"/>
  <c r="S24" i="658"/>
  <c r="AA23" i="658"/>
  <c r="Z23" i="658"/>
  <c r="Y23" i="658"/>
  <c r="X23" i="658"/>
  <c r="W23" i="658"/>
  <c r="V23" i="658"/>
  <c r="U23" i="658"/>
  <c r="T23" i="658"/>
  <c r="S23" i="658"/>
  <c r="AA22" i="658"/>
  <c r="Z22" i="658"/>
  <c r="Y22" i="658"/>
  <c r="X22" i="658"/>
  <c r="W22" i="658"/>
  <c r="V22" i="658"/>
  <c r="U22" i="658"/>
  <c r="T22" i="658"/>
  <c r="S22" i="658"/>
  <c r="AA21" i="658"/>
  <c r="Z21" i="658"/>
  <c r="Y21" i="658"/>
  <c r="X21" i="658"/>
  <c r="W21" i="658"/>
  <c r="V21" i="658"/>
  <c r="U21" i="658"/>
  <c r="T21" i="658"/>
  <c r="S21" i="658"/>
  <c r="AA20" i="658"/>
  <c r="Z20" i="658"/>
  <c r="Y20" i="658"/>
  <c r="X20" i="658"/>
  <c r="W20" i="658"/>
  <c r="V20" i="658"/>
  <c r="U20" i="658"/>
  <c r="T20" i="658"/>
  <c r="S20" i="658"/>
  <c r="AA19" i="658"/>
  <c r="Z19" i="658"/>
  <c r="Y19" i="658"/>
  <c r="X19" i="658"/>
  <c r="W19" i="658"/>
  <c r="V19" i="658"/>
  <c r="U19" i="658"/>
  <c r="T19" i="658"/>
  <c r="S19" i="658"/>
  <c r="AA18" i="658"/>
  <c r="Z18" i="658"/>
  <c r="Y18" i="658"/>
  <c r="X18" i="658"/>
  <c r="W18" i="658"/>
  <c r="V18" i="658"/>
  <c r="U18" i="658"/>
  <c r="T18" i="658"/>
  <c r="S18" i="658"/>
  <c r="AA17" i="658"/>
  <c r="Z17" i="658"/>
  <c r="Y17" i="658"/>
  <c r="X17" i="658"/>
  <c r="W17" i="658"/>
  <c r="V17" i="658"/>
  <c r="U17" i="658"/>
  <c r="T17" i="658"/>
  <c r="S17" i="658"/>
  <c r="AA16" i="658"/>
  <c r="Z16" i="658"/>
  <c r="Y16" i="658"/>
  <c r="X16" i="658"/>
  <c r="W16" i="658"/>
  <c r="V16" i="658"/>
  <c r="U16" i="658"/>
  <c r="T16" i="658"/>
  <c r="S16" i="658"/>
  <c r="AA15" i="658"/>
  <c r="Z15" i="658"/>
  <c r="Y15" i="658"/>
  <c r="X15" i="658"/>
  <c r="W15" i="658"/>
  <c r="V15" i="658"/>
  <c r="U15" i="658"/>
  <c r="T15" i="658"/>
  <c r="S15" i="658"/>
  <c r="AA14" i="658"/>
  <c r="Z14" i="658"/>
  <c r="Y14" i="658"/>
  <c r="X14" i="658"/>
  <c r="W14" i="658"/>
  <c r="V14" i="658"/>
  <c r="U14" i="658"/>
  <c r="T14" i="658"/>
  <c r="S14" i="658"/>
  <c r="AA13" i="658"/>
  <c r="Z13" i="658"/>
  <c r="Y13" i="658"/>
  <c r="X13" i="658"/>
  <c r="W13" i="658"/>
  <c r="V13" i="658"/>
  <c r="U13" i="658"/>
  <c r="T13" i="658"/>
  <c r="S13" i="658"/>
  <c r="AA12" i="658"/>
  <c r="Z12" i="658"/>
  <c r="Y12" i="658"/>
  <c r="X12" i="658"/>
  <c r="W12" i="658"/>
  <c r="V12" i="658"/>
  <c r="U12" i="658"/>
  <c r="T12" i="658"/>
  <c r="S12" i="658"/>
  <c r="AA11" i="658"/>
  <c r="Z11" i="658"/>
  <c r="Y11" i="658"/>
  <c r="X11" i="658"/>
  <c r="W11" i="658"/>
  <c r="V11" i="658"/>
  <c r="U11" i="658"/>
  <c r="T11" i="658"/>
  <c r="S11" i="658"/>
  <c r="AA10" i="658"/>
  <c r="Z10" i="658"/>
  <c r="Y10" i="658"/>
  <c r="X10" i="658"/>
  <c r="W10" i="658"/>
  <c r="V10" i="658"/>
  <c r="U10" i="658"/>
  <c r="T10" i="658"/>
  <c r="S10" i="658"/>
  <c r="K59" i="658" l="1"/>
  <c r="L59" i="658" s="1"/>
  <c r="M59" i="658" s="1"/>
  <c r="C33" i="18"/>
  <c r="P44" i="21"/>
  <c r="F8" i="21" s="1"/>
  <c r="L79" i="658"/>
  <c r="C90" i="658" s="1"/>
  <c r="I20" i="18"/>
  <c r="E10" i="21"/>
  <c r="I20" i="19"/>
  <c r="C33" i="19"/>
  <c r="P40" i="21"/>
  <c r="F5" i="21" s="1"/>
  <c r="E47" i="21"/>
  <c r="H47" i="21"/>
  <c r="P41" i="21"/>
  <c r="F6" i="21" s="1"/>
  <c r="D40" i="18"/>
  <c r="D40" i="19"/>
  <c r="P47" i="21" l="1"/>
  <c r="F10" i="21" s="1"/>
  <c r="D60" i="1052" l="1"/>
  <c r="D56" i="1045"/>
  <c r="D57" i="1041"/>
  <c r="D52" i="1044"/>
  <c r="D52" i="1043"/>
  <c r="D56" i="1049"/>
  <c r="D56" i="1048"/>
  <c r="D56" i="1047"/>
  <c r="D56" i="1046"/>
  <c r="D60" i="1051"/>
  <c r="D60" i="1050"/>
  <c r="G60" i="1052"/>
  <c r="G60" i="1051"/>
  <c r="G56" i="1048"/>
  <c r="G56" i="1046"/>
  <c r="G52" i="1044"/>
  <c r="G56" i="1049"/>
  <c r="G56" i="1047"/>
  <c r="G56" i="1045"/>
  <c r="G52" i="1043"/>
  <c r="G60" i="1050"/>
  <c r="G57" i="1041"/>
  <c r="L52" i="1043" l="1"/>
  <c r="L57" i="1041"/>
  <c r="L56" i="1047"/>
  <c r="L56" i="1048"/>
  <c r="L56" i="1049"/>
  <c r="L52" i="1044"/>
  <c r="L56" i="1045"/>
  <c r="L60" i="1052"/>
  <c r="L60" i="1050"/>
  <c r="L60" i="1051"/>
  <c r="L56" i="1046"/>
  <c r="G61" i="19" l="1"/>
  <c r="N26" i="1055" l="1"/>
  <c r="N27" i="1055"/>
  <c r="N10" i="1056" l="1"/>
  <c r="I14" i="1056"/>
  <c r="J14" i="1056"/>
  <c r="I16" i="1056"/>
  <c r="I15" i="1056"/>
  <c r="I18" i="1056" l="1"/>
  <c r="J18" i="1056"/>
  <c r="I17" i="1056"/>
  <c r="J17" i="1056"/>
  <c r="J15" i="1056"/>
  <c r="J16" i="1056"/>
  <c r="J10" i="1056" l="1"/>
  <c r="J11" i="1056"/>
  <c r="C13" i="1056"/>
  <c r="C12" i="1056"/>
  <c r="C10" i="1056"/>
  <c r="C11" i="1056"/>
  <c r="J13" i="1056"/>
  <c r="J12" i="1056"/>
  <c r="J33" i="1056" l="1"/>
  <c r="I10" i="1056"/>
  <c r="I12" i="1056"/>
  <c r="I11" i="1056"/>
  <c r="I13" i="1056"/>
  <c r="G83" i="1055" l="1"/>
  <c r="G73" i="1052"/>
  <c r="G73" i="1051"/>
  <c r="G54" i="1044"/>
  <c r="D58" i="1046"/>
  <c r="D62" i="1052"/>
  <c r="D64" i="1052"/>
  <c r="D70" i="1055"/>
  <c r="D62" i="1056"/>
  <c r="D60" i="1046"/>
  <c r="D62" i="1051"/>
  <c r="D58" i="1049"/>
  <c r="G69" i="1049"/>
  <c r="D62" i="1050"/>
  <c r="G73" i="1050"/>
  <c r="D58" i="1047"/>
  <c r="G64" i="1052" l="1"/>
  <c r="L64" i="1052" s="1"/>
  <c r="G54" i="1043"/>
  <c r="G62" i="1050"/>
  <c r="L62" i="1050" s="1"/>
  <c r="C73" i="1050" s="1"/>
  <c r="D54" i="1044"/>
  <c r="L54" i="1044" s="1"/>
  <c r="C65" i="1044" s="1"/>
  <c r="G75" i="1056"/>
  <c r="G60" i="1054"/>
  <c r="G62" i="1046"/>
  <c r="G58" i="1049"/>
  <c r="L58" i="1049" s="1"/>
  <c r="C69" i="1049" s="1"/>
  <c r="G70" i="1055"/>
  <c r="L70" i="1055"/>
  <c r="C83" i="1055" s="1"/>
  <c r="G62" i="1051"/>
  <c r="L62" i="1051" s="1"/>
  <c r="C73" i="1051" s="1"/>
  <c r="G58" i="1045"/>
  <c r="G60" i="1046"/>
  <c r="L60" i="1046" s="1"/>
  <c r="G58" i="1047"/>
  <c r="L58" i="1047" s="1"/>
  <c r="C69" i="1047" s="1"/>
  <c r="G58" i="1048"/>
  <c r="G62" i="1052"/>
  <c r="L62" i="1052" s="1"/>
  <c r="G62" i="1056"/>
  <c r="L62" i="1056" s="1"/>
  <c r="C75" i="1056" s="1"/>
  <c r="G58" i="1046"/>
  <c r="L58" i="1046" s="1"/>
  <c r="G69" i="1047"/>
  <c r="G69" i="1046" l="1"/>
  <c r="C73" i="1052"/>
  <c r="G56" i="18" l="1"/>
  <c r="G56" i="19" l="1"/>
  <c r="K12" i="1058" l="1"/>
  <c r="K13" i="1058"/>
  <c r="K14" i="1058"/>
  <c r="K15" i="1058"/>
  <c r="K16" i="1058"/>
  <c r="K17" i="1058"/>
  <c r="K18" i="1058"/>
  <c r="K19" i="1058"/>
  <c r="D56" i="18" l="1"/>
  <c r="K54" i="1058" l="1"/>
  <c r="K65" i="1058" s="1"/>
  <c r="K52" i="1058"/>
  <c r="K67" i="1058" s="1"/>
  <c r="K65" i="1057"/>
  <c r="K82" i="1057" s="1"/>
  <c r="K60" i="1052" l="1"/>
  <c r="K52" i="1043"/>
  <c r="K60" i="1051"/>
  <c r="K52" i="1044"/>
  <c r="K56" i="1045"/>
  <c r="K56" i="1049"/>
  <c r="K60" i="1050"/>
  <c r="K56" i="1048"/>
  <c r="K56" i="1046"/>
  <c r="K57" i="1041"/>
  <c r="K56" i="1047"/>
  <c r="J61" i="19" l="1"/>
  <c r="J59" i="19" l="1"/>
  <c r="K58" i="1046" l="1"/>
  <c r="K64" i="1052"/>
  <c r="K62" i="1056"/>
  <c r="K75" i="1056" s="1"/>
  <c r="K58" i="1049"/>
  <c r="K69" i="1049" s="1"/>
  <c r="K58" i="1045"/>
  <c r="K69" i="1045" s="1"/>
  <c r="K60" i="1054"/>
  <c r="K74" i="1054" s="1"/>
  <c r="K58" i="1048"/>
  <c r="K70" i="1048" s="1"/>
  <c r="K54" i="1044"/>
  <c r="K54" i="1043"/>
  <c r="K60" i="1046"/>
  <c r="K63" i="1057"/>
  <c r="K78" i="1057" s="1"/>
  <c r="K62" i="1051"/>
  <c r="K73" i="1051" s="1"/>
  <c r="K70" i="1055"/>
  <c r="K83" i="1055" s="1"/>
  <c r="K62" i="1052"/>
  <c r="K73" i="1052" s="1"/>
  <c r="K62" i="1050"/>
  <c r="K73" i="1050" s="1"/>
  <c r="K58" i="1047"/>
  <c r="K69" i="1047" s="1"/>
  <c r="K62" i="1046"/>
  <c r="K69" i="1046" l="1"/>
  <c r="J56" i="18"/>
  <c r="J57" i="18"/>
  <c r="J58" i="18"/>
  <c r="J62" i="18"/>
  <c r="J58" i="19" l="1"/>
  <c r="J62" i="19"/>
  <c r="J57" i="19"/>
  <c r="J65" i="18"/>
  <c r="J56" i="19" l="1"/>
  <c r="J65" i="19"/>
  <c r="C35" i="1058" l="1"/>
  <c r="C23" i="1058"/>
  <c r="C33" i="1056"/>
  <c r="C43" i="1055"/>
  <c r="C41" i="1055"/>
  <c r="K11" i="1061" l="1"/>
  <c r="K12" i="1061"/>
  <c r="K13" i="1061"/>
  <c r="K14" i="1061"/>
  <c r="K15" i="1061"/>
  <c r="K16" i="1061"/>
  <c r="K17" i="1061"/>
  <c r="K17" i="1059" l="1"/>
  <c r="K13" i="1057" l="1"/>
  <c r="K14" i="1057"/>
  <c r="K15" i="1057"/>
  <c r="K16" i="1057"/>
  <c r="K17" i="1057"/>
  <c r="K18" i="1057"/>
  <c r="K10" i="1059"/>
  <c r="K11" i="1059"/>
  <c r="K12" i="1059"/>
  <c r="K13" i="1059"/>
  <c r="K14" i="1059"/>
  <c r="K15" i="1059"/>
  <c r="K16" i="1059"/>
  <c r="K10" i="1057"/>
  <c r="K11" i="1057"/>
  <c r="K12" i="1057"/>
  <c r="K10" i="1058" l="1"/>
  <c r="K20" i="1057"/>
  <c r="K19" i="1056" l="1"/>
  <c r="K11" i="1056"/>
  <c r="K12" i="1056"/>
  <c r="K13" i="1056"/>
  <c r="K14" i="1056"/>
  <c r="K15" i="1056"/>
  <c r="K16" i="1056"/>
  <c r="K17" i="1056"/>
  <c r="K18" i="1056"/>
  <c r="K14" i="1055" l="1"/>
  <c r="K16" i="1055"/>
  <c r="K17" i="1055"/>
  <c r="K10" i="1056"/>
  <c r="K11" i="1055" l="1"/>
  <c r="K12" i="1055"/>
  <c r="K13" i="1055"/>
  <c r="K15" i="1055"/>
  <c r="K13" i="1054" l="1"/>
  <c r="K14" i="1054"/>
  <c r="K15" i="1054"/>
  <c r="K16" i="1054"/>
  <c r="K17" i="1054"/>
  <c r="K18" i="1054"/>
  <c r="K19" i="1054"/>
  <c r="K10" i="1055"/>
  <c r="K22" i="1050" l="1"/>
  <c r="K23" i="1050"/>
  <c r="K24" i="1050"/>
  <c r="K25" i="1050"/>
  <c r="K26" i="1050"/>
  <c r="K27" i="1050"/>
  <c r="K15" i="1053"/>
  <c r="K16" i="1053"/>
  <c r="K17" i="1053"/>
  <c r="K18" i="1053"/>
  <c r="K19" i="1053"/>
  <c r="K20" i="1053"/>
  <c r="K10" i="1054"/>
  <c r="K11" i="1054"/>
  <c r="K12" i="1054"/>
  <c r="K11" i="1047" l="1"/>
  <c r="K11" i="1045"/>
  <c r="K12" i="1045"/>
  <c r="K13" i="1045"/>
  <c r="K14" i="1045"/>
  <c r="K15" i="1045"/>
  <c r="K16" i="1045"/>
  <c r="K10" i="1046"/>
  <c r="K11" i="1046"/>
  <c r="K12" i="1046"/>
  <c r="K13" i="1046"/>
  <c r="K14" i="1046"/>
  <c r="K15" i="1046"/>
  <c r="K16" i="1046"/>
  <c r="K17" i="1046"/>
  <c r="K18" i="1046"/>
  <c r="K12" i="1047"/>
  <c r="K13" i="1047"/>
  <c r="K14" i="1047"/>
  <c r="K10" i="1050"/>
  <c r="K11" i="1050"/>
  <c r="K12" i="1050"/>
  <c r="K13" i="1050"/>
  <c r="K14" i="1050"/>
  <c r="K15" i="1050"/>
  <c r="K16" i="1050"/>
  <c r="K17" i="1050"/>
  <c r="K18" i="1050"/>
  <c r="K19" i="1050"/>
  <c r="K10" i="1047" l="1"/>
  <c r="K21" i="1046"/>
  <c r="K10" i="1045" l="1"/>
  <c r="K18" i="1044"/>
  <c r="K17" i="1044"/>
  <c r="K16" i="1044"/>
  <c r="D60" i="19" l="1"/>
  <c r="D63" i="19"/>
  <c r="D64" i="19"/>
  <c r="D57" i="18" l="1"/>
  <c r="D62" i="18"/>
  <c r="G67" i="1058"/>
  <c r="D52" i="1058"/>
  <c r="L52" i="1058" s="1"/>
  <c r="C67" i="1058" s="1"/>
  <c r="D61" i="19"/>
  <c r="D59" i="18"/>
  <c r="D54" i="1043" l="1"/>
  <c r="L54" i="1043" s="1"/>
  <c r="C67" i="1043" s="1"/>
  <c r="G74" i="1054"/>
  <c r="D60" i="1054"/>
  <c r="L60" i="1054" s="1"/>
  <c r="C74" i="1054" s="1"/>
  <c r="D58" i="1045"/>
  <c r="L58" i="1045" s="1"/>
  <c r="C69" i="1045" s="1"/>
  <c r="D62" i="1046"/>
  <c r="L62" i="1046" s="1"/>
  <c r="C69" i="1046" s="1"/>
  <c r="D58" i="19"/>
  <c r="D60" i="1059"/>
  <c r="L60" i="1059" s="1"/>
  <c r="C76" i="1059" s="1"/>
  <c r="D63" i="1057"/>
  <c r="L63" i="1057" s="1"/>
  <c r="C78" i="1057" s="1"/>
  <c r="D65" i="1057"/>
  <c r="L65" i="1057" s="1"/>
  <c r="C82" i="1057" s="1"/>
  <c r="G70" i="1048"/>
  <c r="D58" i="1048"/>
  <c r="L58" i="1048" s="1"/>
  <c r="C70" i="1048" s="1"/>
  <c r="D62" i="19"/>
  <c r="D57" i="19"/>
  <c r="D59" i="19"/>
  <c r="G76" i="1059" l="1"/>
  <c r="G78" i="1057"/>
  <c r="G82" i="1057"/>
  <c r="D58" i="18"/>
  <c r="G69" i="1045"/>
  <c r="D56" i="19"/>
  <c r="D65" i="18" l="1"/>
  <c r="G57" i="18"/>
  <c r="G62" i="18"/>
  <c r="G58" i="18"/>
  <c r="G59" i="18"/>
  <c r="D65" i="19"/>
  <c r="G58" i="19" l="1"/>
  <c r="G65" i="18"/>
  <c r="G59" i="19"/>
  <c r="G62" i="19"/>
  <c r="G57" i="19" l="1"/>
  <c r="G65" i="19"/>
  <c r="K10" i="1049" l="1"/>
  <c r="K11" i="1049"/>
  <c r="K12" i="1049"/>
  <c r="K13" i="1048"/>
  <c r="K14" i="1048"/>
  <c r="K15" i="1048"/>
  <c r="K16" i="1048"/>
  <c r="K17" i="1048"/>
  <c r="K12" i="1052"/>
  <c r="K13" i="1052"/>
  <c r="K14" i="1052"/>
  <c r="K15" i="1052"/>
  <c r="K16" i="1052"/>
  <c r="K17" i="1052"/>
  <c r="K10" i="1053"/>
  <c r="K11" i="1053"/>
  <c r="K12" i="1053"/>
  <c r="K13" i="1053"/>
  <c r="K20" i="1059"/>
  <c r="K10" i="1041"/>
  <c r="K11" i="1041"/>
  <c r="K12" i="1041"/>
  <c r="K13" i="1041"/>
  <c r="K10" i="1043"/>
  <c r="K11" i="1043"/>
  <c r="K12" i="1043"/>
  <c r="K13" i="1043"/>
  <c r="K14" i="1043"/>
  <c r="K22" i="105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F1F6E66-18DD-4077-9D03-81A5E75AC2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6C2866C-0128-443E-900A-885D0ED885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38040F8-D023-429E-B8F5-09C5137BA5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42231B0-DF58-4498-B8AB-6E63151227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F888C63-44F1-4C10-BE19-1703D7AA65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0DC34E3-879A-491E-8A28-2320E6267A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388573A8-AFDB-4EC6-8147-E3D5E69861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3B133D5-4EE7-48E7-9932-35D5829D8A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313F1B7-8B43-4B82-84C2-5D1CF95A9B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A1037DD-8911-4DFC-A38E-43C64558C9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3" authorId="0" shapeId="0" xr:uid="{EF0D0E60-B8D7-4708-80DC-7BF0A8CA04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F0156E98-4B36-479F-8896-3E8CEF09E2B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356E6E0-E5D8-4B99-872B-9B2F6E8C2FF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6A7C66AE-BC0B-410D-B8B7-7F4C0A40643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AB2DB793-9672-4AED-8E77-EA2ADCAECE2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5AF65E5F-51B7-4ED6-8DEA-E4751ED38A1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2EBA8BC-C913-4D47-BD7E-BA633ED5C9F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523FCD7-DF0B-4FA7-A875-F9D47176A43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DFBB44C2-6ABC-4371-8737-D338F23F8B6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5E682E3F-B721-4F65-BD66-33CE136A3B1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175A9ADB-9BF2-4B95-977C-EAEF1AA83B8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5621DA17-D582-4DB1-912D-FABE7535F4E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C78AF51D-2EA4-4820-86D9-ED7461173F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59D4F38-2186-4C3D-B5BE-5526AEBA88E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9E2E791B-BA66-40BA-8296-BFB53CCF2B3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0ABA51B-5476-43A3-863B-0F0173E71FB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75323833-28F0-44FF-9012-314B9E8B293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AC938B4-85DC-4097-8E82-F072CDE364D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D441C16-50DF-41C9-8FDE-C0A7894052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C5F9AA2-F4C3-4C11-A59F-52C3CFDF7F5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F52D7375-1E62-451E-B021-9DDBA88D2C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21691219-14E0-4785-8BD3-7F844CE55A7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38DF0875-0F7F-481D-8FE4-11FD20E96B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4322966E-623C-4DCE-BEFF-68DDCD7358E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65A5265-CCFE-48AA-AF4A-7E5AAC456B4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4C5E61E2-15B0-4074-BE1B-4D8EE10A8A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FA0944DF-2D63-4C55-A0AB-65D33675AB0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8FE791B3-2B70-4CAB-B779-5CBE2A3D4D7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DA5AA2D-414B-4961-BA2E-DF20BFFC842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F1A246E1-54AC-471C-8A1F-7F83D1096DF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26F52C4-1C3D-4AD2-A6F1-11535BAF3C3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B5A21860-F5AF-41AF-90FC-98910CBD30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4477CBEE-C16E-4CA0-AB01-4E17471A325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A35F32D2-659D-4397-A88A-4291AAE88E8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1FCB6686-E41F-401B-BBC6-65CF7367097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587BAA6-CFC2-4993-8C8F-EE2B8590EAB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8E327FF-B9FA-4409-829A-7E275E61610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D4BA03C-D170-422D-8988-790D8762E32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1AF57D35-0302-4C5B-A550-57A5AEC379C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65D6C19-FD1C-4C98-BEA2-02772E06C98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FB3A33D8-56CE-4E16-AB45-15816579C6C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085B2A1-8ABA-44CA-871A-A4D1BEF732A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1E22D999-DFBF-4DD6-B467-64AAB621110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E4491785-ED9E-4984-B7AC-0F42657971A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133EDA1-F826-4866-8660-1F0B58E9C86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8B91651C-1DA8-4940-97F2-324D8A0A06D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FAB57E1-2056-4DA0-AABA-98C34AE1EAD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D3F6CD4-4A2A-42E0-8272-DC2BA533241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18B7ED9-0D60-4E41-A825-BCD7B10F36B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27C75D6-9116-4518-B327-154906000F6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406A201F-D314-4231-8C11-435FA45DAFA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F84F63CE-49B7-4E4B-ADCF-D7CBE6E2B9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5E26EA6B-D03C-4D8A-8A88-506BF918AEA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4F1EB381-2457-47D7-9167-736A82D0322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B8075CFC-4D64-4263-80BB-4C30CBD344E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0A2BB50C-E5B5-464E-829E-C50B03C2965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50437A80-576A-48D6-B6E2-4BE883A321D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C1465CA-49C9-4590-8A91-EF4C4AF0CBD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2F683E9F-DDBE-4AB4-8E2E-86BED918852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9547945-64F7-4162-8CF4-F59EDBA31C9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2F5E35F-EFDB-4A15-842B-B782F0A1667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CDF288D8-B5BD-41D6-AB8E-10B11DE766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840FE3C2-30D1-4FF1-B8D9-9C4A27A762C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4A1A50A2-7720-4689-BC04-611028AE7E7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9E0A955-BB18-46F3-9E84-48815148FA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4136077-927F-4C80-AA67-08CFBB626CA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4A07CCED-B026-435D-8E78-719D80D845A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AA5AE12B-52AC-46CF-909E-BA6885121C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26872E8-2243-4DA7-8A97-27A859EA657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9A6A1FE-28DB-4158-B122-6D035CC6736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3CB8E81-555E-4DC6-A391-E3BACB286A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7C980FA6-B7CD-4E95-B0B7-AAEB2F2BA76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94103B8-EADF-4D8D-9BF3-49319A2BC1D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53ABD6C0-612D-47AA-AEF0-C6D5FCCE68D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45D95020-F425-4D07-A69B-8553A61A4C1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71A8B24F-46BE-49D4-B821-C6F290AA35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93C092E5-72AA-4058-88B4-9168A562174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E779B1A1-E5E5-41DB-8D32-0FE4F93FCA4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0653FB62-82EB-4B11-827A-2B174DFCFC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2F35DBF7-9F0D-4878-AA0A-9CB01E9C565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22A294F3-23A9-46BA-9267-3DB4A85B6D2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F45B69A7-E457-429F-A6A5-718826A2152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82CF6D8D-1EB1-4ABA-9741-492F7D2D2F8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A9EC0C0F-FC3D-4DC5-A732-1F9F6240F98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54014C30-EB4B-419E-A68B-AA137E88D4D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2328B438-6363-43F5-B9A4-3552D203E1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CA9A07AA-3B71-4BDE-B7ED-53B2DDCE1B0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30A27795-3067-4F8C-AA0F-3D4D7748F5A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4A2CA5DB-2284-4094-8B17-78081508A3D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59799E87-777D-4774-AE5A-74B21DB687F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2F897673-2FD6-48BA-8EAD-1ADEADB2909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AF6AE21-D315-449E-AE56-955D14D8CF0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34641F7-D21D-4314-9C6C-06E22F5DFE5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291D3D5-AF41-4136-8491-AB1EC5AD063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D351953-E7E9-4499-9150-C8A25490086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E758F900-C70D-4940-AFAD-EEE1FE135C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57367587-ECA0-414E-9A78-3441EFCEEFA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4CBADBF-1BEF-4C43-B9CD-F89B21F3731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E8587682-B45B-4A7D-ADBC-275F1AE1043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17F0A78-45D1-4188-8F9E-626F516A284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9F0F6DE-8DE1-4AF3-B501-5866B1E999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BFB94E8-35D0-467C-A011-C3896B366E0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ADE4ECE-44E2-4D6E-B070-5DEF0116398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CA00A96-18A3-4421-854D-435BCDA4F78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D253F8B0-DF89-4C84-9FAC-E24C246DD8D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674181C-1854-40A3-A4DC-6657F861498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C84AA617-3780-4EB6-90D7-82230B2C9E0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4D8D0E54-67A4-475C-90E9-8923521873A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4DC92965-0C94-4755-AC46-04A3CE974E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4ACB114-B067-420F-BE4E-5189C17EFD7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2979EDE5-F1D9-4591-99D1-D2CF694764D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AE318601-559E-4D99-B3EC-85FFAE5998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6805441B-25F6-4A54-B319-D79A4238EFB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2A1D1AF3-CE41-4512-9B50-64818FAFD25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B4D7292-CA1B-40BE-8BB0-033CB84F3B8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655FE89-F453-483F-8E43-0D06C219887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BD3F7F1-F785-4B0F-9FF2-0851AC0A2A2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6BEAC16B-2BF9-4057-8743-09438388B45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57AD197B-885A-4555-9A95-28F4D682989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27B761FD-CD0C-472A-8766-76ED1D4C155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4A08C471-70F1-42B0-8800-5B329A14A39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38CC32BA-6AF2-44FE-B906-09376AA72EE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63ECF460-3676-4D9B-91BB-4A870FE9E7F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14DE9BB-3D52-4927-B622-872CEE03ADB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58666F39-E74A-4EFA-9500-7E8BB86D1EC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774C012-B8EC-418A-83E2-AF272C1DBC6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FF18DB49-D0DB-4A55-A413-B16A23E03F3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A74C87A-FC81-4F05-A97F-CCCF2BA761B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C08872CA-A728-4740-BDB7-3DE960F61A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2ED568E-30F2-4D83-B139-A67F8B53DFB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5D57AD4A-4865-4FD1-870E-578330A6D29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404D8EB-800B-4DC6-BF41-874C0CB992C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360E7CB9-3526-446F-9DF3-268650AF3D5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D1ABB0B8-35AE-40F3-B07D-E36276F42B1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E393DC6-A914-4B16-979A-56878C5777C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5A508A31-20A6-4169-B9AE-4895A8EAEFF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5BB9EFE-400D-4752-8C43-4EEB1D1F43E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148C13CB-B27A-4E73-A5C9-252C7AE4564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21A736E-D307-433B-A094-A596B5A8C00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433B2AC-F0B2-4040-8C90-AE65E5762F9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FA156364-9428-475D-B2C0-80072E7DBE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FEE03EBB-1FD0-4584-B2F4-AAA9E7364FB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C8D7E2B3-804E-41F7-8A3B-83B9994AE09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5DDED2AB-C2B9-478A-B103-52DD9A76E3C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8E4284FC-DF20-4213-929E-44FEE455743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A4581807-FD0B-4E07-85CA-8C3198B13B4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DFCBB4E-08D8-483C-B0AC-758F9A534BD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B2686C2-CA91-404D-810F-F8199324D18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C34714CF-A064-4FC7-9706-06D58FA6D7D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E26B3D8-F2BD-4A10-9DBE-0DCBFCBB37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AE47CC6-9A08-4679-A08B-4EF3C4EBAD8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00B1121D-FDBC-4673-8D65-84100B5B0A9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8931AB2A-9CDA-4718-B334-4E67149E7E8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FB69324C-0B3F-4A8E-B983-D24896AFF35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33FEEF24-0ACF-4251-970B-AAA047AD7A9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52CEC064-60AA-4724-A378-3ECF9E79AC9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C97BE545-0BB9-47A0-AC21-F6EDC05DCD1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7C7133A6-0089-4D90-9D43-549709CF1F8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69FD3A3-570B-47E5-8E3F-7CE5F22CDA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19B2F805-C13B-43A5-859D-43357DB0AAC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55D4C28-D49B-498E-8E74-E83C5FE5669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67D48F5-3347-4003-8034-2738E026AC2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F10ACA65-324D-43B3-A5D4-7A5B481A1A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5A9E99B-3FC8-4303-9925-31AFA0908E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5B92D7A5-0BA7-4DA5-91AF-75CDBB03BD0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201CB961-E536-497A-8942-EB9F2C6396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BC3F16D0-3853-42CE-8745-21D27F82C07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C6F2EE8-6A3A-4ECC-A0D3-984D2938E4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0D1DE70E-166C-4362-ABF1-C3C6FCE1258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37D26C4-BC4A-44F3-B483-3DEA69ACD36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8905CF9B-DA54-48B3-83B9-3DB3DDAEA54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17BB142-6797-439A-9EE8-BDD35DD84A3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699ACFBA-4D34-4468-B57A-17E745D6808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07BEF2FA-7FEE-4868-B3BC-DDE8801377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C9B03D5B-ED1A-45CE-84F4-5CE58106592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B2A153F0-7317-4C1F-8949-3C45B33CC4C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F2F1746-D055-4F89-9D6E-4963073291F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7E031285-DAFE-409F-9710-24E593682A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14744C4-25CB-4144-8D36-AD86995F44B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1D3E02A-2D90-44BC-9475-78CD0B301B5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8CCD007-268E-48C0-ABEB-1F3F70D6B23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A9F499E3-6F89-43BE-A584-DC7A3256C11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464A5ED-E2E8-44AE-82AA-CF89BFDFFA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6432ACA4-65A0-4E76-8237-033E775D417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DC07E69E-B50B-4312-85F3-D5853738B76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1F8C2D40-A340-4AE9-B0FB-C5D71D841D5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21F1E24A-5498-4409-8278-C924B41AA7F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A132152-E47E-4CC1-BA31-DD090DB0086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1DC0B651-FED5-421C-9F2E-21B75B03E34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A931D1EA-DE4C-4B4C-B76A-4DB054FE034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5CD10BB5-7F86-447A-85E2-F3C0F72377D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EB340DD-8B8D-40B3-BE36-B23954176C5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3BBA797-4595-45A6-8600-74EFC5350A3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620F7475-9C82-4342-876F-0679336D619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3AE6BE1-91A8-44EF-A40F-32C5D9501A8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2792E7E-6B1B-4A13-9433-DF31C4CD8D7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593F35B9-13BC-4AEE-BC66-4596F2A2C0E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7ABFC14-CF56-4F0E-A4AF-FD626600953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03218704-8DAB-4906-9F53-E034788F733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6ADA4133-EC17-4761-8770-ABE79589474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BC5BE48-4362-4A76-95DA-DCA04036C07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4A1E9AA7-D4B2-43A7-8F0D-94F4051F4AB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A6B064D2-D1A6-4343-A0FA-91130E7A790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F2139C39-DC86-43F1-91C1-696209230B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BC44818-E379-4322-9D9F-75F2C0CE909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96753B76-1B92-4B4F-9421-14A35E5B0FF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ACDD0C3-D4A8-4EA3-AEC6-412FE9EAA8C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2D39F636-7E9D-4FF3-A35D-65A1416EAC7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682E2AB9-5C9D-4F78-A241-9FB3FE8F651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5FDDBCEA-D571-46AA-AF50-AA1E583F0B8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3E188C20-160B-4BA1-B9C1-36239B036C9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3F1A61DB-4780-4D42-88F5-87D753AD565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0461EDCE-63A7-42A9-99BA-65FD17AE6F5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310A95A-8780-4A39-B608-0D51A600DA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F531667F-9F23-430C-9B56-ED982D39404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A889BEC8-72B7-4756-A8DE-DDDA1AC1B4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CEE31A8-BB38-4044-8120-A9FF099C4E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1374CFF-9F04-4BB4-9514-AC8DD2646F8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2C5A97F-A1A3-4612-A69F-49FC278B2DF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6864A78-D6EC-4ECC-9849-D2D5859BD28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1D32940E-7152-4897-805B-746FADACF5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42" authorId="0" shapeId="0" xr:uid="{D8E8AFA0-D691-4A54-AD3E-8CFCB2EDDC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2days</t>
        </r>
      </text>
    </comment>
    <comment ref="D45" authorId="0" shapeId="0" xr:uid="{FF1551A6-B51A-4CE8-B073-D15FFA344B4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Brewed for 5days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<sst xmlns="http://schemas.openxmlformats.org/spreadsheetml/2006/main" count="3093" uniqueCount="205">
  <si>
    <t>P.G.</t>
  </si>
  <si>
    <t>Hot Time</t>
  </si>
  <si>
    <t>Process Time</t>
  </si>
  <si>
    <t>Brewing Department Daily Process Loss Report</t>
  </si>
  <si>
    <t>Lower</t>
  </si>
  <si>
    <t>Upper</t>
  </si>
  <si>
    <t>CARIB</t>
  </si>
  <si>
    <t>Date:</t>
  </si>
  <si>
    <r>
      <t xml:space="preserve">Filter Sheets </t>
    </r>
    <r>
      <rPr>
        <b/>
        <i/>
        <sz val="9"/>
        <rFont val="Arial"/>
        <family val="2"/>
      </rPr>
      <t xml:space="preserve">(Target </t>
    </r>
    <r>
      <rPr>
        <b/>
        <i/>
        <u/>
        <sz val="9"/>
        <rFont val="Arial"/>
        <family val="2"/>
      </rPr>
      <t>20</t>
    </r>
    <r>
      <rPr>
        <b/>
        <i/>
        <sz val="9"/>
        <rFont val="Arial"/>
        <family val="2"/>
      </rPr>
      <t xml:space="preserve"> days)</t>
    </r>
  </si>
  <si>
    <t>STAG</t>
  </si>
  <si>
    <t>Double</t>
  </si>
  <si>
    <t>Single</t>
  </si>
  <si>
    <t>GUINNESS</t>
  </si>
  <si>
    <t>Brewhouse:</t>
  </si>
  <si>
    <t>Sheet Day</t>
  </si>
  <si>
    <t>MACKESON</t>
  </si>
  <si>
    <t>STARMALT</t>
  </si>
  <si>
    <t>Brand</t>
  </si>
  <si>
    <t>Brew no.</t>
  </si>
  <si>
    <t>Kett. Hls</t>
  </si>
  <si>
    <t>Wort</t>
  </si>
  <si>
    <t>Cool Time(Mins)</t>
  </si>
  <si>
    <t>Cast. P.G. (Lab Result)</t>
  </si>
  <si>
    <t>Theor. Extr. (77.5%)</t>
  </si>
  <si>
    <t xml:space="preserve"> Boil Time</t>
  </si>
  <si>
    <t>Total Hot</t>
  </si>
  <si>
    <t>Brewing</t>
  </si>
  <si>
    <t>Operator</t>
  </si>
  <si>
    <t>Comments</t>
  </si>
  <si>
    <t>MAXIMALT</t>
  </si>
  <si>
    <t>Meter (Hls)</t>
  </si>
  <si>
    <t>Target(&lt; 60Mins)</t>
  </si>
  <si>
    <t>Time</t>
  </si>
  <si>
    <t>VITAMALT</t>
  </si>
  <si>
    <t>EXTRACT RECOVERY</t>
  </si>
  <si>
    <t>BBT P.G./ O.G</t>
  </si>
  <si>
    <t>Actual</t>
  </si>
  <si>
    <t>MTD</t>
  </si>
  <si>
    <t>YTD</t>
  </si>
  <si>
    <t>Target</t>
  </si>
  <si>
    <t>GUINN</t>
  </si>
  <si>
    <t xml:space="preserve"> </t>
  </si>
  <si>
    <t>Process:</t>
  </si>
  <si>
    <t>Fermentation/Filtration</t>
  </si>
  <si>
    <t>Filt. Date</t>
  </si>
  <si>
    <t>FV Hls</t>
  </si>
  <si>
    <t xml:space="preserve">GFE/ Prim/ Vita Blend (Hls) </t>
  </si>
  <si>
    <t>SV Hls</t>
  </si>
  <si>
    <t>BBT Hls</t>
  </si>
  <si>
    <t xml:space="preserve"> Loss (%) Ferm</t>
  </si>
  <si>
    <t xml:space="preserve"> Loss (%) Filt</t>
  </si>
  <si>
    <t>Throughput</t>
  </si>
  <si>
    <t>Process Loss (%)</t>
  </si>
  <si>
    <t>Filt. Operator</t>
  </si>
  <si>
    <t>hls</t>
  </si>
  <si>
    <t>Process Loss (Volume)</t>
  </si>
  <si>
    <t>Process Loss (Extract)</t>
  </si>
  <si>
    <t>:</t>
  </si>
  <si>
    <t>Process Department Daily Loss Report</t>
  </si>
  <si>
    <t>Date</t>
  </si>
  <si>
    <t>1st Run</t>
  </si>
  <si>
    <r>
      <t xml:space="preserve">Extr. Rec </t>
    </r>
    <r>
      <rPr>
        <b/>
        <sz val="9"/>
        <rFont val="Arial"/>
        <family val="2"/>
      </rPr>
      <t>(79.5%)</t>
    </r>
  </si>
  <si>
    <r>
      <t xml:space="preserve">Theor. Extr. </t>
    </r>
    <r>
      <rPr>
        <b/>
        <sz val="9"/>
        <rFont val="Arial"/>
        <family val="2"/>
      </rPr>
      <t>(</t>
    </r>
    <r>
      <rPr>
        <b/>
        <i/>
        <sz val="9"/>
        <rFont val="Arial"/>
        <family val="2"/>
      </rPr>
      <t>77.5</t>
    </r>
    <r>
      <rPr>
        <b/>
        <sz val="9"/>
        <rFont val="Arial"/>
        <family val="2"/>
      </rPr>
      <t>%)</t>
    </r>
  </si>
  <si>
    <t>Target(65Mins)</t>
  </si>
  <si>
    <t>Carib</t>
  </si>
  <si>
    <t>.</t>
  </si>
  <si>
    <t>Cooling Temperatures</t>
  </si>
  <si>
    <t>RU 5</t>
  </si>
  <si>
    <t>Brew No.</t>
  </si>
  <si>
    <t>Alcohol Temp.</t>
  </si>
  <si>
    <t>Start</t>
  </si>
  <si>
    <t>End</t>
  </si>
  <si>
    <t>Stag</t>
  </si>
  <si>
    <t>Guinn</t>
  </si>
  <si>
    <t>Vitamalt</t>
  </si>
  <si>
    <t>Maximalt</t>
  </si>
  <si>
    <t>Mackeson</t>
  </si>
  <si>
    <t>MaltaCarib</t>
  </si>
  <si>
    <t>Filtration</t>
  </si>
  <si>
    <t>GFE/ Prim</t>
  </si>
  <si>
    <t>Without VitaMalt adjustment</t>
  </si>
  <si>
    <t>Filtration Throughput</t>
  </si>
  <si>
    <t>StarMalt</t>
  </si>
  <si>
    <t>Bad Dog</t>
  </si>
  <si>
    <t>TARGET</t>
  </si>
  <si>
    <t>BRANDS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</si>
  <si>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</si>
  <si>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</si>
  <si>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</si>
  <si>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</si>
  <si>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</si>
  <si>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</si>
  <si>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</si>
  <si>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</si>
  <si>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</si>
  <si>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</si>
  <si>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Guinness</t>
  </si>
  <si>
    <t xml:space="preserve">Maximalt </t>
  </si>
  <si>
    <t>Star Malt</t>
  </si>
  <si>
    <t>OVERALL</t>
  </si>
  <si>
    <t>PROCESS VOLUME LOSSES</t>
  </si>
  <si>
    <t>PROCESS VOLUME EXTRACT</t>
  </si>
  <si>
    <t xml:space="preserve">BREWER PERFORMANCE MTD </t>
  </si>
  <si>
    <t>NAME</t>
  </si>
  <si>
    <t>LAST BREW</t>
  </si>
  <si>
    <t>KEIRAN BENJAMIN</t>
  </si>
  <si>
    <t>JOHNNY GREENIDGE</t>
  </si>
  <si>
    <t>JAMES GRANT</t>
  </si>
  <si>
    <t>RODNEY REGIS</t>
  </si>
  <si>
    <t xml:space="preserve">    OVERALL MONTHLY PROGRESSION</t>
  </si>
  <si>
    <t>TARGET OF 98%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</si>
  <si>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</si>
  <si>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</si>
  <si>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</si>
  <si>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</si>
  <si>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</si>
  <si>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</si>
  <si>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</si>
  <si>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</si>
  <si>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</si>
  <si>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</si>
  <si>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</si>
  <si>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</si>
  <si>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PROGESSION GRAPH</t>
  </si>
  <si>
    <t>Cooling  Time</t>
  </si>
  <si>
    <t>Hurricane Reef</t>
  </si>
  <si>
    <t>Actual Pilsen Malt</t>
  </si>
  <si>
    <t>HURRICANE REEF</t>
  </si>
  <si>
    <t>HR</t>
  </si>
  <si>
    <t>Daily Brewing Plan</t>
  </si>
  <si>
    <t>Total</t>
  </si>
  <si>
    <t>CARIBE</t>
  </si>
  <si>
    <t>DESEAN EMERY</t>
  </si>
  <si>
    <t xml:space="preserve">Date: </t>
  </si>
  <si>
    <t xml:space="preserve">HR- PILSNER </t>
  </si>
  <si>
    <t>HR- PISNER</t>
  </si>
  <si>
    <t>Average Brews per day</t>
  </si>
  <si>
    <t>HR- P</t>
  </si>
  <si>
    <t>MTD No. of Brews</t>
  </si>
  <si>
    <t xml:space="preserve">AVERAGE </t>
  </si>
  <si>
    <t xml:space="preserve">GEMMON MASON </t>
  </si>
  <si>
    <t>CAMULUS PHILLIP</t>
  </si>
  <si>
    <t>Boil Off /Vol.  (4-6%)</t>
  </si>
  <si>
    <t xml:space="preserve">      MTD GRAPH OCTOBER 2022</t>
  </si>
  <si>
    <t>Cast P.G. (Cellar Operator)-gravity</t>
  </si>
  <si>
    <t>BRAND</t>
  </si>
  <si>
    <t xml:space="preserve">Actual </t>
  </si>
  <si>
    <t xml:space="preserve">Brews Achieved </t>
  </si>
  <si>
    <t>HURRICANE REEF- APA</t>
  </si>
  <si>
    <t>HURRICANE REEF- IPA</t>
  </si>
  <si>
    <t>NO BREAK</t>
  </si>
  <si>
    <t xml:space="preserve"> MALT LOT: Lot 8</t>
  </si>
  <si>
    <t>Extr. Rec (79.1%)</t>
  </si>
  <si>
    <t>LOT WORT COLOUR: 3.4</t>
  </si>
  <si>
    <t xml:space="preserve">K.Hosten </t>
  </si>
  <si>
    <t xml:space="preserve">Operator </t>
  </si>
  <si>
    <t>HR- APA</t>
  </si>
  <si>
    <t>HR- IPA</t>
  </si>
  <si>
    <t>HR- Pils</t>
  </si>
  <si>
    <t>HR PILS</t>
  </si>
  <si>
    <t>HR APA</t>
  </si>
  <si>
    <t>HURRICANE REEF PILS</t>
  </si>
  <si>
    <t xml:space="preserve">BRAND </t>
  </si>
  <si>
    <t>IPA</t>
  </si>
  <si>
    <t>APA</t>
  </si>
  <si>
    <t>Extr. Rec (77.9%)</t>
  </si>
  <si>
    <t xml:space="preserve">  </t>
  </si>
  <si>
    <t xml:space="preserve">LOT WORT COLOUR: </t>
  </si>
  <si>
    <t>Brewing Time</t>
  </si>
  <si>
    <t xml:space="preserve"> MALT LOT: Lot #13</t>
  </si>
  <si>
    <t>2 BREAKS</t>
  </si>
  <si>
    <t>J. Nelson</t>
  </si>
  <si>
    <t>NO SBF</t>
  </si>
  <si>
    <t>K. Neptune</t>
  </si>
  <si>
    <t>2 SBF</t>
  </si>
  <si>
    <t xml:space="preserve"> MALT LOT: Lot #14</t>
  </si>
  <si>
    <t>D. Emery</t>
  </si>
  <si>
    <t>5 SBF, 1 BREAK</t>
  </si>
  <si>
    <t>August 7th</t>
  </si>
  <si>
    <t>G. Mason</t>
  </si>
  <si>
    <t>1 SBF</t>
  </si>
  <si>
    <t>Extr. Rec (78%)</t>
  </si>
  <si>
    <t>LOT WORT COLOUR: 3.4/3.3</t>
  </si>
  <si>
    <t xml:space="preserve"> MALT LOT: Lot #14/13</t>
  </si>
  <si>
    <t>LOT WORT COLOUR: 3.3</t>
  </si>
  <si>
    <t>3 SBF</t>
  </si>
  <si>
    <t>K. Hosten</t>
  </si>
  <si>
    <t>15th August</t>
  </si>
  <si>
    <t>14th</t>
  </si>
  <si>
    <t>15th</t>
  </si>
  <si>
    <t xml:space="preserve"> 3 SBF</t>
  </si>
  <si>
    <t>1  SBF</t>
  </si>
  <si>
    <t xml:space="preserve"> MALT LOT: Lot #13/15</t>
  </si>
  <si>
    <t>LOT WORT COLOUR: 3.3/3.4</t>
  </si>
  <si>
    <t>Lot 15</t>
  </si>
  <si>
    <t>Lot 13&amp;15</t>
  </si>
  <si>
    <t xml:space="preserve"> MALT LOT: Lot #15</t>
  </si>
  <si>
    <t>3 SBF- Water added 4.2hls</t>
  </si>
  <si>
    <t>Lautering issues</t>
  </si>
  <si>
    <t>Grist valve fault</t>
  </si>
  <si>
    <t>Aug 21st</t>
  </si>
  <si>
    <t>Aug 22nd</t>
  </si>
  <si>
    <t>Problematic mash sliding valve</t>
  </si>
  <si>
    <t>26th August</t>
  </si>
  <si>
    <t>Push back into 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</si>
</sst>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409]mmmm\ d\,\ yyyy;@"/>
    <numFmt numFmtId="166" formatCode="0.0"/>
    <numFmt numFmtId="167" formatCode="[m]"/>
    <numFmt numFmtId="168" formatCode="0.000"/>
    <numFmt numFmtId="169" formatCode="[$-409]d\-mmm;@"/>
    <numFmt numFmtId="170" formatCode="0.0%"/>
    <numFmt numFmtId="171" formatCode="#,##0.0"/>
  </numFmts>
  <fonts count="9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color rgb="FF963634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11"/>
      <name val="Calibri"/>
      <family val="2"/>
    </font>
    <font>
      <b/>
      <sz val="11"/>
      <name val="Tahoma"/>
      <family val="2"/>
    </font>
    <font>
      <b/>
      <u/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sz val="11"/>
      <color indexed="53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sz val="11"/>
      <color indexed="10"/>
      <name val="Arial"/>
      <family val="2"/>
    </font>
    <font>
      <b/>
      <sz val="11"/>
      <color indexed="20"/>
      <name val="Arial"/>
      <family val="2"/>
    </font>
    <font>
      <b/>
      <sz val="11"/>
      <color indexed="16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 Narrow"/>
      <family val="2"/>
    </font>
    <font>
      <b/>
      <sz val="11"/>
      <color theme="2" tint="-0.899990844447157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2" tint="-0.89999084444715716"/>
      <name val="Arial"/>
      <family val="2"/>
    </font>
    <font>
      <sz val="12"/>
      <name val="Tahoma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6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indexed="53"/>
      <name val="Arial"/>
      <family val="2"/>
    </font>
    <font>
      <b/>
      <sz val="10"/>
      <color indexed="20"/>
      <name val="Arial"/>
      <family val="2"/>
    </font>
    <font>
      <b/>
      <sz val="9"/>
      <color indexed="63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8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BankGothic Lt BT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theme="0"/>
      <name val="BankGothic Md BT"/>
      <family val="2"/>
    </font>
    <font>
      <b/>
      <i/>
      <sz val="14"/>
      <color theme="0"/>
      <name val="Calibri"/>
      <family val="2"/>
      <scheme val="minor"/>
    </font>
    <font>
      <sz val="16"/>
      <color theme="1"/>
      <name val="BankGothic Md BT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CC66FF"/>
      <name val="Arial"/>
      <family val="2"/>
    </font>
    <font>
      <b/>
      <sz val="11"/>
      <color rgb="FFFFC000"/>
      <name val="Arial"/>
      <family val="2"/>
    </font>
    <font>
      <b/>
      <sz val="11"/>
      <color rgb="FFFF0000"/>
      <name val="Arial"/>
      <family val="2"/>
    </font>
    <font>
      <b/>
      <sz val="11"/>
      <color rgb="FF008200"/>
      <name val="Arial"/>
      <family val="2"/>
    </font>
    <font>
      <b/>
      <sz val="11"/>
      <color rgb="FF00B050"/>
      <name val="Arial"/>
      <family val="2"/>
    </font>
    <font>
      <b/>
      <sz val="11"/>
      <color theme="8" tint="0.39997558519241921"/>
      <name val="Arial"/>
      <family val="2"/>
    </font>
    <font>
      <b/>
      <sz val="11"/>
      <color rgb="FFFF66FF"/>
      <name val="Arial"/>
      <family val="2"/>
    </font>
    <font>
      <b/>
      <sz val="11"/>
      <color theme="9" tint="0.39997558519241921"/>
      <name val="Arial"/>
      <family val="2"/>
    </font>
    <font>
      <b/>
      <sz val="11"/>
      <color rgb="FFC00000"/>
      <name val="Arial"/>
      <family val="2"/>
    </font>
    <font>
      <b/>
      <sz val="11"/>
      <color theme="5" tint="-0.249977111117893"/>
      <name val="Arial"/>
      <family val="2"/>
    </font>
    <font>
      <b/>
      <sz val="11"/>
      <color theme="9" tint="-0.249977111117893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1"/>
      <color rgb="FFCC3300"/>
      <name val="Arial"/>
      <family val="2"/>
    </font>
    <font>
      <b/>
      <sz val="11"/>
      <color theme="5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2">
    <xf numFmtId="165" fontId="0" fillId="0" borderId="0"/>
    <xf numFmtId="164" fontId="7" fillId="0" borderId="0" applyFont="0" applyFill="0" applyBorder="0" applyAlignment="0" applyProtection="0"/>
    <xf numFmtId="0" fontId="5" fillId="2" borderId="0" applyNumberFormat="0" applyBorder="0" applyAlignment="0" applyProtection="0"/>
    <xf numFmtId="165" fontId="7" fillId="0" borderId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89" fillId="0" borderId="0" applyFont="0" applyFill="0" applyBorder="0" applyAlignment="0" applyProtection="0"/>
  </cellStyleXfs>
  <cellXfs count="677">
    <xf numFmtId="165" fontId="0" fillId="0" borderId="0" xfId="0"/>
    <xf numFmtId="165" fontId="9" fillId="0" borderId="0" xfId="3" applyFont="1"/>
    <xf numFmtId="165" fontId="9" fillId="0" borderId="0" xfId="3" applyFont="1" applyAlignment="1">
      <alignment wrapText="1"/>
    </xf>
    <xf numFmtId="165" fontId="10" fillId="3" borderId="1" xfId="0" applyFont="1" applyFill="1" applyBorder="1"/>
    <xf numFmtId="165" fontId="11" fillId="0" borderId="0" xfId="3" applyFont="1" applyAlignment="1">
      <alignment horizontal="center" wrapText="1"/>
    </xf>
    <xf numFmtId="165" fontId="12" fillId="0" borderId="0" xfId="3" applyFont="1"/>
    <xf numFmtId="165" fontId="8" fillId="0" borderId="0" xfId="3" applyFont="1" applyAlignment="1">
      <alignment wrapText="1"/>
    </xf>
    <xf numFmtId="166" fontId="10" fillId="3" borderId="1" xfId="0" applyNumberFormat="1" applyFont="1" applyFill="1" applyBorder="1"/>
    <xf numFmtId="166" fontId="10" fillId="3" borderId="2" xfId="0" applyNumberFormat="1" applyFont="1" applyFill="1" applyBorder="1"/>
    <xf numFmtId="167" fontId="9" fillId="3" borderId="1" xfId="3" applyNumberFormat="1" applyFont="1" applyFill="1" applyBorder="1" applyAlignment="1">
      <alignment horizontal="right"/>
    </xf>
    <xf numFmtId="167" fontId="9" fillId="3" borderId="1" xfId="3" applyNumberFormat="1" applyFont="1" applyFill="1" applyBorder="1" applyAlignment="1">
      <alignment horizontal="right" vertical="center"/>
    </xf>
    <xf numFmtId="166" fontId="8" fillId="0" borderId="0" xfId="3" applyNumberFormat="1" applyFont="1"/>
    <xf numFmtId="165" fontId="9" fillId="0" borderId="0" xfId="3" applyFont="1" applyAlignment="1">
      <alignment horizontal="center" wrapText="1"/>
    </xf>
    <xf numFmtId="165" fontId="9" fillId="0" borderId="0" xfId="3" applyFont="1" applyAlignment="1">
      <alignment vertical="center"/>
    </xf>
    <xf numFmtId="165" fontId="17" fillId="0" borderId="1" xfId="3" applyFont="1" applyBorder="1"/>
    <xf numFmtId="165" fontId="18" fillId="0" borderId="0" xfId="3" applyFont="1"/>
    <xf numFmtId="1" fontId="8" fillId="0" borderId="0" xfId="3" applyNumberFormat="1" applyFont="1" applyAlignment="1">
      <alignment horizontal="center" wrapText="1"/>
    </xf>
    <xf numFmtId="165" fontId="9" fillId="5" borderId="7" xfId="3" applyFont="1" applyFill="1" applyBorder="1" applyAlignment="1">
      <alignment horizontal="center" vertical="center" wrapText="1"/>
    </xf>
    <xf numFmtId="165" fontId="8" fillId="0" borderId="9" xfId="3" applyFont="1" applyBorder="1" applyAlignment="1">
      <alignment horizontal="center"/>
    </xf>
    <xf numFmtId="20" fontId="9" fillId="0" borderId="0" xfId="3" applyNumberFormat="1" applyFont="1"/>
    <xf numFmtId="165" fontId="9" fillId="0" borderId="11" xfId="3" applyFont="1" applyBorder="1" applyAlignment="1">
      <alignment horizontal="center" vertical="top" wrapText="1"/>
    </xf>
    <xf numFmtId="165" fontId="9" fillId="5" borderId="11" xfId="3" applyFont="1" applyFill="1" applyBorder="1" applyAlignment="1">
      <alignment horizontal="center" vertical="top" wrapText="1"/>
    </xf>
    <xf numFmtId="165" fontId="23" fillId="0" borderId="13" xfId="3" applyFont="1" applyBorder="1" applyAlignment="1">
      <alignment horizontal="left"/>
    </xf>
    <xf numFmtId="2" fontId="9" fillId="0" borderId="0" xfId="3" applyNumberFormat="1" applyFont="1"/>
    <xf numFmtId="165" fontId="9" fillId="0" borderId="20" xfId="3" applyFont="1" applyBorder="1" applyAlignment="1">
      <alignment horizontal="left"/>
    </xf>
    <xf numFmtId="165" fontId="9" fillId="0" borderId="21" xfId="3" applyFont="1" applyBorder="1" applyAlignment="1">
      <alignment horizontal="center"/>
    </xf>
    <xf numFmtId="165" fontId="9" fillId="0" borderId="21" xfId="3" applyFont="1" applyBorder="1" applyAlignment="1">
      <alignment horizontal="center" wrapText="1"/>
    </xf>
    <xf numFmtId="165" fontId="9" fillId="0" borderId="22" xfId="3" applyFont="1" applyBorder="1" applyAlignment="1">
      <alignment horizontal="center"/>
    </xf>
    <xf numFmtId="165" fontId="24" fillId="0" borderId="0" xfId="3" applyFont="1"/>
    <xf numFmtId="165" fontId="26" fillId="0" borderId="13" xfId="3" applyFont="1" applyBorder="1" applyAlignment="1">
      <alignment horizontal="left"/>
    </xf>
    <xf numFmtId="166" fontId="8" fillId="0" borderId="15" xfId="3" applyNumberFormat="1" applyFont="1" applyBorder="1"/>
    <xf numFmtId="166" fontId="8" fillId="0" borderId="0" xfId="3" applyNumberFormat="1" applyFont="1" applyAlignment="1">
      <alignment wrapText="1"/>
    </xf>
    <xf numFmtId="2" fontId="8" fillId="0" borderId="0" xfId="3" quotePrefix="1" applyNumberFormat="1" applyFont="1" applyAlignment="1">
      <alignment horizontal="center"/>
    </xf>
    <xf numFmtId="165" fontId="27" fillId="0" borderId="13" xfId="3" applyFont="1" applyBorder="1"/>
    <xf numFmtId="165" fontId="28" fillId="0" borderId="13" xfId="3" applyFont="1" applyBorder="1"/>
    <xf numFmtId="165" fontId="29" fillId="0" borderId="13" xfId="3" applyFont="1" applyBorder="1"/>
    <xf numFmtId="165" fontId="30" fillId="0" borderId="13" xfId="3" applyFont="1" applyBorder="1" applyAlignment="1">
      <alignment horizontal="left"/>
    </xf>
    <xf numFmtId="165" fontId="13" fillId="0" borderId="13" xfId="3" applyFont="1" applyBorder="1"/>
    <xf numFmtId="165" fontId="32" fillId="0" borderId="31" xfId="3" applyFont="1" applyBorder="1"/>
    <xf numFmtId="166" fontId="8" fillId="0" borderId="0" xfId="3" applyNumberFormat="1" applyFont="1" applyAlignment="1">
      <alignment horizontal="right"/>
    </xf>
    <xf numFmtId="166" fontId="8" fillId="4" borderId="0" xfId="3" applyNumberFormat="1" applyFont="1" applyFill="1"/>
    <xf numFmtId="2" fontId="8" fillId="0" borderId="0" xfId="3" applyNumberFormat="1" applyFont="1" applyAlignment="1">
      <alignment horizontal="center"/>
    </xf>
    <xf numFmtId="2" fontId="9" fillId="0" borderId="0" xfId="3" applyNumberFormat="1" applyFont="1" applyAlignment="1">
      <alignment horizontal="center"/>
    </xf>
    <xf numFmtId="166" fontId="9" fillId="0" borderId="0" xfId="3" applyNumberFormat="1" applyFont="1" applyAlignment="1">
      <alignment horizontal="center"/>
    </xf>
    <xf numFmtId="2" fontId="24" fillId="0" borderId="0" xfId="3" applyNumberFormat="1" applyFont="1"/>
    <xf numFmtId="165" fontId="13" fillId="0" borderId="0" xfId="3" applyFont="1"/>
    <xf numFmtId="2" fontId="33" fillId="0" borderId="0" xfId="3" applyNumberFormat="1" applyFont="1" applyAlignment="1">
      <alignment horizontal="center"/>
    </xf>
    <xf numFmtId="165" fontId="8" fillId="0" borderId="4" xfId="3" applyFont="1" applyBorder="1" applyAlignment="1">
      <alignment horizontal="center"/>
    </xf>
    <xf numFmtId="165" fontId="8" fillId="0" borderId="0" xfId="3" applyFont="1" applyAlignment="1">
      <alignment horizontal="center"/>
    </xf>
    <xf numFmtId="165" fontId="8" fillId="0" borderId="0" xfId="3" applyFont="1" applyAlignment="1">
      <alignment horizontal="center" wrapText="1"/>
    </xf>
    <xf numFmtId="165" fontId="9" fillId="0" borderId="0" xfId="3" applyFont="1" applyAlignment="1">
      <alignment horizontal="center" vertical="center" wrapText="1"/>
    </xf>
    <xf numFmtId="169" fontId="34" fillId="0" borderId="41" xfId="0" applyNumberFormat="1" applyFont="1" applyBorder="1" applyAlignment="1">
      <alignment horizontal="center" vertical="center"/>
    </xf>
    <xf numFmtId="170" fontId="8" fillId="0" borderId="42" xfId="4" applyNumberFormat="1" applyFont="1" applyBorder="1" applyAlignment="1">
      <alignment horizontal="center" vertical="center"/>
    </xf>
    <xf numFmtId="2" fontId="31" fillId="0" borderId="2" xfId="3" applyNumberFormat="1" applyFont="1" applyBorder="1" applyAlignment="1">
      <alignment horizontal="center" vertical="center"/>
    </xf>
    <xf numFmtId="165" fontId="8" fillId="0" borderId="0" xfId="3" applyFont="1" applyAlignment="1">
      <alignment horizontal="center" vertical="center"/>
    </xf>
    <xf numFmtId="165" fontId="9" fillId="0" borderId="43" xfId="3" applyFont="1" applyBorder="1" applyAlignment="1">
      <alignment vertical="center" wrapText="1"/>
    </xf>
    <xf numFmtId="165" fontId="9" fillId="0" borderId="0" xfId="3" applyFont="1" applyAlignment="1">
      <alignment vertical="center" wrapText="1"/>
    </xf>
    <xf numFmtId="170" fontId="8" fillId="0" borderId="0" xfId="3" applyNumberFormat="1" applyFont="1" applyAlignment="1">
      <alignment horizontal="center" vertical="center"/>
    </xf>
    <xf numFmtId="165" fontId="9" fillId="0" borderId="44" xfId="3" applyFont="1" applyBorder="1" applyAlignment="1">
      <alignment horizontal="center" shrinkToFit="1"/>
    </xf>
    <xf numFmtId="165" fontId="9" fillId="0" borderId="45" xfId="3" applyFont="1" applyBorder="1" applyAlignment="1">
      <alignment horizontal="center" shrinkToFit="1"/>
    </xf>
    <xf numFmtId="165" fontId="9" fillId="0" borderId="0" xfId="3" applyFont="1" applyAlignment="1">
      <alignment horizontal="center" wrapText="1" shrinkToFit="1"/>
    </xf>
    <xf numFmtId="165" fontId="9" fillId="0" borderId="50" xfId="3" applyFont="1" applyBorder="1" applyAlignment="1">
      <alignment horizontal="left"/>
    </xf>
    <xf numFmtId="165" fontId="9" fillId="0" borderId="10" xfId="3" applyFont="1" applyBorder="1" applyAlignment="1">
      <alignment horizontal="left"/>
    </xf>
    <xf numFmtId="165" fontId="9" fillId="0" borderId="12" xfId="3" applyFont="1" applyBorder="1" applyAlignment="1">
      <alignment horizontal="left"/>
    </xf>
    <xf numFmtId="165" fontId="9" fillId="0" borderId="0" xfId="3" applyFont="1" applyAlignment="1">
      <alignment horizontal="left" wrapText="1"/>
    </xf>
    <xf numFmtId="2" fontId="35" fillId="0" borderId="1" xfId="3" applyNumberFormat="1" applyFont="1" applyBorder="1" applyAlignment="1">
      <alignment horizontal="right"/>
    </xf>
    <xf numFmtId="166" fontId="8" fillId="0" borderId="15" xfId="3" applyNumberFormat="1" applyFont="1" applyBorder="1" applyAlignment="1">
      <alignment horizontal="right"/>
    </xf>
    <xf numFmtId="170" fontId="31" fillId="0" borderId="1" xfId="3" applyNumberFormat="1" applyFont="1" applyBorder="1" applyAlignment="1">
      <alignment horizontal="right"/>
    </xf>
    <xf numFmtId="9" fontId="8" fillId="0" borderId="15" xfId="3" applyNumberFormat="1" applyFont="1" applyBorder="1" applyAlignment="1">
      <alignment horizontal="right"/>
    </xf>
    <xf numFmtId="9" fontId="8" fillId="0" borderId="0" xfId="3" applyNumberFormat="1" applyFont="1" applyAlignment="1">
      <alignment horizontal="right" wrapText="1"/>
    </xf>
    <xf numFmtId="166" fontId="8" fillId="0" borderId="51" xfId="3" applyNumberFormat="1" applyFont="1" applyBorder="1" applyAlignment="1">
      <alignment horizontal="right"/>
    </xf>
    <xf numFmtId="9" fontId="8" fillId="0" borderId="51" xfId="3" applyNumberFormat="1" applyFont="1" applyBorder="1" applyAlignment="1">
      <alignment horizontal="right"/>
    </xf>
    <xf numFmtId="166" fontId="8" fillId="0" borderId="36" xfId="3" applyNumberFormat="1" applyFont="1" applyBorder="1" applyAlignment="1">
      <alignment horizontal="right"/>
    </xf>
    <xf numFmtId="2" fontId="9" fillId="0" borderId="31" xfId="3" applyNumberFormat="1" applyFont="1" applyBorder="1" applyAlignment="1">
      <alignment horizontal="right"/>
    </xf>
    <xf numFmtId="165" fontId="8" fillId="0" borderId="0" xfId="3" applyFont="1" applyAlignment="1">
      <alignment horizontal="right"/>
    </xf>
    <xf numFmtId="165" fontId="8" fillId="0" borderId="0" xfId="3" applyFont="1" applyAlignment="1">
      <alignment horizontal="right" wrapText="1"/>
    </xf>
    <xf numFmtId="2" fontId="38" fillId="0" borderId="1" xfId="3" applyNumberFormat="1" applyFont="1" applyBorder="1" applyAlignment="1">
      <alignment horizontal="right"/>
    </xf>
    <xf numFmtId="165" fontId="9" fillId="0" borderId="37" xfId="3" applyFont="1" applyBorder="1" applyAlignment="1">
      <alignment vertical="center"/>
    </xf>
    <xf numFmtId="165" fontId="7" fillId="0" borderId="0" xfId="3"/>
    <xf numFmtId="165" fontId="39" fillId="0" borderId="0" xfId="3" applyFont="1"/>
    <xf numFmtId="165" fontId="40" fillId="0" borderId="6" xfId="3" applyFont="1" applyBorder="1" applyAlignment="1">
      <alignment horizontal="center" vertical="center" wrapText="1"/>
    </xf>
    <xf numFmtId="165" fontId="14" fillId="0" borderId="6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2" fillId="0" borderId="10" xfId="3" applyFont="1" applyBorder="1" applyAlignment="1">
      <alignment horizontal="center" vertical="center" wrapText="1"/>
    </xf>
    <xf numFmtId="165" fontId="40" fillId="0" borderId="11" xfId="3" applyFont="1" applyBorder="1" applyAlignment="1">
      <alignment horizontal="center" vertical="center" wrapText="1"/>
    </xf>
    <xf numFmtId="165" fontId="40" fillId="0" borderId="0" xfId="3" applyFont="1" applyAlignment="1">
      <alignment horizontal="left"/>
    </xf>
    <xf numFmtId="165" fontId="43" fillId="0" borderId="13" xfId="3" applyFont="1" applyBorder="1" applyAlignment="1">
      <alignment horizontal="left"/>
    </xf>
    <xf numFmtId="16" fontId="7" fillId="0" borderId="10" xfId="3" applyNumberFormat="1" applyBorder="1" applyAlignment="1">
      <alignment horizontal="center"/>
    </xf>
    <xf numFmtId="166" fontId="44" fillId="0" borderId="1" xfId="3" applyNumberFormat="1" applyFont="1" applyBorder="1" applyAlignment="1">
      <alignment horizontal="center"/>
    </xf>
    <xf numFmtId="1" fontId="44" fillId="0" borderId="10" xfId="3" applyNumberFormat="1" applyFont="1" applyBorder="1" applyAlignment="1">
      <alignment horizontal="center"/>
    </xf>
    <xf numFmtId="166" fontId="45" fillId="0" borderId="10" xfId="3" applyNumberFormat="1" applyFont="1" applyBorder="1" applyAlignment="1">
      <alignment horizontal="center"/>
    </xf>
    <xf numFmtId="166" fontId="7" fillId="0" borderId="1" xfId="3" applyNumberFormat="1" applyBorder="1" applyAlignment="1">
      <alignment horizontal="center"/>
    </xf>
    <xf numFmtId="167" fontId="7" fillId="0" borderId="11" xfId="3" applyNumberFormat="1" applyBorder="1" applyAlignment="1">
      <alignment horizontal="center"/>
    </xf>
    <xf numFmtId="165" fontId="46" fillId="8" borderId="43" xfId="3" applyFont="1" applyFill="1" applyBorder="1" applyAlignment="1">
      <alignment horizontal="center" wrapText="1"/>
    </xf>
    <xf numFmtId="165" fontId="40" fillId="0" borderId="0" xfId="3" applyFont="1"/>
    <xf numFmtId="165" fontId="7" fillId="0" borderId="13" xfId="3" applyBorder="1"/>
    <xf numFmtId="166" fontId="7" fillId="0" borderId="0" xfId="3" applyNumberFormat="1" applyAlignment="1">
      <alignment horizontal="center"/>
    </xf>
    <xf numFmtId="165" fontId="47" fillId="8" borderId="43" xfId="3" applyFont="1" applyFill="1" applyBorder="1" applyAlignment="1">
      <alignment horizontal="center" wrapText="1"/>
    </xf>
    <xf numFmtId="165" fontId="48" fillId="0" borderId="13" xfId="3" applyFont="1" applyBorder="1"/>
    <xf numFmtId="166" fontId="7" fillId="0" borderId="0" xfId="3" applyNumberFormat="1"/>
    <xf numFmtId="165" fontId="49" fillId="0" borderId="13" xfId="3" applyFont="1" applyBorder="1"/>
    <xf numFmtId="165" fontId="50" fillId="0" borderId="52" xfId="3" applyFont="1" applyBorder="1" applyAlignment="1">
      <alignment horizontal="left"/>
    </xf>
    <xf numFmtId="15" fontId="7" fillId="0" borderId="10" xfId="3" applyNumberFormat="1" applyBorder="1" applyAlignment="1">
      <alignment horizontal="center"/>
    </xf>
    <xf numFmtId="166" fontId="7" fillId="8" borderId="1" xfId="3" applyNumberFormat="1" applyFill="1" applyBorder="1" applyAlignment="1">
      <alignment horizontal="center"/>
    </xf>
    <xf numFmtId="166" fontId="7" fillId="8" borderId="11" xfId="3" applyNumberFormat="1" applyFill="1" applyBorder="1" applyAlignment="1">
      <alignment horizontal="center"/>
    </xf>
    <xf numFmtId="165" fontId="14" fillId="8" borderId="43" xfId="3" applyFont="1" applyFill="1" applyBorder="1" applyAlignment="1">
      <alignment horizontal="center"/>
    </xf>
    <xf numFmtId="165" fontId="48" fillId="0" borderId="31" xfId="3" applyFont="1" applyBorder="1"/>
    <xf numFmtId="16" fontId="7" fillId="0" borderId="32" xfId="3" applyNumberFormat="1" applyBorder="1" applyAlignment="1">
      <alignment horizontal="center"/>
    </xf>
    <xf numFmtId="15" fontId="7" fillId="0" borderId="32" xfId="3" applyNumberFormat="1" applyBorder="1" applyAlignment="1">
      <alignment horizontal="center"/>
    </xf>
    <xf numFmtId="166" fontId="7" fillId="0" borderId="32" xfId="3" applyNumberFormat="1" applyBorder="1" applyAlignment="1">
      <alignment horizontal="center"/>
    </xf>
    <xf numFmtId="1" fontId="44" fillId="0" borderId="32" xfId="3" applyNumberFormat="1" applyFont="1" applyBorder="1" applyAlignment="1">
      <alignment horizontal="center"/>
    </xf>
    <xf numFmtId="166" fontId="45" fillId="0" borderId="32" xfId="3" applyNumberFormat="1" applyFont="1" applyBorder="1" applyAlignment="1">
      <alignment horizontal="center"/>
    </xf>
    <xf numFmtId="166" fontId="7" fillId="8" borderId="32" xfId="3" applyNumberFormat="1" applyFill="1" applyBorder="1" applyAlignment="1">
      <alignment horizontal="center"/>
    </xf>
    <xf numFmtId="166" fontId="7" fillId="8" borderId="53" xfId="3" applyNumberFormat="1" applyFill="1" applyBorder="1" applyAlignment="1">
      <alignment horizontal="center"/>
    </xf>
    <xf numFmtId="167" fontId="7" fillId="0" borderId="53" xfId="3" applyNumberFormat="1" applyBorder="1" applyAlignment="1">
      <alignment horizontal="center"/>
    </xf>
    <xf numFmtId="165" fontId="51" fillId="0" borderId="54" xfId="3" applyFont="1" applyBorder="1" applyAlignment="1">
      <alignment horizontal="center"/>
    </xf>
    <xf numFmtId="165" fontId="7" fillId="0" borderId="0" xfId="3" applyAlignment="1">
      <alignment horizontal="center"/>
    </xf>
    <xf numFmtId="15" fontId="7" fillId="0" borderId="0" xfId="3" applyNumberFormat="1" applyAlignment="1">
      <alignment horizontal="center"/>
    </xf>
    <xf numFmtId="166" fontId="52" fillId="0" borderId="0" xfId="3" applyNumberFormat="1" applyFont="1" applyAlignment="1">
      <alignment horizontal="center"/>
    </xf>
    <xf numFmtId="2" fontId="7" fillId="0" borderId="0" xfId="3" applyNumberFormat="1" applyAlignment="1">
      <alignment horizontal="center"/>
    </xf>
    <xf numFmtId="166" fontId="40" fillId="0" borderId="33" xfId="3" applyNumberFormat="1" applyFont="1" applyBorder="1"/>
    <xf numFmtId="165" fontId="51" fillId="0" borderId="0" xfId="3" applyFont="1" applyAlignment="1">
      <alignment horizontal="center"/>
    </xf>
    <xf numFmtId="166" fontId="44" fillId="0" borderId="20" xfId="3" applyNumberFormat="1" applyFont="1" applyBorder="1" applyAlignment="1">
      <alignment horizontal="center"/>
    </xf>
    <xf numFmtId="166" fontId="44" fillId="0" borderId="21" xfId="3" applyNumberFormat="1" applyFont="1" applyBorder="1" applyAlignment="1">
      <alignment horizontal="center"/>
    </xf>
    <xf numFmtId="2" fontId="40" fillId="0" borderId="0" xfId="3" applyNumberFormat="1" applyFont="1" applyAlignment="1">
      <alignment horizontal="center"/>
    </xf>
    <xf numFmtId="2" fontId="40" fillId="0" borderId="57" xfId="3" applyNumberFormat="1" applyFont="1" applyBorder="1" applyAlignment="1">
      <alignment horizontal="center"/>
    </xf>
    <xf numFmtId="166" fontId="7" fillId="0" borderId="13" xfId="3" applyNumberFormat="1" applyBorder="1" applyAlignment="1">
      <alignment horizontal="center"/>
    </xf>
    <xf numFmtId="2" fontId="7" fillId="0" borderId="1" xfId="3" applyNumberFormat="1" applyBorder="1" applyAlignment="1">
      <alignment horizontal="center"/>
    </xf>
    <xf numFmtId="165" fontId="7" fillId="0" borderId="2" xfId="3" applyBorder="1" applyAlignment="1">
      <alignment horizontal="center"/>
    </xf>
    <xf numFmtId="165" fontId="49" fillId="0" borderId="58" xfId="3" applyFont="1" applyBorder="1" applyAlignment="1">
      <alignment horizontal="center"/>
    </xf>
    <xf numFmtId="165" fontId="53" fillId="0" borderId="13" xfId="3" applyFont="1" applyBorder="1" applyAlignment="1">
      <alignment horizontal="center"/>
    </xf>
    <xf numFmtId="2" fontId="45" fillId="0" borderId="15" xfId="3" applyNumberFormat="1" applyFont="1" applyBorder="1" applyAlignment="1">
      <alignment horizontal="center"/>
    </xf>
    <xf numFmtId="2" fontId="45" fillId="0" borderId="2" xfId="3" applyNumberFormat="1" applyFont="1" applyBorder="1" applyAlignment="1">
      <alignment horizontal="center"/>
    </xf>
    <xf numFmtId="166" fontId="40" fillId="0" borderId="0" xfId="3" applyNumberFormat="1" applyFont="1" applyAlignment="1">
      <alignment horizontal="center"/>
    </xf>
    <xf numFmtId="1" fontId="7" fillId="0" borderId="58" xfId="3" applyNumberFormat="1" applyBorder="1" applyAlignment="1">
      <alignment horizontal="center"/>
    </xf>
    <xf numFmtId="166" fontId="54" fillId="0" borderId="59" xfId="3" applyNumberFormat="1" applyFont="1" applyBorder="1" applyAlignment="1">
      <alignment horizontal="center"/>
    </xf>
    <xf numFmtId="15" fontId="7" fillId="0" borderId="31" xfId="3" applyNumberFormat="1" applyBorder="1" applyAlignment="1">
      <alignment horizontal="center"/>
    </xf>
    <xf numFmtId="2" fontId="7" fillId="0" borderId="36" xfId="3" applyNumberFormat="1" applyBorder="1" applyAlignment="1">
      <alignment horizontal="center"/>
    </xf>
    <xf numFmtId="2" fontId="7" fillId="0" borderId="53" xfId="3" applyNumberFormat="1" applyBorder="1" applyAlignment="1">
      <alignment horizontal="center"/>
    </xf>
    <xf numFmtId="166" fontId="7" fillId="0" borderId="61" xfId="3" applyNumberFormat="1" applyBorder="1" applyAlignment="1">
      <alignment horizontal="center"/>
    </xf>
    <xf numFmtId="165" fontId="40" fillId="0" borderId="20" xfId="3" applyFont="1" applyBorder="1" applyAlignment="1">
      <alignment horizontal="left"/>
    </xf>
    <xf numFmtId="165" fontId="40" fillId="0" borderId="21" xfId="3" applyFont="1" applyBorder="1" applyAlignment="1">
      <alignment horizontal="center"/>
    </xf>
    <xf numFmtId="165" fontId="40" fillId="0" borderId="56" xfId="3" applyFont="1" applyBorder="1" applyAlignment="1">
      <alignment horizontal="center"/>
    </xf>
    <xf numFmtId="165" fontId="40" fillId="0" borderId="0" xfId="3" applyFont="1" applyAlignment="1">
      <alignment horizontal="center"/>
    </xf>
    <xf numFmtId="166" fontId="7" fillId="0" borderId="1" xfId="3" applyNumberFormat="1" applyBorder="1" applyAlignment="1">
      <alignment horizontal="right"/>
    </xf>
    <xf numFmtId="166" fontId="40" fillId="0" borderId="1" xfId="3" applyNumberFormat="1" applyFont="1" applyBorder="1" applyAlignment="1">
      <alignment horizontal="right"/>
    </xf>
    <xf numFmtId="166" fontId="7" fillId="0" borderId="59" xfId="3" applyNumberFormat="1" applyBorder="1"/>
    <xf numFmtId="165" fontId="55" fillId="0" borderId="13" xfId="3" applyFont="1" applyBorder="1" applyAlignment="1">
      <alignment horizontal="left"/>
    </xf>
    <xf numFmtId="166" fontId="54" fillId="0" borderId="1" xfId="3" applyNumberFormat="1" applyFont="1" applyBorder="1" applyAlignment="1">
      <alignment horizontal="right"/>
    </xf>
    <xf numFmtId="165" fontId="56" fillId="0" borderId="13" xfId="3" applyFont="1" applyBorder="1"/>
    <xf numFmtId="166" fontId="40" fillId="0" borderId="1" xfId="3" applyNumberFormat="1" applyFont="1" applyBorder="1"/>
    <xf numFmtId="166" fontId="45" fillId="0" borderId="1" xfId="3" applyNumberFormat="1" applyFont="1" applyBorder="1" applyAlignment="1">
      <alignment horizontal="right"/>
    </xf>
    <xf numFmtId="166" fontId="54" fillId="0" borderId="14" xfId="3" applyNumberFormat="1" applyFont="1" applyBorder="1"/>
    <xf numFmtId="165" fontId="57" fillId="0" borderId="31" xfId="3" applyFont="1" applyBorder="1"/>
    <xf numFmtId="166" fontId="7" fillId="0" borderId="32" xfId="3" applyNumberFormat="1" applyBorder="1" applyAlignment="1">
      <alignment horizontal="right"/>
    </xf>
    <xf numFmtId="166" fontId="40" fillId="0" borderId="14" xfId="3" applyNumberFormat="1" applyFont="1" applyBorder="1"/>
    <xf numFmtId="166" fontId="7" fillId="0" borderId="60" xfId="3" applyNumberFormat="1" applyBorder="1"/>
    <xf numFmtId="165" fontId="57" fillId="0" borderId="0" xfId="3" applyFont="1"/>
    <xf numFmtId="166" fontId="7" fillId="0" borderId="0" xfId="3" applyNumberFormat="1" applyAlignment="1">
      <alignment horizontal="right"/>
    </xf>
    <xf numFmtId="16" fontId="7" fillId="0" borderId="10" xfId="3" applyNumberFormat="1" applyBorder="1" applyAlignment="1">
      <alignment horizontal="center" vertical="center"/>
    </xf>
    <xf numFmtId="15" fontId="7" fillId="0" borderId="6" xfId="3" applyNumberFormat="1" applyBorder="1" applyAlignment="1">
      <alignment vertical="center"/>
    </xf>
    <xf numFmtId="2" fontId="7" fillId="0" borderId="1" xfId="3" applyNumberFormat="1" applyBorder="1" applyAlignment="1">
      <alignment horizontal="right" vertical="center"/>
    </xf>
    <xf numFmtId="166" fontId="7" fillId="0" borderId="1" xfId="3" applyNumberFormat="1" applyBorder="1" applyAlignment="1">
      <alignment horizontal="center" vertical="center"/>
    </xf>
    <xf numFmtId="170" fontId="7" fillId="0" borderId="6" xfId="3" applyNumberFormat="1" applyBorder="1" applyAlignment="1">
      <alignment vertical="center"/>
    </xf>
    <xf numFmtId="165" fontId="40" fillId="0" borderId="23" xfId="3" applyFont="1" applyBorder="1" applyAlignment="1">
      <alignment vertical="center" wrapText="1"/>
    </xf>
    <xf numFmtId="165" fontId="58" fillId="0" borderId="0" xfId="3" applyFont="1"/>
    <xf numFmtId="15" fontId="7" fillId="0" borderId="1" xfId="3" applyNumberFormat="1" applyBorder="1" applyAlignment="1">
      <alignment horizontal="center" vertical="center"/>
    </xf>
    <xf numFmtId="165" fontId="7" fillId="0" borderId="1" xfId="3" applyBorder="1"/>
    <xf numFmtId="165" fontId="59" fillId="0" borderId="43" xfId="3" applyFont="1" applyBorder="1" applyAlignment="1">
      <alignment vertical="center" wrapText="1"/>
    </xf>
    <xf numFmtId="2" fontId="7" fillId="0" borderId="1" xfId="3" applyNumberFormat="1" applyBorder="1" applyAlignment="1">
      <alignment horizontal="center" vertical="center"/>
    </xf>
    <xf numFmtId="2" fontId="7" fillId="0" borderId="1" xfId="3" applyNumberFormat="1" applyBorder="1" applyAlignment="1">
      <alignment horizontal="right"/>
    </xf>
    <xf numFmtId="165" fontId="40" fillId="0" borderId="43" xfId="3" applyFont="1" applyBorder="1" applyAlignment="1">
      <alignment vertical="center" wrapText="1"/>
    </xf>
    <xf numFmtId="165" fontId="52" fillId="0" borderId="13" xfId="3" applyFont="1" applyBorder="1"/>
    <xf numFmtId="165" fontId="52" fillId="0" borderId="52" xfId="3" applyFont="1" applyBorder="1"/>
    <xf numFmtId="165" fontId="7" fillId="0" borderId="14" xfId="3" applyBorder="1"/>
    <xf numFmtId="166" fontId="7" fillId="0" borderId="14" xfId="3" applyNumberFormat="1" applyBorder="1" applyAlignment="1">
      <alignment horizontal="right"/>
    </xf>
    <xf numFmtId="165" fontId="40" fillId="0" borderId="66" xfId="3" applyFont="1" applyBorder="1" applyAlignment="1">
      <alignment vertical="center" wrapText="1"/>
    </xf>
    <xf numFmtId="165" fontId="40" fillId="0" borderId="31" xfId="3" applyFont="1" applyBorder="1" applyAlignment="1">
      <alignment horizontal="center" shrinkToFit="1"/>
    </xf>
    <xf numFmtId="165" fontId="7" fillId="0" borderId="32" xfId="3" applyBorder="1" applyAlignment="1">
      <alignment horizontal="center"/>
    </xf>
    <xf numFmtId="15" fontId="7" fillId="0" borderId="39" xfId="3" applyNumberFormat="1" applyBorder="1"/>
    <xf numFmtId="165" fontId="7" fillId="0" borderId="32" xfId="3" applyBorder="1"/>
    <xf numFmtId="165" fontId="7" fillId="0" borderId="32" xfId="3" applyBorder="1" applyAlignment="1">
      <alignment horizontal="right"/>
    </xf>
    <xf numFmtId="165" fontId="40" fillId="0" borderId="54" xfId="3" applyFont="1" applyBorder="1" applyAlignment="1">
      <alignment vertical="center" wrapText="1"/>
    </xf>
    <xf numFmtId="165" fontId="40" fillId="0" borderId="0" xfId="3" applyFont="1" applyAlignment="1">
      <alignment horizontal="center" shrinkToFit="1"/>
    </xf>
    <xf numFmtId="165" fontId="40" fillId="0" borderId="0" xfId="3" applyFont="1" applyAlignment="1">
      <alignment vertical="center" wrapText="1"/>
    </xf>
    <xf numFmtId="165" fontId="38" fillId="0" borderId="50" xfId="3" applyFont="1" applyBorder="1" applyAlignment="1">
      <alignment horizontal="left"/>
    </xf>
    <xf numFmtId="165" fontId="38" fillId="0" borderId="10" xfId="3" applyFont="1" applyBorder="1" applyAlignment="1">
      <alignment horizontal="left"/>
    </xf>
    <xf numFmtId="165" fontId="38" fillId="0" borderId="12" xfId="3" applyFont="1" applyBorder="1" applyAlignment="1">
      <alignment horizontal="left"/>
    </xf>
    <xf numFmtId="165" fontId="40" fillId="0" borderId="10" xfId="3" applyFont="1" applyBorder="1" applyAlignment="1">
      <alignment horizontal="left"/>
    </xf>
    <xf numFmtId="165" fontId="40" fillId="0" borderId="12" xfId="3" applyFont="1" applyBorder="1" applyAlignment="1">
      <alignment horizontal="left"/>
    </xf>
    <xf numFmtId="2" fontId="61" fillId="0" borderId="1" xfId="4" applyNumberFormat="1" applyFont="1" applyBorder="1" applyAlignment="1">
      <alignment horizontal="right"/>
    </xf>
    <xf numFmtId="166" fontId="61" fillId="0" borderId="15" xfId="3" applyNumberFormat="1" applyFont="1" applyBorder="1" applyAlignment="1">
      <alignment horizontal="right"/>
    </xf>
    <xf numFmtId="170" fontId="7" fillId="0" borderId="52" xfId="4" applyNumberFormat="1" applyBorder="1" applyAlignment="1">
      <alignment horizontal="right" vertical="center"/>
    </xf>
    <xf numFmtId="170" fontId="54" fillId="0" borderId="1" xfId="3" applyNumberFormat="1" applyFont="1" applyBorder="1" applyAlignment="1">
      <alignment horizontal="right"/>
    </xf>
    <xf numFmtId="9" fontId="7" fillId="0" borderId="15" xfId="3" applyNumberFormat="1" applyBorder="1" applyAlignment="1">
      <alignment horizontal="right"/>
    </xf>
    <xf numFmtId="170" fontId="7" fillId="0" borderId="1" xfId="4" applyNumberFormat="1" applyBorder="1" applyAlignment="1">
      <alignment horizontal="right"/>
    </xf>
    <xf numFmtId="165" fontId="23" fillId="0" borderId="13" xfId="3" applyFont="1" applyBorder="1"/>
    <xf numFmtId="2" fontId="61" fillId="0" borderId="0" xfId="3" applyNumberFormat="1" applyFont="1" applyAlignment="1">
      <alignment horizontal="right"/>
    </xf>
    <xf numFmtId="165" fontId="30" fillId="0" borderId="52" xfId="3" applyFont="1" applyBorder="1" applyAlignment="1">
      <alignment horizontal="left"/>
    </xf>
    <xf numFmtId="166" fontId="61" fillId="0" borderId="51" xfId="3" applyNumberFormat="1" applyFont="1" applyBorder="1" applyAlignment="1">
      <alignment horizontal="right"/>
    </xf>
    <xf numFmtId="165" fontId="31" fillId="0" borderId="52" xfId="3" applyFont="1" applyBorder="1" applyAlignment="1">
      <alignment horizontal="left"/>
    </xf>
    <xf numFmtId="2" fontId="61" fillId="0" borderId="14" xfId="4" applyNumberFormat="1" applyFont="1" applyBorder="1" applyAlignment="1">
      <alignment horizontal="right"/>
    </xf>
    <xf numFmtId="170" fontId="7" fillId="0" borderId="14" xfId="4" applyNumberFormat="1" applyBorder="1" applyAlignment="1">
      <alignment horizontal="right"/>
    </xf>
    <xf numFmtId="9" fontId="7" fillId="0" borderId="51" xfId="3" applyNumberFormat="1" applyBorder="1" applyAlignment="1">
      <alignment horizontal="right"/>
    </xf>
    <xf numFmtId="2" fontId="61" fillId="0" borderId="32" xfId="3" applyNumberFormat="1" applyFont="1" applyBorder="1" applyAlignment="1">
      <alignment horizontal="right"/>
    </xf>
    <xf numFmtId="166" fontId="61" fillId="0" borderId="36" xfId="3" applyNumberFormat="1" applyFont="1" applyBorder="1" applyAlignment="1">
      <alignment horizontal="right"/>
    </xf>
    <xf numFmtId="170" fontId="7" fillId="0" borderId="32" xfId="3" applyNumberFormat="1" applyBorder="1" applyAlignment="1">
      <alignment horizontal="right"/>
    </xf>
    <xf numFmtId="9" fontId="7" fillId="0" borderId="36" xfId="3" applyNumberFormat="1" applyBorder="1" applyAlignment="1">
      <alignment horizontal="right"/>
    </xf>
    <xf numFmtId="165" fontId="61" fillId="0" borderId="0" xfId="3" applyFont="1"/>
    <xf numFmtId="165" fontId="61" fillId="0" borderId="0" xfId="3" applyFont="1" applyAlignment="1">
      <alignment horizontal="right"/>
    </xf>
    <xf numFmtId="2" fontId="38" fillId="0" borderId="0" xfId="3" applyNumberFormat="1" applyFont="1" applyAlignment="1">
      <alignment horizontal="right"/>
    </xf>
    <xf numFmtId="2" fontId="40" fillId="0" borderId="0" xfId="3" applyNumberFormat="1" applyFont="1" applyAlignment="1">
      <alignment horizontal="right"/>
    </xf>
    <xf numFmtId="165" fontId="7" fillId="0" borderId="0" xfId="3" applyAlignment="1">
      <alignment horizontal="right"/>
    </xf>
    <xf numFmtId="165" fontId="62" fillId="0" borderId="0" xfId="3" applyFont="1"/>
    <xf numFmtId="165" fontId="53" fillId="0" borderId="0" xfId="0" applyFont="1"/>
    <xf numFmtId="165" fontId="53" fillId="0" borderId="0" xfId="0" applyFont="1" applyAlignment="1">
      <alignment horizontal="center"/>
    </xf>
    <xf numFmtId="165" fontId="63" fillId="3" borderId="1" xfId="0" applyFont="1" applyFill="1" applyBorder="1"/>
    <xf numFmtId="165" fontId="63" fillId="9" borderId="1" xfId="0" applyFont="1" applyFill="1" applyBorder="1" applyAlignment="1">
      <alignment horizontal="center"/>
    </xf>
    <xf numFmtId="165" fontId="0" fillId="0" borderId="0" xfId="0" applyAlignment="1">
      <alignment horizontal="center"/>
    </xf>
    <xf numFmtId="166" fontId="53" fillId="3" borderId="1" xfId="0" applyNumberFormat="1" applyFont="1" applyFill="1" applyBorder="1" applyAlignment="1">
      <alignment horizontal="center"/>
    </xf>
    <xf numFmtId="40" fontId="53" fillId="10" borderId="27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center"/>
    </xf>
    <xf numFmtId="40" fontId="53" fillId="12" borderId="27" xfId="1" applyNumberFormat="1" applyFont="1" applyFill="1" applyBorder="1" applyAlignment="1">
      <alignment horizontal="center"/>
    </xf>
    <xf numFmtId="40" fontId="53" fillId="13" borderId="27" xfId="1" applyNumberFormat="1" applyFont="1" applyFill="1" applyBorder="1" applyAlignment="1">
      <alignment horizontal="center"/>
    </xf>
    <xf numFmtId="40" fontId="53" fillId="14" borderId="27" xfId="1" applyNumberFormat="1" applyFont="1" applyFill="1" applyBorder="1" applyAlignment="1">
      <alignment horizontal="center"/>
    </xf>
    <xf numFmtId="40" fontId="53" fillId="15" borderId="27" xfId="1" applyNumberFormat="1" applyFont="1" applyFill="1" applyBorder="1" applyAlignment="1">
      <alignment horizontal="center"/>
    </xf>
    <xf numFmtId="40" fontId="53" fillId="16" borderId="27" xfId="1" applyNumberFormat="1" applyFont="1" applyFill="1" applyBorder="1" applyAlignment="1">
      <alignment horizontal="center"/>
    </xf>
    <xf numFmtId="40" fontId="53" fillId="17" borderId="27" xfId="1" applyNumberFormat="1" applyFont="1" applyFill="1" applyBorder="1" applyAlignment="1">
      <alignment horizontal="center"/>
    </xf>
    <xf numFmtId="40" fontId="53" fillId="18" borderId="27" xfId="1" applyNumberFormat="1" applyFont="1" applyFill="1" applyBorder="1" applyAlignment="1">
      <alignment horizontal="center"/>
    </xf>
    <xf numFmtId="166" fontId="63" fillId="4" borderId="1" xfId="0" applyNumberFormat="1" applyFont="1" applyFill="1" applyBorder="1" applyAlignment="1">
      <alignment horizontal="center"/>
    </xf>
    <xf numFmtId="165" fontId="63" fillId="19" borderId="1" xfId="0" applyFont="1" applyFill="1" applyBorder="1" applyAlignment="1">
      <alignment horizontal="center"/>
    </xf>
    <xf numFmtId="2" fontId="63" fillId="19" borderId="1" xfId="0" applyNumberFormat="1" applyFont="1" applyFill="1" applyBorder="1" applyAlignment="1">
      <alignment horizontal="center"/>
    </xf>
    <xf numFmtId="2" fontId="63" fillId="0" borderId="1" xfId="0" applyNumberFormat="1" applyFont="1" applyBorder="1" applyAlignment="1">
      <alignment horizontal="center"/>
    </xf>
    <xf numFmtId="165" fontId="63" fillId="9" borderId="3" xfId="0" applyFont="1" applyFill="1" applyBorder="1" applyAlignment="1">
      <alignment horizontal="center"/>
    </xf>
    <xf numFmtId="40" fontId="53" fillId="10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/>
    <xf numFmtId="40" fontId="53" fillId="12" borderId="68" xfId="1" applyNumberFormat="1" applyFont="1" applyFill="1" applyBorder="1" applyAlignment="1">
      <alignment horizontal="center"/>
    </xf>
    <xf numFmtId="2" fontId="53" fillId="0" borderId="1" xfId="0" applyNumberFormat="1" applyFont="1" applyBorder="1"/>
    <xf numFmtId="40" fontId="53" fillId="13" borderId="68" xfId="1" applyNumberFormat="1" applyFont="1" applyFill="1" applyBorder="1" applyAlignment="1">
      <alignment horizontal="center"/>
    </xf>
    <xf numFmtId="40" fontId="53" fillId="14" borderId="68" xfId="1" applyNumberFormat="1" applyFont="1" applyFill="1" applyBorder="1" applyAlignment="1">
      <alignment horizontal="center"/>
    </xf>
    <xf numFmtId="40" fontId="53" fillId="15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right"/>
    </xf>
    <xf numFmtId="40" fontId="53" fillId="16" borderId="68" xfId="1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right"/>
    </xf>
    <xf numFmtId="40" fontId="53" fillId="17" borderId="68" xfId="1" applyNumberFormat="1" applyFont="1" applyFill="1" applyBorder="1" applyAlignment="1">
      <alignment horizontal="center"/>
    </xf>
    <xf numFmtId="40" fontId="53" fillId="18" borderId="68" xfId="1" applyNumberFormat="1" applyFont="1" applyFill="1" applyBorder="1" applyAlignment="1">
      <alignment horizontal="center"/>
    </xf>
    <xf numFmtId="165" fontId="63" fillId="19" borderId="3" xfId="0" applyFont="1" applyFill="1" applyBorder="1"/>
    <xf numFmtId="2" fontId="63" fillId="19" borderId="1" xfId="0" applyNumberFormat="1" applyFont="1" applyFill="1" applyBorder="1"/>
    <xf numFmtId="165" fontId="6" fillId="0" borderId="0" xfId="0" applyFont="1"/>
    <xf numFmtId="165" fontId="10" fillId="0" borderId="0" xfId="0" applyFont="1"/>
    <xf numFmtId="165" fontId="65" fillId="0" borderId="0" xfId="0" applyFont="1"/>
    <xf numFmtId="165" fontId="66" fillId="19" borderId="70" xfId="0" applyFont="1" applyFill="1" applyBorder="1" applyAlignment="1">
      <alignment vertical="center"/>
    </xf>
    <xf numFmtId="165" fontId="66" fillId="19" borderId="71" xfId="0" applyFont="1" applyFill="1" applyBorder="1" applyAlignment="1">
      <alignment vertical="center"/>
    </xf>
    <xf numFmtId="165" fontId="66" fillId="19" borderId="72" xfId="0" applyFont="1" applyFill="1" applyBorder="1" applyAlignment="1">
      <alignment vertical="center"/>
    </xf>
    <xf numFmtId="165" fontId="66" fillId="21" borderId="72" xfId="0" applyFont="1" applyFill="1" applyBorder="1" applyAlignment="1">
      <alignment vertical="center"/>
    </xf>
    <xf numFmtId="165" fontId="67" fillId="0" borderId="50" xfId="0" applyFont="1" applyBorder="1"/>
    <xf numFmtId="2" fontId="68" fillId="0" borderId="12" xfId="0" applyNumberFormat="1" applyFont="1" applyBorder="1"/>
    <xf numFmtId="2" fontId="68" fillId="0" borderId="10" xfId="0" applyNumberFormat="1" applyFont="1" applyBorder="1"/>
    <xf numFmtId="2" fontId="68" fillId="6" borderId="10" xfId="0" applyNumberFormat="1" applyFont="1" applyFill="1" applyBorder="1"/>
    <xf numFmtId="166" fontId="67" fillId="21" borderId="12" xfId="0" applyNumberFormat="1" applyFont="1" applyFill="1" applyBorder="1"/>
    <xf numFmtId="2" fontId="69" fillId="0" borderId="73" xfId="0" applyNumberFormat="1" applyFont="1" applyBorder="1"/>
    <xf numFmtId="165" fontId="67" fillId="0" borderId="13" xfId="0" applyFont="1" applyBorder="1"/>
    <xf numFmtId="165" fontId="70" fillId="20" borderId="38" xfId="0" applyFont="1" applyFill="1" applyBorder="1" applyAlignment="1">
      <alignment vertical="center"/>
    </xf>
    <xf numFmtId="2" fontId="71" fillId="20" borderId="39" xfId="0" applyNumberFormat="1" applyFont="1" applyFill="1" applyBorder="1" applyAlignment="1">
      <alignment vertical="center"/>
    </xf>
    <xf numFmtId="165" fontId="66" fillId="22" borderId="72" xfId="0" applyFont="1" applyFill="1" applyBorder="1" applyAlignment="1">
      <alignment vertical="center"/>
    </xf>
    <xf numFmtId="2" fontId="68" fillId="0" borderId="12" xfId="0" applyNumberFormat="1" applyFont="1" applyBorder="1" applyAlignment="1">
      <alignment horizontal="right" vertical="center"/>
    </xf>
    <xf numFmtId="2" fontId="74" fillId="22" borderId="12" xfId="0" applyNumberFormat="1" applyFont="1" applyFill="1" applyBorder="1"/>
    <xf numFmtId="165" fontId="70" fillId="20" borderId="31" xfId="0" applyFont="1" applyFill="1" applyBorder="1" applyAlignment="1">
      <alignment vertical="center"/>
    </xf>
    <xf numFmtId="2" fontId="71" fillId="20" borderId="32" xfId="0" applyNumberFormat="1" applyFont="1" applyFill="1" applyBorder="1" applyAlignment="1">
      <alignment vertical="center"/>
    </xf>
    <xf numFmtId="2" fontId="71" fillId="22" borderId="36" xfId="0" applyNumberFormat="1" applyFont="1" applyFill="1" applyBorder="1" applyAlignment="1">
      <alignment vertical="center"/>
    </xf>
    <xf numFmtId="165" fontId="9" fillId="0" borderId="0" xfId="3" applyFont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/>
    </xf>
    <xf numFmtId="166" fontId="10" fillId="3" borderId="14" xfId="0" applyNumberFormat="1" applyFont="1" applyFill="1" applyBorder="1"/>
    <xf numFmtId="165" fontId="8" fillId="0" borderId="0" xfId="3" applyFont="1"/>
    <xf numFmtId="1" fontId="8" fillId="0" borderId="1" xfId="3" applyNumberFormat="1" applyFont="1" applyBorder="1" applyAlignment="1">
      <alignment horizontal="center" vertical="center"/>
    </xf>
    <xf numFmtId="165" fontId="8" fillId="0" borderId="0" xfId="3" applyFont="1" applyAlignment="1">
      <alignment vertical="center"/>
    </xf>
    <xf numFmtId="1" fontId="9" fillId="0" borderId="1" xfId="3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right"/>
    </xf>
    <xf numFmtId="16" fontId="8" fillId="0" borderId="10" xfId="3" applyNumberFormat="1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right"/>
    </xf>
    <xf numFmtId="166" fontId="10" fillId="23" borderId="0" xfId="0" applyNumberFormat="1" applyFont="1" applyFill="1"/>
    <xf numFmtId="170" fontId="8" fillId="0" borderId="42" xfId="4" applyNumberFormat="1" applyFont="1" applyFill="1" applyBorder="1" applyAlignment="1">
      <alignment horizontal="center" vertical="center"/>
    </xf>
    <xf numFmtId="165" fontId="26" fillId="4" borderId="1" xfId="3" applyFont="1" applyFill="1" applyBorder="1" applyAlignment="1">
      <alignment horizontal="left"/>
    </xf>
    <xf numFmtId="165" fontId="28" fillId="4" borderId="1" xfId="3" applyFont="1" applyFill="1" applyBorder="1"/>
    <xf numFmtId="165" fontId="23" fillId="4" borderId="1" xfId="3" applyFont="1" applyFill="1" applyBorder="1" applyAlignment="1">
      <alignment horizontal="left"/>
    </xf>
    <xf numFmtId="165" fontId="29" fillId="4" borderId="1" xfId="3" applyFont="1" applyFill="1" applyBorder="1"/>
    <xf numFmtId="165" fontId="30" fillId="4" borderId="1" xfId="3" applyFont="1" applyFill="1" applyBorder="1" applyAlignment="1">
      <alignment horizontal="left"/>
    </xf>
    <xf numFmtId="165" fontId="9" fillId="4" borderId="1" xfId="3" applyFont="1" applyFill="1" applyBorder="1" applyAlignment="1">
      <alignment horizontal="left" vertical="center" wrapText="1"/>
    </xf>
    <xf numFmtId="1" fontId="9" fillId="4" borderId="1" xfId="3" applyNumberFormat="1" applyFont="1" applyFill="1" applyBorder="1" applyAlignment="1">
      <alignment horizontal="center" vertical="center" wrapText="1"/>
    </xf>
    <xf numFmtId="165" fontId="9" fillId="0" borderId="0" xfId="3" applyFont="1" applyAlignment="1">
      <alignment horizontal="center"/>
    </xf>
    <xf numFmtId="165" fontId="77" fillId="4" borderId="1" xfId="3" applyFont="1" applyFill="1" applyBorder="1" applyAlignment="1">
      <alignment horizontal="left"/>
    </xf>
    <xf numFmtId="166" fontId="10" fillId="0" borderId="0" xfId="0" applyNumberFormat="1" applyFont="1" applyAlignment="1">
      <alignment vertical="center"/>
    </xf>
    <xf numFmtId="167" fontId="9" fillId="0" borderId="0" xfId="3" applyNumberFormat="1" applyFont="1" applyAlignment="1">
      <alignment horizontal="right" vertical="center"/>
    </xf>
    <xf numFmtId="166" fontId="71" fillId="20" borderId="39" xfId="0" applyNumberFormat="1" applyFont="1" applyFill="1" applyBorder="1" applyAlignment="1">
      <alignment vertical="center"/>
    </xf>
    <xf numFmtId="166" fontId="69" fillId="0" borderId="73" xfId="0" applyNumberFormat="1" applyFont="1" applyBorder="1"/>
    <xf numFmtId="1" fontId="69" fillId="0" borderId="73" xfId="0" applyNumberFormat="1" applyFont="1" applyBorder="1"/>
    <xf numFmtId="14" fontId="9" fillId="0" borderId="0" xfId="3" applyNumberFormat="1" applyFont="1"/>
    <xf numFmtId="166" fontId="9" fillId="0" borderId="1" xfId="3" applyNumberFormat="1" applyFont="1" applyBorder="1" applyAlignment="1">
      <alignment horizontal="right"/>
    </xf>
    <xf numFmtId="4" fontId="8" fillId="0" borderId="11" xfId="3" applyNumberFormat="1" applyFont="1" applyBorder="1" applyAlignment="1">
      <alignment horizontal="center" vertical="center"/>
    </xf>
    <xf numFmtId="4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right"/>
    </xf>
    <xf numFmtId="165" fontId="78" fillId="0" borderId="52" xfId="3" applyFont="1" applyBorder="1"/>
    <xf numFmtId="20" fontId="9" fillId="4" borderId="18" xfId="0" applyNumberFormat="1" applyFont="1" applyFill="1" applyBorder="1" applyAlignment="1">
      <alignment horizontal="center" vertical="center" wrapText="1"/>
    </xf>
    <xf numFmtId="1" fontId="9" fillId="0" borderId="63" xfId="3" applyNumberFormat="1" applyFont="1" applyBorder="1" applyAlignment="1">
      <alignment horizontal="center"/>
    </xf>
    <xf numFmtId="16" fontId="8" fillId="0" borderId="77" xfId="3" applyNumberFormat="1" applyFont="1" applyBorder="1" applyAlignment="1">
      <alignment vertical="center"/>
    </xf>
    <xf numFmtId="16" fontId="8" fillId="0" borderId="32" xfId="3" applyNumberFormat="1" applyFont="1" applyBorder="1" applyAlignment="1">
      <alignment vertical="center"/>
    </xf>
    <xf numFmtId="165" fontId="9" fillId="0" borderId="3" xfId="3" applyFont="1" applyBorder="1" applyAlignment="1">
      <alignment horizontal="center"/>
    </xf>
    <xf numFmtId="2" fontId="9" fillId="7" borderId="34" xfId="3" applyNumberFormat="1" applyFont="1" applyFill="1" applyBorder="1" applyAlignment="1">
      <alignment horizontal="center" vertical="center"/>
    </xf>
    <xf numFmtId="2" fontId="25" fillId="7" borderId="34" xfId="3" applyNumberFormat="1" applyFont="1" applyFill="1" applyBorder="1" applyAlignment="1">
      <alignment horizontal="center" vertical="center"/>
    </xf>
    <xf numFmtId="2" fontId="79" fillId="0" borderId="1" xfId="3" applyNumberFormat="1" applyFont="1" applyBorder="1" applyAlignment="1">
      <alignment horizontal="center" vertical="center"/>
    </xf>
    <xf numFmtId="2" fontId="8" fillId="0" borderId="0" xfId="3" applyNumberFormat="1" applyFont="1"/>
    <xf numFmtId="165" fontId="67" fillId="0" borderId="52" xfId="0" applyFont="1" applyBorder="1"/>
    <xf numFmtId="2" fontId="68" fillId="0" borderId="76" xfId="0" applyNumberFormat="1" applyFont="1" applyBorder="1"/>
    <xf numFmtId="2" fontId="68" fillId="0" borderId="80" xfId="0" applyNumberFormat="1" applyFont="1" applyBorder="1"/>
    <xf numFmtId="2" fontId="74" fillId="22" borderId="81" xfId="0" applyNumberFormat="1" applyFont="1" applyFill="1" applyBorder="1"/>
    <xf numFmtId="2" fontId="31" fillId="0" borderId="10" xfId="4" applyNumberFormat="1" applyFont="1" applyFill="1" applyBorder="1" applyAlignment="1">
      <alignment horizontal="center" vertical="center"/>
    </xf>
    <xf numFmtId="2" fontId="31" fillId="0" borderId="2" xfId="4" applyNumberFormat="1" applyFont="1" applyBorder="1" applyAlignment="1">
      <alignment horizontal="center" vertical="center"/>
    </xf>
    <xf numFmtId="2" fontId="31" fillId="0" borderId="2" xfId="4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/>
    </xf>
    <xf numFmtId="1" fontId="9" fillId="0" borderId="18" xfId="3" applyNumberFormat="1" applyFont="1" applyBorder="1" applyAlignment="1">
      <alignment horizontal="center"/>
    </xf>
    <xf numFmtId="166" fontId="9" fillId="0" borderId="14" xfId="3" applyNumberFormat="1" applyFont="1" applyBorder="1" applyAlignment="1">
      <alignment horizontal="center"/>
    </xf>
    <xf numFmtId="166" fontId="9" fillId="0" borderId="32" xfId="3" applyNumberFormat="1" applyFont="1" applyBorder="1" applyAlignment="1">
      <alignment horizontal="center"/>
    </xf>
    <xf numFmtId="166" fontId="9" fillId="0" borderId="14" xfId="3" applyNumberFormat="1" applyFont="1" applyBorder="1"/>
    <xf numFmtId="166" fontId="9" fillId="4" borderId="33" xfId="3" applyNumberFormat="1" applyFont="1" applyFill="1" applyBorder="1"/>
    <xf numFmtId="1" fontId="9" fillId="4" borderId="33" xfId="3" applyNumberFormat="1" applyFont="1" applyFill="1" applyBorder="1"/>
    <xf numFmtId="2" fontId="68" fillId="4" borderId="12" xfId="0" applyNumberFormat="1" applyFont="1" applyFill="1" applyBorder="1"/>
    <xf numFmtId="2" fontId="68" fillId="4" borderId="12" xfId="0" quotePrefix="1" applyNumberFormat="1" applyFont="1" applyFill="1" applyBorder="1"/>
    <xf numFmtId="2" fontId="68" fillId="4" borderId="80" xfId="0" applyNumberFormat="1" applyFont="1" applyFill="1" applyBorder="1"/>
    <xf numFmtId="2" fontId="8" fillId="0" borderId="0" xfId="3" applyNumberFormat="1" applyFont="1" applyAlignment="1">
      <alignment wrapText="1"/>
    </xf>
    <xf numFmtId="165" fontId="7" fillId="0" borderId="0" xfId="3" applyAlignment="1">
      <alignment horizontal="left"/>
    </xf>
    <xf numFmtId="2" fontId="7" fillId="0" borderId="60" xfId="3" applyNumberFormat="1" applyBorder="1" applyAlignment="1">
      <alignment horizontal="center"/>
    </xf>
    <xf numFmtId="2" fontId="40" fillId="0" borderId="26" xfId="3" applyNumberFormat="1" applyFont="1" applyBorder="1" applyAlignment="1">
      <alignment horizontal="center"/>
    </xf>
    <xf numFmtId="165" fontId="7" fillId="0" borderId="56" xfId="3" applyBorder="1" applyAlignment="1">
      <alignment horizontal="center"/>
    </xf>
    <xf numFmtId="165" fontId="9" fillId="0" borderId="1" xfId="3" applyFont="1" applyBorder="1" applyAlignment="1">
      <alignment horizontal="center" vertical="center" wrapText="1"/>
    </xf>
    <xf numFmtId="1" fontId="8" fillId="0" borderId="1" xfId="3" applyNumberFormat="1" applyFont="1" applyBorder="1"/>
    <xf numFmtId="2" fontId="35" fillId="23" borderId="1" xfId="3" applyNumberFormat="1" applyFont="1" applyFill="1" applyBorder="1" applyAlignment="1">
      <alignment horizontal="right"/>
    </xf>
    <xf numFmtId="2" fontId="9" fillId="23" borderId="21" xfId="3" applyNumberFormat="1" applyFont="1" applyFill="1" applyBorder="1" applyAlignment="1">
      <alignment horizontal="right"/>
    </xf>
    <xf numFmtId="20" fontId="9" fillId="4" borderId="17" xfId="0" applyNumberFormat="1" applyFont="1" applyFill="1" applyBorder="1" applyAlignment="1">
      <alignment horizontal="center" vertical="center" wrapText="1"/>
    </xf>
    <xf numFmtId="1" fontId="9" fillId="0" borderId="19" xfId="3" applyNumberFormat="1" applyFont="1" applyBorder="1" applyAlignment="1">
      <alignment horizontal="center"/>
    </xf>
    <xf numFmtId="165" fontId="27" fillId="4" borderId="1" xfId="3" applyFont="1" applyFill="1" applyBorder="1"/>
    <xf numFmtId="2" fontId="76" fillId="6" borderId="1" xfId="3" applyNumberFormat="1" applyFont="1" applyFill="1" applyBorder="1"/>
    <xf numFmtId="0" fontId="22" fillId="0" borderId="59" xfId="3" applyNumberFormat="1" applyFont="1" applyBorder="1" applyAlignment="1">
      <alignment vertical="top" wrapText="1"/>
    </xf>
    <xf numFmtId="166" fontId="9" fillId="0" borderId="0" xfId="3" applyNumberFormat="1" applyFont="1"/>
    <xf numFmtId="2" fontId="25" fillId="0" borderId="43" xfId="3" applyNumberFormat="1" applyFont="1" applyBorder="1" applyAlignment="1">
      <alignment horizontal="center" vertical="center"/>
    </xf>
    <xf numFmtId="2" fontId="25" fillId="0" borderId="54" xfId="3" applyNumberFormat="1" applyFont="1" applyBorder="1" applyAlignment="1">
      <alignment horizontal="center" vertical="center"/>
    </xf>
    <xf numFmtId="1" fontId="9" fillId="0" borderId="0" xfId="3" applyNumberFormat="1" applyFont="1"/>
    <xf numFmtId="2" fontId="9" fillId="0" borderId="76" xfId="6" applyNumberFormat="1" applyFont="1" applyBorder="1" applyAlignment="1">
      <alignment horizontal="center" vertical="center"/>
    </xf>
    <xf numFmtId="2" fontId="9" fillId="0" borderId="80" xfId="3" applyNumberFormat="1" applyFont="1" applyBorder="1" applyAlignment="1">
      <alignment horizontal="center" vertical="center"/>
    </xf>
    <xf numFmtId="165" fontId="9" fillId="0" borderId="1" xfId="3" applyFont="1" applyBorder="1" applyAlignment="1">
      <alignment vertical="center" wrapText="1"/>
    </xf>
    <xf numFmtId="165" fontId="9" fillId="0" borderId="0" xfId="3" applyFont="1" applyAlignment="1">
      <alignment horizontal="left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9" fillId="0" borderId="7" xfId="3" applyFont="1" applyBorder="1" applyAlignment="1">
      <alignment horizontal="center" vertical="center" wrapText="1"/>
    </xf>
    <xf numFmtId="2" fontId="9" fillId="4" borderId="23" xfId="3" applyNumberFormat="1" applyFont="1" applyFill="1" applyBorder="1" applyAlignment="1">
      <alignment horizontal="center" vertical="center"/>
    </xf>
    <xf numFmtId="165" fontId="26" fillId="0" borderId="13" xfId="3" applyFont="1" applyBorder="1" applyAlignment="1">
      <alignment horizontal="left" vertical="center"/>
    </xf>
    <xf numFmtId="2" fontId="25" fillId="0" borderId="35" xfId="3" applyNumberFormat="1" applyFont="1" applyBorder="1" applyAlignment="1">
      <alignment horizontal="center" vertical="center"/>
    </xf>
    <xf numFmtId="2" fontId="9" fillId="7" borderId="0" xfId="3" applyNumberFormat="1" applyFont="1" applyFill="1" applyAlignment="1">
      <alignment horizontal="center" vertical="center"/>
    </xf>
    <xf numFmtId="2" fontId="25" fillId="7" borderId="0" xfId="3" applyNumberFormat="1" applyFont="1" applyFill="1" applyAlignment="1">
      <alignment horizontal="center" vertical="center"/>
    </xf>
    <xf numFmtId="166" fontId="9" fillId="7" borderId="0" xfId="3" applyNumberFormat="1" applyFont="1" applyFill="1" applyAlignment="1">
      <alignment horizontal="center" vertical="center"/>
    </xf>
    <xf numFmtId="16" fontId="8" fillId="0" borderId="1" xfId="3" applyNumberFormat="1" applyFont="1" applyBorder="1" applyAlignment="1">
      <alignment horizontal="center" vertical="center"/>
    </xf>
    <xf numFmtId="166" fontId="8" fillId="4" borderId="1" xfId="3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 vertical="center"/>
    </xf>
    <xf numFmtId="1" fontId="31" fillId="0" borderId="1" xfId="3" applyNumberFormat="1" applyFont="1" applyBorder="1" applyAlignment="1">
      <alignment vertical="center" wrapText="1"/>
    </xf>
    <xf numFmtId="167" fontId="21" fillId="5" borderId="11" xfId="3" applyNumberFormat="1" applyFont="1" applyFill="1" applyBorder="1" applyAlignment="1">
      <alignment horizontal="center" vertical="center"/>
    </xf>
    <xf numFmtId="165" fontId="8" fillId="0" borderId="2" xfId="3" applyFont="1" applyBorder="1" applyAlignment="1">
      <alignment vertical="center"/>
    </xf>
    <xf numFmtId="170" fontId="8" fillId="0" borderId="1" xfId="4" applyNumberFormat="1" applyFont="1" applyBorder="1" applyAlignment="1">
      <alignment horizontal="center" vertical="center"/>
    </xf>
    <xf numFmtId="165" fontId="20" fillId="0" borderId="13" xfId="3" applyFont="1" applyBorder="1"/>
    <xf numFmtId="167" fontId="21" fillId="0" borderId="11" xfId="3" applyNumberFormat="1" applyFont="1" applyBorder="1" applyAlignment="1">
      <alignment horizontal="center" vertical="center"/>
    </xf>
    <xf numFmtId="1" fontId="31" fillId="0" borderId="51" xfId="3" applyNumberFormat="1" applyFont="1" applyBorder="1" applyAlignment="1">
      <alignment vertical="center" wrapText="1"/>
    </xf>
    <xf numFmtId="170" fontId="8" fillId="0" borderId="3" xfId="4" applyNumberFormat="1" applyFont="1" applyBorder="1" applyAlignment="1">
      <alignment horizontal="center" vertical="center"/>
    </xf>
    <xf numFmtId="4" fontId="8" fillId="0" borderId="10" xfId="3" applyNumberFormat="1" applyFont="1" applyBorder="1" applyAlignment="1">
      <alignment horizontal="center" vertical="center"/>
    </xf>
    <xf numFmtId="171" fontId="8" fillId="0" borderId="10" xfId="3" applyNumberFormat="1" applyFont="1" applyBorder="1" applyAlignment="1">
      <alignment horizontal="center" vertical="center"/>
    </xf>
    <xf numFmtId="2" fontId="8" fillId="0" borderId="10" xfId="3" applyNumberFormat="1" applyFont="1" applyBorder="1" applyAlignment="1">
      <alignment horizontal="center" vertical="center"/>
    </xf>
    <xf numFmtId="170" fontId="8" fillId="0" borderId="10" xfId="4" applyNumberFormat="1" applyFont="1" applyBorder="1" applyAlignment="1">
      <alignment horizontal="center" vertical="center"/>
    </xf>
    <xf numFmtId="2" fontId="31" fillId="0" borderId="1" xfId="4" applyNumberFormat="1" applyFont="1" applyFill="1" applyBorder="1" applyAlignment="1">
      <alignment horizontal="center" vertical="center"/>
    </xf>
    <xf numFmtId="2" fontId="31" fillId="0" borderId="1" xfId="4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/>
    </xf>
    <xf numFmtId="2" fontId="9" fillId="0" borderId="1" xfId="3" applyNumberFormat="1" applyFont="1" applyBorder="1" applyAlignment="1">
      <alignment horizontal="left" vertical="center"/>
    </xf>
    <xf numFmtId="165" fontId="27" fillId="0" borderId="13" xfId="3" applyFont="1" applyBorder="1" applyAlignment="1">
      <alignment vertical="center"/>
    </xf>
    <xf numFmtId="170" fontId="9" fillId="23" borderId="1" xfId="3" applyNumberFormat="1" applyFont="1" applyFill="1" applyBorder="1" applyAlignment="1">
      <alignment horizontal="right"/>
    </xf>
    <xf numFmtId="165" fontId="26" fillId="0" borderId="13" xfId="3" applyFont="1" applyBorder="1" applyAlignment="1">
      <alignment horizontal="center" vertical="center"/>
    </xf>
    <xf numFmtId="165" fontId="9" fillId="0" borderId="18" xfId="3" applyFont="1" applyBorder="1"/>
    <xf numFmtId="2" fontId="9" fillId="0" borderId="10" xfId="3" applyNumberFormat="1" applyFont="1" applyBorder="1" applyAlignment="1">
      <alignment horizontal="center" vertical="center"/>
    </xf>
    <xf numFmtId="2" fontId="9" fillId="4" borderId="18" xfId="3" applyNumberFormat="1" applyFont="1" applyFill="1" applyBorder="1" applyAlignment="1">
      <alignment horizontal="center" vertical="center"/>
    </xf>
    <xf numFmtId="2" fontId="31" fillId="0" borderId="1" xfId="3" applyNumberFormat="1" applyFont="1" applyBorder="1" applyAlignment="1">
      <alignment horizontal="center" vertical="center"/>
    </xf>
    <xf numFmtId="2" fontId="9" fillId="4" borderId="1" xfId="3" applyNumberFormat="1" applyFont="1" applyFill="1" applyBorder="1" applyAlignment="1">
      <alignment horizontal="center" vertical="center"/>
    </xf>
    <xf numFmtId="165" fontId="27" fillId="0" borderId="1" xfId="3" applyFont="1" applyBorder="1" applyAlignment="1">
      <alignment vertical="center"/>
    </xf>
    <xf numFmtId="166" fontId="21" fillId="4" borderId="1" xfId="3" applyNumberFormat="1" applyFont="1" applyFill="1" applyBorder="1" applyAlignment="1">
      <alignment horizontal="center" vertical="center"/>
    </xf>
    <xf numFmtId="167" fontId="8" fillId="0" borderId="1" xfId="3" applyNumberFormat="1" applyFont="1" applyBorder="1" applyAlignment="1">
      <alignment horizontal="center" vertical="center"/>
    </xf>
    <xf numFmtId="166" fontId="8" fillId="7" borderId="1" xfId="3" applyNumberFormat="1" applyFont="1" applyFill="1" applyBorder="1" applyAlignment="1">
      <alignment horizontal="center" vertical="center"/>
    </xf>
    <xf numFmtId="167" fontId="8" fillId="0" borderId="11" xfId="3" applyNumberFormat="1" applyFont="1" applyBorder="1" applyAlignment="1">
      <alignment horizontal="center"/>
    </xf>
    <xf numFmtId="165" fontId="13" fillId="4" borderId="0" xfId="3" applyFont="1" applyFill="1" applyAlignment="1">
      <alignment horizontal="center" vertic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" fontId="9" fillId="4" borderId="34" xfId="3" applyNumberFormat="1" applyFont="1" applyFill="1" applyBorder="1"/>
    <xf numFmtId="166" fontId="9" fillId="4" borderId="34" xfId="3" applyNumberFormat="1" applyFont="1" applyFill="1" applyBorder="1"/>
    <xf numFmtId="165" fontId="78" fillId="0" borderId="31" xfId="3" applyFont="1" applyBorder="1"/>
    <xf numFmtId="1" fontId="9" fillId="0" borderId="32" xfId="3" applyNumberFormat="1" applyFont="1" applyBorder="1" applyAlignment="1">
      <alignment horizontal="right"/>
    </xf>
    <xf numFmtId="166" fontId="9" fillId="0" borderId="32" xfId="3" applyNumberFormat="1" applyFont="1" applyBorder="1"/>
    <xf numFmtId="166" fontId="8" fillId="0" borderId="36" xfId="3" applyNumberFormat="1" applyFont="1" applyBorder="1"/>
    <xf numFmtId="165" fontId="81" fillId="0" borderId="52" xfId="3" applyFont="1" applyBorder="1"/>
    <xf numFmtId="165" fontId="82" fillId="0" borderId="52" xfId="3" applyFont="1" applyBorder="1"/>
    <xf numFmtId="170" fontId="7" fillId="0" borderId="0" xfId="3" applyNumberFormat="1" applyAlignment="1">
      <alignment horizontal="right"/>
    </xf>
    <xf numFmtId="165" fontId="83" fillId="0" borderId="31" xfId="3" applyFont="1" applyBorder="1"/>
    <xf numFmtId="165" fontId="84" fillId="0" borderId="31" xfId="3" applyFont="1" applyBorder="1"/>
    <xf numFmtId="166" fontId="8" fillId="0" borderId="0" xfId="3" applyNumberFormat="1" applyFont="1" applyAlignment="1">
      <alignment horizontal="center" vertical="center"/>
    </xf>
    <xf numFmtId="166" fontId="9" fillId="26" borderId="63" xfId="3" applyNumberFormat="1" applyFont="1" applyFill="1" applyBorder="1" applyAlignment="1">
      <alignment horizontal="center"/>
    </xf>
    <xf numFmtId="0" fontId="9" fillId="0" borderId="0" xfId="3" applyNumberFormat="1" applyFont="1" applyAlignment="1">
      <alignment horizontal="center"/>
    </xf>
    <xf numFmtId="0" fontId="22" fillId="0" borderId="1" xfId="3" applyNumberFormat="1" applyFont="1" applyBorder="1" applyAlignment="1">
      <alignment vertical="top" wrapText="1"/>
    </xf>
    <xf numFmtId="165" fontId="8" fillId="0" borderId="0" xfId="3" applyFont="1" applyAlignment="1">
      <alignment horizontal="left" vertical="center"/>
    </xf>
    <xf numFmtId="165" fontId="8" fillId="23" borderId="2" xfId="3" applyFont="1" applyFill="1" applyBorder="1" applyAlignment="1">
      <alignment vertical="center"/>
    </xf>
    <xf numFmtId="165" fontId="9" fillId="0" borderId="81" xfId="3" applyFont="1" applyBorder="1" applyAlignment="1">
      <alignment vertical="center" wrapText="1"/>
    </xf>
    <xf numFmtId="165" fontId="9" fillId="0" borderId="40" xfId="3" applyFont="1" applyBorder="1" applyAlignment="1">
      <alignment horizontal="center" vertical="center" wrapText="1"/>
    </xf>
    <xf numFmtId="16" fontId="8" fillId="0" borderId="39" xfId="3" applyNumberFormat="1" applyFont="1" applyBorder="1" applyAlignment="1">
      <alignment horizontal="center" vertical="center"/>
    </xf>
    <xf numFmtId="4" fontId="8" fillId="0" borderId="39" xfId="3" applyNumberFormat="1" applyFont="1" applyBorder="1" applyAlignment="1">
      <alignment horizontal="center" vertical="center"/>
    </xf>
    <xf numFmtId="171" fontId="8" fillId="0" borderId="39" xfId="3" applyNumberFormat="1" applyFont="1" applyBorder="1" applyAlignment="1">
      <alignment horizontal="center" vertical="center"/>
    </xf>
    <xf numFmtId="2" fontId="8" fillId="0" borderId="39" xfId="3" applyNumberFormat="1" applyFont="1" applyBorder="1" applyAlignment="1">
      <alignment horizontal="center" vertical="center"/>
    </xf>
    <xf numFmtId="4" fontId="8" fillId="0" borderId="62" xfId="3" applyNumberFormat="1" applyFont="1" applyBorder="1" applyAlignment="1">
      <alignment horizontal="center" vertical="center"/>
    </xf>
    <xf numFmtId="2" fontId="31" fillId="0" borderId="39" xfId="4" applyNumberFormat="1" applyFont="1" applyFill="1" applyBorder="1" applyAlignment="1">
      <alignment horizontal="center" vertical="center"/>
    </xf>
    <xf numFmtId="170" fontId="8" fillId="0" borderId="79" xfId="4" applyNumberFormat="1" applyFont="1" applyFill="1" applyBorder="1" applyAlignment="1">
      <alignment horizontal="center" vertical="center"/>
    </xf>
    <xf numFmtId="16" fontId="9" fillId="0" borderId="76" xfId="3" applyNumberFormat="1" applyFont="1" applyBorder="1" applyAlignment="1">
      <alignment horizontal="center" vertical="center"/>
    </xf>
    <xf numFmtId="4" fontId="8" fillId="0" borderId="76" xfId="3" applyNumberFormat="1" applyFont="1" applyBorder="1" applyAlignment="1">
      <alignment horizontal="center" vertical="center"/>
    </xf>
    <xf numFmtId="171" fontId="8" fillId="0" borderId="76" xfId="3" applyNumberFormat="1" applyFont="1" applyBorder="1" applyAlignment="1">
      <alignment horizontal="center" vertical="center"/>
    </xf>
    <xf numFmtId="2" fontId="8" fillId="0" borderId="76" xfId="3" applyNumberFormat="1" applyFont="1" applyBorder="1" applyAlignment="1">
      <alignment horizontal="center" vertical="center"/>
    </xf>
    <xf numFmtId="4" fontId="8" fillId="0" borderId="80" xfId="3" applyNumberFormat="1" applyFont="1" applyBorder="1" applyAlignment="1">
      <alignment horizontal="center" vertical="center"/>
    </xf>
    <xf numFmtId="2" fontId="31" fillId="0" borderId="76" xfId="4" applyNumberFormat="1" applyFont="1" applyFill="1" applyBorder="1" applyAlignment="1">
      <alignment horizontal="center" vertical="center"/>
    </xf>
    <xf numFmtId="170" fontId="8" fillId="0" borderId="9" xfId="4" applyNumberFormat="1" applyFont="1" applyFill="1" applyBorder="1" applyAlignment="1">
      <alignment horizontal="center" vertical="center"/>
    </xf>
    <xf numFmtId="165" fontId="85" fillId="0" borderId="38" xfId="3" applyFont="1" applyBorder="1" applyAlignment="1">
      <alignment horizontal="center" vertical="center"/>
    </xf>
    <xf numFmtId="2" fontId="31" fillId="0" borderId="62" xfId="4" applyNumberFormat="1" applyFont="1" applyFill="1" applyBorder="1" applyAlignment="1">
      <alignment horizontal="center" vertical="center"/>
    </xf>
    <xf numFmtId="2" fontId="9" fillId="0" borderId="39" xfId="3" applyNumberFormat="1" applyFont="1" applyBorder="1" applyAlignment="1">
      <alignment horizontal="center" vertical="center"/>
    </xf>
    <xf numFmtId="2" fontId="79" fillId="0" borderId="39" xfId="3" applyNumberFormat="1" applyFont="1" applyBorder="1" applyAlignment="1">
      <alignment horizontal="center" vertical="center"/>
    </xf>
    <xf numFmtId="16" fontId="9" fillId="0" borderId="84" xfId="3" applyNumberFormat="1" applyFont="1" applyBorder="1" applyAlignment="1">
      <alignment horizontal="center" vertical="center"/>
    </xf>
    <xf numFmtId="4" fontId="8" fillId="0" borderId="84" xfId="3" applyNumberFormat="1" applyFont="1" applyBorder="1" applyAlignment="1">
      <alignment horizontal="center" vertical="center"/>
    </xf>
    <xf numFmtId="171" fontId="8" fillId="0" borderId="84" xfId="3" applyNumberFormat="1" applyFont="1" applyBorder="1" applyAlignment="1">
      <alignment horizontal="center" vertical="center"/>
    </xf>
    <xf numFmtId="2" fontId="8" fillId="0" borderId="84" xfId="3" applyNumberFormat="1" applyFont="1" applyBorder="1" applyAlignment="1">
      <alignment horizontal="center" vertical="center"/>
    </xf>
    <xf numFmtId="4" fontId="8" fillId="0" borderId="85" xfId="3" applyNumberFormat="1" applyFont="1" applyBorder="1" applyAlignment="1">
      <alignment horizontal="center" vertical="center"/>
    </xf>
    <xf numFmtId="2" fontId="31" fillId="0" borderId="84" xfId="4" applyNumberFormat="1" applyFont="1" applyFill="1" applyBorder="1" applyAlignment="1">
      <alignment horizontal="center" vertical="center"/>
    </xf>
    <xf numFmtId="2" fontId="31" fillId="0" borderId="85" xfId="4" applyNumberFormat="1" applyFont="1" applyFill="1" applyBorder="1" applyAlignment="1">
      <alignment horizontal="center" vertical="center"/>
    </xf>
    <xf numFmtId="2" fontId="9" fillId="4" borderId="84" xfId="3" applyNumberFormat="1" applyFont="1" applyFill="1" applyBorder="1" applyAlignment="1">
      <alignment horizontal="center" vertical="center"/>
    </xf>
    <xf numFmtId="170" fontId="8" fillId="0" borderId="86" xfId="4" applyNumberFormat="1" applyFont="1" applyFill="1" applyBorder="1" applyAlignment="1">
      <alignment horizontal="center" vertical="center"/>
    </xf>
    <xf numFmtId="2" fontId="31" fillId="0" borderId="80" xfId="4" applyNumberFormat="1" applyFont="1" applyFill="1" applyBorder="1" applyAlignment="1">
      <alignment horizontal="center" vertical="center"/>
    </xf>
    <xf numFmtId="2" fontId="9" fillId="0" borderId="76" xfId="3" applyNumberFormat="1" applyFont="1" applyBorder="1" applyAlignment="1">
      <alignment horizontal="center" vertical="center"/>
    </xf>
    <xf numFmtId="2" fontId="79" fillId="0" borderId="76" xfId="3" applyNumberFormat="1" applyFont="1" applyBorder="1" applyAlignment="1">
      <alignment horizontal="center" vertical="center"/>
    </xf>
    <xf numFmtId="165" fontId="86" fillId="0" borderId="88" xfId="3" applyFont="1" applyBorder="1" applyAlignment="1">
      <alignment horizontal="center" vertical="center"/>
    </xf>
    <xf numFmtId="165" fontId="9" fillId="0" borderId="87" xfId="3" applyFont="1" applyBorder="1" applyAlignment="1">
      <alignment horizontal="center" vertical="center" wrapText="1"/>
    </xf>
    <xf numFmtId="165" fontId="9" fillId="0" borderId="18" xfId="3" applyFont="1" applyBorder="1" applyAlignment="1">
      <alignment horizontal="center" vertical="center" wrapText="1"/>
    </xf>
    <xf numFmtId="165" fontId="20" fillId="0" borderId="13" xfId="3" applyFont="1" applyBorder="1" applyAlignment="1">
      <alignment horizontal="center" vertical="center"/>
    </xf>
    <xf numFmtId="2" fontId="79" fillId="0" borderId="84" xfId="3" applyNumberFormat="1" applyFont="1" applyBorder="1" applyAlignment="1">
      <alignment horizontal="center" vertical="center"/>
    </xf>
    <xf numFmtId="2" fontId="31" fillId="0" borderId="84" xfId="4" applyNumberFormat="1" applyFont="1" applyBorder="1" applyAlignment="1">
      <alignment horizontal="center" vertical="center"/>
    </xf>
    <xf numFmtId="170" fontId="9" fillId="0" borderId="86" xfId="4" applyNumberFormat="1" applyFont="1" applyFill="1" applyBorder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171" fontId="8" fillId="0" borderId="0" xfId="3" applyNumberFormat="1" applyFont="1" applyAlignment="1">
      <alignment horizontal="center" vertical="center"/>
    </xf>
    <xf numFmtId="2" fontId="8" fillId="0" borderId="0" xfId="3" applyNumberFormat="1" applyFont="1" applyAlignment="1">
      <alignment horizontal="center" vertical="center"/>
    </xf>
    <xf numFmtId="2" fontId="31" fillId="0" borderId="0" xfId="4" applyNumberFormat="1" applyFont="1" applyFill="1" applyBorder="1" applyAlignment="1">
      <alignment horizontal="center" vertical="center"/>
    </xf>
    <xf numFmtId="170" fontId="8" fillId="0" borderId="0" xfId="4" applyNumberFormat="1" applyFont="1" applyFill="1" applyBorder="1" applyAlignment="1">
      <alignment horizontal="center" vertical="center"/>
    </xf>
    <xf numFmtId="2" fontId="79" fillId="0" borderId="0" xfId="3" applyNumberFormat="1" applyFont="1" applyAlignment="1">
      <alignment horizontal="center" vertical="center"/>
    </xf>
    <xf numFmtId="165" fontId="27" fillId="0" borderId="0" xfId="3" applyFont="1" applyAlignment="1">
      <alignment horizontal="center" vertical="center"/>
    </xf>
    <xf numFmtId="165" fontId="10" fillId="3" borderId="1" xfId="3" applyFont="1" applyFill="1" applyBorder="1"/>
    <xf numFmtId="166" fontId="10" fillId="3" borderId="1" xfId="3" applyNumberFormat="1" applyFont="1" applyFill="1" applyBorder="1"/>
    <xf numFmtId="166" fontId="10" fillId="3" borderId="2" xfId="3" applyNumberFormat="1" applyFont="1" applyFill="1" applyBorder="1"/>
    <xf numFmtId="1" fontId="10" fillId="3" borderId="1" xfId="3" applyNumberFormat="1" applyFont="1" applyFill="1" applyBorder="1" applyAlignment="1">
      <alignment horizontal="center"/>
    </xf>
    <xf numFmtId="166" fontId="10" fillId="3" borderId="14" xfId="3" applyNumberFormat="1" applyFont="1" applyFill="1" applyBorder="1"/>
    <xf numFmtId="166" fontId="10" fillId="0" borderId="0" xfId="3" applyNumberFormat="1" applyFont="1" applyAlignment="1">
      <alignment vertical="center"/>
    </xf>
    <xf numFmtId="20" fontId="9" fillId="4" borderId="17" xfId="3" applyNumberFormat="1" applyFont="1" applyFill="1" applyBorder="1" applyAlignment="1">
      <alignment horizontal="center" vertical="center" wrapText="1"/>
    </xf>
    <xf numFmtId="20" fontId="9" fillId="4" borderId="18" xfId="3" applyNumberFormat="1" applyFont="1" applyFill="1" applyBorder="1" applyAlignment="1">
      <alignment horizontal="center" vertical="center" wrapText="1"/>
    </xf>
    <xf numFmtId="169" fontId="34" fillId="0" borderId="41" xfId="3" applyNumberFormat="1" applyFont="1" applyBorder="1" applyAlignment="1">
      <alignment horizontal="center" vertical="center"/>
    </xf>
    <xf numFmtId="2" fontId="9" fillId="0" borderId="84" xfId="3" applyNumberFormat="1" applyFont="1" applyBorder="1" applyAlignment="1">
      <alignment horizontal="center" vertical="center"/>
    </xf>
    <xf numFmtId="2" fontId="40" fillId="0" borderId="1" xfId="3" applyNumberFormat="1" applyFont="1" applyBorder="1" applyAlignment="1">
      <alignment horizontal="right"/>
    </xf>
    <xf numFmtId="165" fontId="9" fillId="0" borderId="27" xfId="3" applyFont="1" applyBorder="1" applyAlignment="1">
      <alignment vertical="center" wrapText="1"/>
    </xf>
    <xf numFmtId="16" fontId="9" fillId="0" borderId="86" xfId="3" applyNumberFormat="1" applyFont="1" applyBorder="1" applyAlignment="1">
      <alignment horizontal="center" vertical="center"/>
    </xf>
    <xf numFmtId="165" fontId="20" fillId="0" borderId="18" xfId="3" applyFont="1" applyBorder="1" applyAlignment="1">
      <alignment horizontal="center" vertical="center"/>
    </xf>
    <xf numFmtId="166" fontId="9" fillId="4" borderId="51" xfId="3" applyNumberFormat="1" applyFont="1" applyFill="1" applyBorder="1" applyAlignment="1">
      <alignment horizontal="right"/>
    </xf>
    <xf numFmtId="165" fontId="85" fillId="0" borderId="18" xfId="3" applyFont="1" applyBorder="1" applyAlignment="1">
      <alignment horizontal="center" vertical="center"/>
    </xf>
    <xf numFmtId="2" fontId="79" fillId="0" borderId="1" xfId="3" applyNumberFormat="1" applyFont="1" applyBorder="1" applyAlignment="1">
      <alignment horizontal="right"/>
    </xf>
    <xf numFmtId="165" fontId="80" fillId="0" borderId="18" xfId="3" applyFont="1" applyBorder="1" applyAlignment="1">
      <alignment horizontal="center" vertical="center"/>
    </xf>
    <xf numFmtId="165" fontId="79" fillId="0" borderId="18" xfId="3" applyFont="1" applyBorder="1" applyAlignment="1">
      <alignment horizontal="center" vertical="center"/>
    </xf>
    <xf numFmtId="166" fontId="79" fillId="7" borderId="1" xfId="3" applyNumberFormat="1" applyFont="1" applyFill="1" applyBorder="1" applyAlignment="1">
      <alignment horizontal="center" vertical="center"/>
    </xf>
    <xf numFmtId="165" fontId="85" fillId="0" borderId="13" xfId="3" applyFont="1" applyBorder="1"/>
    <xf numFmtId="165" fontId="9" fillId="0" borderId="13" xfId="3" applyFont="1" applyBorder="1" applyAlignment="1">
      <alignment horizontal="left"/>
    </xf>
    <xf numFmtId="165" fontId="9" fillId="0" borderId="23" xfId="3" applyFont="1" applyBorder="1"/>
    <xf numFmtId="2" fontId="25" fillId="0" borderId="89" xfId="3" applyNumberFormat="1" applyFont="1" applyBorder="1" applyAlignment="1">
      <alignment horizontal="center" vertical="center"/>
    </xf>
    <xf numFmtId="2" fontId="25" fillId="0" borderId="34" xfId="3" applyNumberFormat="1" applyFont="1" applyBorder="1" applyAlignment="1">
      <alignment horizontal="center" vertical="center"/>
    </xf>
    <xf numFmtId="165" fontId="80" fillId="0" borderId="27" xfId="3" applyFont="1" applyBorder="1" applyAlignment="1">
      <alignment vertical="center"/>
    </xf>
    <xf numFmtId="165" fontId="80" fillId="0" borderId="35" xfId="3" applyFont="1" applyBorder="1" applyAlignment="1">
      <alignment vertical="center"/>
    </xf>
    <xf numFmtId="166" fontId="9" fillId="0" borderId="19" xfId="3" applyNumberFormat="1" applyFont="1" applyBorder="1" applyAlignment="1">
      <alignment horizontal="center"/>
    </xf>
    <xf numFmtId="166" fontId="9" fillId="0" borderId="18" xfId="3" applyNumberFormat="1" applyFont="1" applyBorder="1" applyAlignment="1">
      <alignment horizontal="center"/>
    </xf>
    <xf numFmtId="165" fontId="76" fillId="0" borderId="13" xfId="3" applyFont="1" applyBorder="1" applyAlignment="1">
      <alignment horizontal="left"/>
    </xf>
    <xf numFmtId="2" fontId="31" fillId="0" borderId="84" xfId="3" applyNumberFormat="1" applyFont="1" applyBorder="1" applyAlignment="1">
      <alignment horizontal="center" vertical="center"/>
    </xf>
    <xf numFmtId="165" fontId="26" fillId="0" borderId="18" xfId="3" applyFont="1" applyBorder="1" applyAlignment="1">
      <alignment horizontal="center" vertical="center"/>
    </xf>
    <xf numFmtId="165" fontId="27" fillId="0" borderId="13" xfId="3" applyFont="1" applyBorder="1" applyAlignment="1">
      <alignment horizontal="center" vertical="center"/>
    </xf>
    <xf numFmtId="165" fontId="88" fillId="0" borderId="13" xfId="3" applyFont="1" applyBorder="1" applyAlignment="1">
      <alignment horizontal="left"/>
    </xf>
    <xf numFmtId="166" fontId="9" fillId="23" borderId="1" xfId="3" applyNumberFormat="1" applyFont="1" applyFill="1" applyBorder="1" applyAlignment="1">
      <alignment horizontal="center" vertical="center"/>
    </xf>
    <xf numFmtId="2" fontId="9" fillId="23" borderId="1" xfId="3" applyNumberFormat="1" applyFont="1" applyFill="1" applyBorder="1" applyAlignment="1">
      <alignment horizontal="center" vertical="center"/>
    </xf>
    <xf numFmtId="20" fontId="8" fillId="0" borderId="11" xfId="11" applyNumberFormat="1" applyFont="1" applyBorder="1" applyAlignment="1">
      <alignment horizontal="center"/>
    </xf>
    <xf numFmtId="14" fontId="9" fillId="4" borderId="1" xfId="3" applyNumberFormat="1" applyFont="1" applyFill="1" applyBorder="1" applyAlignment="1">
      <alignment horizontal="center" vertical="center" wrapText="1"/>
    </xf>
    <xf numFmtId="165" fontId="28" fillId="0" borderId="13" xfId="3" applyFont="1" applyBorder="1" applyAlignment="1">
      <alignment horizontal="center" vertical="center"/>
    </xf>
    <xf numFmtId="165" fontId="31" fillId="0" borderId="13" xfId="3" applyFont="1" applyBorder="1" applyAlignment="1">
      <alignment horizontal="left"/>
    </xf>
    <xf numFmtId="165" fontId="90" fillId="0" borderId="13" xfId="3" applyFont="1" applyBorder="1" applyAlignment="1">
      <alignment horizontal="center" vertical="center"/>
    </xf>
    <xf numFmtId="165" fontId="91" fillId="0" borderId="13" xfId="3" applyFont="1" applyBorder="1" applyAlignment="1">
      <alignment horizontal="center" vertical="center"/>
    </xf>
    <xf numFmtId="165" fontId="80" fillId="0" borderId="13" xfId="3" applyFont="1" applyBorder="1" applyAlignment="1">
      <alignment horizontal="center" vertical="center"/>
    </xf>
    <xf numFmtId="165" fontId="14" fillId="0" borderId="2" xfId="3" applyFont="1" applyBorder="1" applyAlignment="1">
      <alignment horizontal="center" wrapText="1"/>
    </xf>
    <xf numFmtId="165" fontId="14" fillId="0" borderId="3" xfId="3" applyFont="1" applyBorder="1" applyAlignment="1">
      <alignment horizontal="center" wrapText="1"/>
    </xf>
    <xf numFmtId="165" fontId="10" fillId="3" borderId="1" xfId="3" applyFont="1" applyFill="1" applyBorder="1" applyAlignment="1">
      <alignment horizontal="center"/>
    </xf>
    <xf numFmtId="165" fontId="11" fillId="0" borderId="0" xfId="3" applyFont="1" applyAlignment="1">
      <alignment horizontal="center"/>
    </xf>
    <xf numFmtId="165" fontId="9" fillId="0" borderId="14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0" xfId="3" applyFont="1" applyAlignment="1">
      <alignment horizontal="left"/>
    </xf>
    <xf numFmtId="165" fontId="9" fillId="0" borderId="5" xfId="3" applyFont="1" applyBorder="1" applyAlignment="1">
      <alignment horizontal="center" vertical="center" wrapText="1"/>
    </xf>
    <xf numFmtId="165" fontId="9" fillId="0" borderId="50" xfId="3" applyFont="1" applyBorder="1" applyAlignment="1">
      <alignment horizontal="center" vertical="center" wrapText="1"/>
    </xf>
    <xf numFmtId="165" fontId="9" fillId="0" borderId="6" xfId="3" applyFont="1" applyBorder="1" applyAlignment="1">
      <alignment horizontal="center" vertical="center" wrapText="1"/>
    </xf>
    <xf numFmtId="165" fontId="9" fillId="7" borderId="6" xfId="3" applyFont="1" applyFill="1" applyBorder="1" applyAlignment="1">
      <alignment horizontal="center" vertical="center" wrapText="1"/>
    </xf>
    <xf numFmtId="165" fontId="9" fillId="7" borderId="10" xfId="3" applyFont="1" applyFill="1" applyBorder="1" applyAlignment="1">
      <alignment horizontal="center" vertical="center" wrapText="1"/>
    </xf>
    <xf numFmtId="165" fontId="5" fillId="2" borderId="6" xfId="2" applyNumberFormat="1" applyBorder="1" applyAlignment="1">
      <alignment horizontal="center" vertical="center" wrapText="1"/>
    </xf>
    <xf numFmtId="165" fontId="5" fillId="2" borderId="10" xfId="2" applyNumberFormat="1" applyBorder="1" applyAlignment="1">
      <alignment horizontal="center" vertical="center" wrapText="1"/>
    </xf>
    <xf numFmtId="165" fontId="9" fillId="4" borderId="6" xfId="3" applyFont="1" applyFill="1" applyBorder="1" applyAlignment="1">
      <alignment horizontal="center" vertical="center" wrapText="1"/>
    </xf>
    <xf numFmtId="165" fontId="9" fillId="4" borderId="10" xfId="3" applyFont="1" applyFill="1" applyBorder="1" applyAlignment="1">
      <alignment horizontal="center" vertical="center" wrapText="1"/>
    </xf>
    <xf numFmtId="165" fontId="19" fillId="0" borderId="6" xfId="3" applyFont="1" applyBorder="1" applyAlignment="1">
      <alignment horizontal="center" vertical="center" wrapText="1"/>
    </xf>
    <xf numFmtId="165" fontId="19" fillId="0" borderId="10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9" fillId="0" borderId="83" xfId="3" applyFont="1" applyBorder="1" applyAlignment="1">
      <alignment horizontal="center" wrapText="1"/>
    </xf>
    <xf numFmtId="165" fontId="9" fillId="0" borderId="19" xfId="3" applyFont="1" applyBorder="1" applyAlignment="1">
      <alignment horizontal="center" wrapText="1"/>
    </xf>
    <xf numFmtId="165" fontId="91" fillId="0" borderId="66" xfId="3" applyFont="1" applyBorder="1" applyAlignment="1">
      <alignment horizontal="center" vertical="center"/>
    </xf>
    <xf numFmtId="165" fontId="91" fillId="0" borderId="27" xfId="3" applyFont="1" applyBorder="1" applyAlignment="1">
      <alignment horizontal="center" vertical="center"/>
    </xf>
    <xf numFmtId="165" fontId="91" fillId="0" borderId="34" xfId="3" applyFont="1" applyBorder="1" applyAlignment="1">
      <alignment horizontal="center" vertical="center"/>
    </xf>
    <xf numFmtId="166" fontId="8" fillId="0" borderId="0" xfId="3" applyNumberFormat="1" applyFont="1" applyAlignment="1">
      <alignment horizontal="center" vertical="center"/>
    </xf>
    <xf numFmtId="166" fontId="8" fillId="0" borderId="68" xfId="3" applyNumberFormat="1" applyFont="1" applyBorder="1" applyAlignment="1">
      <alignment horizontal="center" vertical="center"/>
    </xf>
    <xf numFmtId="166" fontId="8" fillId="0" borderId="74" xfId="3" applyNumberFormat="1" applyFont="1" applyBorder="1" applyAlignment="1">
      <alignment horizontal="center" vertical="center"/>
    </xf>
    <xf numFmtId="166" fontId="8" fillId="0" borderId="24" xfId="3" applyNumberFormat="1" applyFont="1" applyBorder="1" applyAlignment="1">
      <alignment horizontal="center" vertical="center"/>
    </xf>
    <xf numFmtId="166" fontId="8" fillId="0" borderId="29" xfId="3" applyNumberFormat="1" applyFont="1" applyBorder="1" applyAlignment="1">
      <alignment horizontal="center" vertical="center"/>
    </xf>
    <xf numFmtId="166" fontId="8" fillId="0" borderId="30" xfId="3" applyNumberFormat="1" applyFont="1" applyBorder="1" applyAlignment="1">
      <alignment horizontal="center" vertical="center"/>
    </xf>
    <xf numFmtId="166" fontId="8" fillId="0" borderId="28" xfId="3" applyNumberFormat="1" applyFont="1" applyBorder="1" applyAlignment="1">
      <alignment horizontal="center" vertical="center"/>
    </xf>
    <xf numFmtId="165" fontId="20" fillId="0" borderId="23" xfId="3" applyFont="1" applyBorder="1" applyAlignment="1">
      <alignment horizontal="center" vertical="center"/>
    </xf>
    <xf numFmtId="165" fontId="20" fillId="0" borderId="27" xfId="3" applyFont="1" applyBorder="1" applyAlignment="1">
      <alignment horizontal="center" vertical="center"/>
    </xf>
    <xf numFmtId="165" fontId="20" fillId="0" borderId="35" xfId="3" applyFont="1" applyBorder="1" applyAlignment="1">
      <alignment horizontal="center" vertical="center"/>
    </xf>
    <xf numFmtId="2" fontId="31" fillId="24" borderId="1" xfId="3" applyNumberFormat="1" applyFont="1" applyFill="1" applyBorder="1" applyAlignment="1">
      <alignment horizontal="center"/>
    </xf>
    <xf numFmtId="165" fontId="9" fillId="25" borderId="16" xfId="3" applyFont="1" applyFill="1" applyBorder="1" applyAlignment="1">
      <alignment horizontal="center"/>
    </xf>
    <xf numFmtId="165" fontId="9" fillId="25" borderId="19" xfId="3" applyFont="1" applyFill="1" applyBorder="1" applyAlignment="1">
      <alignment horizontal="center"/>
    </xf>
    <xf numFmtId="166" fontId="8" fillId="0" borderId="75" xfId="3" applyNumberFormat="1" applyFont="1" applyBorder="1" applyAlignment="1">
      <alignment horizontal="center" vertical="center"/>
    </xf>
    <xf numFmtId="166" fontId="8" fillId="0" borderId="63" xfId="3" applyNumberFormat="1" applyFont="1" applyBorder="1" applyAlignment="1">
      <alignment horizontal="center" vertical="center"/>
    </xf>
    <xf numFmtId="166" fontId="9" fillId="27" borderId="83" xfId="3" applyNumberFormat="1" applyFont="1" applyFill="1" applyBorder="1" applyAlignment="1">
      <alignment horizontal="center" vertical="center"/>
    </xf>
    <xf numFmtId="166" fontId="9" fillId="27" borderId="19" xfId="3" applyNumberFormat="1" applyFont="1" applyFill="1" applyBorder="1" applyAlignment="1">
      <alignment horizontal="center" vertical="center"/>
    </xf>
    <xf numFmtId="165" fontId="9" fillId="0" borderId="23" xfId="3" applyFont="1" applyBorder="1" applyAlignment="1">
      <alignment horizontal="center" vertical="center" wrapText="1"/>
    </xf>
    <xf numFmtId="165" fontId="9" fillId="0" borderId="27" xfId="3" applyFont="1" applyBorder="1" applyAlignment="1">
      <alignment horizontal="center" vertical="center" wrapText="1"/>
    </xf>
    <xf numFmtId="165" fontId="9" fillId="0" borderId="34" xfId="3" applyFont="1" applyBorder="1" applyAlignment="1">
      <alignment horizontal="center" vertical="center" wrapText="1"/>
    </xf>
    <xf numFmtId="168" fontId="9" fillId="0" borderId="78" xfId="3" applyNumberFormat="1" applyFont="1" applyBorder="1" applyAlignment="1">
      <alignment horizontal="center" vertical="center" wrapText="1"/>
    </xf>
    <xf numFmtId="168" fontId="9" fillId="0" borderId="79" xfId="3" applyNumberFormat="1" applyFont="1" applyBorder="1" applyAlignment="1">
      <alignment horizontal="center" vertical="center" wrapText="1"/>
    </xf>
    <xf numFmtId="165" fontId="9" fillId="0" borderId="39" xfId="3" applyFont="1" applyBorder="1" applyAlignment="1">
      <alignment horizontal="center" vertical="center" wrapText="1"/>
    </xf>
    <xf numFmtId="165" fontId="9" fillId="0" borderId="23" xfId="3" applyFont="1" applyBorder="1" applyAlignment="1">
      <alignment horizontal="center" vertical="center"/>
    </xf>
    <xf numFmtId="165" fontId="9" fillId="0" borderId="34" xfId="3" applyFont="1" applyBorder="1" applyAlignment="1">
      <alignment horizontal="center" vertical="center"/>
    </xf>
    <xf numFmtId="165" fontId="9" fillId="0" borderId="46" xfId="3" applyFont="1" applyBorder="1" applyAlignment="1">
      <alignment horizontal="center" vertical="center"/>
    </xf>
    <xf numFmtId="165" fontId="9" fillId="0" borderId="47" xfId="3" applyFont="1" applyBorder="1" applyAlignment="1">
      <alignment horizontal="center" vertical="center"/>
    </xf>
    <xf numFmtId="165" fontId="9" fillId="0" borderId="48" xfId="3" applyFont="1" applyBorder="1" applyAlignment="1">
      <alignment horizontal="center" vertical="center"/>
    </xf>
    <xf numFmtId="165" fontId="9" fillId="0" borderId="49" xfId="3" applyFont="1" applyBorder="1" applyAlignment="1">
      <alignment horizontal="center" vertical="center"/>
    </xf>
    <xf numFmtId="165" fontId="9" fillId="0" borderId="25" xfId="3" applyFont="1" applyBorder="1" applyAlignment="1">
      <alignment horizontal="center" vertical="center" wrapText="1"/>
    </xf>
    <xf numFmtId="165" fontId="9" fillId="0" borderId="75" xfId="3" applyFont="1" applyBorder="1" applyAlignment="1">
      <alignment horizontal="center" vertical="center" wrapText="1"/>
    </xf>
    <xf numFmtId="165" fontId="9" fillId="0" borderId="38" xfId="3" applyFont="1" applyBorder="1" applyAlignment="1">
      <alignment horizontal="center" vertical="center" wrapText="1"/>
    </xf>
    <xf numFmtId="165" fontId="9" fillId="0" borderId="8" xfId="3" applyFont="1" applyBorder="1" applyAlignment="1">
      <alignment horizontal="center" vertical="center" wrapText="1"/>
    </xf>
    <xf numFmtId="165" fontId="9" fillId="0" borderId="40" xfId="3" applyFont="1" applyBorder="1" applyAlignment="1">
      <alignment horizontal="center" vertical="center" wrapText="1"/>
    </xf>
    <xf numFmtId="165" fontId="9" fillId="0" borderId="7" xfId="3" applyFont="1" applyBorder="1" applyAlignment="1">
      <alignment horizontal="center" vertical="center" wrapText="1"/>
    </xf>
    <xf numFmtId="165" fontId="9" fillId="0" borderId="62" xfId="3" applyFont="1" applyBorder="1" applyAlignment="1">
      <alignment horizontal="center" vertical="center" wrapText="1"/>
    </xf>
    <xf numFmtId="165" fontId="9" fillId="0" borderId="26" xfId="3" applyFont="1" applyBorder="1" applyAlignment="1">
      <alignment horizontal="center" vertical="center" wrapText="1"/>
    </xf>
    <xf numFmtId="165" fontId="9" fillId="0" borderId="63" xfId="3" applyFont="1" applyBorder="1" applyAlignment="1">
      <alignment horizontal="center" vertical="center" wrapText="1"/>
    </xf>
    <xf numFmtId="166" fontId="9" fillId="7" borderId="75" xfId="3" applyNumberFormat="1" applyFont="1" applyFill="1" applyBorder="1" applyAlignment="1">
      <alignment horizontal="center" vertical="center"/>
    </xf>
    <xf numFmtId="166" fontId="9" fillId="7" borderId="63" xfId="3" applyNumberFormat="1" applyFont="1" applyFill="1" applyBorder="1" applyAlignment="1">
      <alignment horizontal="center" vertical="center"/>
    </xf>
    <xf numFmtId="165" fontId="26" fillId="0" borderId="66" xfId="3" applyFont="1" applyBorder="1" applyAlignment="1">
      <alignment horizontal="center" vertical="center"/>
    </xf>
    <xf numFmtId="165" fontId="26" fillId="0" borderId="27" xfId="3" applyFont="1" applyBorder="1" applyAlignment="1">
      <alignment horizontal="center" vertical="center"/>
    </xf>
    <xf numFmtId="165" fontId="26" fillId="0" borderId="35" xfId="3" applyFont="1" applyBorder="1" applyAlignment="1">
      <alignment horizontal="center" vertical="center"/>
    </xf>
    <xf numFmtId="166" fontId="8" fillId="0" borderId="25" xfId="3" applyNumberFormat="1" applyFont="1" applyBorder="1" applyAlignment="1">
      <alignment horizontal="center" vertical="center"/>
    </xf>
    <xf numFmtId="166" fontId="8" fillId="0" borderId="26" xfId="3" applyNumberFormat="1" applyFont="1" applyBorder="1" applyAlignment="1">
      <alignment horizontal="center" vertical="center"/>
    </xf>
    <xf numFmtId="2" fontId="31" fillId="24" borderId="74" xfId="3" applyNumberFormat="1" applyFont="1" applyFill="1" applyBorder="1" applyAlignment="1">
      <alignment horizontal="center"/>
    </xf>
    <xf numFmtId="166" fontId="8" fillId="0" borderId="37" xfId="3" applyNumberFormat="1" applyFont="1" applyBorder="1" applyAlignment="1">
      <alignment horizontal="center" vertical="center"/>
    </xf>
    <xf numFmtId="166" fontId="8" fillId="0" borderId="29" xfId="3" applyNumberFormat="1" applyFont="1" applyBorder="1" applyAlignment="1">
      <alignment horizontal="center"/>
    </xf>
    <xf numFmtId="166" fontId="8" fillId="0" borderId="30" xfId="3" applyNumberFormat="1" applyFont="1" applyBorder="1" applyAlignment="1">
      <alignment horizontal="center"/>
    </xf>
    <xf numFmtId="166" fontId="8" fillId="0" borderId="75" xfId="3" applyNumberFormat="1" applyFont="1" applyBorder="1" applyAlignment="1">
      <alignment horizontal="center"/>
    </xf>
    <xf numFmtId="166" fontId="8" fillId="0" borderId="63" xfId="3" applyNumberFormat="1" applyFont="1" applyBorder="1" applyAlignment="1">
      <alignment horizontal="center"/>
    </xf>
    <xf numFmtId="165" fontId="9" fillId="0" borderId="78" xfId="3" applyFont="1" applyBorder="1" applyAlignment="1">
      <alignment horizontal="center" vertical="center" wrapText="1"/>
    </xf>
    <xf numFmtId="165" fontId="9" fillId="0" borderId="42" xfId="3" applyFont="1" applyBorder="1" applyAlignment="1">
      <alignment horizontal="center" vertical="center" wrapText="1"/>
    </xf>
    <xf numFmtId="165" fontId="80" fillId="0" borderId="23" xfId="3" applyFont="1" applyBorder="1" applyAlignment="1">
      <alignment horizontal="center" vertical="center"/>
    </xf>
    <xf numFmtId="165" fontId="80" fillId="0" borderId="27" xfId="3" applyFont="1" applyBorder="1" applyAlignment="1">
      <alignment horizontal="center" vertical="center"/>
    </xf>
    <xf numFmtId="165" fontId="80" fillId="0" borderId="35" xfId="3" applyFont="1" applyBorder="1" applyAlignment="1">
      <alignment horizontal="center" vertical="center"/>
    </xf>
    <xf numFmtId="166" fontId="8" fillId="0" borderId="82" xfId="3" applyNumberFormat="1" applyFont="1" applyBorder="1" applyAlignment="1">
      <alignment horizontal="center"/>
    </xf>
    <xf numFmtId="166" fontId="8" fillId="0" borderId="74" xfId="3" applyNumberFormat="1" applyFont="1" applyBorder="1" applyAlignment="1">
      <alignment horizontal="center"/>
    </xf>
    <xf numFmtId="166" fontId="8" fillId="0" borderId="24" xfId="3" applyNumberFormat="1" applyFont="1" applyBorder="1" applyAlignment="1">
      <alignment horizontal="center"/>
    </xf>
    <xf numFmtId="166" fontId="8" fillId="0" borderId="0" xfId="3" applyNumberFormat="1" applyFont="1" applyAlignment="1">
      <alignment horizontal="center"/>
    </xf>
    <xf numFmtId="166" fontId="8" fillId="0" borderId="68" xfId="3" applyNumberFormat="1" applyFont="1" applyBorder="1" applyAlignment="1">
      <alignment horizontal="center"/>
    </xf>
    <xf numFmtId="165" fontId="10" fillId="3" borderId="1" xfId="0" applyFont="1" applyFill="1" applyBorder="1" applyAlignment="1">
      <alignment horizont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9" fillId="0" borderId="12" xfId="3" applyFont="1" applyBorder="1" applyAlignment="1">
      <alignment horizontal="center" vertical="center" wrapText="1"/>
    </xf>
    <xf numFmtId="165" fontId="13" fillId="4" borderId="0" xfId="3" applyFont="1" applyFill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65" fontId="80" fillId="0" borderId="34" xfId="3" applyFont="1" applyBorder="1" applyAlignment="1">
      <alignment horizontal="center" vertical="center"/>
    </xf>
    <xf numFmtId="165" fontId="20" fillId="0" borderId="2" xfId="3" applyFont="1" applyBorder="1" applyAlignment="1">
      <alignment horizontal="center" vertical="center"/>
    </xf>
    <xf numFmtId="165" fontId="20" fillId="0" borderId="66" xfId="3" applyFont="1" applyBorder="1" applyAlignment="1">
      <alignment horizontal="center" vertical="center"/>
    </xf>
    <xf numFmtId="165" fontId="20" fillId="0" borderId="34" xfId="3" applyFont="1" applyBorder="1" applyAlignment="1">
      <alignment horizontal="center" vertical="center"/>
    </xf>
    <xf numFmtId="165" fontId="13" fillId="0" borderId="23" xfId="3" applyFont="1" applyBorder="1" applyAlignment="1">
      <alignment horizontal="center" vertical="center"/>
    </xf>
    <xf numFmtId="165" fontId="13" fillId="0" borderId="27" xfId="3" applyFont="1" applyBorder="1" applyAlignment="1">
      <alignment horizontal="center" vertical="center"/>
    </xf>
    <xf numFmtId="165" fontId="13" fillId="0" borderId="35" xfId="3" applyFont="1" applyBorder="1" applyAlignment="1">
      <alignment horizontal="center" vertical="center"/>
    </xf>
    <xf numFmtId="165" fontId="87" fillId="0" borderId="23" xfId="3" applyFont="1" applyBorder="1" applyAlignment="1">
      <alignment horizontal="center" vertical="center"/>
    </xf>
    <xf numFmtId="165" fontId="87" fillId="0" borderId="27" xfId="3" applyFont="1" applyBorder="1" applyAlignment="1">
      <alignment horizontal="center" vertical="center"/>
    </xf>
    <xf numFmtId="166" fontId="8" fillId="4" borderId="25" xfId="3" applyNumberFormat="1" applyFont="1" applyFill="1" applyBorder="1" applyAlignment="1">
      <alignment horizontal="center" vertical="center"/>
    </xf>
    <xf numFmtId="166" fontId="8" fillId="4" borderId="26" xfId="3" applyNumberFormat="1" applyFont="1" applyFill="1" applyBorder="1" applyAlignment="1">
      <alignment horizontal="center" vertical="center"/>
    </xf>
    <xf numFmtId="166" fontId="8" fillId="4" borderId="28" xfId="3" applyNumberFormat="1" applyFont="1" applyFill="1" applyBorder="1" applyAlignment="1">
      <alignment horizontal="center" vertical="center"/>
    </xf>
    <xf numFmtId="166" fontId="8" fillId="4" borderId="24" xfId="3" applyNumberFormat="1" applyFont="1" applyFill="1" applyBorder="1" applyAlignment="1">
      <alignment horizontal="center" vertical="center"/>
    </xf>
    <xf numFmtId="165" fontId="27" fillId="0" borderId="66" xfId="3" applyFont="1" applyBorder="1" applyAlignment="1">
      <alignment horizontal="center" vertical="center"/>
    </xf>
    <xf numFmtId="165" fontId="27" fillId="0" borderId="27" xfId="3" applyFont="1" applyBorder="1" applyAlignment="1">
      <alignment horizontal="center" vertical="center"/>
    </xf>
    <xf numFmtId="165" fontId="27" fillId="0" borderId="34" xfId="3" applyFont="1" applyBorder="1" applyAlignment="1">
      <alignment horizontal="center" vertical="center"/>
    </xf>
    <xf numFmtId="166" fontId="9" fillId="24" borderId="0" xfId="3" applyNumberFormat="1" applyFont="1" applyFill="1" applyAlignment="1">
      <alignment horizontal="center" vertical="center"/>
    </xf>
    <xf numFmtId="166" fontId="9" fillId="24" borderId="68" xfId="3" applyNumberFormat="1" applyFont="1" applyFill="1" applyBorder="1" applyAlignment="1">
      <alignment horizontal="center" vertical="center"/>
    </xf>
    <xf numFmtId="166" fontId="9" fillId="24" borderId="74" xfId="3" applyNumberFormat="1" applyFont="1" applyFill="1" applyBorder="1" applyAlignment="1">
      <alignment horizontal="center" vertical="center"/>
    </xf>
    <xf numFmtId="166" fontId="9" fillId="24" borderId="24" xfId="3" applyNumberFormat="1" applyFont="1" applyFill="1" applyBorder="1" applyAlignment="1">
      <alignment horizontal="center" vertical="center"/>
    </xf>
    <xf numFmtId="165" fontId="28" fillId="0" borderId="23" xfId="3" applyFont="1" applyBorder="1" applyAlignment="1">
      <alignment horizontal="center" vertical="center"/>
    </xf>
    <xf numFmtId="165" fontId="28" fillId="0" borderId="27" xfId="3" applyFont="1" applyBorder="1" applyAlignment="1">
      <alignment horizontal="center" vertical="center"/>
    </xf>
    <xf numFmtId="165" fontId="28" fillId="0" borderId="35" xfId="3" applyFont="1" applyBorder="1" applyAlignment="1">
      <alignment horizontal="center" vertical="center"/>
    </xf>
    <xf numFmtId="165" fontId="79" fillId="0" borderId="66" xfId="3" applyFont="1" applyBorder="1" applyAlignment="1">
      <alignment horizontal="center" vertical="center"/>
    </xf>
    <xf numFmtId="165" fontId="79" fillId="0" borderId="27" xfId="3" applyFont="1" applyBorder="1" applyAlignment="1">
      <alignment horizontal="center" vertical="center"/>
    </xf>
    <xf numFmtId="165" fontId="79" fillId="0" borderId="34" xfId="3" applyFont="1" applyBorder="1" applyAlignment="1">
      <alignment horizontal="center" vertical="center"/>
    </xf>
    <xf numFmtId="166" fontId="9" fillId="0" borderId="0" xfId="3" applyNumberFormat="1" applyFont="1" applyAlignment="1">
      <alignment horizontal="center" vertical="center"/>
    </xf>
    <xf numFmtId="166" fontId="9" fillId="0" borderId="68" xfId="3" applyNumberFormat="1" applyFont="1" applyBorder="1" applyAlignment="1">
      <alignment horizontal="center" vertical="center"/>
    </xf>
    <xf numFmtId="166" fontId="9" fillId="0" borderId="74" xfId="3" applyNumberFormat="1" applyFont="1" applyBorder="1" applyAlignment="1">
      <alignment horizontal="center" vertical="center"/>
    </xf>
    <xf numFmtId="166" fontId="9" fillId="0" borderId="24" xfId="3" applyNumberFormat="1" applyFont="1" applyBorder="1" applyAlignment="1">
      <alignment horizontal="center" vertical="center"/>
    </xf>
    <xf numFmtId="165" fontId="80" fillId="0" borderId="66" xfId="3" applyFont="1" applyBorder="1" applyAlignment="1">
      <alignment horizontal="center" vertical="center"/>
    </xf>
    <xf numFmtId="165" fontId="7" fillId="0" borderId="53" xfId="3" applyBorder="1" applyAlignment="1">
      <alignment horizontal="center"/>
    </xf>
    <xf numFmtId="165" fontId="7" fillId="0" borderId="67" xfId="3" applyBorder="1" applyAlignment="1">
      <alignment horizontal="center"/>
    </xf>
    <xf numFmtId="15" fontId="40" fillId="0" borderId="44" xfId="3" applyNumberFormat="1" applyFont="1" applyBorder="1" applyAlignment="1">
      <alignment horizontal="center"/>
    </xf>
    <xf numFmtId="165" fontId="60" fillId="0" borderId="46" xfId="3" applyFont="1" applyBorder="1" applyAlignment="1">
      <alignment horizontal="center" vertical="center"/>
    </xf>
    <xf numFmtId="165" fontId="60" fillId="0" borderId="47" xfId="3" applyFont="1" applyBorder="1" applyAlignment="1">
      <alignment horizontal="center" vertical="center"/>
    </xf>
    <xf numFmtId="165" fontId="60" fillId="0" borderId="48" xfId="3" applyFont="1" applyBorder="1" applyAlignment="1">
      <alignment horizontal="center" vertical="center"/>
    </xf>
    <xf numFmtId="165" fontId="59" fillId="0" borderId="46" xfId="3" applyFont="1" applyBorder="1" applyAlignment="1">
      <alignment horizontal="center" vertical="center"/>
    </xf>
    <xf numFmtId="165" fontId="59" fillId="0" borderId="47" xfId="3" applyFont="1" applyBorder="1" applyAlignment="1">
      <alignment horizontal="center" vertical="center"/>
    </xf>
    <xf numFmtId="165" fontId="59" fillId="0" borderId="48" xfId="3" applyFont="1" applyBorder="1" applyAlignment="1">
      <alignment horizontal="center" vertical="center"/>
    </xf>
    <xf numFmtId="165" fontId="7" fillId="0" borderId="2" xfId="3" applyBorder="1" applyAlignment="1">
      <alignment horizontal="center"/>
    </xf>
    <xf numFmtId="165" fontId="7" fillId="0" borderId="65" xfId="3" applyBorder="1" applyAlignment="1">
      <alignment horizontal="center"/>
    </xf>
    <xf numFmtId="165" fontId="40" fillId="0" borderId="6" xfId="3" applyFont="1" applyBorder="1" applyAlignment="1">
      <alignment horizontal="center" vertical="center" wrapText="1"/>
    </xf>
    <xf numFmtId="165" fontId="40" fillId="0" borderId="39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7" xfId="3" applyFont="1" applyBorder="1" applyAlignment="1">
      <alignment horizontal="center" vertical="center" wrapText="1"/>
    </xf>
    <xf numFmtId="165" fontId="40" fillId="0" borderId="62" xfId="3" applyFont="1" applyBorder="1" applyAlignment="1">
      <alignment horizontal="center" vertical="center" wrapText="1"/>
    </xf>
    <xf numFmtId="165" fontId="40" fillId="0" borderId="4" xfId="3" applyFont="1" applyBorder="1" applyAlignment="1">
      <alignment horizontal="center" vertical="center" wrapText="1"/>
    </xf>
    <xf numFmtId="165" fontId="40" fillId="0" borderId="2" xfId="3" applyFont="1" applyBorder="1" applyAlignment="1">
      <alignment horizontal="center"/>
    </xf>
    <xf numFmtId="165" fontId="40" fillId="0" borderId="65" xfId="3" applyFont="1" applyBorder="1" applyAlignment="1">
      <alignment horizontal="center"/>
    </xf>
    <xf numFmtId="2" fontId="7" fillId="0" borderId="55" xfId="3" applyNumberFormat="1" applyBorder="1" applyAlignment="1">
      <alignment horizontal="center"/>
    </xf>
    <xf numFmtId="2" fontId="7" fillId="0" borderId="56" xfId="3" applyNumberFormat="1" applyBorder="1" applyAlignment="1">
      <alignment horizontal="center"/>
    </xf>
    <xf numFmtId="165" fontId="40" fillId="0" borderId="23" xfId="3" applyFont="1" applyBorder="1" applyAlignment="1">
      <alignment horizontal="center" vertical="center"/>
    </xf>
    <xf numFmtId="165" fontId="40" fillId="0" borderId="34" xfId="3" applyFont="1" applyBorder="1" applyAlignment="1">
      <alignment horizontal="center" vertical="center"/>
    </xf>
    <xf numFmtId="165" fontId="40" fillId="0" borderId="55" xfId="3" applyFont="1" applyBorder="1" applyAlignment="1">
      <alignment horizontal="center" vertical="center"/>
    </xf>
    <xf numFmtId="165" fontId="40" fillId="0" borderId="64" xfId="3" applyFont="1" applyBorder="1" applyAlignment="1">
      <alignment horizontal="center" vertical="center"/>
    </xf>
    <xf numFmtId="165" fontId="40" fillId="0" borderId="5" xfId="3" applyFont="1" applyBorder="1" applyAlignment="1">
      <alignment horizontal="center" vertical="center" wrapText="1"/>
    </xf>
    <xf numFmtId="165" fontId="40" fillId="0" borderId="38" xfId="3" applyFont="1" applyBorder="1" applyAlignment="1">
      <alignment horizontal="center" vertical="center" wrapText="1"/>
    </xf>
    <xf numFmtId="165" fontId="39" fillId="0" borderId="0" xfId="3" applyFont="1" applyAlignment="1">
      <alignment horizontal="center"/>
    </xf>
    <xf numFmtId="165" fontId="7" fillId="0" borderId="0" xfId="3" applyAlignment="1">
      <alignment horizontal="left"/>
    </xf>
    <xf numFmtId="165" fontId="40" fillId="0" borderId="50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1" fillId="0" borderId="6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0" fillId="0" borderId="35" xfId="3" applyFont="1" applyBorder="1" applyAlignment="1">
      <alignment horizontal="center" vertical="center"/>
    </xf>
    <xf numFmtId="165" fontId="63" fillId="4" borderId="0" xfId="0" applyFont="1" applyFill="1" applyAlignment="1">
      <alignment horizontal="center"/>
    </xf>
    <xf numFmtId="165" fontId="75" fillId="0" borderId="0" xfId="0" applyFont="1" applyAlignment="1">
      <alignment horizontal="center" vertical="top"/>
    </xf>
    <xf numFmtId="165" fontId="64" fillId="20" borderId="41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center" vertical="center"/>
    </xf>
    <xf numFmtId="165" fontId="72" fillId="0" borderId="0" xfId="0" applyFont="1" applyAlignment="1">
      <alignment horizontal="center" vertical="top"/>
    </xf>
    <xf numFmtId="165" fontId="64" fillId="20" borderId="4" xfId="0" applyFont="1" applyFill="1" applyBorder="1" applyAlignment="1">
      <alignment horizontal="center" vertical="center"/>
    </xf>
    <xf numFmtId="165" fontId="64" fillId="20" borderId="4" xfId="0" applyFont="1" applyFill="1" applyBorder="1" applyAlignment="1">
      <alignment horizontal="left" vertical="center"/>
    </xf>
    <xf numFmtId="165" fontId="73" fillId="20" borderId="4" xfId="0" applyFont="1" applyFill="1" applyBorder="1" applyAlignment="1">
      <alignment horizontal="right" vertical="center"/>
    </xf>
  </cellXfs>
  <cellStyles count="12">
    <cellStyle name="Comma" xfId="1" builtinId="3"/>
    <cellStyle name="Neutral" xfId="2" builtinId="28"/>
    <cellStyle name="Normal" xfId="0" builtinId="0"/>
    <cellStyle name="Normal 2" xfId="3" xr:uid="{C80A2C66-3E2C-4179-9159-DBCA8D9B0E56}"/>
    <cellStyle name="Normal 3" xfId="9" xr:uid="{CF2ABADC-5070-4BF5-85BE-C6735585C6D9}"/>
    <cellStyle name="Percent" xfId="11" builtinId="5"/>
    <cellStyle name="Percent 2" xfId="4" xr:uid="{CE2CDC16-AD31-4ED8-AE2A-FCD60A61219D}"/>
    <cellStyle name="Percent 3" xfId="5" xr:uid="{146671D8-AF93-4F7C-A417-29B4344625B7}"/>
    <cellStyle name="Percent 3 2" xfId="7" xr:uid="{D9E4557F-C4B0-46CD-A4D0-A5F6371463AD}"/>
    <cellStyle name="Percent 4" xfId="6" xr:uid="{4AD98EB2-9BB4-4842-A408-0E56A74ED11E}"/>
    <cellStyle name="Percent 4 2" xfId="8" xr:uid="{4E10984A-3ADE-4C2D-B6E7-76DD6D94E726}"/>
    <cellStyle name="Percent 4 3" xfId="10" xr:uid="{01053475-F444-4128-81F2-2F08DC4F4A0B}"/>
  </cellStyles>
  <dxfs count="404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8200"/>
      <color rgb="FF0000FF"/>
      <color rgb="FFCC3300"/>
      <color rgb="FFFF3300"/>
      <color rgb="FFFF0000"/>
      <color rgb="FFFF66FF"/>
      <color rgb="FFFF0066"/>
      <color rgb="FFFF9999"/>
      <color rgb="FFCC66FF"/>
      <color rgb="FFC288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7.xml"/><Relationship Id="rId47" Type="http://schemas.openxmlformats.org/officeDocument/2006/relationships/externalLink" Target="externalLinks/externalLink22.xml"/><Relationship Id="rId63" Type="http://schemas.openxmlformats.org/officeDocument/2006/relationships/externalLink" Target="externalLinks/externalLink38.xml"/><Relationship Id="rId68" Type="http://schemas.openxmlformats.org/officeDocument/2006/relationships/externalLink" Target="externalLinks/externalLink4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53" Type="http://schemas.openxmlformats.org/officeDocument/2006/relationships/externalLink" Target="externalLinks/externalLink28.xml"/><Relationship Id="rId58" Type="http://schemas.openxmlformats.org/officeDocument/2006/relationships/externalLink" Target="externalLinks/externalLink33.xml"/><Relationship Id="rId66" Type="http://schemas.openxmlformats.org/officeDocument/2006/relationships/externalLink" Target="externalLinks/externalLink41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18.xml"/><Relationship Id="rId48" Type="http://schemas.openxmlformats.org/officeDocument/2006/relationships/externalLink" Target="externalLinks/externalLink23.xml"/><Relationship Id="rId56" Type="http://schemas.openxmlformats.org/officeDocument/2006/relationships/externalLink" Target="externalLinks/externalLink31.xml"/><Relationship Id="rId64" Type="http://schemas.openxmlformats.org/officeDocument/2006/relationships/externalLink" Target="externalLinks/externalLink39.xml"/><Relationship Id="rId69" Type="http://schemas.openxmlformats.org/officeDocument/2006/relationships/externalLink" Target="externalLinks/externalLink4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6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Relationship Id="rId46" Type="http://schemas.openxmlformats.org/officeDocument/2006/relationships/externalLink" Target="externalLinks/externalLink21.xml"/><Relationship Id="rId59" Type="http://schemas.openxmlformats.org/officeDocument/2006/relationships/externalLink" Target="externalLinks/externalLink34.xml"/><Relationship Id="rId67" Type="http://schemas.openxmlformats.org/officeDocument/2006/relationships/externalLink" Target="externalLinks/externalLink42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54" Type="http://schemas.openxmlformats.org/officeDocument/2006/relationships/externalLink" Target="externalLinks/externalLink29.xml"/><Relationship Id="rId62" Type="http://schemas.openxmlformats.org/officeDocument/2006/relationships/externalLink" Target="externalLinks/externalLink37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49" Type="http://schemas.openxmlformats.org/officeDocument/2006/relationships/externalLink" Target="externalLinks/externalLink24.xml"/><Relationship Id="rId57" Type="http://schemas.openxmlformats.org/officeDocument/2006/relationships/externalLink" Target="externalLinks/externalLink3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6.xml"/><Relationship Id="rId44" Type="http://schemas.openxmlformats.org/officeDocument/2006/relationships/externalLink" Target="externalLinks/externalLink19.xml"/><Relationship Id="rId52" Type="http://schemas.openxmlformats.org/officeDocument/2006/relationships/externalLink" Target="externalLinks/externalLink27.xml"/><Relationship Id="rId60" Type="http://schemas.openxmlformats.org/officeDocument/2006/relationships/externalLink" Target="externalLinks/externalLink35.xml"/><Relationship Id="rId65" Type="http://schemas.openxmlformats.org/officeDocument/2006/relationships/externalLink" Target="externalLinks/externalLink40.xml"/><Relationship Id="rId73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9.xml"/><Relationship Id="rId50" Type="http://schemas.openxmlformats.org/officeDocument/2006/relationships/externalLink" Target="externalLinks/externalLink25.xml"/><Relationship Id="rId55" Type="http://schemas.openxmlformats.org/officeDocument/2006/relationships/externalLink" Target="externalLinks/externalLink30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'Brewer Performance'!$E$4</c:f>
              <c:strCache>
                <c:ptCount val="1"/>
                <c:pt idx="0">
                  <c:v>MTD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'Brewer Performance'!$C$5:$C$9</c:f>
              <c:strCache>
                <c:ptCount val="5"/>
                <c:pt idx="0">
                  <c:v>KEIRAN BENJAMIN</c:v>
                </c:pt>
                <c:pt idx="1">
                  <c:v>JOHNNY GREENIDGE</c:v>
                </c:pt>
                <c:pt idx="2">
                  <c:v>JAMES GRANT</c:v>
                </c:pt>
                <c:pt idx="3">
                  <c:v>RODNEY REGIS</c:v>
                </c:pt>
                <c:pt idx="4">
                  <c:v>DESEAN EMERY</c:v>
                </c:pt>
              </c:strCache>
            </c:strRef>
          </c:cat>
          <c:val>
            <c:numRef>
              <c:f>'Brewer Performance'!$E$5:$E$9</c:f>
              <c:numCache>
                <c:formatCode>0.00</c:formatCode>
                <c:ptCount val="5"/>
                <c:pt idx="0">
                  <c:v>98.214734207097663</c:v>
                </c:pt>
                <c:pt idx="1">
                  <c:v>97.831216272750581</c:v>
                </c:pt>
                <c:pt idx="2">
                  <c:v>100.82497251003979</c:v>
                </c:pt>
                <c:pt idx="3">
                  <c:v>97.759800403711807</c:v>
                </c:pt>
                <c:pt idx="4">
                  <c:v>98.186950219332687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2-4AB4-ABF6-AFB5CBFC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214208"/>
        <c:axId val="3732160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'Brewer Performance'!$G$4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'Brewer Performance'!$C$5:$C$9</c15:sqref>
                        </c15:formulaRef>
                      </c:ext>
                    </c:extLst>
                    <c:strCache>
                      <c:ptCount val="5"/>
                      <c:pt idx="0">
                        <c:v>KEIRAN BENJAMIN</c:v>
                      </c:pt>
                      <c:pt idx="1">
                        <c:v>JOHNNY GREENIDGE</c:v>
                      </c:pt>
                      <c:pt idx="2">
                        <c:v>JAMES GRANT</c:v>
                      </c:pt>
                      <c:pt idx="3">
                        <c:v>RODNEY REGIS</c:v>
                      </c:pt>
                      <c:pt idx="4">
                        <c:v>DESEAN EMERY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Performance'!$G$5:$G$9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98</c:v>
                      </c:pt>
                      <c:pt idx="1">
                        <c:v>98</c:v>
                      </c:pt>
                      <c:pt idx="2">
                        <c:v>98</c:v>
                      </c:pt>
                      <c:pt idx="3">
                        <c:v>98</c:v>
                      </c:pt>
                      <c:pt idx="4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12-4AB4-ABF6-AFB5CBFC33A6}"/>
                  </c:ext>
                </c:extLst>
              </c15:ser>
            </c15:filteredBarSeries>
          </c:ext>
        </c:extLst>
      </c:barChart>
      <c:catAx>
        <c:axId val="3732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6000"/>
        <c:crosses val="autoZero"/>
        <c:auto val="1"/>
        <c:lblAlgn val="ctr"/>
        <c:lblOffset val="100"/>
        <c:noMultiLvlLbl val="0"/>
      </c:catAx>
      <c:valAx>
        <c:axId val="373216000"/>
        <c:scaling>
          <c:orientation val="minMax"/>
          <c:max val="100"/>
          <c:min val="9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'Brewer Performance'!$C$40</c:f>
              <c:strCache>
                <c:ptCount val="1"/>
                <c:pt idx="0">
                  <c:v>KEIRAN BENJAMIN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Performance'!$D$40:$O$40</c:f>
              <c:numCache>
                <c:formatCode>0.00</c:formatCode>
                <c:ptCount val="12"/>
                <c:pt idx="0">
                  <c:v>96.507822129582451</c:v>
                </c:pt>
                <c:pt idx="1">
                  <c:v>98.284801217583563</c:v>
                </c:pt>
                <c:pt idx="2">
                  <c:v>98.226686244092193</c:v>
                </c:pt>
                <c:pt idx="3">
                  <c:v>98.210530202427222</c:v>
                </c:pt>
                <c:pt idx="4">
                  <c:v>98.517352497406634</c:v>
                </c:pt>
                <c:pt idx="5">
                  <c:v>98.214734207097663</c:v>
                </c:pt>
                <c:pt idx="6">
                  <c:v>98.198803831827249</c:v>
                </c:pt>
                <c:pt idx="7">
                  <c:v>97.486490472733735</c:v>
                </c:pt>
                <c:pt idx="8">
                  <c:v>97.932459358923822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4-4B61-A360-434F4872A4EA}"/>
            </c:ext>
          </c:extLst>
        </c:ser>
        <c:ser>
          <c:idx val="1"/>
          <c:order val="1"/>
          <c:tx>
            <c:strRef>
              <c:f>'Brewer Performance'!$C$41</c:f>
              <c:strCache>
                <c:ptCount val="1"/>
                <c:pt idx="0">
                  <c:v>JOHNNY GREENIDGE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Performance'!$D$41:$O$41</c:f>
              <c:numCache>
                <c:formatCode>0.00</c:formatCode>
                <c:ptCount val="12"/>
                <c:pt idx="0">
                  <c:v>97.99738587335284</c:v>
                </c:pt>
                <c:pt idx="1">
                  <c:v>97.918121549662388</c:v>
                </c:pt>
                <c:pt idx="2">
                  <c:v>98.070081368185257</c:v>
                </c:pt>
                <c:pt idx="3">
                  <c:v>97.79453968977019</c:v>
                </c:pt>
                <c:pt idx="4">
                  <c:v>98.442574874312371</c:v>
                </c:pt>
                <c:pt idx="5">
                  <c:v>97.831216272750581</c:v>
                </c:pt>
                <c:pt idx="6">
                  <c:v>98.459260197488078</c:v>
                </c:pt>
                <c:pt idx="7">
                  <c:v>98.711428992063503</c:v>
                </c:pt>
                <c:pt idx="8">
                  <c:v>97.854862054451985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4-4B61-A360-434F4872A4EA}"/>
            </c:ext>
          </c:extLst>
        </c:ser>
        <c:ser>
          <c:idx val="2"/>
          <c:order val="2"/>
          <c:tx>
            <c:strRef>
              <c:f>'Brewer Performance'!$C$42</c:f>
              <c:strCache>
                <c:ptCount val="1"/>
                <c:pt idx="0">
                  <c:v>JAMES GRANT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Performance'!$D$42:$O$42</c:f>
              <c:numCache>
                <c:formatCode>0.00</c:formatCode>
                <c:ptCount val="12"/>
                <c:pt idx="3">
                  <c:v>98.305001734453086</c:v>
                </c:pt>
                <c:pt idx="5">
                  <c:v>100.82497251003979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4-4B61-A360-434F4872A4EA}"/>
            </c:ext>
          </c:extLst>
        </c:ser>
        <c:ser>
          <c:idx val="3"/>
          <c:order val="3"/>
          <c:tx>
            <c:strRef>
              <c:f>'Brewer Performance'!$C$44</c:f>
              <c:strCache>
                <c:ptCount val="1"/>
                <c:pt idx="0">
                  <c:v>RODNEY REGIS</c:v>
                </c:pt>
              </c:strCache>
              <c:extLst xmlns:c15="http://schemas.microsoft.com/office/drawing/2012/chart"/>
            </c:strRef>
          </c:tx>
          <c:marker>
            <c:spPr>
              <a:solidFill>
                <a:srgbClr val="7030A0"/>
              </a:solidFill>
            </c:spPr>
          </c:marker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Performance'!$D$44:$O$44</c:f>
              <c:numCache>
                <c:formatCode>0.00</c:formatCode>
                <c:ptCount val="12"/>
                <c:pt idx="0">
                  <c:v>98.304611060419475</c:v>
                </c:pt>
                <c:pt idx="1">
                  <c:v>97.289162940824014</c:v>
                </c:pt>
                <c:pt idx="2">
                  <c:v>98.163642226187022</c:v>
                </c:pt>
                <c:pt idx="3">
                  <c:v>97.964054285784258</c:v>
                </c:pt>
                <c:pt idx="4">
                  <c:v>98.685415156420575</c:v>
                </c:pt>
                <c:pt idx="5">
                  <c:v>97.759800403711807</c:v>
                </c:pt>
                <c:pt idx="6">
                  <c:v>98.532266745142223</c:v>
                </c:pt>
                <c:pt idx="7">
                  <c:v>98.484140672420295</c:v>
                </c:pt>
                <c:pt idx="8">
                  <c:v>97.916815501712691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EC4-4B61-A360-434F4872A4EA}"/>
            </c:ext>
          </c:extLst>
        </c:ser>
        <c:ser>
          <c:idx val="4"/>
          <c:order val="4"/>
          <c:tx>
            <c:strRef>
              <c:f>'Brewer Performance'!$C$45</c:f>
              <c:strCache>
                <c:ptCount val="1"/>
                <c:pt idx="0">
                  <c:v>DESEAN EMERY</c:v>
                </c:pt>
              </c:strCache>
              <c:extLst xmlns:c15="http://schemas.microsoft.com/office/drawing/2012/chart"/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Performance'!$D$45:$O$45</c:f>
              <c:numCache>
                <c:formatCode>0.00</c:formatCode>
                <c:ptCount val="12"/>
                <c:pt idx="0">
                  <c:v>98.673584433402866</c:v>
                </c:pt>
                <c:pt idx="5">
                  <c:v>98.186950219332687</c:v>
                </c:pt>
                <c:pt idx="6">
                  <c:v>97.888270164748889</c:v>
                </c:pt>
                <c:pt idx="7">
                  <c:v>97.609604379501235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EC4-4B61-A360-434F487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286016"/>
        <c:axId val="373287552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C4-4B61-A360-434F4872A4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rgbClr val="FFFF99"/>
                    </a:solidFill>
                    <a:ln>
                      <a:solidFill>
                        <a:srgbClr val="FFFF00"/>
                      </a:solidFill>
                    </a:ln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C4-4B61-A360-434F4872A4E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C4-4B61-A360-434F4872A4E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C4-4B61-A360-434F4872A4EA}"/>
                  </c:ext>
                </c:extLst>
              </c15:ser>
            </c15:filteredLineSeries>
          </c:ext>
        </c:extLst>
      </c:lineChart>
      <c:catAx>
        <c:axId val="373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373287552"/>
        <c:crosses val="autoZero"/>
        <c:auto val="1"/>
        <c:lblAlgn val="ctr"/>
        <c:lblOffset val="100"/>
        <c:noMultiLvlLbl val="0"/>
      </c:catAx>
      <c:valAx>
        <c:axId val="373287552"/>
        <c:scaling>
          <c:orientation val="minMax"/>
          <c:max val="100"/>
          <c:min val="9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 b="1"/>
            </a:pPr>
            <a:endParaRPr lang="en-US"/>
          </a:p>
        </c:txPr>
        <c:crossAx val="373286016"/>
        <c:crosses val="autoZero"/>
        <c:crossBetween val="between"/>
      </c:valAx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overlay val="0"/>
      <c:txPr>
        <a:bodyPr/>
        <a:lstStyle/>
        <a:p>
          <a:pPr>
            <a:defRPr sz="1400" b="1" i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352283</xdr:colOff>
      <xdr:row>14</xdr:row>
      <xdr:rowOff>16246</xdr:rowOff>
    </xdr:from>
    <xdr:to>
      <xdr:col>8</xdr:col>
      <xdr:colOff>27873</xdr:colOff>
      <xdr:row>33</xdr:row>
      <xdr:rowOff>106174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1162C-1400-4B7D-927D-16D885EB3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251011</xdr:colOff>
      <xdr:row>48</xdr:row>
      <xdr:rowOff>79841</xdr:rowOff>
    </xdr:from>
    <xdr:to>
      <xdr:col>15</xdr:col>
      <xdr:colOff>679636</xdr:colOff>
      <xdr:row>75</xdr:row>
      <xdr:rowOff>36979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D5D15-1D00-488B-99AD-7941550F4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May'18%20Daily%20Proces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January'20%20Daily%20Process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StagLog2026.xls" TargetMode="External"/><Relationship Id="rId2" Type="http://schemas.openxmlformats.org/officeDocument/2006/relationships/externalLinkPath" Target="file:///F:\Operations\Brewing\Logbooks\Logbooks%202026\NewStagLog2026.xls" TargetMode="External"/><Relationship Id="rId1" Type="http://schemas.openxmlformats.org/officeDocument/2006/relationships/externalLinkPath" Target="/Operations/Brewing/Logbooks/Logbooks%202026/NewStagLog2026.xls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CaribLog2026.xlsx" TargetMode="External"/><Relationship Id="rId2" Type="http://schemas.openxmlformats.org/officeDocument/2006/relationships/externalLinkPath" Target="file:///F:\Operations\Brewing\Logbooks\Logbooks%202026\NewCaribLog2026.xlsx" TargetMode="External"/><Relationship Id="rId1" Type="http://schemas.openxmlformats.org/officeDocument/2006/relationships/externalLinkPath" Target="/Operations/Brewing/Logbooks/Logbooks%202026/NewCaribLog2026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GuinnLog2026.xls" TargetMode="External"/><Relationship Id="rId2" Type="http://schemas.openxmlformats.org/officeDocument/2006/relationships/externalLinkPath" Target="file:///F:\Operations\Brewing\Logbooks\Logbooks%202026\NewGuinnLog2026.xls" TargetMode="External"/><Relationship Id="rId1" Type="http://schemas.openxmlformats.org/officeDocument/2006/relationships/externalLinkPath" Target="/Operations/Brewing/Logbooks/Logbooks%202026/NewGuinnLog2026.xls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VMaltLog2026.xls" TargetMode="External"/><Relationship Id="rId2" Type="http://schemas.openxmlformats.org/officeDocument/2006/relationships/externalLinkPath" Target="file:///F:\Operations\Brewing\Logbooks\Logbooks%202026\NewVMaltLog2026.xls" TargetMode="External"/><Relationship Id="rId1" Type="http://schemas.openxmlformats.org/officeDocument/2006/relationships/externalLinkPath" Target="/Operations/Brewing/Logbooks/Logbooks%202026/NewVMaltLog2026.xls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MackLog2026.xls" TargetMode="External"/><Relationship Id="rId2" Type="http://schemas.openxmlformats.org/officeDocument/2006/relationships/externalLinkPath" Target="file:///F:\Operations\Brewing\Logbooks\Logbooks%202026\NewMackLog2026.xls" TargetMode="External"/><Relationship Id="rId1" Type="http://schemas.openxmlformats.org/officeDocument/2006/relationships/externalLinkPath" Target="/Operations/Brewing/Logbooks/Logbooks%202026/NewMackLog2026.xls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SMaltLog2026.xls" TargetMode="External"/><Relationship Id="rId2" Type="http://schemas.openxmlformats.org/officeDocument/2006/relationships/externalLinkPath" Target="file:///F:\Operations\Brewing\Logbooks\Logbooks%202026\NewSMaltLog2026.xls" TargetMode="External"/><Relationship Id="rId1" Type="http://schemas.openxmlformats.org/officeDocument/2006/relationships/externalLinkPath" Target="/Operations/Brewing/Logbooks/Logbooks%202026/NewSMaltLog2026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January%20'26%20Daily%20Process%20Report%202026.xlsx" TargetMode="External"/><Relationship Id="rId1" Type="http://schemas.openxmlformats.org/officeDocument/2006/relationships/externalLinkPath" Target="January%20'26%20Daily%20Process%20Report%202026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February%20'26%20Daily%20Process%20Report%202026.xlsx" TargetMode="External"/><Relationship Id="rId1" Type="http://schemas.openxmlformats.org/officeDocument/2006/relationships/externalLinkPath" Target="February%20'26%20Daily%20Process%20Report%202026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March'26%20Daily%20Process%20Report%202026.xlsx" TargetMode="External"/><Relationship Id="rId1" Type="http://schemas.openxmlformats.org/officeDocument/2006/relationships/externalLinkPath" Target="March'26%20Daily%20Process%20Report%202026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April%20'26%20Daily%20Process%20Report%202026.xlsx" TargetMode="External"/><Relationship Id="rId1" Type="http://schemas.openxmlformats.org/officeDocument/2006/relationships/externalLinkPath" Target="April%20'26%20Daily%20Process%20Report%202026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May'26%20Daily%20Process%20Report%202026.xlsx" TargetMode="External"/><Relationship Id="rId1" Type="http://schemas.openxmlformats.org/officeDocument/2006/relationships/externalLinkPath" Target="May'26%20Daily%20Process%20Report%202026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June'26%20Daily%20Process%20Report%202026.xlsx" TargetMode="External"/><Relationship Id="rId1" Type="http://schemas.openxmlformats.org/officeDocument/2006/relationships/externalLinkPath" Target="June'26%20Daily%20Process%20Report%202026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July'26%20Daily%20Process%20Report%202026.xlsx" TargetMode="External"/><Relationship Id="rId1" Type="http://schemas.openxmlformats.org/officeDocument/2006/relationships/externalLinkPath" Target="July'26%20Daily%20Process%20Report%202026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oyd/Brewing/Filtration_Throughput/Filtration_Throughput_2019.xlsx" TargetMode="External"/><Relationship Id="rId1" Type="http://schemas.openxmlformats.org/officeDocument/2006/relationships/externalLinkPath" Target="/Operations/Royd/Brewing/Filtration_Throughput/Filtration_Throughput_2019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CaribLog2022.xlsx" TargetMode="External"/><Relationship Id="rId2" Type="http://schemas.openxmlformats.org/officeDocument/2006/relationships/externalLinkPath" Target="file:///F:\Operations\Brewing\Logbooks\Logbooks%202022\NewCaribLog2022.xlsx" TargetMode="External"/><Relationship Id="rId1" Type="http://schemas.openxmlformats.org/officeDocument/2006/relationships/externalLinkPath" Target="/Operations/Brewing/Logbooks/Logbooks%202022/NewCaribLog2022.xlsx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StagLog2022.xls" TargetMode="External"/><Relationship Id="rId2" Type="http://schemas.openxmlformats.org/officeDocument/2006/relationships/externalLinkPath" Target="file:///F:\Operations\Brewing\Logbooks\Logbooks%202022\NewStagLog2022.xls" TargetMode="External"/><Relationship Id="rId1" Type="http://schemas.openxmlformats.org/officeDocument/2006/relationships/externalLinkPath" Target="/Operations/Brewing/Logbooks/Logbooks%202022/NewStagLog2022.xls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GuinnLog2022.xls" TargetMode="External"/><Relationship Id="rId2" Type="http://schemas.openxmlformats.org/officeDocument/2006/relationships/externalLinkPath" Target="file:///F:\Operations\Brewing\Logbooks\Logbooks%202022\NewGuinnLog2022.xls" TargetMode="External"/><Relationship Id="rId1" Type="http://schemas.openxmlformats.org/officeDocument/2006/relationships/externalLinkPath" Target="/Operations/Brewing/Logbooks/Logbooks%202022/NewGuinnLog2022.xls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VMaltLog2022.xls" TargetMode="External"/><Relationship Id="rId2" Type="http://schemas.openxmlformats.org/officeDocument/2006/relationships/externalLinkPath" Target="file:///F:\Operations\Brewing\Logbooks\Logbooks%202022\NewVMaltLog2022.xls" TargetMode="External"/><Relationship Id="rId1" Type="http://schemas.openxmlformats.org/officeDocument/2006/relationships/externalLinkPath" Target="/Operations/Brewing/Logbooks/Logbooks%202022/NewVMaltLog2022.xls" TargetMode="External"/></Relationships>
</file>

<file path=xl/externalLinks/_rels/externalLink2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MackLog2022.xls" TargetMode="External"/><Relationship Id="rId2" Type="http://schemas.openxmlformats.org/officeDocument/2006/relationships/externalLinkPath" Target="file:///F:\Operations\Brewing\Logbooks\Logbooks%202022\NewMackLog2022.xls" TargetMode="External"/><Relationship Id="rId1" Type="http://schemas.openxmlformats.org/officeDocument/2006/relationships/externalLinkPath" Target="/Operations/Brewing/Logbooks/Logbooks%202022/NewMackLog2022.xls" TargetMode="External"/></Relationships>
</file>

<file path=xl/externalLinks/_rels/externalLink2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SMaltLog2022.xls" TargetMode="External"/><Relationship Id="rId2" Type="http://schemas.openxmlformats.org/officeDocument/2006/relationships/externalLinkPath" Target="file:///F:\Operations\Brewing\Logbooks\Logbooks%202022\NewSMaltLog2022.xls" TargetMode="External"/><Relationship Id="rId1" Type="http://schemas.openxmlformats.org/officeDocument/2006/relationships/externalLinkPath" Target="/Operations/Brewing/Logbooks/Logbooks%202022/NewSMaltLog2022.xls" TargetMode="External"/></Relationships>
</file>

<file path=xl/externalLinks/_rels/externalLink2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HRLog2022.xls" TargetMode="External"/><Relationship Id="rId2" Type="http://schemas.openxmlformats.org/officeDocument/2006/relationships/externalLinkPath" Target="file:///F:\Operations\Brewing\Logbooks\Logbooks%202022\NewHRLog2022.xls" TargetMode="External"/><Relationship Id="rId1" Type="http://schemas.openxmlformats.org/officeDocument/2006/relationships/externalLinkPath" Target="/Operations/Brewing/Logbooks/Logbooks%202022/NewHRLog2022.xls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anuar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an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anuary%20'23%20Daily%20Process%20Report%202023.xlsx" TargetMode="External"/></Relationships>
</file>

<file path=xl/externalLinks/_rels/externalLink25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Februar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Febr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February%20'23%20Daily%20Process%20Report%202023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3%20Daily%20Process%20Report/March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March%20'23%20Daily%20Process%20Report%202023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3%20Daily%20Process%20Report/April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pril%20'23%20Daily%20Process%20Report%202023.xlsx" TargetMode="External"/></Relationships>
</file>

<file path=xl/externalLinks/_rels/externalLink28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une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une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ne%20'23%20Daily%20Process%20Report%202023.xlsx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ul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ul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ly%20'23%20Daily%20Process%20Report%202023.xlsx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August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August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ugust%20'23%20Daily%20Process%20Report%202023.xlsx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October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October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October%20'23%20Daily%20Process%20Report%202023.xlsx" TargetMode="External"/></Relationships>
</file>

<file path=xl/externalLinks/_rels/externalLink3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Daily_Brewhouse_Efficiency/Daily_Brewhouse_Efficiency_2023.xls" TargetMode="External"/><Relationship Id="rId2" Type="http://schemas.openxmlformats.org/officeDocument/2006/relationships/externalLinkPath" Target="file:///F:\Operations\Reshelle\Brewing\Daily_Brewhouse_Efficiency\Daily_Brewhouse_Efficiency_2023.xls" TargetMode="External"/><Relationship Id="rId1" Type="http://schemas.openxmlformats.org/officeDocument/2006/relationships/externalLinkPath" Target="/Operations/Reshelle/Brewing/Daily_Brewhouse_Efficiency/Daily_Brewhouse_Efficiency_2023.xls" TargetMode="External"/></Relationships>
</file>

<file path=xl/externalLinks/_rels/externalLink3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Filtration_Throughput/Filtration_Throughput_2023.xlsx" TargetMode="External"/><Relationship Id="rId2" Type="http://schemas.openxmlformats.org/officeDocument/2006/relationships/externalLinkPath" Target="file:///F:\Operations\Reshelle\Brewing\Filtration_Throughput\Filtration_Throughput_2023.xlsx" TargetMode="External"/><Relationship Id="rId1" Type="http://schemas.openxmlformats.org/officeDocument/2006/relationships/externalLinkPath" Target="/Operations/Reshelle/Brewing/Filtration_Throughput/Filtration_Throughput_2023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oyd/Brewing/Daily_Brewhouse_Efficiency/Daily_Brewhouse_Efficiency_2022.xls" TargetMode="External"/><Relationship Id="rId1" Type="http://schemas.openxmlformats.org/officeDocument/2006/relationships/externalLinkPath" Target="/Operations/Royd/Brewing/Daily_Brewhouse_Efficiency/Daily_Brewhouse_Efficiency_2022.xls" TargetMode="External"/></Relationships>
</file>

<file path=xl/externalLinks/_rels/externalLink3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Daily_Brewhouse_Efficiency/Daily_Brewhouse_Efficiency_2026.xls" TargetMode="External"/><Relationship Id="rId2" Type="http://schemas.openxmlformats.org/officeDocument/2006/relationships/externalLinkPath" Target="file:///F:\Operations\Reshelle\Brewing\Daily_Brewhouse_Efficiency\Daily_Brewhouse_Efficiency_2026.xls" TargetMode="External"/><Relationship Id="rId1" Type="http://schemas.openxmlformats.org/officeDocument/2006/relationships/externalLinkPath" Target="/Operations/Reshelle/Brewing/Daily_Brewhouse_Efficiency/Daily_Brewhouse_Efficiency_2026.xls" TargetMode="External"/></Relationships>
</file>

<file path=xl/externalLinks/_rels/externalLink3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Filtration_Throughput/Filtration_Throughput_2026.xlsx" TargetMode="External"/><Relationship Id="rId2" Type="http://schemas.openxmlformats.org/officeDocument/2006/relationships/externalLinkPath" Target="file:///F:\Operations\Reshelle\Brewing\Filtration_Throughput\Filtration_Throughput_2026.xlsx" TargetMode="External"/><Relationship Id="rId1" Type="http://schemas.openxmlformats.org/officeDocument/2006/relationships/externalLinkPath" Target="/Operations/Reshelle/Brewing/Filtration_Throughput/Filtration_Throughput_2026.xlsx" TargetMode="External"/></Relationships>
</file>

<file path=xl/externalLinks/_rels/externalLink3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osses%202026/August_2026.xls" TargetMode="External"/><Relationship Id="rId2" Type="http://schemas.openxmlformats.org/officeDocument/2006/relationships/externalLinkPath" Target="file:///F:\Operations\Brewing\Reports%20Local\Losses%202026\August_2026.xls" TargetMode="External"/><Relationship Id="rId1" Type="http://schemas.openxmlformats.org/officeDocument/2006/relationships/externalLinkPath" Target="/Operations/Brewing/Reports%20Local/Losses%202026/August_2026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CaribLog2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StagLog2.xls" TargetMode="External"/></Relationships>
</file>

<file path=xl/externalLinks/_rels/externalLink4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NewVMaltLog.xls" TargetMode="External"/><Relationship Id="rId2" Type="http://schemas.openxmlformats.org/officeDocument/2006/relationships/externalLinkPath" Target="file:///F:\Operations\Brewing\Logbooks\NewVMaltLog.xls" TargetMode="External"/><Relationship Id="rId1" Type="http://schemas.openxmlformats.org/officeDocument/2006/relationships/externalLinkPath" Target="/Operations/Brewing/Logbooks/NewVMaltLog.xls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Logbooks/NewMMaltLog.xls" TargetMode="External"/><Relationship Id="rId1" Type="http://schemas.openxmlformats.org/officeDocument/2006/relationships/externalLinkPath" Target="/Operations/Brewing/Logbooks/NewMMaltLog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2%20Daily%20Process%20Report/Januar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January%20'22%20Daily%20Process%20Report%202022.xlsx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2%20Daily%20Process%20Report/Februar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February%20'22%20Daily%20Process%20Report%202022.xlsx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2%20Daily%20Process%20Report/Ma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May%20'22%20Daily%20Process%20Repor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MTD_Links"/>
      <sheetName val="YTD_Link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0">
          <cell r="I10">
            <v>99.750932208295694</v>
          </cell>
        </row>
      </sheetData>
      <sheetData sheetId="137">
        <row r="10">
          <cell r="I10">
            <v>92.554657395524345</v>
          </cell>
        </row>
      </sheetData>
      <sheetData sheetId="138">
        <row r="10">
          <cell r="I10">
            <v>93.061018396064128</v>
          </cell>
        </row>
      </sheetData>
      <sheetData sheetId="139">
        <row r="10">
          <cell r="I10">
            <v>94.662435717962396</v>
          </cell>
        </row>
      </sheetData>
      <sheetData sheetId="140">
        <row r="10">
          <cell r="I10">
            <v>92.045957227088977</v>
          </cell>
        </row>
      </sheetData>
      <sheetData sheetId="141">
        <row r="10">
          <cell r="I10">
            <v>91.890983117060841</v>
          </cell>
        </row>
      </sheetData>
      <sheetData sheetId="142">
        <row r="10">
          <cell r="I10">
            <v>91.025110697731037</v>
          </cell>
        </row>
      </sheetData>
      <sheetData sheetId="143"/>
      <sheetData sheetId="144">
        <row r="10">
          <cell r="I10">
            <v>90.366953732682646</v>
          </cell>
        </row>
      </sheetData>
      <sheetData sheetId="145">
        <row r="10">
          <cell r="I10">
            <v>97.702971903640275</v>
          </cell>
        </row>
      </sheetData>
      <sheetData sheetId="146">
        <row r="10">
          <cell r="I10">
            <v>99.810032745121021</v>
          </cell>
        </row>
      </sheetData>
      <sheetData sheetId="147">
        <row r="10">
          <cell r="I10">
            <v>94.627590963754557</v>
          </cell>
        </row>
      </sheetData>
      <sheetData sheetId="148">
        <row r="10">
          <cell r="I10">
            <v>94.899173579696182</v>
          </cell>
        </row>
      </sheetData>
      <sheetData sheetId="149"/>
      <sheetData sheetId="150">
        <row r="10">
          <cell r="I10">
            <v>96.082518252933426</v>
          </cell>
        </row>
      </sheetData>
      <sheetData sheetId="151">
        <row r="10">
          <cell r="I10">
            <v>93.775699444109193</v>
          </cell>
        </row>
      </sheetData>
      <sheetData sheetId="152">
        <row r="11">
          <cell r="I11">
            <v>96.926141806735757</v>
          </cell>
        </row>
      </sheetData>
      <sheetData sheetId="153"/>
      <sheetData sheetId="154">
        <row r="10">
          <cell r="I10">
            <v>94.523973772447604</v>
          </cell>
        </row>
      </sheetData>
      <sheetData sheetId="155">
        <row r="10">
          <cell r="I10">
            <v>94.570474921386278</v>
          </cell>
        </row>
      </sheetData>
      <sheetData sheetId="156">
        <row r="10">
          <cell r="I10">
            <v>93.068442573487985</v>
          </cell>
        </row>
      </sheetData>
      <sheetData sheetId="157"/>
      <sheetData sheetId="158">
        <row r="10">
          <cell r="I10">
            <v>93.966969001465571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0">
          <cell r="I10">
            <v>94.746744496090514</v>
          </cell>
        </row>
      </sheetData>
      <sheetData sheetId="181">
        <row r="10">
          <cell r="I10">
            <v>81.610633396186259</v>
          </cell>
        </row>
      </sheetData>
      <sheetData sheetId="182">
        <row r="10">
          <cell r="I10">
            <v>89.881069793572991</v>
          </cell>
        </row>
      </sheetData>
      <sheetData sheetId="183">
        <row r="10">
          <cell r="I10">
            <v>92.308295030910401</v>
          </cell>
        </row>
      </sheetData>
      <sheetData sheetId="184">
        <row r="10">
          <cell r="I10">
            <v>90.815839711253389</v>
          </cell>
        </row>
      </sheetData>
      <sheetData sheetId="185">
        <row r="10">
          <cell r="I10">
            <v>93.204137247268804</v>
          </cell>
        </row>
      </sheetData>
      <sheetData sheetId="186">
        <row r="10">
          <cell r="I10">
            <v>92.808947037217479</v>
          </cell>
        </row>
      </sheetData>
      <sheetData sheetId="187">
        <row r="10">
          <cell r="I10">
            <v>95.493653491136698</v>
          </cell>
        </row>
      </sheetData>
      <sheetData sheetId="188">
        <row r="10">
          <cell r="I10">
            <v>93.032943465571279</v>
          </cell>
        </row>
      </sheetData>
      <sheetData sheetId="189">
        <row r="10">
          <cell r="I10">
            <v>95.082477249706741</v>
          </cell>
        </row>
      </sheetData>
      <sheetData sheetId="190">
        <row r="10">
          <cell r="I10">
            <v>94.086430493781364</v>
          </cell>
        </row>
      </sheetData>
      <sheetData sheetId="191">
        <row r="10">
          <cell r="I10">
            <v>95.237068907803788</v>
          </cell>
        </row>
      </sheetData>
      <sheetData sheetId="192">
        <row r="10">
          <cell r="I10">
            <v>93.696594322135354</v>
          </cell>
        </row>
      </sheetData>
      <sheetData sheetId="193">
        <row r="10">
          <cell r="I10">
            <v>95.035429294750102</v>
          </cell>
        </row>
      </sheetData>
      <sheetData sheetId="194">
        <row r="10">
          <cell r="I10">
            <v>95.845120933176332</v>
          </cell>
        </row>
      </sheetData>
      <sheetData sheetId="195">
        <row r="10">
          <cell r="I10">
            <v>96.575612538518712</v>
          </cell>
        </row>
      </sheetData>
      <sheetData sheetId="196">
        <row r="10">
          <cell r="I10">
            <v>95.60390348648707</v>
          </cell>
        </row>
      </sheetData>
      <sheetData sheetId="197">
        <row r="10">
          <cell r="I10">
            <v>94.900683340102304</v>
          </cell>
        </row>
      </sheetData>
      <sheetData sheetId="198">
        <row r="10">
          <cell r="I10">
            <v>93.675056093360212</v>
          </cell>
        </row>
      </sheetData>
      <sheetData sheetId="199">
        <row r="10">
          <cell r="I10">
            <v>94.141326868887788</v>
          </cell>
        </row>
      </sheetData>
      <sheetData sheetId="200">
        <row r="10">
          <cell r="I10">
            <v>94.400570300845345</v>
          </cell>
        </row>
      </sheetData>
      <sheetData sheetId="201">
        <row r="11">
          <cell r="I11">
            <v>94.497356214098588</v>
          </cell>
        </row>
      </sheetData>
      <sheetData sheetId="202">
        <row r="10">
          <cell r="I10">
            <v>91.531580743624872</v>
          </cell>
        </row>
      </sheetData>
      <sheetData sheetId="203">
        <row r="10">
          <cell r="I10">
            <v>93.571794724463402</v>
          </cell>
        </row>
      </sheetData>
      <sheetData sheetId="204">
        <row r="10">
          <cell r="I10">
            <v>95.684805072230873</v>
          </cell>
        </row>
      </sheetData>
      <sheetData sheetId="205">
        <row r="10">
          <cell r="I10">
            <v>94.899817680638733</v>
          </cell>
        </row>
      </sheetData>
      <sheetData sheetId="206">
        <row r="10">
          <cell r="I10">
            <v>98.148777849881043</v>
          </cell>
        </row>
      </sheetData>
      <sheetData sheetId="207">
        <row r="10">
          <cell r="I10">
            <v>91.33164066384883</v>
          </cell>
        </row>
      </sheetData>
      <sheetData sheetId="208">
        <row r="10">
          <cell r="I10">
            <v>95.746955675971961</v>
          </cell>
        </row>
      </sheetData>
      <sheetData sheetId="209">
        <row r="10">
          <cell r="I10">
            <v>95.863617376516174</v>
          </cell>
        </row>
      </sheetData>
      <sheetData sheetId="210"/>
      <sheetData sheetId="211">
        <row r="10">
          <cell r="I10">
            <v>93.577418863812994</v>
          </cell>
        </row>
      </sheetData>
      <sheetData sheetId="212">
        <row r="10">
          <cell r="I10">
            <v>95.118868459634214</v>
          </cell>
        </row>
      </sheetData>
      <sheetData sheetId="213">
        <row r="10">
          <cell r="I10">
            <v>93.134820383580376</v>
          </cell>
        </row>
      </sheetData>
      <sheetData sheetId="214">
        <row r="10">
          <cell r="I10">
            <v>95.49640692397216</v>
          </cell>
        </row>
      </sheetData>
      <sheetData sheetId="215">
        <row r="10">
          <cell r="I10">
            <v>91.053396528745949</v>
          </cell>
        </row>
      </sheetData>
      <sheetData sheetId="216">
        <row r="10">
          <cell r="I10">
            <v>95.765002805481018</v>
          </cell>
        </row>
      </sheetData>
      <sheetData sheetId="217">
        <row r="10">
          <cell r="I10">
            <v>92.921491614246094</v>
          </cell>
        </row>
      </sheetData>
      <sheetData sheetId="218">
        <row r="10">
          <cell r="I10">
            <v>92.833655936590446</v>
          </cell>
        </row>
      </sheetData>
      <sheetData sheetId="219">
        <row r="10">
          <cell r="I10">
            <v>86.080188720816224</v>
          </cell>
        </row>
      </sheetData>
      <sheetData sheetId="220">
        <row r="10">
          <cell r="I10">
            <v>98.758814208396146</v>
          </cell>
        </row>
      </sheetData>
      <sheetData sheetId="221">
        <row r="10">
          <cell r="I10">
            <v>95.215143108531947</v>
          </cell>
        </row>
      </sheetData>
      <sheetData sheetId="222">
        <row r="10">
          <cell r="I10">
            <v>94.448105220636052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10">
          <cell r="I10">
            <v>92.662727799254284</v>
          </cell>
        </row>
      </sheetData>
      <sheetData sheetId="235">
        <row r="10">
          <cell r="I10">
            <v>85.997635221262584</v>
          </cell>
        </row>
      </sheetData>
      <sheetData sheetId="236">
        <row r="10">
          <cell r="I10">
            <v>93.392916824918487</v>
          </cell>
        </row>
      </sheetData>
      <sheetData sheetId="237">
        <row r="10">
          <cell r="I10">
            <v>98.419688132633198</v>
          </cell>
        </row>
      </sheetData>
      <sheetData sheetId="238">
        <row r="10">
          <cell r="I10">
            <v>98.896182519195435</v>
          </cell>
        </row>
      </sheetData>
      <sheetData sheetId="239">
        <row r="10">
          <cell r="I10">
            <v>89.706959355738562</v>
          </cell>
        </row>
      </sheetData>
      <sheetData sheetId="240">
        <row r="10">
          <cell r="I10">
            <v>92.665294455101332</v>
          </cell>
        </row>
      </sheetData>
      <sheetData sheetId="241">
        <row r="10">
          <cell r="I10">
            <v>93.157946425620224</v>
          </cell>
        </row>
      </sheetData>
      <sheetData sheetId="242">
        <row r="10">
          <cell r="I10">
            <v>93.127008978016477</v>
          </cell>
        </row>
      </sheetData>
      <sheetData sheetId="243">
        <row r="10">
          <cell r="I10">
            <v>89.118933714764424</v>
          </cell>
        </row>
      </sheetData>
      <sheetData sheetId="244">
        <row r="10">
          <cell r="I10">
            <v>92.080920589691559</v>
          </cell>
        </row>
      </sheetData>
      <sheetData sheetId="245">
        <row r="10">
          <cell r="I10">
            <v>83.486440442093041</v>
          </cell>
        </row>
      </sheetData>
      <sheetData sheetId="246">
        <row r="10">
          <cell r="I10">
            <v>93.388712454229619</v>
          </cell>
        </row>
      </sheetData>
      <sheetData sheetId="247">
        <row r="10">
          <cell r="I10">
            <v>97.30268556743809</v>
          </cell>
        </row>
      </sheetData>
      <sheetData sheetId="248">
        <row r="10">
          <cell r="I10">
            <v>91.263443885169522</v>
          </cell>
        </row>
      </sheetData>
      <sheetData sheetId="249">
        <row r="10">
          <cell r="I10">
            <v>97.225481973555304</v>
          </cell>
        </row>
      </sheetData>
      <sheetData sheetId="250">
        <row r="10">
          <cell r="I10">
            <v>97.225481973555304</v>
          </cell>
        </row>
      </sheetData>
      <sheetData sheetId="251"/>
      <sheetData sheetId="252"/>
      <sheetData sheetId="2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wer Performance (2)"/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June 1"/>
      <sheetName val="June 4"/>
      <sheetName val="June 5"/>
      <sheetName val="June 6"/>
      <sheetName val="June 7"/>
      <sheetName val="June 8"/>
      <sheetName val="June 11"/>
      <sheetName val="June 12"/>
      <sheetName val="June 16"/>
      <sheetName val="June 17"/>
      <sheetName val="June 18"/>
      <sheetName val="June 19"/>
      <sheetName val="June 20"/>
      <sheetName val="June 21"/>
      <sheetName val="June 22"/>
      <sheetName val="June 24"/>
      <sheetName val="June 25"/>
      <sheetName val="June 26"/>
      <sheetName val="June 27"/>
      <sheetName val="June 28"/>
      <sheetName val="June 29"/>
      <sheetName val="July 1"/>
      <sheetName val="July 2"/>
      <sheetName val="July 3"/>
      <sheetName val="July4"/>
      <sheetName val="July5"/>
      <sheetName val="July 8"/>
      <sheetName val="July 9"/>
      <sheetName val="July10"/>
      <sheetName val="July 11"/>
      <sheetName val="July 12"/>
      <sheetName val="July 13"/>
      <sheetName val="July 14 &amp;15"/>
      <sheetName val="July 16"/>
      <sheetName val="July 17"/>
      <sheetName val="July 18"/>
      <sheetName val="July 19"/>
      <sheetName val="July 21&amp;22"/>
      <sheetName val="July23"/>
      <sheetName val="July 24&amp;25"/>
      <sheetName val="July 25"/>
      <sheetName val="July 26"/>
      <sheetName val="July 27"/>
      <sheetName val="July 29"/>
      <sheetName val="July 30"/>
      <sheetName val="July 31"/>
      <sheetName val="Aug1"/>
      <sheetName val="Aug2"/>
      <sheetName val="Aug3&amp;4"/>
      <sheetName val="Aug7"/>
      <sheetName val="Aug8"/>
      <sheetName val="Aug9"/>
      <sheetName val="Aug10"/>
      <sheetName val="Aug15"/>
      <sheetName val="Aug16"/>
      <sheetName val="Aug17"/>
      <sheetName val="Aug20"/>
      <sheetName val="Aug21"/>
      <sheetName val="Aug22"/>
      <sheetName val="Aug27"/>
      <sheetName val="Aug28"/>
      <sheetName val="Aug29"/>
      <sheetName val="Aug30"/>
      <sheetName val="Aug31"/>
      <sheetName val="September2"/>
      <sheetName val="September3"/>
      <sheetName val="Sept.4"/>
      <sheetName val="Sept.5"/>
      <sheetName val="Sept.6"/>
      <sheetName val="Sept.7 &amp;8"/>
      <sheetName val="Sept.10"/>
      <sheetName val="Sept.11"/>
      <sheetName val="Sept.12"/>
      <sheetName val="Sept.13"/>
      <sheetName val="Sept.14"/>
      <sheetName val="Sept.17"/>
      <sheetName val="Sept.18"/>
      <sheetName val="Sept.19"/>
      <sheetName val="Sept.20"/>
      <sheetName val="Sept.21"/>
      <sheetName val="Sept.22"/>
      <sheetName val="Sept.23"/>
      <sheetName val="Sept.24"/>
      <sheetName val="Sept.25"/>
      <sheetName val="Sept.26"/>
      <sheetName val="Sept.27"/>
      <sheetName val="Sept.28"/>
      <sheetName val="Sept.29"/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Oct.13"/>
      <sheetName val="Oct.15"/>
      <sheetName val="Oct.16"/>
      <sheetName val="Oct.17"/>
      <sheetName val="Oct.18"/>
      <sheetName val="Oct.19"/>
      <sheetName val="Oct.21"/>
      <sheetName val="Oct.22"/>
      <sheetName val="Oct.23"/>
      <sheetName val="Oct.24"/>
      <sheetName val="Oct.26"/>
      <sheetName val="Oct.28"/>
      <sheetName val="Oct.29"/>
      <sheetName val="Oct.30"/>
      <sheetName val="Oct.31"/>
      <sheetName val="Nov. 1"/>
      <sheetName val="Nov. 2,3 &amp;4"/>
      <sheetName val="Nov. 5"/>
      <sheetName val="Nov. 6"/>
      <sheetName val="Nov. 8"/>
      <sheetName val="Nov. 9"/>
      <sheetName val="Nov. 10"/>
      <sheetName val="Nov. 11"/>
      <sheetName val="Nov. 12&amp;13"/>
      <sheetName val="Nov. 14"/>
      <sheetName val="Nov. 15"/>
      <sheetName val="Nov. 16&amp;17"/>
      <sheetName val="Nov. 19"/>
      <sheetName val="Nov. 20"/>
      <sheetName val="Nov. 21"/>
      <sheetName val="Nov. 22"/>
      <sheetName val="Nov. 23"/>
      <sheetName val="Nov.24"/>
      <sheetName val="Nov.25"/>
      <sheetName val="Nov.26"/>
      <sheetName val="Nov.27&amp;28th"/>
      <sheetName val="Nov.29"/>
      <sheetName val="Nov.30"/>
      <sheetName val="Dec.1 &amp;2"/>
      <sheetName val="Dec.3"/>
      <sheetName val="Dec. 4"/>
      <sheetName val="Dec. 5"/>
      <sheetName val="Dec. 6 "/>
      <sheetName val="Dec. 7"/>
      <sheetName val="Dec. 8 "/>
      <sheetName val="Dec. 9"/>
      <sheetName val="Dec. 10"/>
      <sheetName val="Dec. 11"/>
      <sheetName val="Dec. 12"/>
      <sheetName val="Dec. 13"/>
      <sheetName val="Dec. 14"/>
      <sheetName val="Dec. 15"/>
      <sheetName val="Dec. 17"/>
      <sheetName val="Dec. 18"/>
      <sheetName val="Dec. 19"/>
      <sheetName val="Dec. 20"/>
      <sheetName val="Dec. 21"/>
      <sheetName val="Dec. 22"/>
      <sheetName val="Dec. 26"/>
      <sheetName val="Dec. 27"/>
      <sheetName val="Dec. 28"/>
      <sheetName val="Dec. 31"/>
      <sheetName val="Jan. 02"/>
      <sheetName val="Jan. 03"/>
      <sheetName val="Jan. 04"/>
      <sheetName val="Jan. 07"/>
      <sheetName val="Jan. 08"/>
      <sheetName val="Jan. 09"/>
      <sheetName val="Jan. 10"/>
      <sheetName val="Jan. 11"/>
      <sheetName val="Jan. 13"/>
      <sheetName val="Jan. 14"/>
      <sheetName val="Jan. 15"/>
      <sheetName val="Jan. 16"/>
      <sheetName val="Jan. 17"/>
      <sheetName val="Jan. 18"/>
      <sheetName val="Jan. 21"/>
      <sheetName val="Jan. 22"/>
      <sheetName val="Jan. 23"/>
      <sheetName val="Jan. 24"/>
      <sheetName val="Jan. 25"/>
      <sheetName val="Jan. 28"/>
      <sheetName val="Jan. 29"/>
      <sheetName val="Jan. 30"/>
      <sheetName val="Feb. 3"/>
      <sheetName val="Feb. 4"/>
      <sheetName val="Feb. 5"/>
      <sheetName val="Feb.6"/>
      <sheetName val="Feb.8"/>
      <sheetName val="Feb. 9"/>
      <sheetName val="Feb. 11"/>
      <sheetName val="Feb. 14"/>
      <sheetName val="Feb. 17"/>
      <sheetName val="Feb. 18"/>
      <sheetName val="Feb. 19"/>
      <sheetName val="Feb.20"/>
      <sheetName val="Feb.21"/>
      <sheetName val="Feb.22"/>
      <sheetName val="Feb.24"/>
      <sheetName val="Feb.25"/>
      <sheetName val="Feb.26"/>
      <sheetName val="Feb.27"/>
      <sheetName val="Feb.28"/>
      <sheetName val="March.1"/>
      <sheetName val="March.3"/>
      <sheetName val="March.4"/>
      <sheetName val="March.6"/>
      <sheetName val="March.7"/>
      <sheetName val="March.8"/>
      <sheetName val="March.11"/>
      <sheetName val="March.12"/>
      <sheetName val="March.13"/>
      <sheetName val="March.14"/>
      <sheetName val="March.15"/>
      <sheetName val="March.16"/>
      <sheetName val="March.18"/>
      <sheetName val="March.19"/>
      <sheetName val="March.20"/>
      <sheetName val="March.21"/>
      <sheetName val="March.22"/>
      <sheetName val="March.24"/>
      <sheetName val="March.25"/>
      <sheetName val="March.26"/>
      <sheetName val="March.27"/>
      <sheetName val="March.28"/>
      <sheetName val="March.29"/>
      <sheetName val="March.31"/>
      <sheetName val="April.1"/>
      <sheetName val="April.2"/>
      <sheetName val="April.3"/>
      <sheetName val="April.4"/>
      <sheetName val="April.5"/>
      <sheetName val="April.8"/>
      <sheetName val="April.9"/>
      <sheetName val="April.10"/>
      <sheetName val="April.11"/>
      <sheetName val="April.12"/>
      <sheetName val="April.14"/>
      <sheetName val="April.15"/>
      <sheetName val="April.16"/>
      <sheetName val="April.17"/>
      <sheetName val="April.18"/>
      <sheetName val="April.23"/>
      <sheetName val="April.24"/>
      <sheetName val="April.25"/>
      <sheetName val="April.26"/>
      <sheetName val="April.28"/>
      <sheetName val="April.29"/>
      <sheetName val="April.30"/>
      <sheetName val="May.1&amp;2"/>
      <sheetName val="May.3"/>
      <sheetName val="May.5"/>
      <sheetName val="May.6 "/>
      <sheetName val="May.7"/>
      <sheetName val="May.8"/>
      <sheetName val="May.9"/>
      <sheetName val="May.10"/>
      <sheetName val="May.11"/>
      <sheetName val="May.13"/>
      <sheetName val="May.14"/>
      <sheetName val="May.15"/>
      <sheetName val="May.16"/>
      <sheetName val="May.17"/>
      <sheetName val="May.18"/>
      <sheetName val="May.19"/>
      <sheetName val="May.20"/>
      <sheetName val="May.21"/>
      <sheetName val="May.22"/>
      <sheetName val="May.23"/>
      <sheetName val="May.31"/>
      <sheetName val="June1"/>
      <sheetName val="June3"/>
      <sheetName val="June4"/>
      <sheetName val="June5"/>
      <sheetName val="June6"/>
      <sheetName val="June7"/>
      <sheetName val="June8"/>
      <sheetName val="June11"/>
      <sheetName val="June12"/>
      <sheetName val="June13"/>
      <sheetName val="June14"/>
      <sheetName val="June17"/>
      <sheetName val="June18"/>
      <sheetName val="June19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ly1"/>
      <sheetName val="July2"/>
      <sheetName val="July03"/>
      <sheetName val="July04"/>
      <sheetName val="July05"/>
      <sheetName val="July08"/>
      <sheetName val="July09"/>
      <sheetName val="July-10"/>
      <sheetName val="July-11"/>
      <sheetName val="July-12"/>
      <sheetName val="July-15"/>
      <sheetName val="July-16"/>
      <sheetName val="July-17"/>
      <sheetName val="July-18"/>
      <sheetName val="July-19"/>
      <sheetName val="July-22 "/>
      <sheetName val="July-23"/>
      <sheetName val="July-24 "/>
      <sheetName val="July-25 "/>
      <sheetName val="July-27 "/>
      <sheetName val="July-29 "/>
      <sheetName val="July-30 "/>
      <sheetName val="July-31 "/>
      <sheetName val="August-1"/>
      <sheetName val="August-2"/>
      <sheetName val="August-3"/>
      <sheetName val="August-6"/>
      <sheetName val="August-7"/>
      <sheetName val="August-8"/>
      <sheetName val="August-9"/>
      <sheetName val="August-14"/>
      <sheetName val="August-15"/>
      <sheetName val="August-16"/>
      <sheetName val="August-19"/>
      <sheetName val="August-20"/>
      <sheetName val="August-21"/>
      <sheetName val="August-22"/>
      <sheetName val="August-23"/>
      <sheetName val="August-26"/>
      <sheetName val="August-27"/>
      <sheetName val="August-28 "/>
      <sheetName val="August-30 "/>
      <sheetName val="September-2"/>
      <sheetName val="September-3"/>
      <sheetName val="September-4"/>
      <sheetName val="September-5"/>
      <sheetName val="September-6"/>
      <sheetName val="September-9"/>
      <sheetName val="September-10"/>
      <sheetName val="September-11"/>
      <sheetName val="September-12"/>
      <sheetName val="September-13"/>
      <sheetName val="September-16"/>
      <sheetName val="September-17"/>
      <sheetName val="September-18"/>
      <sheetName val="September-19"/>
      <sheetName val="September-20"/>
      <sheetName val="September-23"/>
      <sheetName val="September-24"/>
      <sheetName val="September-25"/>
      <sheetName val="September-26"/>
      <sheetName val="September-30"/>
      <sheetName val="October-1"/>
      <sheetName val="October-2"/>
      <sheetName val="October-3"/>
      <sheetName val="October-4"/>
      <sheetName val="October-7"/>
      <sheetName val="October-8"/>
      <sheetName val="October-9"/>
      <sheetName val="October-10"/>
      <sheetName val="October-11"/>
      <sheetName val="October-12"/>
      <sheetName val="October-14"/>
      <sheetName val="October-15"/>
      <sheetName val="October-16"/>
      <sheetName val="October-17"/>
      <sheetName val="October-18"/>
      <sheetName val="October-21"/>
      <sheetName val="October-22"/>
      <sheetName val="October-23"/>
      <sheetName val="October-24"/>
      <sheetName val="October-26"/>
      <sheetName val="October-27"/>
      <sheetName val="October-28"/>
      <sheetName val="October-29"/>
      <sheetName val="November-4"/>
      <sheetName val="November-5"/>
      <sheetName val="November-6"/>
      <sheetName val="November-7"/>
      <sheetName val="November-8"/>
      <sheetName val="November-9"/>
      <sheetName val="November-10"/>
      <sheetName val="November-11"/>
      <sheetName val="November-12"/>
      <sheetName val="November-13"/>
      <sheetName val="November-14"/>
      <sheetName val="November-15"/>
      <sheetName val="November-16"/>
      <sheetName val="November-17"/>
      <sheetName val="November-18"/>
      <sheetName val="November-19"/>
      <sheetName val="November-20"/>
      <sheetName val="November-21"/>
      <sheetName val="November-22"/>
      <sheetName val="November-23"/>
      <sheetName val="November-24"/>
      <sheetName val="November-25"/>
      <sheetName val="November-26"/>
      <sheetName val="November-27"/>
      <sheetName val="November-28"/>
      <sheetName val="November-29"/>
      <sheetName val="December-1"/>
      <sheetName val="December-2"/>
      <sheetName val="December-3"/>
      <sheetName val="December-4"/>
      <sheetName val="December-5"/>
      <sheetName val="December-6"/>
      <sheetName val="December-9"/>
      <sheetName val="December-10"/>
      <sheetName val="December-11"/>
      <sheetName val="December-12"/>
      <sheetName val="December-13"/>
      <sheetName val="December-14"/>
      <sheetName val="December-16"/>
      <sheetName val="December-17"/>
      <sheetName val="December-18"/>
      <sheetName val="December-19"/>
      <sheetName val="December-20"/>
      <sheetName val="December-22"/>
      <sheetName val="December-23"/>
      <sheetName val="December-24"/>
      <sheetName val="December-27"/>
      <sheetName val="December-30"/>
      <sheetName val="December-31"/>
      <sheetName val="January-2 "/>
      <sheetName val="January-3"/>
      <sheetName val="January-4"/>
      <sheetName val="January-7"/>
      <sheetName val="January-8"/>
      <sheetName val="January-9"/>
      <sheetName val="January-10"/>
      <sheetName val="January-11"/>
      <sheetName val="January-13"/>
      <sheetName val="January-14"/>
      <sheetName val="January-15"/>
      <sheetName val="January-16"/>
      <sheetName val="January-17"/>
      <sheetName val="January-20"/>
      <sheetName val="January-21"/>
      <sheetName val="January-22"/>
      <sheetName val="Janurary-23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>
        <row r="4">
          <cell r="E4" t="str">
            <v>MTD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Summary August '26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Summary January '26"/>
      <sheetName val="Packaging"/>
    </sheetNames>
    <sheetDataSet>
      <sheetData sheetId="0"/>
      <sheetData sheetId="1"/>
      <sheetData sheetId="2"/>
      <sheetData sheetId="3"/>
      <sheetData sheetId="5"/>
      <sheetData sheetId="6">
        <row r="22">
          <cell r="AS22">
            <v>90.83852238031325</v>
          </cell>
        </row>
        <row r="23">
          <cell r="AS23">
            <v>96.684836556310898</v>
          </cell>
        </row>
        <row r="24">
          <cell r="AS24">
            <v>99.232339589579539</v>
          </cell>
        </row>
        <row r="25">
          <cell r="AS25">
            <v>97.192444367259839</v>
          </cell>
        </row>
        <row r="26">
          <cell r="AS26">
            <v>97.669442273884727</v>
          </cell>
        </row>
        <row r="27">
          <cell r="AS27">
            <v>98.409669512415022</v>
          </cell>
        </row>
        <row r="28">
          <cell r="AS28">
            <v>98.526897208705151</v>
          </cell>
        </row>
        <row r="29">
          <cell r="AS29">
            <v>98.632992892535128</v>
          </cell>
        </row>
        <row r="30">
          <cell r="AS30">
            <v>109.99798711625786</v>
          </cell>
        </row>
        <row r="31">
          <cell r="AS31">
            <v>97.655248935825526</v>
          </cell>
        </row>
        <row r="32">
          <cell r="AS32">
            <v>95.59750367474058</v>
          </cell>
        </row>
        <row r="33">
          <cell r="AS33">
            <v>91.227014661850589</v>
          </cell>
        </row>
        <row r="34">
          <cell r="AS34">
            <v>99.225964512754345</v>
          </cell>
        </row>
        <row r="35">
          <cell r="AS35">
            <v>96.399159890042384</v>
          </cell>
        </row>
        <row r="36">
          <cell r="AS36">
            <v>97.533873677524795</v>
          </cell>
        </row>
        <row r="37">
          <cell r="AS37">
            <v>98.662767363445553</v>
          </cell>
        </row>
        <row r="38">
          <cell r="AS38">
            <v>98.110362343721974</v>
          </cell>
        </row>
        <row r="39">
          <cell r="AS39">
            <v>97.644364444691902</v>
          </cell>
        </row>
        <row r="40">
          <cell r="AS40">
            <v>97.453064155420094</v>
          </cell>
        </row>
        <row r="41">
          <cell r="AS41">
            <v>100.20702691272596</v>
          </cell>
        </row>
        <row r="42">
          <cell r="AS42">
            <v>96.346712472097764</v>
          </cell>
        </row>
        <row r="43">
          <cell r="AS43">
            <v>97.523568316559476</v>
          </cell>
        </row>
        <row r="44">
          <cell r="AS44">
            <v>95.926010836532257</v>
          </cell>
        </row>
        <row r="45">
          <cell r="AS45">
            <v>93.454371995230545</v>
          </cell>
        </row>
        <row r="46">
          <cell r="AS46">
            <v>98.103230583960681</v>
          </cell>
        </row>
        <row r="47">
          <cell r="AS47">
            <v>100.44904539532449</v>
          </cell>
        </row>
        <row r="48">
          <cell r="AS48">
            <v>95.833135510284677</v>
          </cell>
        </row>
        <row r="49">
          <cell r="AS49">
            <v>99.410610314879818</v>
          </cell>
        </row>
        <row r="50">
          <cell r="AS50">
            <v>97.098158462404967</v>
          </cell>
        </row>
        <row r="51">
          <cell r="AS51">
            <v>0</v>
          </cell>
        </row>
        <row r="52">
          <cell r="AS52">
            <v>104.87426366689108</v>
          </cell>
        </row>
        <row r="53">
          <cell r="AS53">
            <v>101.76112094286238</v>
          </cell>
        </row>
        <row r="54">
          <cell r="AS54">
            <v>95.359527283738572</v>
          </cell>
        </row>
        <row r="55">
          <cell r="AS55">
            <v>95.527344703430927</v>
          </cell>
        </row>
        <row r="56">
          <cell r="AS56">
            <v>100.07660336606865</v>
          </cell>
        </row>
        <row r="57">
          <cell r="AS57">
            <v>99.467327733929991</v>
          </cell>
        </row>
        <row r="58">
          <cell r="AS58">
            <v>99.703032511968686</v>
          </cell>
        </row>
        <row r="59">
          <cell r="AS59">
            <v>97.74414704454891</v>
          </cell>
        </row>
        <row r="60">
          <cell r="AS60">
            <v>98.138276669728526</v>
          </cell>
        </row>
        <row r="61">
          <cell r="AS61">
            <v>100.18497924496634</v>
          </cell>
        </row>
        <row r="62">
          <cell r="AS62">
            <v>98.239543519521192</v>
          </cell>
        </row>
        <row r="63">
          <cell r="AS63">
            <v>98.533695545018929</v>
          </cell>
        </row>
        <row r="64">
          <cell r="AS64">
            <v>106.23422780270799</v>
          </cell>
        </row>
        <row r="65">
          <cell r="AS65">
            <v>101.82543081774969</v>
          </cell>
        </row>
        <row r="66">
          <cell r="AS66">
            <v>95.866364717151924</v>
          </cell>
        </row>
        <row r="67">
          <cell r="AS67">
            <v>103.14086541165727</v>
          </cell>
        </row>
        <row r="68">
          <cell r="AS68">
            <v>98.629167060203699</v>
          </cell>
        </row>
        <row r="69">
          <cell r="AS69">
            <v>98.859186647542359</v>
          </cell>
        </row>
        <row r="70">
          <cell r="AS70">
            <v>96.813810190504412</v>
          </cell>
        </row>
        <row r="71">
          <cell r="AS71">
            <v>99.638493421142599</v>
          </cell>
        </row>
        <row r="72">
          <cell r="AS72">
            <v>99.741578008131555</v>
          </cell>
        </row>
        <row r="73">
          <cell r="AS73">
            <v>100.21398306039248</v>
          </cell>
        </row>
        <row r="74">
          <cell r="AS74">
            <v>95.650862133364953</v>
          </cell>
        </row>
        <row r="75">
          <cell r="AS75">
            <v>98.001099487384138</v>
          </cell>
        </row>
        <row r="76">
          <cell r="AS76">
            <v>97.461393370976353</v>
          </cell>
        </row>
        <row r="77">
          <cell r="AS77">
            <v>98.255217290461545</v>
          </cell>
        </row>
        <row r="78">
          <cell r="AS78">
            <v>99.546243435804755</v>
          </cell>
        </row>
        <row r="79">
          <cell r="AS79">
            <v>98.33017402501261</v>
          </cell>
        </row>
        <row r="80">
          <cell r="AS80">
            <v>98.333997846966298</v>
          </cell>
        </row>
        <row r="81">
          <cell r="AS81">
            <v>94.60432549058099</v>
          </cell>
        </row>
        <row r="82">
          <cell r="AS82">
            <v>99.025209415013663</v>
          </cell>
        </row>
        <row r="83">
          <cell r="AS83">
            <v>94.60432549058099</v>
          </cell>
        </row>
        <row r="84">
          <cell r="AS84">
            <v>99.47104784488721</v>
          </cell>
        </row>
        <row r="85">
          <cell r="AS85">
            <v>99.198378090715636</v>
          </cell>
        </row>
        <row r="86">
          <cell r="AS86">
            <v>98.651407682761771</v>
          </cell>
        </row>
        <row r="87">
          <cell r="AS87">
            <v>95.500399540574435</v>
          </cell>
        </row>
        <row r="88">
          <cell r="AS88">
            <v>97.387098904762667</v>
          </cell>
        </row>
        <row r="89">
          <cell r="AS89">
            <v>93.977530506802793</v>
          </cell>
        </row>
        <row r="90">
          <cell r="AS90">
            <v>103.98288970906668</v>
          </cell>
        </row>
        <row r="91">
          <cell r="AS91">
            <v>95.88635207026536</v>
          </cell>
        </row>
        <row r="92">
          <cell r="AS92">
            <v>97.555318567088662</v>
          </cell>
        </row>
        <row r="93">
          <cell r="AS93">
            <v>98.651407682761771</v>
          </cell>
        </row>
        <row r="94">
          <cell r="AS94">
            <v>98.885347309806249</v>
          </cell>
        </row>
        <row r="95">
          <cell r="AS95">
            <v>97.116026980207323</v>
          </cell>
        </row>
        <row r="96">
          <cell r="AS96">
            <v>98.047046969958473</v>
          </cell>
        </row>
        <row r="97">
          <cell r="AS97">
            <v>98.368823692109089</v>
          </cell>
        </row>
        <row r="98">
          <cell r="AS98">
            <v>96.689071563521296</v>
          </cell>
        </row>
        <row r="99">
          <cell r="AS99">
            <v>99.344647215577908</v>
          </cell>
        </row>
        <row r="100">
          <cell r="AS100">
            <v>99.146354506564776</v>
          </cell>
        </row>
        <row r="101">
          <cell r="AS101">
            <v>96.667077258035434</v>
          </cell>
        </row>
        <row r="102">
          <cell r="AS102">
            <v>97.440413876099711</v>
          </cell>
        </row>
        <row r="103">
          <cell r="AS103">
            <v>98.7497690885385</v>
          </cell>
        </row>
        <row r="104">
          <cell r="AS104">
            <v>99.321694799161747</v>
          </cell>
        </row>
        <row r="105">
          <cell r="AS105">
            <v>100.46208508570412</v>
          </cell>
        </row>
        <row r="106">
          <cell r="AS106">
            <v>100.43231059698405</v>
          </cell>
        </row>
        <row r="107">
          <cell r="AS107">
            <v>95.835506022405141</v>
          </cell>
        </row>
        <row r="108">
          <cell r="AS108">
            <v>96.762123724352961</v>
          </cell>
        </row>
        <row r="109">
          <cell r="AS109">
            <v>99.760146592752164</v>
          </cell>
        </row>
        <row r="110">
          <cell r="AS110">
            <v>111.40726919026143</v>
          </cell>
        </row>
        <row r="111">
          <cell r="AS111">
            <v>93.624091427861956</v>
          </cell>
        </row>
        <row r="112">
          <cell r="AS112">
            <v>99.584274797583333</v>
          </cell>
        </row>
        <row r="113">
          <cell r="AS113">
            <v>99.70978306370283</v>
          </cell>
        </row>
        <row r="114">
          <cell r="AS114">
            <v>97.110300140907029</v>
          </cell>
        </row>
        <row r="115">
          <cell r="AS115">
            <v>92.705086039935708</v>
          </cell>
        </row>
        <row r="116">
          <cell r="AS116">
            <v>97.080519007256299</v>
          </cell>
        </row>
        <row r="117">
          <cell r="AS117">
            <v>97.541311782322396</v>
          </cell>
        </row>
        <row r="118">
          <cell r="AS118">
            <v>97.594273454571933</v>
          </cell>
        </row>
        <row r="119">
          <cell r="AS119">
            <v>92.293331261823425</v>
          </cell>
        </row>
        <row r="120">
          <cell r="AS120">
            <v>97.343784830508056</v>
          </cell>
        </row>
        <row r="121">
          <cell r="AS121">
            <v>96.622655969201077</v>
          </cell>
        </row>
        <row r="122">
          <cell r="AS122">
            <v>99.627850959740556</v>
          </cell>
        </row>
        <row r="123">
          <cell r="AS123">
            <v>95.822053579237433</v>
          </cell>
        </row>
        <row r="124">
          <cell r="AS124">
            <v>92.078533418077527</v>
          </cell>
        </row>
        <row r="125">
          <cell r="AS125">
            <v>91.706323721321553</v>
          </cell>
        </row>
        <row r="126">
          <cell r="AS126">
            <v>97.990435086817186</v>
          </cell>
        </row>
        <row r="127">
          <cell r="AS127">
            <v>98.099792913221961</v>
          </cell>
        </row>
        <row r="128">
          <cell r="AS128">
            <v>97.016230942599037</v>
          </cell>
        </row>
        <row r="129">
          <cell r="AS129">
            <v>97.224790380282329</v>
          </cell>
        </row>
        <row r="130">
          <cell r="AS130">
            <v>100.12446085425042</v>
          </cell>
        </row>
        <row r="131">
          <cell r="AS131">
            <v>97.065060568710209</v>
          </cell>
        </row>
        <row r="132">
          <cell r="AS132">
            <v>99.975893759521298</v>
          </cell>
        </row>
        <row r="133">
          <cell r="AS133">
            <v>97.744854170435261</v>
          </cell>
        </row>
        <row r="134">
          <cell r="AS134">
            <v>97.537234970496229</v>
          </cell>
        </row>
        <row r="135">
          <cell r="AS135">
            <v>100.40321390300859</v>
          </cell>
        </row>
        <row r="136">
          <cell r="AS136">
            <v>96.434077770876058</v>
          </cell>
        </row>
        <row r="137">
          <cell r="AS137">
            <v>98.484252856431482</v>
          </cell>
        </row>
        <row r="138">
          <cell r="AS138">
            <v>95.389217922687735</v>
          </cell>
        </row>
        <row r="139">
          <cell r="AS139">
            <v>99.224351098396042</v>
          </cell>
        </row>
        <row r="140">
          <cell r="AS140">
            <v>99.32353232094539</v>
          </cell>
        </row>
        <row r="141">
          <cell r="AS141">
            <v>98.997632648360266</v>
          </cell>
        </row>
        <row r="142">
          <cell r="AS142">
            <v>97.463760265996399</v>
          </cell>
        </row>
        <row r="143">
          <cell r="AS143">
            <v>98.264063319970077</v>
          </cell>
        </row>
        <row r="144">
          <cell r="AS144">
            <v>98.548192719950322</v>
          </cell>
        </row>
        <row r="145">
          <cell r="AS145">
            <v>98.823429599635432</v>
          </cell>
        </row>
        <row r="146">
          <cell r="AS146">
            <v>100.44128447905582</v>
          </cell>
        </row>
        <row r="147">
          <cell r="AS147">
            <v>99.541673683507312</v>
          </cell>
        </row>
        <row r="148">
          <cell r="AS148">
            <v>98.983156674800313</v>
          </cell>
        </row>
        <row r="149">
          <cell r="AS149">
            <v>98.87270268473425</v>
          </cell>
        </row>
        <row r="150">
          <cell r="AS150">
            <v>93.677898473705298</v>
          </cell>
        </row>
        <row r="151">
          <cell r="AS151">
            <v>96.09626744823305</v>
          </cell>
        </row>
        <row r="152">
          <cell r="AS152">
            <v>97.393225185801398</v>
          </cell>
        </row>
        <row r="153">
          <cell r="AS153">
            <v>99.51827092226965</v>
          </cell>
        </row>
        <row r="154">
          <cell r="AS154">
            <v>98.297037775048096</v>
          </cell>
        </row>
        <row r="155">
          <cell r="AS155">
            <v>98.699180649962642</v>
          </cell>
        </row>
        <row r="156">
          <cell r="AS156">
            <v>99.709379094868325</v>
          </cell>
        </row>
        <row r="157">
          <cell r="AS157">
            <v>99.20510217019843</v>
          </cell>
        </row>
        <row r="158">
          <cell r="AS158">
            <v>95.967564626079536</v>
          </cell>
        </row>
        <row r="159">
          <cell r="AS159">
            <v>99.038293072120226</v>
          </cell>
        </row>
        <row r="160">
          <cell r="AS160">
            <v>100.88509268187487</v>
          </cell>
        </row>
        <row r="161">
          <cell r="AS161">
            <v>100.27544662459104</v>
          </cell>
        </row>
        <row r="162">
          <cell r="AS162">
            <v>97.783409002966863</v>
          </cell>
        </row>
        <row r="163">
          <cell r="AS163">
            <v>99.181519714228756</v>
          </cell>
        </row>
        <row r="164">
          <cell r="AS164">
            <v>99.254628474405266</v>
          </cell>
        </row>
        <row r="165">
          <cell r="AS165">
            <v>99.821646060237796</v>
          </cell>
        </row>
        <row r="166">
          <cell r="AS166">
            <v>100.23336840295755</v>
          </cell>
        </row>
        <row r="167">
          <cell r="AS167">
            <v>99.224984415000222</v>
          </cell>
        </row>
        <row r="168">
          <cell r="AS168">
            <v>97.991392065284458</v>
          </cell>
        </row>
        <row r="169">
          <cell r="AS169">
            <v>98.754567210015793</v>
          </cell>
        </row>
        <row r="170">
          <cell r="AS170">
            <v>95.102929375307482</v>
          </cell>
        </row>
        <row r="171">
          <cell r="AS171">
            <v>99.584274797583333</v>
          </cell>
        </row>
        <row r="172">
          <cell r="AS172">
            <v>99.459082097726125</v>
          </cell>
        </row>
        <row r="173">
          <cell r="AS173">
            <v>99.987853202533756</v>
          </cell>
        </row>
        <row r="174">
          <cell r="AS174">
            <v>99.844431138440441</v>
          </cell>
        </row>
        <row r="175">
          <cell r="AS175">
            <v>99.739560847146265</v>
          </cell>
        </row>
        <row r="176">
          <cell r="AS176">
            <v>99.897261798186378</v>
          </cell>
        </row>
        <row r="177">
          <cell r="AS177">
            <v>97.867313690154518</v>
          </cell>
        </row>
        <row r="178">
          <cell r="AS178">
            <v>98.618699043994994</v>
          </cell>
        </row>
        <row r="179">
          <cell r="AS179">
            <v>95.736023506245473</v>
          </cell>
        </row>
        <row r="214">
          <cell r="AS214">
            <v>94.642949948026541</v>
          </cell>
        </row>
        <row r="215">
          <cell r="AS215">
            <v>97.740620302660346</v>
          </cell>
        </row>
        <row r="216">
          <cell r="AS216">
            <v>97.156843184212079</v>
          </cell>
        </row>
        <row r="217">
          <cell r="AS217">
            <v>98.378206632279046</v>
          </cell>
        </row>
        <row r="218">
          <cell r="AS218">
            <v>98.866051801226916</v>
          </cell>
        </row>
        <row r="219">
          <cell r="AS219">
            <v>98.986375596522507</v>
          </cell>
        </row>
        <row r="220">
          <cell r="AS220">
            <v>98.588839951556579</v>
          </cell>
        </row>
        <row r="221">
          <cell r="AS221">
            <v>98.140556826659378</v>
          </cell>
        </row>
        <row r="222">
          <cell r="AS222">
            <v>94.541913901166239</v>
          </cell>
        </row>
        <row r="223">
          <cell r="AS223">
            <v>99.065882725515735</v>
          </cell>
        </row>
        <row r="224">
          <cell r="AS224">
            <v>95.607322614311911</v>
          </cell>
        </row>
        <row r="225">
          <cell r="AS225">
            <v>98.852784636210828</v>
          </cell>
        </row>
        <row r="226">
          <cell r="AS226">
            <v>98.991001256161667</v>
          </cell>
        </row>
        <row r="227">
          <cell r="AS227">
            <v>98.91245808939847</v>
          </cell>
        </row>
        <row r="228">
          <cell r="AS228">
            <v>98.030742498650199</v>
          </cell>
        </row>
        <row r="229">
          <cell r="AS229">
            <v>98.227987453375846</v>
          </cell>
        </row>
        <row r="230">
          <cell r="AS230">
            <v>91.893381203561418</v>
          </cell>
        </row>
        <row r="231">
          <cell r="AS231">
            <v>95.883830769509331</v>
          </cell>
        </row>
        <row r="232">
          <cell r="AS232">
            <v>96.325210694705959</v>
          </cell>
        </row>
        <row r="233">
          <cell r="AS233">
            <v>96.768374788406007</v>
          </cell>
        </row>
        <row r="234">
          <cell r="AS234">
            <v>99.805947091181096</v>
          </cell>
        </row>
        <row r="235">
          <cell r="AS235">
            <v>97.59500083914169</v>
          </cell>
        </row>
        <row r="236">
          <cell r="AS236">
            <v>96.015295809177886</v>
          </cell>
        </row>
        <row r="237">
          <cell r="AS237">
            <v>99.016967272278464</v>
          </cell>
        </row>
        <row r="238">
          <cell r="AS238">
            <v>97.930910424263288</v>
          </cell>
        </row>
        <row r="239">
          <cell r="AS239">
            <v>95.51262249962322</v>
          </cell>
        </row>
        <row r="240">
          <cell r="AS240">
            <v>100.03027228544039</v>
          </cell>
        </row>
        <row r="241">
          <cell r="AS241">
            <v>99.680150206688893</v>
          </cell>
        </row>
        <row r="242">
          <cell r="AS242">
            <v>99.677491461603083</v>
          </cell>
        </row>
        <row r="243">
          <cell r="AS243">
            <v>99.880311150879038</v>
          </cell>
        </row>
        <row r="244">
          <cell r="AS244">
            <v>101.658582761551</v>
          </cell>
        </row>
        <row r="245">
          <cell r="AS245">
            <v>101.63039952812952</v>
          </cell>
        </row>
        <row r="246">
          <cell r="AS246">
            <v>99.260258246780694</v>
          </cell>
        </row>
        <row r="247">
          <cell r="AS247">
            <v>102.67383093717935</v>
          </cell>
        </row>
        <row r="248">
          <cell r="AS248">
            <v>100.39997678316345</v>
          </cell>
        </row>
        <row r="249">
          <cell r="AS249">
            <v>99.081028043575728</v>
          </cell>
        </row>
        <row r="252">
          <cell r="AS252">
            <v>99.198581391944401</v>
          </cell>
        </row>
        <row r="253">
          <cell r="AS253">
            <v>99.450027165653339</v>
          </cell>
        </row>
        <row r="254">
          <cell r="AS254">
            <v>95.749181793212287</v>
          </cell>
        </row>
        <row r="255">
          <cell r="AS255">
            <v>96.404836914851714</v>
          </cell>
        </row>
        <row r="256">
          <cell r="AS256">
            <v>97.214381663218518</v>
          </cell>
        </row>
        <row r="257">
          <cell r="AS257">
            <v>99.683984036787066</v>
          </cell>
        </row>
        <row r="258">
          <cell r="AS258">
            <v>99.370659448462092</v>
          </cell>
        </row>
        <row r="259">
          <cell r="AS259">
            <v>100.46353523213787</v>
          </cell>
        </row>
        <row r="260">
          <cell r="AS260">
            <v>98.730026427379045</v>
          </cell>
        </row>
        <row r="261">
          <cell r="AS261">
            <v>100.24562738297855</v>
          </cell>
        </row>
        <row r="262">
          <cell r="AS262">
            <v>99.335232031479649</v>
          </cell>
        </row>
        <row r="263">
          <cell r="AS263">
            <v>100.58932724044769</v>
          </cell>
        </row>
        <row r="264">
          <cell r="AS264">
            <v>101.15819379667646</v>
          </cell>
        </row>
        <row r="265">
          <cell r="AS265">
            <v>100.84592825413714</v>
          </cell>
        </row>
        <row r="266">
          <cell r="AS266">
            <v>100.43237296472746</v>
          </cell>
        </row>
        <row r="267">
          <cell r="AS267">
            <v>99.868124541057114</v>
          </cell>
        </row>
        <row r="268">
          <cell r="AS268">
            <v>96.895654477588451</v>
          </cell>
        </row>
        <row r="269">
          <cell r="AS269">
            <v>97.187186945196061</v>
          </cell>
        </row>
        <row r="270">
          <cell r="AS270">
            <v>96.861205051857695</v>
          </cell>
        </row>
        <row r="271">
          <cell r="AS271">
            <v>100.7905058949286</v>
          </cell>
        </row>
        <row r="272">
          <cell r="AS272">
            <v>99.868124541057114</v>
          </cell>
        </row>
        <row r="273">
          <cell r="AS273">
            <v>100.55844165954197</v>
          </cell>
        </row>
        <row r="274">
          <cell r="AS274">
            <v>96.548828345484281</v>
          </cell>
        </row>
        <row r="275">
          <cell r="AS275">
            <v>100.19135091878917</v>
          </cell>
        </row>
        <row r="276">
          <cell r="AS276">
            <v>99.371721926227323</v>
          </cell>
        </row>
        <row r="277">
          <cell r="AS277">
            <v>94.990603925471802</v>
          </cell>
        </row>
        <row r="278">
          <cell r="AS278">
            <v>100.83834966907197</v>
          </cell>
        </row>
        <row r="279">
          <cell r="AS279">
            <v>97.31936248600482</v>
          </cell>
        </row>
        <row r="280">
          <cell r="AS280">
            <v>99.446100161727543</v>
          </cell>
        </row>
        <row r="281">
          <cell r="AS281">
            <v>101.25421107375897</v>
          </cell>
        </row>
        <row r="282">
          <cell r="AS282">
            <v>99.571016312772826</v>
          </cell>
        </row>
        <row r="283">
          <cell r="AS283">
            <v>101.25471652266825</v>
          </cell>
        </row>
        <row r="284">
          <cell r="AS284">
            <v>102.25579256731321</v>
          </cell>
        </row>
        <row r="285">
          <cell r="AS285">
            <v>100.48414063181383</v>
          </cell>
        </row>
        <row r="286">
          <cell r="AS286">
            <v>99.939679018214306</v>
          </cell>
        </row>
        <row r="287">
          <cell r="AS287">
            <v>101.49046337979428</v>
          </cell>
        </row>
        <row r="288">
          <cell r="AS288">
            <v>99.658344935350172</v>
          </cell>
        </row>
        <row r="289">
          <cell r="AS289">
            <v>100.79139066827585</v>
          </cell>
        </row>
        <row r="290">
          <cell r="AS290">
            <v>98.227410767009204</v>
          </cell>
        </row>
        <row r="291">
          <cell r="AS291">
            <v>100.04439034243482</v>
          </cell>
        </row>
        <row r="292">
          <cell r="AS292">
            <v>98.617249485112069</v>
          </cell>
        </row>
        <row r="293">
          <cell r="AS293">
            <v>99.168205395168258</v>
          </cell>
        </row>
        <row r="295">
          <cell r="AS295">
            <v>96.013735064813474</v>
          </cell>
        </row>
        <row r="296">
          <cell r="AS296">
            <v>100.38245090858832</v>
          </cell>
        </row>
        <row r="297">
          <cell r="AS297">
            <v>102.93281209025689</v>
          </cell>
        </row>
        <row r="298">
          <cell r="AS298">
            <v>95.59135221348177</v>
          </cell>
        </row>
        <row r="299">
          <cell r="AS299">
            <v>95.953887822360457</v>
          </cell>
        </row>
        <row r="300">
          <cell r="AS300">
            <v>96.457660998061172</v>
          </cell>
        </row>
        <row r="301">
          <cell r="AS301">
            <v>96.459607373483308</v>
          </cell>
        </row>
        <row r="302">
          <cell r="AS302">
            <v>97.772523167268972</v>
          </cell>
        </row>
        <row r="303">
          <cell r="AS303">
            <v>99.285893746081584</v>
          </cell>
        </row>
        <row r="304">
          <cell r="AS304">
            <v>96.843389772867923</v>
          </cell>
        </row>
        <row r="305">
          <cell r="AS305">
            <v>100.55808788259412</v>
          </cell>
        </row>
        <row r="306">
          <cell r="AS306">
            <v>97.554213655237049</v>
          </cell>
        </row>
        <row r="307">
          <cell r="AS307">
            <v>98.380934315032519</v>
          </cell>
        </row>
        <row r="308">
          <cell r="AS308">
            <v>97.536636164570268</v>
          </cell>
        </row>
        <row r="309">
          <cell r="AS309">
            <v>97.660253116847329</v>
          </cell>
        </row>
        <row r="310">
          <cell r="AS310">
            <v>100.48800750797635</v>
          </cell>
        </row>
        <row r="311">
          <cell r="AS311">
            <v>98.475377444669192</v>
          </cell>
        </row>
        <row r="312">
          <cell r="AS312">
            <v>99.914679227931671</v>
          </cell>
        </row>
        <row r="313">
          <cell r="AS313">
            <v>99.253784285399746</v>
          </cell>
        </row>
        <row r="314">
          <cell r="AS314">
            <v>96.705795206676655</v>
          </cell>
        </row>
        <row r="315">
          <cell r="AS315">
            <v>97.329743164428521</v>
          </cell>
        </row>
        <row r="316">
          <cell r="AS316">
            <v>99.065888617269223</v>
          </cell>
        </row>
        <row r="317">
          <cell r="AS317">
            <v>94.926337798329214</v>
          </cell>
        </row>
        <row r="318">
          <cell r="AS318">
            <v>98.570907895555237</v>
          </cell>
        </row>
        <row r="319">
          <cell r="AS319">
            <v>99.261312241841878</v>
          </cell>
        </row>
        <row r="320">
          <cell r="AS320">
            <v>98.24621489209953</v>
          </cell>
        </row>
        <row r="321">
          <cell r="AS321">
            <v>97.881219367369539</v>
          </cell>
        </row>
        <row r="322">
          <cell r="AS322">
            <v>96.045946504231367</v>
          </cell>
        </row>
        <row r="323">
          <cell r="AS323">
            <v>97.322817169770062</v>
          </cell>
        </row>
        <row r="324">
          <cell r="AS324">
            <v>97.816038092626201</v>
          </cell>
        </row>
        <row r="325">
          <cell r="AS325">
            <v>103.51481490885584</v>
          </cell>
        </row>
        <row r="327">
          <cell r="A327" t="str">
            <v>ST270</v>
          </cell>
          <cell r="P327">
            <v>61</v>
          </cell>
          <cell r="Q327">
            <v>16.525423728813557</v>
          </cell>
          <cell r="T327">
            <v>0.87986111111111109</v>
          </cell>
          <cell r="U327">
            <v>0.98819444444444449</v>
          </cell>
          <cell r="V327">
            <v>56</v>
          </cell>
          <cell r="AB327">
            <v>53.1</v>
          </cell>
          <cell r="AE327">
            <v>11.7</v>
          </cell>
          <cell r="AG327">
            <v>47.5</v>
          </cell>
          <cell r="AS327">
            <v>94.796610655110641</v>
          </cell>
          <cell r="AT327">
            <v>95.236110798716737</v>
          </cell>
          <cell r="AV327" t="str">
            <v>D. Gomaz</v>
          </cell>
          <cell r="AW327">
            <v>0.25208333333333333</v>
          </cell>
        </row>
        <row r="328">
          <cell r="A328" t="str">
            <v>ST271</v>
          </cell>
          <cell r="P328">
            <v>45</v>
          </cell>
          <cell r="Q328">
            <v>10.687382297551784</v>
          </cell>
          <cell r="T328">
            <v>0.96458333333333335</v>
          </cell>
          <cell r="U328">
            <v>1.075</v>
          </cell>
          <cell r="V328">
            <v>54</v>
          </cell>
          <cell r="AB328">
            <v>53.1</v>
          </cell>
          <cell r="AE328">
            <v>11.7</v>
          </cell>
          <cell r="AG328">
            <v>49.2</v>
          </cell>
          <cell r="AS328">
            <v>98.314396537543004</v>
          </cell>
          <cell r="AT328">
            <v>98.770050919802628</v>
          </cell>
          <cell r="AV328" t="str">
            <v>D. Gomaz</v>
          </cell>
          <cell r="AW328">
            <v>0.25555555555555554</v>
          </cell>
        </row>
        <row r="329">
          <cell r="A329" t="str">
            <v>ST272</v>
          </cell>
          <cell r="P329">
            <v>60</v>
          </cell>
          <cell r="Q329">
            <v>10.330188679245285</v>
          </cell>
          <cell r="T329">
            <v>1.0625</v>
          </cell>
          <cell r="U329">
            <v>1.1770833333333333</v>
          </cell>
          <cell r="V329">
            <v>50</v>
          </cell>
          <cell r="AB329">
            <v>53</v>
          </cell>
          <cell r="AE329">
            <v>12</v>
          </cell>
          <cell r="AG329">
            <v>48.5</v>
          </cell>
          <cell r="AS329">
            <v>99.784866605770077</v>
          </cell>
          <cell r="AT329">
            <v>100.24702013774302</v>
          </cell>
          <cell r="AV329" t="str">
            <v>D. Gomaz</v>
          </cell>
          <cell r="AW329">
            <v>0.27430555555555547</v>
          </cell>
        </row>
        <row r="330">
          <cell r="A330" t="str">
            <v>ST273</v>
          </cell>
          <cell r="P330">
            <v>60</v>
          </cell>
          <cell r="Q330">
            <v>10.707547169811315</v>
          </cell>
          <cell r="T330">
            <v>1.1631944444444444</v>
          </cell>
          <cell r="U330">
            <v>1.2729166666666667</v>
          </cell>
          <cell r="V330">
            <v>51</v>
          </cell>
          <cell r="AB330">
            <v>53</v>
          </cell>
          <cell r="AE330">
            <v>11.9</v>
          </cell>
          <cell r="AG330">
            <v>49.2</v>
          </cell>
          <cell r="AS330">
            <v>100.33853534489856</v>
          </cell>
          <cell r="AT330">
            <v>100.80325319320558</v>
          </cell>
          <cell r="AV330" t="str">
            <v>D. Gomaz</v>
          </cell>
          <cell r="AW330">
            <v>0.28680555555555554</v>
          </cell>
        </row>
        <row r="331">
          <cell r="A331" t="str">
            <v>ST274</v>
          </cell>
          <cell r="P331">
            <v>92</v>
          </cell>
          <cell r="Q331">
            <v>11.462264150943389</v>
          </cell>
          <cell r="T331">
            <v>0.23958333333333334</v>
          </cell>
          <cell r="U331">
            <v>0.3527777777777778</v>
          </cell>
          <cell r="V331">
            <v>60</v>
          </cell>
          <cell r="AB331">
            <v>53</v>
          </cell>
          <cell r="AE331">
            <v>12</v>
          </cell>
          <cell r="AG331">
            <v>50.1</v>
          </cell>
          <cell r="AS331">
            <v>102.03438257870683</v>
          </cell>
          <cell r="AT331">
            <v>102.50823739707245</v>
          </cell>
          <cell r="AV331" t="str">
            <v>K. Benjamin</v>
          </cell>
          <cell r="AW331">
            <v>0.26597222222222228</v>
          </cell>
        </row>
        <row r="332">
          <cell r="A332" t="str">
            <v>ST275</v>
          </cell>
          <cell r="P332">
            <v>96</v>
          </cell>
          <cell r="Q332">
            <v>8.4433962264150964</v>
          </cell>
          <cell r="T332">
            <v>0.32361111111111113</v>
          </cell>
          <cell r="U332">
            <v>0.43819444444444444</v>
          </cell>
          <cell r="V332">
            <v>60</v>
          </cell>
          <cell r="AB332">
            <v>53</v>
          </cell>
          <cell r="AE332">
            <v>11.7</v>
          </cell>
          <cell r="AG332">
            <v>50</v>
          </cell>
          <cell r="AS332">
            <v>99.155232444155033</v>
          </cell>
          <cell r="AT332">
            <v>99.61571628766319</v>
          </cell>
          <cell r="AV332" t="str">
            <v>K. Benjamin</v>
          </cell>
          <cell r="AW332">
            <v>0.26458333333333334</v>
          </cell>
        </row>
        <row r="333">
          <cell r="A333" t="str">
            <v>ST276</v>
          </cell>
          <cell r="P333">
            <v>92</v>
          </cell>
          <cell r="Q333">
            <v>15.20715630885123</v>
          </cell>
          <cell r="T333">
            <v>0.41388888888888886</v>
          </cell>
          <cell r="U333">
            <v>0.53125</v>
          </cell>
          <cell r="V333">
            <v>56</v>
          </cell>
          <cell r="AB333">
            <v>53.1</v>
          </cell>
          <cell r="AE333">
            <v>11.8</v>
          </cell>
          <cell r="AG333">
            <v>48.7</v>
          </cell>
          <cell r="AS333">
            <v>97.692816245651542</v>
          </cell>
          <cell r="AT333">
            <v>98.146203838010152</v>
          </cell>
          <cell r="AV333" t="str">
            <v>K. Benjamin</v>
          </cell>
          <cell r="AW333">
            <v>0.26041666666666669</v>
          </cell>
        </row>
        <row r="334">
          <cell r="A334" t="str">
            <v>ST277</v>
          </cell>
          <cell r="P334">
            <v>84</v>
          </cell>
          <cell r="Q334">
            <v>17.090395480225993</v>
          </cell>
          <cell r="T334">
            <v>0.50624999999999998</v>
          </cell>
          <cell r="U334">
            <v>0.62638888888888888</v>
          </cell>
          <cell r="V334">
            <v>60</v>
          </cell>
          <cell r="AB334">
            <v>53.1</v>
          </cell>
          <cell r="AE334">
            <v>11.9</v>
          </cell>
          <cell r="AG334">
            <v>49.5</v>
          </cell>
          <cell r="AS334">
            <v>99.929502656617558</v>
          </cell>
          <cell r="AT334">
            <v>100.39358226521608</v>
          </cell>
          <cell r="AV334" t="str">
            <v>R. Regis</v>
          </cell>
          <cell r="AW334">
            <v>0.2583333333333333</v>
          </cell>
        </row>
        <row r="335">
          <cell r="A335" t="str">
            <v>ST278</v>
          </cell>
          <cell r="P335">
            <v>82</v>
          </cell>
          <cell r="Q335">
            <v>8.6158192090395538</v>
          </cell>
          <cell r="T335">
            <v>0.59930555555555554</v>
          </cell>
          <cell r="U335">
            <v>0.73263888888888884</v>
          </cell>
          <cell r="V335">
            <v>64</v>
          </cell>
          <cell r="AB335">
            <v>53.1</v>
          </cell>
          <cell r="AE335">
            <v>11.8</v>
          </cell>
          <cell r="AG335">
            <v>51.2</v>
          </cell>
          <cell r="AS335">
            <v>102.31885501216071</v>
          </cell>
          <cell r="AT335">
            <v>102.79418989474647</v>
          </cell>
          <cell r="AV335" t="str">
            <v>R. Regis</v>
          </cell>
          <cell r="AW335">
            <v>0.27430555555555552</v>
          </cell>
        </row>
        <row r="336">
          <cell r="A336" t="str">
            <v>ST279</v>
          </cell>
          <cell r="P336">
            <v>60</v>
          </cell>
          <cell r="Q336">
            <v>10.499058380414318</v>
          </cell>
          <cell r="T336">
            <v>0.85416666666666663</v>
          </cell>
          <cell r="U336">
            <v>0.96875</v>
          </cell>
          <cell r="V336">
            <v>52</v>
          </cell>
          <cell r="AB336">
            <v>53.1</v>
          </cell>
          <cell r="AE336">
            <v>12</v>
          </cell>
          <cell r="AG336">
            <v>49.7</v>
          </cell>
          <cell r="AS336">
            <v>99.652790566766143</v>
          </cell>
          <cell r="AT336">
            <v>100.42197589944648</v>
          </cell>
          <cell r="AV336" t="str">
            <v>R. Regis</v>
          </cell>
          <cell r="AW336">
            <v>0.25</v>
          </cell>
        </row>
        <row r="337">
          <cell r="A337" t="str">
            <v>ST280</v>
          </cell>
          <cell r="P337">
            <v>61</v>
          </cell>
          <cell r="Q337">
            <v>13.323917137476466</v>
          </cell>
          <cell r="T337">
            <v>0.94791666666666663</v>
          </cell>
          <cell r="U337">
            <v>1.0590277777777777</v>
          </cell>
          <cell r="V337">
            <v>56</v>
          </cell>
          <cell r="AB337">
            <v>53.1</v>
          </cell>
          <cell r="AE337">
            <v>12</v>
          </cell>
          <cell r="AG337">
            <v>48.6</v>
          </cell>
          <cell r="AS337">
            <v>99.055898699447013</v>
          </cell>
          <cell r="AT337">
            <v>99.817187585134263</v>
          </cell>
          <cell r="AV337" t="str">
            <v>R. Regis</v>
          </cell>
          <cell r="AW337">
            <v>0.2534722222222221</v>
          </cell>
        </row>
        <row r="338">
          <cell r="A338" t="str">
            <v>ST281</v>
          </cell>
          <cell r="P338">
            <v>61</v>
          </cell>
          <cell r="Q338">
            <v>14.453860640301313</v>
          </cell>
          <cell r="T338">
            <v>1.0381944444444444</v>
          </cell>
          <cell r="U338">
            <v>1.1513888888888888</v>
          </cell>
          <cell r="V338">
            <v>54</v>
          </cell>
          <cell r="AB338">
            <v>53.1</v>
          </cell>
          <cell r="AE338">
            <v>11.9</v>
          </cell>
          <cell r="AG338">
            <v>49</v>
          </cell>
          <cell r="AS338">
            <v>98.745714949083094</v>
          </cell>
          <cell r="AT338">
            <v>99.505131401578325</v>
          </cell>
          <cell r="AV338" t="str">
            <v>R. Regis</v>
          </cell>
          <cell r="AW338">
            <v>0.25555555555555542</v>
          </cell>
        </row>
        <row r="339">
          <cell r="A339" t="str">
            <v>ST282</v>
          </cell>
          <cell r="P339">
            <v>64</v>
          </cell>
          <cell r="Q339">
            <v>11.629001883239166</v>
          </cell>
          <cell r="T339">
            <v>0.62638888888888888</v>
          </cell>
          <cell r="U339">
            <v>0.74583333333333335</v>
          </cell>
          <cell r="V339">
            <v>62</v>
          </cell>
          <cell r="AB339">
            <v>53.1</v>
          </cell>
          <cell r="AE339">
            <v>11.8</v>
          </cell>
          <cell r="AG339">
            <v>49.9</v>
          </cell>
          <cell r="AS339">
            <v>100.05112865724453</v>
          </cell>
          <cell r="AT339">
            <v>100.81980622928562</v>
          </cell>
          <cell r="AV339" t="str">
            <v>P. Calliste</v>
          </cell>
          <cell r="AW339">
            <v>0.27013888888888893</v>
          </cell>
        </row>
        <row r="340">
          <cell r="A340" t="str">
            <v>ST283</v>
          </cell>
          <cell r="P340">
            <v>61</v>
          </cell>
          <cell r="Q340">
            <v>12.005649717514123</v>
          </cell>
          <cell r="T340">
            <v>0.71875</v>
          </cell>
          <cell r="U340">
            <v>0.83611111111111114</v>
          </cell>
          <cell r="V340">
            <v>60</v>
          </cell>
          <cell r="AB340">
            <v>53.1</v>
          </cell>
          <cell r="AE340">
            <v>11.8</v>
          </cell>
          <cell r="AG340">
            <v>49.8</v>
          </cell>
          <cell r="AS340">
            <v>99.219837183704257</v>
          </cell>
          <cell r="AT340">
            <v>99.983411264811977</v>
          </cell>
          <cell r="AV340" t="str">
            <v>P. Calliste</v>
          </cell>
          <cell r="AW340">
            <v>0.25624999999999998</v>
          </cell>
        </row>
        <row r="341">
          <cell r="A341" t="str">
            <v>ST284</v>
          </cell>
          <cell r="P341">
            <v>60</v>
          </cell>
          <cell r="Q341">
            <v>13.512241054613931</v>
          </cell>
          <cell r="T341">
            <v>0.81041666666666667</v>
          </cell>
          <cell r="U341">
            <v>0.92708333333333337</v>
          </cell>
          <cell r="V341">
            <v>61</v>
          </cell>
          <cell r="AB341">
            <v>53.1</v>
          </cell>
          <cell r="AE341">
            <v>11.8</v>
          </cell>
          <cell r="AG341">
            <v>49.8</v>
          </cell>
          <cell r="AS341">
            <v>99.219837183704257</v>
          </cell>
          <cell r="AT341">
            <v>99.983411264811977</v>
          </cell>
          <cell r="AV341" t="str">
            <v>P. Calliste</v>
          </cell>
          <cell r="AW341">
            <v>0.25694444444444453</v>
          </cell>
        </row>
        <row r="342">
          <cell r="A342" t="str">
            <v>ST285</v>
          </cell>
          <cell r="P342">
            <v>61</v>
          </cell>
          <cell r="Q342">
            <v>13.700564971751408</v>
          </cell>
          <cell r="T342">
            <v>0.8979166666666667</v>
          </cell>
          <cell r="U342">
            <v>1.0111111111111111</v>
          </cell>
          <cell r="V342">
            <v>63</v>
          </cell>
          <cell r="AB342">
            <v>53.1</v>
          </cell>
          <cell r="AE342">
            <v>11.8</v>
          </cell>
          <cell r="AG342">
            <v>49.6</v>
          </cell>
          <cell r="AS342">
            <v>99.323329633525859</v>
          </cell>
          <cell r="AT342">
            <v>100.08667384555388</v>
          </cell>
          <cell r="AV342" t="str">
            <v>R. Regis</v>
          </cell>
          <cell r="AW342">
            <v>0.25069444444444444</v>
          </cell>
        </row>
        <row r="343">
          <cell r="A343" t="str">
            <v>ST286</v>
          </cell>
          <cell r="P343">
            <v>59</v>
          </cell>
          <cell r="Q343">
            <v>15.018832391713749</v>
          </cell>
          <cell r="T343">
            <v>0.9916666666666667</v>
          </cell>
          <cell r="U343">
            <v>1.1048611111111111</v>
          </cell>
          <cell r="V343">
            <v>61</v>
          </cell>
          <cell r="AB343">
            <v>53.1</v>
          </cell>
          <cell r="AE343">
            <v>11.8</v>
          </cell>
          <cell r="AG343">
            <v>49.7</v>
          </cell>
          <cell r="AS343">
            <v>99.650122129560188</v>
          </cell>
          <cell r="AT343">
            <v>100.41571882956903</v>
          </cell>
          <cell r="AV343" t="str">
            <v>R. Regis</v>
          </cell>
          <cell r="AW343">
            <v>0.25069444444444444</v>
          </cell>
        </row>
        <row r="344">
          <cell r="A344" t="str">
            <v>ST287</v>
          </cell>
          <cell r="P344">
            <v>62</v>
          </cell>
          <cell r="Q344">
            <v>13.72641509433962</v>
          </cell>
          <cell r="T344">
            <v>0.6381944444444444</v>
          </cell>
          <cell r="U344">
            <v>0.74652777777777779</v>
          </cell>
          <cell r="V344">
            <v>55</v>
          </cell>
          <cell r="AB344">
            <v>53</v>
          </cell>
          <cell r="AE344">
            <v>11.9</v>
          </cell>
          <cell r="AG344">
            <v>47.4</v>
          </cell>
          <cell r="AS344">
            <v>96.130188550895028</v>
          </cell>
          <cell r="AT344">
            <v>96.868240414586154</v>
          </cell>
          <cell r="AV344" t="str">
            <v>R.Sookram</v>
          </cell>
          <cell r="AW344">
            <v>0.24652777777777779</v>
          </cell>
        </row>
        <row r="345">
          <cell r="A345" t="str">
            <v>ST288</v>
          </cell>
          <cell r="P345">
            <v>61</v>
          </cell>
          <cell r="Q345">
            <v>7.8773584905660314</v>
          </cell>
          <cell r="T345">
            <v>0.7270833333333333</v>
          </cell>
          <cell r="U345">
            <v>0.84097222222222223</v>
          </cell>
          <cell r="V345">
            <v>54</v>
          </cell>
          <cell r="AB345">
            <v>53</v>
          </cell>
          <cell r="AE345">
            <v>11.6</v>
          </cell>
          <cell r="AG345">
            <v>49.9</v>
          </cell>
          <cell r="AS345">
            <v>98.643672179069668</v>
          </cell>
          <cell r="AT345">
            <v>99.400763231559225</v>
          </cell>
          <cell r="AV345" t="str">
            <v>R.Sookram</v>
          </cell>
          <cell r="AW345">
            <v>0.25763888888888886</v>
          </cell>
        </row>
        <row r="346">
          <cell r="A346" t="str">
            <v>ST289</v>
          </cell>
          <cell r="P346">
            <v>58</v>
          </cell>
          <cell r="Q346">
            <v>12.405660377358481</v>
          </cell>
          <cell r="T346">
            <v>0.81944444444444442</v>
          </cell>
          <cell r="U346">
            <v>0.9243055555555556</v>
          </cell>
          <cell r="V346">
            <v>57</v>
          </cell>
          <cell r="AB346">
            <v>53</v>
          </cell>
          <cell r="AE346">
            <v>11.7</v>
          </cell>
          <cell r="AG346">
            <v>48.9</v>
          </cell>
          <cell r="AS346">
            <v>97.544184434340778</v>
          </cell>
          <cell r="AT346">
            <v>98.292836908709035</v>
          </cell>
          <cell r="AV346" t="str">
            <v>K. Benjamin</v>
          </cell>
          <cell r="AW346">
            <v>0.25069444444444444</v>
          </cell>
        </row>
        <row r="347">
          <cell r="A347" t="str">
            <v>ST290</v>
          </cell>
          <cell r="P347">
            <v>59</v>
          </cell>
          <cell r="Q347">
            <v>13.349056603773576</v>
          </cell>
          <cell r="T347">
            <v>0.90277777777777779</v>
          </cell>
          <cell r="U347">
            <v>1.0125</v>
          </cell>
          <cell r="V347">
            <v>61</v>
          </cell>
          <cell r="AB347">
            <v>53</v>
          </cell>
          <cell r="AE347">
            <v>12</v>
          </cell>
          <cell r="AG347">
            <v>49.3</v>
          </cell>
          <cell r="AS347">
            <v>99.527904357748554</v>
          </cell>
          <cell r="AT347">
            <v>100.36453640287515</v>
          </cell>
          <cell r="AV347" t="str">
            <v>K. Benjamin</v>
          </cell>
          <cell r="AW347">
            <v>0.24861111111111112</v>
          </cell>
        </row>
        <row r="348">
          <cell r="A348" t="str">
            <v>ST291</v>
          </cell>
          <cell r="P348">
            <v>61</v>
          </cell>
          <cell r="Q348">
            <v>13.135593220338984</v>
          </cell>
          <cell r="T348">
            <v>0.99097222222222225</v>
          </cell>
          <cell r="U348">
            <v>1.1076388888888888</v>
          </cell>
          <cell r="V348">
            <v>62</v>
          </cell>
          <cell r="AB348">
            <v>53.1</v>
          </cell>
          <cell r="AE348">
            <v>11.8</v>
          </cell>
          <cell r="AG348">
            <v>50.2</v>
          </cell>
          <cell r="AS348">
            <v>100.13077318075212</v>
          </cell>
          <cell r="AT348">
            <v>101.04129946573713</v>
          </cell>
          <cell r="AV348" t="str">
            <v>K. Benjamin</v>
          </cell>
          <cell r="AW348">
            <v>0.25347222222222221</v>
          </cell>
        </row>
        <row r="349">
          <cell r="A349" t="str">
            <v>ST292</v>
          </cell>
          <cell r="P349">
            <v>61</v>
          </cell>
          <cell r="Q349">
            <v>13.512241054613931</v>
          </cell>
          <cell r="T349">
            <v>1.0840277777777778</v>
          </cell>
          <cell r="U349">
            <v>1.1965277777777779</v>
          </cell>
          <cell r="V349">
            <v>63</v>
          </cell>
          <cell r="AB349">
            <v>53.1</v>
          </cell>
          <cell r="AE349">
            <v>11.8</v>
          </cell>
          <cell r="AG349">
            <v>49</v>
          </cell>
          <cell r="AS349">
            <v>97.985529268351812</v>
          </cell>
          <cell r="AT349">
            <v>98.875947952260873</v>
          </cell>
          <cell r="AV349" t="str">
            <v>K. Benjamin</v>
          </cell>
          <cell r="AW349">
            <v>0.25208333333333344</v>
          </cell>
        </row>
        <row r="350">
          <cell r="A350" t="str">
            <v>ST293</v>
          </cell>
          <cell r="P350">
            <v>61</v>
          </cell>
          <cell r="Q350">
            <v>14.077212806026369</v>
          </cell>
          <cell r="T350">
            <v>1.1736111111111112</v>
          </cell>
          <cell r="U350">
            <v>1.2916666666666667</v>
          </cell>
          <cell r="V350">
            <v>61</v>
          </cell>
          <cell r="AB350">
            <v>53.1</v>
          </cell>
          <cell r="AE350">
            <v>12</v>
          </cell>
          <cell r="AG350">
            <v>49.9</v>
          </cell>
          <cell r="AS350">
            <v>101.05077690934993</v>
          </cell>
          <cell r="AT350">
            <v>101.97028488305462</v>
          </cell>
          <cell r="AV350" t="str">
            <v>R. Regis</v>
          </cell>
          <cell r="AW350">
            <v>0.25694444444444442</v>
          </cell>
        </row>
        <row r="351">
          <cell r="A351" t="str">
            <v>ST294</v>
          </cell>
          <cell r="P351">
            <v>62</v>
          </cell>
          <cell r="Q351">
            <v>10.875706214689263</v>
          </cell>
          <cell r="T351">
            <v>0.2722222222222222</v>
          </cell>
          <cell r="U351">
            <v>0.39027777777777778</v>
          </cell>
          <cell r="V351">
            <v>62</v>
          </cell>
          <cell r="AB351">
            <v>53.1</v>
          </cell>
          <cell r="AE351">
            <v>11.5</v>
          </cell>
          <cell r="AG351">
            <v>51.4</v>
          </cell>
          <cell r="AS351">
            <v>99.656323436956768</v>
          </cell>
          <cell r="AT351">
            <v>100.5628393857768</v>
          </cell>
          <cell r="AV351" t="str">
            <v>P. Calliste</v>
          </cell>
          <cell r="AW351">
            <v>0.26527777777777778</v>
          </cell>
        </row>
        <row r="352">
          <cell r="A352" t="str">
            <v>ST295</v>
          </cell>
          <cell r="P352">
            <v>61</v>
          </cell>
          <cell r="Q352">
            <v>17.090395480225993</v>
          </cell>
          <cell r="T352">
            <v>0.39027777777777778</v>
          </cell>
          <cell r="U352">
            <v>0.50069444444444444</v>
          </cell>
          <cell r="V352">
            <v>55</v>
          </cell>
          <cell r="AB352">
            <v>53.1</v>
          </cell>
          <cell r="AE352">
            <v>12.2</v>
          </cell>
          <cell r="AG352">
            <v>51.4</v>
          </cell>
          <cell r="AS352">
            <v>105.3788158697007</v>
          </cell>
          <cell r="AT352">
            <v>106.33898126630432</v>
          </cell>
          <cell r="AV352" t="str">
            <v>R. Regis</v>
          </cell>
          <cell r="AW352">
            <v>0.25069444444444444</v>
          </cell>
        </row>
        <row r="353">
          <cell r="A353" t="str">
            <v>ST296</v>
          </cell>
          <cell r="P353">
            <v>61</v>
          </cell>
          <cell r="Q353">
            <v>14.83050847457627</v>
          </cell>
          <cell r="T353">
            <v>0.48194444444444445</v>
          </cell>
          <cell r="U353">
            <v>0.59930555555555554</v>
          </cell>
          <cell r="V353">
            <v>62</v>
          </cell>
          <cell r="AB353">
            <v>53.1</v>
          </cell>
          <cell r="AE353">
            <v>12.2</v>
          </cell>
          <cell r="AG353">
            <v>50.2</v>
          </cell>
          <cell r="AS353">
            <v>102.40349309246177</v>
          </cell>
          <cell r="AT353">
            <v>103.33777488589702</v>
          </cell>
          <cell r="AV353" t="str">
            <v>D. Gomaz</v>
          </cell>
          <cell r="AW353">
            <v>0.26527777777777778</v>
          </cell>
        </row>
        <row r="354">
          <cell r="A354" t="str">
            <v>ST297</v>
          </cell>
          <cell r="P354">
            <v>64</v>
          </cell>
          <cell r="Q354">
            <v>12.594339622641504</v>
          </cell>
          <cell r="T354">
            <v>1.0743055555555556</v>
          </cell>
          <cell r="U354">
            <v>1.2020833333333334</v>
          </cell>
          <cell r="V354">
            <v>84</v>
          </cell>
          <cell r="AB354">
            <v>53</v>
          </cell>
          <cell r="AE354">
            <v>11.6</v>
          </cell>
          <cell r="AG354">
            <v>48.5</v>
          </cell>
          <cell r="AS354">
            <v>96.049611913783252</v>
          </cell>
          <cell r="AT354">
            <v>96.122216990206041</v>
          </cell>
          <cell r="AV354" t="str">
            <v>R.Sookram</v>
          </cell>
          <cell r="AW354">
            <v>0.2680555555555556</v>
          </cell>
        </row>
        <row r="355">
          <cell r="A355" t="str">
            <v>ST298</v>
          </cell>
          <cell r="P355">
            <v>58</v>
          </cell>
          <cell r="Q355">
            <v>12.783018867924525</v>
          </cell>
          <cell r="T355">
            <v>1.163888888888889</v>
          </cell>
          <cell r="U355">
            <v>1.2916666666666667</v>
          </cell>
          <cell r="V355">
            <v>53</v>
          </cell>
          <cell r="AB355">
            <v>53</v>
          </cell>
          <cell r="AE355">
            <v>11.9</v>
          </cell>
          <cell r="AG355">
            <v>48.5</v>
          </cell>
          <cell r="AS355">
            <v>96.944463047798635</v>
          </cell>
          <cell r="AT355">
            <v>97.01808510617785</v>
          </cell>
          <cell r="AV355" t="str">
            <v>K. Benjamin</v>
          </cell>
          <cell r="AW355">
            <v>0.26736111111111116</v>
          </cell>
        </row>
        <row r="356">
          <cell r="A356" t="str">
            <v>ST299</v>
          </cell>
          <cell r="P356">
            <v>62</v>
          </cell>
          <cell r="Q356">
            <v>11.462264150943389</v>
          </cell>
          <cell r="T356">
            <v>0.27500000000000002</v>
          </cell>
          <cell r="U356">
            <v>0.38680555555555557</v>
          </cell>
          <cell r="V356">
            <v>58</v>
          </cell>
          <cell r="AB356">
            <v>53</v>
          </cell>
          <cell r="AE356">
            <v>11.8</v>
          </cell>
          <cell r="AG356">
            <v>49.8</v>
          </cell>
          <cell r="AS356">
            <v>98.909854486474273</v>
          </cell>
          <cell r="AT356">
            <v>98.984920219248295</v>
          </cell>
          <cell r="AV356" t="str">
            <v>K. Benjamin</v>
          </cell>
          <cell r="AW356">
            <v>0.27222222222222225</v>
          </cell>
        </row>
        <row r="357">
          <cell r="A357" t="str">
            <v>ST300</v>
          </cell>
          <cell r="P357">
            <v>61</v>
          </cell>
          <cell r="Q357">
            <v>10.896226415094338</v>
          </cell>
          <cell r="T357">
            <v>0.36319444444444443</v>
          </cell>
          <cell r="U357">
            <v>0.47708333333333336</v>
          </cell>
          <cell r="V357">
            <v>55</v>
          </cell>
          <cell r="AB357">
            <v>53</v>
          </cell>
          <cell r="AE357">
            <v>11.6</v>
          </cell>
          <cell r="AG357">
            <v>49.7</v>
          </cell>
          <cell r="AS357">
            <v>99.18039986493666</v>
          </cell>
          <cell r="AT357">
            <v>99.255218411111088</v>
          </cell>
          <cell r="AV357" t="str">
            <v>K. Benjamin</v>
          </cell>
          <cell r="AW357">
            <v>0.27222222222222225</v>
          </cell>
        </row>
        <row r="358">
          <cell r="A358" t="str">
            <v>ST301</v>
          </cell>
          <cell r="P358">
            <v>60</v>
          </cell>
          <cell r="Q358">
            <v>13.349056603773576</v>
          </cell>
          <cell r="T358">
            <v>0.45624999999999999</v>
          </cell>
          <cell r="U358">
            <v>0.57291666666666663</v>
          </cell>
          <cell r="V358">
            <v>60</v>
          </cell>
          <cell r="AB358">
            <v>53</v>
          </cell>
          <cell r="AE358">
            <v>11.9</v>
          </cell>
          <cell r="AG358">
            <v>49.1</v>
          </cell>
          <cell r="AS358">
            <v>98.266162409828908</v>
          </cell>
          <cell r="AT358">
            <v>98.340763942656139</v>
          </cell>
          <cell r="AV358" t="str">
            <v>K. Benjamin</v>
          </cell>
          <cell r="AW358">
            <v>0.27777777777777773</v>
          </cell>
        </row>
        <row r="359">
          <cell r="A359" t="str">
            <v>ST302</v>
          </cell>
          <cell r="P359">
            <v>61</v>
          </cell>
          <cell r="Q359">
            <v>12.783018867924525</v>
          </cell>
          <cell r="T359">
            <v>0.55069444444444449</v>
          </cell>
          <cell r="U359">
            <v>0.66666666666666663</v>
          </cell>
          <cell r="V359">
            <v>63</v>
          </cell>
          <cell r="AB359">
            <v>53</v>
          </cell>
          <cell r="AE359">
            <v>12</v>
          </cell>
          <cell r="AG359">
            <v>48.6</v>
          </cell>
          <cell r="AS359">
            <v>99.615522882404434</v>
          </cell>
          <cell r="AT359">
            <v>99.690848881257594</v>
          </cell>
          <cell r="AV359" t="str">
            <v>R. Regis</v>
          </cell>
          <cell r="AW359">
            <v>0.26041666666666663</v>
          </cell>
        </row>
        <row r="360">
          <cell r="A360" t="str">
            <v>ST303</v>
          </cell>
          <cell r="P360">
            <v>62</v>
          </cell>
          <cell r="Q360">
            <v>12.758945386064028</v>
          </cell>
          <cell r="T360">
            <v>0.5625</v>
          </cell>
          <cell r="U360">
            <v>0.76875000000000004</v>
          </cell>
          <cell r="V360">
            <v>67</v>
          </cell>
          <cell r="AB360">
            <v>53.1</v>
          </cell>
          <cell r="AE360">
            <v>11.9</v>
          </cell>
          <cell r="AG360">
            <v>49.4</v>
          </cell>
          <cell r="AS360">
            <v>100.62326379755295</v>
          </cell>
          <cell r="AT360">
            <v>100.6993004245079</v>
          </cell>
          <cell r="AV360" t="str">
            <v>R. Regis</v>
          </cell>
          <cell r="AW360">
            <v>0.26875000000000004</v>
          </cell>
        </row>
        <row r="361">
          <cell r="A361" t="str">
            <v>ST304</v>
          </cell>
          <cell r="P361">
            <v>62</v>
          </cell>
          <cell r="Q361">
            <v>12.382297551789083</v>
          </cell>
          <cell r="T361">
            <v>0.7416666666666667</v>
          </cell>
          <cell r="U361">
            <v>0.85972222222222228</v>
          </cell>
          <cell r="V361">
            <v>63</v>
          </cell>
          <cell r="AB361">
            <v>53.1</v>
          </cell>
          <cell r="AE361">
            <v>11.9</v>
          </cell>
          <cell r="AG361">
            <v>48.8</v>
          </cell>
          <cell r="AS361">
            <v>97.422783496499648</v>
          </cell>
          <cell r="AT361">
            <v>97.496792792644726</v>
          </cell>
          <cell r="AV361" t="str">
            <v>R. Regis</v>
          </cell>
          <cell r="AW361">
            <v>0.26597222222222228</v>
          </cell>
        </row>
      </sheetData>
      <sheetData sheetId="7">
        <row r="305">
          <cell r="D305">
            <v>11.6</v>
          </cell>
        </row>
        <row r="306">
          <cell r="D306">
            <v>11.7</v>
          </cell>
        </row>
        <row r="307">
          <cell r="D307">
            <v>11.8</v>
          </cell>
        </row>
        <row r="308">
          <cell r="D308">
            <v>11.8</v>
          </cell>
        </row>
        <row r="309">
          <cell r="D309">
            <v>11.8</v>
          </cell>
        </row>
        <row r="310">
          <cell r="D310">
            <v>11.9</v>
          </cell>
        </row>
        <row r="311">
          <cell r="D311">
            <v>11.7</v>
          </cell>
        </row>
        <row r="312">
          <cell r="D312">
            <v>12</v>
          </cell>
        </row>
        <row r="313">
          <cell r="D313">
            <v>12.1</v>
          </cell>
        </row>
        <row r="314">
          <cell r="D314">
            <v>11.7</v>
          </cell>
        </row>
        <row r="315">
          <cell r="D315">
            <v>12</v>
          </cell>
        </row>
        <row r="316">
          <cell r="D316">
            <v>12</v>
          </cell>
        </row>
        <row r="317">
          <cell r="D317">
            <v>11.9</v>
          </cell>
        </row>
        <row r="318">
          <cell r="D318">
            <v>11.8</v>
          </cell>
        </row>
        <row r="319">
          <cell r="D319">
            <v>12</v>
          </cell>
        </row>
        <row r="320">
          <cell r="D320">
            <v>11.8</v>
          </cell>
        </row>
        <row r="321">
          <cell r="D321">
            <v>12</v>
          </cell>
        </row>
        <row r="322">
          <cell r="D322">
            <v>12</v>
          </cell>
        </row>
        <row r="323">
          <cell r="D323">
            <v>11.8</v>
          </cell>
        </row>
        <row r="324">
          <cell r="D324">
            <v>11.7</v>
          </cell>
        </row>
        <row r="325">
          <cell r="D325">
            <v>12</v>
          </cell>
        </row>
        <row r="327">
          <cell r="D327">
            <v>11.7</v>
          </cell>
        </row>
        <row r="328">
          <cell r="D328">
            <v>11.7</v>
          </cell>
        </row>
        <row r="329">
          <cell r="D329">
            <v>12</v>
          </cell>
        </row>
        <row r="330">
          <cell r="D330">
            <v>11.9</v>
          </cell>
        </row>
        <row r="331">
          <cell r="D331">
            <v>12</v>
          </cell>
        </row>
        <row r="332">
          <cell r="D332">
            <v>11.7</v>
          </cell>
        </row>
        <row r="333">
          <cell r="D333">
            <v>11.8</v>
          </cell>
        </row>
        <row r="334">
          <cell r="D334">
            <v>11.9</v>
          </cell>
        </row>
        <row r="335">
          <cell r="D335">
            <v>11.8</v>
          </cell>
        </row>
        <row r="336">
          <cell r="D336">
            <v>12</v>
          </cell>
        </row>
        <row r="337">
          <cell r="D337">
            <v>12</v>
          </cell>
        </row>
        <row r="338">
          <cell r="D338">
            <v>11.9</v>
          </cell>
        </row>
        <row r="339">
          <cell r="D339">
            <v>11.8</v>
          </cell>
        </row>
        <row r="340">
          <cell r="D340">
            <v>11.8</v>
          </cell>
        </row>
        <row r="341">
          <cell r="D341">
            <v>11.8</v>
          </cell>
        </row>
        <row r="342">
          <cell r="D342">
            <v>11.8</v>
          </cell>
        </row>
        <row r="343">
          <cell r="D343">
            <v>11.8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ackaging"/>
      <sheetName val="Process"/>
      <sheetName val="Summary August '26 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Summary January '26"/>
    </sheetNames>
    <sheetDataSet>
      <sheetData sheetId="0"/>
      <sheetData sheetId="1"/>
      <sheetData sheetId="2"/>
      <sheetData sheetId="3"/>
      <sheetData sheetId="4"/>
      <sheetData sheetId="5">
        <row r="42">
          <cell r="AU42">
            <v>98.774703764205327</v>
          </cell>
        </row>
        <row r="43">
          <cell r="AU43">
            <v>99.746895730388445</v>
          </cell>
        </row>
        <row r="44">
          <cell r="AU44">
            <v>99.480491014553465</v>
          </cell>
        </row>
        <row r="45">
          <cell r="AU45">
            <v>99.359192252045119</v>
          </cell>
        </row>
        <row r="46">
          <cell r="AU46">
            <v>94.942986581581494</v>
          </cell>
        </row>
        <row r="47">
          <cell r="AU47">
            <v>99.744059513955506</v>
          </cell>
        </row>
        <row r="48">
          <cell r="AU48">
            <v>100.99522335236702</v>
          </cell>
        </row>
        <row r="49">
          <cell r="AU49">
            <v>96.38510978729046</v>
          </cell>
        </row>
        <row r="50">
          <cell r="AU50">
            <v>96.854916965661218</v>
          </cell>
        </row>
        <row r="51">
          <cell r="AU51">
            <v>97.756974250197359</v>
          </cell>
        </row>
        <row r="52">
          <cell r="AU52">
            <v>98.280554742749217</v>
          </cell>
        </row>
        <row r="53">
          <cell r="AU53">
            <v>96.13324085965202</v>
          </cell>
        </row>
        <row r="54">
          <cell r="AU54">
            <v>93.879203465211987</v>
          </cell>
        </row>
        <row r="55">
          <cell r="AU55">
            <v>95.350414753836105</v>
          </cell>
        </row>
        <row r="56">
          <cell r="AU56">
            <v>96.220784779412256</v>
          </cell>
        </row>
        <row r="57">
          <cell r="AU57">
            <v>98.599549107933044</v>
          </cell>
        </row>
        <row r="58">
          <cell r="AU58">
            <v>97.224654996866249</v>
          </cell>
        </row>
        <row r="59">
          <cell r="AU59">
            <v>97.214744342532583</v>
          </cell>
        </row>
        <row r="60">
          <cell r="AU60">
            <v>99.947116466554263</v>
          </cell>
        </row>
        <row r="61">
          <cell r="AU61">
            <v>98.532094795334359</v>
          </cell>
        </row>
        <row r="62">
          <cell r="AU62">
            <v>93.409868719251207</v>
          </cell>
        </row>
        <row r="63">
          <cell r="AU63">
            <v>99.155044731309943</v>
          </cell>
        </row>
        <row r="64">
          <cell r="AU64">
            <v>97.421068441304371</v>
          </cell>
        </row>
        <row r="65">
          <cell r="AU65">
            <v>96.397222195852265</v>
          </cell>
        </row>
        <row r="66">
          <cell r="AU66">
            <v>100.46145390412471</v>
          </cell>
        </row>
        <row r="67">
          <cell r="AU67">
            <v>98.998214709308328</v>
          </cell>
        </row>
        <row r="68">
          <cell r="AU68">
            <v>97.857422068578444</v>
          </cell>
        </row>
        <row r="69">
          <cell r="AU69">
            <v>97.436062166815688</v>
          </cell>
        </row>
        <row r="70">
          <cell r="AU70">
            <v>96.910477582354332</v>
          </cell>
        </row>
        <row r="71">
          <cell r="AU71">
            <v>98.960439575055489</v>
          </cell>
        </row>
        <row r="72">
          <cell r="AU72">
            <v>102.29507421858402</v>
          </cell>
        </row>
        <row r="73">
          <cell r="AU73">
            <v>99.640437653385277</v>
          </cell>
        </row>
        <row r="74">
          <cell r="AU74">
            <v>82.328169468585017</v>
          </cell>
        </row>
        <row r="75">
          <cell r="AU75">
            <v>97.674289949528585</v>
          </cell>
        </row>
        <row r="76">
          <cell r="AU76">
            <v>107.03141163467369</v>
          </cell>
        </row>
        <row r="77">
          <cell r="AU77">
            <v>95.236008152799599</v>
          </cell>
        </row>
        <row r="78">
          <cell r="AU78">
            <v>93.827567679359049</v>
          </cell>
        </row>
        <row r="79">
          <cell r="AU79">
            <v>95.896687100312732</v>
          </cell>
        </row>
        <row r="80">
          <cell r="AU80">
            <v>99.738925134433643</v>
          </cell>
        </row>
        <row r="81">
          <cell r="AU81">
            <v>100.16530562302518</v>
          </cell>
        </row>
        <row r="82">
          <cell r="AU82">
            <v>99.736526583941028</v>
          </cell>
        </row>
        <row r="83">
          <cell r="AU83">
            <v>99.664029210937514</v>
          </cell>
        </row>
        <row r="84">
          <cell r="AU84">
            <v>100.01748335846912</v>
          </cell>
        </row>
        <row r="85">
          <cell r="AU85">
            <v>102.59219085086538</v>
          </cell>
        </row>
        <row r="86">
          <cell r="AU86">
            <v>102.5433340471773</v>
          </cell>
        </row>
        <row r="87">
          <cell r="AU87">
            <v>96.805164931106077</v>
          </cell>
        </row>
        <row r="88">
          <cell r="AU88">
            <v>95.467350978288906</v>
          </cell>
        </row>
        <row r="89">
          <cell r="AU89">
            <v>101.53064235241746</v>
          </cell>
        </row>
        <row r="90">
          <cell r="AU90">
            <v>99.843022353876989</v>
          </cell>
        </row>
        <row r="91">
          <cell r="AU91">
            <v>101.2321550320278</v>
          </cell>
        </row>
        <row r="92">
          <cell r="AU92">
            <v>101.42626155454937</v>
          </cell>
        </row>
        <row r="93">
          <cell r="AU93">
            <v>100.44724358587611</v>
          </cell>
        </row>
        <row r="94">
          <cell r="AU94">
            <v>102.05296320797829</v>
          </cell>
        </row>
        <row r="95">
          <cell r="AU95">
            <v>95.560767955537841</v>
          </cell>
        </row>
        <row r="96">
          <cell r="AU96">
            <v>95.858476381615304</v>
          </cell>
        </row>
        <row r="97">
          <cell r="AU97">
            <v>93.414689526206047</v>
          </cell>
        </row>
        <row r="98">
          <cell r="AU98">
            <v>99.986346763685134</v>
          </cell>
        </row>
        <row r="99">
          <cell r="AU99">
            <v>99.177482096170877</v>
          </cell>
        </row>
        <row r="100">
          <cell r="AU100">
            <v>97.509880366294198</v>
          </cell>
        </row>
        <row r="101">
          <cell r="AU101">
            <v>101.75095732104258</v>
          </cell>
        </row>
        <row r="102">
          <cell r="AU102">
            <v>99.415120817930529</v>
          </cell>
        </row>
        <row r="103">
          <cell r="AU103">
            <v>99.662908503532648</v>
          </cell>
        </row>
        <row r="104">
          <cell r="AU104">
            <v>96.575602446302355</v>
          </cell>
        </row>
        <row r="105">
          <cell r="AU105">
            <v>95.507567677953077</v>
          </cell>
        </row>
        <row r="106">
          <cell r="AU106">
            <v>97.819710364525065</v>
          </cell>
        </row>
        <row r="107">
          <cell r="AU107">
            <v>93.737546450558312</v>
          </cell>
        </row>
        <row r="108">
          <cell r="AU108">
            <v>96.679439674001571</v>
          </cell>
        </row>
        <row r="109">
          <cell r="AU109">
            <v>96.344074013646235</v>
          </cell>
        </row>
        <row r="110">
          <cell r="AU110">
            <v>96.969073122994232</v>
          </cell>
        </row>
        <row r="111">
          <cell r="AU111">
            <v>98.413757188601139</v>
          </cell>
        </row>
        <row r="112">
          <cell r="AU112">
            <v>96.361633561905379</v>
          </cell>
        </row>
        <row r="113">
          <cell r="AU113">
            <v>97.5202904784814</v>
          </cell>
        </row>
        <row r="114">
          <cell r="AU114">
            <v>97.851490534465384</v>
          </cell>
        </row>
        <row r="115">
          <cell r="AU115">
            <v>96.702752232561977</v>
          </cell>
        </row>
        <row r="116">
          <cell r="AU116">
            <v>96.254729187993746</v>
          </cell>
        </row>
        <row r="117">
          <cell r="AU117">
            <v>98.215110637851069</v>
          </cell>
        </row>
        <row r="118">
          <cell r="AU118">
            <v>95.664747463751866</v>
          </cell>
        </row>
        <row r="119">
          <cell r="AU119">
            <v>95.472649577278474</v>
          </cell>
        </row>
        <row r="120">
          <cell r="AU120">
            <v>92.499443839985332</v>
          </cell>
        </row>
        <row r="121">
          <cell r="AU121">
            <v>101.81766752472274</v>
          </cell>
        </row>
        <row r="122">
          <cell r="AU122">
            <v>99.504012001826652</v>
          </cell>
        </row>
        <row r="123">
          <cell r="AU123">
            <v>99.783415797736893</v>
          </cell>
        </row>
        <row r="125">
          <cell r="AU125">
            <v>94.991214982303461</v>
          </cell>
        </row>
        <row r="126">
          <cell r="AU126">
            <v>98.081652776220835</v>
          </cell>
        </row>
        <row r="127">
          <cell r="AU127">
            <v>98.458827461721384</v>
          </cell>
        </row>
        <row r="128">
          <cell r="AU128">
            <v>95.824043987091741</v>
          </cell>
        </row>
        <row r="129">
          <cell r="AU129">
            <v>98.44333422721418</v>
          </cell>
        </row>
        <row r="130">
          <cell r="AU130">
            <v>100.21447484042207</v>
          </cell>
        </row>
        <row r="131">
          <cell r="AU131">
            <v>93.572296329201976</v>
          </cell>
        </row>
        <row r="132">
          <cell r="AU132">
            <v>99.628123440277676</v>
          </cell>
        </row>
        <row r="133">
          <cell r="AU133">
            <v>93.047268518820289</v>
          </cell>
        </row>
        <row r="134">
          <cell r="AU134">
            <v>98.00301242081278</v>
          </cell>
        </row>
        <row r="135">
          <cell r="AU135">
            <v>98.750429944987545</v>
          </cell>
        </row>
        <row r="136">
          <cell r="AU136">
            <v>100.69196814542862</v>
          </cell>
        </row>
        <row r="137">
          <cell r="AU137">
            <v>96.996599085521808</v>
          </cell>
        </row>
        <row r="138">
          <cell r="AU138">
            <v>97.499189767162704</v>
          </cell>
        </row>
        <row r="139">
          <cell r="AU139">
            <v>98.065329347096849</v>
          </cell>
        </row>
        <row r="140">
          <cell r="AU140">
            <v>100.56885966131995</v>
          </cell>
        </row>
        <row r="141">
          <cell r="AU141">
            <v>99.310564104752999</v>
          </cell>
        </row>
        <row r="142">
          <cell r="AU142">
            <v>81.813106414231768</v>
          </cell>
        </row>
        <row r="143">
          <cell r="AU143">
            <v>74.681377386116381</v>
          </cell>
        </row>
        <row r="144">
          <cell r="AU144">
            <v>99.596822865747242</v>
          </cell>
        </row>
        <row r="145">
          <cell r="AU145">
            <v>98.361425847158671</v>
          </cell>
        </row>
        <row r="146">
          <cell r="AU146">
            <v>102.80934079529675</v>
          </cell>
        </row>
        <row r="147">
          <cell r="AU147">
            <v>104.32736945451965</v>
          </cell>
        </row>
        <row r="148">
          <cell r="AU148">
            <v>102.41832780758313</v>
          </cell>
        </row>
        <row r="149">
          <cell r="AU149">
            <v>102.65008917352358</v>
          </cell>
        </row>
        <row r="150">
          <cell r="AU150">
            <v>98.351271471428475</v>
          </cell>
        </row>
        <row r="151">
          <cell r="AU151">
            <v>95.527089538140444</v>
          </cell>
        </row>
        <row r="152">
          <cell r="AU152">
            <v>98.791770353169028</v>
          </cell>
        </row>
        <row r="153">
          <cell r="AU153">
            <v>92.525215393532562</v>
          </cell>
        </row>
        <row r="154">
          <cell r="AU154">
            <v>98.286412743082607</v>
          </cell>
        </row>
        <row r="155">
          <cell r="AU155">
            <v>95.699273266512037</v>
          </cell>
        </row>
        <row r="156">
          <cell r="AU156">
            <v>96.200448437262068</v>
          </cell>
        </row>
        <row r="157">
          <cell r="AU157">
            <v>93.020726759402706</v>
          </cell>
        </row>
        <row r="158">
          <cell r="AU158">
            <v>96.412047269582672</v>
          </cell>
        </row>
        <row r="159">
          <cell r="AU159">
            <v>97.250520471561614</v>
          </cell>
        </row>
        <row r="160">
          <cell r="AU160">
            <v>98.1438476329579</v>
          </cell>
        </row>
        <row r="161">
          <cell r="AU161">
            <v>93.52608739149872</v>
          </cell>
        </row>
        <row r="162">
          <cell r="AU162">
            <v>101.12603213986264</v>
          </cell>
        </row>
        <row r="163">
          <cell r="AU163">
            <v>100.33640509948549</v>
          </cell>
        </row>
        <row r="164">
          <cell r="AU164">
            <v>100.85036161508521</v>
          </cell>
        </row>
        <row r="165">
          <cell r="AU165">
            <v>95.502024957607773</v>
          </cell>
        </row>
        <row r="166">
          <cell r="AU166">
            <v>94.342162395109455</v>
          </cell>
        </row>
        <row r="167">
          <cell r="AU167">
            <v>99.071689760585087</v>
          </cell>
        </row>
        <row r="168">
          <cell r="AU168">
            <v>98.514796568176052</v>
          </cell>
        </row>
        <row r="169">
          <cell r="AU169">
            <v>96.024272843684003</v>
          </cell>
        </row>
        <row r="170">
          <cell r="AU170">
            <v>98.175529465436611</v>
          </cell>
        </row>
        <row r="171">
          <cell r="AU171">
            <v>102.72843364793638</v>
          </cell>
        </row>
        <row r="172">
          <cell r="AU172">
            <v>97.857596270649012</v>
          </cell>
        </row>
        <row r="173">
          <cell r="AU173">
            <v>96.511183978216323</v>
          </cell>
        </row>
        <row r="174">
          <cell r="AU174">
            <v>96.273917789076862</v>
          </cell>
        </row>
        <row r="175">
          <cell r="AU175">
            <v>96.763833489372473</v>
          </cell>
        </row>
        <row r="176">
          <cell r="AU176">
            <v>98.253731658657813</v>
          </cell>
        </row>
        <row r="177">
          <cell r="AU177">
            <v>96.225557296455349</v>
          </cell>
        </row>
        <row r="178">
          <cell r="AU178">
            <v>95.76386603519768</v>
          </cell>
        </row>
        <row r="179">
          <cell r="AU179">
            <v>97.861559996128506</v>
          </cell>
        </row>
        <row r="180">
          <cell r="AU180">
            <v>98.551754908063671</v>
          </cell>
        </row>
        <row r="181">
          <cell r="AU181">
            <v>90.189295198187452</v>
          </cell>
        </row>
        <row r="182">
          <cell r="AU182">
            <v>99.950041431757512</v>
          </cell>
        </row>
        <row r="183">
          <cell r="AU183">
            <v>97.547980983941912</v>
          </cell>
        </row>
        <row r="184">
          <cell r="AU184">
            <v>97.02181756168649</v>
          </cell>
        </row>
        <row r="185">
          <cell r="AU185">
            <v>97.515157399606437</v>
          </cell>
        </row>
        <row r="186">
          <cell r="AU186">
            <v>95.404393473874009</v>
          </cell>
        </row>
        <row r="187">
          <cell r="AU187">
            <v>99.138574114682569</v>
          </cell>
        </row>
        <row r="188">
          <cell r="AU188">
            <v>97.371494370242544</v>
          </cell>
        </row>
        <row r="198">
          <cell r="AU198">
            <v>96.242072087973199</v>
          </cell>
        </row>
        <row r="199">
          <cell r="AU199">
            <v>98.87254747107896</v>
          </cell>
        </row>
        <row r="200">
          <cell r="AU200">
            <v>101.57164076036193</v>
          </cell>
        </row>
        <row r="201">
          <cell r="AU201">
            <v>99.130786137236072</v>
          </cell>
        </row>
        <row r="202">
          <cell r="AU202">
            <v>94.664735774609312</v>
          </cell>
        </row>
        <row r="203">
          <cell r="AU203">
            <v>98.211317122475975</v>
          </cell>
        </row>
        <row r="204">
          <cell r="AU204">
            <v>96.718815813314833</v>
          </cell>
        </row>
        <row r="205">
          <cell r="AU205">
            <v>99.681744479307142</v>
          </cell>
        </row>
        <row r="206">
          <cell r="AU206">
            <v>96.837780355457184</v>
          </cell>
        </row>
        <row r="207">
          <cell r="AU207">
            <v>101.84066195473321</v>
          </cell>
        </row>
        <row r="208">
          <cell r="AU208">
            <v>98.972363799020584</v>
          </cell>
        </row>
        <row r="209">
          <cell r="AU209">
            <v>97.717648278528927</v>
          </cell>
        </row>
        <row r="210">
          <cell r="AU210">
            <v>95.753750342141842</v>
          </cell>
        </row>
        <row r="211">
          <cell r="AU211">
            <v>98.477078860461759</v>
          </cell>
        </row>
        <row r="212">
          <cell r="AU212">
            <v>98.060574842581516</v>
          </cell>
        </row>
        <row r="213">
          <cell r="AU213">
            <v>98.477078860461759</v>
          </cell>
        </row>
        <row r="214">
          <cell r="AU214">
            <v>96.84005415922779</v>
          </cell>
        </row>
        <row r="215">
          <cell r="AU215">
            <v>100.25557474160721</v>
          </cell>
        </row>
        <row r="216">
          <cell r="AU216">
            <v>97.982769910971371</v>
          </cell>
        </row>
        <row r="217">
          <cell r="AU217">
            <v>98.499505757279664</v>
          </cell>
        </row>
        <row r="218">
          <cell r="AU218">
            <v>94.764649300245921</v>
          </cell>
        </row>
        <row r="219">
          <cell r="AU219">
            <v>114.82483845154799</v>
          </cell>
        </row>
        <row r="220">
          <cell r="AU220">
            <v>98.182619925802825</v>
          </cell>
        </row>
        <row r="221">
          <cell r="AU221">
            <v>98.728037202201719</v>
          </cell>
        </row>
        <row r="222">
          <cell r="AU222">
            <v>98.865584270828393</v>
          </cell>
        </row>
        <row r="223">
          <cell r="AU223">
            <v>94.960805086604111</v>
          </cell>
        </row>
        <row r="224">
          <cell r="AU224">
            <v>94.654963762652073</v>
          </cell>
        </row>
        <row r="225">
          <cell r="AU225">
            <v>97.983517470033405</v>
          </cell>
        </row>
        <row r="226">
          <cell r="AU226">
            <v>97.134089873786564</v>
          </cell>
        </row>
        <row r="227">
          <cell r="AU227">
            <v>97.825601678018998</v>
          </cell>
        </row>
        <row r="228">
          <cell r="AU228">
            <v>98.868627192961327</v>
          </cell>
        </row>
        <row r="229">
          <cell r="AU229">
            <v>98.076814194365696</v>
          </cell>
        </row>
        <row r="230">
          <cell r="AU230">
            <v>99.593534238465153</v>
          </cell>
        </row>
        <row r="231">
          <cell r="AU231">
            <v>96.043228742840341</v>
          </cell>
        </row>
        <row r="232">
          <cell r="AU232">
            <v>93.852195272622652</v>
          </cell>
        </row>
        <row r="233">
          <cell r="AU233">
            <v>97.973702378244013</v>
          </cell>
        </row>
        <row r="234">
          <cell r="AU234">
            <v>97.595557441238071</v>
          </cell>
        </row>
        <row r="235">
          <cell r="AU235">
            <v>99.011089727354573</v>
          </cell>
        </row>
        <row r="236">
          <cell r="AU236">
            <v>97.622156604926758</v>
          </cell>
        </row>
        <row r="237">
          <cell r="AU237">
            <v>98.713591365675498</v>
          </cell>
        </row>
        <row r="238">
          <cell r="AU238">
            <v>96.451431959126339</v>
          </cell>
        </row>
        <row r="239">
          <cell r="AU239">
            <v>97.225318569947376</v>
          </cell>
        </row>
        <row r="240">
          <cell r="AU240">
            <v>97.302716492359181</v>
          </cell>
        </row>
        <row r="241">
          <cell r="AU241">
            <v>96.377175001990878</v>
          </cell>
        </row>
        <row r="242">
          <cell r="AU242">
            <v>98.562914042619013</v>
          </cell>
        </row>
        <row r="243">
          <cell r="AU243">
            <v>97.595442540704411</v>
          </cell>
        </row>
        <row r="244">
          <cell r="AU244">
            <v>100.18284509194719</v>
          </cell>
        </row>
        <row r="245">
          <cell r="AU245">
            <v>96.311853798954317</v>
          </cell>
        </row>
        <row r="246">
          <cell r="AU246">
            <v>96.096956507805032</v>
          </cell>
        </row>
        <row r="247">
          <cell r="AU247">
            <v>99.508128433796273</v>
          </cell>
        </row>
        <row r="248">
          <cell r="AU248">
            <v>94.924305937938897</v>
          </cell>
        </row>
        <row r="249">
          <cell r="AU249">
            <v>97.266996516441111</v>
          </cell>
        </row>
        <row r="250">
          <cell r="AU250">
            <v>101.97538590361592</v>
          </cell>
        </row>
        <row r="251">
          <cell r="AU251">
            <v>93.260037484866757</v>
          </cell>
        </row>
        <row r="252">
          <cell r="AU252">
            <v>97.506312070474038</v>
          </cell>
        </row>
        <row r="253">
          <cell r="AU253">
            <v>97.162294174609158</v>
          </cell>
        </row>
        <row r="254">
          <cell r="AU254">
            <v>99.189410098175131</v>
          </cell>
        </row>
        <row r="255">
          <cell r="AU255">
            <v>96.590809413258498</v>
          </cell>
        </row>
        <row r="256">
          <cell r="AU256">
            <v>104.8589466494704</v>
          </cell>
        </row>
        <row r="257">
          <cell r="AU257">
            <v>98.830299448787045</v>
          </cell>
        </row>
        <row r="258">
          <cell r="AU258">
            <v>98.040070014500969</v>
          </cell>
        </row>
        <row r="259">
          <cell r="AU259">
            <v>99.708815326021792</v>
          </cell>
        </row>
        <row r="260">
          <cell r="AU260">
            <v>97.755708503233933</v>
          </cell>
        </row>
        <row r="261">
          <cell r="AU261">
            <v>97.407767694541405</v>
          </cell>
        </row>
        <row r="262">
          <cell r="AU262">
            <v>98.655643022911761</v>
          </cell>
        </row>
        <row r="263">
          <cell r="AU263">
            <v>95.847937505992363</v>
          </cell>
        </row>
        <row r="264">
          <cell r="AU264">
            <v>96.904607911463032</v>
          </cell>
        </row>
        <row r="265">
          <cell r="AU265">
            <v>97.843989874471959</v>
          </cell>
        </row>
        <row r="266">
          <cell r="AU266">
            <v>97.685025256417518</v>
          </cell>
        </row>
        <row r="267">
          <cell r="AU267">
            <v>101.44067430211668</v>
          </cell>
        </row>
        <row r="268">
          <cell r="AU268">
            <v>97.441660983042127</v>
          </cell>
        </row>
        <row r="269">
          <cell r="AU269">
            <v>96.686043099880422</v>
          </cell>
        </row>
        <row r="270">
          <cell r="AU270">
            <v>99.558186680524798</v>
          </cell>
        </row>
        <row r="271">
          <cell r="AU271">
            <v>100.34481040419453</v>
          </cell>
        </row>
        <row r="272">
          <cell r="AU272">
            <v>99.932598886125291</v>
          </cell>
        </row>
        <row r="273">
          <cell r="AU273">
            <v>97.05962214993248</v>
          </cell>
        </row>
        <row r="274">
          <cell r="AU274">
            <v>98.473296044522911</v>
          </cell>
        </row>
        <row r="275">
          <cell r="AU275">
            <v>96.821336097738467</v>
          </cell>
        </row>
        <row r="276">
          <cell r="AU276">
            <v>94.526889247991434</v>
          </cell>
        </row>
        <row r="277">
          <cell r="AU277">
            <v>99.232478638628749</v>
          </cell>
        </row>
        <row r="278">
          <cell r="AU278">
            <v>97.771866547676723</v>
          </cell>
        </row>
        <row r="279">
          <cell r="AU279">
            <v>98.557950595645067</v>
          </cell>
        </row>
        <row r="280">
          <cell r="AU280">
            <v>99.798300055092355</v>
          </cell>
        </row>
        <row r="281">
          <cell r="AU281">
            <v>99.38157832321258</v>
          </cell>
        </row>
        <row r="282">
          <cell r="AU282">
            <v>98.434186024142619</v>
          </cell>
        </row>
        <row r="283">
          <cell r="AU283">
            <v>98.376488030672363</v>
          </cell>
        </row>
        <row r="284">
          <cell r="AU284">
            <v>107.26927617311497</v>
          </cell>
        </row>
        <row r="285">
          <cell r="AU285">
            <v>104.13717497046395</v>
          </cell>
        </row>
        <row r="286">
          <cell r="AU286">
            <v>95.960980995714607</v>
          </cell>
        </row>
        <row r="287">
          <cell r="AU287">
            <v>98.780662674884439</v>
          </cell>
        </row>
        <row r="288">
          <cell r="AU288">
            <v>97.564314880534255</v>
          </cell>
        </row>
        <row r="289">
          <cell r="AU289">
            <v>98.861130500688475</v>
          </cell>
        </row>
        <row r="290">
          <cell r="AU290">
            <v>99.745630863635611</v>
          </cell>
        </row>
        <row r="292">
          <cell r="AU292">
            <v>97.704199504233429</v>
          </cell>
        </row>
        <row r="293">
          <cell r="AU293">
            <v>97.979907272741045</v>
          </cell>
        </row>
        <row r="294">
          <cell r="AU294">
            <v>99.895350375578587</v>
          </cell>
        </row>
        <row r="295">
          <cell r="AU295">
            <v>95.889566709390451</v>
          </cell>
        </row>
        <row r="296">
          <cell r="AU296">
            <v>99.06862717692897</v>
          </cell>
        </row>
        <row r="297">
          <cell r="AU297">
            <v>95.445431119922034</v>
          </cell>
        </row>
        <row r="298">
          <cell r="AU298">
            <v>104.42612750160676</v>
          </cell>
        </row>
        <row r="299">
          <cell r="AU299">
            <v>97.341719131975395</v>
          </cell>
        </row>
        <row r="300">
          <cell r="AU300">
            <v>99.419193802504751</v>
          </cell>
        </row>
        <row r="301">
          <cell r="AU301">
            <v>97.071854613833906</v>
          </cell>
        </row>
        <row r="302">
          <cell r="AU302">
            <v>99.570734039536561</v>
          </cell>
        </row>
        <row r="303">
          <cell r="AU303">
            <v>96.468452597935965</v>
          </cell>
        </row>
        <row r="304">
          <cell r="AU304">
            <v>98.260915565538383</v>
          </cell>
        </row>
        <row r="305">
          <cell r="AU305">
            <v>97.640321547589153</v>
          </cell>
        </row>
        <row r="306">
          <cell r="AU306">
            <v>98.731659046513386</v>
          </cell>
        </row>
        <row r="307">
          <cell r="AU307">
            <v>100.63051286939478</v>
          </cell>
        </row>
        <row r="308">
          <cell r="AU308">
            <v>96.708405814293428</v>
          </cell>
        </row>
        <row r="309">
          <cell r="AU309">
            <v>98.262108477392388</v>
          </cell>
        </row>
        <row r="310">
          <cell r="AU310">
            <v>100.88223340232045</v>
          </cell>
        </row>
        <row r="311">
          <cell r="AU311">
            <v>97.964873795422605</v>
          </cell>
        </row>
        <row r="312">
          <cell r="AU312">
            <v>97.684444147608716</v>
          </cell>
        </row>
        <row r="313">
          <cell r="AU313">
            <v>100.56390577410568</v>
          </cell>
        </row>
        <row r="314">
          <cell r="AU314">
            <v>99.284482347324953</v>
          </cell>
        </row>
        <row r="315">
          <cell r="AU315">
            <v>99.92986277518375</v>
          </cell>
        </row>
        <row r="316">
          <cell r="AU316">
            <v>98.833209781084534</v>
          </cell>
        </row>
        <row r="317">
          <cell r="AU317">
            <v>99.202272266400399</v>
          </cell>
        </row>
        <row r="318">
          <cell r="AU318">
            <v>98.715968018469894</v>
          </cell>
        </row>
        <row r="319">
          <cell r="AU319">
            <v>95.039912630667331</v>
          </cell>
        </row>
        <row r="320">
          <cell r="AU320">
            <v>98.367421417804422</v>
          </cell>
        </row>
        <row r="321">
          <cell r="AU321">
            <v>98.860563530003276</v>
          </cell>
        </row>
        <row r="322">
          <cell r="AU322">
            <v>98.293969985865587</v>
          </cell>
        </row>
        <row r="323">
          <cell r="AU323">
            <v>98.680554445148545</v>
          </cell>
        </row>
        <row r="324">
          <cell r="AU324">
            <v>97.276066263342202</v>
          </cell>
        </row>
        <row r="325">
          <cell r="AU325">
            <v>99.522717712698153</v>
          </cell>
        </row>
        <row r="326">
          <cell r="AU326">
            <v>97.280161876306295</v>
          </cell>
        </row>
        <row r="327">
          <cell r="AU327">
            <v>98.419574335641741</v>
          </cell>
        </row>
        <row r="328">
          <cell r="AU328">
            <v>99.010323522494176</v>
          </cell>
        </row>
        <row r="329">
          <cell r="AU329">
            <v>101.34286464320613</v>
          </cell>
        </row>
        <row r="330">
          <cell r="AU330">
            <v>100.08719027441192</v>
          </cell>
        </row>
        <row r="331">
          <cell r="AU331">
            <v>97.147652628524895</v>
          </cell>
        </row>
        <row r="333">
          <cell r="AU333">
            <v>98.291637523851719</v>
          </cell>
        </row>
        <row r="334">
          <cell r="AU334">
            <v>101.55474535131795</v>
          </cell>
        </row>
        <row r="335">
          <cell r="AU335">
            <v>100.47437476290094</v>
          </cell>
        </row>
        <row r="336">
          <cell r="AU336">
            <v>100.54292897070825</v>
          </cell>
        </row>
        <row r="337">
          <cell r="AU337">
            <v>99.6914222479014</v>
          </cell>
        </row>
        <row r="338">
          <cell r="AU338">
            <v>98.788355462696771</v>
          </cell>
        </row>
        <row r="339">
          <cell r="AU339">
            <v>96.362850732705169</v>
          </cell>
        </row>
        <row r="340">
          <cell r="AU340">
            <v>99.706387133823071</v>
          </cell>
        </row>
        <row r="341">
          <cell r="AU341">
            <v>97.642652173476279</v>
          </cell>
        </row>
        <row r="342">
          <cell r="AU342">
            <v>99.106149710242491</v>
          </cell>
        </row>
        <row r="343">
          <cell r="AU343">
            <v>96.333505901006006</v>
          </cell>
        </row>
        <row r="344">
          <cell r="AU344">
            <v>98.749512017375622</v>
          </cell>
        </row>
        <row r="345">
          <cell r="AU345">
            <v>97.86206666251897</v>
          </cell>
        </row>
        <row r="346">
          <cell r="AU346">
            <v>101.04601229684947</v>
          </cell>
        </row>
        <row r="347">
          <cell r="AU347">
            <v>97.276066263342202</v>
          </cell>
        </row>
        <row r="348">
          <cell r="AU348">
            <v>93.852395703596613</v>
          </cell>
        </row>
        <row r="349">
          <cell r="AU349">
            <v>97.34537784324344</v>
          </cell>
        </row>
        <row r="350">
          <cell r="AU350">
            <v>98.987340911426685</v>
          </cell>
        </row>
        <row r="351">
          <cell r="AU351">
            <v>98.106846922939908</v>
          </cell>
        </row>
        <row r="352">
          <cell r="AU352">
            <v>98.794769125933016</v>
          </cell>
        </row>
        <row r="353">
          <cell r="AU353">
            <v>98.17950033315293</v>
          </cell>
        </row>
        <row r="354">
          <cell r="AU354">
            <v>96.913042197128789</v>
          </cell>
        </row>
        <row r="355">
          <cell r="AU355">
            <v>98.866426421918902</v>
          </cell>
        </row>
        <row r="356">
          <cell r="AU356">
            <v>98.283716639471436</v>
          </cell>
        </row>
        <row r="357">
          <cell r="AU357">
            <v>97.627901774051935</v>
          </cell>
        </row>
        <row r="358">
          <cell r="AU358">
            <v>99.060663016068062</v>
          </cell>
        </row>
        <row r="359">
          <cell r="AU359">
            <v>98.301955213273345</v>
          </cell>
        </row>
        <row r="360">
          <cell r="AU360">
            <v>98.106846922939908</v>
          </cell>
        </row>
        <row r="361">
          <cell r="AU361">
            <v>96.325564324938568</v>
          </cell>
        </row>
        <row r="362">
          <cell r="AU362">
            <v>97.842907420327492</v>
          </cell>
        </row>
        <row r="363">
          <cell r="AU363">
            <v>98.232555924411713</v>
          </cell>
        </row>
        <row r="364">
          <cell r="AU364">
            <v>99.070568405483513</v>
          </cell>
        </row>
        <row r="365">
          <cell r="AU365">
            <v>97.022595413926055</v>
          </cell>
        </row>
        <row r="366">
          <cell r="AU366">
            <v>97.985121162080063</v>
          </cell>
        </row>
        <row r="367">
          <cell r="AU367">
            <v>96.656126592782627</v>
          </cell>
        </row>
        <row r="368">
          <cell r="AU368">
            <v>99.467995204961397</v>
          </cell>
        </row>
        <row r="369">
          <cell r="AU369">
            <v>96.072078638210456</v>
          </cell>
        </row>
        <row r="370">
          <cell r="AU370">
            <v>97.701006857023984</v>
          </cell>
        </row>
        <row r="372">
          <cell r="AU372">
            <v>96.56462372355783</v>
          </cell>
        </row>
        <row r="373">
          <cell r="AU373">
            <v>99.450129980121687</v>
          </cell>
        </row>
        <row r="374">
          <cell r="AU374">
            <v>99.924395660222203</v>
          </cell>
        </row>
        <row r="375">
          <cell r="AU375">
            <v>96.735005949559593</v>
          </cell>
        </row>
        <row r="376">
          <cell r="AU376">
            <v>100.92621982794307</v>
          </cell>
        </row>
        <row r="377">
          <cell r="AU377">
            <v>101.71080765524663</v>
          </cell>
        </row>
        <row r="378">
          <cell r="AU378">
            <v>99.915911049565807</v>
          </cell>
        </row>
        <row r="379">
          <cell r="AU379">
            <v>100.09336436066228</v>
          </cell>
        </row>
        <row r="380">
          <cell r="AU380">
            <v>97.004179140412717</v>
          </cell>
        </row>
        <row r="381">
          <cell r="AU381">
            <v>98.419019214153593</v>
          </cell>
        </row>
        <row r="382">
          <cell r="AU382">
            <v>100.07208608682477</v>
          </cell>
        </row>
        <row r="383">
          <cell r="AU383">
            <v>99.210048636900865</v>
          </cell>
        </row>
        <row r="384">
          <cell r="AU384">
            <v>95.646066734056419</v>
          </cell>
        </row>
        <row r="385">
          <cell r="AU385">
            <v>99.871647112886492</v>
          </cell>
        </row>
        <row r="386">
          <cell r="AU386">
            <v>98.917653360549238</v>
          </cell>
        </row>
        <row r="387">
          <cell r="AU387">
            <v>97.985121162080063</v>
          </cell>
        </row>
        <row r="388">
          <cell r="AU388">
            <v>95.883570904040326</v>
          </cell>
        </row>
        <row r="389">
          <cell r="AU389">
            <v>97.688668777521585</v>
          </cell>
        </row>
        <row r="390">
          <cell r="AU390">
            <v>98.076322225051427</v>
          </cell>
        </row>
        <row r="391">
          <cell r="AU391">
            <v>96.738087826903367</v>
          </cell>
        </row>
        <row r="392">
          <cell r="AU392">
            <v>89.576614302132214</v>
          </cell>
        </row>
        <row r="393">
          <cell r="AU393">
            <v>99.045954733310609</v>
          </cell>
        </row>
        <row r="394">
          <cell r="AU394">
            <v>97.073638621963838</v>
          </cell>
        </row>
        <row r="395">
          <cell r="AU395">
            <v>96.622408854490644</v>
          </cell>
        </row>
        <row r="396">
          <cell r="AU396">
            <v>95.968798858100953</v>
          </cell>
        </row>
        <row r="397">
          <cell r="AU397">
            <v>97.010275244344342</v>
          </cell>
        </row>
        <row r="398">
          <cell r="AU398">
            <v>97.315054553505178</v>
          </cell>
        </row>
        <row r="399">
          <cell r="AU399">
            <v>97.194196677647014</v>
          </cell>
        </row>
        <row r="400">
          <cell r="AU400">
            <v>97.107188606226813</v>
          </cell>
        </row>
        <row r="401">
          <cell r="AU401">
            <v>97.543298003623377</v>
          </cell>
        </row>
        <row r="402">
          <cell r="AU402">
            <v>99.596971567739487</v>
          </cell>
        </row>
        <row r="403">
          <cell r="AU403">
            <v>98.567307662683234</v>
          </cell>
        </row>
        <row r="404">
          <cell r="AU404">
            <v>94.783958244441095</v>
          </cell>
        </row>
        <row r="405">
          <cell r="AU405">
            <v>96.215628300055926</v>
          </cell>
        </row>
        <row r="406">
          <cell r="AU406">
            <v>96.512976698627241</v>
          </cell>
        </row>
        <row r="407">
          <cell r="AU407">
            <v>97.668075936141776</v>
          </cell>
        </row>
        <row r="408">
          <cell r="AU408">
            <v>98.061106422806333</v>
          </cell>
        </row>
        <row r="409">
          <cell r="AU409">
            <v>94.141882174700498</v>
          </cell>
        </row>
        <row r="410">
          <cell r="AU410">
            <v>98.065683886305649</v>
          </cell>
        </row>
        <row r="411">
          <cell r="AU411">
            <v>96.227121995274018</v>
          </cell>
        </row>
        <row r="412">
          <cell r="AU412">
            <v>93.644485520251749</v>
          </cell>
        </row>
        <row r="413">
          <cell r="AU413">
            <v>95.780305895522162</v>
          </cell>
        </row>
        <row r="414">
          <cell r="AU414">
            <v>97.194703072885943</v>
          </cell>
        </row>
        <row r="415">
          <cell r="AU415">
            <v>96.196995367381973</v>
          </cell>
        </row>
        <row r="416">
          <cell r="AU416">
            <v>96.762050323253916</v>
          </cell>
        </row>
        <row r="417">
          <cell r="AU417">
            <v>97.028112667120254</v>
          </cell>
        </row>
        <row r="418">
          <cell r="AU418">
            <v>99.093675526055435</v>
          </cell>
        </row>
        <row r="419">
          <cell r="AU419">
            <v>99.090770773720209</v>
          </cell>
        </row>
        <row r="420">
          <cell r="AU420">
            <v>99.125761295317346</v>
          </cell>
        </row>
        <row r="421">
          <cell r="AU421">
            <v>98.716771578243012</v>
          </cell>
        </row>
        <row r="422">
          <cell r="AU422">
            <v>97.782996764277044</v>
          </cell>
        </row>
        <row r="423">
          <cell r="AU423">
            <v>95.550640529582381</v>
          </cell>
        </row>
        <row r="424">
          <cell r="AU424">
            <v>96.771687084536438</v>
          </cell>
        </row>
        <row r="425">
          <cell r="AU425">
            <v>98.586817634255368</v>
          </cell>
        </row>
        <row r="426">
          <cell r="AU426">
            <v>101.98305384057822</v>
          </cell>
        </row>
        <row r="427">
          <cell r="AU427">
            <v>100.69577752031054</v>
          </cell>
        </row>
        <row r="428">
          <cell r="AU428">
            <v>99.806095951858012</v>
          </cell>
        </row>
        <row r="429">
          <cell r="AU429">
            <v>100.43366418858588</v>
          </cell>
        </row>
        <row r="430">
          <cell r="AU430">
            <v>98.893379734379081</v>
          </cell>
        </row>
        <row r="431">
          <cell r="AU431">
            <v>100.24969919406345</v>
          </cell>
        </row>
        <row r="432">
          <cell r="AU432">
            <v>97.081248898849111</v>
          </cell>
        </row>
        <row r="433">
          <cell r="AU433">
            <v>101.76707851622425</v>
          </cell>
        </row>
        <row r="434">
          <cell r="AU434">
            <v>96.510244562053785</v>
          </cell>
        </row>
        <row r="435">
          <cell r="AU435">
            <v>99.775672338436593</v>
          </cell>
        </row>
        <row r="436">
          <cell r="AU436">
            <v>99.168607234311096</v>
          </cell>
        </row>
        <row r="437">
          <cell r="AU437">
            <v>97.065619624859266</v>
          </cell>
        </row>
        <row r="438">
          <cell r="AU438">
            <v>95.966425934229434</v>
          </cell>
        </row>
        <row r="439">
          <cell r="AU439">
            <v>96.902068655985502</v>
          </cell>
        </row>
        <row r="441">
          <cell r="AU441">
            <v>94.35299110982487</v>
          </cell>
        </row>
        <row r="442">
          <cell r="AU442">
            <v>99.78810647611833</v>
          </cell>
        </row>
        <row r="443">
          <cell r="AU443">
            <v>98.715472456614393</v>
          </cell>
        </row>
        <row r="444">
          <cell r="AU444">
            <v>98.839319314550693</v>
          </cell>
        </row>
        <row r="445">
          <cell r="AU445">
            <v>99.827712507696191</v>
          </cell>
        </row>
        <row r="446">
          <cell r="AU446">
            <v>102.60534633351912</v>
          </cell>
        </row>
        <row r="447">
          <cell r="AU447">
            <v>101.06394965204404</v>
          </cell>
        </row>
        <row r="448">
          <cell r="AU448">
            <v>99.592276455198828</v>
          </cell>
        </row>
        <row r="449">
          <cell r="AU449">
            <v>98.084548863306736</v>
          </cell>
        </row>
        <row r="450">
          <cell r="AU450">
            <v>96.00650184159764</v>
          </cell>
        </row>
        <row r="451">
          <cell r="AU451">
            <v>94.406393477571029</v>
          </cell>
        </row>
        <row r="452">
          <cell r="AU452">
            <v>96.433466803831749</v>
          </cell>
        </row>
        <row r="453">
          <cell r="AU453">
            <v>97.324682978378192</v>
          </cell>
        </row>
        <row r="454">
          <cell r="AU454">
            <v>98.352998332832939</v>
          </cell>
        </row>
        <row r="455">
          <cell r="AU455">
            <v>97.74424129612386</v>
          </cell>
        </row>
        <row r="456">
          <cell r="AU456">
            <v>100.27330624637854</v>
          </cell>
        </row>
        <row r="457">
          <cell r="AU457">
            <v>101.5646659439884</v>
          </cell>
        </row>
        <row r="458">
          <cell r="AU458">
            <v>96.768900005202767</v>
          </cell>
        </row>
        <row r="459">
          <cell r="AU459">
            <v>99.215120295971658</v>
          </cell>
        </row>
        <row r="460">
          <cell r="AU460">
            <v>96.530294814784824</v>
          </cell>
        </row>
        <row r="461">
          <cell r="AU461">
            <v>100.60681338817419</v>
          </cell>
        </row>
        <row r="462">
          <cell r="AU462">
            <v>99.799727452014764</v>
          </cell>
        </row>
        <row r="463">
          <cell r="AU463">
            <v>100.35031551856368</v>
          </cell>
        </row>
        <row r="464">
          <cell r="AU464">
            <v>99.827142752199421</v>
          </cell>
        </row>
        <row r="465">
          <cell r="AU465">
            <v>96.996454448160804</v>
          </cell>
        </row>
        <row r="466">
          <cell r="AU466">
            <v>99.953663425238886</v>
          </cell>
        </row>
        <row r="467">
          <cell r="AU467">
            <v>97.899114248935831</v>
          </cell>
        </row>
        <row r="468">
          <cell r="AU468">
            <v>99.845418707165166</v>
          </cell>
        </row>
        <row r="469">
          <cell r="AU469">
            <v>100.41537290555753</v>
          </cell>
        </row>
        <row r="470">
          <cell r="AU470">
            <v>99.941062940966958</v>
          </cell>
        </row>
        <row r="471">
          <cell r="AU471">
            <v>99.412009557795542</v>
          </cell>
        </row>
        <row r="472">
          <cell r="AU472">
            <v>98.242593755797657</v>
          </cell>
        </row>
        <row r="473">
          <cell r="AU473">
            <v>112.10179731674612</v>
          </cell>
        </row>
        <row r="474">
          <cell r="AU474">
            <v>102.44666718353356</v>
          </cell>
        </row>
        <row r="475">
          <cell r="AU475">
            <v>103.76004973726178</v>
          </cell>
        </row>
        <row r="476">
          <cell r="AU476">
            <v>101.00978335868373</v>
          </cell>
        </row>
        <row r="477">
          <cell r="AU477">
            <v>102.24574408304541</v>
          </cell>
        </row>
        <row r="478">
          <cell r="AU478">
            <v>100.17922672418331</v>
          </cell>
        </row>
        <row r="479">
          <cell r="AU479">
            <v>101.13654701607011</v>
          </cell>
        </row>
        <row r="480">
          <cell r="AU480">
            <v>108.88670789478645</v>
          </cell>
        </row>
        <row r="481">
          <cell r="AU481">
            <v>96.512358037648923</v>
          </cell>
        </row>
        <row r="482">
          <cell r="AU482">
            <v>100.97500195447307</v>
          </cell>
        </row>
        <row r="483">
          <cell r="AU483">
            <v>100.7405914444947</v>
          </cell>
        </row>
        <row r="484">
          <cell r="AU484">
            <v>100.3041125045339</v>
          </cell>
        </row>
        <row r="485">
          <cell r="AU485">
            <v>100.21573995743513</v>
          </cell>
        </row>
        <row r="486">
          <cell r="AU486">
            <v>99.317238473927688</v>
          </cell>
        </row>
        <row r="487">
          <cell r="AU487">
            <v>98.386883927142947</v>
          </cell>
        </row>
        <row r="488">
          <cell r="AU488">
            <v>99.532719661938174</v>
          </cell>
        </row>
        <row r="489">
          <cell r="AU489">
            <v>97.09027634925161</v>
          </cell>
        </row>
        <row r="490">
          <cell r="AU490">
            <v>98.94339780001502</v>
          </cell>
        </row>
        <row r="491">
          <cell r="AU491">
            <v>99.385578414346583</v>
          </cell>
        </row>
        <row r="492">
          <cell r="AU492">
            <v>98.554622170152498</v>
          </cell>
        </row>
        <row r="493">
          <cell r="AU493">
            <v>96.059064469639495</v>
          </cell>
        </row>
        <row r="494">
          <cell r="AU494">
            <v>99.937487991353251</v>
          </cell>
        </row>
        <row r="495">
          <cell r="AU495">
            <v>94.84633473437168</v>
          </cell>
        </row>
        <row r="496">
          <cell r="AU496">
            <v>98.344590350965177</v>
          </cell>
        </row>
        <row r="497">
          <cell r="AU497">
            <v>98.441679685943271</v>
          </cell>
        </row>
        <row r="499">
          <cell r="AU499">
            <v>98.266776146048571</v>
          </cell>
        </row>
        <row r="500">
          <cell r="AU500">
            <v>97.832955089911806</v>
          </cell>
        </row>
        <row r="501">
          <cell r="AU501">
            <v>101.45409838612913</v>
          </cell>
        </row>
        <row r="502">
          <cell r="AU502">
            <v>100.69356891272432</v>
          </cell>
        </row>
        <row r="503">
          <cell r="AU503">
            <v>98.448968451925168</v>
          </cell>
        </row>
        <row r="504">
          <cell r="AU504">
            <v>95.561965677402867</v>
          </cell>
        </row>
        <row r="505">
          <cell r="AU505">
            <v>98.952903830463129</v>
          </cell>
        </row>
        <row r="506">
          <cell r="AU506">
            <v>92.084692591360991</v>
          </cell>
        </row>
        <row r="507">
          <cell r="AU507">
            <v>98.931062054513632</v>
          </cell>
        </row>
        <row r="508">
          <cell r="AU508">
            <v>95.788891523078703</v>
          </cell>
        </row>
        <row r="509">
          <cell r="AU509">
            <v>102.25237739832376</v>
          </cell>
        </row>
        <row r="510">
          <cell r="AU510">
            <v>97.842626008334307</v>
          </cell>
        </row>
        <row r="511">
          <cell r="AU511">
            <v>98.133116544540727</v>
          </cell>
        </row>
        <row r="512">
          <cell r="AU512">
            <v>97.392543851558173</v>
          </cell>
        </row>
        <row r="513">
          <cell r="AU513">
            <v>98.551698641292091</v>
          </cell>
        </row>
        <row r="514">
          <cell r="AU514">
            <v>95.684926135841877</v>
          </cell>
        </row>
        <row r="515">
          <cell r="AU515">
            <v>98.002879043639851</v>
          </cell>
        </row>
        <row r="516">
          <cell r="AU516">
            <v>99.043120759349208</v>
          </cell>
        </row>
        <row r="517">
          <cell r="AU517">
            <v>98.02652678523846</v>
          </cell>
        </row>
        <row r="518">
          <cell r="AU518">
            <v>97.10584907923149</v>
          </cell>
        </row>
        <row r="519">
          <cell r="AU519">
            <v>98.462617429639906</v>
          </cell>
        </row>
        <row r="521">
          <cell r="AU521">
            <v>97.055560378405417</v>
          </cell>
        </row>
        <row r="522">
          <cell r="AU522">
            <v>98.60835314664395</v>
          </cell>
        </row>
        <row r="523">
          <cell r="AU523">
            <v>98.365267951755612</v>
          </cell>
        </row>
        <row r="524">
          <cell r="AU524">
            <v>99.687955297584509</v>
          </cell>
        </row>
        <row r="525">
          <cell r="AU525">
            <v>100.72132227395333</v>
          </cell>
        </row>
        <row r="526">
          <cell r="AU526">
            <v>98.74889698396953</v>
          </cell>
        </row>
        <row r="527">
          <cell r="AU527">
            <v>99.890627154419903</v>
          </cell>
        </row>
        <row r="528">
          <cell r="AU528">
            <v>98.651675516343673</v>
          </cell>
        </row>
        <row r="529">
          <cell r="AU529">
            <v>96.892893618969623</v>
          </cell>
        </row>
        <row r="530">
          <cell r="AU530">
            <v>94.722111244171089</v>
          </cell>
        </row>
        <row r="531">
          <cell r="AU531">
            <v>99.029700685063503</v>
          </cell>
        </row>
        <row r="532">
          <cell r="AU532">
            <v>96.713643218630651</v>
          </cell>
        </row>
        <row r="533">
          <cell r="AU533">
            <v>96.969485600893819</v>
          </cell>
        </row>
        <row r="534">
          <cell r="AU534">
            <v>100.49490909648723</v>
          </cell>
        </row>
        <row r="535">
          <cell r="AU535">
            <v>100.67062913303926</v>
          </cell>
        </row>
        <row r="536">
          <cell r="AU536">
            <v>100.28445554211093</v>
          </cell>
        </row>
        <row r="537">
          <cell r="AU537">
            <v>100.01936692948938</v>
          </cell>
        </row>
        <row r="538">
          <cell r="AU538">
            <v>97.25675779648391</v>
          </cell>
        </row>
        <row r="539">
          <cell r="AU539">
            <v>98.829519670528683</v>
          </cell>
        </row>
        <row r="540">
          <cell r="AU540">
            <v>89.92670066600526</v>
          </cell>
        </row>
        <row r="541">
          <cell r="AU541">
            <v>97.852943389199353</v>
          </cell>
        </row>
        <row r="542">
          <cell r="AU542">
            <v>98.234806225548823</v>
          </cell>
        </row>
        <row r="543">
          <cell r="AU543">
            <v>97.100513808978988</v>
          </cell>
        </row>
        <row r="544">
          <cell r="AU544">
            <v>100.78623691006598</v>
          </cell>
        </row>
        <row r="545">
          <cell r="AU545">
            <v>98.055978454904164</v>
          </cell>
        </row>
        <row r="546">
          <cell r="AU546">
            <v>93.830129859434109</v>
          </cell>
        </row>
        <row r="547">
          <cell r="AU547">
            <v>94.986746647546866</v>
          </cell>
        </row>
        <row r="548">
          <cell r="AU548">
            <v>96.805409918675934</v>
          </cell>
        </row>
        <row r="549">
          <cell r="AU549">
            <v>95.875819620167377</v>
          </cell>
        </row>
        <row r="550">
          <cell r="AU550">
            <v>99.148436815029569</v>
          </cell>
        </row>
        <row r="551">
          <cell r="AU551">
            <v>96.121819426269113</v>
          </cell>
        </row>
        <row r="552">
          <cell r="AU552">
            <v>98.010189794067912</v>
          </cell>
        </row>
        <row r="553">
          <cell r="AU553">
            <v>99.014288101156708</v>
          </cell>
        </row>
        <row r="554">
          <cell r="AU554">
            <v>97.153389503202831</v>
          </cell>
        </row>
        <row r="555">
          <cell r="AU555">
            <v>97.627337490184829</v>
          </cell>
        </row>
        <row r="556">
          <cell r="AU556">
            <v>97.312728687729816</v>
          </cell>
        </row>
        <row r="557">
          <cell r="AU557">
            <v>96.842834153233255</v>
          </cell>
        </row>
        <row r="558">
          <cell r="AU558">
            <v>97.685779866006243</v>
          </cell>
        </row>
        <row r="559">
          <cell r="AU559">
            <v>97.920767049400993</v>
          </cell>
        </row>
        <row r="560">
          <cell r="AU560">
            <v>97.467189849576116</v>
          </cell>
        </row>
        <row r="561">
          <cell r="AU561">
            <v>97.321658525782979</v>
          </cell>
        </row>
        <row r="562">
          <cell r="AU562">
            <v>98.202616991215805</v>
          </cell>
        </row>
        <row r="563">
          <cell r="AU563">
            <v>96.730466310460599</v>
          </cell>
        </row>
        <row r="564">
          <cell r="AU564">
            <v>98.584468249892524</v>
          </cell>
        </row>
        <row r="565">
          <cell r="AU565">
            <v>98.798903105297185</v>
          </cell>
        </row>
        <row r="566">
          <cell r="AU566">
            <v>95.030567217736547</v>
          </cell>
        </row>
        <row r="567">
          <cell r="AU567">
            <v>97.975396282362766</v>
          </cell>
        </row>
        <row r="568">
          <cell r="AU568">
            <v>96.910132502244522</v>
          </cell>
        </row>
        <row r="569">
          <cell r="AU569">
            <v>100.32236829261912</v>
          </cell>
        </row>
        <row r="570">
          <cell r="AU570">
            <v>92.793243431188415</v>
          </cell>
        </row>
        <row r="571">
          <cell r="AU571">
            <v>108.16497197909139</v>
          </cell>
        </row>
        <row r="572">
          <cell r="AU572">
            <v>98.269422256889953</v>
          </cell>
        </row>
        <row r="573">
          <cell r="AU573">
            <v>101.03823120220224</v>
          </cell>
        </row>
        <row r="574">
          <cell r="AU574">
            <v>96.300446052957312</v>
          </cell>
        </row>
        <row r="575">
          <cell r="AU575">
            <v>96.861872540433041</v>
          </cell>
        </row>
        <row r="576">
          <cell r="AU576">
            <v>94.354982496331914</v>
          </cell>
        </row>
        <row r="577">
          <cell r="AU577">
            <v>101.4902547733288</v>
          </cell>
        </row>
        <row r="578">
          <cell r="AU578">
            <v>99.113848804846313</v>
          </cell>
        </row>
        <row r="579">
          <cell r="AU579">
            <v>98.177770863633469</v>
          </cell>
        </row>
        <row r="580">
          <cell r="AU580">
            <v>100.59532574226012</v>
          </cell>
        </row>
        <row r="581">
          <cell r="AU581">
            <v>101.09611786158771</v>
          </cell>
        </row>
        <row r="582">
          <cell r="AU582">
            <v>97.274779965108578</v>
          </cell>
        </row>
        <row r="583">
          <cell r="AU583">
            <v>99.391912439862466</v>
          </cell>
        </row>
        <row r="584">
          <cell r="AU584">
            <v>97.783528025728515</v>
          </cell>
        </row>
        <row r="585">
          <cell r="AU585">
            <v>97.128209357850551</v>
          </cell>
        </row>
        <row r="586">
          <cell r="AU586">
            <v>95.057308401199691</v>
          </cell>
        </row>
        <row r="587">
          <cell r="AU587">
            <v>97.562565380013439</v>
          </cell>
        </row>
        <row r="588">
          <cell r="AU588">
            <v>104.27130276207181</v>
          </cell>
        </row>
        <row r="589">
          <cell r="AU589">
            <v>97.342162958884344</v>
          </cell>
        </row>
        <row r="590">
          <cell r="AU590">
            <v>95.775148939134738</v>
          </cell>
        </row>
        <row r="591">
          <cell r="AU591">
            <v>103.19214698364453</v>
          </cell>
        </row>
        <row r="592">
          <cell r="AU592">
            <v>103.16558724297549</v>
          </cell>
        </row>
        <row r="593">
          <cell r="AU593">
            <v>101.99102647740079</v>
          </cell>
        </row>
        <row r="595">
          <cell r="A595" t="str">
            <v>CA547</v>
          </cell>
          <cell r="P595">
            <v>58</v>
          </cell>
          <cell r="Q595">
            <v>17.412199630314234</v>
          </cell>
          <cell r="T595">
            <v>0.88472222222222219</v>
          </cell>
          <cell r="U595">
            <v>0.99236111111111114</v>
          </cell>
          <cell r="V595">
            <v>54</v>
          </cell>
          <cell r="Z595">
            <v>0.24097222222222225</v>
          </cell>
          <cell r="AF595">
            <v>50.4</v>
          </cell>
          <cell r="AG595">
            <v>12</v>
          </cell>
          <cell r="AI595">
            <v>51.4</v>
          </cell>
          <cell r="AU595">
            <v>102.9503534174209</v>
          </cell>
          <cell r="AV595">
            <v>103.52474176928399</v>
          </cell>
          <cell r="AX595" t="str">
            <v xml:space="preserve">D. Gomaz </v>
          </cell>
        </row>
        <row r="596">
          <cell r="A596" t="str">
            <v>CA548</v>
          </cell>
          <cell r="P596">
            <v>62</v>
          </cell>
          <cell r="Q596">
            <v>7.4306839186691374</v>
          </cell>
          <cell r="T596">
            <v>0.97430555555555554</v>
          </cell>
          <cell r="U596">
            <v>1.1020833333333333</v>
          </cell>
          <cell r="V596">
            <v>63</v>
          </cell>
          <cell r="Z596">
            <v>0.26736111111111105</v>
          </cell>
          <cell r="AF596">
            <v>50.8</v>
          </cell>
          <cell r="AG596">
            <v>12</v>
          </cell>
          <cell r="AI596">
            <v>51.4</v>
          </cell>
          <cell r="AU596">
            <v>103.20695554361478</v>
          </cell>
          <cell r="AV596">
            <v>103.78269920875498</v>
          </cell>
          <cell r="AX596" t="str">
            <v xml:space="preserve">D. Gomaz </v>
          </cell>
        </row>
        <row r="597">
          <cell r="A597" t="str">
            <v>CA549</v>
          </cell>
          <cell r="P597">
            <v>61</v>
          </cell>
          <cell r="Q597">
            <v>10.757855822550832</v>
          </cell>
          <cell r="T597">
            <v>1.3652777777777778</v>
          </cell>
          <cell r="U597">
            <v>1.4791666666666667</v>
          </cell>
          <cell r="V597">
            <v>58</v>
          </cell>
          <cell r="Z597">
            <v>0.5590277777777779</v>
          </cell>
          <cell r="AF597">
            <v>50.2</v>
          </cell>
          <cell r="AG597">
            <v>11.7</v>
          </cell>
          <cell r="AI597">
            <v>51.4</v>
          </cell>
          <cell r="AU597">
            <v>100.49530782630643</v>
          </cell>
          <cell r="AV597">
            <v>101.05592446839754</v>
          </cell>
          <cell r="AX597" t="str">
            <v xml:space="preserve">D. Gomaz </v>
          </cell>
        </row>
        <row r="598">
          <cell r="A598" t="str">
            <v>CA550</v>
          </cell>
          <cell r="P598">
            <v>60</v>
          </cell>
          <cell r="Q598">
            <v>12.975970425138639</v>
          </cell>
          <cell r="T598">
            <v>0.47708333333333336</v>
          </cell>
          <cell r="U598">
            <v>0.58611111111111114</v>
          </cell>
          <cell r="V598">
            <v>60</v>
          </cell>
          <cell r="Z598">
            <v>0.24236111111111114</v>
          </cell>
          <cell r="AF598">
            <v>48.6</v>
          </cell>
          <cell r="AG598">
            <v>11.9</v>
          </cell>
          <cell r="AI598">
            <v>49.6</v>
          </cell>
          <cell r="AU598">
            <v>98.352761035087568</v>
          </cell>
          <cell r="AV598">
            <v>98.901534393434602</v>
          </cell>
          <cell r="AX598" t="str">
            <v>R. Regis</v>
          </cell>
        </row>
        <row r="599">
          <cell r="A599" t="str">
            <v>CA551</v>
          </cell>
          <cell r="P599">
            <v>60</v>
          </cell>
          <cell r="Q599">
            <v>11.127541589648803</v>
          </cell>
          <cell r="T599">
            <v>0.56388888888888888</v>
          </cell>
          <cell r="U599">
            <v>0.67777777777777781</v>
          </cell>
          <cell r="V599">
            <v>62</v>
          </cell>
          <cell r="Z599">
            <v>0.24722222222222223</v>
          </cell>
          <cell r="AF599">
            <v>49.6</v>
          </cell>
          <cell r="AG599">
            <v>11.8</v>
          </cell>
          <cell r="AI599">
            <v>50.4</v>
          </cell>
          <cell r="AU599">
            <v>99.302688314491746</v>
          </cell>
          <cell r="AV599">
            <v>99.856688658335528</v>
          </cell>
          <cell r="AX599" t="str">
            <v>R. Regis</v>
          </cell>
        </row>
        <row r="600">
          <cell r="A600" t="str">
            <v>CA552</v>
          </cell>
          <cell r="P600">
            <v>60</v>
          </cell>
          <cell r="Q600">
            <v>9.6487985212569285</v>
          </cell>
          <cell r="T600">
            <v>0.65069444444444446</v>
          </cell>
          <cell r="U600">
            <v>0.76944444444444449</v>
          </cell>
          <cell r="V600">
            <v>60</v>
          </cell>
          <cell r="Z600">
            <v>0.25208333333333333</v>
          </cell>
          <cell r="AF600">
            <v>49.6</v>
          </cell>
          <cell r="AG600">
            <v>11.7</v>
          </cell>
          <cell r="AI600">
            <v>50.3</v>
          </cell>
          <cell r="AU600">
            <v>98.222221366406799</v>
          </cell>
          <cell r="AV600">
            <v>98.770193886926663</v>
          </cell>
          <cell r="AX600" t="str">
            <v>R. Regis</v>
          </cell>
        </row>
        <row r="601">
          <cell r="A601" t="str">
            <v>CA553</v>
          </cell>
          <cell r="P601">
            <v>61</v>
          </cell>
          <cell r="Q601">
            <v>13.345656192236596</v>
          </cell>
          <cell r="T601">
            <v>0.74444444444444446</v>
          </cell>
          <cell r="U601">
            <v>0.85902777777777772</v>
          </cell>
          <cell r="V601">
            <v>63</v>
          </cell>
          <cell r="Z601">
            <v>0.25486111111111109</v>
          </cell>
          <cell r="AF601">
            <v>49.2</v>
          </cell>
          <cell r="AG601">
            <v>11.8</v>
          </cell>
          <cell r="AI601">
            <v>50.7</v>
          </cell>
          <cell r="AU601">
            <v>99.769593439999099</v>
          </cell>
          <cell r="AV601">
            <v>100.32623545665831</v>
          </cell>
          <cell r="AX601" t="str">
            <v>R. Regis</v>
          </cell>
        </row>
        <row r="602">
          <cell r="A602" t="str">
            <v>CA554</v>
          </cell>
          <cell r="P602">
            <v>62</v>
          </cell>
          <cell r="Q602">
            <v>13.345656192236596</v>
          </cell>
          <cell r="T602">
            <v>0.8305555555555556</v>
          </cell>
          <cell r="U602">
            <v>0.9375</v>
          </cell>
          <cell r="V602">
            <v>60</v>
          </cell>
          <cell r="Z602">
            <v>0.25</v>
          </cell>
          <cell r="AF602">
            <v>48.4</v>
          </cell>
          <cell r="AG602">
            <v>12</v>
          </cell>
          <cell r="AI602">
            <v>49.8</v>
          </cell>
          <cell r="AU602">
            <v>99.869825686975531</v>
          </cell>
          <cell r="AV602">
            <v>100.42699003679635</v>
          </cell>
          <cell r="AX602" t="str">
            <v xml:space="preserve">D. Gomaz </v>
          </cell>
        </row>
        <row r="603">
          <cell r="A603" t="str">
            <v>CA555</v>
          </cell>
          <cell r="P603">
            <v>60</v>
          </cell>
          <cell r="Q603">
            <v>11.333333333333329</v>
          </cell>
          <cell r="T603">
            <v>1.0208333333333333</v>
          </cell>
          <cell r="U603">
            <v>1.1027777777777779</v>
          </cell>
          <cell r="V603">
            <v>53</v>
          </cell>
          <cell r="Z603">
            <v>0.22777777777777786</v>
          </cell>
          <cell r="AF603">
            <v>48.6</v>
          </cell>
          <cell r="AG603">
            <v>11.7</v>
          </cell>
          <cell r="AI603">
            <v>48.7</v>
          </cell>
          <cell r="AU603">
            <v>94.979636183315108</v>
          </cell>
          <cell r="AV603">
            <v>95.509553710326315</v>
          </cell>
          <cell r="AX603" t="str">
            <v xml:space="preserve">D. Gomaz </v>
          </cell>
        </row>
        <row r="604">
          <cell r="A604" t="str">
            <v>CA556</v>
          </cell>
          <cell r="P604">
            <v>60</v>
          </cell>
          <cell r="Q604">
            <v>12.236598890942693</v>
          </cell>
          <cell r="T604">
            <v>1.1145833333333333</v>
          </cell>
          <cell r="U604">
            <v>1.2277777777777779</v>
          </cell>
          <cell r="V604">
            <v>52</v>
          </cell>
          <cell r="Z604">
            <v>0.26944444444444449</v>
          </cell>
          <cell r="AF604">
            <v>48.2</v>
          </cell>
          <cell r="AG604">
            <v>11.9</v>
          </cell>
          <cell r="AI604">
            <v>49.2</v>
          </cell>
          <cell r="AU604">
            <v>97.924342221439488</v>
          </cell>
          <cell r="AV604">
            <v>98.470616640639733</v>
          </cell>
          <cell r="AX604" t="str">
            <v>K. Benjamin</v>
          </cell>
        </row>
        <row r="605">
          <cell r="A605" t="str">
            <v>CA557</v>
          </cell>
          <cell r="P605">
            <v>60</v>
          </cell>
          <cell r="Q605">
            <v>10.018484288354902</v>
          </cell>
          <cell r="T605">
            <v>0.19444444444444445</v>
          </cell>
          <cell r="U605">
            <v>0.3</v>
          </cell>
          <cell r="V605">
            <v>53</v>
          </cell>
          <cell r="Z605">
            <v>0.24444444444444444</v>
          </cell>
          <cell r="AF605">
            <v>49.8</v>
          </cell>
          <cell r="AG605">
            <v>11.9</v>
          </cell>
          <cell r="AI605">
            <v>50.7</v>
          </cell>
          <cell r="AU605">
            <v>100.78423889987383</v>
          </cell>
          <cell r="AV605">
            <v>101.34650467487214</v>
          </cell>
          <cell r="AX605" t="str">
            <v>K. Benjamin</v>
          </cell>
        </row>
        <row r="606">
          <cell r="A606" t="str">
            <v>CA558</v>
          </cell>
          <cell r="P606">
            <v>61</v>
          </cell>
          <cell r="Q606">
            <v>3.6923076923076956</v>
          </cell>
          <cell r="T606">
            <v>0.28402777777777777</v>
          </cell>
          <cell r="U606">
            <v>0.39027777777777778</v>
          </cell>
          <cell r="V606">
            <v>58</v>
          </cell>
          <cell r="Z606">
            <v>0.23749999999999999</v>
          </cell>
          <cell r="AF606">
            <v>50.8</v>
          </cell>
          <cell r="AG606">
            <v>12</v>
          </cell>
          <cell r="AI606">
            <v>51.3</v>
          </cell>
          <cell r="AU606">
            <v>103.00616380131203</v>
          </cell>
          <cell r="AV606">
            <v>103.58078734259007</v>
          </cell>
          <cell r="AX606" t="str">
            <v>K. Benjamin</v>
          </cell>
        </row>
        <row r="607">
          <cell r="A607" t="str">
            <v>CA559</v>
          </cell>
          <cell r="P607">
            <v>61</v>
          </cell>
          <cell r="Q607">
            <v>6.1567877629063084</v>
          </cell>
          <cell r="T607">
            <v>0.41666666666666669</v>
          </cell>
          <cell r="U607">
            <v>0.52777777777777779</v>
          </cell>
          <cell r="V607">
            <v>57</v>
          </cell>
          <cell r="Z607">
            <v>0.28819444444444442</v>
          </cell>
          <cell r="AF607">
            <v>49.8</v>
          </cell>
          <cell r="AG607">
            <v>11.7</v>
          </cell>
          <cell r="AI607">
            <v>50.5</v>
          </cell>
          <cell r="AU607">
            <v>98.735662358530632</v>
          </cell>
          <cell r="AV607">
            <v>99.286462755915878</v>
          </cell>
          <cell r="AX607" t="str">
            <v>K. Benjamin</v>
          </cell>
        </row>
        <row r="608">
          <cell r="A608" t="str">
            <v>CA560</v>
          </cell>
          <cell r="P608">
            <v>60</v>
          </cell>
          <cell r="Q608">
            <v>10.942698706099819</v>
          </cell>
          <cell r="T608">
            <v>0.50624999999999998</v>
          </cell>
          <cell r="U608">
            <v>0.61250000000000004</v>
          </cell>
          <cell r="V608">
            <v>59</v>
          </cell>
          <cell r="Z608">
            <v>0.24791666666666673</v>
          </cell>
          <cell r="AF608">
            <v>48.9</v>
          </cell>
          <cell r="AG608">
            <v>12</v>
          </cell>
          <cell r="AI608">
            <v>49.4</v>
          </cell>
          <cell r="AU608">
            <v>99.191120697559725</v>
          </cell>
          <cell r="AV608">
            <v>99.744461885457113</v>
          </cell>
          <cell r="AX608" t="str">
            <v>R. Regis</v>
          </cell>
        </row>
        <row r="609">
          <cell r="A609" t="str">
            <v>CA561</v>
          </cell>
          <cell r="P609">
            <v>62</v>
          </cell>
          <cell r="Q609">
            <v>11.127541589648803</v>
          </cell>
          <cell r="T609">
            <v>0.58819444444444446</v>
          </cell>
          <cell r="U609">
            <v>0.70208333333333328</v>
          </cell>
          <cell r="V609">
            <v>60</v>
          </cell>
          <cell r="Z609">
            <v>0.24722222222222218</v>
          </cell>
          <cell r="AF609">
            <v>49.2</v>
          </cell>
          <cell r="AG609">
            <v>11.9</v>
          </cell>
          <cell r="AI609">
            <v>49.9</v>
          </cell>
          <cell r="AU609">
            <v>99.137028566690901</v>
          </cell>
          <cell r="AV609">
            <v>99.871621348941517</v>
          </cell>
          <cell r="AX609" t="str">
            <v>R. Regis</v>
          </cell>
        </row>
        <row r="610">
          <cell r="A610" t="str">
            <v>CA562</v>
          </cell>
          <cell r="P610">
            <v>60</v>
          </cell>
          <cell r="Q610">
            <v>12.05175600739372</v>
          </cell>
          <cell r="T610">
            <v>0.67847222222222225</v>
          </cell>
          <cell r="U610">
            <v>0.78402777777777777</v>
          </cell>
          <cell r="V610">
            <v>61</v>
          </cell>
          <cell r="Z610">
            <v>0.23888888888888893</v>
          </cell>
          <cell r="AF610">
            <v>48.7</v>
          </cell>
          <cell r="AG610">
            <v>12</v>
          </cell>
          <cell r="AI610">
            <v>50</v>
          </cell>
          <cell r="AU610">
            <v>99.906988502754658</v>
          </cell>
          <cell r="AV610">
            <v>100.83031128192405</v>
          </cell>
          <cell r="AX610" t="str">
            <v>R. Regis</v>
          </cell>
        </row>
        <row r="611">
          <cell r="A611" t="str">
            <v>CA563</v>
          </cell>
          <cell r="P611">
            <v>60</v>
          </cell>
          <cell r="Q611">
            <v>14.824399260628471</v>
          </cell>
          <cell r="T611">
            <v>0.9243055555555556</v>
          </cell>
          <cell r="U611">
            <v>1.03125</v>
          </cell>
          <cell r="V611">
            <v>53</v>
          </cell>
          <cell r="Z611">
            <v>0.25347222222222221</v>
          </cell>
          <cell r="AF611">
            <v>47.2</v>
          </cell>
          <cell r="AG611">
            <v>12</v>
          </cell>
          <cell r="AI611">
            <v>47.1</v>
          </cell>
          <cell r="AU611">
            <v>94.112383169594878</v>
          </cell>
          <cell r="AV611">
            <v>94.982153227572468</v>
          </cell>
          <cell r="AX611" t="str">
            <v xml:space="preserve">D. Gomaz </v>
          </cell>
        </row>
        <row r="612">
          <cell r="A612" t="str">
            <v>CA564</v>
          </cell>
          <cell r="P612">
            <v>60</v>
          </cell>
          <cell r="Q612">
            <v>12.074074074074066</v>
          </cell>
          <cell r="T612">
            <v>1.0034722222222223</v>
          </cell>
          <cell r="U612">
            <v>1.1229166666666666</v>
          </cell>
          <cell r="V612">
            <v>53</v>
          </cell>
          <cell r="Z612">
            <v>0.2618055555555554</v>
          </cell>
          <cell r="AF612">
            <v>48.2</v>
          </cell>
          <cell r="AG612">
            <v>11.8</v>
          </cell>
          <cell r="AI612">
            <v>50.8</v>
          </cell>
          <cell r="AU612">
            <v>99.727537733596833</v>
          </cell>
          <cell r="AV612">
            <v>100.64920206038583</v>
          </cell>
          <cell r="AX612" t="str">
            <v xml:space="preserve">D. Gomaz </v>
          </cell>
        </row>
        <row r="613">
          <cell r="A613" t="str">
            <v>CA565</v>
          </cell>
          <cell r="P613">
            <v>60</v>
          </cell>
          <cell r="Q613">
            <v>10.03703703703704</v>
          </cell>
          <cell r="T613">
            <v>1.1006944444444444</v>
          </cell>
          <cell r="U613">
            <v>1.2159722222222222</v>
          </cell>
          <cell r="V613">
            <v>54</v>
          </cell>
          <cell r="Z613">
            <v>0.2680555555555556</v>
          </cell>
          <cell r="AF613">
            <v>49.3</v>
          </cell>
          <cell r="AG613">
            <v>11.9</v>
          </cell>
          <cell r="AI613">
            <v>51.5</v>
          </cell>
          <cell r="AU613">
            <v>102.00296712301547</v>
          </cell>
          <cell r="AV613">
            <v>102.9456605671778</v>
          </cell>
          <cell r="AX613" t="str">
            <v xml:space="preserve">D. Gomaz </v>
          </cell>
        </row>
        <row r="614">
          <cell r="A614" t="str">
            <v>CA566</v>
          </cell>
          <cell r="P614">
            <v>61</v>
          </cell>
          <cell r="Q614">
            <v>10.592592592592592</v>
          </cell>
          <cell r="T614">
            <v>0.19583333333333333</v>
          </cell>
          <cell r="U614">
            <v>0.30902777777777779</v>
          </cell>
          <cell r="V614">
            <v>59</v>
          </cell>
          <cell r="Z614">
            <v>0.25694444444444448</v>
          </cell>
          <cell r="AF614">
            <v>49.4</v>
          </cell>
          <cell r="AG614">
            <v>12</v>
          </cell>
          <cell r="AI614">
            <v>50.2</v>
          </cell>
          <cell r="AU614">
            <v>100.30661645676568</v>
          </cell>
          <cell r="AV614">
            <v>101.23363252705178</v>
          </cell>
          <cell r="AX614" t="str">
            <v>K. Benjamin</v>
          </cell>
        </row>
        <row r="615">
          <cell r="A615" t="str">
            <v>CA567</v>
          </cell>
          <cell r="P615">
            <v>60</v>
          </cell>
          <cell r="Q615">
            <v>9.6666666666666643</v>
          </cell>
          <cell r="T615">
            <v>0.28472222222222221</v>
          </cell>
          <cell r="U615">
            <v>0.3972222222222222</v>
          </cell>
          <cell r="V615">
            <v>58</v>
          </cell>
          <cell r="Z615">
            <v>0.25138888888888888</v>
          </cell>
          <cell r="AF615">
            <v>51.6</v>
          </cell>
          <cell r="AG615">
            <v>11.6</v>
          </cell>
          <cell r="AI615">
            <v>53.1</v>
          </cell>
          <cell r="AU615">
            <v>102.38430000747583</v>
          </cell>
          <cell r="AV615">
            <v>103.33051766294656</v>
          </cell>
          <cell r="AX615" t="str">
            <v>R. Regis</v>
          </cell>
        </row>
        <row r="616">
          <cell r="A616" t="str">
            <v>CA568</v>
          </cell>
          <cell r="P616">
            <v>61</v>
          </cell>
          <cell r="Q616">
            <v>12.791127541589651</v>
          </cell>
          <cell r="T616">
            <v>0.38194444444444442</v>
          </cell>
          <cell r="U616">
            <v>0.49513888888888891</v>
          </cell>
          <cell r="V616">
            <v>63</v>
          </cell>
          <cell r="Z616">
            <v>0.26597222222222228</v>
          </cell>
          <cell r="AF616">
            <v>49.1</v>
          </cell>
          <cell r="AG616">
            <v>11.6</v>
          </cell>
          <cell r="AI616">
            <v>50.4</v>
          </cell>
          <cell r="AU616">
            <v>97.178318651163494</v>
          </cell>
          <cell r="AV616">
            <v>98.076423544491632</v>
          </cell>
          <cell r="AX616" t="str">
            <v>R. Regis</v>
          </cell>
        </row>
        <row r="617">
          <cell r="A617" t="str">
            <v>CA569</v>
          </cell>
          <cell r="P617">
            <v>60</v>
          </cell>
          <cell r="Q617">
            <v>12.236598890942693</v>
          </cell>
          <cell r="T617">
            <v>0.47083333333333333</v>
          </cell>
          <cell r="U617">
            <v>0.58263888888888893</v>
          </cell>
          <cell r="V617">
            <v>58</v>
          </cell>
          <cell r="Z617">
            <v>0.24583333333333335</v>
          </cell>
          <cell r="AF617">
            <v>48.6</v>
          </cell>
          <cell r="AG617">
            <v>12.1</v>
          </cell>
          <cell r="AI617">
            <v>49.4</v>
          </cell>
          <cell r="AU617">
            <v>99.448779663128292</v>
          </cell>
          <cell r="AV617">
            <v>100.36792861023712</v>
          </cell>
          <cell r="AX617" t="str">
            <v>R. Regis</v>
          </cell>
        </row>
        <row r="618">
          <cell r="A618" t="str">
            <v>CA570</v>
          </cell>
          <cell r="P618">
            <v>61</v>
          </cell>
          <cell r="Q618">
            <v>12.236598890942693</v>
          </cell>
          <cell r="T618">
            <v>0.56180555555555556</v>
          </cell>
          <cell r="U618">
            <v>0.67222222222222228</v>
          </cell>
          <cell r="V618">
            <v>65</v>
          </cell>
          <cell r="Z618">
            <v>0.24513888888888896</v>
          </cell>
          <cell r="AF618">
            <v>49.4</v>
          </cell>
          <cell r="AG618">
            <v>11.7</v>
          </cell>
          <cell r="AI618">
            <v>50.6</v>
          </cell>
          <cell r="AU618">
            <v>98.327017995218057</v>
          </cell>
          <cell r="AV618">
            <v>99.235799132289785</v>
          </cell>
          <cell r="AX618" t="str">
            <v>R. Regis</v>
          </cell>
        </row>
        <row r="619">
          <cell r="A619" t="str">
            <v>CA571</v>
          </cell>
          <cell r="P619">
            <v>57</v>
          </cell>
          <cell r="Q619">
            <v>14.824399260628471</v>
          </cell>
          <cell r="T619">
            <v>1.1590277777777778</v>
          </cell>
          <cell r="U619">
            <v>1.2666666666666666</v>
          </cell>
          <cell r="V619">
            <v>54</v>
          </cell>
          <cell r="Z619">
            <v>0.24583333333333335</v>
          </cell>
          <cell r="AF619">
            <v>47.1</v>
          </cell>
          <cell r="AG619">
            <v>12.1</v>
          </cell>
          <cell r="AI619">
            <v>48</v>
          </cell>
          <cell r="AU619">
            <v>96.630393194942471</v>
          </cell>
          <cell r="AV619">
            <v>97.523493386465191</v>
          </cell>
          <cell r="AX619" t="str">
            <v>R. Sookram</v>
          </cell>
        </row>
        <row r="620">
          <cell r="A620" t="str">
            <v>CA572</v>
          </cell>
          <cell r="P620">
            <v>60</v>
          </cell>
          <cell r="Q620">
            <v>11.866913123844734</v>
          </cell>
          <cell r="T620">
            <v>0.25069444444444444</v>
          </cell>
          <cell r="U620">
            <v>0.36388888888888887</v>
          </cell>
          <cell r="V620">
            <v>62</v>
          </cell>
          <cell r="Z620">
            <v>0.25972222222222219</v>
          </cell>
          <cell r="AF620">
            <v>49.6</v>
          </cell>
          <cell r="AG620">
            <v>11.7</v>
          </cell>
          <cell r="AI620">
            <v>51.4</v>
          </cell>
          <cell r="AU620">
            <v>99.633829486310873</v>
          </cell>
          <cell r="AV620">
            <v>100.55481022404247</v>
          </cell>
          <cell r="AX620" t="str">
            <v>R. Sookram</v>
          </cell>
        </row>
        <row r="621">
          <cell r="A621" t="str">
            <v>CA573</v>
          </cell>
          <cell r="P621">
            <v>60</v>
          </cell>
          <cell r="Q621">
            <v>13.530499075785581</v>
          </cell>
          <cell r="T621">
            <v>0.34027777777777779</v>
          </cell>
          <cell r="U621">
            <v>0.4909722222222222</v>
          </cell>
          <cell r="V621">
            <v>134</v>
          </cell>
          <cell r="Z621">
            <v>0.3034722222222222</v>
          </cell>
          <cell r="AF621">
            <v>47.5</v>
          </cell>
          <cell r="AG621">
            <v>11.8</v>
          </cell>
          <cell r="AI621">
            <v>50.3</v>
          </cell>
          <cell r="AU621">
            <v>98.745967480313396</v>
          </cell>
          <cell r="AV621">
            <v>99.658560307822981</v>
          </cell>
          <cell r="AX621" t="str">
            <v>R. Sookram</v>
          </cell>
        </row>
        <row r="622">
          <cell r="A622" t="str">
            <v>CA574</v>
          </cell>
          <cell r="P622">
            <v>115</v>
          </cell>
          <cell r="Q622">
            <v>11.127541589648803</v>
          </cell>
          <cell r="T622">
            <v>0.4152777777777778</v>
          </cell>
          <cell r="U622">
            <v>0.56111111111111112</v>
          </cell>
          <cell r="V622">
            <v>61</v>
          </cell>
          <cell r="Z622">
            <v>0.2902777777777778</v>
          </cell>
          <cell r="AF622">
            <v>48.8</v>
          </cell>
          <cell r="AG622">
            <v>11.8</v>
          </cell>
          <cell r="AI622">
            <v>49.7</v>
          </cell>
          <cell r="AU622">
            <v>97.446768754393304</v>
          </cell>
          <cell r="AV622">
            <v>98.347414244495411</v>
          </cell>
          <cell r="AX622" t="str">
            <v>R. Sookram</v>
          </cell>
        </row>
        <row r="623">
          <cell r="A623" t="str">
            <v>CA575</v>
          </cell>
          <cell r="P623">
            <v>61</v>
          </cell>
          <cell r="Q623" t="e">
            <v>#DIV/0!</v>
          </cell>
          <cell r="T623">
            <v>0.53819444444444442</v>
          </cell>
          <cell r="U623">
            <v>0.65069444444444446</v>
          </cell>
          <cell r="V623">
            <v>63</v>
          </cell>
          <cell r="Z623">
            <v>0.28611111111111115</v>
          </cell>
          <cell r="AF623">
            <v>49.9</v>
          </cell>
          <cell r="AG623">
            <v>11.7</v>
          </cell>
          <cell r="AI623">
            <v>51.4</v>
          </cell>
          <cell r="AU623">
            <v>99.881595354826231</v>
          </cell>
          <cell r="AV623">
            <v>100.80474457311648</v>
          </cell>
          <cell r="AX623" t="str">
            <v xml:space="preserve">P. Calliste </v>
          </cell>
        </row>
        <row r="624">
          <cell r="A624" t="str">
            <v>CA576</v>
          </cell>
          <cell r="P624">
            <v>62</v>
          </cell>
          <cell r="Q624">
            <v>12.05175600739372</v>
          </cell>
          <cell r="T624">
            <v>0.63611111111111107</v>
          </cell>
          <cell r="U624">
            <v>0.74375000000000002</v>
          </cell>
          <cell r="V624">
            <v>59</v>
          </cell>
          <cell r="Z624">
            <v>0.24722222222222223</v>
          </cell>
          <cell r="AF624">
            <v>48.3</v>
          </cell>
          <cell r="AG624">
            <v>12</v>
          </cell>
          <cell r="AI624">
            <v>49.2</v>
          </cell>
          <cell r="AU624">
            <v>98.064310250675931</v>
          </cell>
          <cell r="AV624">
            <v>98.970723185470447</v>
          </cell>
          <cell r="AX624" t="str">
            <v xml:space="preserve">P. Calliste </v>
          </cell>
        </row>
        <row r="625">
          <cell r="A625" t="str">
            <v>CA577</v>
          </cell>
          <cell r="P625">
            <v>61</v>
          </cell>
          <cell r="Q625">
            <v>12.05175600739372</v>
          </cell>
          <cell r="T625">
            <v>0.72013888888888888</v>
          </cell>
          <cell r="U625">
            <v>0.83125000000000004</v>
          </cell>
          <cell r="V625">
            <v>60</v>
          </cell>
          <cell r="Z625">
            <v>0.24791666666666667</v>
          </cell>
          <cell r="AF625">
            <v>48.3</v>
          </cell>
          <cell r="AG625">
            <v>12</v>
          </cell>
          <cell r="AI625">
            <v>49.2</v>
          </cell>
          <cell r="AU625">
            <v>98.308476686710605</v>
          </cell>
          <cell r="AV625">
            <v>99.217026301413298</v>
          </cell>
          <cell r="AX625" t="str">
            <v xml:space="preserve">P. Calliste </v>
          </cell>
        </row>
        <row r="626">
          <cell r="A626" t="str">
            <v>CA578</v>
          </cell>
          <cell r="P626">
            <v>61</v>
          </cell>
          <cell r="Q626">
            <v>12.606284658040664</v>
          </cell>
          <cell r="T626">
            <v>0.81805555555555554</v>
          </cell>
          <cell r="U626">
            <v>0.92638888888888893</v>
          </cell>
          <cell r="V626">
            <v>61</v>
          </cell>
          <cell r="Z626">
            <v>0.25277777777777777</v>
          </cell>
          <cell r="AF626">
            <v>49.6</v>
          </cell>
          <cell r="AG626">
            <v>12</v>
          </cell>
          <cell r="AI626">
            <v>51.2</v>
          </cell>
          <cell r="AU626">
            <v>102.30475622682079</v>
          </cell>
          <cell r="AV626">
            <v>103.25023875269027</v>
          </cell>
          <cell r="AX626" t="str">
            <v>R. Regis</v>
          </cell>
        </row>
        <row r="627">
          <cell r="A627" t="str">
            <v>CA579</v>
          </cell>
          <cell r="P627">
            <v>57</v>
          </cell>
          <cell r="Q627">
            <v>13.555555555555557</v>
          </cell>
          <cell r="T627">
            <v>1.0097222222222222</v>
          </cell>
          <cell r="U627">
            <v>1.1152777777777778</v>
          </cell>
          <cell r="V627">
            <v>60</v>
          </cell>
          <cell r="Z627">
            <v>0.26111111111111118</v>
          </cell>
          <cell r="AF627">
            <v>47.7</v>
          </cell>
          <cell r="AG627">
            <v>11.8</v>
          </cell>
          <cell r="AI627">
            <v>48.2</v>
          </cell>
          <cell r="AU627">
            <v>94.623372416522983</v>
          </cell>
          <cell r="AV627">
            <v>95.497864947059</v>
          </cell>
          <cell r="AX627" t="str">
            <v>R. Regis</v>
          </cell>
        </row>
        <row r="628">
          <cell r="A628" t="str">
            <v>CA580</v>
          </cell>
          <cell r="P628">
            <v>67</v>
          </cell>
          <cell r="Q628">
            <v>7.985212569316082</v>
          </cell>
          <cell r="T628">
            <v>1.0972222222222223</v>
          </cell>
          <cell r="U628">
            <v>1.2340277777777777</v>
          </cell>
          <cell r="V628">
            <v>65</v>
          </cell>
          <cell r="Z628">
            <v>0.2895833333333333</v>
          </cell>
          <cell r="AF628">
            <v>50.5</v>
          </cell>
          <cell r="AG628">
            <v>12</v>
          </cell>
          <cell r="AI628">
            <v>51.2</v>
          </cell>
          <cell r="AU628">
            <v>102.05066432590664</v>
          </cell>
          <cell r="AV628">
            <v>102.99392331496111</v>
          </cell>
          <cell r="AX628" t="str">
            <v>R. Sookram</v>
          </cell>
        </row>
        <row r="629">
          <cell r="A629" t="str">
            <v>CA581</v>
          </cell>
          <cell r="P629">
            <v>58</v>
          </cell>
          <cell r="Q629">
            <v>12.999999999999993</v>
          </cell>
          <cell r="T629">
            <v>0.21041666666666667</v>
          </cell>
          <cell r="U629">
            <v>0.31180555555555556</v>
          </cell>
          <cell r="V629">
            <v>56</v>
          </cell>
          <cell r="Z629">
            <v>0.27013888888888887</v>
          </cell>
          <cell r="AF629">
            <v>58.7</v>
          </cell>
          <cell r="AG629">
            <v>12</v>
          </cell>
          <cell r="AI629">
            <v>49.4</v>
          </cell>
          <cell r="AU629">
            <v>98.46294565819899</v>
          </cell>
          <cell r="AV629">
            <v>99.373043198419509</v>
          </cell>
          <cell r="AX629" t="str">
            <v>R. Sookram</v>
          </cell>
        </row>
        <row r="630">
          <cell r="A630" t="str">
            <v>CA582</v>
          </cell>
          <cell r="P630">
            <v>58</v>
          </cell>
          <cell r="Q630">
            <v>8.5397412199630267</v>
          </cell>
          <cell r="T630">
            <v>0.32013888888888886</v>
          </cell>
          <cell r="U630">
            <v>0.43125000000000002</v>
          </cell>
          <cell r="V630">
            <v>64</v>
          </cell>
          <cell r="Z630">
            <v>0.25763888888888892</v>
          </cell>
          <cell r="AF630">
            <v>52.3</v>
          </cell>
          <cell r="AG630">
            <v>11.6</v>
          </cell>
          <cell r="AI630">
            <v>53.2</v>
          </cell>
          <cell r="AU630">
            <v>102.5771141317837</v>
          </cell>
          <cell r="AV630">
            <v>103.52511374140785</v>
          </cell>
          <cell r="AX630" t="str">
            <v>R. Sookram</v>
          </cell>
        </row>
        <row r="631">
          <cell r="A631" t="str">
            <v>CA583</v>
          </cell>
          <cell r="P631">
            <v>62</v>
          </cell>
          <cell r="Q631">
            <v>13.530499075785581</v>
          </cell>
          <cell r="T631">
            <v>0.40555555555555556</v>
          </cell>
          <cell r="U631">
            <v>0.51736111111111116</v>
          </cell>
          <cell r="V631">
            <v>62</v>
          </cell>
          <cell r="Z631">
            <v>0.24652777777777785</v>
          </cell>
          <cell r="AF631">
            <v>49.5</v>
          </cell>
          <cell r="AG631">
            <v>11.6</v>
          </cell>
          <cell r="AI631">
            <v>51.1</v>
          </cell>
          <cell r="AU631">
            <v>98.897378510792095</v>
          </cell>
          <cell r="AV631">
            <v>99.811188197746162</v>
          </cell>
          <cell r="AX631" t="str">
            <v>R. Sookram</v>
          </cell>
        </row>
        <row r="632">
          <cell r="A632" t="str">
            <v>CA584</v>
          </cell>
          <cell r="P632">
            <v>59</v>
          </cell>
          <cell r="Q632">
            <v>13.715341959334568</v>
          </cell>
          <cell r="T632">
            <v>0.49444444444444446</v>
          </cell>
          <cell r="U632">
            <v>0.60555555555555551</v>
          </cell>
          <cell r="V632">
            <v>63</v>
          </cell>
          <cell r="Z632">
            <v>0.25138888888888883</v>
          </cell>
          <cell r="AF632">
            <v>48.6</v>
          </cell>
          <cell r="AG632">
            <v>11.9</v>
          </cell>
          <cell r="AI632">
            <v>50</v>
          </cell>
          <cell r="AU632">
            <v>99.032006915549005</v>
          </cell>
          <cell r="AV632">
            <v>99.947243269104675</v>
          </cell>
          <cell r="AX632" t="str">
            <v xml:space="preserve">D. Gomaz </v>
          </cell>
        </row>
        <row r="633">
          <cell r="A633" t="str">
            <v>CA585</v>
          </cell>
          <cell r="P633">
            <v>60</v>
          </cell>
          <cell r="Q633">
            <v>13.900184842883553</v>
          </cell>
          <cell r="T633">
            <v>0.5854166666666667</v>
          </cell>
          <cell r="U633">
            <v>0.70138888888888884</v>
          </cell>
          <cell r="V633">
            <v>64</v>
          </cell>
          <cell r="Z633">
            <v>0.24999999999999994</v>
          </cell>
          <cell r="AF633">
            <v>50.1</v>
          </cell>
          <cell r="AG633">
            <v>11.7</v>
          </cell>
          <cell r="AI633">
            <v>51.6</v>
          </cell>
          <cell r="AU633">
            <v>100.3950691408541</v>
          </cell>
          <cell r="AV633">
            <v>101.32290267525677</v>
          </cell>
          <cell r="AX633" t="str">
            <v xml:space="preserve">D. Gomaz </v>
          </cell>
        </row>
        <row r="634">
          <cell r="A634" t="str">
            <v>CA586</v>
          </cell>
          <cell r="P634">
            <v>60</v>
          </cell>
          <cell r="Q634">
            <v>13.16081330868761</v>
          </cell>
          <cell r="T634">
            <v>0.72222222222222221</v>
          </cell>
          <cell r="U634">
            <v>0.83194444444444449</v>
          </cell>
          <cell r="V634">
            <v>59</v>
          </cell>
          <cell r="Z634">
            <v>0.20694444444444449</v>
          </cell>
          <cell r="AF634">
            <v>49.3</v>
          </cell>
          <cell r="AG634">
            <v>11.6</v>
          </cell>
          <cell r="AI634">
            <v>51</v>
          </cell>
          <cell r="AU634">
            <v>98.335203397010687</v>
          </cell>
          <cell r="AV634">
            <v>99.244000015259402</v>
          </cell>
          <cell r="AX634" t="str">
            <v xml:space="preserve">D. Gomaz </v>
          </cell>
        </row>
        <row r="635">
          <cell r="A635" t="str">
            <v>CA587</v>
          </cell>
          <cell r="P635">
            <v>59</v>
          </cell>
          <cell r="Q635">
            <v>12.074074074074066</v>
          </cell>
          <cell r="T635">
            <v>0.66041666666666665</v>
          </cell>
          <cell r="U635">
            <v>0.7680555555555556</v>
          </cell>
          <cell r="V635">
            <v>52</v>
          </cell>
          <cell r="Z635">
            <v>0.24027777777777781</v>
          </cell>
          <cell r="AF635">
            <v>48.2</v>
          </cell>
          <cell r="AG635">
            <v>11.7</v>
          </cell>
          <cell r="AI635">
            <v>48.3</v>
          </cell>
          <cell r="AU635">
            <v>92.210476129367706</v>
          </cell>
          <cell r="AV635">
            <v>93.219025372648517</v>
          </cell>
          <cell r="AX635" t="str">
            <v xml:space="preserve">D. Gomaz </v>
          </cell>
        </row>
        <row r="636">
          <cell r="A636" t="str">
            <v>CA588</v>
          </cell>
          <cell r="P636">
            <v>59</v>
          </cell>
          <cell r="Q636">
            <v>11.333333333333329</v>
          </cell>
          <cell r="T636">
            <v>0.74722222222222223</v>
          </cell>
          <cell r="U636">
            <v>0.84930555555555554</v>
          </cell>
          <cell r="V636">
            <v>53</v>
          </cell>
          <cell r="Z636">
            <v>0.23819444444444438</v>
          </cell>
          <cell r="AF636">
            <v>48.6</v>
          </cell>
          <cell r="AG636">
            <v>11.8</v>
          </cell>
          <cell r="AI636">
            <v>49.4</v>
          </cell>
          <cell r="AU636">
            <v>95.392227245105218</v>
          </cell>
          <cell r="AV636">
            <v>96.43544295095505</v>
          </cell>
          <cell r="AX636" t="str">
            <v xml:space="preserve">D. Gomaz </v>
          </cell>
        </row>
        <row r="637">
          <cell r="A637" t="str">
            <v>CA589</v>
          </cell>
          <cell r="P637">
            <v>60</v>
          </cell>
          <cell r="Q637">
            <v>10.777777777777779</v>
          </cell>
          <cell r="T637">
            <v>0.83472222222222225</v>
          </cell>
          <cell r="U637">
            <v>0.94166666666666665</v>
          </cell>
          <cell r="V637">
            <v>58</v>
          </cell>
          <cell r="Z637">
            <v>0.24027777777777781</v>
          </cell>
          <cell r="AF637">
            <v>49.7</v>
          </cell>
          <cell r="AG637">
            <v>11.8</v>
          </cell>
          <cell r="AI637">
            <v>50.5</v>
          </cell>
          <cell r="AU637">
            <v>97.63611706509802</v>
          </cell>
          <cell r="AV637">
            <v>98.703803350865257</v>
          </cell>
          <cell r="AX637" t="str">
            <v>K. Benjamin</v>
          </cell>
        </row>
        <row r="638">
          <cell r="A638" t="str">
            <v>CA590</v>
          </cell>
          <cell r="P638">
            <v>60</v>
          </cell>
          <cell r="Q638">
            <v>10.592592592592592</v>
          </cell>
          <cell r="T638">
            <v>0.92847222222222225</v>
          </cell>
          <cell r="U638">
            <v>1.0395833333333333</v>
          </cell>
          <cell r="V638">
            <v>63</v>
          </cell>
          <cell r="Z638">
            <v>0.24791666666666667</v>
          </cell>
          <cell r="AF638">
            <v>49</v>
          </cell>
          <cell r="AG638">
            <v>11.6</v>
          </cell>
          <cell r="AI638">
            <v>49.9</v>
          </cell>
          <cell r="AU638">
            <v>96.053814988905671</v>
          </cell>
          <cell r="AV638">
            <v>97.103443152185164</v>
          </cell>
          <cell r="AX638" t="str">
            <v>K. Benjamin</v>
          </cell>
        </row>
        <row r="639">
          <cell r="A639" t="str">
            <v>CA591</v>
          </cell>
          <cell r="P639">
            <v>60</v>
          </cell>
          <cell r="Q639">
            <v>11.127541589648803</v>
          </cell>
          <cell r="T639">
            <v>1.01875</v>
          </cell>
          <cell r="U639">
            <v>1.1263888888888889</v>
          </cell>
          <cell r="V639">
            <v>61</v>
          </cell>
          <cell r="Z639">
            <v>0.24444444444444446</v>
          </cell>
          <cell r="AF639">
            <v>50</v>
          </cell>
          <cell r="AG639">
            <v>11.8</v>
          </cell>
          <cell r="AI639">
            <v>51.3</v>
          </cell>
          <cell r="AU639">
            <v>99.79568244859415</v>
          </cell>
          <cell r="AV639">
            <v>100.88663041924629</v>
          </cell>
          <cell r="AX639" t="str">
            <v>K. Benjamin</v>
          </cell>
        </row>
        <row r="640">
          <cell r="A640" t="str">
            <v>CA592</v>
          </cell>
          <cell r="P640">
            <v>61</v>
          </cell>
          <cell r="Q640">
            <v>13.530499075785581</v>
          </cell>
          <cell r="T640">
            <v>1.1152777777777778</v>
          </cell>
          <cell r="U640">
            <v>1.2256944444444444</v>
          </cell>
          <cell r="V640">
            <v>60</v>
          </cell>
          <cell r="Z640">
            <v>0.25347222222222221</v>
          </cell>
          <cell r="AF640">
            <v>49.9</v>
          </cell>
          <cell r="AG640">
            <v>11.6</v>
          </cell>
          <cell r="AI640">
            <v>51.3</v>
          </cell>
          <cell r="AU640">
            <v>96.232629291944676</v>
          </cell>
          <cell r="AV640">
            <v>97.285638129045438</v>
          </cell>
          <cell r="AX640" t="str">
            <v xml:space="preserve">P. Calliste </v>
          </cell>
        </row>
        <row r="641">
          <cell r="A641" t="str">
            <v>CA593</v>
          </cell>
          <cell r="P641">
            <v>60</v>
          </cell>
          <cell r="Q641">
            <v>9.4639556377079437</v>
          </cell>
          <cell r="T641">
            <v>0.20416666666666666</v>
          </cell>
          <cell r="U641">
            <v>0.31041666666666667</v>
          </cell>
          <cell r="V641">
            <v>62</v>
          </cell>
          <cell r="Z641">
            <v>0.24097222222222223</v>
          </cell>
          <cell r="AF641">
            <v>49.7</v>
          </cell>
          <cell r="AG641">
            <v>11.9</v>
          </cell>
          <cell r="AI641">
            <v>51.3</v>
          </cell>
          <cell r="AU641">
            <v>101.43741414543481</v>
          </cell>
          <cell r="AV641">
            <v>102.54587159410138</v>
          </cell>
          <cell r="AX641" t="str">
            <v xml:space="preserve">P. Calliste </v>
          </cell>
        </row>
        <row r="642">
          <cell r="A642" t="str">
            <v>CA594</v>
          </cell>
          <cell r="P642">
            <v>57</v>
          </cell>
          <cell r="Q642">
            <v>6.6913123844731928</v>
          </cell>
          <cell r="T642">
            <v>0.29444444444444445</v>
          </cell>
          <cell r="U642">
            <v>0.40694444444444444</v>
          </cell>
          <cell r="V642">
            <v>65</v>
          </cell>
          <cell r="Z642">
            <v>0.25069444444444444</v>
          </cell>
          <cell r="AF642">
            <v>52</v>
          </cell>
          <cell r="AG642">
            <v>11.8</v>
          </cell>
          <cell r="AI642">
            <v>53.6</v>
          </cell>
          <cell r="AU642">
            <v>102.9971064188906</v>
          </cell>
          <cell r="AV642">
            <v>104.12377790606475</v>
          </cell>
          <cell r="AX642" t="str">
            <v xml:space="preserve">P. Calliste </v>
          </cell>
        </row>
        <row r="643">
          <cell r="A643" t="str">
            <v>CA595</v>
          </cell>
          <cell r="P643">
            <v>58</v>
          </cell>
          <cell r="Q643">
            <v>12.791127541589651</v>
          </cell>
          <cell r="T643">
            <v>0.46805555555555556</v>
          </cell>
          <cell r="U643">
            <v>0.57916666666666672</v>
          </cell>
          <cell r="V643">
            <v>56</v>
          </cell>
          <cell r="Z643">
            <v>0.24930555555555561</v>
          </cell>
          <cell r="AF643">
            <v>47.9</v>
          </cell>
          <cell r="AG643">
            <v>12</v>
          </cell>
          <cell r="AI643">
            <v>48.2</v>
          </cell>
          <cell r="AU643">
            <v>96.510220819323507</v>
          </cell>
          <cell r="AV643">
            <v>97.564625831395674</v>
          </cell>
          <cell r="AX643" t="str">
            <v>R. Sookram</v>
          </cell>
        </row>
        <row r="644">
          <cell r="A644" t="str">
            <v>CA596</v>
          </cell>
          <cell r="P644">
            <v>58</v>
          </cell>
          <cell r="Q644">
            <v>8.9094269870609999</v>
          </cell>
          <cell r="T644">
            <v>0.56458333333333333</v>
          </cell>
          <cell r="U644">
            <v>0.67291666666666672</v>
          </cell>
          <cell r="V644">
            <v>63</v>
          </cell>
          <cell r="Z644">
            <v>0.2597222222222223</v>
          </cell>
          <cell r="AF644">
            <v>50.4</v>
          </cell>
          <cell r="AG644">
            <v>11.6</v>
          </cell>
          <cell r="AI644">
            <v>53.7</v>
          </cell>
          <cell r="AU644">
            <v>103.75607566491097</v>
          </cell>
          <cell r="AV644">
            <v>104.88964395731837</v>
          </cell>
          <cell r="AX644" t="str">
            <v>R. Sookram</v>
          </cell>
        </row>
        <row r="645">
          <cell r="A645" t="str">
            <v>CA597</v>
          </cell>
          <cell r="P645">
            <v>57</v>
          </cell>
          <cell r="Q645">
            <v>11.497227356746762</v>
          </cell>
          <cell r="T645">
            <v>0.65208333333333335</v>
          </cell>
          <cell r="U645">
            <v>0.75763888888888886</v>
          </cell>
          <cell r="V645">
            <v>58</v>
          </cell>
          <cell r="Z645">
            <v>0.26111111111111107</v>
          </cell>
          <cell r="AF645">
            <v>49.9</v>
          </cell>
          <cell r="AG645">
            <v>11.9</v>
          </cell>
          <cell r="AI645">
            <v>50.2</v>
          </cell>
          <cell r="AU645">
            <v>99.510131013090614</v>
          </cell>
          <cell r="AV645">
            <v>100.59738354026379</v>
          </cell>
          <cell r="AX645" t="str">
            <v>R. Sookram</v>
          </cell>
        </row>
        <row r="646">
          <cell r="A646" t="str">
            <v>CA598</v>
          </cell>
          <cell r="P646">
            <v>57</v>
          </cell>
          <cell r="Q646">
            <v>11.312384473197778</v>
          </cell>
          <cell r="T646">
            <v>0.73819444444444449</v>
          </cell>
          <cell r="U646">
            <v>0.84513888888888888</v>
          </cell>
          <cell r="V646">
            <v>63</v>
          </cell>
          <cell r="Z646">
            <v>0.25486111111111109</v>
          </cell>
          <cell r="AF646">
            <v>49.5</v>
          </cell>
          <cell r="AG646">
            <v>11.9</v>
          </cell>
          <cell r="AI646">
            <v>50.5</v>
          </cell>
          <cell r="AU646">
            <v>99.855544139268176</v>
          </cell>
          <cell r="AV646">
            <v>100.9467157017957</v>
          </cell>
          <cell r="AX646" t="str">
            <v>R. Sookram</v>
          </cell>
        </row>
        <row r="647">
          <cell r="A647" t="str">
            <v>CA599</v>
          </cell>
          <cell r="P647">
            <v>58</v>
          </cell>
          <cell r="Q647">
            <v>12.421441774491679</v>
          </cell>
          <cell r="T647">
            <v>0.83472222222222225</v>
          </cell>
          <cell r="U647">
            <v>0.94236111111111109</v>
          </cell>
          <cell r="V647">
            <v>62</v>
          </cell>
          <cell r="Z647">
            <v>0.26180555555555551</v>
          </cell>
          <cell r="AF647">
            <v>49.3</v>
          </cell>
          <cell r="AG647">
            <v>11.8</v>
          </cell>
          <cell r="AI647">
            <v>50.1</v>
          </cell>
          <cell r="AU647">
            <v>98.434449089980745</v>
          </cell>
          <cell r="AV647">
            <v>99.509948664188954</v>
          </cell>
          <cell r="AX647" t="str">
            <v>R. Sookram</v>
          </cell>
        </row>
        <row r="648">
          <cell r="A648" t="str">
            <v>CA600</v>
          </cell>
          <cell r="P648">
            <v>58</v>
          </cell>
          <cell r="Q648">
            <v>10.203327171903888</v>
          </cell>
          <cell r="T648">
            <v>0.92152777777777772</v>
          </cell>
          <cell r="U648">
            <v>1.03125</v>
          </cell>
          <cell r="V648">
            <v>63</v>
          </cell>
          <cell r="Z648">
            <v>0.25347222222222221</v>
          </cell>
          <cell r="AF648">
            <v>50.1</v>
          </cell>
          <cell r="AG648">
            <v>11.8</v>
          </cell>
          <cell r="AI648">
            <v>50.8</v>
          </cell>
          <cell r="AU648">
            <v>100.05955892682989</v>
          </cell>
          <cell r="AV648">
            <v>101.15266847204194</v>
          </cell>
          <cell r="AX648" t="str">
            <v>R. Sookram</v>
          </cell>
        </row>
        <row r="649">
          <cell r="A649" t="str">
            <v>CA601</v>
          </cell>
          <cell r="P649">
            <v>60</v>
          </cell>
          <cell r="Q649">
            <v>11.497227356746762</v>
          </cell>
          <cell r="T649">
            <v>1.0090277777777779</v>
          </cell>
          <cell r="U649">
            <v>1.1194444444444445</v>
          </cell>
          <cell r="V649">
            <v>60</v>
          </cell>
          <cell r="Z649">
            <v>0.2583333333333333</v>
          </cell>
          <cell r="AF649">
            <v>50.2</v>
          </cell>
          <cell r="AG649">
            <v>11.6</v>
          </cell>
          <cell r="AI649">
            <v>49.9</v>
          </cell>
          <cell r="AU649">
            <v>95.934372886641839</v>
          </cell>
          <cell r="AV649">
            <v>96.982765256204786</v>
          </cell>
          <cell r="AX649" t="str">
            <v>R. Sookram</v>
          </cell>
        </row>
        <row r="650">
          <cell r="A650" t="str">
            <v>CA602</v>
          </cell>
          <cell r="P650">
            <v>60</v>
          </cell>
          <cell r="Q650">
            <v>12.05175600739372</v>
          </cell>
          <cell r="T650">
            <v>1.1006944444444444</v>
          </cell>
          <cell r="U650">
            <v>1.21875</v>
          </cell>
          <cell r="V650">
            <v>60</v>
          </cell>
          <cell r="Z650">
            <v>0.26736111111111116</v>
          </cell>
          <cell r="AF650">
            <v>49.5</v>
          </cell>
          <cell r="AG650">
            <v>11.8</v>
          </cell>
          <cell r="AI650">
            <v>50.4</v>
          </cell>
          <cell r="AU650">
            <v>98.654470881741176</v>
          </cell>
          <cell r="AV650">
            <v>99.732589093009423</v>
          </cell>
          <cell r="AX650" t="str">
            <v>R. Sookram</v>
          </cell>
        </row>
        <row r="651">
          <cell r="A651" t="str">
            <v>CA603</v>
          </cell>
          <cell r="P651">
            <v>58</v>
          </cell>
          <cell r="Q651">
            <v>10.962962962962965</v>
          </cell>
          <cell r="T651">
            <v>0.30763888888888891</v>
          </cell>
          <cell r="U651">
            <v>0.41666666666666669</v>
          </cell>
          <cell r="V651">
            <v>54</v>
          </cell>
          <cell r="Z651">
            <v>0.26041666666666669</v>
          </cell>
          <cell r="AF651">
            <v>48.8</v>
          </cell>
          <cell r="AG651">
            <v>11.5</v>
          </cell>
          <cell r="AI651">
            <v>50.3</v>
          </cell>
          <cell r="AU651">
            <v>96.064625992960757</v>
          </cell>
          <cell r="AV651">
            <v>97.114302616090995</v>
          </cell>
          <cell r="AX651" t="str">
            <v>R. Regis</v>
          </cell>
        </row>
        <row r="652">
          <cell r="A652" t="str">
            <v>CA604</v>
          </cell>
          <cell r="P652">
            <v>61</v>
          </cell>
          <cell r="Q652">
            <v>12.814814814814818</v>
          </cell>
          <cell r="T652">
            <v>0.40972222222222221</v>
          </cell>
          <cell r="U652">
            <v>0.53194444444444444</v>
          </cell>
          <cell r="V652">
            <v>65</v>
          </cell>
          <cell r="Z652">
            <v>0.27152777777777776</v>
          </cell>
          <cell r="AF652">
            <v>47.8</v>
          </cell>
          <cell r="AG652">
            <v>11.7</v>
          </cell>
          <cell r="AI652">
            <v>50.2</v>
          </cell>
          <cell r="AU652">
            <v>97.26610918503755</v>
          </cell>
          <cell r="AV652">
            <v>98.329125266730799</v>
          </cell>
          <cell r="AX652" t="str">
            <v xml:space="preserve">P. Calliste </v>
          </cell>
        </row>
        <row r="653">
          <cell r="A653" t="str">
            <v>CA605</v>
          </cell>
          <cell r="P653">
            <v>61</v>
          </cell>
          <cell r="Q653">
            <v>10.962962962962965</v>
          </cell>
          <cell r="T653">
            <v>0.49791666666666667</v>
          </cell>
          <cell r="U653">
            <v>0.60277777777777775</v>
          </cell>
          <cell r="V653">
            <v>58</v>
          </cell>
          <cell r="Z653">
            <v>0.24861111111111106</v>
          </cell>
          <cell r="AF653">
            <v>48.8</v>
          </cell>
          <cell r="AG653">
            <v>12</v>
          </cell>
          <cell r="AI653">
            <v>49.6</v>
          </cell>
          <cell r="AU653">
            <v>98.696712146765265</v>
          </cell>
          <cell r="AV653">
            <v>99.775363211368557</v>
          </cell>
          <cell r="AX653" t="str">
            <v>K. Benjamin</v>
          </cell>
        </row>
        <row r="654">
          <cell r="A654" t="str">
            <v>CA606</v>
          </cell>
          <cell r="P654">
            <v>60</v>
          </cell>
          <cell r="Q654">
            <v>10.962962962962965</v>
          </cell>
          <cell r="T654">
            <v>0.59236111111111112</v>
          </cell>
          <cell r="U654">
            <v>0.71250000000000002</v>
          </cell>
          <cell r="V654">
            <v>63</v>
          </cell>
          <cell r="Z654">
            <v>0.26111111111111113</v>
          </cell>
          <cell r="AF654">
            <v>49.8</v>
          </cell>
          <cell r="AG654">
            <v>11.6</v>
          </cell>
          <cell r="AI654">
            <v>51</v>
          </cell>
          <cell r="AU654">
            <v>97.927386788830631</v>
          </cell>
          <cell r="AV654">
            <v>98.997629937928806</v>
          </cell>
          <cell r="AX654" t="str">
            <v>K. Benjamin</v>
          </cell>
        </row>
        <row r="655">
          <cell r="A655" t="str">
            <v>CA607</v>
          </cell>
          <cell r="P655">
            <v>58</v>
          </cell>
          <cell r="Q655">
            <v>0.96296296296295558</v>
          </cell>
          <cell r="T655">
            <v>0.67986111111111114</v>
          </cell>
          <cell r="U655">
            <v>0.81527777777777777</v>
          </cell>
          <cell r="V655">
            <v>66</v>
          </cell>
          <cell r="Z655">
            <v>0.27013888888888893</v>
          </cell>
          <cell r="AF655">
            <v>55.1</v>
          </cell>
          <cell r="AG655">
            <v>12.1</v>
          </cell>
          <cell r="AI655">
            <v>55.5</v>
          </cell>
          <cell r="AU655">
            <v>111.54257690015881</v>
          </cell>
          <cell r="AV655">
            <v>112.76153922810037</v>
          </cell>
          <cell r="AX655" t="str">
            <v>K. Benjamin</v>
          </cell>
        </row>
        <row r="656">
          <cell r="A656" t="str">
            <v>CA608</v>
          </cell>
          <cell r="P656">
            <v>58</v>
          </cell>
          <cell r="Q656">
            <v>6.8888888888888875</v>
          </cell>
          <cell r="T656">
            <v>0.7729166666666667</v>
          </cell>
          <cell r="U656">
            <v>0.8833333333333333</v>
          </cell>
          <cell r="V656">
            <v>66</v>
          </cell>
          <cell r="Z656">
            <v>0.24444444444444446</v>
          </cell>
          <cell r="AF656">
            <v>51</v>
          </cell>
          <cell r="AG656">
            <v>11.8</v>
          </cell>
          <cell r="AI656">
            <v>51.17</v>
          </cell>
          <cell r="AU656">
            <v>100.80384590106561</v>
          </cell>
          <cell r="AV656">
            <v>101.90559828894783</v>
          </cell>
          <cell r="AX656" t="str">
            <v>K. Benjamin</v>
          </cell>
        </row>
        <row r="657">
          <cell r="A657" t="str">
            <v>CA609</v>
          </cell>
          <cell r="P657">
            <v>69</v>
          </cell>
          <cell r="Q657">
            <v>11.888888888888891</v>
          </cell>
          <cell r="T657">
            <v>0.86875000000000002</v>
          </cell>
          <cell r="U657">
            <v>0.99722222222222223</v>
          </cell>
          <cell r="V657">
            <v>57</v>
          </cell>
          <cell r="Z657">
            <v>0.2680555555555556</v>
          </cell>
          <cell r="AF657">
            <v>48.3</v>
          </cell>
          <cell r="AG657">
            <v>12</v>
          </cell>
          <cell r="AI657">
            <v>49.1</v>
          </cell>
          <cell r="AU657">
            <v>97.823276952751186</v>
          </cell>
          <cell r="AV657">
            <v>98.892311690113686</v>
          </cell>
          <cell r="AX657" t="str">
            <v>K. Benjamin</v>
          </cell>
        </row>
        <row r="658">
          <cell r="A658" t="str">
            <v>CA610</v>
          </cell>
          <cell r="P658">
            <v>57</v>
          </cell>
          <cell r="Q658">
            <v>12.236598890942693</v>
          </cell>
          <cell r="T658">
            <v>0.9770833333333333</v>
          </cell>
          <cell r="U658">
            <v>1.0847222222222221</v>
          </cell>
          <cell r="V658">
            <v>62</v>
          </cell>
          <cell r="Z658">
            <v>0.26527777777777772</v>
          </cell>
          <cell r="AF658">
            <v>48.6</v>
          </cell>
          <cell r="AG658">
            <v>11.9</v>
          </cell>
          <cell r="AI658">
            <v>50</v>
          </cell>
          <cell r="AU658">
            <v>98.621300517774969</v>
          </cell>
          <cell r="AV658">
            <v>99.699127412736502</v>
          </cell>
          <cell r="AX658" t="str">
            <v>K. Benjamin</v>
          </cell>
        </row>
        <row r="659">
          <cell r="A659" t="str">
            <v>CA611</v>
          </cell>
          <cell r="P659">
            <v>61</v>
          </cell>
          <cell r="Q659">
            <v>13.345656192236596</v>
          </cell>
          <cell r="T659">
            <v>0.22708333333333333</v>
          </cell>
          <cell r="U659">
            <v>0.34305555555555556</v>
          </cell>
          <cell r="V659">
            <v>55</v>
          </cell>
          <cell r="Z659">
            <v>0.25624999999999998</v>
          </cell>
          <cell r="AF659">
            <v>47.6</v>
          </cell>
          <cell r="AG659">
            <v>11.9</v>
          </cell>
          <cell r="AI659">
            <v>47.2</v>
          </cell>
          <cell r="AU659">
            <v>92.983027682827753</v>
          </cell>
          <cell r="AV659">
            <v>93.999301138134399</v>
          </cell>
          <cell r="AX659" t="str">
            <v>K. Benjamin</v>
          </cell>
        </row>
        <row r="660">
          <cell r="A660" t="str">
            <v>CA612</v>
          </cell>
          <cell r="P660">
            <v>60</v>
          </cell>
          <cell r="Q660">
            <v>11.312384473197778</v>
          </cell>
          <cell r="T660">
            <v>0.32916666666666666</v>
          </cell>
          <cell r="U660">
            <v>0.44861111111111113</v>
          </cell>
          <cell r="V660">
            <v>62</v>
          </cell>
          <cell r="Z660">
            <v>0.2680555555555556</v>
          </cell>
          <cell r="AF660">
            <v>49.5</v>
          </cell>
          <cell r="AG660">
            <v>11.6</v>
          </cell>
          <cell r="AI660">
            <v>50.3</v>
          </cell>
          <cell r="AU660">
            <v>96.583285401532947</v>
          </cell>
          <cell r="AV660">
            <v>97.638838938780765</v>
          </cell>
          <cell r="AX660" t="str">
            <v>K. Benjamin</v>
          </cell>
        </row>
        <row r="661">
          <cell r="A661" t="str">
            <v>CA613</v>
          </cell>
          <cell r="P661">
            <v>61</v>
          </cell>
          <cell r="Q661">
            <v>12.606284658040664</v>
          </cell>
          <cell r="T661">
            <v>0.4236111111111111</v>
          </cell>
          <cell r="U661">
            <v>0.52916666666666667</v>
          </cell>
          <cell r="V661">
            <v>58</v>
          </cell>
          <cell r="Z661">
            <v>0.25833333333333336</v>
          </cell>
          <cell r="AF661">
            <v>48.4</v>
          </cell>
          <cell r="AG661">
            <v>11.9</v>
          </cell>
          <cell r="AI661">
            <v>49.1</v>
          </cell>
          <cell r="AU661">
            <v>96.846117108455005</v>
          </cell>
          <cell r="AV661">
            <v>97.904543119307235</v>
          </cell>
          <cell r="AX661" t="str">
            <v>K. Benjamin</v>
          </cell>
        </row>
        <row r="662">
          <cell r="A662" t="str">
            <v>CA614</v>
          </cell>
          <cell r="P662">
            <v>61</v>
          </cell>
          <cell r="Q662">
            <v>11.866913123844734</v>
          </cell>
          <cell r="T662">
            <v>0.50624999999999998</v>
          </cell>
          <cell r="U662">
            <v>0.6166666666666667</v>
          </cell>
          <cell r="V662">
            <v>61</v>
          </cell>
          <cell r="Z662">
            <v>0.25208333333333338</v>
          </cell>
          <cell r="AF662">
            <v>48.8</v>
          </cell>
          <cell r="AG662">
            <v>11.9</v>
          </cell>
          <cell r="AI662">
            <v>49.7</v>
          </cell>
          <cell r="AU662">
            <v>97.786680935858953</v>
          </cell>
          <cell r="AV662">
            <v>98.85552694299065</v>
          </cell>
          <cell r="AX662" t="str">
            <v xml:space="preserve">P. Calliste </v>
          </cell>
        </row>
        <row r="663">
          <cell r="A663" t="str">
            <v>CA615</v>
          </cell>
          <cell r="P663">
            <v>60</v>
          </cell>
          <cell r="Q663">
            <v>11.497227356746762</v>
          </cell>
          <cell r="T663">
            <v>0.58750000000000002</v>
          </cell>
          <cell r="U663">
            <v>0.69236111111111109</v>
          </cell>
          <cell r="V663">
            <v>58</v>
          </cell>
          <cell r="Z663">
            <v>0.2409722222222222</v>
          </cell>
          <cell r="AF663">
            <v>49</v>
          </cell>
          <cell r="AG663">
            <v>11.8</v>
          </cell>
          <cell r="AI663">
            <v>49.7</v>
          </cell>
          <cell r="AU663">
            <v>97.163447975823857</v>
          </cell>
          <cell r="AV663">
            <v>98.225342078677059</v>
          </cell>
          <cell r="AX663" t="str">
            <v xml:space="preserve">P. Calliste </v>
          </cell>
        </row>
        <row r="664">
          <cell r="A664" t="str">
            <v>CA616</v>
          </cell>
          <cell r="P664">
            <v>57</v>
          </cell>
          <cell r="Q664">
            <v>12.05175600739372</v>
          </cell>
          <cell r="T664">
            <v>0.67361111111111116</v>
          </cell>
          <cell r="U664">
            <v>0.77986111111111112</v>
          </cell>
          <cell r="V664">
            <v>59</v>
          </cell>
          <cell r="Z664">
            <v>0.2416666666666667</v>
          </cell>
          <cell r="AF664">
            <v>48.7</v>
          </cell>
          <cell r="AG664">
            <v>11.8</v>
          </cell>
          <cell r="AI664">
            <v>49.5</v>
          </cell>
          <cell r="AU664">
            <v>96.892783901710104</v>
          </cell>
          <cell r="AV664">
            <v>97.951650002062834</v>
          </cell>
          <cell r="AX664" t="str">
            <v xml:space="preserve">P. Calliste </v>
          </cell>
        </row>
        <row r="665">
          <cell r="A665" t="str">
            <v>CA617</v>
          </cell>
          <cell r="P665">
            <v>58</v>
          </cell>
          <cell r="Q665">
            <v>6.8761552680221785</v>
          </cell>
          <cell r="T665">
            <v>0.76041666666666663</v>
          </cell>
          <cell r="U665">
            <v>0.8833333333333333</v>
          </cell>
          <cell r="V665">
            <v>63</v>
          </cell>
          <cell r="Z665">
            <v>0.2583333333333333</v>
          </cell>
          <cell r="AF665">
            <v>51.1</v>
          </cell>
          <cell r="AG665">
            <v>11.8</v>
          </cell>
          <cell r="AI665">
            <v>51.9</v>
          </cell>
          <cell r="AU665">
            <v>101.21304317252451</v>
          </cell>
          <cell r="AV665">
            <v>102.31934063583201</v>
          </cell>
          <cell r="AX665" t="str">
            <v xml:space="preserve">P. Calliste </v>
          </cell>
        </row>
        <row r="666">
          <cell r="A666" t="str">
            <v>CA618</v>
          </cell>
          <cell r="P666">
            <v>57</v>
          </cell>
          <cell r="Q666">
            <v>12.236598890942693</v>
          </cell>
          <cell r="T666">
            <v>0.86041666666666672</v>
          </cell>
          <cell r="U666">
            <v>0.96666666666666667</v>
          </cell>
          <cell r="V666">
            <v>60</v>
          </cell>
          <cell r="Z666">
            <v>0.2583333333333333</v>
          </cell>
          <cell r="AF666">
            <v>48.2</v>
          </cell>
          <cell r="AG666">
            <v>11.8</v>
          </cell>
          <cell r="AI666">
            <v>49.1</v>
          </cell>
          <cell r="AU666">
            <v>96.229472441397689</v>
          </cell>
          <cell r="AV666">
            <v>97.281020101672127</v>
          </cell>
          <cell r="AX666" t="str">
            <v>R. Sookram</v>
          </cell>
        </row>
        <row r="667">
          <cell r="A667" t="str">
            <v>CA619</v>
          </cell>
          <cell r="P667">
            <v>60</v>
          </cell>
          <cell r="Q667">
            <v>11.866913123844734</v>
          </cell>
          <cell r="T667">
            <v>0.94722222222222219</v>
          </cell>
          <cell r="U667">
            <v>1.0534722222222221</v>
          </cell>
          <cell r="V667">
            <v>47</v>
          </cell>
          <cell r="Z667">
            <v>0.25902777777777775</v>
          </cell>
          <cell r="AF667">
            <v>49.2</v>
          </cell>
          <cell r="AG667">
            <v>11.8</v>
          </cell>
          <cell r="AI667">
            <v>50.1</v>
          </cell>
          <cell r="AU667">
            <v>98.804416600284995</v>
          </cell>
          <cell r="AV667">
            <v>99.883741847757022</v>
          </cell>
          <cell r="AX667" t="str">
            <v>R. Sookram</v>
          </cell>
        </row>
        <row r="668">
          <cell r="A668" t="str">
            <v>CA620</v>
          </cell>
          <cell r="P668">
            <v>62</v>
          </cell>
          <cell r="Q668">
            <v>9.4814814814814774</v>
          </cell>
          <cell r="T668">
            <v>1.1256944444444446</v>
          </cell>
          <cell r="U668">
            <v>1.2506944444444446</v>
          </cell>
          <cell r="V668">
            <v>53</v>
          </cell>
          <cell r="Z668">
            <v>0.27152777777777792</v>
          </cell>
          <cell r="AF668">
            <v>49.6</v>
          </cell>
          <cell r="AG668">
            <v>11.7</v>
          </cell>
          <cell r="AI668">
            <v>50.2</v>
          </cell>
          <cell r="AU668">
            <v>98.607570442650825</v>
          </cell>
          <cell r="AV668">
            <v>99.19095968915174</v>
          </cell>
          <cell r="AX668" t="str">
            <v>K. Benjamin</v>
          </cell>
        </row>
        <row r="669">
          <cell r="A669" t="str">
            <v>CA621</v>
          </cell>
          <cell r="P669">
            <v>61</v>
          </cell>
          <cell r="Q669">
            <v>8</v>
          </cell>
          <cell r="T669">
            <v>0.23819444444444443</v>
          </cell>
          <cell r="U669">
            <v>0.37152777777777779</v>
          </cell>
          <cell r="V669">
            <v>57</v>
          </cell>
          <cell r="Z669">
            <v>0.30208333333333337</v>
          </cell>
          <cell r="AF669">
            <v>51.7</v>
          </cell>
          <cell r="AG669">
            <v>11.9</v>
          </cell>
          <cell r="AI669">
            <v>52.5</v>
          </cell>
          <cell r="AU669">
            <v>105.37379988612518</v>
          </cell>
          <cell r="AV669">
            <v>105.46955826713973</v>
          </cell>
          <cell r="AX669" t="str">
            <v>K. Benjamin</v>
          </cell>
        </row>
        <row r="670">
          <cell r="A670" t="str">
            <v>CA622</v>
          </cell>
          <cell r="P670">
            <v>60</v>
          </cell>
          <cell r="Q670">
            <v>10.962962962962965</v>
          </cell>
          <cell r="T670">
            <v>0.35208333333333336</v>
          </cell>
          <cell r="U670">
            <v>0.46250000000000002</v>
          </cell>
          <cell r="V670">
            <v>58</v>
          </cell>
          <cell r="Z670">
            <v>0.30277777777777781</v>
          </cell>
          <cell r="AF670">
            <v>49.2</v>
          </cell>
          <cell r="AG670">
            <v>11.8</v>
          </cell>
          <cell r="AI670">
            <v>49.9</v>
          </cell>
          <cell r="AU670">
            <v>98.77626010729989</v>
          </cell>
          <cell r="AV670">
            <v>98.866046905772691</v>
          </cell>
          <cell r="AX670" t="str">
            <v>K. Benjamin</v>
          </cell>
        </row>
        <row r="671">
          <cell r="A671" t="str">
            <v>CA623</v>
          </cell>
          <cell r="P671">
            <v>61</v>
          </cell>
          <cell r="Q671">
            <v>12.791127541589651</v>
          </cell>
          <cell r="T671">
            <v>0.45069444444444445</v>
          </cell>
          <cell r="U671">
            <v>0.56041666666666667</v>
          </cell>
          <cell r="V671">
            <v>59</v>
          </cell>
          <cell r="Z671">
            <v>0.29305555555555557</v>
          </cell>
          <cell r="AF671">
            <v>48.8</v>
          </cell>
          <cell r="AG671">
            <v>11.8</v>
          </cell>
          <cell r="AI671">
            <v>49.6</v>
          </cell>
          <cell r="AU671">
            <v>98.182414856153798</v>
          </cell>
          <cell r="AV671">
            <v>98.271661854234978</v>
          </cell>
          <cell r="AX671" t="str">
            <v>K. Benjamin</v>
          </cell>
        </row>
        <row r="672">
          <cell r="A672" t="str">
            <v>CA624</v>
          </cell>
          <cell r="P672">
            <v>61</v>
          </cell>
          <cell r="Q672">
            <v>11.497227356746762</v>
          </cell>
          <cell r="T672">
            <v>0.54166666666666663</v>
          </cell>
          <cell r="U672">
            <v>0.64930555555555558</v>
          </cell>
          <cell r="V672">
            <v>60</v>
          </cell>
          <cell r="Z672">
            <v>0.24652777777777779</v>
          </cell>
          <cell r="AF672">
            <v>48.6</v>
          </cell>
          <cell r="AG672">
            <v>11.8</v>
          </cell>
          <cell r="AI672">
            <v>49.2</v>
          </cell>
          <cell r="AU672">
            <v>97.511963448181888</v>
          </cell>
          <cell r="AV672">
            <v>97.600595128152165</v>
          </cell>
          <cell r="AX672" t="str">
            <v>R. Regis</v>
          </cell>
        </row>
        <row r="673">
          <cell r="A673" t="str">
            <v>CA625</v>
          </cell>
          <cell r="P673">
            <v>70</v>
          </cell>
          <cell r="Q673">
            <v>10.203327171903888</v>
          </cell>
          <cell r="T673">
            <v>0.625</v>
          </cell>
          <cell r="U673">
            <v>0.73750000000000004</v>
          </cell>
          <cell r="V673">
            <v>62</v>
          </cell>
          <cell r="Z673">
            <v>0.24444444444444446</v>
          </cell>
          <cell r="AF673">
            <v>49.3</v>
          </cell>
          <cell r="AG673">
            <v>11.7</v>
          </cell>
          <cell r="AI673">
            <v>50</v>
          </cell>
          <cell r="AU673">
            <v>97.970030213156235</v>
          </cell>
          <cell r="AV673">
            <v>98.059090051669742</v>
          </cell>
          <cell r="AX673" t="str">
            <v xml:space="preserve">P. Calliste </v>
          </cell>
        </row>
        <row r="674">
          <cell r="A674" t="str">
            <v>CA626</v>
          </cell>
          <cell r="P674">
            <v>57</v>
          </cell>
          <cell r="Q674">
            <v>9.6487985212569285</v>
          </cell>
          <cell r="T674">
            <v>0.72083333333333333</v>
          </cell>
          <cell r="U674">
            <v>0.82708333333333328</v>
          </cell>
          <cell r="V674">
            <v>62</v>
          </cell>
          <cell r="Z674">
            <v>0.24374999999999991</v>
          </cell>
          <cell r="AF674">
            <v>49.6</v>
          </cell>
          <cell r="AG674">
            <v>11.7</v>
          </cell>
          <cell r="AI674">
            <v>53.3</v>
          </cell>
          <cell r="AU674">
            <v>104.5660106879633</v>
          </cell>
          <cell r="AV674">
            <v>104.66106032153462</v>
          </cell>
          <cell r="AX674" t="str">
            <v>R. Regis</v>
          </cell>
        </row>
        <row r="675">
          <cell r="A675" t="str">
            <v>CA627</v>
          </cell>
          <cell r="P675">
            <v>57</v>
          </cell>
          <cell r="Q675">
            <v>11.312384473197778</v>
          </cell>
          <cell r="T675">
            <v>0.80972222222222223</v>
          </cell>
          <cell r="U675">
            <v>0.92083333333333328</v>
          </cell>
          <cell r="V675">
            <v>68</v>
          </cell>
          <cell r="Z675">
            <v>0.24722222222222212</v>
          </cell>
          <cell r="AF675">
            <v>49.5</v>
          </cell>
          <cell r="AG675">
            <v>11.7</v>
          </cell>
          <cell r="AI675">
            <v>50.8</v>
          </cell>
          <cell r="AU675">
            <v>99.53755069656674</v>
          </cell>
          <cell r="AV675">
            <v>99.628035492496451</v>
          </cell>
          <cell r="AX675" t="str">
            <v>R. Sookram</v>
          </cell>
        </row>
        <row r="676">
          <cell r="A676" t="str">
            <v>CA628</v>
          </cell>
          <cell r="P676">
            <v>60</v>
          </cell>
          <cell r="Q676">
            <v>11.682070240295749</v>
          </cell>
          <cell r="T676">
            <v>0.97569444444444442</v>
          </cell>
          <cell r="U676">
            <v>1.0840277777777778</v>
          </cell>
          <cell r="V676">
            <v>57</v>
          </cell>
          <cell r="Z676">
            <v>0.24375000000000002</v>
          </cell>
          <cell r="AF676">
            <v>48.5</v>
          </cell>
          <cell r="AG676">
            <v>11.7</v>
          </cell>
          <cell r="AI676">
            <v>49.1</v>
          </cell>
          <cell r="AU676">
            <v>96.929373997463372</v>
          </cell>
          <cell r="AV676">
            <v>97.017452604329691</v>
          </cell>
          <cell r="AX676" t="str">
            <v>R. Sookram</v>
          </cell>
        </row>
        <row r="677">
          <cell r="A677" t="str">
            <v>CA629</v>
          </cell>
          <cell r="P677">
            <v>60</v>
          </cell>
          <cell r="Q677">
            <v>8.1851851851851887</v>
          </cell>
          <cell r="T677">
            <v>1.070138888888889</v>
          </cell>
          <cell r="U677">
            <v>1.1791666666666667</v>
          </cell>
          <cell r="V677">
            <v>58</v>
          </cell>
          <cell r="Z677">
            <v>0.25555555555555554</v>
          </cell>
          <cell r="AF677">
            <v>50.3</v>
          </cell>
          <cell r="AG677">
            <v>11.8</v>
          </cell>
          <cell r="AI677">
            <v>51.2</v>
          </cell>
          <cell r="AU677">
            <v>101.60245432656833</v>
          </cell>
          <cell r="AV677">
            <v>101.69479783645656</v>
          </cell>
          <cell r="AX677" t="str">
            <v>R. Sookram</v>
          </cell>
        </row>
        <row r="678">
          <cell r="A678" t="str">
            <v>CA630</v>
          </cell>
          <cell r="P678">
            <v>60</v>
          </cell>
          <cell r="Q678">
            <v>10.777777777777779</v>
          </cell>
          <cell r="T678">
            <v>1.1597222222222223</v>
          </cell>
          <cell r="U678">
            <v>1.2631944444444445</v>
          </cell>
          <cell r="V678">
            <v>52</v>
          </cell>
          <cell r="Z678">
            <v>0.25277777777777777</v>
          </cell>
          <cell r="AF678">
            <v>49.3</v>
          </cell>
          <cell r="AG678">
            <v>11.7</v>
          </cell>
          <cell r="AI678">
            <v>50.1</v>
          </cell>
          <cell r="AU678">
            <v>98.410586861189657</v>
          </cell>
          <cell r="AV678">
            <v>98.500035328146268</v>
          </cell>
          <cell r="AX678" t="str">
            <v>K. Benjamin</v>
          </cell>
        </row>
        <row r="679">
          <cell r="A679" t="str">
            <v>CA631</v>
          </cell>
          <cell r="P679">
            <v>59</v>
          </cell>
          <cell r="Q679">
            <v>10.03703703703704</v>
          </cell>
          <cell r="T679">
            <v>0.25763888888888886</v>
          </cell>
          <cell r="U679">
            <v>0.38541666666666669</v>
          </cell>
          <cell r="V679">
            <v>51</v>
          </cell>
          <cell r="Z679">
            <v>0.27083333333333337</v>
          </cell>
          <cell r="AF679">
            <v>49.3</v>
          </cell>
          <cell r="AG679">
            <v>11.8</v>
          </cell>
          <cell r="AI679">
            <v>49.4</v>
          </cell>
          <cell r="AU679">
            <v>97.543754381397036</v>
          </cell>
          <cell r="AV679">
            <v>97.632432569147824</v>
          </cell>
          <cell r="AX679" t="str">
            <v>K. Benjamin</v>
          </cell>
        </row>
        <row r="680">
          <cell r="A680" t="str">
            <v>CA632</v>
          </cell>
          <cell r="P680">
            <v>60</v>
          </cell>
          <cell r="Q680">
            <v>11.127541589648803</v>
          </cell>
          <cell r="T680">
            <v>0.36388888888888887</v>
          </cell>
          <cell r="U680">
            <v>0.46875</v>
          </cell>
          <cell r="V680">
            <v>52</v>
          </cell>
          <cell r="Z680">
            <v>0.25</v>
          </cell>
          <cell r="AF680">
            <v>48.8</v>
          </cell>
          <cell r="AG680">
            <v>11.9</v>
          </cell>
          <cell r="AI680">
            <v>49.6</v>
          </cell>
          <cell r="AU680">
            <v>99.05762276816165</v>
          </cell>
          <cell r="AV680">
            <v>99.147665322951823</v>
          </cell>
          <cell r="AX680" t="str">
            <v>K. Benjamin</v>
          </cell>
        </row>
        <row r="681">
          <cell r="A681" t="str">
            <v>CA633</v>
          </cell>
          <cell r="P681">
            <v>60</v>
          </cell>
          <cell r="Q681">
            <v>11.497227356746762</v>
          </cell>
          <cell r="T681">
            <v>0.45208333333333334</v>
          </cell>
          <cell r="U681">
            <v>0.56180555555555556</v>
          </cell>
          <cell r="V681">
            <v>57</v>
          </cell>
          <cell r="Z681">
            <v>0.24583333333333335</v>
          </cell>
          <cell r="AF681">
            <v>49</v>
          </cell>
          <cell r="AG681">
            <v>11.8</v>
          </cell>
          <cell r="AI681">
            <v>49.7</v>
          </cell>
          <cell r="AU681">
            <v>98.136125359421726</v>
          </cell>
          <cell r="AV681">
            <v>98.225342078677059</v>
          </cell>
          <cell r="AX681" t="str">
            <v>R. Regis</v>
          </cell>
        </row>
        <row r="682">
          <cell r="A682" t="str">
            <v>CA634</v>
          </cell>
          <cell r="P682">
            <v>63</v>
          </cell>
          <cell r="Q682">
            <v>85.064695009242158</v>
          </cell>
          <cell r="T682">
            <v>0.54305555555555551</v>
          </cell>
          <cell r="U682">
            <v>0.65763888888888888</v>
          </cell>
          <cell r="V682">
            <v>55</v>
          </cell>
          <cell r="Z682">
            <v>0.25138888888888888</v>
          </cell>
          <cell r="AF682">
            <v>48.8</v>
          </cell>
          <cell r="AG682">
            <v>11.8</v>
          </cell>
          <cell r="AI682">
            <v>49.6</v>
          </cell>
          <cell r="AU682">
            <v>98.060390142903103</v>
          </cell>
          <cell r="AV682">
            <v>98.14953212327913</v>
          </cell>
          <cell r="AX682" t="str">
            <v>R. Regis</v>
          </cell>
        </row>
        <row r="683">
          <cell r="A683" t="str">
            <v>CA635</v>
          </cell>
          <cell r="P683">
            <v>57</v>
          </cell>
          <cell r="Q683">
            <v>11.497227356746762</v>
          </cell>
          <cell r="T683">
            <v>0.64583333333333337</v>
          </cell>
          <cell r="U683">
            <v>0.75277777777777777</v>
          </cell>
          <cell r="V683">
            <v>59</v>
          </cell>
          <cell r="Z683">
            <v>0.25972222222222219</v>
          </cell>
          <cell r="AF683">
            <v>49.4</v>
          </cell>
          <cell r="AG683">
            <v>12</v>
          </cell>
          <cell r="AI683">
            <v>50.4</v>
          </cell>
          <cell r="AU683">
            <v>101.67116843535777</v>
          </cell>
          <cell r="AV683">
            <v>101.76358054710603</v>
          </cell>
          <cell r="AX683" t="str">
            <v>R. Regis</v>
          </cell>
        </row>
        <row r="684">
          <cell r="A684" t="str">
            <v>CA636</v>
          </cell>
          <cell r="P684">
            <v>57</v>
          </cell>
          <cell r="Q684">
            <v>10.942698706099819</v>
          </cell>
          <cell r="T684">
            <v>0.73611111111111116</v>
          </cell>
          <cell r="U684">
            <v>0.84861111111111109</v>
          </cell>
          <cell r="V684">
            <v>60</v>
          </cell>
          <cell r="Z684">
            <v>0.26180555555555551</v>
          </cell>
          <cell r="AF684">
            <v>48.9</v>
          </cell>
          <cell r="AG684">
            <v>11.9</v>
          </cell>
          <cell r="AI684">
            <v>49.8</v>
          </cell>
          <cell r="AU684">
            <v>99.954575891981591</v>
          </cell>
          <cell r="AV684">
            <v>100.04540955625822</v>
          </cell>
          <cell r="AX684" t="str">
            <v>R. Regis</v>
          </cell>
        </row>
        <row r="685">
          <cell r="A685" t="str">
            <v>CA637</v>
          </cell>
          <cell r="P685">
            <v>43</v>
          </cell>
          <cell r="Q685">
            <v>8.7407407407407387</v>
          </cell>
          <cell r="T685">
            <v>0.8256944444444444</v>
          </cell>
          <cell r="U685">
            <v>0.96666666666666667</v>
          </cell>
          <cell r="V685">
            <v>83</v>
          </cell>
          <cell r="Z685">
            <v>0.29652777777777783</v>
          </cell>
          <cell r="AF685">
            <v>50</v>
          </cell>
          <cell r="AG685">
            <v>11.8</v>
          </cell>
          <cell r="AI685">
            <v>50.6</v>
          </cell>
          <cell r="AU685">
            <v>100.91536339258649</v>
          </cell>
          <cell r="AV685">
            <v>101.00705785692503</v>
          </cell>
          <cell r="AX685" t="str">
            <v>R. Sookram</v>
          </cell>
        </row>
        <row r="686">
          <cell r="A686" t="str">
            <v>CA638</v>
          </cell>
          <cell r="P686">
            <v>58</v>
          </cell>
          <cell r="Q686">
            <v>12.999999999999993</v>
          </cell>
          <cell r="T686">
            <v>0.92986111111111114</v>
          </cell>
          <cell r="U686">
            <v>1.0375000000000001</v>
          </cell>
          <cell r="V686">
            <v>59</v>
          </cell>
          <cell r="Z686">
            <v>0.28402777777777788</v>
          </cell>
          <cell r="AF686">
            <v>47.7</v>
          </cell>
          <cell r="AG686">
            <v>11.8</v>
          </cell>
          <cell r="AI686">
            <v>50</v>
          </cell>
          <cell r="AU686">
            <v>99.843917256766318</v>
          </cell>
          <cell r="AV686">
            <v>99.934632060704061</v>
          </cell>
          <cell r="AX686" t="str">
            <v>R. Sookram</v>
          </cell>
        </row>
        <row r="687">
          <cell r="A687" t="str">
            <v>CA639</v>
          </cell>
          <cell r="P687">
            <v>60</v>
          </cell>
          <cell r="Q687">
            <v>27.259259259259256</v>
          </cell>
          <cell r="T687">
            <v>0.35625000000000001</v>
          </cell>
          <cell r="U687">
            <v>0.48472222222222222</v>
          </cell>
          <cell r="V687">
            <v>63</v>
          </cell>
          <cell r="Z687">
            <v>0.40138888888888891</v>
          </cell>
          <cell r="AG687">
            <v>11.6</v>
          </cell>
          <cell r="AI687">
            <v>44.3</v>
          </cell>
          <cell r="AU687">
            <v>86.450506030661657</v>
          </cell>
          <cell r="AV687">
            <v>86.5290731342496</v>
          </cell>
          <cell r="AX687" t="str">
            <v>R. Sookram</v>
          </cell>
        </row>
        <row r="688">
          <cell r="A688" t="str">
            <v>CA640</v>
          </cell>
          <cell r="P688">
            <v>60</v>
          </cell>
          <cell r="Q688">
            <v>10.962962962962965</v>
          </cell>
          <cell r="T688">
            <v>0.4861111111111111</v>
          </cell>
          <cell r="U688">
            <v>0.6</v>
          </cell>
          <cell r="V688">
            <v>55</v>
          </cell>
          <cell r="Z688">
            <v>0.43333333333333335</v>
          </cell>
          <cell r="AG688">
            <v>12.3</v>
          </cell>
          <cell r="AI688">
            <v>49.2</v>
          </cell>
          <cell r="AU688">
            <v>102.11257164728424</v>
          </cell>
          <cell r="AV688">
            <v>102.20537259620406</v>
          </cell>
          <cell r="AX688" t="str">
            <v>R. Sookram</v>
          </cell>
        </row>
        <row r="689">
          <cell r="A689" t="str">
            <v>CA641</v>
          </cell>
          <cell r="P689">
            <v>60</v>
          </cell>
          <cell r="Q689">
            <v>13.16081330868761</v>
          </cell>
          <cell r="T689">
            <v>0.64513888888888893</v>
          </cell>
          <cell r="U689">
            <v>0.75277777777777777</v>
          </cell>
          <cell r="V689">
            <v>57</v>
          </cell>
          <cell r="Z689">
            <v>0.24930555555555556</v>
          </cell>
          <cell r="AG689">
            <v>11.6</v>
          </cell>
          <cell r="AI689">
            <v>50.2</v>
          </cell>
          <cell r="AU689">
            <v>97.47721612822464</v>
          </cell>
          <cell r="AV689">
            <v>97.565827973175971</v>
          </cell>
          <cell r="AX689" t="str">
            <v>K. Benjamin</v>
          </cell>
        </row>
        <row r="690">
          <cell r="A690" t="str">
            <v>CA642</v>
          </cell>
          <cell r="P690">
            <v>60</v>
          </cell>
          <cell r="Q690">
            <v>11.497227356746762</v>
          </cell>
          <cell r="T690">
            <v>0.73055555555555551</v>
          </cell>
          <cell r="U690">
            <v>0.84166666666666667</v>
          </cell>
          <cell r="V690">
            <v>60</v>
          </cell>
          <cell r="Z690">
            <v>0.24791666666666667</v>
          </cell>
          <cell r="AG690">
            <v>11.8</v>
          </cell>
          <cell r="AI690">
            <v>50</v>
          </cell>
          <cell r="AU690">
            <v>98.974208524348597</v>
          </cell>
          <cell r="AV690">
            <v>99.064175256285267</v>
          </cell>
          <cell r="AX690" t="str">
            <v>K. Benjamin</v>
          </cell>
        </row>
        <row r="691">
          <cell r="A691" t="str">
            <v>CA643</v>
          </cell>
          <cell r="P691">
            <v>60</v>
          </cell>
          <cell r="Q691">
            <v>11.312384473197778</v>
          </cell>
          <cell r="T691">
            <v>0.82152777777777775</v>
          </cell>
          <cell r="U691">
            <v>0.93194444444444446</v>
          </cell>
          <cell r="V691">
            <v>62</v>
          </cell>
          <cell r="Z691">
            <v>0.24791666666666667</v>
          </cell>
          <cell r="AG691">
            <v>11.6</v>
          </cell>
          <cell r="AI691">
            <v>50.1</v>
          </cell>
          <cell r="AU691">
            <v>97.404095796574978</v>
          </cell>
          <cell r="AV691">
            <v>97.492635309107769</v>
          </cell>
          <cell r="AX691" t="str">
            <v>R. Regis</v>
          </cell>
        </row>
        <row r="692">
          <cell r="A692" t="str">
            <v>CA644</v>
          </cell>
          <cell r="P692">
            <v>60</v>
          </cell>
          <cell r="Q692">
            <v>11.497227356746762</v>
          </cell>
          <cell r="T692">
            <v>0.90902777777777777</v>
          </cell>
          <cell r="U692">
            <v>1.0229166666666667</v>
          </cell>
          <cell r="V692">
            <v>63</v>
          </cell>
          <cell r="Z692">
            <v>0.24861111111111112</v>
          </cell>
          <cell r="AG692">
            <v>11.6</v>
          </cell>
          <cell r="AI692">
            <v>50.27</v>
          </cell>
          <cell r="AU692">
            <v>97.613140533184307</v>
          </cell>
          <cell r="AV692">
            <v>97.701875940469236</v>
          </cell>
          <cell r="AX692" t="str">
            <v>R. Regis</v>
          </cell>
        </row>
        <row r="693">
          <cell r="A693" t="str">
            <v>CA645</v>
          </cell>
          <cell r="P693">
            <v>57</v>
          </cell>
          <cell r="Q693">
            <v>10.757855822550832</v>
          </cell>
          <cell r="T693">
            <v>1.0020833333333334</v>
          </cell>
          <cell r="U693">
            <v>1.1069444444444445</v>
          </cell>
          <cell r="V693">
            <v>63</v>
          </cell>
          <cell r="Z693">
            <v>0.24236111111111114</v>
          </cell>
          <cell r="AG693">
            <v>11.8</v>
          </cell>
          <cell r="AI693">
            <v>49.8</v>
          </cell>
          <cell r="AU693">
            <v>98.455794941866429</v>
          </cell>
          <cell r="AV693">
            <v>98.545296365711692</v>
          </cell>
          <cell r="AX693" t="str">
            <v>R. Regis</v>
          </cell>
        </row>
        <row r="694">
          <cell r="A694" t="str">
            <v>CA646</v>
          </cell>
          <cell r="P694">
            <v>61</v>
          </cell>
          <cell r="Q694">
            <v>12.236598890942693</v>
          </cell>
          <cell r="T694">
            <v>1.0923611111111111</v>
          </cell>
          <cell r="U694">
            <v>1.2034722222222223</v>
          </cell>
          <cell r="V694">
            <v>62</v>
          </cell>
          <cell r="Z694">
            <v>0.24861111111111112</v>
          </cell>
          <cell r="AG694">
            <v>11.9</v>
          </cell>
          <cell r="AI694">
            <v>48.78</v>
          </cell>
          <cell r="AU694">
            <v>97.298899458351812</v>
          </cell>
          <cell r="AV694">
            <v>97.387349204202138</v>
          </cell>
          <cell r="AX694" t="str">
            <v>R. Regis</v>
          </cell>
        </row>
      </sheetData>
      <sheetData sheetId="6"/>
      <sheetData sheetId="7">
        <row r="549">
          <cell r="D549">
            <v>11.6</v>
          </cell>
        </row>
        <row r="550">
          <cell r="D550">
            <v>11.8</v>
          </cell>
        </row>
        <row r="551">
          <cell r="D551">
            <v>11.9</v>
          </cell>
        </row>
        <row r="552">
          <cell r="D552">
            <v>11.8</v>
          </cell>
        </row>
        <row r="553">
          <cell r="D553">
            <v>11.6</v>
          </cell>
        </row>
        <row r="554">
          <cell r="D554">
            <v>11.7</v>
          </cell>
        </row>
        <row r="555">
          <cell r="D555">
            <v>11.7</v>
          </cell>
        </row>
        <row r="556">
          <cell r="D556">
            <v>11.8</v>
          </cell>
        </row>
        <row r="557">
          <cell r="D557">
            <v>11.8</v>
          </cell>
        </row>
        <row r="558">
          <cell r="D558">
            <v>11.7</v>
          </cell>
        </row>
        <row r="559">
          <cell r="D559">
            <v>12</v>
          </cell>
        </row>
        <row r="560">
          <cell r="D560">
            <v>12</v>
          </cell>
        </row>
        <row r="561">
          <cell r="D561">
            <v>11.8</v>
          </cell>
        </row>
        <row r="562">
          <cell r="D562">
            <v>11.7</v>
          </cell>
        </row>
        <row r="563">
          <cell r="D563">
            <v>11.8</v>
          </cell>
        </row>
        <row r="564">
          <cell r="D564">
            <v>11.8</v>
          </cell>
        </row>
        <row r="565">
          <cell r="D565">
            <v>12</v>
          </cell>
        </row>
        <row r="566">
          <cell r="D566">
            <v>11.9</v>
          </cell>
        </row>
        <row r="567">
          <cell r="D567">
            <v>11.7</v>
          </cell>
        </row>
        <row r="568">
          <cell r="D568">
            <v>11.9</v>
          </cell>
        </row>
        <row r="569">
          <cell r="D569">
            <v>11.6</v>
          </cell>
        </row>
        <row r="570">
          <cell r="D570">
            <v>11.8</v>
          </cell>
        </row>
        <row r="571">
          <cell r="D571">
            <v>11.7</v>
          </cell>
        </row>
        <row r="572">
          <cell r="D572">
            <v>12.1</v>
          </cell>
        </row>
        <row r="573">
          <cell r="D573">
            <v>11.3</v>
          </cell>
        </row>
        <row r="574">
          <cell r="D574">
            <v>12.4</v>
          </cell>
        </row>
        <row r="575">
          <cell r="D575">
            <v>11.7</v>
          </cell>
        </row>
        <row r="576">
          <cell r="D576">
            <v>11.8</v>
          </cell>
        </row>
        <row r="577">
          <cell r="D577">
            <v>11.7</v>
          </cell>
        </row>
        <row r="578">
          <cell r="D578">
            <v>11.8</v>
          </cell>
        </row>
        <row r="579">
          <cell r="D579">
            <v>11.7</v>
          </cell>
        </row>
        <row r="580">
          <cell r="D580">
            <v>11.9</v>
          </cell>
        </row>
        <row r="581">
          <cell r="D581">
            <v>12</v>
          </cell>
        </row>
        <row r="582">
          <cell r="D582">
            <v>12</v>
          </cell>
        </row>
        <row r="583">
          <cell r="D583">
            <v>11.7</v>
          </cell>
        </row>
        <row r="584">
          <cell r="D584">
            <v>11.9</v>
          </cell>
        </row>
        <row r="585">
          <cell r="D585">
            <v>11.9</v>
          </cell>
        </row>
        <row r="586">
          <cell r="D586">
            <v>12</v>
          </cell>
        </row>
        <row r="587">
          <cell r="D587">
            <v>11.7</v>
          </cell>
        </row>
        <row r="588">
          <cell r="D588">
            <v>11.9</v>
          </cell>
        </row>
        <row r="589">
          <cell r="D589">
            <v>11.9</v>
          </cell>
        </row>
        <row r="590">
          <cell r="D590">
            <v>11.7</v>
          </cell>
        </row>
        <row r="591">
          <cell r="D591">
            <v>12.1</v>
          </cell>
        </row>
        <row r="592">
          <cell r="D592">
            <v>12</v>
          </cell>
        </row>
        <row r="593">
          <cell r="D593">
            <v>11.6</v>
          </cell>
        </row>
        <row r="594">
          <cell r="D594">
            <v>11.8</v>
          </cell>
        </row>
        <row r="595">
          <cell r="D595">
            <v>11.7</v>
          </cell>
        </row>
        <row r="596">
          <cell r="D596">
            <v>11.7</v>
          </cell>
        </row>
        <row r="598">
          <cell r="D598">
            <v>12</v>
          </cell>
        </row>
        <row r="599">
          <cell r="D599">
            <v>12</v>
          </cell>
        </row>
        <row r="600">
          <cell r="D600">
            <v>11.7</v>
          </cell>
        </row>
        <row r="601">
          <cell r="D601">
            <v>11.9</v>
          </cell>
        </row>
        <row r="602">
          <cell r="D602">
            <v>11.8</v>
          </cell>
        </row>
        <row r="603">
          <cell r="D603">
            <v>11.7</v>
          </cell>
        </row>
        <row r="604">
          <cell r="D604">
            <v>11.8</v>
          </cell>
        </row>
        <row r="605">
          <cell r="D605">
            <v>12</v>
          </cell>
        </row>
        <row r="606">
          <cell r="D606">
            <v>11.7</v>
          </cell>
        </row>
        <row r="607">
          <cell r="D607">
            <v>11.9</v>
          </cell>
        </row>
        <row r="608">
          <cell r="D608">
            <v>11.9</v>
          </cell>
        </row>
        <row r="609">
          <cell r="D609">
            <v>12</v>
          </cell>
        </row>
        <row r="610">
          <cell r="D610">
            <v>11.7</v>
          </cell>
        </row>
        <row r="611">
          <cell r="D611">
            <v>12</v>
          </cell>
        </row>
        <row r="612">
          <cell r="D612">
            <v>11.9</v>
          </cell>
        </row>
        <row r="613">
          <cell r="D613">
            <v>12</v>
          </cell>
        </row>
        <row r="614">
          <cell r="D614">
            <v>12</v>
          </cell>
        </row>
        <row r="615">
          <cell r="D615">
            <v>11.8</v>
          </cell>
        </row>
        <row r="616">
          <cell r="D616">
            <v>11.9</v>
          </cell>
        </row>
        <row r="617">
          <cell r="D617">
            <v>12</v>
          </cell>
        </row>
        <row r="618">
          <cell r="D618">
            <v>11.6</v>
          </cell>
        </row>
        <row r="619">
          <cell r="D619">
            <v>11.6</v>
          </cell>
        </row>
        <row r="620">
          <cell r="D620">
            <v>12.1</v>
          </cell>
        </row>
        <row r="621">
          <cell r="D621">
            <v>11.7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wMaterials"/>
      <sheetName val="Brewhouse"/>
      <sheetName val="Process"/>
      <sheetName val="Summary August '26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Summary January '26"/>
      <sheetName val="Summary December '25"/>
      <sheetName val="Guinnbottling"/>
    </sheetNames>
    <sheetDataSet>
      <sheetData sheetId="0"/>
      <sheetData sheetId="1" refreshError="1">
        <row r="16">
          <cell r="A16" t="str">
            <v>GU001</v>
          </cell>
          <cell r="AU16">
            <v>96.003306141833193</v>
          </cell>
        </row>
        <row r="17">
          <cell r="AU17">
            <v>97.325117100528743</v>
          </cell>
        </row>
        <row r="18">
          <cell r="AU18">
            <v>99.121575646105413</v>
          </cell>
        </row>
        <row r="19">
          <cell r="AU19">
            <v>98.312989092995309</v>
          </cell>
        </row>
        <row r="20">
          <cell r="AU20">
            <v>97.776942468215154</v>
          </cell>
        </row>
        <row r="21">
          <cell r="AU21">
            <v>100.27176158202545</v>
          </cell>
        </row>
        <row r="22">
          <cell r="AU22">
            <v>99.294375681877099</v>
          </cell>
        </row>
        <row r="23">
          <cell r="AU23">
            <v>94.0155703648322</v>
          </cell>
        </row>
        <row r="25">
          <cell r="AU25">
            <v>103.50405139576692</v>
          </cell>
        </row>
        <row r="26">
          <cell r="AU26">
            <v>95.716844988758396</v>
          </cell>
        </row>
        <row r="27">
          <cell r="AU27">
            <v>95.930260280243118</v>
          </cell>
        </row>
        <row r="28">
          <cell r="AU28">
            <v>91.893952811328091</v>
          </cell>
        </row>
        <row r="29">
          <cell r="AU29">
            <v>113.58212162131902</v>
          </cell>
        </row>
        <row r="30">
          <cell r="AU30">
            <v>90.487433811004081</v>
          </cell>
        </row>
        <row r="31">
          <cell r="AU31">
            <v>102.62581305950147</v>
          </cell>
        </row>
        <row r="32">
          <cell r="AU32">
            <v>97.191888885824653</v>
          </cell>
        </row>
        <row r="34">
          <cell r="AU34">
            <v>90.907169651305182</v>
          </cell>
        </row>
        <row r="35">
          <cell r="AU35">
            <v>91.553613748299583</v>
          </cell>
        </row>
        <row r="36">
          <cell r="AU36">
            <v>95.905976258581575</v>
          </cell>
        </row>
        <row r="37">
          <cell r="AU37">
            <v>96.879053203911113</v>
          </cell>
        </row>
        <row r="38">
          <cell r="AU38">
            <v>95.469150075246716</v>
          </cell>
        </row>
        <row r="39">
          <cell r="AU39">
            <v>94.854987439727708</v>
          </cell>
        </row>
        <row r="40">
          <cell r="AU40">
            <v>96.379391191673903</v>
          </cell>
        </row>
        <row r="41">
          <cell r="AU41">
            <v>96.151545309064119</v>
          </cell>
        </row>
        <row r="43">
          <cell r="AU43">
            <v>91.8653198132276</v>
          </cell>
        </row>
        <row r="44">
          <cell r="AU44">
            <v>96.795098985422072</v>
          </cell>
        </row>
        <row r="45">
          <cell r="AU45">
            <v>98.720710514490094</v>
          </cell>
        </row>
        <row r="46">
          <cell r="AU46">
            <v>95.915862303234761</v>
          </cell>
        </row>
        <row r="47">
          <cell r="AU47">
            <v>95.695713342598523</v>
          </cell>
        </row>
        <row r="48">
          <cell r="AU48">
            <v>96.347140813579983</v>
          </cell>
        </row>
        <row r="49">
          <cell r="AU49">
            <v>96.451268893467329</v>
          </cell>
        </row>
        <row r="50">
          <cell r="AU50">
            <v>97.996131903201018</v>
          </cell>
        </row>
        <row r="51">
          <cell r="AU51">
            <v>96.505256206141482</v>
          </cell>
        </row>
        <row r="52">
          <cell r="AU52">
            <v>94.58580500070201</v>
          </cell>
        </row>
        <row r="53">
          <cell r="AU53">
            <v>98.906990347725127</v>
          </cell>
        </row>
        <row r="54">
          <cell r="AU54">
            <v>94.944884823994201</v>
          </cell>
        </row>
        <row r="55">
          <cell r="AU55">
            <v>95.472821437606697</v>
          </cell>
        </row>
        <row r="56">
          <cell r="AU56">
            <v>95.226977398578171</v>
          </cell>
        </row>
        <row r="57">
          <cell r="AU57">
            <v>94.66429901148345</v>
          </cell>
        </row>
        <row r="58">
          <cell r="AU58">
            <v>100.57784401994616</v>
          </cell>
        </row>
        <row r="59">
          <cell r="AU59">
            <v>98.401209978530773</v>
          </cell>
        </row>
        <row r="60">
          <cell r="AU60">
            <v>99.190946222442903</v>
          </cell>
        </row>
        <row r="62">
          <cell r="AU62">
            <v>93.161813188441059</v>
          </cell>
        </row>
        <row r="63">
          <cell r="AU63">
            <v>94.223463593248454</v>
          </cell>
        </row>
        <row r="64">
          <cell r="AU64">
            <v>96.163448111596551</v>
          </cell>
        </row>
        <row r="65">
          <cell r="AU65">
            <v>94.716056167153823</v>
          </cell>
        </row>
        <row r="66">
          <cell r="AU66">
            <v>94.701980871315456</v>
          </cell>
        </row>
        <row r="67">
          <cell r="AU67">
            <v>95.107716330527765</v>
          </cell>
        </row>
        <row r="68">
          <cell r="AU68">
            <v>99.423613630730074</v>
          </cell>
        </row>
        <row r="69">
          <cell r="AU69">
            <v>99.424512800846912</v>
          </cell>
        </row>
        <row r="71">
          <cell r="AU71">
            <v>90.115532940848027</v>
          </cell>
        </row>
        <row r="72">
          <cell r="AU72">
            <v>93.319538123450741</v>
          </cell>
        </row>
        <row r="73">
          <cell r="AU73">
            <v>96.501709911750197</v>
          </cell>
        </row>
        <row r="74">
          <cell r="AU74">
            <v>95.68627961946747</v>
          </cell>
        </row>
        <row r="75">
          <cell r="AU75">
            <v>97.397906496405696</v>
          </cell>
        </row>
        <row r="76">
          <cell r="AU76">
            <v>96.111036489762782</v>
          </cell>
        </row>
        <row r="77">
          <cell r="AU77">
            <v>95.790840926804705</v>
          </cell>
        </row>
        <row r="78">
          <cell r="AU78">
            <v>96.182715916625327</v>
          </cell>
        </row>
        <row r="79">
          <cell r="AU79">
            <v>96.174717353971133</v>
          </cell>
        </row>
        <row r="80">
          <cell r="AU80">
            <v>98.290298755105752</v>
          </cell>
        </row>
        <row r="81">
          <cell r="AU81">
            <v>93.857635635262497</v>
          </cell>
        </row>
        <row r="82">
          <cell r="AU82">
            <v>96.686192958400923</v>
          </cell>
        </row>
        <row r="83">
          <cell r="AU83">
            <v>98.754274807353042</v>
          </cell>
        </row>
        <row r="84">
          <cell r="AU84">
            <v>98.83341801627445</v>
          </cell>
        </row>
        <row r="85">
          <cell r="AU85">
            <v>93.739995346186404</v>
          </cell>
        </row>
        <row r="86">
          <cell r="AU86">
            <v>96.883913162140757</v>
          </cell>
        </row>
        <row r="87">
          <cell r="AU87">
            <v>96.114279340546588</v>
          </cell>
        </row>
        <row r="88">
          <cell r="AU88">
            <v>96.644961994715146</v>
          </cell>
        </row>
        <row r="90">
          <cell r="A90" t="str">
            <v>GU069</v>
          </cell>
          <cell r="O90">
            <v>55</v>
          </cell>
          <cell r="R90">
            <v>12.085561497326205</v>
          </cell>
          <cell r="T90">
            <v>0.35694444444444445</v>
          </cell>
          <cell r="U90">
            <v>0.47430555555555554</v>
          </cell>
          <cell r="V90">
            <v>62</v>
          </cell>
          <cell r="Z90">
            <v>0.29027777777777775</v>
          </cell>
          <cell r="AF90">
            <v>51.3</v>
          </cell>
          <cell r="AG90">
            <v>17.399999999999999</v>
          </cell>
          <cell r="AI90">
            <v>50.5</v>
          </cell>
          <cell r="AU90">
            <v>96.199574054545806</v>
          </cell>
          <cell r="AV90">
            <v>96.967086256706551</v>
          </cell>
          <cell r="AW90" t="str">
            <v>R. Regis</v>
          </cell>
        </row>
        <row r="91">
          <cell r="A91" t="str">
            <v>GU070</v>
          </cell>
          <cell r="O91">
            <v>55</v>
          </cell>
          <cell r="R91">
            <v>9.411764705882355</v>
          </cell>
          <cell r="T91">
            <v>0.46875</v>
          </cell>
          <cell r="U91">
            <v>0.58125000000000004</v>
          </cell>
          <cell r="V91">
            <v>61</v>
          </cell>
          <cell r="Z91">
            <v>0.28958333333333336</v>
          </cell>
          <cell r="AF91">
            <v>51.9</v>
          </cell>
          <cell r="AG91">
            <v>17.3</v>
          </cell>
          <cell r="AI91">
            <v>51.3</v>
          </cell>
          <cell r="AU91">
            <v>96.990520431357425</v>
          </cell>
          <cell r="AV91">
            <v>97.764614988411012</v>
          </cell>
          <cell r="AW91" t="str">
            <v>R. Sookram</v>
          </cell>
        </row>
        <row r="92">
          <cell r="A92" t="str">
            <v>GU071</v>
          </cell>
          <cell r="O92">
            <v>55</v>
          </cell>
          <cell r="R92">
            <v>9.5900178253119464</v>
          </cell>
          <cell r="T92">
            <v>0.58333333333333337</v>
          </cell>
          <cell r="U92">
            <v>0.69861111111111107</v>
          </cell>
          <cell r="V92">
            <v>62</v>
          </cell>
          <cell r="Z92">
            <v>0.28194444444444439</v>
          </cell>
          <cell r="AF92">
            <v>51.8</v>
          </cell>
          <cell r="AG92">
            <v>17.5</v>
          </cell>
          <cell r="AI92">
            <v>50.4</v>
          </cell>
          <cell r="AU92">
            <v>96.576570379573766</v>
          </cell>
          <cell r="AV92">
            <v>97.347090383821694</v>
          </cell>
          <cell r="AW92" t="str">
            <v>R. Sookram</v>
          </cell>
        </row>
        <row r="93">
          <cell r="A93" t="str">
            <v>GU072</v>
          </cell>
          <cell r="O93">
            <v>59</v>
          </cell>
          <cell r="R93">
            <v>7.4642857142857135</v>
          </cell>
          <cell r="T93">
            <v>0.68333333333333335</v>
          </cell>
          <cell r="U93">
            <v>0.8041666666666667</v>
          </cell>
          <cell r="V93">
            <v>58</v>
          </cell>
          <cell r="Z93">
            <v>0.26250000000000007</v>
          </cell>
          <cell r="AF93">
            <v>52.9</v>
          </cell>
          <cell r="AG93">
            <v>17.399999999999999</v>
          </cell>
          <cell r="AI93">
            <v>51.3</v>
          </cell>
          <cell r="AU93">
            <v>97.958929323440969</v>
          </cell>
          <cell r="AV93">
            <v>98.740064641241105</v>
          </cell>
          <cell r="AW93" t="str">
            <v>R. Sookram</v>
          </cell>
        </row>
        <row r="94">
          <cell r="A94" t="str">
            <v>GU073</v>
          </cell>
          <cell r="O94">
            <v>58</v>
          </cell>
          <cell r="R94">
            <v>10.321428571428573</v>
          </cell>
          <cell r="T94">
            <v>0.81736111111111109</v>
          </cell>
          <cell r="U94">
            <v>0.93125000000000002</v>
          </cell>
          <cell r="V94">
            <v>63</v>
          </cell>
          <cell r="Z94">
            <v>0.26458333333333339</v>
          </cell>
          <cell r="AF94">
            <v>51.3</v>
          </cell>
          <cell r="AG94">
            <v>17.100000000000001</v>
          </cell>
          <cell r="AI94">
            <v>50.7</v>
          </cell>
          <cell r="AU94">
            <v>94.968203123829284</v>
          </cell>
          <cell r="AV94">
            <v>95.725623934273742</v>
          </cell>
          <cell r="AW94" t="str">
            <v>R. Sookram</v>
          </cell>
        </row>
        <row r="95">
          <cell r="A95" t="str">
            <v>GU074</v>
          </cell>
          <cell r="O95">
            <v>58</v>
          </cell>
          <cell r="R95">
            <v>8.3571428571428559</v>
          </cell>
          <cell r="T95">
            <v>0.93333333333333335</v>
          </cell>
          <cell r="U95">
            <v>1.054861111111111</v>
          </cell>
          <cell r="V95">
            <v>58</v>
          </cell>
          <cell r="Z95">
            <v>0.27361111111111103</v>
          </cell>
          <cell r="AF95">
            <v>52.4</v>
          </cell>
          <cell r="AG95">
            <v>17.2</v>
          </cell>
          <cell r="AI95">
            <v>51.1</v>
          </cell>
          <cell r="AU95">
            <v>96.13948802609309</v>
          </cell>
          <cell r="AV95">
            <v>96.906520841931481</v>
          </cell>
          <cell r="AW95" t="str">
            <v>K. Benjamin</v>
          </cell>
        </row>
        <row r="96">
          <cell r="A96" t="str">
            <v>GU075</v>
          </cell>
          <cell r="O96">
            <v>59</v>
          </cell>
          <cell r="R96">
            <v>10.303030303030305</v>
          </cell>
          <cell r="T96">
            <v>1.0381944444444444</v>
          </cell>
          <cell r="U96">
            <v>1.1541666666666666</v>
          </cell>
          <cell r="V96">
            <v>60</v>
          </cell>
          <cell r="Z96">
            <v>0.25833333333333319</v>
          </cell>
          <cell r="AF96">
            <v>51.4</v>
          </cell>
          <cell r="AG96">
            <v>17.3</v>
          </cell>
          <cell r="AI96">
            <v>51</v>
          </cell>
          <cell r="AU96">
            <v>96.966158594827462</v>
          </cell>
          <cell r="AV96">
            <v>97.739103410768394</v>
          </cell>
          <cell r="AW96" t="str">
            <v>K. Benjamin</v>
          </cell>
        </row>
        <row r="97">
          <cell r="A97" t="str">
            <v>GU076</v>
          </cell>
          <cell r="O97">
            <v>55</v>
          </cell>
          <cell r="R97">
            <v>12.464285714285708</v>
          </cell>
          <cell r="T97">
            <v>0.47291666666666665</v>
          </cell>
          <cell r="U97">
            <v>0.58333333333333337</v>
          </cell>
          <cell r="V97">
            <v>64</v>
          </cell>
          <cell r="Z97">
            <v>0.31597222222222227</v>
          </cell>
          <cell r="AF97">
            <v>50.3</v>
          </cell>
          <cell r="AG97">
            <v>17</v>
          </cell>
          <cell r="AI97">
            <v>50.3</v>
          </cell>
          <cell r="AU97">
            <v>94.938560144721919</v>
          </cell>
          <cell r="AV97">
            <v>95.695476658730982</v>
          </cell>
          <cell r="AW97" t="str">
            <v>R. Regis</v>
          </cell>
        </row>
      </sheetData>
      <sheetData sheetId="2">
        <row r="17">
          <cell r="C17" t="str">
            <v>DPV</v>
          </cell>
        </row>
        <row r="91">
          <cell r="D91">
            <v>17.399999999999999</v>
          </cell>
        </row>
        <row r="92">
          <cell r="D92">
            <v>17.3</v>
          </cell>
        </row>
        <row r="93">
          <cell r="D93">
            <v>17.5</v>
          </cell>
        </row>
        <row r="94">
          <cell r="D94">
            <v>17.399999999999999</v>
          </cell>
        </row>
        <row r="95">
          <cell r="D95">
            <v>17.100000000000001</v>
          </cell>
        </row>
        <row r="96">
          <cell r="D96">
            <v>17.2</v>
          </cell>
        </row>
        <row r="97">
          <cell r="D97">
            <v>17.3</v>
          </cell>
        </row>
        <row r="98">
          <cell r="D98">
            <v>17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itaMalt - Operator Performance"/>
      <sheetName val="BrewMaterials"/>
      <sheetName val="Brewhouse"/>
      <sheetName val="Process"/>
      <sheetName val="Summary August '26 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Packaging"/>
      <sheetName val="Summary January '26 "/>
      <sheetName val="Summary December '25"/>
      <sheetName val="Summary November '25"/>
      <sheetName val="Summary October '25"/>
      <sheetName val="Summary September '25"/>
      <sheetName val="Summary August '25"/>
      <sheetName val="Summary July '25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"/>
      <sheetName val="Summary January '25 "/>
      <sheetName val="Summary December '25 (2)"/>
    </sheetNames>
    <sheetDataSet>
      <sheetData sheetId="0"/>
      <sheetData sheetId="1"/>
      <sheetData sheetId="2">
        <row r="23">
          <cell r="A23" t="str">
            <v>VM001</v>
          </cell>
          <cell r="AV23">
            <v>97.339468430709204</v>
          </cell>
        </row>
        <row r="24">
          <cell r="AV24">
            <v>103.731151868401</v>
          </cell>
        </row>
        <row r="25">
          <cell r="AV25">
            <v>94.959846867032411</v>
          </cell>
        </row>
        <row r="26">
          <cell r="AV26">
            <v>97.339468430709204</v>
          </cell>
        </row>
        <row r="27">
          <cell r="AV27">
            <v>97.058295684709279</v>
          </cell>
        </row>
        <row r="28">
          <cell r="AV28">
            <v>97.867114815415192</v>
          </cell>
        </row>
        <row r="29">
          <cell r="AV29">
            <v>98.093597805251179</v>
          </cell>
        </row>
        <row r="30">
          <cell r="AV30">
            <v>102.88783663744221</v>
          </cell>
        </row>
        <row r="31">
          <cell r="AV31">
            <v>96.899121806418265</v>
          </cell>
        </row>
        <row r="32">
          <cell r="AV32">
            <v>98.250925468415389</v>
          </cell>
        </row>
        <row r="33">
          <cell r="AV33">
            <v>96.894670333550806</v>
          </cell>
        </row>
        <row r="34">
          <cell r="AV34">
            <v>98.444969429182507</v>
          </cell>
        </row>
        <row r="36">
          <cell r="AV36">
            <v>96.535163112888242</v>
          </cell>
        </row>
        <row r="38">
          <cell r="AV38">
            <v>96.780047980030858</v>
          </cell>
        </row>
        <row r="39">
          <cell r="AV39">
            <v>97.023341517405328</v>
          </cell>
        </row>
        <row r="40">
          <cell r="AV40">
            <v>96.378271472837781</v>
          </cell>
        </row>
        <row r="41">
          <cell r="AV41">
            <v>96.736022639137431</v>
          </cell>
        </row>
        <row r="42">
          <cell r="AV42">
            <v>97.949689692825132</v>
          </cell>
        </row>
        <row r="43">
          <cell r="AV43">
            <v>95.818529932594828</v>
          </cell>
        </row>
        <row r="44">
          <cell r="AV44">
            <v>97.823512224151031</v>
          </cell>
        </row>
        <row r="45">
          <cell r="AV45">
            <v>95.481796103254354</v>
          </cell>
        </row>
        <row r="46">
          <cell r="AV46">
            <v>98.065568882791581</v>
          </cell>
        </row>
        <row r="47">
          <cell r="AV47">
            <v>97.055454228278464</v>
          </cell>
        </row>
        <row r="48">
          <cell r="AV48">
            <v>99.652179089121645</v>
          </cell>
        </row>
        <row r="49">
          <cell r="AV49">
            <v>99.135667211498472</v>
          </cell>
        </row>
        <row r="50">
          <cell r="AV50">
            <v>99.232905943935492</v>
          </cell>
        </row>
        <row r="51">
          <cell r="AV51">
            <v>98.11852940599799</v>
          </cell>
        </row>
        <row r="52">
          <cell r="AV52">
            <v>92.3621562467644</v>
          </cell>
        </row>
        <row r="54">
          <cell r="AV54">
            <v>97.205782019322555</v>
          </cell>
        </row>
        <row r="55">
          <cell r="AV55">
            <v>100.49327592303123</v>
          </cell>
        </row>
        <row r="56">
          <cell r="AV56">
            <v>95.451783031665798</v>
          </cell>
        </row>
        <row r="57">
          <cell r="AV57">
            <v>97.260343131213148</v>
          </cell>
        </row>
        <row r="58">
          <cell r="AV58">
            <v>96.759736809930104</v>
          </cell>
        </row>
        <row r="59">
          <cell r="AV59">
            <v>97.064501819306201</v>
          </cell>
        </row>
        <row r="60">
          <cell r="AV60">
            <v>92.16222714184731</v>
          </cell>
        </row>
        <row r="62">
          <cell r="AV62">
            <v>94.315096961978696</v>
          </cell>
        </row>
        <row r="63">
          <cell r="AV63">
            <v>103.32629416839619</v>
          </cell>
        </row>
        <row r="64">
          <cell r="AV64">
            <v>94.325329127415785</v>
          </cell>
        </row>
        <row r="65">
          <cell r="AV65">
            <v>99.559385897285338</v>
          </cell>
        </row>
        <row r="66">
          <cell r="AV66">
            <v>98.574517909783509</v>
          </cell>
        </row>
        <row r="67">
          <cell r="AV67">
            <v>98.349199351665135</v>
          </cell>
        </row>
        <row r="68">
          <cell r="AV68">
            <v>99.563420889013372</v>
          </cell>
        </row>
        <row r="69">
          <cell r="AV69">
            <v>94.282423715374435</v>
          </cell>
        </row>
        <row r="71">
          <cell r="AV71">
            <v>97.883898930705087</v>
          </cell>
        </row>
        <row r="72">
          <cell r="AV72">
            <v>95.141628345733025</v>
          </cell>
        </row>
        <row r="73">
          <cell r="AV73">
            <v>95.141628345733025</v>
          </cell>
        </row>
        <row r="74">
          <cell r="AV74">
            <v>96.552234033434374</v>
          </cell>
        </row>
        <row r="75">
          <cell r="AV75">
            <v>101.51532621901858</v>
          </cell>
        </row>
        <row r="76">
          <cell r="AV76">
            <v>99.061358902734597</v>
          </cell>
        </row>
        <row r="77">
          <cell r="AV77">
            <v>98.035869286989112</v>
          </cell>
        </row>
        <row r="78">
          <cell r="AV78">
            <v>100.45103223776147</v>
          </cell>
        </row>
        <row r="80">
          <cell r="AV80">
            <v>92.087638309893123</v>
          </cell>
        </row>
        <row r="81">
          <cell r="AV81">
            <v>97.080324236401211</v>
          </cell>
        </row>
        <row r="82">
          <cell r="AV82">
            <v>98.952684690449885</v>
          </cell>
        </row>
        <row r="83">
          <cell r="AV83">
            <v>95.698441661092332</v>
          </cell>
        </row>
        <row r="84">
          <cell r="AV84">
            <v>98.454113654549573</v>
          </cell>
        </row>
        <row r="85">
          <cell r="AV85">
            <v>101.44729018684779</v>
          </cell>
        </row>
        <row r="86">
          <cell r="AV86">
            <v>94.795008863120074</v>
          </cell>
        </row>
        <row r="87">
          <cell r="AV87">
            <v>98.362423977139869</v>
          </cell>
        </row>
        <row r="89">
          <cell r="A89" t="str">
            <v>VM060</v>
          </cell>
          <cell r="R89">
            <v>60</v>
          </cell>
          <cell r="S89">
            <v>9.3013972055888292</v>
          </cell>
          <cell r="V89">
            <v>0.32569444444444445</v>
          </cell>
          <cell r="W89">
            <v>0.46944444444444444</v>
          </cell>
          <cell r="X89">
            <v>86</v>
          </cell>
          <cell r="AB89">
            <v>0.29236111111111107</v>
          </cell>
          <cell r="AE89">
            <v>50.1</v>
          </cell>
          <cell r="AH89">
            <v>14</v>
          </cell>
          <cell r="AJ89">
            <v>48.5</v>
          </cell>
          <cell r="AV89">
            <v>98.966709364408175</v>
          </cell>
          <cell r="AW89">
            <v>98.985911283767393</v>
          </cell>
          <cell r="AZ89" t="str">
            <v>K. Benjamin</v>
          </cell>
        </row>
        <row r="90">
          <cell r="A90" t="str">
            <v>VM061</v>
          </cell>
          <cell r="R90">
            <v>19</v>
          </cell>
          <cell r="S90">
            <v>8.5029940119760443</v>
          </cell>
          <cell r="V90">
            <v>0.4597222222222222</v>
          </cell>
          <cell r="W90">
            <v>0.59861111111111109</v>
          </cell>
          <cell r="X90">
            <v>86</v>
          </cell>
          <cell r="AB90">
            <v>0.29652777777777778</v>
          </cell>
          <cell r="AE90">
            <v>50.1</v>
          </cell>
          <cell r="AH90">
            <v>14.3</v>
          </cell>
          <cell r="AJ90">
            <v>48.1</v>
          </cell>
          <cell r="AV90">
            <v>96.872876691950268</v>
          </cell>
          <cell r="AW90">
            <v>96.89205464447744</v>
          </cell>
          <cell r="AZ90" t="str">
            <v>R. Regis</v>
          </cell>
        </row>
        <row r="91">
          <cell r="A91" t="str">
            <v>VM062</v>
          </cell>
          <cell r="S91">
            <v>10.299401197604798</v>
          </cell>
          <cell r="V91">
            <v>0.5756944444444444</v>
          </cell>
          <cell r="W91">
            <v>0.72152777777777777</v>
          </cell>
          <cell r="X91">
            <v>88</v>
          </cell>
          <cell r="AB91">
            <v>0.29444444444444445</v>
          </cell>
          <cell r="AE91">
            <v>50.1</v>
          </cell>
          <cell r="AH91">
            <v>14.1</v>
          </cell>
          <cell r="AJ91">
            <v>49.6</v>
          </cell>
          <cell r="AV91">
            <v>98.438453135356141</v>
          </cell>
          <cell r="AW91">
            <v>98.457941025522572</v>
          </cell>
          <cell r="AZ91" t="str">
            <v>R. Regis</v>
          </cell>
        </row>
        <row r="92">
          <cell r="A92" t="str">
            <v>VM063</v>
          </cell>
          <cell r="R92">
            <v>58</v>
          </cell>
          <cell r="S92">
            <v>10.299401197604798</v>
          </cell>
          <cell r="V92">
            <v>0.68125000000000002</v>
          </cell>
          <cell r="W92">
            <v>0.82222222222222219</v>
          </cell>
          <cell r="X92">
            <v>87</v>
          </cell>
          <cell r="AB92">
            <v>0.29097222222222219</v>
          </cell>
          <cell r="AE92">
            <v>50.1</v>
          </cell>
          <cell r="AH92">
            <v>14.1</v>
          </cell>
          <cell r="AJ92">
            <v>49.5</v>
          </cell>
          <cell r="AV92">
            <v>98.648257968141067</v>
          </cell>
          <cell r="AW92">
            <v>98.667476282230723</v>
          </cell>
          <cell r="AZ92" t="str">
            <v>R. Regis</v>
          </cell>
        </row>
        <row r="93">
          <cell r="A93" t="str">
            <v>VM064</v>
          </cell>
          <cell r="R93">
            <v>59</v>
          </cell>
          <cell r="S93">
            <v>9.7005988023952234</v>
          </cell>
          <cell r="V93">
            <v>0.78055555555555556</v>
          </cell>
          <cell r="W93">
            <v>0.92222222222222228</v>
          </cell>
          <cell r="X93">
            <v>87</v>
          </cell>
          <cell r="AB93">
            <v>0.29375000000000007</v>
          </cell>
          <cell r="AE93">
            <v>50.1</v>
          </cell>
          <cell r="AH93">
            <v>14.1</v>
          </cell>
          <cell r="AJ93">
            <v>48.7</v>
          </cell>
          <cell r="AV93">
            <v>97.15488267089502</v>
          </cell>
          <cell r="AW93">
            <v>97.173733052345327</v>
          </cell>
          <cell r="AZ93" t="str">
            <v>R. Regis</v>
          </cell>
        </row>
        <row r="94">
          <cell r="A94" t="str">
            <v>VM065</v>
          </cell>
          <cell r="R94">
            <v>62</v>
          </cell>
          <cell r="S94">
            <v>5.1097804391217467</v>
          </cell>
          <cell r="V94">
            <v>0.88263888888888886</v>
          </cell>
          <cell r="W94">
            <v>1.0111111111111111</v>
          </cell>
          <cell r="X94">
            <v>70</v>
          </cell>
          <cell r="AB94">
            <v>0.28541666666666665</v>
          </cell>
          <cell r="AE94">
            <v>50.1</v>
          </cell>
          <cell r="AH94">
            <v>14.2</v>
          </cell>
          <cell r="AJ94">
            <v>48.5</v>
          </cell>
          <cell r="AV94">
            <v>97.674325034697105</v>
          </cell>
          <cell r="AW94">
            <v>97.693120896593982</v>
          </cell>
          <cell r="AZ94" t="str">
            <v>R.Sookram</v>
          </cell>
        </row>
        <row r="95">
          <cell r="A95" t="str">
            <v>VM066</v>
          </cell>
          <cell r="R95">
            <v>61</v>
          </cell>
          <cell r="S95">
            <v>7.9199999999999884</v>
          </cell>
          <cell r="V95">
            <v>0.97638888888888886</v>
          </cell>
          <cell r="W95">
            <v>1.1236111111111111</v>
          </cell>
          <cell r="X95">
            <v>84</v>
          </cell>
          <cell r="AB95">
            <v>0.30069444444444449</v>
          </cell>
          <cell r="AE95">
            <v>50</v>
          </cell>
          <cell r="AH95">
            <v>14.3</v>
          </cell>
          <cell r="AJ95">
            <v>48.2</v>
          </cell>
          <cell r="AV95">
            <v>97.88449261906382</v>
          </cell>
          <cell r="AW95">
            <v>97.903250861962107</v>
          </cell>
          <cell r="AZ95" t="str">
            <v>R.Sookram</v>
          </cell>
        </row>
        <row r="96">
          <cell r="A96" t="str">
            <v>VM067</v>
          </cell>
          <cell r="R96">
            <v>61</v>
          </cell>
          <cell r="S96">
            <v>7.7199999999999989</v>
          </cell>
          <cell r="V96">
            <v>1.0798611111111112</v>
          </cell>
          <cell r="W96">
            <v>1.23125</v>
          </cell>
          <cell r="X96">
            <v>85</v>
          </cell>
          <cell r="AB96">
            <v>0.31111111111111112</v>
          </cell>
          <cell r="AE96">
            <v>50</v>
          </cell>
          <cell r="AH96">
            <v>14.3</v>
          </cell>
          <cell r="AJ96">
            <v>48</v>
          </cell>
          <cell r="AV96">
            <v>97.580137789132138</v>
          </cell>
          <cell r="AW96">
            <v>97.598759724441209</v>
          </cell>
          <cell r="AZ96" t="str">
            <v>R.Sookram</v>
          </cell>
        </row>
      </sheetData>
      <sheetData sheetId="3">
        <row r="23">
          <cell r="C23" t="str">
            <v>SV</v>
          </cell>
        </row>
        <row r="89">
          <cell r="D89">
            <v>14</v>
          </cell>
        </row>
        <row r="90">
          <cell r="D90">
            <v>14.3</v>
          </cell>
        </row>
        <row r="91">
          <cell r="D91">
            <v>14.1</v>
          </cell>
        </row>
        <row r="92">
          <cell r="D92">
            <v>14.1</v>
          </cell>
        </row>
        <row r="93">
          <cell r="D93">
            <v>14.1</v>
          </cell>
        </row>
        <row r="94">
          <cell r="D94">
            <v>14.2</v>
          </cell>
        </row>
        <row r="95">
          <cell r="D95">
            <v>14.3</v>
          </cell>
        </row>
        <row r="96">
          <cell r="D96">
            <v>14.3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Summary July '26"/>
      <sheetName val="Summary May '26 "/>
      <sheetName val="Packaging"/>
      <sheetName val="Summary January'26"/>
      <sheetName val="Summary October'25"/>
      <sheetName val="Summary September'25"/>
      <sheetName val="Summary August'25"/>
      <sheetName val="Summary July'25"/>
      <sheetName val="Summary June'25"/>
      <sheetName val="Summary May'25"/>
      <sheetName val="Summary April'25"/>
      <sheetName val="Summary March'25 "/>
      <sheetName val="Summary February'25"/>
      <sheetName val="Summary January'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4" t="str">
            <v>MK001</v>
          </cell>
          <cell r="AT4">
            <v>95.757584041187528</v>
          </cell>
        </row>
        <row r="5">
          <cell r="AT5">
            <v>95.858102632741591</v>
          </cell>
        </row>
        <row r="6">
          <cell r="AT6">
            <v>91.101781537342561</v>
          </cell>
        </row>
        <row r="7">
          <cell r="AT7">
            <v>96.220044255599106</v>
          </cell>
        </row>
        <row r="8">
          <cell r="AT8">
            <v>91.159176033097395</v>
          </cell>
        </row>
        <row r="9">
          <cell r="AT9">
            <v>86.497061610388243</v>
          </cell>
        </row>
        <row r="10">
          <cell r="AT10">
            <v>90.533857449292626</v>
          </cell>
        </row>
        <row r="11">
          <cell r="AT11">
            <v>95.482188504770065</v>
          </cell>
        </row>
        <row r="13">
          <cell r="AT13">
            <v>90.128375863432225</v>
          </cell>
        </row>
        <row r="14">
          <cell r="AT14">
            <v>88.195975747735361</v>
          </cell>
        </row>
        <row r="15">
          <cell r="AT15">
            <v>88.458193469652173</v>
          </cell>
        </row>
        <row r="16">
          <cell r="AT16">
            <v>89.068163344426111</v>
          </cell>
        </row>
        <row r="18">
          <cell r="AT18">
            <v>88.337016760508519</v>
          </cell>
        </row>
        <row r="19">
          <cell r="AT19">
            <v>94.828774942397658</v>
          </cell>
        </row>
        <row r="20">
          <cell r="AT20">
            <v>94.949182103443249</v>
          </cell>
        </row>
        <row r="21">
          <cell r="AT21">
            <v>92.747327972203848</v>
          </cell>
        </row>
      </sheetData>
      <sheetData sheetId="8">
        <row r="4">
          <cell r="A4" t="str">
            <v>MK001</v>
          </cell>
        </row>
      </sheetData>
      <sheetData sheetId="9"/>
      <sheetData sheetId="10"/>
      <sheetData sheetId="11"/>
      <sheetData sheetId="12">
        <row r="22">
          <cell r="E22">
            <v>5765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Apr'14"/>
      <sheetName val="Summary May'14"/>
      <sheetName val="BrewMaterials"/>
      <sheetName val="Brewhouse"/>
      <sheetName val="Process"/>
      <sheetName val="Summary August ' 26 "/>
      <sheetName val="Summary July ' 26"/>
      <sheetName val="Summary June ' 26"/>
      <sheetName val="Summary May ' 26"/>
      <sheetName val="Summary April ' 26"/>
      <sheetName val="Summary March ' 26"/>
      <sheetName val="Summary February ' 26"/>
      <sheetName val="Summary January ' 26"/>
      <sheetName val="Summary December ' 25"/>
      <sheetName val="Packaging"/>
    </sheetNames>
    <sheetDataSet>
      <sheetData sheetId="0"/>
      <sheetData sheetId="1"/>
      <sheetData sheetId="2"/>
      <sheetData sheetId="3">
        <row r="5">
          <cell r="A5" t="str">
            <v>SM001</v>
          </cell>
          <cell r="AY5">
            <v>97.569471586586559</v>
          </cell>
        </row>
        <row r="6">
          <cell r="AY6">
            <v>98.85391885240027</v>
          </cell>
        </row>
        <row r="7">
          <cell r="AY7">
            <v>97.962509317492206</v>
          </cell>
        </row>
        <row r="8">
          <cell r="AY8">
            <v>98.851728693915732</v>
          </cell>
        </row>
        <row r="9">
          <cell r="AY9">
            <v>96.643783230525969</v>
          </cell>
        </row>
        <row r="10">
          <cell r="AY10">
            <v>94.324644249999125</v>
          </cell>
        </row>
        <row r="11">
          <cell r="AY11">
            <v>92.117541140378776</v>
          </cell>
        </row>
        <row r="12">
          <cell r="AY12">
            <v>97.208951553511497</v>
          </cell>
        </row>
        <row r="13">
          <cell r="AY13">
            <v>98.512076526938472</v>
          </cell>
        </row>
        <row r="14">
          <cell r="AY14">
            <v>95.253677266359389</v>
          </cell>
        </row>
        <row r="16">
          <cell r="AY16">
            <v>93.855429141534003</v>
          </cell>
        </row>
        <row r="17">
          <cell r="AY17">
            <v>105.14531945603353</v>
          </cell>
        </row>
        <row r="18">
          <cell r="AY18">
            <v>93.755977480319771</v>
          </cell>
        </row>
        <row r="19">
          <cell r="AY19">
            <v>98.497810820823545</v>
          </cell>
        </row>
        <row r="20">
          <cell r="AY20">
            <v>97.678395385249857</v>
          </cell>
        </row>
        <row r="21">
          <cell r="AY21">
            <v>97.894369029995005</v>
          </cell>
        </row>
        <row r="22">
          <cell r="AY22">
            <v>96.582095881806836</v>
          </cell>
        </row>
        <row r="23">
          <cell r="AY23">
            <v>100.57737346889346</v>
          </cell>
        </row>
        <row r="42">
          <cell r="AY42">
            <v>99.134494554521325</v>
          </cell>
        </row>
        <row r="44">
          <cell r="AY44">
            <v>97.451901590189621</v>
          </cell>
        </row>
        <row r="45">
          <cell r="AY45">
            <v>97.068365512779494</v>
          </cell>
        </row>
        <row r="46">
          <cell r="AY46">
            <v>100.84054451608544</v>
          </cell>
        </row>
        <row r="47">
          <cell r="AY47">
            <v>100.42642805913154</v>
          </cell>
        </row>
        <row r="48">
          <cell r="AY48">
            <v>99.340523834063077</v>
          </cell>
        </row>
        <row r="49">
          <cell r="AY49">
            <v>100.23658604011617</v>
          </cell>
        </row>
        <row r="50">
          <cell r="AY50">
            <v>99.089008585979826</v>
          </cell>
        </row>
        <row r="51">
          <cell r="AY51">
            <v>90.554643070332219</v>
          </cell>
        </row>
        <row r="53">
          <cell r="AY53">
            <v>92.54924279225061</v>
          </cell>
        </row>
        <row r="54">
          <cell r="AY54">
            <v>97.936724701155001</v>
          </cell>
        </row>
        <row r="55">
          <cell r="AY55">
            <v>96.903024614311789</v>
          </cell>
        </row>
        <row r="56">
          <cell r="AY56">
            <v>99.751161565178876</v>
          </cell>
        </row>
        <row r="57">
          <cell r="AY57">
            <v>96.946934866926995</v>
          </cell>
        </row>
        <row r="58">
          <cell r="AY58">
            <v>101.1402395567615</v>
          </cell>
        </row>
        <row r="59">
          <cell r="AY59">
            <v>94.521368448030842</v>
          </cell>
        </row>
        <row r="60">
          <cell r="AY60">
            <v>96.447094164922959</v>
          </cell>
        </row>
        <row r="61">
          <cell r="AY61">
            <v>95.483117660591859</v>
          </cell>
        </row>
        <row r="62">
          <cell r="AY62">
            <v>101.54786093894572</v>
          </cell>
        </row>
        <row r="63">
          <cell r="AY63">
            <v>99.781002552645404</v>
          </cell>
        </row>
        <row r="64">
          <cell r="AY64">
            <v>100.38282881101692</v>
          </cell>
        </row>
        <row r="66">
          <cell r="AY66">
            <v>96.052076380873814</v>
          </cell>
        </row>
        <row r="67">
          <cell r="AY67">
            <v>96.965481413861383</v>
          </cell>
        </row>
        <row r="68">
          <cell r="AY68">
            <v>98.929902201837479</v>
          </cell>
        </row>
        <row r="69">
          <cell r="AY69">
            <v>98.81732361471613</v>
          </cell>
        </row>
        <row r="70">
          <cell r="AY70">
            <v>93.747141074419659</v>
          </cell>
        </row>
        <row r="71">
          <cell r="AY71">
            <v>100.25759492531388</v>
          </cell>
        </row>
        <row r="72">
          <cell r="AY72">
            <v>99.848562971423902</v>
          </cell>
        </row>
        <row r="73">
          <cell r="AY73">
            <v>101.18742532014767</v>
          </cell>
        </row>
        <row r="75">
          <cell r="AY75">
            <v>96.375149333771006</v>
          </cell>
        </row>
        <row r="76">
          <cell r="AY76">
            <v>102.19654877418134</v>
          </cell>
        </row>
        <row r="77">
          <cell r="AY77">
            <v>104.26201828517443</v>
          </cell>
        </row>
        <row r="78">
          <cell r="AY78">
            <v>103.36709256474418</v>
          </cell>
        </row>
        <row r="79">
          <cell r="AY79">
            <v>94.941667422792506</v>
          </cell>
        </row>
        <row r="80">
          <cell r="AY80">
            <v>101.53837862772018</v>
          </cell>
        </row>
        <row r="81">
          <cell r="AY81">
            <v>100.62632852508888</v>
          </cell>
        </row>
        <row r="82">
          <cell r="AY82">
            <v>99.134826074447517</v>
          </cell>
        </row>
        <row r="84">
          <cell r="A84" t="str">
            <v>SM073</v>
          </cell>
          <cell r="T84">
            <v>59</v>
          </cell>
          <cell r="U84">
            <v>20.112994350282499</v>
          </cell>
          <cell r="X84">
            <v>0.91597222222222219</v>
          </cell>
          <cell r="Y84">
            <v>1.0534722222222221</v>
          </cell>
          <cell r="Z84">
            <v>58</v>
          </cell>
          <cell r="AD84">
            <v>0.29999999999999993</v>
          </cell>
          <cell r="AH84">
            <v>53.1</v>
          </cell>
          <cell r="AK84">
            <v>17.2</v>
          </cell>
          <cell r="AM84">
            <v>47.1</v>
          </cell>
          <cell r="AY84">
            <v>89.865899111082911</v>
          </cell>
          <cell r="AZ84">
            <v>90.108280071795349</v>
          </cell>
          <cell r="BC84" t="str">
            <v>D. Gomaz</v>
          </cell>
        </row>
        <row r="85">
          <cell r="A85" t="str">
            <v>SM074</v>
          </cell>
          <cell r="T85">
            <v>60</v>
          </cell>
          <cell r="U85">
            <v>11.849056603773587</v>
          </cell>
          <cell r="X85">
            <v>1.0249999999999999</v>
          </cell>
          <cell r="Y85">
            <v>1.179861111111111</v>
          </cell>
          <cell r="Z85">
            <v>63</v>
          </cell>
          <cell r="AD85">
            <v>0.32916666666666661</v>
          </cell>
          <cell r="AH85">
            <v>53</v>
          </cell>
          <cell r="AK85">
            <v>17.3</v>
          </cell>
          <cell r="AM85">
            <v>50.5</v>
          </cell>
          <cell r="AY85">
            <v>97.693621175915609</v>
          </cell>
          <cell r="AZ85">
            <v>97.954843367662875</v>
          </cell>
          <cell r="BC85" t="str">
            <v>D. Gomaz</v>
          </cell>
        </row>
        <row r="86">
          <cell r="A86" t="str">
            <v>SM075</v>
          </cell>
          <cell r="T86">
            <v>62</v>
          </cell>
          <cell r="U86">
            <v>14.490566037735849</v>
          </cell>
          <cell r="X86">
            <v>1.1319444444444444</v>
          </cell>
          <cell r="Y86">
            <v>1.2743055555555556</v>
          </cell>
          <cell r="Z86">
            <v>70</v>
          </cell>
          <cell r="AD86">
            <v>0.31944444444444442</v>
          </cell>
          <cell r="AH86">
            <v>53</v>
          </cell>
          <cell r="AK86">
            <v>17.600000000000001</v>
          </cell>
          <cell r="AM86">
            <v>50.2</v>
          </cell>
          <cell r="AY86">
            <v>98.098376729140924</v>
          </cell>
          <cell r="AZ86">
            <v>98.363213201626039</v>
          </cell>
          <cell r="BC86" t="str">
            <v>D. Gomaz</v>
          </cell>
        </row>
        <row r="87">
          <cell r="A87" t="str">
            <v>SM076</v>
          </cell>
          <cell r="T87">
            <v>75</v>
          </cell>
          <cell r="U87">
            <v>9.2075471698113258</v>
          </cell>
          <cell r="X87">
            <v>0.23472222222222222</v>
          </cell>
          <cell r="Y87">
            <v>0.3840277777777778</v>
          </cell>
          <cell r="Z87">
            <v>66</v>
          </cell>
          <cell r="AD87">
            <v>0.31458333333333333</v>
          </cell>
          <cell r="AH87">
            <v>53</v>
          </cell>
          <cell r="AK87">
            <v>17.100000000000001</v>
          </cell>
          <cell r="AM87">
            <v>52</v>
          </cell>
          <cell r="AY87">
            <v>98.701099186405543</v>
          </cell>
          <cell r="AZ87">
            <v>98.967056608231346</v>
          </cell>
          <cell r="BC87" t="str">
            <v>K. Benjamin</v>
          </cell>
        </row>
        <row r="88">
          <cell r="A88" t="str">
            <v>SM077</v>
          </cell>
          <cell r="T88">
            <v>60</v>
          </cell>
          <cell r="U88">
            <v>10.528301886792462</v>
          </cell>
          <cell r="X88">
            <v>0.34930555555555554</v>
          </cell>
          <cell r="Y88">
            <v>0.48680555555555555</v>
          </cell>
          <cell r="Z88">
            <v>64</v>
          </cell>
          <cell r="AD88">
            <v>0.31319444444444444</v>
          </cell>
          <cell r="AH88">
            <v>53</v>
          </cell>
          <cell r="AK88">
            <v>17.2</v>
          </cell>
          <cell r="AM88">
            <v>51.4</v>
          </cell>
          <cell r="AY88">
            <v>98.149643000896063</v>
          </cell>
          <cell r="AZ88">
            <v>98.41411448318766</v>
          </cell>
          <cell r="BC88" t="str">
            <v>K. Benjamin</v>
          </cell>
        </row>
        <row r="89">
          <cell r="A89" t="str">
            <v>SM078</v>
          </cell>
          <cell r="T89">
            <v>70</v>
          </cell>
          <cell r="U89">
            <v>7.1186440677966116</v>
          </cell>
          <cell r="X89">
            <v>0.45624999999999999</v>
          </cell>
          <cell r="Y89">
            <v>0.60347222222222219</v>
          </cell>
          <cell r="Z89">
            <v>65</v>
          </cell>
          <cell r="AD89">
            <v>0.31874999999999998</v>
          </cell>
          <cell r="AH89">
            <v>53.1</v>
          </cell>
          <cell r="AK89">
            <v>17.2</v>
          </cell>
          <cell r="AM89">
            <v>52.6</v>
          </cell>
          <cell r="AY89">
            <v>100.11673997026169</v>
          </cell>
          <cell r="AZ89">
            <v>100.38753725381228</v>
          </cell>
          <cell r="BC89" t="str">
            <v>K. Benjamin</v>
          </cell>
        </row>
        <row r="90">
          <cell r="A90" t="str">
            <v>SM079</v>
          </cell>
          <cell r="T90">
            <v>60</v>
          </cell>
          <cell r="U90">
            <v>11.450094161958578</v>
          </cell>
          <cell r="X90">
            <v>0.56944444444444442</v>
          </cell>
          <cell r="Y90">
            <v>0.71250000000000002</v>
          </cell>
          <cell r="Z90">
            <v>73</v>
          </cell>
          <cell r="AD90">
            <v>0.30972222222222223</v>
          </cell>
          <cell r="AH90">
            <v>53.1</v>
          </cell>
          <cell r="AK90">
            <v>17.3</v>
          </cell>
          <cell r="AM90">
            <v>51.9</v>
          </cell>
          <cell r="AY90">
            <v>99.269060038965534</v>
          </cell>
          <cell r="AZ90">
            <v>99.538070370300474</v>
          </cell>
          <cell r="BC90" t="str">
            <v>R. Regis</v>
          </cell>
        </row>
        <row r="91">
          <cell r="A91" t="str">
            <v>SM080</v>
          </cell>
          <cell r="T91">
            <v>60</v>
          </cell>
          <cell r="U91">
            <v>10.131826741996237</v>
          </cell>
          <cell r="X91">
            <v>0.7055555555555556</v>
          </cell>
          <cell r="Y91">
            <v>0.84791666666666665</v>
          </cell>
          <cell r="Z91">
            <v>89</v>
          </cell>
          <cell r="AD91">
            <v>0.30625000000000002</v>
          </cell>
          <cell r="AH91">
            <v>53.1</v>
          </cell>
          <cell r="AK91">
            <v>17.100000000000001</v>
          </cell>
          <cell r="AM91">
            <v>51.8</v>
          </cell>
          <cell r="AY91">
            <v>98.24191438139087</v>
          </cell>
          <cell r="AZ91">
            <v>98.506886632550959</v>
          </cell>
          <cell r="BC91" t="str">
            <v>R. Regis</v>
          </cell>
        </row>
        <row r="92">
          <cell r="A92" t="str">
            <v>SM081</v>
          </cell>
          <cell r="T92">
            <v>66</v>
          </cell>
          <cell r="U92">
            <v>11.073446327683619</v>
          </cell>
          <cell r="X92">
            <v>1.1576388888888889</v>
          </cell>
          <cell r="Y92">
            <v>1.2958333333333334</v>
          </cell>
          <cell r="Z92">
            <v>63</v>
          </cell>
          <cell r="AD92">
            <v>0.29583333333333339</v>
          </cell>
          <cell r="AH92">
            <v>53.1</v>
          </cell>
          <cell r="AK92">
            <v>17.399999999999999</v>
          </cell>
          <cell r="AM92">
            <v>49.8</v>
          </cell>
          <cell r="AY92">
            <v>96.193227678250963</v>
          </cell>
          <cell r="AZ92">
            <v>96.699957366702066</v>
          </cell>
          <cell r="BC92" t="str">
            <v>R.Sookram</v>
          </cell>
        </row>
        <row r="93">
          <cell r="A93" t="str">
            <v>SM082</v>
          </cell>
          <cell r="T93">
            <v>61</v>
          </cell>
          <cell r="U93">
            <v>13.709981167608287</v>
          </cell>
          <cell r="X93">
            <v>0.28541666666666665</v>
          </cell>
          <cell r="Y93">
            <v>0.41944444444444445</v>
          </cell>
          <cell r="Z93">
            <v>64</v>
          </cell>
          <cell r="AD93">
            <v>0.32222222222222224</v>
          </cell>
          <cell r="AH93">
            <v>53.1</v>
          </cell>
          <cell r="AK93">
            <v>17.100000000000001</v>
          </cell>
          <cell r="AM93">
            <v>51.3</v>
          </cell>
          <cell r="AY93">
            <v>97.280253560904981</v>
          </cell>
          <cell r="AZ93">
            <v>97.792709518243726</v>
          </cell>
          <cell r="BC93" t="str">
            <v>R.Sookram</v>
          </cell>
        </row>
        <row r="94">
          <cell r="A94" t="str">
            <v>SM083</v>
          </cell>
          <cell r="T94">
            <v>63</v>
          </cell>
          <cell r="U94">
            <v>4.2937853107344655</v>
          </cell>
          <cell r="X94">
            <v>0.39583333333333331</v>
          </cell>
          <cell r="Y94">
            <v>0.5395833333333333</v>
          </cell>
          <cell r="Z94">
            <v>66</v>
          </cell>
          <cell r="AD94">
            <v>0.3208333333333333</v>
          </cell>
          <cell r="AH94">
            <v>53.1</v>
          </cell>
          <cell r="AK94">
            <v>16.899999999999999</v>
          </cell>
          <cell r="AM94">
            <v>53</v>
          </cell>
          <cell r="AY94">
            <v>99.077497022970533</v>
          </cell>
          <cell r="AZ94">
            <v>99.600419102629516</v>
          </cell>
          <cell r="BC94" t="str">
            <v>R.Sookram</v>
          </cell>
        </row>
        <row r="95">
          <cell r="A95" t="str">
            <v>SM084</v>
          </cell>
          <cell r="T95">
            <v>60</v>
          </cell>
          <cell r="U95">
            <v>11.826741996233524</v>
          </cell>
          <cell r="X95">
            <v>0.50138888888888888</v>
          </cell>
          <cell r="Y95">
            <v>0.64097222222222228</v>
          </cell>
          <cell r="Z95">
            <v>63</v>
          </cell>
          <cell r="AD95">
            <v>0.30069444444444449</v>
          </cell>
          <cell r="AH95">
            <v>53.1</v>
          </cell>
          <cell r="AK95">
            <v>17.3</v>
          </cell>
          <cell r="AM95">
            <v>50.01</v>
          </cell>
          <cell r="AY95">
            <v>95.794055097674445</v>
          </cell>
          <cell r="AZ95">
            <v>96.300129026778365</v>
          </cell>
          <cell r="BC95" t="str">
            <v>R. Regis</v>
          </cell>
        </row>
        <row r="96">
          <cell r="A96" t="str">
            <v>SM085</v>
          </cell>
          <cell r="T96">
            <v>62</v>
          </cell>
          <cell r="U96">
            <v>9.7551789077212927</v>
          </cell>
          <cell r="X96">
            <v>0.61041666666666672</v>
          </cell>
          <cell r="Y96">
            <v>0.74583333333333335</v>
          </cell>
          <cell r="Z96">
            <v>66</v>
          </cell>
          <cell r="AD96">
            <v>0.30138888888888893</v>
          </cell>
          <cell r="AH96">
            <v>53.1</v>
          </cell>
          <cell r="AK96">
            <v>17</v>
          </cell>
          <cell r="AM96">
            <v>52.4</v>
          </cell>
          <cell r="AY96">
            <v>98.473163790154686</v>
          </cell>
          <cell r="AZ96">
            <v>98.993391280887408</v>
          </cell>
          <cell r="BC96" t="str">
            <v>R. Regis</v>
          </cell>
        </row>
        <row r="97">
          <cell r="A97" t="str">
            <v>SM086</v>
          </cell>
          <cell r="T97">
            <v>60</v>
          </cell>
          <cell r="U97">
            <v>9.0018832391713772</v>
          </cell>
          <cell r="X97">
            <v>0.71597222222222223</v>
          </cell>
          <cell r="Y97">
            <v>0.84305555555555556</v>
          </cell>
          <cell r="Z97">
            <v>64</v>
          </cell>
          <cell r="AD97">
            <v>0.29097222222222219</v>
          </cell>
          <cell r="AH97">
            <v>53.1</v>
          </cell>
          <cell r="AK97">
            <v>17.3</v>
          </cell>
          <cell r="AM97">
            <v>47.4</v>
          </cell>
          <cell r="AY97">
            <v>90.794605311533076</v>
          </cell>
          <cell r="AZ97">
            <v>91.274267463893096</v>
          </cell>
          <cell r="BC97" t="str">
            <v>R. Regis</v>
          </cell>
        </row>
        <row r="98">
          <cell r="A98" t="str">
            <v>SM087</v>
          </cell>
          <cell r="T98">
            <v>60</v>
          </cell>
          <cell r="U98">
            <v>9.2075471698113258</v>
          </cell>
          <cell r="X98">
            <v>0.82361111111111107</v>
          </cell>
          <cell r="Y98">
            <v>0.96111111111111114</v>
          </cell>
          <cell r="Z98">
            <v>65</v>
          </cell>
          <cell r="AD98">
            <v>0.29444444444444451</v>
          </cell>
          <cell r="AH98">
            <v>53</v>
          </cell>
          <cell r="AK98">
            <v>17.100000000000001</v>
          </cell>
          <cell r="AM98">
            <v>52.3</v>
          </cell>
          <cell r="AY98">
            <v>98.854819757121476</v>
          </cell>
          <cell r="AZ98">
            <v>99.377559656946417</v>
          </cell>
          <cell r="BC98" t="str">
            <v>R. Regis</v>
          </cell>
        </row>
        <row r="99">
          <cell r="A99" t="str">
            <v>SM088</v>
          </cell>
          <cell r="T99">
            <v>60</v>
          </cell>
          <cell r="U99">
            <v>6.754716981132086</v>
          </cell>
          <cell r="X99">
            <v>0.93263888888888891</v>
          </cell>
          <cell r="Y99">
            <v>1.0604166666666666</v>
          </cell>
          <cell r="Z99">
            <v>62</v>
          </cell>
          <cell r="AD99">
            <v>0.2930555555555554</v>
          </cell>
          <cell r="AH99">
            <v>53</v>
          </cell>
          <cell r="AK99">
            <v>17.100000000000001</v>
          </cell>
          <cell r="AM99">
            <v>52.4</v>
          </cell>
          <cell r="AY99">
            <v>99.2047479604514</v>
          </cell>
          <cell r="AZ99">
            <v>99.728341659063886</v>
          </cell>
          <cell r="BC99" t="str">
            <v>R. Regis</v>
          </cell>
        </row>
        <row r="100">
          <cell r="A100" t="str">
            <v>SM089</v>
          </cell>
          <cell r="T100">
            <v>60</v>
          </cell>
          <cell r="U100">
            <v>9.9622641509433976</v>
          </cell>
          <cell r="X100">
            <v>1.0777777777777777</v>
          </cell>
          <cell r="Y100">
            <v>1.2451388888888888</v>
          </cell>
          <cell r="Z100">
            <v>104</v>
          </cell>
          <cell r="AD100">
            <v>0.35277777777777763</v>
          </cell>
          <cell r="AH100">
            <v>53</v>
          </cell>
          <cell r="AK100">
            <v>17.100000000000001</v>
          </cell>
          <cell r="AM100">
            <v>51.5</v>
          </cell>
          <cell r="AY100">
            <v>97.580117216650279</v>
          </cell>
          <cell r="AZ100">
            <v>98.09464493034055</v>
          </cell>
          <cell r="BC100" t="str">
            <v>K. Benjamin</v>
          </cell>
        </row>
        <row r="101">
          <cell r="A101" t="str">
            <v>SM090</v>
          </cell>
          <cell r="T101">
            <v>60</v>
          </cell>
          <cell r="U101">
            <v>6.5660377358490649</v>
          </cell>
          <cell r="X101">
            <v>1.1659722222222222</v>
          </cell>
          <cell r="Y101">
            <v>1.3118055555555554</v>
          </cell>
          <cell r="Z101">
            <v>60</v>
          </cell>
          <cell r="AD101">
            <v>0.31527777777777766</v>
          </cell>
          <cell r="AH101">
            <v>53</v>
          </cell>
          <cell r="AK101">
            <v>17</v>
          </cell>
          <cell r="AM101">
            <v>52.8</v>
          </cell>
          <cell r="AY101">
            <v>99.629199564339515</v>
          </cell>
          <cell r="AZ101">
            <v>100.15302201230318</v>
          </cell>
          <cell r="BC101" t="str">
            <v>K. Benjamin</v>
          </cell>
        </row>
      </sheetData>
      <sheetData sheetId="4" refreshError="1">
        <row r="5">
          <cell r="B5">
            <v>46027</v>
          </cell>
        </row>
        <row r="84">
          <cell r="D84">
            <v>17.2</v>
          </cell>
        </row>
        <row r="85">
          <cell r="D85">
            <v>17.3</v>
          </cell>
        </row>
        <row r="86">
          <cell r="D86">
            <v>17.600000000000001</v>
          </cell>
        </row>
        <row r="87">
          <cell r="D87">
            <v>17.100000000000001</v>
          </cell>
        </row>
        <row r="88">
          <cell r="D88">
            <v>17.2</v>
          </cell>
        </row>
        <row r="89">
          <cell r="D89">
            <v>17.2</v>
          </cell>
        </row>
        <row r="90">
          <cell r="D90">
            <v>17.3</v>
          </cell>
        </row>
        <row r="91">
          <cell r="D91">
            <v>17.100000000000001</v>
          </cell>
        </row>
      </sheetData>
      <sheetData sheetId="5"/>
      <sheetData sheetId="6"/>
      <sheetData sheetId="7"/>
      <sheetData sheetId="8">
        <row r="10">
          <cell r="G10">
            <v>593.29999999999995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an 2nd"/>
      <sheetName val="Jan 5th"/>
      <sheetName val="Jan 6th"/>
      <sheetName val="Jan 7th"/>
      <sheetName val="Jan 8th "/>
      <sheetName val="Jan 9th-10th"/>
      <sheetName val="Jan12th "/>
      <sheetName val="Jan13th"/>
      <sheetName val="Jan14th"/>
      <sheetName val="Jan15th"/>
      <sheetName val="Jan16-18th"/>
      <sheetName val="Jan19th "/>
      <sheetName val="Jan20th"/>
      <sheetName val="Jan21st"/>
      <sheetName val="Jan22nd"/>
      <sheetName val="Jan23rd"/>
      <sheetName val="Jan26th"/>
      <sheetName val="Jan27th"/>
      <sheetName val="Jan28th"/>
      <sheetName val="Jan29th"/>
      <sheetName val="Jan30th-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2">
          <cell r="L42">
            <v>97.828041735841467</v>
          </cell>
        </row>
        <row r="47">
          <cell r="L47">
            <v>6.0869565217391308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Feb 2nd"/>
      <sheetName val="Feb 3rd"/>
      <sheetName val="Feb 4th"/>
      <sheetName val="Feb 5th"/>
      <sheetName val="Feb 6th"/>
      <sheetName val="Feb 9th"/>
      <sheetName val="Feb 10th"/>
      <sheetName val="Feb 11th"/>
      <sheetName val="Feb 12th"/>
      <sheetName val="Feb 13th"/>
      <sheetName val="Feb 16th"/>
      <sheetName val="Feb 17th"/>
      <sheetName val="Feb 18th "/>
      <sheetName val="Feb 19th"/>
      <sheetName val="Feb 20th"/>
      <sheetName val="Feb 23rd"/>
      <sheetName val="Feb 24th"/>
      <sheetName val="Feb 25th"/>
      <sheetName val="Feb 26th "/>
      <sheetName val="Feb 27th-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9">
          <cell r="L39">
            <v>6.1</v>
          </cell>
        </row>
      </sheetData>
      <sheetData sheetId="20">
        <row r="45">
          <cell r="L45">
            <v>97.514550407372639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r 1st"/>
      <sheetName val="Mar 2nd"/>
      <sheetName val="Mar 3rd"/>
      <sheetName val="Mar 4th"/>
      <sheetName val="Mar 5th"/>
      <sheetName val="Mar 6th "/>
      <sheetName val="Mar 9th"/>
      <sheetName val="Mar 10th"/>
      <sheetName val="Mar 11th"/>
      <sheetName val="Mar 12th"/>
      <sheetName val="Mar 13th-15th"/>
      <sheetName val="Mar 16th"/>
      <sheetName val="Mar 18th"/>
      <sheetName val="Mar 19th"/>
      <sheetName val="Mar 20th -22nd"/>
      <sheetName val="Mar 23rd "/>
      <sheetName val="Mar 24th"/>
      <sheetName val="Mar 25th "/>
      <sheetName val="Mar 26th"/>
      <sheetName val="Mar 27th"/>
      <sheetName val="Mar 30th "/>
      <sheetName val="Mar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2">
          <cell r="L42">
            <v>98.106733433542104</v>
          </cell>
        </row>
        <row r="47">
          <cell r="L47">
            <v>7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Apr 1st"/>
      <sheetName val="Apr 2nd"/>
      <sheetName val="Apr 7th"/>
      <sheetName val="Apr 8th"/>
      <sheetName val="Apr 9th "/>
      <sheetName val="Apr 10th"/>
      <sheetName val="Apr 13th"/>
      <sheetName val="Apr 14th"/>
      <sheetName val="Apr 15th"/>
      <sheetName val="Apr 16th "/>
      <sheetName val="Apr 20th "/>
      <sheetName val="Apr 21st"/>
      <sheetName val="Apr 22nd"/>
      <sheetName val="Apr 23rd"/>
      <sheetName val="Apr 24th-26th"/>
      <sheetName val="Apr 27th"/>
      <sheetName val="Apr 28th"/>
      <sheetName val="Apr 29th "/>
      <sheetName val="Apr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1">
          <cell r="L41">
            <v>98.132364963553755</v>
          </cell>
        </row>
        <row r="46">
          <cell r="L46">
            <v>6.85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y 2nd-23rd"/>
      <sheetName val="May 4th"/>
      <sheetName val="May 5th"/>
      <sheetName val="May 6th"/>
      <sheetName val="May 7th"/>
      <sheetName val="May 8th -9th"/>
      <sheetName val="May 11th"/>
      <sheetName val="May 12th "/>
      <sheetName val="May 13th"/>
      <sheetName val="May 14th"/>
      <sheetName val="May 15th-16th"/>
      <sheetName val="May 18th"/>
      <sheetName val="May 19th "/>
      <sheetName val="May 20th"/>
      <sheetName val="May 21st"/>
      <sheetName val="May 22nd -23rd"/>
      <sheetName val="May 26th"/>
      <sheetName val="May 27th"/>
      <sheetName val="May 28th"/>
      <sheetName val="May 29th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5">
          <cell r="L35">
            <v>97.796542845425648</v>
          </cell>
        </row>
        <row r="40">
          <cell r="L40">
            <v>5.5909090909090908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une 2nd"/>
      <sheetName val="June 3rd"/>
      <sheetName val="June 4th"/>
      <sheetName val="June 5th"/>
      <sheetName val="June 8th"/>
      <sheetName val="June 9th"/>
      <sheetName val="June 12th "/>
      <sheetName val="June 15th "/>
      <sheetName val="June 16th"/>
      <sheetName val="June 17th "/>
      <sheetName val="June 18th "/>
      <sheetName val="June 21st"/>
      <sheetName val="June 22nd"/>
      <sheetName val="June 23rd"/>
      <sheetName val="June 24th"/>
      <sheetName val="June 25th "/>
      <sheetName val="June 26th "/>
      <sheetName val="June 27th-28th"/>
      <sheetName val="June 29th"/>
      <sheetName val="June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2">
          <cell r="L32"/>
        </row>
        <row r="39">
          <cell r="L39">
            <v>6.4318181818181817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uly 1st"/>
      <sheetName val="July 2nd"/>
      <sheetName val="July 3rd"/>
      <sheetName val="July 6th"/>
      <sheetName val="July 7th"/>
      <sheetName val="July 8th"/>
      <sheetName val="July 9th"/>
      <sheetName val="July 10th-12th"/>
      <sheetName val="July 13th"/>
      <sheetName val="July 14th "/>
      <sheetName val="July 15th "/>
      <sheetName val="July 16th"/>
      <sheetName val="July 17th-19th"/>
      <sheetName val="July20th "/>
      <sheetName val="July21st"/>
      <sheetName val="July22nd"/>
      <sheetName val="July23rd"/>
      <sheetName val="July24th"/>
      <sheetName val="July27th"/>
      <sheetName val="July28th "/>
      <sheetName val="July29th"/>
      <sheetName val="July30th"/>
      <sheetName val="July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36">
          <cell r="L36">
            <v>97.851192921999655</v>
          </cell>
        </row>
        <row r="41">
          <cell r="L41">
            <v>6.3076923076923075</v>
          </cell>
        </row>
      </sheetData>
      <sheetData sheetId="24"/>
      <sheetData sheetId="25"/>
      <sheetData sheetId="26"/>
      <sheetData sheetId="2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_2019"/>
      <sheetName val="February_2019"/>
      <sheetName val="March_2019"/>
      <sheetName val="April_2019"/>
      <sheetName val="May_2019"/>
      <sheetName val="June_2019"/>
      <sheetName val="July_2019"/>
      <sheetName val="August_2019"/>
      <sheetName val="August_2018 (2)"/>
      <sheetName val="September_2019"/>
      <sheetName val="October_2019"/>
      <sheetName val="November_2019"/>
      <sheetName val="December_2019"/>
    </sheetNames>
    <sheetDataSet>
      <sheetData sheetId="0">
        <row r="7">
          <cell r="D7">
            <v>0</v>
          </cell>
          <cell r="L7">
            <v>285.8</v>
          </cell>
          <cell r="M7">
            <v>508.1</v>
          </cell>
          <cell r="N7">
            <v>0</v>
          </cell>
          <cell r="O7">
            <v>0</v>
          </cell>
          <cell r="P7">
            <v>109.56666666666666</v>
          </cell>
          <cell r="Q7">
            <v>297.64999999999998</v>
          </cell>
          <cell r="R7">
            <v>122.3</v>
          </cell>
          <cell r="S7">
            <v>0</v>
          </cell>
          <cell r="T7">
            <v>294.7</v>
          </cell>
          <cell r="U7">
            <v>280.5</v>
          </cell>
          <cell r="V7">
            <v>0</v>
          </cell>
          <cell r="W7">
            <v>0</v>
          </cell>
          <cell r="X7">
            <v>188.25</v>
          </cell>
          <cell r="Y7">
            <v>295.7</v>
          </cell>
          <cell r="Z7">
            <v>257.8</v>
          </cell>
          <cell r="AA7">
            <v>291.2</v>
          </cell>
          <cell r="AB7">
            <v>187</v>
          </cell>
          <cell r="AC7">
            <v>0</v>
          </cell>
          <cell r="AD7">
            <v>0</v>
          </cell>
          <cell r="AE7">
            <v>485.1</v>
          </cell>
          <cell r="AF7">
            <v>171.55</v>
          </cell>
          <cell r="AG7">
            <v>423.8</v>
          </cell>
          <cell r="AH7">
            <v>0</v>
          </cell>
        </row>
        <row r="8">
          <cell r="D8" t="e">
            <v>#DIV/0!</v>
          </cell>
          <cell r="E8">
            <v>1.0319298245614037</v>
          </cell>
          <cell r="F8">
            <v>1.7789473684210526</v>
          </cell>
          <cell r="G8">
            <v>0.51929824561403504</v>
          </cell>
          <cell r="H8" t="e">
            <v>#DIV/0!</v>
          </cell>
          <cell r="I8" t="e">
            <v>#DIV/0!</v>
          </cell>
          <cell r="J8">
            <v>1.365263157894737</v>
          </cell>
          <cell r="K8" t="e">
            <v>#DIV/0!</v>
          </cell>
          <cell r="L8">
            <v>1.0028070175438597</v>
          </cell>
          <cell r="M8">
            <v>1.7828070175438597</v>
          </cell>
          <cell r="N8" t="e">
            <v>#DIV/0!</v>
          </cell>
          <cell r="O8" t="e">
            <v>#DIV/0!</v>
          </cell>
          <cell r="P8">
            <v>0.19222222222222221</v>
          </cell>
          <cell r="Q8">
            <v>0.52219298245614032</v>
          </cell>
          <cell r="R8">
            <v>0.42912280701754385</v>
          </cell>
          <cell r="S8" t="e">
            <v>#DIV/0!</v>
          </cell>
          <cell r="T8">
            <v>1.0340350877192983</v>
          </cell>
          <cell r="U8">
            <v>0.98421052631578942</v>
          </cell>
          <cell r="V8" t="e">
            <v>#DIV/0!</v>
          </cell>
          <cell r="W8" t="e">
            <v>#DIV/0!</v>
          </cell>
          <cell r="X8">
            <v>0.66052631578947374</v>
          </cell>
          <cell r="Y8">
            <v>1.0375438596491227</v>
          </cell>
          <cell r="Z8">
            <v>0.90456140350877201</v>
          </cell>
          <cell r="AA8">
            <v>1.0217543859649123</v>
          </cell>
          <cell r="AB8">
            <v>0.65614035087719302</v>
          </cell>
          <cell r="AC8" t="e">
            <v>#DIV/0!</v>
          </cell>
          <cell r="AD8" t="e">
            <v>#DIV/0!</v>
          </cell>
          <cell r="AE8">
            <v>1.7021052631578948</v>
          </cell>
          <cell r="AF8">
            <v>0.60192982456140354</v>
          </cell>
          <cell r="AG8">
            <v>1.4870175438596491</v>
          </cell>
          <cell r="AH8" t="e">
            <v>#DIV/0!</v>
          </cell>
        </row>
      </sheetData>
      <sheetData sheetId="1">
        <row r="13">
          <cell r="AN13">
            <v>0.94034030952171987</v>
          </cell>
        </row>
      </sheetData>
      <sheetData sheetId="2">
        <row r="13">
          <cell r="AQ13">
            <v>0.93551267438402086</v>
          </cell>
        </row>
      </sheetData>
      <sheetData sheetId="3">
        <row r="18">
          <cell r="G18">
            <v>1.0103508771929826</v>
          </cell>
        </row>
      </sheetData>
      <sheetData sheetId="4">
        <row r="13">
          <cell r="AN13">
            <v>0.87062818515015106</v>
          </cell>
        </row>
      </sheetData>
      <sheetData sheetId="5">
        <row r="13">
          <cell r="AN13">
            <v>0.94807447713221704</v>
          </cell>
        </row>
      </sheetData>
      <sheetData sheetId="6">
        <row r="13">
          <cell r="AN13">
            <v>1.0800362929336174</v>
          </cell>
        </row>
      </sheetData>
      <sheetData sheetId="7">
        <row r="13">
          <cell r="AN13">
            <v>1.1456090225563909</v>
          </cell>
        </row>
      </sheetData>
      <sheetData sheetId="8"/>
      <sheetData sheetId="9">
        <row r="13">
          <cell r="AM13">
            <v>1.1586666666666667</v>
          </cell>
        </row>
      </sheetData>
      <sheetData sheetId="10">
        <row r="13">
          <cell r="AN13">
            <v>0.7340526315789474</v>
          </cell>
        </row>
      </sheetData>
      <sheetData sheetId="11">
        <row r="13">
          <cell r="AN13">
            <v>0.98266798418972334</v>
          </cell>
        </row>
      </sheetData>
      <sheetData sheetId="12">
        <row r="13">
          <cell r="AN13">
            <v>0.83754385964912292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"/>
      <sheetName val="Summary September '23"/>
      <sheetName val="Summary August '23"/>
      <sheetName val="Summary July '23 "/>
      <sheetName val="Summary June '23"/>
      <sheetName val="Summary May '23 "/>
      <sheetName val="Summary April '23 "/>
      <sheetName val="Summary March '23 "/>
      <sheetName val="Summary February '23"/>
      <sheetName val="Summary January '23"/>
      <sheetName val="Summary December '22  "/>
      <sheetName val="Summary November '22   "/>
      <sheetName val="Summary October '22  "/>
      <sheetName val="Summary September '22  "/>
      <sheetName val="Summary August '22 "/>
      <sheetName val="Summary July '22 "/>
      <sheetName val="Summary June '22"/>
      <sheetName val="Summary May '22"/>
      <sheetName val="Summary April '22"/>
      <sheetName val="Summary March '22"/>
      <sheetName val="Summary February '22"/>
      <sheetName val="Summary January '22"/>
      <sheetName val="Summary December '21  "/>
    </sheetNames>
    <sheetDataSet>
      <sheetData sheetId="0"/>
      <sheetData sheetId="1"/>
      <sheetData sheetId="2"/>
      <sheetData sheetId="3"/>
      <sheetData sheetId="4"/>
      <sheetData sheetId="5">
        <row r="39">
          <cell r="AI39">
            <v>53</v>
          </cell>
        </row>
        <row r="849">
          <cell r="AU849">
            <v>95.663863833483461</v>
          </cell>
        </row>
        <row r="850">
          <cell r="AU850">
            <v>98.161203140703776</v>
          </cell>
        </row>
        <row r="851">
          <cell r="AU851">
            <v>99.759332436323248</v>
          </cell>
        </row>
        <row r="852">
          <cell r="AU852">
            <v>98.333283107625732</v>
          </cell>
        </row>
        <row r="853">
          <cell r="AU853">
            <v>98.502602722865149</v>
          </cell>
        </row>
        <row r="854">
          <cell r="AU854">
            <v>98.818687834716542</v>
          </cell>
        </row>
        <row r="855">
          <cell r="AU855">
            <v>97.298297014350211</v>
          </cell>
        </row>
        <row r="856">
          <cell r="AU856">
            <v>99.281443283645203</v>
          </cell>
        </row>
        <row r="857">
          <cell r="AU857">
            <v>96.092752278453332</v>
          </cell>
        </row>
        <row r="858">
          <cell r="AU858">
            <v>98.055003537976447</v>
          </cell>
        </row>
        <row r="859">
          <cell r="AU859">
            <v>100.91885920195962</v>
          </cell>
        </row>
        <row r="860">
          <cell r="AU860">
            <v>99.63105429686064</v>
          </cell>
        </row>
        <row r="861">
          <cell r="AU861">
            <v>96.873994166896026</v>
          </cell>
        </row>
        <row r="862">
          <cell r="AU862">
            <v>98.919847621112098</v>
          </cell>
        </row>
        <row r="863">
          <cell r="AU863">
            <v>98.631788415892132</v>
          </cell>
        </row>
        <row r="864">
          <cell r="AU864">
            <v>98.525744642541923</v>
          </cell>
        </row>
        <row r="865">
          <cell r="AU865">
            <v>97.946144197753199</v>
          </cell>
        </row>
        <row r="866">
          <cell r="AU866">
            <v>99.535261451801944</v>
          </cell>
        </row>
        <row r="867">
          <cell r="AU867">
            <v>99.041877420655766</v>
          </cell>
        </row>
        <row r="868">
          <cell r="AU868">
            <v>98.619710487506779</v>
          </cell>
        </row>
        <row r="869">
          <cell r="AU869">
            <v>94.871478991746045</v>
          </cell>
        </row>
        <row r="870">
          <cell r="AU870">
            <v>99.145590755635325</v>
          </cell>
        </row>
        <row r="871">
          <cell r="AU871">
            <v>97.414766781431112</v>
          </cell>
        </row>
        <row r="872">
          <cell r="AU872">
            <v>98.168689841970789</v>
          </cell>
        </row>
        <row r="873">
          <cell r="AU873">
            <v>94.708468285483022</v>
          </cell>
        </row>
        <row r="874">
          <cell r="AU874">
            <v>98.19572334957715</v>
          </cell>
        </row>
        <row r="875">
          <cell r="AU875">
            <v>98.090148410725448</v>
          </cell>
        </row>
        <row r="876">
          <cell r="AU876">
            <v>95.118761951292143</v>
          </cell>
        </row>
        <row r="877">
          <cell r="AU877">
            <v>100.60583188656503</v>
          </cell>
        </row>
        <row r="878">
          <cell r="AU878">
            <v>97.290406760145842</v>
          </cell>
        </row>
        <row r="879">
          <cell r="AU879">
            <v>104.72566854096057</v>
          </cell>
        </row>
        <row r="880">
          <cell r="AU880">
            <v>103.17490716902564</v>
          </cell>
        </row>
        <row r="881">
          <cell r="AU881">
            <v>97.832871362942271</v>
          </cell>
        </row>
        <row r="882">
          <cell r="AU882">
            <v>98.196537042622353</v>
          </cell>
        </row>
        <row r="883">
          <cell r="AU883">
            <v>92.067139526743475</v>
          </cell>
        </row>
        <row r="884">
          <cell r="AU884">
            <v>98.407062059761429</v>
          </cell>
        </row>
        <row r="885">
          <cell r="AU885">
            <v>99.192747185987045</v>
          </cell>
        </row>
        <row r="886">
          <cell r="AU886">
            <v>97.51961651056078</v>
          </cell>
        </row>
        <row r="887">
          <cell r="AU887">
            <v>95.491313123678665</v>
          </cell>
        </row>
        <row r="888">
          <cell r="AU888">
            <v>100.23142048831002</v>
          </cell>
        </row>
        <row r="889">
          <cell r="AU889">
            <v>98.187310276793937</v>
          </cell>
        </row>
        <row r="890">
          <cell r="AU890">
            <v>101.25839273474642</v>
          </cell>
        </row>
        <row r="891">
          <cell r="AU891">
            <v>95.290840272543946</v>
          </cell>
        </row>
        <row r="892">
          <cell r="AU892">
            <v>102.08768838931368</v>
          </cell>
        </row>
        <row r="893">
          <cell r="AU893">
            <v>97.360408780157954</v>
          </cell>
        </row>
        <row r="894">
          <cell r="AU894">
            <v>99.045402987088693</v>
          </cell>
        </row>
        <row r="895">
          <cell r="AU895">
            <v>98.034529195153198</v>
          </cell>
        </row>
        <row r="896">
          <cell r="AU896">
            <v>99.66368637303772</v>
          </cell>
        </row>
        <row r="897">
          <cell r="AU897">
            <v>96.39159653002244</v>
          </cell>
        </row>
        <row r="898">
          <cell r="AU898">
            <v>99.215504360195723</v>
          </cell>
        </row>
        <row r="899">
          <cell r="AU899">
            <v>100.22728441960062</v>
          </cell>
        </row>
        <row r="900">
          <cell r="AU900">
            <v>98.989483943049265</v>
          </cell>
        </row>
        <row r="901">
          <cell r="AU901">
            <v>96.280432251303537</v>
          </cell>
        </row>
        <row r="902">
          <cell r="AU902">
            <v>99.202811624094949</v>
          </cell>
        </row>
        <row r="903">
          <cell r="AU903">
            <v>98.506489670004697</v>
          </cell>
        </row>
        <row r="904">
          <cell r="AU904">
            <v>99.769040261812833</v>
          </cell>
        </row>
        <row r="905">
          <cell r="AU905">
            <v>98.326320918982461</v>
          </cell>
        </row>
        <row r="906">
          <cell r="AU906">
            <v>98.719626202658404</v>
          </cell>
        </row>
        <row r="907">
          <cell r="AU907">
            <v>99.117823502588735</v>
          </cell>
        </row>
        <row r="908">
          <cell r="AU908">
            <v>98.631008731909759</v>
          </cell>
        </row>
        <row r="909">
          <cell r="AU909">
            <v>93.901686844433655</v>
          </cell>
        </row>
        <row r="910">
          <cell r="AU910">
            <v>98.42963897912486</v>
          </cell>
        </row>
        <row r="911">
          <cell r="AU911">
            <v>99.240374252811307</v>
          </cell>
        </row>
        <row r="912">
          <cell r="AU912">
            <v>99.893905017469535</v>
          </cell>
        </row>
        <row r="913">
          <cell r="AU913">
            <v>99.245314300729845</v>
          </cell>
        </row>
        <row r="914">
          <cell r="AU914">
            <v>98.818173928722587</v>
          </cell>
        </row>
        <row r="915">
          <cell r="AU915">
            <v>98.331257677886271</v>
          </cell>
        </row>
        <row r="916">
          <cell r="AU916">
            <v>98.612545635425107</v>
          </cell>
        </row>
        <row r="917">
          <cell r="AU917">
            <v>98.631417127445459</v>
          </cell>
        </row>
        <row r="918">
          <cell r="AU918">
            <v>98.07782155982369</v>
          </cell>
        </row>
        <row r="919">
          <cell r="AU919">
            <v>98.33388042408815</v>
          </cell>
        </row>
        <row r="920">
          <cell r="AU920">
            <v>95.468071678126762</v>
          </cell>
        </row>
        <row r="921">
          <cell r="AU921">
            <v>101.41851984313148</v>
          </cell>
        </row>
        <row r="922">
          <cell r="AU922">
            <v>98.594095369450585</v>
          </cell>
        </row>
        <row r="923">
          <cell r="AU923">
            <v>101.0306887695094</v>
          </cell>
        </row>
        <row r="924">
          <cell r="AU924">
            <v>97.117338355034519</v>
          </cell>
        </row>
        <row r="926">
          <cell r="AU926">
            <v>93.014529112498508</v>
          </cell>
        </row>
        <row r="927">
          <cell r="AU927">
            <v>94.905180294691831</v>
          </cell>
        </row>
        <row r="928">
          <cell r="AU928">
            <v>98.612734606795939</v>
          </cell>
        </row>
        <row r="929">
          <cell r="AU929">
            <v>98.193089516568449</v>
          </cell>
        </row>
        <row r="930">
          <cell r="AU930">
            <v>99.166902562351495</v>
          </cell>
        </row>
        <row r="931">
          <cell r="AU931">
            <v>98.545871344503041</v>
          </cell>
        </row>
        <row r="932">
          <cell r="AU932">
            <v>96.633045006550262</v>
          </cell>
        </row>
        <row r="933">
          <cell r="AU933">
            <v>97.21114174432509</v>
          </cell>
        </row>
        <row r="934">
          <cell r="AU934">
            <v>99.369101617770809</v>
          </cell>
        </row>
        <row r="935">
          <cell r="AU935">
            <v>98.036954958046238</v>
          </cell>
        </row>
        <row r="936">
          <cell r="AU936">
            <v>91.207086008373878</v>
          </cell>
        </row>
        <row r="937">
          <cell r="AU937">
            <v>95.860786445249929</v>
          </cell>
        </row>
        <row r="938">
          <cell r="AU938">
            <v>97.986863363409327</v>
          </cell>
        </row>
        <row r="939">
          <cell r="AU939">
            <v>95.87755710705413</v>
          </cell>
        </row>
        <row r="940">
          <cell r="AU940">
            <v>96.069312221268248</v>
          </cell>
        </row>
        <row r="941">
          <cell r="AU941">
            <v>94.699654196675027</v>
          </cell>
        </row>
        <row r="942">
          <cell r="AU942">
            <v>101.67252999852943</v>
          </cell>
        </row>
        <row r="943">
          <cell r="AU943">
            <v>101.17913775574701</v>
          </cell>
        </row>
        <row r="944">
          <cell r="AU944">
            <v>100.86273713130642</v>
          </cell>
        </row>
        <row r="945">
          <cell r="AU945">
            <v>100.10873722587988</v>
          </cell>
        </row>
        <row r="946">
          <cell r="AU946">
            <v>95.50082306179263</v>
          </cell>
        </row>
        <row r="947">
          <cell r="AU947">
            <v>98.277382858959044</v>
          </cell>
        </row>
        <row r="948">
          <cell r="AU948">
            <v>93.3808876329188</v>
          </cell>
        </row>
        <row r="949">
          <cell r="AU949">
            <v>96.175569134464126</v>
          </cell>
        </row>
        <row r="950">
          <cell r="AU950">
            <v>97.078303486097681</v>
          </cell>
        </row>
        <row r="951">
          <cell r="AU951">
            <v>101.56030805211434</v>
          </cell>
        </row>
        <row r="952">
          <cell r="AU952">
            <v>91.935041652671885</v>
          </cell>
        </row>
        <row r="953">
          <cell r="AU953">
            <v>97.123997414216163</v>
          </cell>
        </row>
        <row r="954">
          <cell r="AU954">
            <v>95.617584994183886</v>
          </cell>
        </row>
        <row r="955">
          <cell r="AU955">
            <v>96.610674074757526</v>
          </cell>
        </row>
        <row r="956">
          <cell r="AU956">
            <v>97.487635532948119</v>
          </cell>
        </row>
        <row r="957">
          <cell r="AU957">
            <v>97.412227635198136</v>
          </cell>
        </row>
        <row r="958">
          <cell r="AU958">
            <v>97.20950210143495</v>
          </cell>
        </row>
        <row r="959">
          <cell r="AU959">
            <v>99.297987498145474</v>
          </cell>
        </row>
        <row r="960">
          <cell r="AU960">
            <v>97.024782991571257</v>
          </cell>
        </row>
        <row r="961">
          <cell r="AU961">
            <v>97.243298870014883</v>
          </cell>
        </row>
        <row r="962">
          <cell r="AU962">
            <v>97.023260123118732</v>
          </cell>
        </row>
        <row r="963">
          <cell r="AU963">
            <v>100.22026650558166</v>
          </cell>
        </row>
        <row r="964">
          <cell r="AU964">
            <v>100.00923853982306</v>
          </cell>
        </row>
        <row r="965">
          <cell r="AU965">
            <v>99.906331130627905</v>
          </cell>
        </row>
        <row r="966">
          <cell r="AU966">
            <v>98.850227095727348</v>
          </cell>
        </row>
        <row r="967">
          <cell r="AU967">
            <v>99.441114455440584</v>
          </cell>
        </row>
        <row r="968">
          <cell r="AU968">
            <v>98.304977340690357</v>
          </cell>
        </row>
        <row r="969">
          <cell r="AU969">
            <v>98.86983616014237</v>
          </cell>
        </row>
        <row r="970">
          <cell r="AU970">
            <v>98.488143394733228</v>
          </cell>
        </row>
        <row r="971">
          <cell r="AU971">
            <v>99.471038525077589</v>
          </cell>
        </row>
        <row r="973">
          <cell r="AU973">
            <v>95.888708244918675</v>
          </cell>
        </row>
        <row r="974">
          <cell r="AU974">
            <v>96.395259825577298</v>
          </cell>
        </row>
        <row r="975">
          <cell r="AU975">
            <v>99.192144221194894</v>
          </cell>
        </row>
        <row r="976">
          <cell r="AU976">
            <v>100.49472440540761</v>
          </cell>
        </row>
        <row r="977">
          <cell r="AU977">
            <v>99.145148742060812</v>
          </cell>
        </row>
        <row r="978">
          <cell r="AU978">
            <v>98.313224898090724</v>
          </cell>
        </row>
        <row r="979">
          <cell r="AU979">
            <v>98.891816600796247</v>
          </cell>
        </row>
        <row r="980">
          <cell r="AU980">
            <v>97.007802280437417</v>
          </cell>
        </row>
        <row r="981">
          <cell r="AU981">
            <v>100.03609063865832</v>
          </cell>
        </row>
        <row r="982">
          <cell r="AU982">
            <v>99.262117016695768</v>
          </cell>
        </row>
        <row r="983">
          <cell r="AU983">
            <v>98.760316095676714</v>
          </cell>
        </row>
        <row r="984">
          <cell r="AU984">
            <v>99.083839545652168</v>
          </cell>
        </row>
        <row r="985">
          <cell r="AU985">
            <v>98.648533109164021</v>
          </cell>
        </row>
        <row r="986">
          <cell r="AU986">
            <v>98.395181345142205</v>
          </cell>
        </row>
        <row r="987">
          <cell r="AU987">
            <v>99.66128871437337</v>
          </cell>
        </row>
        <row r="988">
          <cell r="AU988">
            <v>98.814121830608798</v>
          </cell>
        </row>
        <row r="989">
          <cell r="AU989">
            <v>98.703252611359233</v>
          </cell>
        </row>
        <row r="990">
          <cell r="AU990">
            <v>101.08312040923842</v>
          </cell>
        </row>
        <row r="991">
          <cell r="AU991">
            <v>96.089556432038236</v>
          </cell>
        </row>
        <row r="992">
          <cell r="AU992">
            <v>96.950696980249873</v>
          </cell>
        </row>
        <row r="993">
          <cell r="AU993">
            <v>98.421661720388187</v>
          </cell>
        </row>
        <row r="994">
          <cell r="AU994">
            <v>97.938417583872493</v>
          </cell>
        </row>
        <row r="995">
          <cell r="AU995">
            <v>97.650858846700444</v>
          </cell>
        </row>
        <row r="996">
          <cell r="AU996">
            <v>98.704675821172387</v>
          </cell>
        </row>
        <row r="997">
          <cell r="AU997">
            <v>98.77401974110343</v>
          </cell>
        </row>
        <row r="998">
          <cell r="AU998">
            <v>100.39222978751012</v>
          </cell>
        </row>
        <row r="999">
          <cell r="AU999">
            <v>97.59336349013391</v>
          </cell>
        </row>
        <row r="1000">
          <cell r="AU1000">
            <v>101.5239334145885</v>
          </cell>
        </row>
        <row r="1001">
          <cell r="AU1001">
            <v>98.465315588133734</v>
          </cell>
        </row>
        <row r="1002">
          <cell r="AU1002">
            <v>96.186092769917465</v>
          </cell>
        </row>
        <row r="1003">
          <cell r="AU1003">
            <v>94.13399521979872</v>
          </cell>
        </row>
        <row r="1004">
          <cell r="AU1004">
            <v>97.393648773101731</v>
          </cell>
        </row>
        <row r="1005">
          <cell r="AU1005">
            <v>100.84475180839827</v>
          </cell>
        </row>
        <row r="1006">
          <cell r="AU1006">
            <v>96.923784228632613</v>
          </cell>
        </row>
        <row r="1007">
          <cell r="AU1007">
            <v>98.943374580547371</v>
          </cell>
        </row>
        <row r="1008">
          <cell r="AU1008">
            <v>97.616244018038586</v>
          </cell>
        </row>
        <row r="1009">
          <cell r="AU1009">
            <v>97.200120753042128</v>
          </cell>
        </row>
        <row r="1010">
          <cell r="AU1010">
            <v>98.309661023974598</v>
          </cell>
        </row>
        <row r="1011">
          <cell r="AU1011">
            <v>98.11180818418508</v>
          </cell>
        </row>
        <row r="1012">
          <cell r="AU1012">
            <v>95.802126010985702</v>
          </cell>
        </row>
        <row r="1013">
          <cell r="AU1013">
            <v>97.933739877262411</v>
          </cell>
        </row>
        <row r="1014">
          <cell r="AU1014">
            <v>98.390432949172776</v>
          </cell>
        </row>
        <row r="1015">
          <cell r="AU1015">
            <v>97.811665696530596</v>
          </cell>
        </row>
        <row r="1016">
          <cell r="AU1016">
            <v>95.923441158121605</v>
          </cell>
        </row>
        <row r="1017">
          <cell r="AU1017">
            <v>100.63802460760101</v>
          </cell>
        </row>
        <row r="1018">
          <cell r="AU1018">
            <v>97.734702345258398</v>
          </cell>
        </row>
        <row r="1019">
          <cell r="AU1019">
            <v>93.252429030364738</v>
          </cell>
        </row>
        <row r="1020">
          <cell r="AU1020">
            <v>99.384746343388471</v>
          </cell>
        </row>
        <row r="1021">
          <cell r="AU1021">
            <v>98.117256569111035</v>
          </cell>
        </row>
        <row r="1022">
          <cell r="AU1022">
            <v>98.116637806062727</v>
          </cell>
        </row>
        <row r="1023">
          <cell r="AU1023">
            <v>97.657860016366371</v>
          </cell>
        </row>
        <row r="1024">
          <cell r="AU1024">
            <v>97.972529900423893</v>
          </cell>
        </row>
        <row r="1025">
          <cell r="AU1025">
            <v>98.310667164973324</v>
          </cell>
        </row>
        <row r="1026">
          <cell r="AU1026">
            <v>99.134259503986243</v>
          </cell>
        </row>
        <row r="1027">
          <cell r="AU1027">
            <v>97.265959206532798</v>
          </cell>
        </row>
        <row r="1028">
          <cell r="AU1028">
            <v>98.760591325256911</v>
          </cell>
        </row>
        <row r="1029">
          <cell r="AU1029">
            <v>98.74404787856021</v>
          </cell>
        </row>
        <row r="1030">
          <cell r="AU1030">
            <v>98.23571717622653</v>
          </cell>
        </row>
        <row r="1031">
          <cell r="AU1031">
            <v>95.983832685957111</v>
          </cell>
        </row>
        <row r="1032">
          <cell r="AU1032">
            <v>96.780419003256441</v>
          </cell>
        </row>
        <row r="1033">
          <cell r="AU1033">
            <v>98.118278383828581</v>
          </cell>
        </row>
        <row r="1034">
          <cell r="AU1034">
            <v>98.40572115021881</v>
          </cell>
        </row>
        <row r="1035">
          <cell r="AU1035">
            <v>98.528391993821813</v>
          </cell>
        </row>
        <row r="1036">
          <cell r="AU1036">
            <v>97.465240963079651</v>
          </cell>
        </row>
        <row r="1037">
          <cell r="AU1037">
            <v>97.173958918165667</v>
          </cell>
        </row>
        <row r="1038">
          <cell r="AU1038">
            <v>98.211277757924051</v>
          </cell>
        </row>
        <row r="1039">
          <cell r="AU1039">
            <v>94.563206145249396</v>
          </cell>
        </row>
        <row r="1040">
          <cell r="AU1040">
            <v>95.635088600851034</v>
          </cell>
        </row>
        <row r="1041">
          <cell r="AU1041">
            <v>98.498414606864543</v>
          </cell>
        </row>
        <row r="1042">
          <cell r="AU1042">
            <v>91.938484218600379</v>
          </cell>
        </row>
        <row r="1043">
          <cell r="AU1043">
            <v>91.492245116111022</v>
          </cell>
        </row>
        <row r="1044">
          <cell r="AU1044">
            <v>101.15378252437304</v>
          </cell>
        </row>
        <row r="1045">
          <cell r="AU1045">
            <v>101.1444879830546</v>
          </cell>
        </row>
        <row r="1046">
          <cell r="AU1046">
            <v>101.75764547610389</v>
          </cell>
        </row>
        <row r="1047">
          <cell r="AU1047">
            <v>102.02807739161611</v>
          </cell>
        </row>
        <row r="1048">
          <cell r="AU1048">
            <v>102.33822588732673</v>
          </cell>
        </row>
        <row r="1049">
          <cell r="AU1049">
            <v>98.392068701489933</v>
          </cell>
        </row>
        <row r="1050">
          <cell r="AU1050">
            <v>102.06536408817584</v>
          </cell>
        </row>
        <row r="1051">
          <cell r="AU1051">
            <v>101.99297305280595</v>
          </cell>
        </row>
        <row r="1052">
          <cell r="AU1052">
            <v>102.04523247984621</v>
          </cell>
        </row>
        <row r="1053">
          <cell r="AU1053">
            <v>102.06637748595027</v>
          </cell>
        </row>
        <row r="1054">
          <cell r="AU1054">
            <v>100.85142188790077</v>
          </cell>
        </row>
        <row r="1055">
          <cell r="AU1055">
            <v>98.583226688478646</v>
          </cell>
        </row>
        <row r="1056">
          <cell r="AU1056">
            <v>101.06682882622262</v>
          </cell>
        </row>
        <row r="1057">
          <cell r="AU1057">
            <v>102.15521087119062</v>
          </cell>
        </row>
        <row r="1058">
          <cell r="AU1058">
            <v>99.285782200097586</v>
          </cell>
        </row>
        <row r="1059">
          <cell r="AU1059">
            <v>105.62916732880055</v>
          </cell>
        </row>
        <row r="1060">
          <cell r="AU1060">
            <v>101.36255994882586</v>
          </cell>
        </row>
        <row r="1061">
          <cell r="AU1061">
            <v>102.6647233531194</v>
          </cell>
        </row>
        <row r="1062">
          <cell r="AU1062">
            <v>101.83246684789979</v>
          </cell>
        </row>
        <row r="1063">
          <cell r="AU1063">
            <v>101.53192838019653</v>
          </cell>
        </row>
        <row r="1064">
          <cell r="AU1064">
            <v>102.44706710711155</v>
          </cell>
        </row>
        <row r="1065">
          <cell r="AU1065">
            <v>101.93933661160513</v>
          </cell>
        </row>
        <row r="1066">
          <cell r="AU1066">
            <v>105.97819225470263</v>
          </cell>
        </row>
        <row r="1068">
          <cell r="AU1068">
            <v>98.849674543469746</v>
          </cell>
        </row>
        <row r="1069">
          <cell r="AU1069">
            <v>100.1446862302372</v>
          </cell>
        </row>
        <row r="1070">
          <cell r="AU1070">
            <v>101.6362578559</v>
          </cell>
        </row>
        <row r="1071">
          <cell r="AU1071">
            <v>99.778769949625442</v>
          </cell>
        </row>
        <row r="1072">
          <cell r="AU1072">
            <v>103.16967203867529</v>
          </cell>
        </row>
        <row r="1073">
          <cell r="AU1073">
            <v>102.73418524015567</v>
          </cell>
        </row>
        <row r="1074">
          <cell r="AU1074">
            <v>101.54191229732984</v>
          </cell>
        </row>
        <row r="1075">
          <cell r="AU1075">
            <v>102.73418524015567</v>
          </cell>
        </row>
        <row r="1076">
          <cell r="AU1076">
            <v>101.80414267915592</v>
          </cell>
        </row>
        <row r="1077">
          <cell r="AU1077">
            <v>101.43225651769654</v>
          </cell>
        </row>
        <row r="1078">
          <cell r="AU1078">
            <v>97.320280453397089</v>
          </cell>
        </row>
        <row r="1079">
          <cell r="AU1079">
            <v>97.857959507039951</v>
          </cell>
        </row>
        <row r="1080">
          <cell r="AU1080">
            <v>95.535610244737128</v>
          </cell>
        </row>
        <row r="1081">
          <cell r="AU1081">
            <v>100.5392960523547</v>
          </cell>
        </row>
        <row r="1082">
          <cell r="AU1082">
            <v>99.599362260640163</v>
          </cell>
        </row>
        <row r="1083">
          <cell r="AU1083">
            <v>99.529676899631809</v>
          </cell>
        </row>
        <row r="1084">
          <cell r="AU1084">
            <v>98.65805869904662</v>
          </cell>
        </row>
        <row r="1085">
          <cell r="AU1085">
            <v>97.900683336699984</v>
          </cell>
        </row>
        <row r="1086">
          <cell r="AU1086">
            <v>96.022081664943912</v>
          </cell>
        </row>
        <row r="1087">
          <cell r="AU1087">
            <v>97.304624413158848</v>
          </cell>
        </row>
        <row r="1088">
          <cell r="AU1088">
            <v>95.35734626639821</v>
          </cell>
        </row>
        <row r="1089">
          <cell r="AU1089">
            <v>97.495031010465411</v>
          </cell>
        </row>
        <row r="1090">
          <cell r="AU1090">
            <v>99.297715486103399</v>
          </cell>
        </row>
        <row r="1091">
          <cell r="AU1091">
            <v>105.06246935933015</v>
          </cell>
        </row>
        <row r="1092">
          <cell r="AU1092">
            <v>97.34355913227499</v>
          </cell>
        </row>
        <row r="1093">
          <cell r="AU1093">
            <v>97.997395733282133</v>
          </cell>
        </row>
        <row r="1094">
          <cell r="AU1094">
            <v>96.614488908385596</v>
          </cell>
        </row>
        <row r="1095">
          <cell r="AU1095">
            <v>99.082583941163421</v>
          </cell>
        </row>
        <row r="1096">
          <cell r="AU1096">
            <v>98.29841509955078</v>
          </cell>
        </row>
        <row r="1097">
          <cell r="AU1097">
            <v>96.453761885803175</v>
          </cell>
        </row>
        <row r="1098">
          <cell r="AU1098">
            <v>98.75856341553218</v>
          </cell>
        </row>
        <row r="1099">
          <cell r="AU1099">
            <v>97.435426934039398</v>
          </cell>
        </row>
        <row r="1100">
          <cell r="AU1100">
            <v>97.927954392332211</v>
          </cell>
        </row>
        <row r="1101">
          <cell r="AU1101">
            <v>96.858355595507177</v>
          </cell>
        </row>
        <row r="1102">
          <cell r="AU1102">
            <v>98.313322709326911</v>
          </cell>
        </row>
        <row r="1103">
          <cell r="AU1103">
            <v>96.213262583906172</v>
          </cell>
        </row>
        <row r="1104">
          <cell r="AU1104">
            <v>99.205057766702964</v>
          </cell>
        </row>
        <row r="1105">
          <cell r="AU1105">
            <v>98.616510565062583</v>
          </cell>
        </row>
        <row r="1106">
          <cell r="AU1106">
            <v>99.62335715244869</v>
          </cell>
        </row>
        <row r="1107">
          <cell r="AU1107">
            <v>98.353854199762637</v>
          </cell>
        </row>
        <row r="1108">
          <cell r="AU1108">
            <v>97.851876301229794</v>
          </cell>
        </row>
        <row r="1109">
          <cell r="AU1109">
            <v>96.784826520048185</v>
          </cell>
        </row>
        <row r="1110">
          <cell r="AU1110">
            <v>99.306008905273842</v>
          </cell>
        </row>
        <row r="1111">
          <cell r="AU1111">
            <v>103.8755853825819</v>
          </cell>
        </row>
        <row r="1113">
          <cell r="AU1113">
            <v>94.594411695767121</v>
          </cell>
        </row>
        <row r="1114">
          <cell r="AU1114">
            <v>95.442259414411609</v>
          </cell>
        </row>
        <row r="1115">
          <cell r="AU1115">
            <v>97.799087255527326</v>
          </cell>
        </row>
        <row r="1116">
          <cell r="AU1116">
            <v>99.719532753381543</v>
          </cell>
        </row>
        <row r="1117">
          <cell r="AU1117">
            <v>97.267166338056526</v>
          </cell>
        </row>
        <row r="1118">
          <cell r="AU1118">
            <v>100.44764077118069</v>
          </cell>
        </row>
        <row r="1119">
          <cell r="AU1119">
            <v>93.827567421687206</v>
          </cell>
        </row>
        <row r="1120">
          <cell r="AU1120">
            <v>96.394036031473647</v>
          </cell>
        </row>
        <row r="1121">
          <cell r="AU1121">
            <v>97.578305165931454</v>
          </cell>
        </row>
        <row r="1122">
          <cell r="AU1122">
            <v>96.932364975155807</v>
          </cell>
        </row>
        <row r="1123">
          <cell r="AU1123">
            <v>97.997104085958256</v>
          </cell>
        </row>
        <row r="1124">
          <cell r="AU1124">
            <v>97.759544843715418</v>
          </cell>
        </row>
        <row r="1125">
          <cell r="AU1125">
            <v>94.633810861424649</v>
          </cell>
        </row>
        <row r="1126">
          <cell r="AU1126">
            <v>96.862779824852581</v>
          </cell>
        </row>
        <row r="1127">
          <cell r="AU1127">
            <v>97.346818027874249</v>
          </cell>
        </row>
        <row r="1128">
          <cell r="AU1128">
            <v>97.629135536293958</v>
          </cell>
        </row>
        <row r="1129">
          <cell r="AU1129">
            <v>96.246567851915756</v>
          </cell>
        </row>
        <row r="1130">
          <cell r="AU1130">
            <v>99.254098267973902</v>
          </cell>
        </row>
        <row r="1131">
          <cell r="AU1131">
            <v>99.144169147157214</v>
          </cell>
        </row>
        <row r="1132">
          <cell r="AU1132">
            <v>99.23496199785825</v>
          </cell>
        </row>
        <row r="1134">
          <cell r="AU1134">
            <v>99.19314463412546</v>
          </cell>
        </row>
        <row r="1135">
          <cell r="AU1135">
            <v>102.92280154888711</v>
          </cell>
        </row>
        <row r="1136">
          <cell r="AU1136">
            <v>99.829359344619434</v>
          </cell>
        </row>
        <row r="1137">
          <cell r="AU1137">
            <v>99.761609789296614</v>
          </cell>
        </row>
        <row r="1138">
          <cell r="AU1138">
            <v>99.596399217459179</v>
          </cell>
        </row>
        <row r="1139">
          <cell r="AU1139">
            <v>100.37908211897162</v>
          </cell>
        </row>
        <row r="1140">
          <cell r="AU1140">
            <v>97.418312766765041</v>
          </cell>
        </row>
        <row r="1141">
          <cell r="AU1141">
            <v>97.968907607982743</v>
          </cell>
        </row>
        <row r="1142">
          <cell r="AU1142">
            <v>100.17029027008138</v>
          </cell>
        </row>
        <row r="1143">
          <cell r="AU1143">
            <v>99.993228708722555</v>
          </cell>
        </row>
        <row r="1144">
          <cell r="AU1144">
            <v>97.765751264487974</v>
          </cell>
        </row>
        <row r="1145">
          <cell r="AU1145">
            <v>100.62180093955595</v>
          </cell>
        </row>
        <row r="1146">
          <cell r="AU1146">
            <v>99.629475486503139</v>
          </cell>
        </row>
        <row r="1147">
          <cell r="AU1147">
            <v>102.31969069772103</v>
          </cell>
        </row>
        <row r="1148">
          <cell r="AU1148">
            <v>99.701418936924441</v>
          </cell>
        </row>
        <row r="1149">
          <cell r="AU1149">
            <v>102.89444634839793</v>
          </cell>
        </row>
        <row r="1150">
          <cell r="AU1150">
            <v>98.3471950616252</v>
          </cell>
        </row>
        <row r="1151">
          <cell r="AU1151">
            <v>105.60928359110704</v>
          </cell>
        </row>
        <row r="1152">
          <cell r="AU1152">
            <v>99.212780781016363</v>
          </cell>
        </row>
        <row r="1153">
          <cell r="AU1153">
            <v>100.63709509811707</v>
          </cell>
        </row>
        <row r="1154">
          <cell r="AU1154">
            <v>103.96526783220462</v>
          </cell>
        </row>
        <row r="1155">
          <cell r="AU1155">
            <v>102.33610142522622</v>
          </cell>
        </row>
        <row r="1156">
          <cell r="AU1156">
            <v>99.64102382490708</v>
          </cell>
        </row>
        <row r="1157">
          <cell r="AU1157">
            <v>97.359035191556657</v>
          </cell>
        </row>
        <row r="1158">
          <cell r="AU1158">
            <v>97.039812457212648</v>
          </cell>
        </row>
        <row r="1159">
          <cell r="AU1159">
            <v>99.191907080373852</v>
          </cell>
        </row>
        <row r="1160">
          <cell r="AU1160">
            <v>97.085988871154981</v>
          </cell>
        </row>
        <row r="1161">
          <cell r="AU1161">
            <v>98.839848274994736</v>
          </cell>
        </row>
        <row r="1162">
          <cell r="AU1162">
            <v>97.093900728710452</v>
          </cell>
        </row>
        <row r="1163">
          <cell r="AU1163">
            <v>98.663229460189456</v>
          </cell>
        </row>
        <row r="1164">
          <cell r="AU1164">
            <v>98.007580302489345</v>
          </cell>
        </row>
        <row r="1165">
          <cell r="AU1165">
            <v>96.82899132340151</v>
          </cell>
        </row>
        <row r="1166">
          <cell r="AU1166">
            <v>98.296064945454376</v>
          </cell>
        </row>
        <row r="1167">
          <cell r="AU1167">
            <v>101.25530046681963</v>
          </cell>
        </row>
        <row r="1169">
          <cell r="AU1169">
            <v>98.660529574241494</v>
          </cell>
        </row>
        <row r="1170">
          <cell r="AU1170">
            <v>98.683683341984477</v>
          </cell>
        </row>
        <row r="1171">
          <cell r="AU1171">
            <v>96.46565272128187</v>
          </cell>
        </row>
        <row r="1172">
          <cell r="AU1172">
            <v>98.213482405754576</v>
          </cell>
        </row>
        <row r="1173">
          <cell r="AU1173">
            <v>98.248215187248647</v>
          </cell>
        </row>
        <row r="1174">
          <cell r="AU1174">
            <v>99.347419892330862</v>
          </cell>
        </row>
        <row r="1175">
          <cell r="AU1175">
            <v>95.129579928527363</v>
          </cell>
        </row>
        <row r="1176">
          <cell r="AU1176">
            <v>97.379668362256893</v>
          </cell>
        </row>
        <row r="1177">
          <cell r="AU1177">
            <v>99.069063562092396</v>
          </cell>
        </row>
        <row r="1178">
          <cell r="AU1178">
            <v>98.284977928895344</v>
          </cell>
        </row>
        <row r="1179">
          <cell r="AU1179">
            <v>97.697220967368324</v>
          </cell>
        </row>
        <row r="1180">
          <cell r="AU1180">
            <v>101.77283360791213</v>
          </cell>
        </row>
        <row r="1181">
          <cell r="AU1181">
            <v>100.11664075277199</v>
          </cell>
        </row>
        <row r="1182">
          <cell r="AU1182">
            <v>98.96717887047059</v>
          </cell>
        </row>
        <row r="1183">
          <cell r="AU1183">
            <v>101.63639408836093</v>
          </cell>
        </row>
        <row r="1184">
          <cell r="AU1184">
            <v>98.708712830779419</v>
          </cell>
        </row>
        <row r="1185">
          <cell r="AU1185">
            <v>101.97508681628864</v>
          </cell>
        </row>
        <row r="1186">
          <cell r="AU1186">
            <v>100.72072842071967</v>
          </cell>
        </row>
        <row r="1187">
          <cell r="AU1187">
            <v>97.365017903467503</v>
          </cell>
        </row>
        <row r="1188">
          <cell r="AU1188">
            <v>101.01311282542125</v>
          </cell>
        </row>
        <row r="1189">
          <cell r="AU1189">
            <v>100.53358360397915</v>
          </cell>
        </row>
        <row r="1190">
          <cell r="AU1190">
            <v>100.26027269838312</v>
          </cell>
        </row>
        <row r="1191">
          <cell r="AU1191">
            <v>100.63192255012645</v>
          </cell>
        </row>
        <row r="1192">
          <cell r="AU1192">
            <v>99.244367423501714</v>
          </cell>
        </row>
        <row r="1193">
          <cell r="AU1193">
            <v>100.38350189359957</v>
          </cell>
        </row>
        <row r="1194">
          <cell r="AU1194">
            <v>99.785915212785909</v>
          </cell>
        </row>
        <row r="1195">
          <cell r="AU1195">
            <v>97.50865977837762</v>
          </cell>
        </row>
        <row r="1196">
          <cell r="AU1196">
            <v>100.0636839283863</v>
          </cell>
        </row>
        <row r="1197">
          <cell r="AU1197">
            <v>99.399695194472216</v>
          </cell>
        </row>
        <row r="1198">
          <cell r="AU1198">
            <v>100.80828631126168</v>
          </cell>
        </row>
        <row r="1199">
          <cell r="AU1199">
            <v>104.29383532084293</v>
          </cell>
        </row>
        <row r="1200">
          <cell r="AU1200">
            <v>102.06806155794258</v>
          </cell>
        </row>
        <row r="1201">
          <cell r="AU1201">
            <v>98.068435070509224</v>
          </cell>
        </row>
        <row r="1202">
          <cell r="AU1202">
            <v>99.818028096023355</v>
          </cell>
        </row>
        <row r="1203">
          <cell r="AU1203">
            <v>105.43737145342024</v>
          </cell>
        </row>
        <row r="1204">
          <cell r="AU1204">
            <v>97.871405694667857</v>
          </cell>
        </row>
        <row r="1205">
          <cell r="AU1205">
            <v>96.721541095846874</v>
          </cell>
        </row>
        <row r="1206">
          <cell r="AU1206">
            <v>102.17987166054657</v>
          </cell>
        </row>
        <row r="1207">
          <cell r="AU1207">
            <v>96.176672749058383</v>
          </cell>
        </row>
        <row r="1208">
          <cell r="AU1208">
            <v>99.766559934627637</v>
          </cell>
        </row>
        <row r="1209">
          <cell r="AU1209">
            <v>100.49829989218999</v>
          </cell>
        </row>
        <row r="1210">
          <cell r="AU1210">
            <v>99.790091501759747</v>
          </cell>
        </row>
        <row r="1211">
          <cell r="AU1211">
            <v>100.55981487206185</v>
          </cell>
        </row>
        <row r="1212">
          <cell r="AU1212">
            <v>97.788116609006309</v>
          </cell>
        </row>
        <row r="1213">
          <cell r="AU1213">
            <v>101.98103091751247</v>
          </cell>
        </row>
        <row r="1214">
          <cell r="AU1214">
            <v>99.012001119679738</v>
          </cell>
        </row>
        <row r="1215">
          <cell r="AU1215">
            <v>91.261489968985217</v>
          </cell>
        </row>
        <row r="1216">
          <cell r="AU1216">
            <v>99.707698219426462</v>
          </cell>
        </row>
        <row r="1217">
          <cell r="AU1217">
            <v>99.614769231653739</v>
          </cell>
        </row>
        <row r="1218">
          <cell r="AU1218">
            <v>99.614769231653739</v>
          </cell>
        </row>
        <row r="1219">
          <cell r="AU1219">
            <v>97.686659012038731</v>
          </cell>
        </row>
        <row r="1220">
          <cell r="AU1220">
            <v>99.41593735693985</v>
          </cell>
        </row>
        <row r="1221">
          <cell r="AU1221">
            <v>100.33556993750601</v>
          </cell>
        </row>
        <row r="1222">
          <cell r="AU1222">
            <v>100.36284236973283</v>
          </cell>
        </row>
        <row r="1223">
          <cell r="AU1223">
            <v>96.707064243265734</v>
          </cell>
        </row>
        <row r="1224">
          <cell r="AU1224">
            <v>98.684983751011956</v>
          </cell>
        </row>
        <row r="1225">
          <cell r="AU1225">
            <v>100.32666613792978</v>
          </cell>
        </row>
        <row r="1226">
          <cell r="AU1226">
            <v>99.075472038593162</v>
          </cell>
        </row>
        <row r="1227">
          <cell r="AU1227">
            <v>100.36025727184756</v>
          </cell>
        </row>
        <row r="1228">
          <cell r="AU1228">
            <v>98.501847436225248</v>
          </cell>
        </row>
        <row r="1229">
          <cell r="AU1229">
            <v>98.135747551553138</v>
          </cell>
        </row>
        <row r="1230">
          <cell r="AU1230">
            <v>96.024350814782196</v>
          </cell>
        </row>
        <row r="1232">
          <cell r="AU1232">
            <v>98.179789785028689</v>
          </cell>
        </row>
        <row r="1233">
          <cell r="AU1233">
            <v>98.291928859171279</v>
          </cell>
        </row>
        <row r="1234">
          <cell r="AU1234">
            <v>97.797767256682306</v>
          </cell>
        </row>
        <row r="1235">
          <cell r="AU1235">
            <v>100.58641598521527</v>
          </cell>
        </row>
        <row r="1236">
          <cell r="AU1236">
            <v>96.111582389487964</v>
          </cell>
        </row>
        <row r="1237">
          <cell r="AU1237">
            <v>98.073236826407097</v>
          </cell>
        </row>
        <row r="1238">
          <cell r="AU1238">
            <v>97.333813603818271</v>
          </cell>
        </row>
        <row r="1239">
          <cell r="AU1239">
            <v>97.488035418419599</v>
          </cell>
        </row>
        <row r="1240">
          <cell r="AU1240">
            <v>96.443069000306991</v>
          </cell>
        </row>
        <row r="1241">
          <cell r="AU1241">
            <v>97.660098295963977</v>
          </cell>
        </row>
        <row r="1242">
          <cell r="AU1242">
            <v>100.1925094291288</v>
          </cell>
        </row>
        <row r="1243">
          <cell r="AU1243">
            <v>102.02975819555886</v>
          </cell>
        </row>
        <row r="1244">
          <cell r="AU1244">
            <v>99.251334851868066</v>
          </cell>
        </row>
        <row r="1245">
          <cell r="AU1245">
            <v>98.988031079610636</v>
          </cell>
        </row>
        <row r="1246">
          <cell r="AU1246">
            <v>93.84492272914629</v>
          </cell>
        </row>
        <row r="1247">
          <cell r="AU1247">
            <v>97.675973893190388</v>
          </cell>
        </row>
        <row r="1248">
          <cell r="AU1248">
            <v>96.128859563942299</v>
          </cell>
        </row>
        <row r="1249">
          <cell r="AU1249">
            <v>96.23019957287525</v>
          </cell>
        </row>
        <row r="1250">
          <cell r="AU1250">
            <v>95.554648042025462</v>
          </cell>
        </row>
        <row r="1251">
          <cell r="AU1251">
            <v>98.040839419924865</v>
          </cell>
        </row>
        <row r="1252">
          <cell r="AU1252">
            <v>96.199420039592823</v>
          </cell>
        </row>
        <row r="1253">
          <cell r="AU1253">
            <v>97.234243270288488</v>
          </cell>
        </row>
        <row r="1254">
          <cell r="AU1254">
            <v>98.44605815756691</v>
          </cell>
        </row>
        <row r="1255">
          <cell r="AU1255">
            <v>97.382459789895933</v>
          </cell>
        </row>
        <row r="1256">
          <cell r="AU1256">
            <v>98.328884904956453</v>
          </cell>
        </row>
        <row r="1257">
          <cell r="AU1257">
            <v>99.176349471390083</v>
          </cell>
        </row>
        <row r="1258">
          <cell r="AU1258">
            <v>99.725213620870562</v>
          </cell>
        </row>
        <row r="1259">
          <cell r="AU1259">
            <v>100.48066422868867</v>
          </cell>
        </row>
        <row r="1260">
          <cell r="AU1260">
            <v>101.04881107834257</v>
          </cell>
        </row>
        <row r="1261">
          <cell r="AU1261">
            <v>96.684054663353407</v>
          </cell>
        </row>
        <row r="1262">
          <cell r="AU1262">
            <v>100.11748114942228</v>
          </cell>
        </row>
        <row r="1263">
          <cell r="AU1263">
            <v>100.51795107401998</v>
          </cell>
        </row>
        <row r="1264">
          <cell r="AU1264">
            <v>99.207896402187785</v>
          </cell>
        </row>
        <row r="1265">
          <cell r="AU1265">
            <v>100.95368553039596</v>
          </cell>
        </row>
        <row r="1266">
          <cell r="AU1266">
            <v>97.17675724343205</v>
          </cell>
        </row>
        <row r="1267">
          <cell r="AU1267">
            <v>100.27568850272728</v>
          </cell>
        </row>
        <row r="1268">
          <cell r="AU1268">
            <v>95.840653755436676</v>
          </cell>
        </row>
        <row r="1269">
          <cell r="AU1269">
            <v>97.856182069825209</v>
          </cell>
        </row>
        <row r="1270">
          <cell r="AU1270">
            <v>96.19901229369458</v>
          </cell>
        </row>
        <row r="1271">
          <cell r="AU1271">
            <v>99.768698757120475</v>
          </cell>
        </row>
        <row r="1272">
          <cell r="AU1272">
            <v>96.963110760980143</v>
          </cell>
        </row>
        <row r="1273">
          <cell r="AU1273">
            <v>95.387189095245446</v>
          </cell>
        </row>
        <row r="1274">
          <cell r="AU1274">
            <v>97.66276675900059</v>
          </cell>
        </row>
        <row r="1275">
          <cell r="AU1275">
            <v>96.722609742578882</v>
          </cell>
        </row>
        <row r="1276">
          <cell r="AU1276">
            <v>95.21341030938089</v>
          </cell>
        </row>
        <row r="1277">
          <cell r="AU1277">
            <v>100.58641598521527</v>
          </cell>
        </row>
        <row r="1278">
          <cell r="AU1278">
            <v>98.728481909993832</v>
          </cell>
        </row>
        <row r="1279">
          <cell r="AU1279">
            <v>97.363389883580609</v>
          </cell>
        </row>
        <row r="1280">
          <cell r="AU1280">
            <v>96.368222565528768</v>
          </cell>
        </row>
        <row r="1281">
          <cell r="AU1281">
            <v>99.403685713959135</v>
          </cell>
        </row>
        <row r="1282">
          <cell r="AU1282">
            <v>99.376781450914166</v>
          </cell>
        </row>
        <row r="1283">
          <cell r="AU1283">
            <v>100.1873369871003</v>
          </cell>
        </row>
        <row r="1284">
          <cell r="AU1284">
            <v>99.697907762622791</v>
          </cell>
        </row>
        <row r="1285">
          <cell r="AU1285">
            <v>100.26548026974599</v>
          </cell>
        </row>
        <row r="1286">
          <cell r="AU1286">
            <v>102.4523707111142</v>
          </cell>
        </row>
        <row r="1287">
          <cell r="AU1287">
            <v>100.73490880151181</v>
          </cell>
        </row>
        <row r="1288">
          <cell r="AU1288">
            <v>99.528027585112525</v>
          </cell>
        </row>
        <row r="1289">
          <cell r="AU1289">
            <v>100.40167185692117</v>
          </cell>
        </row>
        <row r="1290">
          <cell r="AU1290">
            <v>95.757943444168916</v>
          </cell>
        </row>
        <row r="1291">
          <cell r="AU1291">
            <v>100.64852804849632</v>
          </cell>
        </row>
        <row r="1292">
          <cell r="AU1292">
            <v>98.923494874166224</v>
          </cell>
        </row>
        <row r="1293">
          <cell r="AU1293">
            <v>100.60809464584524</v>
          </cell>
        </row>
        <row r="1294">
          <cell r="AU1294">
            <v>101.56245729868796</v>
          </cell>
        </row>
        <row r="1295">
          <cell r="AU1295">
            <v>100.73265147899326</v>
          </cell>
        </row>
        <row r="1296">
          <cell r="AU1296">
            <v>96.496722132654568</v>
          </cell>
        </row>
        <row r="1297">
          <cell r="AU1297">
            <v>104.73769347324765</v>
          </cell>
        </row>
        <row r="1298">
          <cell r="AU1298">
            <v>106.35297340389174</v>
          </cell>
        </row>
        <row r="1299">
          <cell r="AU1299">
            <v>97.675981598068034</v>
          </cell>
        </row>
        <row r="1301">
          <cell r="AU1301">
            <v>100.69636349625802</v>
          </cell>
        </row>
        <row r="1302">
          <cell r="AU1302">
            <v>98.184391941531558</v>
          </cell>
        </row>
        <row r="1303">
          <cell r="AU1303">
            <v>100.28460594143462</v>
          </cell>
        </row>
        <row r="1304">
          <cell r="AU1304">
            <v>99.054172804783235</v>
          </cell>
        </row>
        <row r="1305">
          <cell r="AU1305">
            <v>97.279357172003117</v>
          </cell>
        </row>
        <row r="1306">
          <cell r="AU1306">
            <v>99.364064980818199</v>
          </cell>
        </row>
        <row r="1307">
          <cell r="AU1307">
            <v>96.124556479651858</v>
          </cell>
        </row>
        <row r="1308">
          <cell r="AU1308">
            <v>94.991504047027817</v>
          </cell>
        </row>
        <row r="1309">
          <cell r="AU1309">
            <v>99.356858720757813</v>
          </cell>
        </row>
        <row r="1310">
          <cell r="AU1310">
            <v>99.85019705163522</v>
          </cell>
        </row>
        <row r="1311">
          <cell r="AU1311">
            <v>99.172910782795725</v>
          </cell>
        </row>
        <row r="1312">
          <cell r="AU1312">
            <v>96.169426096286429</v>
          </cell>
        </row>
        <row r="1313">
          <cell r="AU1313">
            <v>98.505525515629415</v>
          </cell>
        </row>
        <row r="1314">
          <cell r="AU1314">
            <v>96.258588846991714</v>
          </cell>
        </row>
        <row r="1315">
          <cell r="AU1315">
            <v>94.232141766092681</v>
          </cell>
        </row>
        <row r="1316">
          <cell r="AU1316">
            <v>95.570750074834052</v>
          </cell>
        </row>
        <row r="1317">
          <cell r="AU1317">
            <v>96.288795653844687</v>
          </cell>
        </row>
        <row r="1318">
          <cell r="AU1318">
            <v>95.645642237820567</v>
          </cell>
        </row>
        <row r="1319">
          <cell r="AU1319">
            <v>96.403544949878381</v>
          </cell>
        </row>
        <row r="1320">
          <cell r="AU1320">
            <v>97.131757704740778</v>
          </cell>
        </row>
        <row r="1321">
          <cell r="AU1321">
            <v>99.958438788996091</v>
          </cell>
        </row>
        <row r="1322">
          <cell r="AU1322">
            <v>97.297010458054217</v>
          </cell>
        </row>
        <row r="1323">
          <cell r="AU1323">
            <v>98.657901147288669</v>
          </cell>
        </row>
        <row r="1324">
          <cell r="AU1324">
            <v>99.981282874675273</v>
          </cell>
        </row>
        <row r="1325">
          <cell r="AU1325">
            <v>99.580050341134651</v>
          </cell>
        </row>
        <row r="1326">
          <cell r="AU1326">
            <v>96.929558501285911</v>
          </cell>
        </row>
        <row r="1327">
          <cell r="AU1327">
            <v>100.30553206082334</v>
          </cell>
        </row>
        <row r="1328">
          <cell r="AU1328">
            <v>99.722360362795285</v>
          </cell>
        </row>
        <row r="1329">
          <cell r="AU1329">
            <v>98.944798098757886</v>
          </cell>
        </row>
        <row r="1330">
          <cell r="AU1330">
            <v>95.580638204051326</v>
          </cell>
        </row>
        <row r="1331">
          <cell r="AU1331">
            <v>98.735458005641846</v>
          </cell>
        </row>
        <row r="1332">
          <cell r="AU1332">
            <v>99.650000628755876</v>
          </cell>
        </row>
        <row r="1333">
          <cell r="AU1333">
            <v>101.84109606479639</v>
          </cell>
        </row>
        <row r="1334">
          <cell r="AU1334">
            <v>96.796751766607542</v>
          </cell>
        </row>
        <row r="1335">
          <cell r="AU1335">
            <v>98.193610604613141</v>
          </cell>
        </row>
        <row r="1336">
          <cell r="AU1336">
            <v>98.093894811424491</v>
          </cell>
        </row>
        <row r="1337">
          <cell r="AU1337">
            <v>99.544408891882213</v>
          </cell>
        </row>
        <row r="1338">
          <cell r="AU1338">
            <v>95.943650597628519</v>
          </cell>
        </row>
        <row r="1339">
          <cell r="AU1339">
            <v>98.489487551374054</v>
          </cell>
        </row>
        <row r="1340">
          <cell r="AU1340">
            <v>99.461015338477637</v>
          </cell>
        </row>
        <row r="1341">
          <cell r="AU1341">
            <v>98.205094303313913</v>
          </cell>
        </row>
        <row r="1342">
          <cell r="AU1342">
            <v>96.57736653253302</v>
          </cell>
        </row>
        <row r="1343">
          <cell r="AU1343">
            <v>99.162258965139586</v>
          </cell>
        </row>
        <row r="1344">
          <cell r="AU1344">
            <v>97.752006327292591</v>
          </cell>
        </row>
        <row r="1345">
          <cell r="AU1345">
            <v>98.25226189331751</v>
          </cell>
        </row>
        <row r="1346">
          <cell r="AU1346">
            <v>92.330641979085215</v>
          </cell>
        </row>
        <row r="1347">
          <cell r="AU1347">
            <v>96.92616235214588</v>
          </cell>
        </row>
        <row r="1348">
          <cell r="AU1348">
            <v>98.250904314108695</v>
          </cell>
        </row>
        <row r="1349">
          <cell r="AU1349">
            <v>97.226742284610296</v>
          </cell>
        </row>
        <row r="1350">
          <cell r="AU1350">
            <v>97.131846766978995</v>
          </cell>
        </row>
        <row r="1351">
          <cell r="AU1351">
            <v>96.993217019795154</v>
          </cell>
        </row>
        <row r="1352">
          <cell r="AU1352">
            <v>98.417594218830985</v>
          </cell>
        </row>
        <row r="1353">
          <cell r="AU1353">
            <v>102.82252082705443</v>
          </cell>
        </row>
        <row r="1354">
          <cell r="AU1354">
            <v>98.816203939292336</v>
          </cell>
        </row>
        <row r="1355">
          <cell r="AU1355">
            <v>96.798324627985608</v>
          </cell>
        </row>
        <row r="1356">
          <cell r="AU1356">
            <v>94.452452072698932</v>
          </cell>
        </row>
        <row r="1357">
          <cell r="AU1357">
            <v>97.56033572665082</v>
          </cell>
        </row>
        <row r="1358">
          <cell r="AU1358">
            <v>98.27460163662704</v>
          </cell>
        </row>
        <row r="1359">
          <cell r="AU1359">
            <v>97.762952703699071</v>
          </cell>
        </row>
        <row r="1360">
          <cell r="AU1360">
            <v>98.536776457125086</v>
          </cell>
        </row>
        <row r="1361">
          <cell r="AU1361">
            <v>98.239874351747247</v>
          </cell>
        </row>
        <row r="1362">
          <cell r="AU1362">
            <v>98.540391691402434</v>
          </cell>
        </row>
        <row r="1363">
          <cell r="AU1363">
            <v>98.858098536373518</v>
          </cell>
        </row>
        <row r="1365">
          <cell r="AU1365">
            <v>100.41719648574204</v>
          </cell>
        </row>
        <row r="1366">
          <cell r="AU1366">
            <v>99.322262234372474</v>
          </cell>
        </row>
        <row r="1367">
          <cell r="AU1367">
            <v>101.39091759147669</v>
          </cell>
        </row>
        <row r="1368">
          <cell r="AU1368">
            <v>97.734817712523011</v>
          </cell>
        </row>
        <row r="1369">
          <cell r="AU1369">
            <v>99.071270960746133</v>
          </cell>
        </row>
        <row r="1370">
          <cell r="AU1370">
            <v>99.447784717664206</v>
          </cell>
        </row>
        <row r="1371">
          <cell r="AU1371">
            <v>93.59468551560397</v>
          </cell>
        </row>
        <row r="1372">
          <cell r="AU1372">
            <v>94.563283703778581</v>
          </cell>
        </row>
        <row r="1373">
          <cell r="AU1373">
            <v>98.67921311815266</v>
          </cell>
        </row>
        <row r="1374">
          <cell r="AU1374">
            <v>96.36809033051874</v>
          </cell>
        </row>
        <row r="1375">
          <cell r="AU1375">
            <v>96.920303781973502</v>
          </cell>
        </row>
        <row r="1376">
          <cell r="AU1376">
            <v>102.56831615190862</v>
          </cell>
        </row>
        <row r="1377">
          <cell r="AU1377">
            <v>98.929739255873997</v>
          </cell>
        </row>
        <row r="1378">
          <cell r="AU1378">
            <v>99.322262234372474</v>
          </cell>
        </row>
        <row r="1379">
          <cell r="AU1379">
            <v>95.465966670266354</v>
          </cell>
        </row>
        <row r="1380">
          <cell r="AU1380">
            <v>97.114144389537444</v>
          </cell>
        </row>
        <row r="1381">
          <cell r="AU1381">
            <v>97.159907020096412</v>
          </cell>
        </row>
        <row r="1382">
          <cell r="AU1382">
            <v>98.101341699400351</v>
          </cell>
        </row>
        <row r="1383">
          <cell r="AU1383">
            <v>97.478202149506544</v>
          </cell>
        </row>
        <row r="1384">
          <cell r="AU1384">
            <v>98.929739255873997</v>
          </cell>
        </row>
        <row r="1385">
          <cell r="AU1385">
            <v>98.623493119770274</v>
          </cell>
        </row>
        <row r="1386">
          <cell r="AU1386">
            <v>98.431618619537275</v>
          </cell>
        </row>
        <row r="1387">
          <cell r="AU1387">
            <v>99.671010145829698</v>
          </cell>
        </row>
        <row r="1388">
          <cell r="AU1388">
            <v>101.88601915572946</v>
          </cell>
        </row>
        <row r="1389">
          <cell r="AU1389">
            <v>94.965720341288431</v>
          </cell>
        </row>
        <row r="1390">
          <cell r="AU1390">
            <v>96.435091480311513</v>
          </cell>
        </row>
        <row r="1391">
          <cell r="AU1391">
            <v>97.482674355194135</v>
          </cell>
        </row>
        <row r="1392">
          <cell r="AU1392">
            <v>98.364442828340316</v>
          </cell>
        </row>
        <row r="1393">
          <cell r="AU1393">
            <v>98.267944863963734</v>
          </cell>
        </row>
        <row r="1394">
          <cell r="AU1394">
            <v>97.750930172236252</v>
          </cell>
        </row>
        <row r="1395">
          <cell r="AU1395">
            <v>97.737910056068699</v>
          </cell>
        </row>
        <row r="1396">
          <cell r="AU1396">
            <v>96.540559150897863</v>
          </cell>
        </row>
        <row r="1397">
          <cell r="AU1397">
            <v>97.822972408587717</v>
          </cell>
        </row>
        <row r="1398">
          <cell r="AU1398">
            <v>98.261703641432518</v>
          </cell>
        </row>
        <row r="1399">
          <cell r="AU1399">
            <v>95.461164108361956</v>
          </cell>
        </row>
        <row r="1400">
          <cell r="AU1400">
            <v>96.415086891174909</v>
          </cell>
        </row>
        <row r="1401">
          <cell r="AU1401">
            <v>99.640125910776376</v>
          </cell>
        </row>
        <row r="1402">
          <cell r="AU1402">
            <v>96.114626501610672</v>
          </cell>
        </row>
        <row r="1403">
          <cell r="AU1403">
            <v>97.097205687046483</v>
          </cell>
        </row>
        <row r="1404">
          <cell r="AU1404">
            <v>97.933176072044361</v>
          </cell>
        </row>
        <row r="1405">
          <cell r="AU1405">
            <v>97.359348868497207</v>
          </cell>
        </row>
        <row r="1406">
          <cell r="AU1406">
            <v>95.274933067771656</v>
          </cell>
        </row>
        <row r="1407">
          <cell r="AU1407">
            <v>96.905759405529636</v>
          </cell>
        </row>
        <row r="1408">
          <cell r="AU1408">
            <v>98.743467786078526</v>
          </cell>
        </row>
        <row r="1409">
          <cell r="AU1409">
            <v>98.336500376686118</v>
          </cell>
        </row>
        <row r="1410">
          <cell r="AU1410">
            <v>97.914891452662474</v>
          </cell>
        </row>
        <row r="1411">
          <cell r="AU1411">
            <v>99.253173965491797</v>
          </cell>
        </row>
        <row r="1412">
          <cell r="AU1412">
            <v>99.409086961911157</v>
          </cell>
        </row>
        <row r="1413">
          <cell r="AU1413">
            <v>95.652853192916908</v>
          </cell>
        </row>
        <row r="1414">
          <cell r="AU1414">
            <v>98.479270074922681</v>
          </cell>
        </row>
        <row r="1415">
          <cell r="AU1415">
            <v>98.176669890806309</v>
          </cell>
        </row>
        <row r="1416">
          <cell r="AU1416">
            <v>96.714179234632098</v>
          </cell>
        </row>
        <row r="1417">
          <cell r="AU1417">
            <v>99.115564785646797</v>
          </cell>
        </row>
        <row r="1418">
          <cell r="AU1418">
            <v>98.541044413027265</v>
          </cell>
        </row>
        <row r="1419">
          <cell r="AU1419">
            <v>97.452215171322351</v>
          </cell>
        </row>
        <row r="1420">
          <cell r="AU1420">
            <v>98.648885620396499</v>
          </cell>
        </row>
        <row r="1421">
          <cell r="AU1421">
            <v>98.936703535170665</v>
          </cell>
        </row>
        <row r="1422">
          <cell r="AU1422">
            <v>99.623676980281815</v>
          </cell>
        </row>
        <row r="1423">
          <cell r="AU1423">
            <v>98.120445907560153</v>
          </cell>
        </row>
        <row r="1424">
          <cell r="AU1424">
            <v>98.572209097474968</v>
          </cell>
        </row>
        <row r="1425">
          <cell r="AU1425">
            <v>95.646266460157364</v>
          </cell>
        </row>
        <row r="1426">
          <cell r="AU1426">
            <v>97.742482894211975</v>
          </cell>
        </row>
        <row r="1427">
          <cell r="AU1427">
            <v>98.330113051892596</v>
          </cell>
        </row>
        <row r="1428">
          <cell r="AU1428">
            <v>97.169799152857877</v>
          </cell>
        </row>
        <row r="1429">
          <cell r="AU1429">
            <v>99.208647670497314</v>
          </cell>
        </row>
        <row r="1430">
          <cell r="AU1430">
            <v>98.525989771119455</v>
          </cell>
        </row>
        <row r="1431">
          <cell r="AU1431">
            <v>98.461659837743611</v>
          </cell>
        </row>
        <row r="1432">
          <cell r="AU1432">
            <v>98.62620942585643</v>
          </cell>
        </row>
        <row r="1433">
          <cell r="AU1433">
            <v>100.21609106830478</v>
          </cell>
        </row>
        <row r="1434">
          <cell r="AU1434">
            <v>89.640220918832952</v>
          </cell>
        </row>
        <row r="1435">
          <cell r="AU1435">
            <v>93.282679447096996</v>
          </cell>
        </row>
        <row r="1436">
          <cell r="AU1436">
            <v>107.10597490816951</v>
          </cell>
        </row>
        <row r="1437">
          <cell r="AU1437">
            <v>96.299726205571716</v>
          </cell>
        </row>
        <row r="1438">
          <cell r="AU1438">
            <v>98.309867057290148</v>
          </cell>
        </row>
        <row r="1439">
          <cell r="AU1439">
            <v>99.629209558382172</v>
          </cell>
        </row>
        <row r="1440">
          <cell r="AU1440">
            <v>98.060245628328929</v>
          </cell>
        </row>
        <row r="1441">
          <cell r="AU1441">
            <v>98.94333918173038</v>
          </cell>
        </row>
        <row r="1442">
          <cell r="AU1442">
            <v>98.871999428059297</v>
          </cell>
        </row>
        <row r="1443">
          <cell r="AU1443">
            <v>98.554563782195103</v>
          </cell>
        </row>
        <row r="1444">
          <cell r="AU1444">
            <v>98.69767718374888</v>
          </cell>
        </row>
        <row r="1446">
          <cell r="AU1446">
            <v>98.403676881234972</v>
          </cell>
        </row>
        <row r="1447">
          <cell r="AU1447">
            <v>98.208043328787198</v>
          </cell>
        </row>
        <row r="1448">
          <cell r="AU1448">
            <v>97.971400682892167</v>
          </cell>
        </row>
        <row r="1449">
          <cell r="AU1449">
            <v>97.602470858445898</v>
          </cell>
        </row>
        <row r="1450">
          <cell r="AU1450">
            <v>94.959570970106483</v>
          </cell>
        </row>
        <row r="1451">
          <cell r="AU1451">
            <v>95.939132123377576</v>
          </cell>
        </row>
        <row r="1452">
          <cell r="AU1452">
            <v>97.349907896919447</v>
          </cell>
        </row>
        <row r="1453">
          <cell r="AU1453">
            <v>102.89636630362016</v>
          </cell>
        </row>
        <row r="1454">
          <cell r="AU1454">
            <v>95.461604124855526</v>
          </cell>
        </row>
        <row r="1455">
          <cell r="AU1455">
            <v>97.647870047840527</v>
          </cell>
        </row>
        <row r="1456">
          <cell r="AU1456">
            <v>98.432063344309483</v>
          </cell>
        </row>
        <row r="1457">
          <cell r="AU1457">
            <v>96.068380428080829</v>
          </cell>
        </row>
        <row r="1458">
          <cell r="AU1458">
            <v>99.788621268905345</v>
          </cell>
        </row>
        <row r="1459">
          <cell r="AU1459">
            <v>99.171782801163587</v>
          </cell>
        </row>
        <row r="1460">
          <cell r="AU1460">
            <v>97.849625099668586</v>
          </cell>
        </row>
        <row r="1461">
          <cell r="AU1461">
            <v>98.820355507403406</v>
          </cell>
        </row>
        <row r="1462">
          <cell r="AU1462">
            <v>98.013249025769767</v>
          </cell>
        </row>
        <row r="1463">
          <cell r="AU1463">
            <v>97.816776223891637</v>
          </cell>
        </row>
        <row r="1464">
          <cell r="AU1464">
            <v>95.104846006797871</v>
          </cell>
        </row>
        <row r="1465">
          <cell r="AU1465">
            <v>97.801074685859348</v>
          </cell>
        </row>
        <row r="1466">
          <cell r="AU1466">
            <v>96.232788591939283</v>
          </cell>
        </row>
        <row r="1467">
          <cell r="AU1467">
            <v>98.97820607044973</v>
          </cell>
        </row>
        <row r="1468">
          <cell r="AU1468">
            <v>97.713592048259329</v>
          </cell>
        </row>
        <row r="1469">
          <cell r="AU1469">
            <v>98.768967717547937</v>
          </cell>
        </row>
        <row r="1470">
          <cell r="AU1470">
            <v>97.849625099668586</v>
          </cell>
        </row>
        <row r="1471">
          <cell r="AU1471">
            <v>94.116046142772348</v>
          </cell>
        </row>
        <row r="1472">
          <cell r="AU1472">
            <v>98.888478397355001</v>
          </cell>
        </row>
        <row r="1473">
          <cell r="AU1473">
            <v>96.988435329123845</v>
          </cell>
        </row>
        <row r="1474">
          <cell r="AU1474">
            <v>95.732299004591454</v>
          </cell>
        </row>
        <row r="1475">
          <cell r="AU1475">
            <v>98.377484500921341</v>
          </cell>
        </row>
        <row r="1476">
          <cell r="AU1476">
            <v>100.05551202869533</v>
          </cell>
        </row>
        <row r="1477">
          <cell r="AU1477">
            <v>98.424375293096418</v>
          </cell>
        </row>
        <row r="1478">
          <cell r="AU1478">
            <v>97.811296698949192</v>
          </cell>
        </row>
        <row r="1479">
          <cell r="AU1479">
            <v>98.634699122165827</v>
          </cell>
        </row>
        <row r="1480">
          <cell r="AU1480">
            <v>98.235349044445485</v>
          </cell>
        </row>
        <row r="1481">
          <cell r="AU1481">
            <v>98.200208415446014</v>
          </cell>
        </row>
        <row r="1482">
          <cell r="AU1482">
            <v>98.22247134082383</v>
          </cell>
        </row>
        <row r="1483">
          <cell r="AU1483">
            <v>98.022782936884127</v>
          </cell>
        </row>
        <row r="1484">
          <cell r="AU1484">
            <v>107.52183094840358</v>
          </cell>
        </row>
        <row r="1485">
          <cell r="AU1485">
            <v>98.538852324222177</v>
          </cell>
        </row>
        <row r="1486">
          <cell r="AU1486">
            <v>98.214233684807724</v>
          </cell>
        </row>
        <row r="1487">
          <cell r="AU1487">
            <v>98.825308599286103</v>
          </cell>
        </row>
        <row r="1488">
          <cell r="AU1488">
            <v>97.839545060236915</v>
          </cell>
        </row>
        <row r="1489">
          <cell r="AU1489">
            <v>97.92367945623333</v>
          </cell>
        </row>
        <row r="1490">
          <cell r="AU1490">
            <v>96.732530464388148</v>
          </cell>
        </row>
        <row r="1491">
          <cell r="AU1491">
            <v>98.003054578841031</v>
          </cell>
        </row>
        <row r="1492">
          <cell r="AU1492">
            <v>99.071222574861054</v>
          </cell>
        </row>
        <row r="1493">
          <cell r="AU1493">
            <v>99.190386905250023</v>
          </cell>
        </row>
        <row r="1494">
          <cell r="AU1494">
            <v>94.679848778277758</v>
          </cell>
        </row>
        <row r="1495">
          <cell r="AU1495">
            <v>97.590582017147952</v>
          </cell>
        </row>
        <row r="1496">
          <cell r="AU1496">
            <v>99.140905281436531</v>
          </cell>
        </row>
        <row r="1497">
          <cell r="AU1497">
            <v>102.13728013602423</v>
          </cell>
        </row>
        <row r="1498">
          <cell r="AU1498">
            <v>95.017154952630335</v>
          </cell>
        </row>
        <row r="1499">
          <cell r="AU1499">
            <v>99.494185297436474</v>
          </cell>
        </row>
        <row r="1500">
          <cell r="AU1500">
            <v>98.303188897575154</v>
          </cell>
        </row>
        <row r="1501">
          <cell r="AU1501">
            <v>97.497104151681953</v>
          </cell>
        </row>
        <row r="1502">
          <cell r="AU1502">
            <v>98.154558638154512</v>
          </cell>
        </row>
        <row r="1503">
          <cell r="AU1503">
            <v>97.859878257858369</v>
          </cell>
        </row>
        <row r="1504">
          <cell r="AU1504">
            <v>98.978031848439642</v>
          </cell>
        </row>
        <row r="1505">
          <cell r="AU1505">
            <v>97.469998264799159</v>
          </cell>
        </row>
        <row r="1506">
          <cell r="AU1506">
            <v>93.791761347926894</v>
          </cell>
        </row>
        <row r="1507">
          <cell r="AU1507">
            <v>95.268532624941997</v>
          </cell>
        </row>
        <row r="1508">
          <cell r="AU1508">
            <v>96.513617944475655</v>
          </cell>
        </row>
        <row r="1509">
          <cell r="AU1509">
            <v>97.248358280048336</v>
          </cell>
        </row>
        <row r="1510">
          <cell r="AU1510">
            <v>93.198485438419098</v>
          </cell>
        </row>
        <row r="1511">
          <cell r="AU1511">
            <v>96.777213485441976</v>
          </cell>
        </row>
        <row r="1512">
          <cell r="AU1512">
            <v>97.664938261328771</v>
          </cell>
        </row>
        <row r="1513">
          <cell r="AU1513">
            <v>98.18014861875028</v>
          </cell>
        </row>
        <row r="1514">
          <cell r="AU1514">
            <v>96.846983069370367</v>
          </cell>
        </row>
        <row r="1515">
          <cell r="AU1515">
            <v>101.76554486222224</v>
          </cell>
        </row>
        <row r="1516">
          <cell r="AU1516">
            <v>96.733120964420081</v>
          </cell>
        </row>
        <row r="1517">
          <cell r="AU1517">
            <v>96.375325079354994</v>
          </cell>
        </row>
        <row r="1518">
          <cell r="AU1518">
            <v>93.164094726996794</v>
          </cell>
        </row>
        <row r="1519">
          <cell r="AU1519">
            <v>98.762583234484524</v>
          </cell>
        </row>
        <row r="1520">
          <cell r="AU1520">
            <v>96.244744743561299</v>
          </cell>
        </row>
        <row r="1521">
          <cell r="AU1521">
            <v>97.139838277575777</v>
          </cell>
        </row>
        <row r="1522">
          <cell r="AU1522">
            <v>96.354517751252075</v>
          </cell>
        </row>
        <row r="1523">
          <cell r="AU1523">
            <v>95.509845236065445</v>
          </cell>
        </row>
        <row r="1524">
          <cell r="AU1524">
            <v>97.067635434515111</v>
          </cell>
        </row>
        <row r="1525">
          <cell r="AU1525">
            <v>95.891884617009708</v>
          </cell>
        </row>
        <row r="1526">
          <cell r="AU1526">
            <v>96.657398300051142</v>
          </cell>
        </row>
        <row r="1527">
          <cell r="AU1527">
            <v>96.623887599326139</v>
          </cell>
        </row>
        <row r="1529">
          <cell r="AU1529">
            <v>95.888750997466246</v>
          </cell>
        </row>
        <row r="1531">
          <cell r="AU1531">
            <v>97.358845453483937</v>
          </cell>
        </row>
        <row r="1532">
          <cell r="AU1532">
            <v>97.787993076807993</v>
          </cell>
        </row>
        <row r="1533">
          <cell r="AU1533">
            <v>100.77221550889792</v>
          </cell>
        </row>
        <row r="1534">
          <cell r="AU1534">
            <v>100.09537521022919</v>
          </cell>
        </row>
        <row r="1535">
          <cell r="AU1535">
            <v>98.57435184706199</v>
          </cell>
        </row>
        <row r="1536">
          <cell r="AU1536">
            <v>99.846927004097182</v>
          </cell>
        </row>
        <row r="1537">
          <cell r="AU1537">
            <v>96.692192927553478</v>
          </cell>
        </row>
        <row r="1538">
          <cell r="AU1538">
            <v>99.379452386908071</v>
          </cell>
        </row>
        <row r="1539">
          <cell r="AU1539">
            <v>96.468737875235774</v>
          </cell>
        </row>
        <row r="1540">
          <cell r="AU1540">
            <v>98.530094641761735</v>
          </cell>
        </row>
        <row r="1541">
          <cell r="AU1541">
            <v>99.945184755444359</v>
          </cell>
        </row>
        <row r="1542">
          <cell r="AU1542">
            <v>98.272858173411109</v>
          </cell>
        </row>
        <row r="1543">
          <cell r="AU1543">
            <v>98.746806466395398</v>
          </cell>
        </row>
        <row r="1544">
          <cell r="AU1544">
            <v>96.892528769528354</v>
          </cell>
        </row>
        <row r="1545">
          <cell r="AU1545">
            <v>99.329779569836703</v>
          </cell>
        </row>
        <row r="1546">
          <cell r="AU1546">
            <v>99.358891682499532</v>
          </cell>
        </row>
        <row r="1547">
          <cell r="AU1547">
            <v>98.070660675032357</v>
          </cell>
        </row>
        <row r="1548">
          <cell r="AU1548">
            <v>88.286344931162546</v>
          </cell>
        </row>
        <row r="1549">
          <cell r="AU1549">
            <v>98.933858232911817</v>
          </cell>
        </row>
        <row r="1550">
          <cell r="AU1550">
            <v>98.78625201233416</v>
          </cell>
        </row>
        <row r="1551">
          <cell r="AU1551">
            <v>99.187212042641292</v>
          </cell>
        </row>
        <row r="1552">
          <cell r="AU1552">
            <v>99.413670162626218</v>
          </cell>
        </row>
        <row r="1553">
          <cell r="AU1553">
            <v>99.773815293205345</v>
          </cell>
        </row>
        <row r="1554">
          <cell r="AU1554">
            <v>98.936394304213565</v>
          </cell>
        </row>
        <row r="1555">
          <cell r="AU1555">
            <v>97.793709002359662</v>
          </cell>
        </row>
        <row r="1556">
          <cell r="AU1556">
            <v>99.385581117917994</v>
          </cell>
        </row>
        <row r="1557">
          <cell r="AU1557">
            <v>99.648210827388539</v>
          </cell>
        </row>
        <row r="1558">
          <cell r="AU1558">
            <v>99.453053524791059</v>
          </cell>
        </row>
        <row r="1559">
          <cell r="AU1559">
            <v>99.231986204607509</v>
          </cell>
        </row>
        <row r="1560">
          <cell r="AU1560">
            <v>96.222035971414087</v>
          </cell>
        </row>
        <row r="1561">
          <cell r="AU1561">
            <v>94.663130443127486</v>
          </cell>
        </row>
        <row r="1562">
          <cell r="AU1562">
            <v>96.516010017933652</v>
          </cell>
        </row>
        <row r="1563">
          <cell r="AU1563">
            <v>102.73678009446101</v>
          </cell>
        </row>
        <row r="1564">
          <cell r="AU1564">
            <v>95.090687552741997</v>
          </cell>
        </row>
        <row r="1565">
          <cell r="AU1565">
            <v>100.06817952322191</v>
          </cell>
        </row>
        <row r="1566">
          <cell r="AU1566">
            <v>98.700115637317481</v>
          </cell>
        </row>
        <row r="1567">
          <cell r="AU1567">
            <v>93.610559392957626</v>
          </cell>
        </row>
        <row r="1568">
          <cell r="AU1568">
            <v>95.294477877540658</v>
          </cell>
        </row>
        <row r="1569">
          <cell r="AU1569">
            <v>97.613203013475982</v>
          </cell>
        </row>
        <row r="1570">
          <cell r="AU1570">
            <v>99.916594677284749</v>
          </cell>
        </row>
        <row r="1571">
          <cell r="AU1571">
            <v>91.390694141109606</v>
          </cell>
        </row>
        <row r="1572">
          <cell r="AU1572">
            <v>101.32228077167503</v>
          </cell>
        </row>
        <row r="1573">
          <cell r="AU1573">
            <v>90.434272634553253</v>
          </cell>
        </row>
        <row r="1574">
          <cell r="AU1574">
            <v>97.259954723457597</v>
          </cell>
        </row>
        <row r="1575">
          <cell r="AU1575">
            <v>98.9853434339648</v>
          </cell>
        </row>
        <row r="1576">
          <cell r="AU1576">
            <v>98.86278199656256</v>
          </cell>
        </row>
        <row r="1577">
          <cell r="AU1577">
            <v>98.499331655873206</v>
          </cell>
        </row>
        <row r="1578">
          <cell r="AU1578">
            <v>98.499331655873206</v>
          </cell>
        </row>
        <row r="1579">
          <cell r="AU1579">
            <v>98.312959470172288</v>
          </cell>
        </row>
        <row r="1580">
          <cell r="AU1580">
            <v>99.490286512588028</v>
          </cell>
        </row>
        <row r="1581">
          <cell r="AU1581">
            <v>99.391995087405974</v>
          </cell>
        </row>
        <row r="1582">
          <cell r="AU1582">
            <v>99.223765625776068</v>
          </cell>
        </row>
        <row r="1583">
          <cell r="AU1583">
            <v>99.509173515320853</v>
          </cell>
        </row>
        <row r="1584">
          <cell r="AU1584">
            <v>98.814760108037234</v>
          </cell>
        </row>
        <row r="1585">
          <cell r="AU1585">
            <v>95.512404307838978</v>
          </cell>
        </row>
        <row r="1586">
          <cell r="AU1586">
            <v>99.394444364848241</v>
          </cell>
        </row>
        <row r="1587">
          <cell r="AU1587">
            <v>95.108679119700511</v>
          </cell>
        </row>
        <row r="1588">
          <cell r="AU1588">
            <v>99.050098791613507</v>
          </cell>
        </row>
        <row r="1589">
          <cell r="AU1589">
            <v>99.897881224365065</v>
          </cell>
        </row>
        <row r="1590">
          <cell r="AU1590">
            <v>100.71733673028096</v>
          </cell>
        </row>
        <row r="1591">
          <cell r="AU1591">
            <v>97.993617253854779</v>
          </cell>
        </row>
        <row r="1592">
          <cell r="AU1592">
            <v>99.123599290834477</v>
          </cell>
        </row>
        <row r="1593">
          <cell r="AU1593">
            <v>100.91355866471055</v>
          </cell>
        </row>
        <row r="1594">
          <cell r="AU1594">
            <v>98.239258499914229</v>
          </cell>
        </row>
        <row r="1596">
          <cell r="A1596" t="str">
            <v>CA737</v>
          </cell>
          <cell r="AU1596">
            <v>96.140007674122913</v>
          </cell>
        </row>
        <row r="1597">
          <cell r="A1597" t="str">
            <v>CA738</v>
          </cell>
          <cell r="AU1597">
            <v>98.862127909667777</v>
          </cell>
        </row>
        <row r="1598">
          <cell r="A1598" t="str">
            <v>CA739</v>
          </cell>
          <cell r="AU1598">
            <v>99.196916635814219</v>
          </cell>
        </row>
        <row r="1599">
          <cell r="A1599" t="str">
            <v>CA740</v>
          </cell>
          <cell r="AU1599">
            <v>102.87694546953874</v>
          </cell>
        </row>
        <row r="1600">
          <cell r="A1600" t="str">
            <v>CA741</v>
          </cell>
          <cell r="AU1600">
            <v>96.591695445097898</v>
          </cell>
        </row>
        <row r="1601">
          <cell r="A1601" t="str">
            <v>CA742</v>
          </cell>
          <cell r="AU1601">
            <v>97.778380143088455</v>
          </cell>
        </row>
        <row r="1602">
          <cell r="A1602" t="str">
            <v>CA743</v>
          </cell>
          <cell r="AU1602">
            <v>98.483754072592433</v>
          </cell>
        </row>
        <row r="1603">
          <cell r="A1603" t="str">
            <v>CA744</v>
          </cell>
          <cell r="AU1603">
            <v>102.64449836329833</v>
          </cell>
        </row>
        <row r="1604">
          <cell r="A1604" t="str">
            <v>CA745</v>
          </cell>
          <cell r="AU1604">
            <v>97.459769969122391</v>
          </cell>
        </row>
        <row r="1605">
          <cell r="A1605" t="str">
            <v>CA746</v>
          </cell>
          <cell r="AU1605">
            <v>98.47106395112759</v>
          </cell>
        </row>
        <row r="1606">
          <cell r="A1606" t="str">
            <v>CA747</v>
          </cell>
          <cell r="AU1606">
            <v>98.368893630377599</v>
          </cell>
        </row>
        <row r="1607">
          <cell r="A1607" t="str">
            <v>CA748</v>
          </cell>
          <cell r="AU1607">
            <v>98.0656739447262</v>
          </cell>
        </row>
        <row r="1608">
          <cell r="A1608" t="str">
            <v>CA749</v>
          </cell>
          <cell r="AU1608">
            <v>98.328536151991386</v>
          </cell>
        </row>
        <row r="1609">
          <cell r="A1609" t="str">
            <v>CA750</v>
          </cell>
          <cell r="AU1609">
            <v>98.610869614426989</v>
          </cell>
        </row>
        <row r="1610">
          <cell r="A1610" t="str">
            <v>CA751</v>
          </cell>
          <cell r="AU1610">
            <v>98.181504213358579</v>
          </cell>
        </row>
        <row r="1611">
          <cell r="A1611" t="str">
            <v>CA752</v>
          </cell>
          <cell r="AU1611">
            <v>97.771873602277154</v>
          </cell>
        </row>
        <row r="1612">
          <cell r="A1612" t="str">
            <v>CA753</v>
          </cell>
          <cell r="AU1612">
            <v>98.518334591745614</v>
          </cell>
        </row>
        <row r="1613">
          <cell r="A1613" t="str">
            <v>CA754</v>
          </cell>
          <cell r="AU1613">
            <v>98.060255244619768</v>
          </cell>
        </row>
        <row r="1614">
          <cell r="A1614" t="str">
            <v>CA755</v>
          </cell>
          <cell r="AU1614">
            <v>98.789089698523057</v>
          </cell>
        </row>
        <row r="1615">
          <cell r="A1615" t="str">
            <v>CA756</v>
          </cell>
          <cell r="AU1615">
            <v>98.004244968244933</v>
          </cell>
        </row>
        <row r="1616">
          <cell r="A1616" t="str">
            <v>CA757</v>
          </cell>
          <cell r="AU1616">
            <v>95.930243309637774</v>
          </cell>
        </row>
        <row r="1617">
          <cell r="A1617" t="str">
            <v>CA758</v>
          </cell>
          <cell r="AU1617">
            <v>98.685384517162291</v>
          </cell>
        </row>
        <row r="1618">
          <cell r="A1618" t="str">
            <v>CA759</v>
          </cell>
          <cell r="AU1618">
            <v>98.743419762147283</v>
          </cell>
        </row>
        <row r="1619">
          <cell r="A1619" t="str">
            <v>CA760</v>
          </cell>
          <cell r="AU1619">
            <v>98.527956697616446</v>
          </cell>
        </row>
      </sheetData>
      <sheetData sheetId="6">
        <row r="6">
          <cell r="D6">
            <v>11.6</v>
          </cell>
        </row>
      </sheetData>
      <sheetData sheetId="7"/>
      <sheetData sheetId="8"/>
      <sheetData sheetId="9">
        <row r="6">
          <cell r="H6">
            <v>2008.7500000000005</v>
          </cell>
        </row>
      </sheetData>
      <sheetData sheetId="10">
        <row r="6">
          <cell r="P6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 "/>
      <sheetName val="Summary September '23 "/>
      <sheetName val="Summary August '23"/>
      <sheetName val="Summary July '23"/>
      <sheetName val="Summary June '23 "/>
      <sheetName val="Summary May '23"/>
      <sheetName val="Summary April '23   "/>
      <sheetName val="Summary March '23  "/>
      <sheetName val="Summary February '23 "/>
      <sheetName val="Summary January '23"/>
      <sheetName val="Summary December '22   "/>
      <sheetName val="Summary November '22  "/>
      <sheetName val="Summary October '22 "/>
      <sheetName val="Summary September '22 "/>
      <sheetName val="Summary August '22 "/>
      <sheetName val="Summary July '22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76">
          <cell r="AS76">
            <v>93.401228986840337</v>
          </cell>
        </row>
        <row r="577">
          <cell r="AS577">
            <v>96.252483291748931</v>
          </cell>
        </row>
        <row r="578">
          <cell r="AS578">
            <v>96.763055268385216</v>
          </cell>
        </row>
        <row r="579">
          <cell r="AS579">
            <v>99.07159368104702</v>
          </cell>
        </row>
        <row r="580">
          <cell r="AS580">
            <v>99.474323736661034</v>
          </cell>
        </row>
        <row r="581">
          <cell r="AS581">
            <v>99.055509044316352</v>
          </cell>
        </row>
        <row r="582">
          <cell r="AS582">
            <v>93.192210426599971</v>
          </cell>
        </row>
        <row r="583">
          <cell r="AS583">
            <v>99.214524668093944</v>
          </cell>
        </row>
        <row r="584">
          <cell r="AS584">
            <v>100.47597500168524</v>
          </cell>
        </row>
        <row r="585">
          <cell r="AS585">
            <v>99.267847045753157</v>
          </cell>
        </row>
        <row r="586">
          <cell r="AS586">
            <v>99.258908446871416</v>
          </cell>
        </row>
        <row r="587">
          <cell r="AS587">
            <v>97.107849520154573</v>
          </cell>
        </row>
        <row r="588">
          <cell r="AS588">
            <v>98.668863625433005</v>
          </cell>
        </row>
        <row r="589">
          <cell r="AS589">
            <v>98.142973914193277</v>
          </cell>
        </row>
        <row r="590">
          <cell r="AS590">
            <v>98.888083030736681</v>
          </cell>
        </row>
        <row r="591">
          <cell r="AS591">
            <v>98.795858839752356</v>
          </cell>
        </row>
        <row r="592">
          <cell r="AS592">
            <v>91.889557472352934</v>
          </cell>
        </row>
        <row r="593">
          <cell r="AS593">
            <v>98.277925070817602</v>
          </cell>
        </row>
        <row r="594">
          <cell r="AS594">
            <v>107.23727799236048</v>
          </cell>
        </row>
        <row r="595">
          <cell r="AS595">
            <v>96.947059611002658</v>
          </cell>
        </row>
        <row r="596">
          <cell r="AS596">
            <v>99.069170741587214</v>
          </cell>
        </row>
        <row r="597">
          <cell r="AS597">
            <v>98.950757400048701</v>
          </cell>
        </row>
        <row r="598">
          <cell r="AS598">
            <v>98.750452223125535</v>
          </cell>
        </row>
        <row r="599">
          <cell r="AS599">
            <v>98.797669427914244</v>
          </cell>
        </row>
        <row r="600">
          <cell r="AS600">
            <v>98.951450980542759</v>
          </cell>
        </row>
        <row r="601">
          <cell r="AS601">
            <v>98.358927321976608</v>
          </cell>
        </row>
        <row r="602">
          <cell r="AS602">
            <v>99.324019004612524</v>
          </cell>
        </row>
        <row r="603">
          <cell r="AS603">
            <v>95.711826504698735</v>
          </cell>
        </row>
        <row r="604">
          <cell r="AS604">
            <v>97.25483690737326</v>
          </cell>
        </row>
        <row r="605">
          <cell r="AS605">
            <v>99.197396562770763</v>
          </cell>
        </row>
        <row r="606">
          <cell r="AS606">
            <v>98.964857855624871</v>
          </cell>
        </row>
        <row r="607">
          <cell r="AS607">
            <v>98.670900841589486</v>
          </cell>
        </row>
        <row r="608">
          <cell r="AS608">
            <v>99.087053728189062</v>
          </cell>
        </row>
        <row r="609">
          <cell r="AS609">
            <v>98.611632976203893</v>
          </cell>
        </row>
        <row r="610">
          <cell r="AS610">
            <v>99.407921699666332</v>
          </cell>
        </row>
        <row r="611">
          <cell r="AS611">
            <v>94.124926180840106</v>
          </cell>
        </row>
        <row r="612">
          <cell r="AS612">
            <v>98.397610268960591</v>
          </cell>
        </row>
        <row r="613">
          <cell r="AS613">
            <v>98.595593388214027</v>
          </cell>
        </row>
        <row r="614">
          <cell r="AS614">
            <v>99.479970950945599</v>
          </cell>
        </row>
        <row r="615">
          <cell r="AS615">
            <v>99.087084140183208</v>
          </cell>
        </row>
        <row r="616">
          <cell r="AS616">
            <v>98.153313875331278</v>
          </cell>
        </row>
        <row r="617">
          <cell r="AS617">
            <v>99.059044031723758</v>
          </cell>
        </row>
        <row r="618">
          <cell r="AS618">
            <v>101.95499860919848</v>
          </cell>
        </row>
        <row r="620">
          <cell r="AS620">
            <v>96.869096710983925</v>
          </cell>
        </row>
        <row r="621">
          <cell r="AS621">
            <v>99.547292209557895</v>
          </cell>
        </row>
        <row r="622">
          <cell r="AS622">
            <v>99.147503887431171</v>
          </cell>
        </row>
        <row r="623">
          <cell r="AS623">
            <v>99.620723106468503</v>
          </cell>
        </row>
        <row r="624">
          <cell r="AS624">
            <v>98.668324843238935</v>
          </cell>
        </row>
        <row r="625">
          <cell r="AS625">
            <v>98.878395024922369</v>
          </cell>
        </row>
        <row r="626">
          <cell r="AS626">
            <v>98.954136148816616</v>
          </cell>
        </row>
        <row r="627">
          <cell r="AS627">
            <v>99.271695094228932</v>
          </cell>
        </row>
        <row r="628">
          <cell r="AS628">
            <v>101.89668600638116</v>
          </cell>
        </row>
        <row r="629">
          <cell r="AS629">
            <v>95.119246955670206</v>
          </cell>
        </row>
        <row r="630">
          <cell r="AS630">
            <v>98.490589508289219</v>
          </cell>
        </row>
        <row r="631">
          <cell r="AS631">
            <v>96.628314379016032</v>
          </cell>
        </row>
        <row r="632">
          <cell r="AS632">
            <v>94.847826299850496</v>
          </cell>
        </row>
        <row r="633">
          <cell r="AS633">
            <v>96.093928131654877</v>
          </cell>
        </row>
        <row r="634">
          <cell r="AS634">
            <v>99.093782747396475</v>
          </cell>
        </row>
        <row r="635">
          <cell r="AS635">
            <v>96.829566042226901</v>
          </cell>
        </row>
        <row r="636">
          <cell r="AS636">
            <v>92.651350322380281</v>
          </cell>
        </row>
        <row r="637">
          <cell r="AS637">
            <v>97.966465095398789</v>
          </cell>
        </row>
        <row r="638">
          <cell r="AS638">
            <v>96.902732836089029</v>
          </cell>
        </row>
        <row r="639">
          <cell r="AS639">
            <v>98.199317114722348</v>
          </cell>
        </row>
        <row r="640">
          <cell r="AS640">
            <v>97.961385739540034</v>
          </cell>
        </row>
        <row r="641">
          <cell r="AS641">
            <v>98.446315281893988</v>
          </cell>
        </row>
        <row r="642">
          <cell r="AS642">
            <v>97.257828578289633</v>
          </cell>
        </row>
        <row r="643">
          <cell r="AS643">
            <v>96.848003938337612</v>
          </cell>
        </row>
        <row r="644">
          <cell r="AS644">
            <v>94.268489640003139</v>
          </cell>
        </row>
        <row r="645">
          <cell r="AS645">
            <v>95.831746861950919</v>
          </cell>
        </row>
        <row r="646">
          <cell r="AS646">
            <v>94.58421149597136</v>
          </cell>
        </row>
        <row r="647">
          <cell r="AS647">
            <v>94.58421149597136</v>
          </cell>
        </row>
        <row r="648">
          <cell r="AS648">
            <v>96.15161614729854</v>
          </cell>
        </row>
        <row r="649">
          <cell r="AS649">
            <v>96.847824985200191</v>
          </cell>
        </row>
        <row r="650">
          <cell r="AS650">
            <v>99.045523542150946</v>
          </cell>
        </row>
        <row r="651">
          <cell r="AS651">
            <v>98.806499870618765</v>
          </cell>
        </row>
        <row r="653">
          <cell r="AS653">
            <v>94.97910754548144</v>
          </cell>
        </row>
        <row r="654">
          <cell r="AS654">
            <v>100.24919512912089</v>
          </cell>
        </row>
        <row r="655">
          <cell r="AS655">
            <v>99.670803955960778</v>
          </cell>
        </row>
        <row r="656">
          <cell r="AS656">
            <v>98.879686910798952</v>
          </cell>
        </row>
        <row r="657">
          <cell r="AS657">
            <v>99.590889443663684</v>
          </cell>
        </row>
        <row r="658">
          <cell r="AS658">
            <v>100.09856640654033</v>
          </cell>
        </row>
        <row r="659">
          <cell r="AS659">
            <v>99.619880103820094</v>
          </cell>
        </row>
        <row r="660">
          <cell r="AS660">
            <v>97.647209210675157</v>
          </cell>
        </row>
        <row r="661">
          <cell r="AS661">
            <v>99.625318640384748</v>
          </cell>
        </row>
        <row r="662">
          <cell r="AS662">
            <v>99.822596499078585</v>
          </cell>
        </row>
        <row r="663">
          <cell r="AS663">
            <v>96.66615075997727</v>
          </cell>
        </row>
        <row r="664">
          <cell r="AS664">
            <v>99.42804078169091</v>
          </cell>
        </row>
        <row r="665">
          <cell r="AS665">
            <v>98.619884998487549</v>
          </cell>
        </row>
        <row r="666">
          <cell r="AS666">
            <v>99.696020271350051</v>
          </cell>
        </row>
        <row r="667">
          <cell r="AS667">
            <v>99.401032602435976</v>
          </cell>
        </row>
        <row r="668">
          <cell r="AS668">
            <v>100.09007568744232</v>
          </cell>
        </row>
        <row r="669">
          <cell r="AS669">
            <v>99.596319503423089</v>
          </cell>
        </row>
        <row r="670">
          <cell r="AS670">
            <v>99.401032602435976</v>
          </cell>
        </row>
        <row r="671">
          <cell r="AS671">
            <v>97.07287270411102</v>
          </cell>
        </row>
        <row r="672">
          <cell r="AS672">
            <v>97.985891681833053</v>
          </cell>
        </row>
        <row r="673">
          <cell r="AS673">
            <v>98.776100485718814</v>
          </cell>
        </row>
        <row r="674">
          <cell r="AS674">
            <v>98.973652686690244</v>
          </cell>
        </row>
        <row r="675">
          <cell r="AS675">
            <v>99.278502850194101</v>
          </cell>
        </row>
        <row r="676">
          <cell r="AS676">
            <v>98.561912949528178</v>
          </cell>
        </row>
        <row r="677">
          <cell r="AS677">
            <v>99.861447517561885</v>
          </cell>
        </row>
        <row r="678">
          <cell r="AS678">
            <v>99.861447517561885</v>
          </cell>
        </row>
        <row r="679">
          <cell r="AS679">
            <v>101.21133303492269</v>
          </cell>
        </row>
        <row r="680">
          <cell r="AS680">
            <v>96.698904908769507</v>
          </cell>
        </row>
        <row r="681">
          <cell r="AS681">
            <v>102.00606382936222</v>
          </cell>
        </row>
        <row r="682">
          <cell r="AS682">
            <v>97.427677408967256</v>
          </cell>
        </row>
        <row r="683">
          <cell r="AS683">
            <v>98.108921308356997</v>
          </cell>
        </row>
        <row r="684">
          <cell r="AS684">
            <v>98.694063980176225</v>
          </cell>
        </row>
        <row r="685">
          <cell r="AS685">
            <v>100.2652450226567</v>
          </cell>
        </row>
        <row r="686">
          <cell r="AS686">
            <v>100.74539413116692</v>
          </cell>
        </row>
        <row r="687">
          <cell r="AS687">
            <v>101.27598337973996</v>
          </cell>
        </row>
        <row r="688">
          <cell r="AS688">
            <v>102.20244053927394</v>
          </cell>
        </row>
        <row r="689">
          <cell r="AS689">
            <v>99.163481197267728</v>
          </cell>
        </row>
        <row r="690">
          <cell r="AS690">
            <v>101.59733613737035</v>
          </cell>
        </row>
        <row r="691">
          <cell r="AS691">
            <v>102.18443014405814</v>
          </cell>
        </row>
        <row r="692">
          <cell r="AS692">
            <v>99.719071879528798</v>
          </cell>
        </row>
        <row r="693">
          <cell r="AS693">
            <v>100.84603073482505</v>
          </cell>
        </row>
        <row r="694">
          <cell r="AS694">
            <v>103.38659991045883</v>
          </cell>
        </row>
        <row r="695">
          <cell r="AS695">
            <v>103.24183379000793</v>
          </cell>
        </row>
        <row r="696">
          <cell r="AS696">
            <v>102.1830837779485</v>
          </cell>
        </row>
        <row r="698">
          <cell r="AS698">
            <v>96.429908671540403</v>
          </cell>
        </row>
        <row r="699">
          <cell r="AS699">
            <v>95.810688139372886</v>
          </cell>
        </row>
        <row r="700">
          <cell r="AS700">
            <v>96.451517171751576</v>
          </cell>
        </row>
        <row r="701">
          <cell r="AS701">
            <v>98.91585168536264</v>
          </cell>
        </row>
        <row r="702">
          <cell r="AS702">
            <v>98.741297270858453</v>
          </cell>
        </row>
        <row r="703">
          <cell r="AS703">
            <v>98.639026691655275</v>
          </cell>
        </row>
        <row r="704">
          <cell r="AS704">
            <v>99.708764324123052</v>
          </cell>
        </row>
        <row r="705">
          <cell r="AS705">
            <v>96.393313724689648</v>
          </cell>
        </row>
        <row r="706">
          <cell r="AS706">
            <v>99.872119258602709</v>
          </cell>
        </row>
        <row r="707">
          <cell r="AS707">
            <v>95.475287240863395</v>
          </cell>
        </row>
        <row r="708">
          <cell r="AS708">
            <v>100.07702758723762</v>
          </cell>
        </row>
        <row r="710">
          <cell r="AS710">
            <v>98.599223019705548</v>
          </cell>
        </row>
        <row r="711">
          <cell r="AS711">
            <v>95.550338344212662</v>
          </cell>
        </row>
        <row r="712">
          <cell r="AS712">
            <v>101.78290005234547</v>
          </cell>
        </row>
        <row r="713">
          <cell r="AS713">
            <v>99.28115997304883</v>
          </cell>
        </row>
        <row r="714">
          <cell r="AS714">
            <v>99.405266910839558</v>
          </cell>
        </row>
        <row r="715">
          <cell r="AS715">
            <v>100.88361338521632</v>
          </cell>
        </row>
        <row r="716">
          <cell r="AS716">
            <v>97.505342034239277</v>
          </cell>
        </row>
        <row r="717">
          <cell r="AS717">
            <v>99.114393178251547</v>
          </cell>
        </row>
        <row r="718">
          <cell r="AS718">
            <v>100.25044099616535</v>
          </cell>
        </row>
        <row r="719">
          <cell r="AS719">
            <v>98.090470150181261</v>
          </cell>
        </row>
        <row r="720">
          <cell r="AS720">
            <v>100.10522064350327</v>
          </cell>
        </row>
        <row r="721">
          <cell r="AS721">
            <v>99.700868877531136</v>
          </cell>
        </row>
        <row r="722">
          <cell r="AS722">
            <v>99.158966709289359</v>
          </cell>
        </row>
        <row r="723">
          <cell r="AS723">
            <v>101.64126027501119</v>
          </cell>
        </row>
        <row r="724">
          <cell r="AS724">
            <v>98.030709113713215</v>
          </cell>
        </row>
        <row r="725">
          <cell r="AS725">
            <v>103.30273119645332</v>
          </cell>
        </row>
        <row r="726">
          <cell r="AS726">
            <v>101.15019753270298</v>
          </cell>
        </row>
        <row r="727">
          <cell r="AS727">
            <v>105.78508118562733</v>
          </cell>
        </row>
        <row r="728">
          <cell r="AS728">
            <v>104.23720728533692</v>
          </cell>
        </row>
        <row r="729">
          <cell r="AS729">
            <v>103.57495308095812</v>
          </cell>
        </row>
        <row r="730">
          <cell r="AS730">
            <v>96.457778749263497</v>
          </cell>
        </row>
        <row r="731">
          <cell r="AS731">
            <v>98.26394823520674</v>
          </cell>
        </row>
        <row r="732">
          <cell r="AS732">
            <v>96.781019314036527</v>
          </cell>
        </row>
        <row r="733">
          <cell r="AS733">
            <v>98.535206939635856</v>
          </cell>
        </row>
        <row r="735">
          <cell r="AS735">
            <v>98.95536987190583</v>
          </cell>
        </row>
        <row r="736">
          <cell r="AS736">
            <v>100.69991425551854</v>
          </cell>
        </row>
        <row r="737">
          <cell r="AS737">
            <v>97.491795209253013</v>
          </cell>
        </row>
        <row r="738">
          <cell r="AS738">
            <v>99.907901362483045</v>
          </cell>
        </row>
        <row r="739">
          <cell r="AS739">
            <v>95.681008986054323</v>
          </cell>
        </row>
        <row r="740">
          <cell r="AS740">
            <v>101.34178018250964</v>
          </cell>
        </row>
        <row r="741">
          <cell r="AS741">
            <v>97.155168767938704</v>
          </cell>
        </row>
        <row r="742">
          <cell r="AS742">
            <v>98.829691341458499</v>
          </cell>
        </row>
        <row r="743">
          <cell r="AS743">
            <v>97.46378758207527</v>
          </cell>
        </row>
        <row r="744">
          <cell r="AS744">
            <v>95.215943842430946</v>
          </cell>
        </row>
        <row r="745">
          <cell r="AS745">
            <v>97.760584286850658</v>
          </cell>
        </row>
        <row r="746">
          <cell r="AS746">
            <v>100.17576788642711</v>
          </cell>
        </row>
        <row r="747">
          <cell r="AS747">
            <v>99.164002830183804</v>
          </cell>
        </row>
        <row r="748">
          <cell r="AS748">
            <v>98.282647159217547</v>
          </cell>
        </row>
        <row r="749">
          <cell r="AS749">
            <v>0</v>
          </cell>
        </row>
        <row r="750">
          <cell r="AS750">
            <v>98.310617012597305</v>
          </cell>
        </row>
        <row r="751">
          <cell r="AS751">
            <v>102.08679626615999</v>
          </cell>
        </row>
        <row r="752">
          <cell r="AS752">
            <v>100.5755863884288</v>
          </cell>
        </row>
        <row r="753">
          <cell r="AS753">
            <v>100.22177492564568</v>
          </cell>
        </row>
        <row r="754">
          <cell r="AS754">
            <v>101.02676910175529</v>
          </cell>
        </row>
        <row r="755">
          <cell r="AS755">
            <v>97.404295309262068</v>
          </cell>
        </row>
        <row r="756">
          <cell r="AS756">
            <v>96.82326614378033</v>
          </cell>
        </row>
        <row r="757">
          <cell r="AS757">
            <v>99.687040472011219</v>
          </cell>
        </row>
        <row r="758">
          <cell r="AS758">
            <v>98.111807696210434</v>
          </cell>
        </row>
        <row r="759">
          <cell r="AS759">
            <v>100.85106845139266</v>
          </cell>
        </row>
        <row r="760">
          <cell r="AS760">
            <v>100.21828140142605</v>
          </cell>
        </row>
        <row r="761">
          <cell r="AS761">
            <v>100.80172659044324</v>
          </cell>
        </row>
        <row r="762">
          <cell r="AS762">
            <v>101.5570974757542</v>
          </cell>
        </row>
        <row r="763">
          <cell r="AS763">
            <v>100.90521204600731</v>
          </cell>
        </row>
        <row r="764">
          <cell r="AS764">
            <v>100.54979181092753</v>
          </cell>
        </row>
        <row r="765">
          <cell r="AS765">
            <v>100.16529365581646</v>
          </cell>
        </row>
        <row r="766">
          <cell r="AS766">
            <v>98.790466396560987</v>
          </cell>
        </row>
        <row r="767">
          <cell r="AS767">
            <v>99.598542228550073</v>
          </cell>
        </row>
        <row r="768">
          <cell r="AS768">
            <v>97.527184757292375</v>
          </cell>
        </row>
        <row r="769">
          <cell r="AS769">
            <v>98.373863755008472</v>
          </cell>
        </row>
        <row r="770">
          <cell r="AS770">
            <v>99.931009421690447</v>
          </cell>
        </row>
        <row r="771">
          <cell r="AS771">
            <v>95.744176615880463</v>
          </cell>
        </row>
        <row r="772">
          <cell r="AS772">
            <v>101.39705127935868</v>
          </cell>
        </row>
        <row r="773">
          <cell r="AS773">
            <v>99.847915705494756</v>
          </cell>
        </row>
        <row r="774">
          <cell r="AS774">
            <v>93.951214784385911</v>
          </cell>
        </row>
        <row r="775">
          <cell r="AS775">
            <v>104.00634438574011</v>
          </cell>
        </row>
        <row r="776">
          <cell r="AS776">
            <v>96.391641700304547</v>
          </cell>
        </row>
        <row r="777">
          <cell r="AS777">
            <v>99.213409957842245</v>
          </cell>
        </row>
        <row r="779">
          <cell r="AS779">
            <v>97.077069258769328</v>
          </cell>
        </row>
        <row r="780">
          <cell r="AS780">
            <v>98.5575805155583</v>
          </cell>
        </row>
        <row r="781">
          <cell r="AS781">
            <v>97.286594404390684</v>
          </cell>
        </row>
        <row r="782">
          <cell r="AS782">
            <v>98.856766711971432</v>
          </cell>
        </row>
        <row r="783">
          <cell r="AS783">
            <v>101.26297533851098</v>
          </cell>
        </row>
        <row r="784">
          <cell r="AS784">
            <v>101.14713620940017</v>
          </cell>
        </row>
        <row r="785">
          <cell r="AS785">
            <v>97.0937677333973</v>
          </cell>
        </row>
        <row r="786">
          <cell r="AS786">
            <v>100.28174495732387</v>
          </cell>
        </row>
        <row r="787">
          <cell r="AS787">
            <v>95.812766380910489</v>
          </cell>
        </row>
        <row r="788">
          <cell r="AS788">
            <v>101.65546749098584</v>
          </cell>
        </row>
        <row r="789">
          <cell r="AS789">
            <v>97.853490599541431</v>
          </cell>
        </row>
        <row r="790">
          <cell r="AS790">
            <v>98.55010674540874</v>
          </cell>
        </row>
        <row r="791">
          <cell r="AS791">
            <v>97.613412018070761</v>
          </cell>
        </row>
        <row r="792">
          <cell r="AS792">
            <v>99.561158181986798</v>
          </cell>
        </row>
        <row r="793">
          <cell r="AS793">
            <v>100.24613889822621</v>
          </cell>
        </row>
        <row r="794">
          <cell r="AS794">
            <v>100.37170454522671</v>
          </cell>
        </row>
        <row r="795">
          <cell r="AS795">
            <v>100.70061057164963</v>
          </cell>
        </row>
        <row r="796">
          <cell r="AS796">
            <v>100.47480022325537</v>
          </cell>
        </row>
        <row r="797">
          <cell r="AS797">
            <v>99.841103993586884</v>
          </cell>
        </row>
        <row r="798">
          <cell r="AS798">
            <v>100.27740375916254</v>
          </cell>
        </row>
        <row r="799">
          <cell r="AS799">
            <v>97.48002702939435</v>
          </cell>
        </row>
        <row r="800">
          <cell r="AS800">
            <v>98.598067999045995</v>
          </cell>
        </row>
        <row r="801">
          <cell r="AS801">
            <v>100.85369125518513</v>
          </cell>
        </row>
        <row r="802">
          <cell r="AS802">
            <v>100.51892746653148</v>
          </cell>
        </row>
        <row r="803">
          <cell r="AS803">
            <v>101.64201292749718</v>
          </cell>
        </row>
        <row r="804">
          <cell r="AS804">
            <v>98.677122821490286</v>
          </cell>
        </row>
        <row r="805">
          <cell r="AS805">
            <v>94.602663444886986</v>
          </cell>
        </row>
        <row r="806">
          <cell r="AS806">
            <v>98.947982015755926</v>
          </cell>
        </row>
        <row r="807">
          <cell r="AS807">
            <v>99.1420270769014</v>
          </cell>
        </row>
        <row r="808">
          <cell r="AS808">
            <v>97.516997840525605</v>
          </cell>
        </row>
        <row r="809">
          <cell r="AS809">
            <v>99.751255694747158</v>
          </cell>
        </row>
        <row r="810">
          <cell r="AS810">
            <v>96.891431370869441</v>
          </cell>
        </row>
        <row r="811">
          <cell r="AS811">
            <v>100.18085577032127</v>
          </cell>
        </row>
        <row r="812">
          <cell r="AS812">
            <v>99.659757981465702</v>
          </cell>
        </row>
        <row r="813">
          <cell r="AS813">
            <v>107.34365755487836</v>
          </cell>
        </row>
        <row r="814">
          <cell r="AS814">
            <v>99.968736134069019</v>
          </cell>
        </row>
        <row r="815">
          <cell r="AS815">
            <v>99.217726998153125</v>
          </cell>
        </row>
        <row r="816">
          <cell r="AS816">
            <v>99.27225455813722</v>
          </cell>
        </row>
        <row r="817">
          <cell r="AS817">
            <v>97.215757839186651</v>
          </cell>
        </row>
        <row r="818">
          <cell r="AS818">
            <v>97.999909522417397</v>
          </cell>
        </row>
        <row r="819">
          <cell r="AS819">
            <v>99.644096363428588</v>
          </cell>
        </row>
        <row r="820">
          <cell r="AS820">
            <v>100.2807941835346</v>
          </cell>
        </row>
        <row r="821">
          <cell r="AS821">
            <v>98.168564653147371</v>
          </cell>
        </row>
        <row r="822">
          <cell r="AS822">
            <v>99.822806736202935</v>
          </cell>
        </row>
        <row r="824">
          <cell r="AS824">
            <v>99.414978940495374</v>
          </cell>
        </row>
        <row r="825">
          <cell r="AS825">
            <v>94.676492860195467</v>
          </cell>
        </row>
        <row r="826">
          <cell r="AS826">
            <v>101.52790626522442</v>
          </cell>
        </row>
        <row r="827">
          <cell r="AS827">
            <v>98.660106268344649</v>
          </cell>
        </row>
        <row r="828">
          <cell r="AS828">
            <v>97.981976311886754</v>
          </cell>
        </row>
        <row r="829">
          <cell r="AS829">
            <v>100.54504817750203</v>
          </cell>
        </row>
        <row r="830">
          <cell r="AS830">
            <v>99.549781561862332</v>
          </cell>
        </row>
        <row r="831">
          <cell r="AS831">
            <v>97.870128246333465</v>
          </cell>
        </row>
        <row r="832">
          <cell r="AS832">
            <v>98.918044513526468</v>
          </cell>
        </row>
        <row r="833">
          <cell r="AS833">
            <v>100.23810470072885</v>
          </cell>
        </row>
        <row r="834">
          <cell r="AS834">
            <v>98.141058126939669</v>
          </cell>
        </row>
        <row r="835">
          <cell r="AS835">
            <v>99.464351820346025</v>
          </cell>
        </row>
        <row r="836">
          <cell r="AS836">
            <v>99.891260601944538</v>
          </cell>
        </row>
        <row r="837">
          <cell r="AS837">
            <v>98.825303504106472</v>
          </cell>
        </row>
        <row r="838">
          <cell r="AS838">
            <v>99.811583978199351</v>
          </cell>
        </row>
        <row r="839">
          <cell r="AS839">
            <v>100.14229891746602</v>
          </cell>
        </row>
        <row r="840">
          <cell r="AS840">
            <v>96.508807516019175</v>
          </cell>
        </row>
        <row r="841">
          <cell r="AS841">
            <v>101.43378785819282</v>
          </cell>
        </row>
        <row r="842">
          <cell r="AS842">
            <v>97.423134038373789</v>
          </cell>
        </row>
        <row r="843">
          <cell r="AS843">
            <v>98.971240412158565</v>
          </cell>
        </row>
        <row r="844">
          <cell r="AS844">
            <v>99.48938955321573</v>
          </cell>
        </row>
        <row r="845">
          <cell r="AS845">
            <v>102.57854383778138</v>
          </cell>
        </row>
        <row r="846">
          <cell r="AS846">
            <v>98.992760119033306</v>
          </cell>
        </row>
        <row r="847">
          <cell r="AS847">
            <v>98.504346092292792</v>
          </cell>
        </row>
        <row r="848">
          <cell r="AS848">
            <v>96.413335590373151</v>
          </cell>
        </row>
        <row r="849">
          <cell r="AS849">
            <v>98.159547445229293</v>
          </cell>
        </row>
        <row r="850">
          <cell r="AS850">
            <v>99.986663333079832</v>
          </cell>
        </row>
        <row r="851">
          <cell r="AS851">
            <v>99.625287378566313</v>
          </cell>
        </row>
        <row r="852">
          <cell r="AS852">
            <v>95.365817891823511</v>
          </cell>
        </row>
        <row r="853">
          <cell r="AS853">
            <v>98.859846723026621</v>
          </cell>
        </row>
        <row r="854">
          <cell r="AS854">
            <v>98.241036026878831</v>
          </cell>
        </row>
        <row r="855">
          <cell r="AS855">
            <v>99.825568866022024</v>
          </cell>
        </row>
        <row r="856">
          <cell r="AS856">
            <v>98.645282808431347</v>
          </cell>
        </row>
        <row r="857">
          <cell r="AS857">
            <v>98.914939752442152</v>
          </cell>
        </row>
        <row r="858">
          <cell r="AS858">
            <v>97.758039872296649</v>
          </cell>
        </row>
        <row r="859">
          <cell r="AS859">
            <v>99.744802672280059</v>
          </cell>
        </row>
        <row r="860">
          <cell r="AS860">
            <v>94.213153736760106</v>
          </cell>
        </row>
        <row r="861">
          <cell r="AS861">
            <v>97.33408636572112</v>
          </cell>
        </row>
        <row r="862">
          <cell r="AS862">
            <v>98.687851500360367</v>
          </cell>
        </row>
        <row r="863">
          <cell r="AS863">
            <v>98.15830941278702</v>
          </cell>
        </row>
        <row r="865">
          <cell r="AS865">
            <v>95.322225589235501</v>
          </cell>
        </row>
        <row r="866">
          <cell r="AS866">
            <v>98.967121553081768</v>
          </cell>
        </row>
        <row r="867">
          <cell r="AS867">
            <v>99.238723942766654</v>
          </cell>
        </row>
        <row r="868">
          <cell r="AS868">
            <v>98.002274187869418</v>
          </cell>
        </row>
        <row r="869">
          <cell r="AS869">
            <v>99.648174106091631</v>
          </cell>
        </row>
        <row r="870">
          <cell r="AS870">
            <v>98.585621058035315</v>
          </cell>
        </row>
        <row r="871">
          <cell r="AS871">
            <v>98.936161390139659</v>
          </cell>
        </row>
        <row r="872">
          <cell r="AS872">
            <v>99.298623297788069</v>
          </cell>
        </row>
        <row r="873">
          <cell r="AS873">
            <v>95.78908667395234</v>
          </cell>
        </row>
        <row r="874">
          <cell r="AS874">
            <v>97.043689776083454</v>
          </cell>
        </row>
        <row r="875">
          <cell r="AS875">
            <v>99.899219809669859</v>
          </cell>
        </row>
        <row r="876">
          <cell r="AS876">
            <v>99.613745193751541</v>
          </cell>
        </row>
        <row r="877">
          <cell r="AS877">
            <v>97.024100682701572</v>
          </cell>
        </row>
        <row r="878">
          <cell r="AS878">
            <v>99.401026369834483</v>
          </cell>
        </row>
        <row r="879">
          <cell r="AS879">
            <v>99.42119726743698</v>
          </cell>
        </row>
        <row r="880">
          <cell r="AS880">
            <v>99.42119726743698</v>
          </cell>
        </row>
        <row r="881">
          <cell r="AS881">
            <v>99.934567640109535</v>
          </cell>
        </row>
        <row r="882">
          <cell r="AS882">
            <v>98.222358072958968</v>
          </cell>
        </row>
        <row r="883">
          <cell r="AS883">
            <v>99.47232737989826</v>
          </cell>
        </row>
        <row r="884">
          <cell r="AS884">
            <v>100.16108688972618</v>
          </cell>
        </row>
        <row r="885">
          <cell r="AS885">
            <v>97.436742232158792</v>
          </cell>
        </row>
        <row r="886">
          <cell r="AS886">
            <v>97.469417997799923</v>
          </cell>
        </row>
        <row r="887">
          <cell r="AS887">
            <v>100.01653377802042</v>
          </cell>
        </row>
        <row r="888">
          <cell r="AS888">
            <v>97.541487691308987</v>
          </cell>
        </row>
        <row r="889">
          <cell r="AS889">
            <v>99.793915802126293</v>
          </cell>
        </row>
        <row r="890">
          <cell r="AS890">
            <v>99.544198235265355</v>
          </cell>
        </row>
        <row r="891">
          <cell r="AS891">
            <v>99.434422211804062</v>
          </cell>
        </row>
        <row r="892">
          <cell r="AS892">
            <v>99.320165825298616</v>
          </cell>
        </row>
        <row r="893">
          <cell r="AS893">
            <v>96.667344780276736</v>
          </cell>
        </row>
        <row r="894">
          <cell r="AS894">
            <v>97.898322636248054</v>
          </cell>
        </row>
        <row r="895">
          <cell r="AS895">
            <v>98.729354665356169</v>
          </cell>
        </row>
        <row r="896">
          <cell r="AS896">
            <v>96.885068018319615</v>
          </cell>
        </row>
        <row r="897">
          <cell r="AS897">
            <v>99.160395090357554</v>
          </cell>
        </row>
        <row r="898">
          <cell r="AS898">
            <v>98.888094805680922</v>
          </cell>
        </row>
        <row r="899">
          <cell r="AS899">
            <v>99.712714771584814</v>
          </cell>
        </row>
        <row r="900">
          <cell r="AS900">
            <v>99.287176443605802</v>
          </cell>
        </row>
        <row r="901">
          <cell r="AS901">
            <v>97.739565481027867</v>
          </cell>
        </row>
        <row r="902">
          <cell r="AS902">
            <v>98.776041662093803</v>
          </cell>
        </row>
        <row r="903">
          <cell r="AS903">
            <v>100.04976276206206</v>
          </cell>
        </row>
        <row r="904">
          <cell r="AS904">
            <v>98.960447208711898</v>
          </cell>
        </row>
        <row r="905">
          <cell r="AS905">
            <v>91.188634381833737</v>
          </cell>
        </row>
        <row r="906">
          <cell r="AS906">
            <v>97.51764886680489</v>
          </cell>
        </row>
        <row r="907">
          <cell r="AS907">
            <v>93.374743432540484</v>
          </cell>
        </row>
        <row r="908">
          <cell r="AS908">
            <v>96.532622110574522</v>
          </cell>
        </row>
        <row r="909">
          <cell r="AS909">
            <v>98.302894296350672</v>
          </cell>
        </row>
        <row r="910">
          <cell r="AS910">
            <v>95.819139923451573</v>
          </cell>
        </row>
        <row r="911">
          <cell r="AS911">
            <v>98.815899469497609</v>
          </cell>
        </row>
        <row r="912">
          <cell r="AS912">
            <v>98.646048448871909</v>
          </cell>
        </row>
        <row r="913">
          <cell r="AS913">
            <v>99.820406168501322</v>
          </cell>
        </row>
        <row r="914">
          <cell r="AS914">
            <v>98.912440266800218</v>
          </cell>
        </row>
        <row r="915">
          <cell r="AS915">
            <v>99.698457329259341</v>
          </cell>
        </row>
        <row r="916">
          <cell r="AS916">
            <v>98.111238801725193</v>
          </cell>
        </row>
        <row r="917">
          <cell r="AS917">
            <v>99.424312497735059</v>
          </cell>
        </row>
        <row r="918">
          <cell r="AS918">
            <v>97.398766236179426</v>
          </cell>
        </row>
        <row r="919">
          <cell r="AS919">
            <v>99.073036673111616</v>
          </cell>
        </row>
        <row r="920">
          <cell r="AS920">
            <v>96.99725046263336</v>
          </cell>
        </row>
        <row r="921">
          <cell r="AS921">
            <v>99.014735311838592</v>
          </cell>
        </row>
        <row r="922">
          <cell r="AS922">
            <v>99.905301205894347</v>
          </cell>
        </row>
        <row r="923">
          <cell r="AS923">
            <v>99.584353447659552</v>
          </cell>
        </row>
        <row r="924">
          <cell r="AS924">
            <v>99.150286529956631</v>
          </cell>
        </row>
        <row r="925">
          <cell r="AS925">
            <v>94.442580550045619</v>
          </cell>
        </row>
        <row r="926">
          <cell r="AS926">
            <v>98.425890832697604</v>
          </cell>
        </row>
        <row r="927">
          <cell r="AS927">
            <v>96.309744781187845</v>
          </cell>
        </row>
        <row r="928">
          <cell r="AS928">
            <v>98.046206145005172</v>
          </cell>
        </row>
        <row r="929">
          <cell r="AS929">
            <v>98.295512714820589</v>
          </cell>
        </row>
        <row r="930">
          <cell r="AS930">
            <v>98.418510288190774</v>
          </cell>
        </row>
        <row r="931">
          <cell r="AS931">
            <v>98.353066766503787</v>
          </cell>
        </row>
        <row r="932">
          <cell r="AS932">
            <v>99.738823521857796</v>
          </cell>
        </row>
        <row r="933">
          <cell r="AS933">
            <v>95.285092230611866</v>
          </cell>
        </row>
        <row r="934">
          <cell r="AS934">
            <v>93.46325576838143</v>
          </cell>
        </row>
        <row r="935">
          <cell r="AS935">
            <v>97.692294560648392</v>
          </cell>
        </row>
        <row r="936">
          <cell r="AS936">
            <v>99.372075719358918</v>
          </cell>
        </row>
        <row r="937">
          <cell r="AS937">
            <v>98.77103493879828</v>
          </cell>
        </row>
        <row r="938">
          <cell r="AS938">
            <v>98.026774266751971</v>
          </cell>
        </row>
        <row r="939">
          <cell r="AS939">
            <v>99.321626062749729</v>
          </cell>
        </row>
        <row r="940">
          <cell r="AS940">
            <v>99.884127061726787</v>
          </cell>
        </row>
        <row r="941">
          <cell r="AS941">
            <v>94.752766498544304</v>
          </cell>
        </row>
        <row r="942">
          <cell r="AS942">
            <v>98.508753446513779</v>
          </cell>
        </row>
        <row r="943">
          <cell r="AS943">
            <v>101.68061311991168</v>
          </cell>
        </row>
        <row r="944">
          <cell r="AS944">
            <v>98.570688011944725</v>
          </cell>
        </row>
        <row r="945">
          <cell r="AS945">
            <v>99.162557027956495</v>
          </cell>
        </row>
        <row r="946">
          <cell r="AS946">
            <v>99.897543560915992</v>
          </cell>
        </row>
        <row r="947">
          <cell r="AS947">
            <v>97.786032279928818</v>
          </cell>
        </row>
        <row r="948">
          <cell r="AS948">
            <v>99.458598669556125</v>
          </cell>
        </row>
        <row r="949">
          <cell r="AS949">
            <v>98.98951864826472</v>
          </cell>
        </row>
        <row r="950">
          <cell r="AS950">
            <v>99.795950572079505</v>
          </cell>
        </row>
        <row r="951">
          <cell r="AS951">
            <v>100.03354018722838</v>
          </cell>
        </row>
        <row r="952">
          <cell r="AS952">
            <v>95.509530117217736</v>
          </cell>
        </row>
        <row r="953">
          <cell r="AS953">
            <v>98.628019884552387</v>
          </cell>
        </row>
        <row r="954">
          <cell r="AS954">
            <v>99.50828870315982</v>
          </cell>
        </row>
        <row r="955">
          <cell r="AS955">
            <v>97.44554981572918</v>
          </cell>
        </row>
        <row r="956">
          <cell r="AS956">
            <v>99.235165302311827</v>
          </cell>
        </row>
        <row r="957">
          <cell r="AS957">
            <v>99.345922764916011</v>
          </cell>
        </row>
        <row r="958">
          <cell r="AS958">
            <v>99.812648191819761</v>
          </cell>
        </row>
        <row r="959">
          <cell r="AS959">
            <v>99.110255548347155</v>
          </cell>
        </row>
        <row r="960">
          <cell r="AS960">
            <v>99.313907853259352</v>
          </cell>
        </row>
        <row r="961">
          <cell r="AS961">
            <v>99.459186839916782</v>
          </cell>
        </row>
        <row r="962">
          <cell r="AS962">
            <v>100.26127705636773</v>
          </cell>
        </row>
        <row r="963">
          <cell r="AS963">
            <v>95.275709637646131</v>
          </cell>
        </row>
        <row r="964">
          <cell r="AS964">
            <v>97.991827926819525</v>
          </cell>
        </row>
        <row r="965">
          <cell r="AS965">
            <v>99.059893854825532</v>
          </cell>
        </row>
        <row r="966">
          <cell r="AS966">
            <v>99.584378575324806</v>
          </cell>
        </row>
        <row r="967">
          <cell r="AS967">
            <v>98.761833735786624</v>
          </cell>
        </row>
        <row r="968">
          <cell r="AS968">
            <v>97.606431269436612</v>
          </cell>
        </row>
        <row r="969">
          <cell r="AS969">
            <v>96.421062953071228</v>
          </cell>
        </row>
        <row r="970">
          <cell r="AS970">
            <v>94.252076084576643</v>
          </cell>
        </row>
        <row r="971">
          <cell r="AS971">
            <v>97.076888940242085</v>
          </cell>
        </row>
        <row r="972">
          <cell r="AS972">
            <v>99.141534843347159</v>
          </cell>
        </row>
        <row r="973">
          <cell r="AS973">
            <v>99.634376452290198</v>
          </cell>
        </row>
        <row r="974">
          <cell r="AS974">
            <v>100.5587546462191</v>
          </cell>
        </row>
        <row r="976">
          <cell r="A976" t="str">
            <v>ST389</v>
          </cell>
          <cell r="AS976">
            <v>95.84769954565148</v>
          </cell>
        </row>
        <row r="977">
          <cell r="A977" t="str">
            <v>ST390</v>
          </cell>
          <cell r="AS977">
            <v>100.26238441701008</v>
          </cell>
        </row>
        <row r="978">
          <cell r="A978" t="str">
            <v>ST391</v>
          </cell>
          <cell r="AS978">
            <v>98.835712833337951</v>
          </cell>
        </row>
        <row r="979">
          <cell r="A979" t="str">
            <v>ST392</v>
          </cell>
          <cell r="AS979">
            <v>99.563123412098136</v>
          </cell>
        </row>
        <row r="980">
          <cell r="A980" t="str">
            <v>ST393</v>
          </cell>
        </row>
        <row r="981">
          <cell r="A981" t="str">
            <v>ST394</v>
          </cell>
          <cell r="AS981">
            <v>99.438369618907075</v>
          </cell>
        </row>
        <row r="982">
          <cell r="A982" t="str">
            <v>ST395</v>
          </cell>
          <cell r="AS982">
            <v>98.642275622859415</v>
          </cell>
        </row>
        <row r="983">
          <cell r="A983" t="str">
            <v>ST396</v>
          </cell>
          <cell r="AS983">
            <v>99.614073029250193</v>
          </cell>
        </row>
        <row r="984">
          <cell r="A984" t="str">
            <v>ST397</v>
          </cell>
          <cell r="AS984">
            <v>99.740392122501049</v>
          </cell>
        </row>
        <row r="985">
          <cell r="A985" t="str">
            <v>ST398</v>
          </cell>
          <cell r="AS985">
            <v>100.69666248352205</v>
          </cell>
        </row>
        <row r="986">
          <cell r="A986" t="str">
            <v>ST399</v>
          </cell>
          <cell r="AS986">
            <v>100.31792758418116</v>
          </cell>
        </row>
        <row r="987">
          <cell r="A987" t="str">
            <v>ST400</v>
          </cell>
          <cell r="AS987">
            <v>100.84109483792494</v>
          </cell>
        </row>
        <row r="988">
          <cell r="A988" t="str">
            <v>ST401</v>
          </cell>
          <cell r="AS988">
            <v>95.905620939078773</v>
          </cell>
        </row>
        <row r="989">
          <cell r="A989" t="str">
            <v>ST402</v>
          </cell>
          <cell r="AS989">
            <v>96.760533281323376</v>
          </cell>
        </row>
        <row r="990">
          <cell r="A990" t="str">
            <v>ST403</v>
          </cell>
          <cell r="AS990">
            <v>99.090851111924238</v>
          </cell>
        </row>
        <row r="991">
          <cell r="A991" t="str">
            <v>ST404</v>
          </cell>
          <cell r="AS991">
            <v>100.28953076247171</v>
          </cell>
        </row>
        <row r="992">
          <cell r="A992" t="str">
            <v>ST405</v>
          </cell>
          <cell r="AS992">
            <v>98.68100870163795</v>
          </cell>
        </row>
        <row r="993">
          <cell r="A993" t="str">
            <v>ST406</v>
          </cell>
          <cell r="AS993">
            <v>98.657011703724478</v>
          </cell>
        </row>
        <row r="994">
          <cell r="A994" t="str">
            <v>ST407</v>
          </cell>
          <cell r="AS994">
            <v>98.539725565001788</v>
          </cell>
        </row>
        <row r="995">
          <cell r="A995" t="str">
            <v>ST408</v>
          </cell>
          <cell r="AS995">
            <v>98.853539615484877</v>
          </cell>
        </row>
        <row r="996">
          <cell r="A996" t="str">
            <v>ST409</v>
          </cell>
          <cell r="AS996">
            <v>97.026739234878065</v>
          </cell>
        </row>
        <row r="997">
          <cell r="A997" t="str">
            <v>ST410</v>
          </cell>
          <cell r="AS997">
            <v>99.348173755912001</v>
          </cell>
        </row>
        <row r="998">
          <cell r="A998" t="str">
            <v>ST411</v>
          </cell>
          <cell r="AS998">
            <v>97.865007404547399</v>
          </cell>
        </row>
        <row r="999">
          <cell r="A999" t="str">
            <v>ST412</v>
          </cell>
          <cell r="AS999">
            <v>99.015667179643799</v>
          </cell>
        </row>
        <row r="1000">
          <cell r="A1000" t="str">
            <v>ST413</v>
          </cell>
          <cell r="AS1000">
            <v>92.840729271609433</v>
          </cell>
        </row>
        <row r="1001">
          <cell r="A1001" t="str">
            <v>ST414</v>
          </cell>
          <cell r="AS1001">
            <v>96.937453604595234</v>
          </cell>
        </row>
        <row r="1002">
          <cell r="A1002" t="str">
            <v>ST415</v>
          </cell>
          <cell r="AS1002">
            <v>96.267168950908413</v>
          </cell>
        </row>
        <row r="1003">
          <cell r="A1003" t="str">
            <v>ST416</v>
          </cell>
          <cell r="AS1003">
            <v>102.55783677768659</v>
          </cell>
        </row>
        <row r="1004">
          <cell r="A1004" t="str">
            <v>ST417</v>
          </cell>
          <cell r="AS1004">
            <v>101.12268847023552</v>
          </cell>
        </row>
        <row r="1005">
          <cell r="A1005" t="str">
            <v>ST418</v>
          </cell>
          <cell r="AS1005">
            <v>98.872876183901013</v>
          </cell>
        </row>
        <row r="1006">
          <cell r="A1006" t="str">
            <v>ST419</v>
          </cell>
          <cell r="AS1006">
            <v>97.893936815743572</v>
          </cell>
        </row>
        <row r="1007">
          <cell r="A1007" t="str">
            <v>ST420</v>
          </cell>
          <cell r="AS1007">
            <v>94.369755090376813</v>
          </cell>
        </row>
      </sheetData>
      <sheetData sheetId="7">
        <row r="16">
          <cell r="D16">
            <v>11.8</v>
          </cell>
        </row>
      </sheetData>
      <sheetData sheetId="8"/>
      <sheetData sheetId="9"/>
      <sheetData sheetId="10">
        <row r="6">
          <cell r="H6">
            <v>1387.6999999999996</v>
          </cell>
        </row>
      </sheetData>
      <sheetData sheetId="11">
        <row r="18">
          <cell r="E18">
            <v>26275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wMaterials"/>
      <sheetName val="Brewhouse"/>
      <sheetName val="Process"/>
      <sheetName val="Guinnbottling"/>
      <sheetName val="Summary December '23"/>
      <sheetName val="Summary November '23"/>
      <sheetName val="Summary October '23"/>
      <sheetName val="Summary August '23"/>
      <sheetName val="Summary July '23  "/>
      <sheetName val="Summary June '23 "/>
      <sheetName val="Summary May '23 "/>
      <sheetName val="Summary April '23"/>
      <sheetName val="Summary March '23 "/>
      <sheetName val="Summary February '23 "/>
      <sheetName val="Summary January '23"/>
      <sheetName val="Summary December '22  "/>
      <sheetName val="Summary November '22 "/>
      <sheetName val="Summary October '22  "/>
      <sheetName val="Summary September '22 "/>
      <sheetName val="Summary August '22"/>
      <sheetName val="Summary July '22"/>
      <sheetName val="Summary June '22 "/>
      <sheetName val="Summary May '22"/>
      <sheetName val="Summary April '22"/>
      <sheetName val="Summary March '22 "/>
      <sheetName val="Summary February '22"/>
      <sheetName val="Summary January '22  "/>
      <sheetName val="Summary December '21  "/>
      <sheetName val="Brew Time"/>
    </sheetNames>
    <sheetDataSet>
      <sheetData sheetId="0"/>
      <sheetData sheetId="1">
        <row r="15">
          <cell r="A15" t="str">
            <v>GU001</v>
          </cell>
        </row>
        <row r="161">
          <cell r="AU161">
            <v>93.965368107965062</v>
          </cell>
        </row>
        <row r="162">
          <cell r="AU162">
            <v>96.592804250515826</v>
          </cell>
        </row>
        <row r="163">
          <cell r="AU163">
            <v>96.855226146869683</v>
          </cell>
        </row>
        <row r="164">
          <cell r="AU164">
            <v>99.719563433141545</v>
          </cell>
        </row>
        <row r="165">
          <cell r="AU165">
            <v>93.977747984844711</v>
          </cell>
        </row>
        <row r="166">
          <cell r="AU166">
            <v>96.800755402267797</v>
          </cell>
        </row>
        <row r="167">
          <cell r="AU167">
            <v>99.262577009986543</v>
          </cell>
        </row>
        <row r="168">
          <cell r="AU168">
            <v>97.617284872705341</v>
          </cell>
        </row>
        <row r="169">
          <cell r="AU169">
            <v>93.882081223571518</v>
          </cell>
        </row>
        <row r="170">
          <cell r="AU170">
            <v>96.880311362448069</v>
          </cell>
        </row>
        <row r="171">
          <cell r="AU171">
            <v>96.195289997407556</v>
          </cell>
        </row>
        <row r="172">
          <cell r="AU172">
            <v>94.522516586223233</v>
          </cell>
        </row>
        <row r="173">
          <cell r="AU173">
            <v>96.272098390562704</v>
          </cell>
        </row>
        <row r="174">
          <cell r="AU174">
            <v>97.145205727107424</v>
          </cell>
        </row>
        <row r="175">
          <cell r="AU175">
            <v>96.638158603901061</v>
          </cell>
        </row>
        <row r="176">
          <cell r="AU176">
            <v>97.558522019176309</v>
          </cell>
        </row>
        <row r="178">
          <cell r="AU178">
            <v>95.219650212398349</v>
          </cell>
        </row>
        <row r="179">
          <cell r="AU179">
            <v>96.915732176693737</v>
          </cell>
        </row>
        <row r="180">
          <cell r="AU180">
            <v>97.113229437227318</v>
          </cell>
        </row>
        <row r="181">
          <cell r="AU181">
            <v>96.11289270970039</v>
          </cell>
        </row>
        <row r="182">
          <cell r="AU182">
            <v>97.124856870387418</v>
          </cell>
        </row>
        <row r="183">
          <cell r="AU183">
            <v>95.95234352237965</v>
          </cell>
        </row>
        <row r="184">
          <cell r="AU184">
            <v>96.235994895137281</v>
          </cell>
        </row>
        <row r="185">
          <cell r="AU185">
            <v>96.793019114599005</v>
          </cell>
        </row>
        <row r="186">
          <cell r="AU186">
            <v>92.695309482159786</v>
          </cell>
        </row>
        <row r="187">
          <cell r="AU187">
            <v>97.112578466227518</v>
          </cell>
        </row>
        <row r="188">
          <cell r="AU188">
            <v>95.415425829106212</v>
          </cell>
        </row>
        <row r="189">
          <cell r="AU189">
            <v>94.650398073167125</v>
          </cell>
        </row>
        <row r="190">
          <cell r="AU190">
            <v>94.570799056132827</v>
          </cell>
        </row>
        <row r="191">
          <cell r="AU191">
            <v>94.719124067077729</v>
          </cell>
        </row>
        <row r="192">
          <cell r="AU192">
            <v>98.306178948356205</v>
          </cell>
        </row>
        <row r="193">
          <cell r="AU193">
            <v>97.925390388444455</v>
          </cell>
        </row>
        <row r="194">
          <cell r="AU194">
            <v>97.460735039452615</v>
          </cell>
        </row>
        <row r="195">
          <cell r="AU195">
            <v>98.199690790562769</v>
          </cell>
        </row>
        <row r="197">
          <cell r="AU197">
            <v>94.088744814062039</v>
          </cell>
        </row>
        <row r="198">
          <cell r="AU198">
            <v>96.46704124616916</v>
          </cell>
        </row>
        <row r="199">
          <cell r="AU199">
            <v>98.170890958243888</v>
          </cell>
        </row>
        <row r="200">
          <cell r="AU200">
            <v>94.209226425483408</v>
          </cell>
        </row>
        <row r="201">
          <cell r="AU201">
            <v>96.562972599320716</v>
          </cell>
        </row>
        <row r="202">
          <cell r="AU202">
            <v>97.230417534132712</v>
          </cell>
        </row>
        <row r="203">
          <cell r="AU203">
            <v>96.409854967197631</v>
          </cell>
        </row>
        <row r="204">
          <cell r="AU204">
            <v>96.223735556064042</v>
          </cell>
        </row>
        <row r="205">
          <cell r="AU205">
            <v>92.795938408997429</v>
          </cell>
        </row>
        <row r="206">
          <cell r="AU206">
            <v>98.244249996615551</v>
          </cell>
        </row>
        <row r="207">
          <cell r="AU207">
            <v>95.836438954768568</v>
          </cell>
        </row>
        <row r="208">
          <cell r="AU208">
            <v>95.89152658101861</v>
          </cell>
        </row>
        <row r="210">
          <cell r="AU210">
            <v>98.635700007401397</v>
          </cell>
        </row>
        <row r="211">
          <cell r="AU211">
            <v>99.515247118434473</v>
          </cell>
        </row>
        <row r="212">
          <cell r="AU212">
            <v>100.24798044319473</v>
          </cell>
        </row>
        <row r="213">
          <cell r="AU213">
            <v>98.642482588617568</v>
          </cell>
        </row>
        <row r="214">
          <cell r="AU214">
            <v>96.251461303435718</v>
          </cell>
        </row>
        <row r="215">
          <cell r="AU215">
            <v>98.419763453677945</v>
          </cell>
        </row>
        <row r="216">
          <cell r="AU216">
            <v>99.357094534189159</v>
          </cell>
        </row>
        <row r="217">
          <cell r="AU217">
            <v>99.078260666012184</v>
          </cell>
        </row>
        <row r="218">
          <cell r="AU218">
            <v>98.607229669780182</v>
          </cell>
        </row>
        <row r="219">
          <cell r="AU219">
            <v>100.06017468228244</v>
          </cell>
        </row>
        <row r="220">
          <cell r="AU220">
            <v>98.260147384785725</v>
          </cell>
        </row>
        <row r="221">
          <cell r="AU221">
            <v>99.115469296800924</v>
          </cell>
        </row>
        <row r="223">
          <cell r="AU223">
            <v>94.742021388622192</v>
          </cell>
        </row>
        <row r="224">
          <cell r="AU224">
            <v>95.167484764134443</v>
          </cell>
        </row>
        <row r="225">
          <cell r="AU225">
            <v>94.895677912202714</v>
          </cell>
        </row>
        <row r="226">
          <cell r="AU226">
            <v>96.401077155647016</v>
          </cell>
        </row>
        <row r="227">
          <cell r="AU227">
            <v>97.302930067568894</v>
          </cell>
        </row>
        <row r="228">
          <cell r="AU228">
            <v>96.314203603781138</v>
          </cell>
        </row>
        <row r="229">
          <cell r="AU229">
            <v>95.483762066712103</v>
          </cell>
        </row>
        <row r="230">
          <cell r="AU230">
            <v>96.625516268419005</v>
          </cell>
        </row>
        <row r="231">
          <cell r="AU231">
            <v>98.898456815142168</v>
          </cell>
        </row>
        <row r="232">
          <cell r="AU232">
            <v>98.225452926077566</v>
          </cell>
        </row>
        <row r="234">
          <cell r="AU234">
            <v>95.896677174536023</v>
          </cell>
        </row>
        <row r="235">
          <cell r="AU235">
            <v>97.936062938846518</v>
          </cell>
        </row>
        <row r="236">
          <cell r="AU236">
            <v>97.583693826153464</v>
          </cell>
        </row>
        <row r="237">
          <cell r="AU237">
            <v>98.994098566320872</v>
          </cell>
        </row>
        <row r="238">
          <cell r="AU238">
            <v>95.502837408186139</v>
          </cell>
        </row>
        <row r="239">
          <cell r="AU239">
            <v>98.869439166620126</v>
          </cell>
        </row>
        <row r="240">
          <cell r="AU240">
            <v>88.436653657881806</v>
          </cell>
        </row>
        <row r="241">
          <cell r="AU241">
            <v>102.62330939701198</v>
          </cell>
        </row>
        <row r="242">
          <cell r="AU242">
            <v>96.980346516944635</v>
          </cell>
        </row>
        <row r="243">
          <cell r="AU243">
            <v>94.08944508824446</v>
          </cell>
        </row>
        <row r="244">
          <cell r="AU244">
            <v>96.737333077403832</v>
          </cell>
        </row>
        <row r="245">
          <cell r="AU245">
            <v>94.446876631568699</v>
          </cell>
        </row>
        <row r="246">
          <cell r="AU246">
            <v>97.049787257774071</v>
          </cell>
        </row>
        <row r="247">
          <cell r="AU247">
            <v>97.142174485894344</v>
          </cell>
        </row>
        <row r="248">
          <cell r="AU248">
            <v>95.941599519115414</v>
          </cell>
        </row>
        <row r="249">
          <cell r="AU249">
            <v>96.627463359556657</v>
          </cell>
        </row>
        <row r="250">
          <cell r="AU250">
            <v>97.242672763693818</v>
          </cell>
        </row>
        <row r="251">
          <cell r="AU251">
            <v>98.084098750403911</v>
          </cell>
        </row>
        <row r="252">
          <cell r="AU252">
            <v>97.275212826418226</v>
          </cell>
        </row>
        <row r="253">
          <cell r="AU253">
            <v>96.463666376007339</v>
          </cell>
        </row>
        <row r="254">
          <cell r="AU254">
            <v>94.809860277644958</v>
          </cell>
        </row>
        <row r="255">
          <cell r="AU255">
            <v>95.372531830954301</v>
          </cell>
        </row>
        <row r="256">
          <cell r="AU256">
            <v>97.104793218026899</v>
          </cell>
        </row>
        <row r="257">
          <cell r="AU257">
            <v>101.15481250823689</v>
          </cell>
        </row>
        <row r="258">
          <cell r="AU258">
            <v>97.136421299139741</v>
          </cell>
        </row>
        <row r="259">
          <cell r="AU259">
            <v>97.470434535510464</v>
          </cell>
        </row>
        <row r="260">
          <cell r="AU260">
            <v>93.220228527399556</v>
          </cell>
        </row>
        <row r="261">
          <cell r="AU261">
            <v>97.417353739920216</v>
          </cell>
        </row>
        <row r="262">
          <cell r="AU262">
            <v>102.56453826919012</v>
          </cell>
        </row>
        <row r="263">
          <cell r="AU263">
            <v>94.2191347002763</v>
          </cell>
        </row>
        <row r="264">
          <cell r="AU264">
            <v>97.225537612550042</v>
          </cell>
        </row>
        <row r="265">
          <cell r="AU265">
            <v>95.46204926037683</v>
          </cell>
        </row>
        <row r="266">
          <cell r="AU266">
            <v>96.295198372398715</v>
          </cell>
        </row>
        <row r="267">
          <cell r="AU267">
            <v>94.766322071054688</v>
          </cell>
        </row>
        <row r="268">
          <cell r="AU268">
            <v>96.729944015905701</v>
          </cell>
        </row>
        <row r="269">
          <cell r="AU269">
            <v>93.515968326362071</v>
          </cell>
        </row>
        <row r="270">
          <cell r="AU270">
            <v>95.326405402124465</v>
          </cell>
        </row>
        <row r="271">
          <cell r="AU271">
            <v>96.578493608349746</v>
          </cell>
        </row>
        <row r="272">
          <cell r="AU272">
            <v>96.612052964288281</v>
          </cell>
        </row>
        <row r="273">
          <cell r="AU273">
            <v>95.101201382387686</v>
          </cell>
        </row>
        <row r="274">
          <cell r="AU274">
            <v>97.42245815143751</v>
          </cell>
        </row>
        <row r="275">
          <cell r="AU275">
            <v>96.319562398779738</v>
          </cell>
        </row>
        <row r="276">
          <cell r="AU276">
            <v>96.224117927496195</v>
          </cell>
        </row>
        <row r="277">
          <cell r="AU277">
            <v>94.401983484097656</v>
          </cell>
        </row>
        <row r="278">
          <cell r="AU278">
            <v>99.387627351361019</v>
          </cell>
        </row>
        <row r="279">
          <cell r="AU279">
            <v>96.627570521050842</v>
          </cell>
        </row>
        <row r="282">
          <cell r="A282" t="str">
            <v>GU113</v>
          </cell>
          <cell r="AU282">
            <v>93.663100829572898</v>
          </cell>
        </row>
        <row r="283">
          <cell r="A283" t="str">
            <v>GU114</v>
          </cell>
          <cell r="AU283">
            <v>97.254070900973858</v>
          </cell>
        </row>
        <row r="284">
          <cell r="A284" t="str">
            <v>GU115</v>
          </cell>
          <cell r="AU284">
            <v>99.149861756743334</v>
          </cell>
        </row>
        <row r="285">
          <cell r="A285" t="str">
            <v>GU116</v>
          </cell>
          <cell r="AU285">
            <v>94.471130452224315</v>
          </cell>
        </row>
        <row r="286">
          <cell r="A286" t="str">
            <v>GU117</v>
          </cell>
          <cell r="AU286">
            <v>97.247994648231</v>
          </cell>
        </row>
        <row r="287">
          <cell r="A287" t="str">
            <v>GU118</v>
          </cell>
          <cell r="AU287">
            <v>94.48140281101675</v>
          </cell>
        </row>
        <row r="288">
          <cell r="A288" t="str">
            <v>GU119</v>
          </cell>
          <cell r="AU288">
            <v>97.045557790227846</v>
          </cell>
        </row>
        <row r="289">
          <cell r="A289" t="str">
            <v>GU120</v>
          </cell>
          <cell r="AU289">
            <v>96.706799632100712</v>
          </cell>
        </row>
      </sheetData>
      <sheetData sheetId="2">
        <row r="5">
          <cell r="D5">
            <v>17.2</v>
          </cell>
        </row>
      </sheetData>
      <sheetData sheetId="3"/>
      <sheetData sheetId="4"/>
      <sheetData sheetId="5">
        <row r="7">
          <cell r="H7">
            <v>313.3</v>
          </cell>
        </row>
      </sheetData>
      <sheetData sheetId="6">
        <row r="19">
          <cell r="E19">
            <v>4299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9">
          <cell r="E19">
            <v>5839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December '23"/>
      <sheetName val="Summary September '23"/>
      <sheetName val="Summary August '23"/>
      <sheetName val="Summary July '23"/>
      <sheetName val="Summary June '23 "/>
      <sheetName val="Summary May '23 "/>
      <sheetName val="Summary April '23"/>
      <sheetName val="Summary March '23"/>
      <sheetName val="Summary August '22"/>
      <sheetName val="Summary July '22 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 "/>
      <sheetName val="Summary January '22 "/>
      <sheetName val="Summary December '21  "/>
    </sheetNames>
    <sheetDataSet>
      <sheetData sheetId="0" refreshError="1"/>
      <sheetData sheetId="1"/>
      <sheetData sheetId="2"/>
      <sheetData sheetId="3">
        <row r="5">
          <cell r="B5">
            <v>44558</v>
          </cell>
        </row>
        <row r="92">
          <cell r="AU92">
            <v>92.976230173617424</v>
          </cell>
        </row>
        <row r="93">
          <cell r="AU93">
            <v>97.891128934292908</v>
          </cell>
        </row>
        <row r="94">
          <cell r="AU94">
            <v>97.973301157018028</v>
          </cell>
        </row>
        <row r="95">
          <cell r="AU95">
            <v>98.096408180762808</v>
          </cell>
        </row>
        <row r="96">
          <cell r="AU96">
            <v>96.60797006312923</v>
          </cell>
        </row>
        <row r="97">
          <cell r="AU97">
            <v>95.944323197552052</v>
          </cell>
        </row>
        <row r="98">
          <cell r="AU98">
            <v>97.96934029451829</v>
          </cell>
        </row>
        <row r="99">
          <cell r="AU99">
            <v>97.61931982421288</v>
          </cell>
        </row>
        <row r="100">
          <cell r="AU100">
            <v>96.832510902681079</v>
          </cell>
        </row>
        <row r="101">
          <cell r="AU101">
            <v>97.477315897621679</v>
          </cell>
        </row>
        <row r="103">
          <cell r="AU103">
            <v>97.93333635326627</v>
          </cell>
        </row>
        <row r="104">
          <cell r="AU104">
            <v>97.891046918081088</v>
          </cell>
        </row>
        <row r="105">
          <cell r="AU105">
            <v>99.033412354868091</v>
          </cell>
        </row>
        <row r="106">
          <cell r="AU106">
            <v>97.512358148572076</v>
          </cell>
        </row>
        <row r="107">
          <cell r="AU107">
            <v>95.87273211620672</v>
          </cell>
        </row>
        <row r="108">
          <cell r="AU108">
            <v>98.818321955908743</v>
          </cell>
        </row>
        <row r="109">
          <cell r="AU109">
            <v>98.005339225475495</v>
          </cell>
        </row>
        <row r="110">
          <cell r="AU110">
            <v>97.743136116212952</v>
          </cell>
        </row>
        <row r="111">
          <cell r="AU111">
            <v>96.815316848596865</v>
          </cell>
        </row>
        <row r="112">
          <cell r="AU112">
            <v>95.263079291761272</v>
          </cell>
        </row>
        <row r="114">
          <cell r="AU114">
            <v>98.814785799478145</v>
          </cell>
        </row>
        <row r="115">
          <cell r="AU115">
            <v>95.902564497676096</v>
          </cell>
        </row>
        <row r="116">
          <cell r="AU116">
            <v>98.175518315541183</v>
          </cell>
        </row>
        <row r="117">
          <cell r="AU117">
            <v>96.874026079753961</v>
          </cell>
        </row>
        <row r="118">
          <cell r="AU118">
            <v>96.210568758972599</v>
          </cell>
        </row>
        <row r="119">
          <cell r="AU119">
            <v>98.185551655182479</v>
          </cell>
        </row>
        <row r="120">
          <cell r="AU120">
            <v>98.090666634651427</v>
          </cell>
        </row>
        <row r="121">
          <cell r="AU121">
            <v>97.545012872669332</v>
          </cell>
        </row>
        <row r="122">
          <cell r="AU122">
            <v>95.071812655510129</v>
          </cell>
        </row>
        <row r="123">
          <cell r="AU123">
            <v>99.43552908729977</v>
          </cell>
        </row>
        <row r="125">
          <cell r="AU125">
            <v>89.924292290392472</v>
          </cell>
        </row>
        <row r="126">
          <cell r="AU126">
            <v>94.537695289743212</v>
          </cell>
        </row>
        <row r="127">
          <cell r="AU127">
            <v>98.000013979580487</v>
          </cell>
        </row>
        <row r="128">
          <cell r="AU128">
            <v>95.186842986970504</v>
          </cell>
        </row>
        <row r="129">
          <cell r="AU129">
            <v>96.696641173491798</v>
          </cell>
        </row>
        <row r="130">
          <cell r="AU130">
            <v>95.944138129340132</v>
          </cell>
        </row>
        <row r="131">
          <cell r="AU131">
            <v>93.413051544866548</v>
          </cell>
        </row>
        <row r="132">
          <cell r="AU132">
            <v>96.069102087559131</v>
          </cell>
        </row>
        <row r="133">
          <cell r="AU133">
            <v>98.137125811557496</v>
          </cell>
        </row>
        <row r="134">
          <cell r="AU134">
            <v>97.168379942866267</v>
          </cell>
        </row>
        <row r="136">
          <cell r="AU136">
            <v>94.124868174530278</v>
          </cell>
        </row>
        <row r="137">
          <cell r="AU137">
            <v>95.154601054457146</v>
          </cell>
        </row>
        <row r="138">
          <cell r="AU138">
            <v>96.220811022939529</v>
          </cell>
        </row>
        <row r="139">
          <cell r="AU139">
            <v>97.517216436709603</v>
          </cell>
        </row>
        <row r="140">
          <cell r="AU140">
            <v>96.281980045545069</v>
          </cell>
        </row>
        <row r="141">
          <cell r="AU141">
            <v>95.840387117370994</v>
          </cell>
        </row>
        <row r="142">
          <cell r="AU142">
            <v>95.62272817509934</v>
          </cell>
        </row>
        <row r="143">
          <cell r="AU143">
            <v>97.419625508620229</v>
          </cell>
        </row>
        <row r="144">
          <cell r="AU144">
            <v>96.095204819099521</v>
          </cell>
        </row>
        <row r="145">
          <cell r="AU145">
            <v>95.427155830154973</v>
          </cell>
        </row>
        <row r="147">
          <cell r="AU147">
            <v>91.160130162104309</v>
          </cell>
        </row>
        <row r="148">
          <cell r="AU148">
            <v>96.404323693454927</v>
          </cell>
        </row>
        <row r="149">
          <cell r="AU149">
            <v>95.683417143594824</v>
          </cell>
        </row>
        <row r="150">
          <cell r="AU150">
            <v>95.809489237012428</v>
          </cell>
        </row>
        <row r="151">
          <cell r="AU151">
            <v>97.090758279891048</v>
          </cell>
        </row>
        <row r="152">
          <cell r="AU152">
            <v>94.091899893433379</v>
          </cell>
        </row>
        <row r="153">
          <cell r="AU153">
            <v>96.193480056158236</v>
          </cell>
        </row>
        <row r="154">
          <cell r="AU154">
            <v>94.865416286743525</v>
          </cell>
        </row>
        <row r="155">
          <cell r="AU155">
            <v>94.951993001600584</v>
          </cell>
        </row>
        <row r="156">
          <cell r="AU156">
            <v>94.607872565715482</v>
          </cell>
        </row>
        <row r="158">
          <cell r="A158" t="str">
            <v>VM061</v>
          </cell>
          <cell r="AU158">
            <v>93.00523973792491</v>
          </cell>
        </row>
        <row r="159">
          <cell r="A159" t="str">
            <v>VM062</v>
          </cell>
          <cell r="AU159">
            <v>95.154968494234055</v>
          </cell>
        </row>
        <row r="160">
          <cell r="A160" t="str">
            <v>VM063</v>
          </cell>
          <cell r="AU160">
            <v>97.138427856424443</v>
          </cell>
        </row>
        <row r="161">
          <cell r="A161" t="str">
            <v>VM064</v>
          </cell>
          <cell r="AU161">
            <v>95.267023489278699</v>
          </cell>
        </row>
        <row r="162">
          <cell r="A162" t="str">
            <v>VM065</v>
          </cell>
          <cell r="AU162">
            <v>98.162235648460509</v>
          </cell>
        </row>
        <row r="163">
          <cell r="A163" t="str">
            <v>VM066</v>
          </cell>
          <cell r="AU163">
            <v>88.890405461826575</v>
          </cell>
        </row>
      </sheetData>
      <sheetData sheetId="4">
        <row r="5">
          <cell r="C5" t="str">
            <v>DPV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8">
          <cell r="H8">
            <v>403.40000000000003</v>
          </cell>
        </row>
      </sheetData>
      <sheetData sheetId="23" refreshError="1"/>
      <sheetData sheetId="2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September '23 "/>
      <sheetName val="Summary August '23 "/>
      <sheetName val="Summary July '23"/>
      <sheetName val="Summary January '23"/>
      <sheetName val="Summary December '22  "/>
      <sheetName val="Summary November '22  "/>
      <sheetName val="Summary October '22 "/>
      <sheetName val="Summary September '22 "/>
      <sheetName val="Summary August '22 "/>
      <sheetName val="Summary July '22 "/>
      <sheetName val="Summary June '22 "/>
      <sheetName val="Summary May '22 "/>
      <sheetName val="Summary April '22 "/>
      <sheetName val="Summary March '22 "/>
      <sheetName val="Summary February '22 "/>
      <sheetName val="Summary January '22 "/>
      <sheetName val="Summary December '21 "/>
      <sheetName val="Summary November '21 "/>
      <sheetName val="Summary September '21 "/>
      <sheetName val="Summary August '21"/>
      <sheetName val="Summary July'21"/>
      <sheetName val="Summary June '21 "/>
      <sheetName val="Summary May '21"/>
      <sheetName val="Summary April '21 "/>
      <sheetName val="Summary March '21"/>
      <sheetName val="Summary February '21"/>
      <sheetName val="Summary January '21"/>
      <sheetName val="Summary December '20 "/>
      <sheetName val="Summary November '20  "/>
      <sheetName val="Summary October '20 "/>
      <sheetName val="Summary September '20 "/>
      <sheetName val="Summary August '20  "/>
      <sheetName val="Summary July'20  "/>
      <sheetName val="Summary June'20 "/>
      <sheetName val="Summary May'20 "/>
      <sheetName val="Summary March'20 "/>
      <sheetName val="Summary February'20"/>
      <sheetName val="Summary January'20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AT11">
            <v>90.812413514896079</v>
          </cell>
        </row>
        <row r="74">
          <cell r="AT74">
            <v>97.150248014703294</v>
          </cell>
        </row>
        <row r="75">
          <cell r="AT75">
            <v>95.674742958147831</v>
          </cell>
        </row>
        <row r="76">
          <cell r="AT76">
            <v>100.84803557336481</v>
          </cell>
        </row>
        <row r="77">
          <cell r="AT77">
            <v>88.652151049519262</v>
          </cell>
        </row>
        <row r="78">
          <cell r="AT78">
            <v>91.164092280279334</v>
          </cell>
        </row>
        <row r="79">
          <cell r="AT79">
            <v>90.269749115607993</v>
          </cell>
        </row>
      </sheetData>
      <sheetData sheetId="8">
        <row r="4">
          <cell r="D4">
            <v>13.5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December ' 23 "/>
      <sheetName val="Summary November ' 23 "/>
      <sheetName val="Summary October ' 23  "/>
      <sheetName val="Summary September ' 23  "/>
      <sheetName val="Summary August ' 23 "/>
      <sheetName val="Summary July ' 23 "/>
      <sheetName val="Summary June ' 23"/>
      <sheetName val="Summary May ' 23 "/>
      <sheetName val="Summary April ' 23"/>
      <sheetName val="Summary March ' 23 "/>
      <sheetName val="Summary February ' 23 "/>
      <sheetName val="Summary January ' 23"/>
      <sheetName val="Summary December ' 22"/>
      <sheetName val="Summary November ' 22"/>
      <sheetName val="Summary October ' 22"/>
      <sheetName val="Summary September ' 22"/>
      <sheetName val="Summary August' 22"/>
      <sheetName val="Summary July' 22"/>
      <sheetName val="Summary June' 22"/>
      <sheetName val="Summary May' 22 "/>
      <sheetName val="Summary April' 22 "/>
      <sheetName val="Summary March' 22"/>
      <sheetName val="Summary February' 22"/>
      <sheetName val="Summary January' 22"/>
      <sheetName val="Summary December' 21 "/>
      <sheetName val="Summary November' 21"/>
      <sheetName val="Summary October' 21  "/>
      <sheetName val="Summary August' 21 "/>
      <sheetName val="Summary July' 21"/>
      <sheetName val="Summary April' 21"/>
      <sheetName val="Summary March' 21  "/>
      <sheetName val="Summary February' 21 "/>
      <sheetName val="Summary January' 21  "/>
      <sheetName val="Summary December' 20  "/>
      <sheetName val="Summary November' 20  "/>
      <sheetName val="Summary September' 20  "/>
      <sheetName val="Summary August' 20  "/>
      <sheetName val="Summary July' 20 "/>
      <sheetName val="Summary June' 20 "/>
      <sheetName val="Summary May' 20 "/>
      <sheetName val="Summary March' 20 "/>
      <sheetName val="Summary February' 20"/>
      <sheetName val="Summary January' 20   "/>
    </sheetNames>
    <sheetDataSet>
      <sheetData sheetId="0"/>
      <sheetData sheetId="1"/>
      <sheetData sheetId="2"/>
      <sheetData sheetId="3">
        <row r="11">
          <cell r="A11">
            <v>6</v>
          </cell>
        </row>
        <row r="138">
          <cell r="AY138">
            <v>96.857330707129194</v>
          </cell>
        </row>
        <row r="139">
          <cell r="AY139">
            <v>98.558634236722384</v>
          </cell>
        </row>
        <row r="140">
          <cell r="AY140">
            <v>99.06939404796357</v>
          </cell>
        </row>
        <row r="141">
          <cell r="AY141">
            <v>97.738542500229343</v>
          </cell>
        </row>
        <row r="142">
          <cell r="AY142">
            <v>98.88256763553963</v>
          </cell>
        </row>
        <row r="143">
          <cell r="AY143">
            <v>97.355423733832453</v>
          </cell>
        </row>
        <row r="145">
          <cell r="AY145">
            <v>93.537197811356393</v>
          </cell>
        </row>
        <row r="146">
          <cell r="AY146">
            <v>97.637568539650758</v>
          </cell>
        </row>
        <row r="147">
          <cell r="AY147">
            <v>97.44649697695084</v>
          </cell>
        </row>
        <row r="148">
          <cell r="AY148">
            <v>98.773382829033523</v>
          </cell>
        </row>
        <row r="149">
          <cell r="AY149">
            <v>98.071154008854393</v>
          </cell>
        </row>
        <row r="150">
          <cell r="AY150">
            <v>97.063843510838709</v>
          </cell>
        </row>
        <row r="151">
          <cell r="AY151">
            <v>97.828640102350647</v>
          </cell>
        </row>
        <row r="152">
          <cell r="AY152">
            <v>98.087689047934177</v>
          </cell>
        </row>
        <row r="153">
          <cell r="AY153">
            <v>97.828640102350647</v>
          </cell>
        </row>
        <row r="155">
          <cell r="AY155">
            <v>99.698842686065035</v>
          </cell>
        </row>
        <row r="156">
          <cell r="AY156">
            <v>97.271717302321889</v>
          </cell>
        </row>
        <row r="157">
          <cell r="AY157">
            <v>98.289192483980855</v>
          </cell>
        </row>
        <row r="158">
          <cell r="AY158">
            <v>99.439999141619637</v>
          </cell>
        </row>
        <row r="159">
          <cell r="AY159">
            <v>96.974002051291038</v>
          </cell>
        </row>
        <row r="160">
          <cell r="AY160">
            <v>98.975628221718509</v>
          </cell>
        </row>
        <row r="161">
          <cell r="AY161">
            <v>101.59530290991161</v>
          </cell>
        </row>
        <row r="162">
          <cell r="AY162">
            <v>100.37351945912778</v>
          </cell>
        </row>
        <row r="163">
          <cell r="AY163">
            <v>99.626623297989596</v>
          </cell>
        </row>
        <row r="164">
          <cell r="AY164">
            <v>99.801046914684065</v>
          </cell>
        </row>
        <row r="165">
          <cell r="AY165">
            <v>100.42261588043316</v>
          </cell>
        </row>
        <row r="166">
          <cell r="AY166">
            <v>100.59254189240451</v>
          </cell>
        </row>
        <row r="167">
          <cell r="AY167">
            <v>102.82818274430574</v>
          </cell>
        </row>
        <row r="168">
          <cell r="AY168">
            <v>100.73932467067223</v>
          </cell>
        </row>
        <row r="169">
          <cell r="AY169">
            <v>102.03003131939195</v>
          </cell>
        </row>
        <row r="170">
          <cell r="AY170">
            <v>100.72183263222499</v>
          </cell>
        </row>
        <row r="171">
          <cell r="AY171">
            <v>99.794955739547987</v>
          </cell>
        </row>
        <row r="172">
          <cell r="AY172">
            <v>99.174713278737329</v>
          </cell>
        </row>
        <row r="173">
          <cell r="AY173">
            <v>99.745776886868242</v>
          </cell>
        </row>
        <row r="174">
          <cell r="AY174">
            <v>101.45896771126101</v>
          </cell>
        </row>
        <row r="176">
          <cell r="AY176">
            <v>98.50164878062526</v>
          </cell>
        </row>
        <row r="177">
          <cell r="AY177">
            <v>97.864376229539815</v>
          </cell>
        </row>
        <row r="178">
          <cell r="AY178">
            <v>96.213174293907031</v>
          </cell>
        </row>
        <row r="179">
          <cell r="AY179">
            <v>96.737733426605146</v>
          </cell>
        </row>
        <row r="180">
          <cell r="AY180">
            <v>98.671919625154061</v>
          </cell>
        </row>
        <row r="181">
          <cell r="AY181">
            <v>98.678382046481531</v>
          </cell>
        </row>
        <row r="182">
          <cell r="AY182">
            <v>97.166069677953075</v>
          </cell>
        </row>
        <row r="183">
          <cell r="AY183">
            <v>98.512845152088531</v>
          </cell>
        </row>
        <row r="184">
          <cell r="AY184">
            <v>98.221762980912644</v>
          </cell>
        </row>
        <row r="185">
          <cell r="AY185">
            <v>96.458672125242785</v>
          </cell>
        </row>
        <row r="187">
          <cell r="AY187">
            <v>99.38661333018382</v>
          </cell>
        </row>
        <row r="188">
          <cell r="AY188">
            <v>99.646849535565863</v>
          </cell>
        </row>
        <row r="189">
          <cell r="AY189">
            <v>96.44315275935341</v>
          </cell>
        </row>
        <row r="190">
          <cell r="AY190">
            <v>95.740088181090002</v>
          </cell>
        </row>
        <row r="191">
          <cell r="AY191">
            <v>101.96087155142641</v>
          </cell>
        </row>
        <row r="192">
          <cell r="AY192">
            <v>100.87431145241574</v>
          </cell>
        </row>
        <row r="193">
          <cell r="AY193">
            <v>100.77276941900652</v>
          </cell>
        </row>
        <row r="194">
          <cell r="AY194">
            <v>99.308077161646651</v>
          </cell>
        </row>
        <row r="195">
          <cell r="AY195">
            <v>97.966049625236295</v>
          </cell>
        </row>
        <row r="196">
          <cell r="AY196">
            <v>99.036532823513113</v>
          </cell>
        </row>
        <row r="197">
          <cell r="AY197">
            <v>99.829910580594287</v>
          </cell>
        </row>
        <row r="198">
          <cell r="AY198">
            <v>101.34551268586694</v>
          </cell>
        </row>
        <row r="200">
          <cell r="AY200">
            <v>95.787719035267713</v>
          </cell>
        </row>
        <row r="201">
          <cell r="AY201">
            <v>98.6328988085925</v>
          </cell>
        </row>
        <row r="202">
          <cell r="AY202">
            <v>94.459968474382819</v>
          </cell>
        </row>
        <row r="203">
          <cell r="AY203">
            <v>106.3879873741687</v>
          </cell>
        </row>
        <row r="204">
          <cell r="AY204">
            <v>98.690694600233016</v>
          </cell>
        </row>
        <row r="205">
          <cell r="AY205">
            <v>98.776855194864339</v>
          </cell>
        </row>
        <row r="206">
          <cell r="AY206">
            <v>97.717380143030724</v>
          </cell>
        </row>
        <row r="207">
          <cell r="AY207">
            <v>98.298402403340631</v>
          </cell>
        </row>
        <row r="208">
          <cell r="AY208">
            <v>99.150475857619696</v>
          </cell>
        </row>
        <row r="209">
          <cell r="AY209">
            <v>98.480851582747462</v>
          </cell>
        </row>
        <row r="210">
          <cell r="AY210">
            <v>98.900294442784613</v>
          </cell>
        </row>
        <row r="211">
          <cell r="AY211">
            <v>99.774000543159772</v>
          </cell>
        </row>
        <row r="212">
          <cell r="AY212">
            <v>100.01290942200356</v>
          </cell>
        </row>
        <row r="213">
          <cell r="AY213">
            <v>98.851572144784257</v>
          </cell>
        </row>
        <row r="214">
          <cell r="AY214">
            <v>95.961586054602336</v>
          </cell>
        </row>
        <row r="215">
          <cell r="AY215">
            <v>97.742034692393759</v>
          </cell>
        </row>
        <row r="216">
          <cell r="AY216">
            <v>98.204218222146736</v>
          </cell>
        </row>
        <row r="217">
          <cell r="AY217">
            <v>97.636227486705479</v>
          </cell>
        </row>
        <row r="218">
          <cell r="AY218">
            <v>97.478600605828163</v>
          </cell>
        </row>
        <row r="219">
          <cell r="AY219">
            <v>98.717661711315671</v>
          </cell>
        </row>
        <row r="220">
          <cell r="AY220">
            <v>98.398499623008561</v>
          </cell>
        </row>
        <row r="221">
          <cell r="AY221">
            <v>98.42316068921798</v>
          </cell>
        </row>
        <row r="222">
          <cell r="AY222">
            <v>95.64281835332649</v>
          </cell>
        </row>
        <row r="223">
          <cell r="AY223">
            <v>100.30596808204508</v>
          </cell>
        </row>
        <row r="224">
          <cell r="AY224">
            <v>97.851077552059024</v>
          </cell>
        </row>
        <row r="225">
          <cell r="AY225">
            <v>96.158768386089662</v>
          </cell>
        </row>
        <row r="226">
          <cell r="AY226">
            <v>102.14052505286946</v>
          </cell>
        </row>
        <row r="227">
          <cell r="AY227">
            <v>97.431150141503139</v>
          </cell>
        </row>
        <row r="228">
          <cell r="AY228">
            <v>100.92420324719012</v>
          </cell>
        </row>
        <row r="229">
          <cell r="AY229">
            <v>99.872915840059974</v>
          </cell>
        </row>
        <row r="230">
          <cell r="AY230">
            <v>98.084502197854505</v>
          </cell>
        </row>
        <row r="231">
          <cell r="AY231">
            <v>93.702421135620355</v>
          </cell>
        </row>
        <row r="232">
          <cell r="AY232">
            <v>98.855100098271564</v>
          </cell>
        </row>
        <row r="233">
          <cell r="AY233">
            <v>98.396198262432364</v>
          </cell>
        </row>
        <row r="234">
          <cell r="AY234">
            <v>97.777907843168137</v>
          </cell>
        </row>
        <row r="235">
          <cell r="AY235">
            <v>99.308677437581736</v>
          </cell>
        </row>
        <row r="236">
          <cell r="AY236">
            <v>98.038546530836541</v>
          </cell>
        </row>
        <row r="237">
          <cell r="AY237">
            <v>99.401997081305353</v>
          </cell>
        </row>
        <row r="238">
          <cell r="AY238">
            <v>97.48935368165435</v>
          </cell>
        </row>
        <row r="239">
          <cell r="AY239">
            <v>99.898950116799284</v>
          </cell>
        </row>
        <row r="240">
          <cell r="AY240">
            <v>99.398999137874881</v>
          </cell>
        </row>
        <row r="241">
          <cell r="AY241">
            <v>100.7519165779202</v>
          </cell>
        </row>
        <row r="242">
          <cell r="AY242">
            <v>93.544301682511559</v>
          </cell>
        </row>
        <row r="243">
          <cell r="AY243">
            <v>101.0188654292426</v>
          </cell>
        </row>
        <row r="244">
          <cell r="AY244">
            <v>99.528763203902798</v>
          </cell>
        </row>
        <row r="245">
          <cell r="AY245">
            <v>100.66092013193017</v>
          </cell>
        </row>
        <row r="246">
          <cell r="AY246">
            <v>100.08424635979156</v>
          </cell>
        </row>
        <row r="247">
          <cell r="AY247">
            <v>99.518279181903651</v>
          </cell>
        </row>
        <row r="249">
          <cell r="A249" t="str">
            <v>SM103</v>
          </cell>
          <cell r="AY249">
            <v>99.163679317628919</v>
          </cell>
        </row>
        <row r="250">
          <cell r="A250" t="str">
            <v>SM104</v>
          </cell>
          <cell r="AY250">
            <v>100.11534610570595</v>
          </cell>
        </row>
        <row r="251">
          <cell r="A251" t="str">
            <v>SM105</v>
          </cell>
          <cell r="AY251">
            <v>100.73961911513112</v>
          </cell>
        </row>
        <row r="252">
          <cell r="A252" t="str">
            <v>SM106</v>
          </cell>
          <cell r="AY252">
            <v>99.354012675244334</v>
          </cell>
        </row>
        <row r="253">
          <cell r="A253" t="str">
            <v>SM107</v>
          </cell>
          <cell r="AY253">
            <v>99.145167583223554</v>
          </cell>
        </row>
        <row r="254">
          <cell r="A254" t="str">
            <v>SM108</v>
          </cell>
          <cell r="AY254">
            <v>99.57415406203171</v>
          </cell>
        </row>
      </sheetData>
      <sheetData sheetId="4">
        <row r="5">
          <cell r="D5">
            <v>17.260000000000002</v>
          </cell>
        </row>
      </sheetData>
      <sheetData sheetId="5"/>
      <sheetData sheetId="6"/>
      <sheetData sheetId="7">
        <row r="10">
          <cell r="H10">
            <v>306.60000000000002</v>
          </cell>
        </row>
      </sheetData>
      <sheetData sheetId="8">
        <row r="22">
          <cell r="E22">
            <v>5897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E22">
            <v>7513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August '21 "/>
      <sheetName val="Summary July '21"/>
      <sheetName val="Summary October '20 "/>
      <sheetName val="Summary September '20  "/>
      <sheetName val="Summary August '20 "/>
      <sheetName val="Summary July '20"/>
      <sheetName val="Summary June '20 "/>
    </sheetNames>
    <sheetDataSet>
      <sheetData sheetId="0"/>
      <sheetData sheetId="1"/>
      <sheetData sheetId="2"/>
      <sheetData sheetId="3">
        <row r="5">
          <cell r="A5" t="str">
            <v>HR001</v>
          </cell>
        </row>
        <row r="13">
          <cell r="AW13">
            <v>84.648574567528044</v>
          </cell>
        </row>
        <row r="14">
          <cell r="AW14">
            <v>92.105311967909813</v>
          </cell>
        </row>
        <row r="16">
          <cell r="AW16">
            <v>95.019583228533136</v>
          </cell>
        </row>
        <row r="17">
          <cell r="AW17">
            <v>96.397043172756128</v>
          </cell>
        </row>
      </sheetData>
      <sheetData sheetId="4">
        <row r="4">
          <cell r="C4" t="str">
            <v>FV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. 3rd  "/>
      <sheetName val="Jan. 4th"/>
      <sheetName val="Jan.5th"/>
      <sheetName val="Jan.6th"/>
      <sheetName val="Jan.7th "/>
      <sheetName val="Jan.8th "/>
      <sheetName val="Jan.9th  "/>
      <sheetName val="Jan.10th  "/>
      <sheetName val="Jan.11th "/>
      <sheetName val="Jan.12th "/>
      <sheetName val="Jan.13th "/>
      <sheetName val="Jan.14th  "/>
      <sheetName val="Jan.16th &amp;17th  "/>
      <sheetName val="Closing- January 2023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L42">
            <v>98.191435797113996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b. 6th"/>
      <sheetName val="Feb. 8th"/>
      <sheetName val="Feb Summ. to 24th"/>
      <sheetName val="Feb. 27th"/>
      <sheetName val="Feb.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>
        <row r="42">
          <cell r="L42">
            <v>97.281713730188258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rch 1st"/>
      <sheetName val="March 2nd"/>
      <sheetName val="March 3rd"/>
      <sheetName val="March 6th"/>
      <sheetName val="March 7th "/>
      <sheetName val="March 8th"/>
      <sheetName val="March 9th"/>
      <sheetName val="March10th "/>
      <sheetName val="March11th  "/>
      <sheetName val="March13th"/>
      <sheetName val="March14th "/>
      <sheetName val="March15th"/>
      <sheetName val="March 16th &amp;18th "/>
      <sheetName val="March 20th"/>
      <sheetName val="March 21st"/>
      <sheetName val="March 22nd"/>
      <sheetName val="March 23"/>
      <sheetName val="March 24 &amp; 25th &amp; 26th"/>
      <sheetName val="March 27th"/>
      <sheetName val="March 28th "/>
      <sheetName val="March 29th "/>
      <sheetName val="March 30th "/>
      <sheetName val="March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L75">
            <v>98.782352819681904</v>
          </cell>
        </row>
        <row r="80">
          <cell r="L80">
            <v>7.04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1  "/>
      <sheetName val="April 3th "/>
      <sheetName val="April 4th "/>
      <sheetName val="April 5th "/>
      <sheetName val="April 6th"/>
      <sheetName val="Apri 8th"/>
      <sheetName val="Apri 11th"/>
      <sheetName val="Apri 12th "/>
      <sheetName val="Apri 13th "/>
      <sheetName val="Apri 14th  "/>
      <sheetName val="Apri 15th"/>
      <sheetName val="Apri 16th "/>
      <sheetName val="Apri 17th  "/>
      <sheetName val="Apri 18th "/>
      <sheetName val="Apri 19th"/>
      <sheetName val="Apri 20th &amp; 24th "/>
      <sheetName val="Apri 26th - 27th"/>
      <sheetName val="Apri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1">
          <cell r="L51">
            <v>98.125375133213936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ne 1st"/>
      <sheetName val="June 6th"/>
      <sheetName val="June 12th"/>
      <sheetName val="June 13th "/>
      <sheetName val="June 14th "/>
      <sheetName val="June 15th"/>
      <sheetName val="June 16th"/>
      <sheetName val="June 19th"/>
      <sheetName val="June 20th"/>
      <sheetName val="June 21st"/>
      <sheetName val="June 22nd"/>
      <sheetName val="June 23rd"/>
      <sheetName val="June 26th"/>
      <sheetName val="June 27th "/>
      <sheetName val="June 28th "/>
      <sheetName val="June 29th  "/>
      <sheetName val="June 30th 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5">
          <cell r="L65">
            <v>98.889709416663237</v>
          </cell>
        </row>
        <row r="71">
          <cell r="L71">
            <v>7.3888888888888893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ly 3rd  "/>
      <sheetName val="July 5th"/>
      <sheetName val="July 6th"/>
      <sheetName val="July 7 &amp; 8th"/>
      <sheetName val="July 10th"/>
      <sheetName val="July 11th"/>
      <sheetName val="July 12th"/>
      <sheetName val="July 13th "/>
      <sheetName val="July 14th &amp; 15th  "/>
      <sheetName val="July 17th"/>
      <sheetName val="July 18th "/>
      <sheetName val="July 19th "/>
      <sheetName val="July 20th "/>
      <sheetName val="July 21st &amp;22nd"/>
      <sheetName val="July 24th"/>
      <sheetName val="July 25th"/>
      <sheetName val="July 26th "/>
      <sheetName val="July 27th"/>
      <sheetName val="July 28th "/>
      <sheetName val="Jul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2">
          <cell r="L102">
            <v>98.494349010083567</v>
          </cell>
        </row>
        <row r="108">
          <cell r="L108">
            <v>6.5909090909090908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ug 1st"/>
      <sheetName val="Aug 2nd"/>
      <sheetName val="Aug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>
        <row r="118">
          <cell r="L118">
            <v>97.795315149035787</v>
          </cell>
        </row>
        <row r="124">
          <cell r="L124">
            <v>4.5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ct.2nd "/>
      <sheetName val="Oct.3rd"/>
      <sheetName val="Oct. 4th"/>
      <sheetName val="Oct. 5th "/>
      <sheetName val="Oct. 6th &amp;7th"/>
      <sheetName val="Oct. 9th"/>
      <sheetName val="Oct. 10th"/>
      <sheetName val="Oct. 11th"/>
      <sheetName val="Oct. 12th"/>
      <sheetName val="Oct. 13th &amp; 14th"/>
      <sheetName val="Oct. 16th"/>
      <sheetName val="Oct. 17th"/>
      <sheetName val="Oct. 18th"/>
      <sheetName val="Oct. 20th"/>
      <sheetName val="Oct. 23th"/>
      <sheetName val="Oct. 24th "/>
      <sheetName val="Oct. 26th  "/>
      <sheetName val="Oct. 27th &amp; 28th 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97.702105534902586</v>
          </cell>
        </row>
        <row r="51">
          <cell r="L51">
            <v>5.291666666666667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18  (2)"/>
      <sheetName val="August_2023"/>
      <sheetName val="September_2023"/>
      <sheetName val="October_2023"/>
      <sheetName val="November_2023"/>
      <sheetName val="December_2023"/>
      <sheetName val="Average"/>
      <sheetName val="October_2022"/>
      <sheetName val="November_2022"/>
      <sheetName val="December_2022"/>
      <sheetName val="September_2022"/>
      <sheetName val="August_2022"/>
    </sheetNames>
    <sheetDataSet>
      <sheetData sheetId="0"/>
      <sheetData sheetId="1"/>
      <sheetData sheetId="2">
        <row r="7">
          <cell r="J7">
            <v>283.29999999999995</v>
          </cell>
        </row>
      </sheetData>
      <sheetData sheetId="3">
        <row r="7">
          <cell r="G7">
            <v>369.9</v>
          </cell>
        </row>
      </sheetData>
      <sheetData sheetId="4">
        <row r="7">
          <cell r="AA7">
            <v>264.39999999999998</v>
          </cell>
        </row>
      </sheetData>
      <sheetData sheetId="5">
        <row r="3">
          <cell r="O3">
            <v>317.7</v>
          </cell>
        </row>
      </sheetData>
      <sheetData sheetId="6">
        <row r="3">
          <cell r="F3">
            <v>406</v>
          </cell>
        </row>
      </sheetData>
      <sheetData sheetId="7"/>
      <sheetData sheetId="8">
        <row r="3">
          <cell r="D3">
            <v>208.10000000000002</v>
          </cell>
        </row>
      </sheetData>
      <sheetData sheetId="9">
        <row r="7">
          <cell r="I7">
            <v>278.8</v>
          </cell>
        </row>
      </sheetData>
      <sheetData sheetId="10">
        <row r="3">
          <cell r="G3">
            <v>304.60000000000002</v>
          </cell>
        </row>
      </sheetData>
      <sheetData sheetId="11">
        <row r="3">
          <cell r="D3">
            <v>212.5</v>
          </cell>
        </row>
      </sheetData>
      <sheetData sheetId="12">
        <row r="3">
          <cell r="I3">
            <v>305.05</v>
          </cell>
        </row>
        <row r="13">
          <cell r="U13">
            <v>150.4</v>
          </cell>
        </row>
        <row r="17">
          <cell r="U17">
            <v>120.8</v>
          </cell>
        </row>
        <row r="21">
          <cell r="U21">
            <v>19.680851063829799</v>
          </cell>
        </row>
      </sheetData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23"/>
      <sheetName val="August_2018 (2)"/>
      <sheetName val="September_2023"/>
      <sheetName val="October_2023"/>
      <sheetName val="November_2023"/>
      <sheetName val="December_2023"/>
      <sheetName val="October_2022"/>
      <sheetName val="November_2022"/>
      <sheetName val="December_2022"/>
      <sheetName val="September_2022"/>
      <sheetName val="August_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N13">
            <v>0.67939571150097466</v>
          </cell>
        </row>
        <row r="25">
          <cell r="U25">
            <v>0.42385964912280699</v>
          </cell>
        </row>
      </sheetData>
      <sheetData sheetId="13"/>
      <sheetData sheetId="14"/>
      <sheetData sheetId="15"/>
      <sheetData sheetId="16" refreshError="1"/>
      <sheetData sheetId="1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_2022"/>
      <sheetName val="February_2022"/>
      <sheetName val="March_2022"/>
      <sheetName val="April_2022"/>
      <sheetName val="May_2022"/>
      <sheetName val="July_2022"/>
      <sheetName val="June_2022"/>
      <sheetName val="August_2018  (2)"/>
      <sheetName val="August_2022"/>
      <sheetName val="September_2022"/>
      <sheetName val="October_2022"/>
      <sheetName val="November_2022"/>
      <sheetName val="December_2022"/>
      <sheetName val="Average"/>
      <sheetName val="March_2021"/>
      <sheetName val="April_2021"/>
      <sheetName val="May_2021"/>
      <sheetName val="June_2021"/>
      <sheetName val="July_2021"/>
      <sheetName val="August_2021"/>
      <sheetName val="September_2021"/>
      <sheetName val="October_2021"/>
      <sheetName val="November_2021"/>
      <sheetName val="December_2021"/>
    </sheetNames>
    <sheetDataSet>
      <sheetData sheetId="0">
        <row r="7">
          <cell r="F7">
            <v>90.5</v>
          </cell>
        </row>
      </sheetData>
      <sheetData sheetId="1">
        <row r="3">
          <cell r="D3">
            <v>410.59999999999997</v>
          </cell>
        </row>
      </sheetData>
      <sheetData sheetId="2">
        <row r="7">
          <cell r="D7">
            <v>199.8</v>
          </cell>
        </row>
      </sheetData>
      <sheetData sheetId="3">
        <row r="7">
          <cell r="G7">
            <v>266.8</v>
          </cell>
        </row>
      </sheetData>
      <sheetData sheetId="4">
        <row r="7">
          <cell r="E7">
            <v>291.89999999999998</v>
          </cell>
        </row>
        <row r="43">
          <cell r="M43">
            <v>3.4878406700073312</v>
          </cell>
        </row>
      </sheetData>
      <sheetData sheetId="5">
        <row r="3">
          <cell r="G3">
            <v>319.81</v>
          </cell>
        </row>
      </sheetData>
      <sheetData sheetId="6">
        <row r="7">
          <cell r="D7">
            <v>190.7</v>
          </cell>
        </row>
      </sheetData>
      <sheetData sheetId="7"/>
      <sheetData sheetId="8">
        <row r="7">
          <cell r="E7">
            <v>293.3</v>
          </cell>
        </row>
      </sheetData>
      <sheetData sheetId="9">
        <row r="7">
          <cell r="E7">
            <v>374.7</v>
          </cell>
        </row>
      </sheetData>
      <sheetData sheetId="10">
        <row r="3">
          <cell r="G3">
            <v>207.23000000000002</v>
          </cell>
        </row>
      </sheetData>
      <sheetData sheetId="11">
        <row r="7">
          <cell r="E7">
            <v>572.10000000000014</v>
          </cell>
        </row>
      </sheetData>
      <sheetData sheetId="12">
        <row r="3">
          <cell r="D3">
            <v>315.21000000000004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6"/>
      <sheetName val="February_2026"/>
      <sheetName val="March_2026"/>
      <sheetName val="April_2026"/>
      <sheetName val="May_2026"/>
      <sheetName val="June_2026"/>
      <sheetName val="July_2026"/>
      <sheetName val="August_2026"/>
      <sheetName val="September_2026"/>
      <sheetName val="October_2025"/>
      <sheetName val="November_2025"/>
      <sheetName val="December_2025"/>
    </sheetNames>
    <sheetDataSet>
      <sheetData sheetId="0">
        <row r="7">
          <cell r="E7">
            <v>204.5</v>
          </cell>
        </row>
      </sheetData>
      <sheetData sheetId="1">
        <row r="7">
          <cell r="D7">
            <v>382</v>
          </cell>
        </row>
      </sheetData>
      <sheetData sheetId="2">
        <row r="7">
          <cell r="G7">
            <v>286.8</v>
          </cell>
        </row>
      </sheetData>
      <sheetData sheetId="3">
        <row r="7">
          <cell r="E7">
            <v>372.4</v>
          </cell>
        </row>
      </sheetData>
      <sheetData sheetId="4">
        <row r="7">
          <cell r="G7">
            <v>386.3</v>
          </cell>
        </row>
      </sheetData>
      <sheetData sheetId="5">
        <row r="7">
          <cell r="Y7">
            <v>379.8</v>
          </cell>
        </row>
      </sheetData>
      <sheetData sheetId="6">
        <row r="7">
          <cell r="D7">
            <v>378.6</v>
          </cell>
        </row>
        <row r="13">
          <cell r="R13">
            <v>195.67999999999998</v>
          </cell>
        </row>
        <row r="17">
          <cell r="R17">
            <v>184</v>
          </cell>
        </row>
      </sheetData>
      <sheetData sheetId="7">
        <row r="3">
          <cell r="G3">
            <v>993.69999999999982</v>
          </cell>
          <cell r="H3">
            <v>401.69999999999993</v>
          </cell>
          <cell r="I3">
            <v>99.5</v>
          </cell>
          <cell r="J3">
            <v>303.7</v>
          </cell>
          <cell r="O3">
            <v>393.57</v>
          </cell>
          <cell r="Q3">
            <v>295.7</v>
          </cell>
          <cell r="T3">
            <v>506.8</v>
          </cell>
          <cell r="U3">
            <v>405.29999999999995</v>
          </cell>
          <cell r="V3">
            <v>405</v>
          </cell>
          <cell r="X3">
            <v>297.70000000000005</v>
          </cell>
          <cell r="AA3">
            <v>102</v>
          </cell>
          <cell r="AC3">
            <v>403.1</v>
          </cell>
          <cell r="AN3">
            <v>5.7524116160584295</v>
          </cell>
          <cell r="AQ3">
            <v>6.6518806494508196</v>
          </cell>
        </row>
        <row r="4">
          <cell r="AN4">
            <v>6.8335076146031053</v>
          </cell>
          <cell r="AQ4">
            <v>5.9483336713979043</v>
          </cell>
        </row>
        <row r="5">
          <cell r="AN5">
            <v>10.372188565692998</v>
          </cell>
          <cell r="AQ5">
            <v>11.857907912244482</v>
          </cell>
        </row>
        <row r="6">
          <cell r="AN6">
            <v>3.2353327684812005</v>
          </cell>
          <cell r="AQ6">
            <v>4.8702525342252114</v>
          </cell>
        </row>
        <row r="7">
          <cell r="G7">
            <v>959.5</v>
          </cell>
          <cell r="H7">
            <v>374.79999999999995</v>
          </cell>
          <cell r="I7">
            <v>94.1</v>
          </cell>
          <cell r="J7">
            <v>291.3</v>
          </cell>
          <cell r="O7">
            <v>376.2</v>
          </cell>
          <cell r="Q7">
            <v>276.60000000000002</v>
          </cell>
          <cell r="T7">
            <v>476.2</v>
          </cell>
          <cell r="U7">
            <v>377.29999999999995</v>
          </cell>
          <cell r="V7">
            <v>376.8</v>
          </cell>
          <cell r="X7">
            <v>274.7</v>
          </cell>
          <cell r="AA7">
            <v>92.4</v>
          </cell>
          <cell r="AC7">
            <v>367</v>
          </cell>
          <cell r="AN7" t="e">
            <v>#DIV/0!</v>
          </cell>
          <cell r="AQ7" t="e">
            <v>#DIV/0!</v>
          </cell>
        </row>
        <row r="8">
          <cell r="AN8" t="e">
            <v>#DIV/0!</v>
          </cell>
          <cell r="AQ8">
            <v>8.2405787675951316</v>
          </cell>
        </row>
        <row r="9">
          <cell r="AN9">
            <v>5.346203760314828</v>
          </cell>
          <cell r="AQ9">
            <v>5.0091179718082053</v>
          </cell>
        </row>
        <row r="10">
          <cell r="AN10" t="e">
            <v>#DIV/0!</v>
          </cell>
          <cell r="AQ10" t="e">
            <v>#DIV/0!</v>
          </cell>
        </row>
        <row r="11">
          <cell r="H11">
            <v>6.0931220163939352</v>
          </cell>
          <cell r="I11">
            <v>4.9691557058902438</v>
          </cell>
          <cell r="J11">
            <v>4.082976621666119</v>
          </cell>
          <cell r="O11">
            <v>4.0273938291476492</v>
          </cell>
          <cell r="Q11">
            <v>6.2333053966760277</v>
          </cell>
          <cell r="T11">
            <v>6.037884767166541</v>
          </cell>
          <cell r="U11">
            <v>6.7577073412906516</v>
          </cell>
          <cell r="V11">
            <v>5.6135135941743499</v>
          </cell>
          <cell r="X11">
            <v>7.2054161139242083</v>
          </cell>
          <cell r="AA11">
            <v>9.7741176470588158</v>
          </cell>
          <cell r="AC11">
            <v>8.2201789122988416</v>
          </cell>
          <cell r="AN11" t="e">
            <v>#DIV/0!</v>
          </cell>
          <cell r="AQ11" t="e">
            <v>#DIV/0!</v>
          </cell>
        </row>
        <row r="12">
          <cell r="AN12">
            <v>6.2291658294635592</v>
          </cell>
          <cell r="AQ12">
            <v>6.693461765037287</v>
          </cell>
        </row>
        <row r="13">
          <cell r="H13">
            <v>342.6</v>
          </cell>
          <cell r="P13">
            <v>684.50000000000011</v>
          </cell>
          <cell r="W13">
            <v>501.9</v>
          </cell>
          <cell r="AH13">
            <v>396.1</v>
          </cell>
        </row>
        <row r="17">
          <cell r="H17">
            <v>295.3</v>
          </cell>
          <cell r="P17">
            <v>638.1</v>
          </cell>
          <cell r="W17">
            <v>479.8</v>
          </cell>
          <cell r="AH17">
            <v>372.7</v>
          </cell>
        </row>
        <row r="21">
          <cell r="H21">
            <v>14.156284692533767</v>
          </cell>
          <cell r="P21">
            <v>6.4039867624642071</v>
          </cell>
          <cell r="W21">
            <v>3.7860166878372188</v>
          </cell>
          <cell r="AH21">
            <v>5.1487894063897253</v>
          </cell>
        </row>
        <row r="23">
          <cell r="F23">
            <v>205.9</v>
          </cell>
          <cell r="AB23">
            <v>301.3</v>
          </cell>
          <cell r="AC23">
            <v>105.3</v>
          </cell>
        </row>
        <row r="28">
          <cell r="F28">
            <v>194</v>
          </cell>
          <cell r="AB28">
            <v>274.39999999999998</v>
          </cell>
          <cell r="AC28">
            <v>97</v>
          </cell>
        </row>
        <row r="32">
          <cell r="AC32">
            <v>9.2470237797747075</v>
          </cell>
        </row>
        <row r="55">
          <cell r="I55">
            <v>407.5</v>
          </cell>
          <cell r="AA55">
            <v>512.91</v>
          </cell>
        </row>
        <row r="59">
          <cell r="I59">
            <v>398</v>
          </cell>
          <cell r="AA59">
            <v>476.50000000000006</v>
          </cell>
        </row>
        <row r="63">
          <cell r="AA63">
            <v>7.2510084695138728</v>
          </cell>
        </row>
        <row r="65">
          <cell r="AD65">
            <v>389.09999999999997</v>
          </cell>
        </row>
        <row r="70">
          <cell r="AD70">
            <v>386.59999999999997</v>
          </cell>
        </row>
        <row r="74">
          <cell r="AD74">
            <v>3.2353327684812005</v>
          </cell>
        </row>
      </sheetData>
      <sheetData sheetId="8">
        <row r="3">
          <cell r="D3">
            <v>405.70000000000005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6"/>
      <sheetName val="February_2026"/>
      <sheetName val="March_2026"/>
      <sheetName val="April_2026"/>
      <sheetName val="May_2026"/>
      <sheetName val="June_2026"/>
      <sheetName val="July_2026"/>
      <sheetName val="August_2026"/>
      <sheetName val="August_2018 (2)"/>
      <sheetName val="September_2026"/>
      <sheetName val="October_2025"/>
      <sheetName val="November_2025"/>
      <sheetName val="December_20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5">
          <cell r="R25">
            <v>0.32280701754385965</v>
          </cell>
        </row>
      </sheetData>
      <sheetData sheetId="7">
        <row r="13">
          <cell r="AN13">
            <v>0.45343197737934576</v>
          </cell>
          <cell r="AQ13">
            <v>0.52572864135882313</v>
          </cell>
        </row>
        <row r="14">
          <cell r="AN14">
            <v>0.67225146198830421</v>
          </cell>
          <cell r="AQ14">
            <v>0.69969789623338174</v>
          </cell>
        </row>
        <row r="15">
          <cell r="AN15">
            <v>0.39060428849902529</v>
          </cell>
          <cell r="AQ15">
            <v>0.35370190356844494</v>
          </cell>
        </row>
        <row r="16">
          <cell r="AN16">
            <v>0.67824561403508765</v>
          </cell>
          <cell r="AQ16">
            <v>0.77919298245614044</v>
          </cell>
        </row>
        <row r="17">
          <cell r="AN17" t="e">
            <v>#DIV/0!</v>
          </cell>
          <cell r="AQ17" t="e">
            <v>#DIV/0!</v>
          </cell>
        </row>
        <row r="18">
          <cell r="G18">
            <v>0.49809523809523798</v>
          </cell>
          <cell r="H18">
            <v>0.43836257309941518</v>
          </cell>
          <cell r="I18">
            <v>0.33017543859649123</v>
          </cell>
          <cell r="J18">
            <v>0.51105263157894742</v>
          </cell>
          <cell r="O18">
            <v>0.43999999999999995</v>
          </cell>
          <cell r="Q18">
            <v>0.4852631578947369</v>
          </cell>
          <cell r="T18">
            <v>0.41771929824561405</v>
          </cell>
          <cell r="U18">
            <v>0.33096491228070174</v>
          </cell>
          <cell r="V18">
            <v>0.66105263157894734</v>
          </cell>
          <cell r="X18">
            <v>0.48192982456140349</v>
          </cell>
          <cell r="AA18">
            <v>0.3242105263157895</v>
          </cell>
          <cell r="AC18">
            <v>0.32192982456140351</v>
          </cell>
          <cell r="AH18">
            <v>0.65385964912280703</v>
          </cell>
          <cell r="AN18" t="e">
            <v>#DIV/0!</v>
          </cell>
          <cell r="AQ18">
            <v>0.78491228070175445</v>
          </cell>
        </row>
        <row r="19">
          <cell r="AN19">
            <v>1.1162280701754386</v>
          </cell>
          <cell r="AQ19">
            <v>0.92642300194931759</v>
          </cell>
        </row>
        <row r="20">
          <cell r="AN20" t="e">
            <v>#DIV/0!</v>
          </cell>
          <cell r="AQ20" t="e">
            <v>#DIV/0!</v>
          </cell>
        </row>
        <row r="21">
          <cell r="AN21">
            <v>0</v>
          </cell>
          <cell r="AQ21" t="e">
            <v>#DIV/0!</v>
          </cell>
        </row>
        <row r="22">
          <cell r="AN22">
            <v>0.54517657780815676</v>
          </cell>
          <cell r="AQ22">
            <v>0.59836670671862702</v>
          </cell>
        </row>
        <row r="25">
          <cell r="H25">
            <v>1.0361403508771929</v>
          </cell>
          <cell r="P25">
            <v>0.5597368421052632</v>
          </cell>
          <cell r="W25">
            <v>0.42087719298245613</v>
          </cell>
        </row>
        <row r="32">
          <cell r="F32">
            <v>0.68070175438596492</v>
          </cell>
          <cell r="AB32">
            <v>0.32093567251461985</v>
          </cell>
          <cell r="AC32">
            <v>0.17017543859649123</v>
          </cell>
        </row>
        <row r="53">
          <cell r="I53">
            <v>1.3964912280701753</v>
          </cell>
          <cell r="AA53">
            <v>0.8359649122807018</v>
          </cell>
        </row>
        <row r="60">
          <cell r="AD60">
            <v>0.67824561403508765</v>
          </cell>
        </row>
      </sheetData>
      <sheetData sheetId="8" refreshError="1"/>
      <sheetData sheetId="9">
        <row r="13">
          <cell r="AM13" t="e">
            <v>#DIV/0!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IPA"/>
      <sheetName val="APA"/>
      <sheetName val="CARIBE"/>
      <sheetName val="MTD"/>
      <sheetName val="YTD 2026"/>
    </sheetNames>
    <sheetDataSet>
      <sheetData sheetId="0">
        <row r="16">
          <cell r="J16">
            <v>94.5</v>
          </cell>
        </row>
      </sheetData>
      <sheetData sheetId="1">
        <row r="6">
          <cell r="J6">
            <v>50</v>
          </cell>
          <cell r="S6">
            <v>5.2</v>
          </cell>
        </row>
        <row r="21">
          <cell r="S21">
            <v>2.2000000000000011</v>
          </cell>
        </row>
      </sheetData>
      <sheetData sheetId="2">
        <row r="6">
          <cell r="J6">
            <v>39.299999999999997</v>
          </cell>
        </row>
      </sheetData>
      <sheetData sheetId="3">
        <row r="6">
          <cell r="I6">
            <v>48.5</v>
          </cell>
          <cell r="J6">
            <v>4.0999999999999996</v>
          </cell>
        </row>
        <row r="8">
          <cell r="J8">
            <v>4.0999999999999996</v>
          </cell>
        </row>
        <row r="10">
          <cell r="J10">
            <v>4.0999999999999996</v>
          </cell>
        </row>
        <row r="12">
          <cell r="J12">
            <v>4.0999999999999996</v>
          </cell>
        </row>
      </sheetData>
      <sheetData sheetId="4">
        <row r="6">
          <cell r="I6">
            <v>47.1</v>
          </cell>
        </row>
      </sheetData>
      <sheetData sheetId="5"/>
      <sheetData sheetId="6"/>
      <sheetData sheetId="7"/>
      <sheetData sheetId="8"/>
      <sheetData sheetId="9"/>
      <sheetData sheetId="10">
        <row r="5">
          <cell r="E5">
            <v>5.8785486254739441</v>
          </cell>
        </row>
        <row r="6">
          <cell r="E6">
            <v>7.2307932055477657</v>
          </cell>
        </row>
        <row r="7">
          <cell r="E7">
            <v>9.7381864623243946</v>
          </cell>
        </row>
        <row r="8">
          <cell r="E8">
            <v>4.6609124537607842</v>
          </cell>
        </row>
        <row r="9">
          <cell r="E9" t="e">
            <v>#DIV/0!</v>
          </cell>
        </row>
        <row r="10">
          <cell r="E10" t="e">
            <v>#DIV/0!</v>
          </cell>
        </row>
        <row r="11">
          <cell r="E11">
            <v>4.9879944807205456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6.3154818165318938</v>
          </cell>
        </row>
      </sheetData>
      <sheetData sheetId="11">
        <row r="5">
          <cell r="E5">
            <v>6.4209268360980332</v>
          </cell>
        </row>
        <row r="6">
          <cell r="E6">
            <v>5.9718524153670511</v>
          </cell>
        </row>
        <row r="7">
          <cell r="E7">
            <v>11.036329063250609</v>
          </cell>
        </row>
        <row r="8">
          <cell r="E8">
            <v>4.8433372666231218</v>
          </cell>
        </row>
        <row r="9">
          <cell r="E9" t="e">
            <v>#DIV/0!</v>
          </cell>
        </row>
        <row r="10">
          <cell r="E10">
            <v>6.0400197628458603</v>
          </cell>
        </row>
        <row r="11">
          <cell r="E11">
            <v>3.8893302476598364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6.3228725763582583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anuary'18"/>
      <sheetName val="Summary December'17"/>
      <sheetName val="Summary November'17"/>
      <sheetName val="Summary October'17"/>
      <sheetName val="Summary September'17"/>
      <sheetName val="Summary August'17"/>
      <sheetName val="Summary July'17 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%EFF."/>
      <sheetName val="Sheet1"/>
    </sheetNames>
    <sheetDataSet>
      <sheetData sheetId="0"/>
      <sheetData sheetId="1"/>
      <sheetData sheetId="2"/>
      <sheetData sheetId="3"/>
      <sheetData sheetId="4">
        <row r="7681">
          <cell r="A7681" t="str">
            <v>CA044</v>
          </cell>
        </row>
      </sheetData>
      <sheetData sheetId="5">
        <row r="5311">
          <cell r="AS5311">
            <v>85.152851511661666</v>
          </cell>
        </row>
        <row r="5347">
          <cell r="AS5347">
            <v>96.242731384136675</v>
          </cell>
        </row>
        <row r="5348">
          <cell r="AS5348">
            <v>96.696346841973863</v>
          </cell>
        </row>
        <row r="5349">
          <cell r="AS5349">
            <v>95.126289890925335</v>
          </cell>
        </row>
        <row r="5350">
          <cell r="AS5350">
            <v>99.660489230254768</v>
          </cell>
        </row>
        <row r="5351">
          <cell r="AS5351">
            <v>98.281898080887714</v>
          </cell>
        </row>
        <row r="5352">
          <cell r="AS5352">
            <v>96.026108173442964</v>
          </cell>
        </row>
        <row r="5353">
          <cell r="AS5353">
            <v>96.743154793507031</v>
          </cell>
        </row>
        <row r="5354">
          <cell r="AS5354">
            <v>97.324543944910317</v>
          </cell>
        </row>
        <row r="5355">
          <cell r="AS5355">
            <v>94.904027111234612</v>
          </cell>
        </row>
        <row r="5356">
          <cell r="AS5356">
            <v>95.53313194763814</v>
          </cell>
        </row>
        <row r="5357">
          <cell r="AS5357">
            <v>95.421463455983542</v>
          </cell>
        </row>
        <row r="5358">
          <cell r="AS5358">
            <v>97.128454670344638</v>
          </cell>
        </row>
        <row r="5359">
          <cell r="A5359" t="str">
            <v>CA236</v>
          </cell>
          <cell r="B5359">
            <v>41437</v>
          </cell>
          <cell r="I5359">
            <v>19.79</v>
          </cell>
          <cell r="N5359">
            <v>60</v>
          </cell>
          <cell r="R5359">
            <v>0.51041666666666663</v>
          </cell>
          <cell r="S5359">
            <v>0.61736111111111114</v>
          </cell>
          <cell r="T5359">
            <v>60</v>
          </cell>
          <cell r="AG5359">
            <v>49.011000000000003</v>
          </cell>
          <cell r="AS5359">
            <v>94.981545664755075</v>
          </cell>
          <cell r="AT5359">
            <v>97.074072469002047</v>
          </cell>
        </row>
        <row r="5360">
          <cell r="A5360" t="str">
            <v>CA237</v>
          </cell>
          <cell r="B5360">
            <v>41437</v>
          </cell>
          <cell r="I5360">
            <v>17.7</v>
          </cell>
          <cell r="N5360">
            <v>60</v>
          </cell>
          <cell r="R5360">
            <v>0.58680555555555558</v>
          </cell>
          <cell r="S5360">
            <v>0.69652777777777775</v>
          </cell>
          <cell r="T5360">
            <v>68</v>
          </cell>
          <cell r="AG5360">
            <v>48.531999999999996</v>
          </cell>
          <cell r="AS5360">
            <v>94.053260986347809</v>
          </cell>
          <cell r="AT5360">
            <v>96.1253368644918</v>
          </cell>
        </row>
        <row r="5361">
          <cell r="A5361" t="str">
            <v>CA238</v>
          </cell>
          <cell r="B5361">
            <v>41437</v>
          </cell>
          <cell r="I5361">
            <v>19.7</v>
          </cell>
          <cell r="N5361">
            <v>60</v>
          </cell>
          <cell r="R5361">
            <v>0.65972222222222221</v>
          </cell>
          <cell r="S5361">
            <v>0.76180555555555562</v>
          </cell>
          <cell r="T5361">
            <v>61</v>
          </cell>
          <cell r="AG5361">
            <v>50.466999999999999</v>
          </cell>
          <cell r="AS5361">
            <v>96.931393272913695</v>
          </cell>
          <cell r="AT5361">
            <v>99.066876931102286</v>
          </cell>
        </row>
        <row r="5362">
          <cell r="A5362" t="str">
            <v>CA239</v>
          </cell>
          <cell r="B5362">
            <v>41437</v>
          </cell>
          <cell r="I5362">
            <v>19</v>
          </cell>
          <cell r="N5362">
            <v>60</v>
          </cell>
          <cell r="R5362">
            <v>0.73263888888888884</v>
          </cell>
          <cell r="S5362">
            <v>0.83680555555555547</v>
          </cell>
          <cell r="T5362">
            <v>62</v>
          </cell>
          <cell r="AG5362">
            <v>49.374000000000002</v>
          </cell>
          <cell r="AS5362">
            <v>95.68502653795305</v>
          </cell>
          <cell r="AT5362">
            <v>97.793051643192499</v>
          </cell>
        </row>
      </sheetData>
      <sheetData sheetId="6">
        <row r="7086">
          <cell r="AD7086">
            <v>49.378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May '18 "/>
      <sheetName val="Summary April '18"/>
      <sheetName val="Summary March '18"/>
      <sheetName val="Summary February '18"/>
      <sheetName val="Summary January '18"/>
      <sheetName val="Summary December '17"/>
      <sheetName val="Summary November '17"/>
      <sheetName val="Summary October '17"/>
      <sheetName val="Summary September '17"/>
      <sheetName val="Summary August '17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Summary May '14"/>
      <sheetName val="Summary Apr '14"/>
      <sheetName val="ProcessMaterials"/>
      <sheetName val="PackMaterials"/>
      <sheetName val="%EFF."/>
    </sheetNames>
    <sheetDataSet>
      <sheetData sheetId="0"/>
      <sheetData sheetId="1"/>
      <sheetData sheetId="2"/>
      <sheetData sheetId="3">
        <row r="2408">
          <cell r="A2408" t="str">
            <v>ST051</v>
          </cell>
        </row>
      </sheetData>
      <sheetData sheetId="4">
        <row r="620">
          <cell r="AQ620">
            <v>94.769044771084623</v>
          </cell>
        </row>
        <row r="641">
          <cell r="AQ641">
            <v>93.076170468981061</v>
          </cell>
        </row>
        <row r="642">
          <cell r="AQ642">
            <v>95.149436694787028</v>
          </cell>
        </row>
        <row r="643">
          <cell r="AQ643">
            <v>95.833974927594824</v>
          </cell>
        </row>
        <row r="644">
          <cell r="AQ644">
            <v>93.377483332023004</v>
          </cell>
        </row>
      </sheetData>
      <sheetData sheetId="5">
        <row r="1851">
          <cell r="Z1851">
            <v>49.381999999999998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VitaMalt - Operator Performance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 '19"/>
      <sheetName val="Summary November '19 "/>
      <sheetName val="Summary October '19  "/>
      <sheetName val="Summary September '19  "/>
      <sheetName val="Summary August '19 "/>
      <sheetName val="Summary July '19 "/>
      <sheetName val="Summary June '19  "/>
      <sheetName val="Summary May '19 "/>
      <sheetName val="Summary April '19 "/>
      <sheetName val="Summary March '19"/>
      <sheetName val="Summary February '19"/>
      <sheetName val="Summary January '19"/>
      <sheetName val="Summary December'18 "/>
      <sheetName val="Summary November'18 "/>
      <sheetName val="Summary October'18"/>
      <sheetName val="Summary September'18 "/>
      <sheetName val="Summary August'18   "/>
      <sheetName val="Summary July'18  "/>
      <sheetName val="Summary June'18 "/>
      <sheetName val="Summary May'18"/>
      <sheetName val="Summary April'18"/>
      <sheetName val="Summary March'18"/>
      <sheetName val="Summary February'18"/>
      <sheetName val="Summary December '17"/>
      <sheetName val="Summary November '17"/>
      <sheetName val="Summary October '17 "/>
      <sheetName val="Summary September '17"/>
      <sheetName val="Summary August '17"/>
      <sheetName val="Summary July '17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 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PackMaterials"/>
      <sheetName val="ProcessMaterials"/>
      <sheetName val="Sheet1"/>
      <sheetName val="Summary May '14"/>
      <sheetName val="Summary July '14)"/>
      <sheetName val="Summary Feb '14"/>
      <sheetName val="Summary Mar '14"/>
      <sheetName val="Summary Apr '14"/>
      <sheetName val="Summary Jan '14"/>
      <sheetName val="Summary Dec '13"/>
      <sheetName val="Summary Nov '1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154">
          <cell r="AH154">
            <v>15.308000000000002</v>
          </cell>
        </row>
        <row r="708">
          <cell r="AU708">
            <v>93.632484874867401</v>
          </cell>
        </row>
        <row r="709">
          <cell r="AU709">
            <v>94.048293616380349</v>
          </cell>
        </row>
        <row r="710">
          <cell r="AU710">
            <v>96.982003109046275</v>
          </cell>
        </row>
        <row r="711">
          <cell r="AU711">
            <v>95.536254931189035</v>
          </cell>
        </row>
      </sheetData>
      <sheetData sheetId="8">
        <row r="917">
          <cell r="D917">
            <v>14.3</v>
          </cell>
        </row>
      </sheetData>
      <sheetData sheetId="9">
        <row r="769">
          <cell r="I769">
            <v>183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ckMaterials"/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uly '17"/>
      <sheetName val="Summary May '17"/>
      <sheetName val="Summary January '17"/>
      <sheetName val="Summary December '16"/>
      <sheetName val="Summary November '16"/>
      <sheetName val="Summary October '16"/>
      <sheetName val="Summary August '16"/>
      <sheetName val="Summary May '16"/>
      <sheetName val="Summary March '16"/>
      <sheetName val="Summary February '16"/>
      <sheetName val="Summary Jaunary '16"/>
      <sheetName val="Summary November '15"/>
      <sheetName val="Summary August'15"/>
      <sheetName val="Summary June'15"/>
      <sheetName val="Summary May'15"/>
      <sheetName val="Summary April'15"/>
      <sheetName val="Summary March'15"/>
      <sheetName val="Summary February'15"/>
      <sheetName val="Summary Janaury'15"/>
      <sheetName val="Summary December'14"/>
      <sheetName val="Summary November'14"/>
      <sheetName val="Summary September'14"/>
      <sheetName val="Summary August'14"/>
      <sheetName val="Summary July'14"/>
      <sheetName val="Sheet1"/>
      <sheetName val="Summary Feb'14"/>
      <sheetName val="Summary Mar'14"/>
      <sheetName val="Summary Apr'14"/>
      <sheetName val="Summary Sept '12"/>
      <sheetName val="Summary Oct '12"/>
      <sheetName val="Summary Nov '12"/>
      <sheetName val="Summary Dec '12"/>
      <sheetName val="Summary May'14"/>
      <sheetName val="Summary Jan'14"/>
      <sheetName val="NewMMaltLog"/>
      <sheetName val="Summary Dec'13"/>
      <sheetName val="Summary Oct'13"/>
      <sheetName val="Summary Aug '13"/>
      <sheetName val="Summary Sept'13"/>
    </sheetNames>
    <sheetDataSet>
      <sheetData sheetId="0"/>
      <sheetData sheetId="1"/>
      <sheetData sheetId="2"/>
      <sheetData sheetId="3"/>
      <sheetData sheetId="4"/>
      <sheetData sheetId="5"/>
      <sheetData sheetId="6">
        <row r="938">
          <cell r="AY938">
            <v>97.175540388161437</v>
          </cell>
        </row>
        <row r="943">
          <cell r="AY943">
            <v>96.228364837670995</v>
          </cell>
        </row>
        <row r="944">
          <cell r="AY944">
            <v>96.553980410505062</v>
          </cell>
        </row>
        <row r="945">
          <cell r="AY945">
            <v>93.079827038319294</v>
          </cell>
        </row>
        <row r="946">
          <cell r="AY946">
            <v>95.367156437373168</v>
          </cell>
        </row>
      </sheetData>
      <sheetData sheetId="7">
        <row r="1029">
          <cell r="D1029">
            <v>17.3</v>
          </cell>
        </row>
      </sheetData>
      <sheetData sheetId="8">
        <row r="1001">
          <cell r="I1001">
            <v>100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. 3rd "/>
      <sheetName val="Jan. 4th"/>
      <sheetName val="Jan. 5th"/>
      <sheetName val="Jan. 6th"/>
      <sheetName val="Jan. 7th"/>
      <sheetName val="Jan. 8th "/>
      <sheetName val="Jan. 9th"/>
      <sheetName val="Jan. 10th"/>
      <sheetName val="Jan. 11th"/>
      <sheetName val="Jan. 12nd"/>
      <sheetName val="Jan. 13th"/>
      <sheetName val="Jan. 14th"/>
      <sheetName val="Jan. 17th"/>
      <sheetName val="Jan. 18th"/>
      <sheetName val="Jan. 19th "/>
      <sheetName val="Jan. 20th "/>
      <sheetName val="Jan. 21st "/>
      <sheetName val="Jan. 22nd "/>
      <sheetName val="Jan. 23rd"/>
      <sheetName val="Jan. 24th"/>
      <sheetName val="Jan. 25th "/>
      <sheetName val="Jan. 26th "/>
      <sheetName val="Jan. 27th"/>
      <sheetName val="Jan. 28th"/>
      <sheetName val="Jan. 29th"/>
      <sheetName val="Jan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M26"/>
        </row>
      </sheetData>
      <sheetData sheetId="26"/>
      <sheetData sheetId="27"/>
      <sheetData sheetId="28"/>
      <sheetData sheetId="29">
        <row r="40">
          <cell r="D40">
            <v>96.507822129582451</v>
          </cell>
        </row>
        <row r="41">
          <cell r="D41">
            <v>97.99738587335284</v>
          </cell>
        </row>
        <row r="43">
          <cell r="D43">
            <v>98.304611060419475</v>
          </cell>
        </row>
        <row r="44">
          <cell r="D44">
            <v>98.673584433402866</v>
          </cell>
        </row>
        <row r="45">
          <cell r="D45">
            <v>97.870850874189415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b. 1"/>
      <sheetName val="Feb. 2"/>
      <sheetName val="Feb.3"/>
      <sheetName val="Feb.4"/>
      <sheetName val="Feb.5"/>
      <sheetName val="Feb.6"/>
      <sheetName val="Feb.8"/>
      <sheetName val="Feb.9"/>
      <sheetName val="Feb10"/>
      <sheetName val="Feb11"/>
      <sheetName val="Feb14"/>
      <sheetName val="Feb16"/>
      <sheetName val="Feb17"/>
      <sheetName val="Feb18"/>
      <sheetName val="Feb19"/>
      <sheetName val="Feb 20"/>
      <sheetName val="Feb 21"/>
      <sheetName val="Feb 22"/>
      <sheetName val="Feb 23"/>
      <sheetName val="Feb 24"/>
      <sheetName val="Feb 25"/>
      <sheetName val="Feb 28"/>
      <sheetName val="MTD_Links"/>
      <sheetName val="YTD_Links"/>
      <sheetName val="KPIs"/>
      <sheetName val="Brewer Performance"/>
    </sheetNames>
    <sheetDataSet>
      <sheetData sheetId="0">
        <row r="10">
          <cell r="I10">
            <v>98.123184148666738</v>
          </cell>
        </row>
        <row r="11">
          <cell r="I11">
            <v>98.683467559299089</v>
          </cell>
        </row>
        <row r="12">
          <cell r="I12">
            <v>98.314511323292791</v>
          </cell>
        </row>
        <row r="13">
          <cell r="I13">
            <v>97.922547536667238</v>
          </cell>
        </row>
      </sheetData>
      <sheetData sheetId="1">
        <row r="10">
          <cell r="I10">
            <v>96.654039768784585</v>
          </cell>
        </row>
        <row r="11">
          <cell r="I11">
            <v>97.626897597506286</v>
          </cell>
        </row>
        <row r="12">
          <cell r="I12">
            <v>96.897954070494137</v>
          </cell>
        </row>
        <row r="13">
          <cell r="I13">
            <v>97.197790342769324</v>
          </cell>
        </row>
        <row r="14">
          <cell r="I14">
            <v>126.64369016344237</v>
          </cell>
        </row>
        <row r="15">
          <cell r="I15">
            <v>96.838505772060998</v>
          </cell>
        </row>
      </sheetData>
      <sheetData sheetId="2">
        <row r="10">
          <cell r="I10">
            <v>93.401228986840337</v>
          </cell>
        </row>
        <row r="11">
          <cell r="I11">
            <v>98.002281531234885</v>
          </cell>
        </row>
        <row r="12">
          <cell r="I12">
            <v>98.835486091836955</v>
          </cell>
        </row>
        <row r="13">
          <cell r="I13">
            <v>98.759890407896819</v>
          </cell>
        </row>
      </sheetData>
      <sheetData sheetId="3">
        <row r="10">
          <cell r="I10">
            <v>99.702074763387657</v>
          </cell>
        </row>
        <row r="11">
          <cell r="I11">
            <v>100.90814824842866</v>
          </cell>
        </row>
        <row r="12">
          <cell r="I12">
            <v>99.144516581875834</v>
          </cell>
        </row>
        <row r="13">
          <cell r="I13">
            <v>98.812178600360937</v>
          </cell>
        </row>
        <row r="16">
          <cell r="I16">
            <v>93.753343561859964</v>
          </cell>
        </row>
        <row r="17">
          <cell r="I17">
            <v>97.360391272612617</v>
          </cell>
        </row>
      </sheetData>
      <sheetData sheetId="4"/>
      <sheetData sheetId="5"/>
      <sheetData sheetId="6">
        <row r="10">
          <cell r="I10">
            <v>94.68833319503716</v>
          </cell>
        </row>
        <row r="13">
          <cell r="I13">
            <v>98.850612416982429</v>
          </cell>
        </row>
        <row r="14">
          <cell r="I14">
            <v>98.168169114883824</v>
          </cell>
        </row>
        <row r="15">
          <cell r="I15">
            <v>98.688171350132521</v>
          </cell>
        </row>
        <row r="16">
          <cell r="I16">
            <v>100.71464055677211</v>
          </cell>
        </row>
        <row r="19">
          <cell r="I19">
            <v>96.029058348682</v>
          </cell>
        </row>
        <row r="20">
          <cell r="I20">
            <v>98.795135429785148</v>
          </cell>
        </row>
        <row r="21">
          <cell r="I21">
            <v>98.899033336355927</v>
          </cell>
        </row>
      </sheetData>
      <sheetData sheetId="7">
        <row r="10">
          <cell r="I10">
            <v>99.276637163611909</v>
          </cell>
        </row>
        <row r="11">
          <cell r="I11">
            <v>97.944376518529467</v>
          </cell>
        </row>
        <row r="12">
          <cell r="I12">
            <v>99.66217750211139</v>
          </cell>
        </row>
        <row r="13">
          <cell r="I13">
            <v>97.944376518529467</v>
          </cell>
        </row>
        <row r="14">
          <cell r="I14">
            <v>98.891096825112442</v>
          </cell>
        </row>
        <row r="17">
          <cell r="I17">
            <v>96.699606498403327</v>
          </cell>
        </row>
        <row r="18">
          <cell r="I18">
            <v>98.974669332616003</v>
          </cell>
        </row>
        <row r="19">
          <cell r="I19">
            <v>98.813320450261855</v>
          </cell>
        </row>
        <row r="20">
          <cell r="I20">
            <v>98.773909354253703</v>
          </cell>
        </row>
      </sheetData>
      <sheetData sheetId="8">
        <row r="10">
          <cell r="I10">
            <v>96.114465070299261</v>
          </cell>
        </row>
        <row r="11">
          <cell r="I11">
            <v>98.703671213689944</v>
          </cell>
        </row>
        <row r="12">
          <cell r="I12">
            <v>100.02066383926034</v>
          </cell>
        </row>
        <row r="13">
          <cell r="I13">
            <v>98.477044369894685</v>
          </cell>
        </row>
        <row r="14">
          <cell r="I14">
            <v>98.898737757590524</v>
          </cell>
        </row>
        <row r="15">
          <cell r="I15">
            <v>98.824177713880189</v>
          </cell>
        </row>
        <row r="16">
          <cell r="I16">
            <v>98.590372337038914</v>
          </cell>
        </row>
        <row r="17">
          <cell r="I17">
            <v>98.637973628130041</v>
          </cell>
        </row>
        <row r="18">
          <cell r="I18">
            <v>98.892528564617351</v>
          </cell>
        </row>
      </sheetData>
      <sheetData sheetId="9">
        <row r="10">
          <cell r="I10">
            <v>95.033114450535422</v>
          </cell>
        </row>
        <row r="11">
          <cell r="I11">
            <v>95.97632563766723</v>
          </cell>
        </row>
        <row r="12">
          <cell r="I12">
            <v>95.15577872519269</v>
          </cell>
        </row>
        <row r="13">
          <cell r="I13">
            <v>94.716849623972706</v>
          </cell>
        </row>
      </sheetData>
      <sheetData sheetId="10">
        <row r="10">
          <cell r="I10">
            <v>93.262012146617025</v>
          </cell>
        </row>
        <row r="11">
          <cell r="I11">
            <v>96.51966443717626</v>
          </cell>
        </row>
        <row r="12">
          <cell r="I12">
            <v>96.420162775074274</v>
          </cell>
        </row>
        <row r="13">
          <cell r="I13">
            <v>94.850777050345258</v>
          </cell>
        </row>
        <row r="14">
          <cell r="I14">
            <v>93.11184471354899</v>
          </cell>
        </row>
        <row r="15">
          <cell r="I15">
            <v>95.233332316878489</v>
          </cell>
        </row>
        <row r="16">
          <cell r="I16">
            <v>96.557005255666269</v>
          </cell>
        </row>
        <row r="17">
          <cell r="I17">
            <v>90.296683351916798</v>
          </cell>
        </row>
      </sheetData>
      <sheetData sheetId="11"/>
      <sheetData sheetId="12">
        <row r="10">
          <cell r="I10">
            <v>96.248353016017901</v>
          </cell>
        </row>
        <row r="11">
          <cell r="I11">
            <v>97.064511461322596</v>
          </cell>
        </row>
        <row r="12">
          <cell r="I12">
            <v>97.960588310011829</v>
          </cell>
        </row>
        <row r="13">
          <cell r="I13">
            <v>101.64563062243221</v>
          </cell>
        </row>
        <row r="16">
          <cell r="I16">
            <v>97.148656534767667</v>
          </cell>
        </row>
        <row r="17">
          <cell r="I17">
            <v>101.13282706862702</v>
          </cell>
        </row>
        <row r="18">
          <cell r="I18">
            <v>98.859340325604236</v>
          </cell>
        </row>
        <row r="19">
          <cell r="I19">
            <v>97.671892686767549</v>
          </cell>
        </row>
        <row r="20">
          <cell r="I20">
            <v>97.795650965100123</v>
          </cell>
        </row>
        <row r="21">
          <cell r="I21">
            <v>97.549177275509706</v>
          </cell>
        </row>
      </sheetData>
      <sheetData sheetId="13">
        <row r="10">
          <cell r="I10">
            <v>90.812413514896079</v>
          </cell>
        </row>
        <row r="11">
          <cell r="I11">
            <v>94.886065993628819</v>
          </cell>
        </row>
        <row r="12">
          <cell r="I12">
            <v>94.665038526850267</v>
          </cell>
        </row>
        <row r="13">
          <cell r="I13">
            <v>95.386395261799493</v>
          </cell>
        </row>
        <row r="14">
          <cell r="I14">
            <v>95.746555809018503</v>
          </cell>
        </row>
        <row r="15">
          <cell r="I15">
            <v>96.458811263569714</v>
          </cell>
        </row>
      </sheetData>
      <sheetData sheetId="14"/>
      <sheetData sheetId="15"/>
      <sheetData sheetId="16">
        <row r="10">
          <cell r="I10">
            <v>92.244154059965609</v>
          </cell>
        </row>
        <row r="11">
          <cell r="I11">
            <v>94.954580288699233</v>
          </cell>
        </row>
        <row r="12">
          <cell r="I12">
            <v>94.753648792324014</v>
          </cell>
        </row>
        <row r="13">
          <cell r="I13">
            <v>95.469672057516448</v>
          </cell>
        </row>
        <row r="16">
          <cell r="I16">
            <v>95.037629150459026</v>
          </cell>
        </row>
        <row r="17">
          <cell r="I17">
            <v>98.344635577363221</v>
          </cell>
        </row>
        <row r="18">
          <cell r="I18">
            <v>96.201930897199915</v>
          </cell>
        </row>
        <row r="19">
          <cell r="I19">
            <v>97.455737205534618</v>
          </cell>
        </row>
      </sheetData>
      <sheetData sheetId="17">
        <row r="10">
          <cell r="I10">
            <v>95.737170130083328</v>
          </cell>
        </row>
        <row r="11">
          <cell r="I11">
            <v>97.204145011682172</v>
          </cell>
        </row>
        <row r="12">
          <cell r="I12">
            <v>97.795650965100123</v>
          </cell>
        </row>
        <row r="13">
          <cell r="I13">
            <v>92.179060669436268</v>
          </cell>
        </row>
        <row r="16">
          <cell r="I16">
            <v>100.56180946337685</v>
          </cell>
        </row>
        <row r="17">
          <cell r="I17">
            <v>98.418170009595116</v>
          </cell>
        </row>
        <row r="18">
          <cell r="I18">
            <v>101.75209232957572</v>
          </cell>
        </row>
        <row r="19">
          <cell r="I19">
            <v>101.90982815614709</v>
          </cell>
        </row>
        <row r="20">
          <cell r="I20">
            <v>98.645399167542877</v>
          </cell>
        </row>
        <row r="21">
          <cell r="I21">
            <v>98.019248385454901</v>
          </cell>
        </row>
        <row r="22">
          <cell r="I22">
            <v>97.631897441591931</v>
          </cell>
        </row>
      </sheetData>
      <sheetData sheetId="18">
        <row r="10">
          <cell r="I10">
            <v>96.330365427788195</v>
          </cell>
        </row>
        <row r="11">
          <cell r="I11">
            <v>96.377132884428931</v>
          </cell>
        </row>
        <row r="14">
          <cell r="I14">
            <v>93.488258370937686</v>
          </cell>
        </row>
        <row r="15">
          <cell r="I15">
            <v>100.81408999243216</v>
          </cell>
        </row>
        <row r="16">
          <cell r="I16">
            <v>98.251697811855152</v>
          </cell>
        </row>
        <row r="17">
          <cell r="I17">
            <v>98.260907082704051</v>
          </cell>
        </row>
        <row r="18">
          <cell r="I18">
            <v>97.874813145247458</v>
          </cell>
        </row>
        <row r="19">
          <cell r="I19">
            <v>96.443322942180714</v>
          </cell>
        </row>
        <row r="20">
          <cell r="I20">
            <v>95.376782036144007</v>
          </cell>
        </row>
        <row r="21">
          <cell r="I21">
            <v>97.722861589047369</v>
          </cell>
        </row>
      </sheetData>
      <sheetData sheetId="19">
        <row r="10">
          <cell r="I10">
            <v>97.344774780858927</v>
          </cell>
        </row>
        <row r="11">
          <cell r="I11">
            <v>99.938000539259747</v>
          </cell>
        </row>
        <row r="12">
          <cell r="I12">
            <v>99.148955916989195</v>
          </cell>
        </row>
        <row r="15">
          <cell r="I15">
            <v>92.353930064406839</v>
          </cell>
        </row>
        <row r="16">
          <cell r="I16">
            <v>97.682055444668023</v>
          </cell>
        </row>
        <row r="17">
          <cell r="I17">
            <v>97.162594227257927</v>
          </cell>
        </row>
        <row r="18">
          <cell r="I18">
            <v>97.082444613255419</v>
          </cell>
        </row>
      </sheetData>
      <sheetData sheetId="20">
        <row r="10">
          <cell r="I10">
            <v>97.743444227837671</v>
          </cell>
        </row>
        <row r="11">
          <cell r="I11">
            <v>100.62303370508012</v>
          </cell>
        </row>
        <row r="12">
          <cell r="I12">
            <v>100.32085756447438</v>
          </cell>
        </row>
        <row r="13">
          <cell r="I13">
            <v>102.21334912318227</v>
          </cell>
        </row>
        <row r="14">
          <cell r="I14">
            <v>102.22340004631398</v>
          </cell>
        </row>
        <row r="15">
          <cell r="I15">
            <v>100.71268145494867</v>
          </cell>
        </row>
        <row r="16">
          <cell r="I16">
            <v>101.60819946880315</v>
          </cell>
        </row>
        <row r="17">
          <cell r="I17">
            <v>99.513054708255964</v>
          </cell>
        </row>
      </sheetData>
      <sheetData sheetId="21">
        <row r="10">
          <cell r="I10">
            <v>95.66367132027942</v>
          </cell>
        </row>
        <row r="11">
          <cell r="I11">
            <v>102.17092463684476</v>
          </cell>
        </row>
        <row r="12">
          <cell r="I12">
            <v>99.720751788720221</v>
          </cell>
        </row>
        <row r="13">
          <cell r="I13">
            <v>99.964453799637965</v>
          </cell>
        </row>
        <row r="14">
          <cell r="I14">
            <v>100.66118230226407</v>
          </cell>
        </row>
        <row r="15">
          <cell r="I15">
            <v>99.195496462717671</v>
          </cell>
        </row>
        <row r="16">
          <cell r="I16">
            <v>100.31967295635533</v>
          </cell>
        </row>
        <row r="17">
          <cell r="I17">
            <v>99.988679850652673</v>
          </cell>
        </row>
        <row r="18">
          <cell r="I18">
            <v>99.769922769334443</v>
          </cell>
        </row>
        <row r="19">
          <cell r="I19">
            <v>100.72177330021805</v>
          </cell>
        </row>
        <row r="20">
          <cell r="I20">
            <v>100.21013716886533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3rd"/>
      <sheetName val="May 4th"/>
      <sheetName val="May 5th "/>
      <sheetName val="May 6th"/>
      <sheetName val="May 9th"/>
      <sheetName val="May 10th"/>
      <sheetName val="May 11th"/>
      <sheetName val="May 12th"/>
      <sheetName val="May 13th "/>
      <sheetName val="May 16th"/>
      <sheetName val="May 17th "/>
      <sheetName val="May 18th "/>
      <sheetName val="May 19th  "/>
      <sheetName val="May 20th  "/>
      <sheetName val="May 21st"/>
      <sheetName val="May 23rd"/>
      <sheetName val="May 24th"/>
      <sheetName val="May 25th "/>
      <sheetName val="May 26th  "/>
      <sheetName val="May 27th "/>
      <sheetName val="May 30th "/>
      <sheetName val="Ma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0">
          <cell r="L40">
            <v>98.589991376020791</v>
          </cell>
        </row>
      </sheetData>
      <sheetData sheetId="22"/>
      <sheetData sheetId="23"/>
      <sheetData sheetId="24"/>
      <sheetData sheetId="25">
        <row r="40">
          <cell r="H40">
            <v>98.517352497406634</v>
          </cell>
        </row>
        <row r="41">
          <cell r="H41">
            <v>98.442574874312371</v>
          </cell>
        </row>
        <row r="43">
          <cell r="H43">
            <v>98.685415156420575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6E5198-E2A5-4551-BF7A-1C645E8B97FA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jTvk0IGNsCs061P7O_mj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8A64-1E4B-4795-93AF-1113C3B47C6F}">
  <sheetPr codeName="Sheet1">
    <pageSetUpPr fitToPage="1"/>
  </sheetPr>
  <dimension ref="A1:BF110"/>
  <sheetViews>
    <sheetView zoomScale="80" zoomScaleNormal="80" workbookViewId="0">
      <selection activeCell="G90" sqref="G90"/>
    </sheetView>
  </sheetViews>
  <sheetFormatPr defaultColWidth="9.42578125" defaultRowHeight="14.25"/>
  <cols>
    <col min="1" max="1" width="3.42578125" style="275" customWidth="1"/>
    <col min="2" max="2" width="20.7109375" style="275" customWidth="1"/>
    <col min="3" max="3" width="13.42578125" style="275" customWidth="1"/>
    <col min="4" max="4" width="11.5703125" style="275" customWidth="1"/>
    <col min="5" max="5" width="12.42578125" style="275" customWidth="1"/>
    <col min="6" max="6" width="11.42578125" style="275" customWidth="1"/>
    <col min="7" max="7" width="13.42578125" style="275" customWidth="1"/>
    <col min="8" max="8" width="12.42578125" style="275" customWidth="1"/>
    <col min="9" max="9" width="17.5703125" style="275" customWidth="1"/>
    <col min="10" max="10" width="25.28515625" style="275" customWidth="1"/>
    <col min="11" max="11" width="18.5703125" style="275" customWidth="1"/>
    <col min="12" max="12" width="15.7109375" style="275" customWidth="1"/>
    <col min="13" max="13" width="27.5703125" style="275" customWidth="1"/>
    <col min="14" max="14" width="13.28515625" style="275" customWidth="1"/>
    <col min="15" max="15" width="19.42578125" style="275" customWidth="1"/>
    <col min="16" max="16" width="36.5703125" style="6" customWidth="1"/>
    <col min="17" max="17" width="14" style="275" hidden="1" customWidth="1"/>
    <col min="18" max="18" width="16.5703125" style="275" customWidth="1"/>
    <col min="19" max="19" width="15.7109375" style="275" bestFit="1" customWidth="1"/>
    <col min="20" max="20" width="12.42578125" style="275" customWidth="1"/>
    <col min="21" max="21" width="15" style="275" customWidth="1"/>
    <col min="22" max="22" width="12" style="275" customWidth="1"/>
    <col min="23" max="23" width="10.42578125" style="275" customWidth="1"/>
    <col min="24" max="24" width="11.42578125" style="275" customWidth="1"/>
    <col min="25" max="25" width="10.42578125" style="275" customWidth="1"/>
    <col min="26" max="26" width="8.42578125" style="275" customWidth="1"/>
    <col min="27" max="27" width="9.5703125" style="275" customWidth="1"/>
    <col min="28" max="28" width="8.42578125" style="275" customWidth="1"/>
    <col min="29" max="30" width="7.5703125" style="275" customWidth="1"/>
    <col min="31" max="52" width="9.42578125" style="275"/>
    <col min="53" max="53" width="1.5703125" style="275" customWidth="1"/>
    <col min="54" max="55" width="9.42578125" style="275"/>
    <col min="56" max="57" width="15.42578125" style="275" customWidth="1"/>
    <col min="58" max="16384" width="9.42578125" style="275"/>
  </cols>
  <sheetData>
    <row r="1" spans="2:30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95" t="s">
        <v>0</v>
      </c>
      <c r="U1" s="595"/>
      <c r="V1" s="595" t="s">
        <v>1</v>
      </c>
      <c r="W1" s="595"/>
      <c r="X1" s="595" t="s">
        <v>2</v>
      </c>
      <c r="Y1" s="595"/>
      <c r="Z1" s="595" t="s">
        <v>124</v>
      </c>
      <c r="AA1" s="595"/>
    </row>
    <row r="2" spans="2:30" ht="15">
      <c r="B2" s="513" t="s">
        <v>3</v>
      </c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516">
        <v>45278</v>
      </c>
      <c r="D4" s="516"/>
      <c r="J4" s="601" t="s">
        <v>153</v>
      </c>
      <c r="K4" s="601"/>
      <c r="L4" s="11"/>
      <c r="M4" s="510" t="s">
        <v>8</v>
      </c>
      <c r="N4" s="511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602"/>
      <c r="K5" s="602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596" t="s">
        <v>151</v>
      </c>
      <c r="K6" s="597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3">
        <v>0</v>
      </c>
      <c r="AA6" s="274"/>
      <c r="AB6" s="13"/>
      <c r="AC6" s="13"/>
      <c r="AD6" s="13"/>
    </row>
    <row r="7" spans="2:30" ht="13.35" customHeight="1" thickBot="1">
      <c r="J7" s="598"/>
      <c r="K7" s="599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517" t="s">
        <v>17</v>
      </c>
      <c r="C8" s="519" t="s">
        <v>18</v>
      </c>
      <c r="D8" s="519" t="s">
        <v>19</v>
      </c>
      <c r="E8" s="356" t="s">
        <v>20</v>
      </c>
      <c r="F8" s="356" t="s">
        <v>21</v>
      </c>
      <c r="G8" s="519" t="s">
        <v>22</v>
      </c>
      <c r="H8" s="520" t="s">
        <v>144</v>
      </c>
      <c r="I8" s="519" t="s">
        <v>152</v>
      </c>
      <c r="J8" s="522" t="s">
        <v>23</v>
      </c>
      <c r="K8" s="524" t="s">
        <v>142</v>
      </c>
      <c r="L8" s="526" t="s">
        <v>24</v>
      </c>
      <c r="M8" s="359" t="s">
        <v>25</v>
      </c>
      <c r="N8" s="17" t="s">
        <v>26</v>
      </c>
      <c r="O8" s="519"/>
      <c r="P8" s="566" t="s">
        <v>28</v>
      </c>
      <c r="Q8" s="585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3">
        <v>0</v>
      </c>
      <c r="AA8" s="274"/>
      <c r="AB8" s="19"/>
    </row>
    <row r="9" spans="2:30" ht="34.5" customHeight="1">
      <c r="B9" s="518"/>
      <c r="C9" s="515"/>
      <c r="D9" s="515"/>
      <c r="E9" s="357" t="s">
        <v>30</v>
      </c>
      <c r="F9" s="357" t="s">
        <v>31</v>
      </c>
      <c r="G9" s="515"/>
      <c r="H9" s="521"/>
      <c r="I9" s="515"/>
      <c r="J9" s="523"/>
      <c r="K9" s="525"/>
      <c r="L9" s="527"/>
      <c r="M9" s="20" t="s">
        <v>32</v>
      </c>
      <c r="N9" s="21" t="s">
        <v>41</v>
      </c>
      <c r="O9" s="515"/>
      <c r="P9" s="600"/>
      <c r="Q9" s="586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3">
        <v>0</v>
      </c>
      <c r="AA9" s="274">
        <v>75</v>
      </c>
      <c r="AB9" s="19"/>
    </row>
    <row r="10" spans="2:30" ht="15.75" hidden="1" customHeight="1">
      <c r="B10" s="34"/>
      <c r="C10" s="366"/>
      <c r="D10" s="279"/>
      <c r="E10" s="279"/>
      <c r="F10" s="278"/>
      <c r="G10" s="279"/>
      <c r="H10" s="394"/>
      <c r="I10" s="368"/>
      <c r="J10" s="368"/>
      <c r="K10" s="281"/>
      <c r="L10" s="276"/>
      <c r="M10" s="395"/>
      <c r="N10" s="370"/>
      <c r="O10" s="371"/>
      <c r="P10" s="375"/>
      <c r="Q10" s="347"/>
      <c r="S10" s="277">
        <f t="shared" ref="S10:S47" si="0">B10</f>
        <v>0</v>
      </c>
      <c r="T10" s="296" t="e">
        <f t="shared" ref="T10:T47" si="1">VLOOKUP($B10,$S$3:$Y$9,2,FALSE)</f>
        <v>#N/A</v>
      </c>
      <c r="U10" s="296" t="e">
        <f t="shared" ref="U10:U47" si="2">VLOOKUP($B10,$S$3:$Y$9,3,FALSE)</f>
        <v>#N/A</v>
      </c>
      <c r="V10" s="297" t="e">
        <f t="shared" ref="V10:V47" si="3">VLOOKUP($B10,$S$3:$Y$9,4,FALSE)</f>
        <v>#N/A</v>
      </c>
      <c r="W10" s="297" t="e">
        <f t="shared" ref="W10:W47" si="4">VLOOKUP($B10,$S$3:$Y$9,5,FALSE)</f>
        <v>#N/A</v>
      </c>
      <c r="X10" s="297" t="e">
        <f t="shared" ref="X10:X47" si="5">VLOOKUP($B10,$S$3:$Y$9,6,FALSE)</f>
        <v>#N/A</v>
      </c>
      <c r="Y10" s="297" t="e">
        <f t="shared" ref="Y10:Y47" si="6">VLOOKUP($B10,$S$3:$Y$9,7,FALSE)</f>
        <v>#N/A</v>
      </c>
      <c r="Z10" s="297" t="e">
        <f t="shared" ref="Z10:Z47" si="7">VLOOKUP($B10,$S$3:$AA$9,8,FALSE)</f>
        <v>#N/A</v>
      </c>
      <c r="AA10" s="296" t="e">
        <f t="shared" ref="AA10:AA47" si="8">VLOOKUP($B10,$S$3:$AA$9,9,FALSE)</f>
        <v>#N/A</v>
      </c>
    </row>
    <row r="11" spans="2:30" ht="15" hidden="1">
      <c r="B11" s="34"/>
      <c r="C11" s="366"/>
      <c r="D11" s="279"/>
      <c r="E11" s="279"/>
      <c r="F11" s="278"/>
      <c r="G11" s="279"/>
      <c r="H11" s="394"/>
      <c r="I11" s="368"/>
      <c r="J11" s="368"/>
      <c r="K11" s="281"/>
      <c r="L11" s="276"/>
      <c r="M11" s="395"/>
      <c r="N11" s="370"/>
      <c r="O11" s="371"/>
      <c r="P11" s="369"/>
      <c r="Q11" s="347"/>
      <c r="S11" s="277">
        <f t="shared" si="0"/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5" hidden="1">
      <c r="B12" s="34"/>
      <c r="C12" s="366"/>
      <c r="D12" s="279"/>
      <c r="E12" s="279"/>
      <c r="F12" s="278"/>
      <c r="G12" s="279"/>
      <c r="H12" s="394"/>
      <c r="I12" s="368"/>
      <c r="J12" s="368"/>
      <c r="K12" s="281"/>
      <c r="L12" s="276"/>
      <c r="M12" s="395"/>
      <c r="N12" s="370"/>
      <c r="O12" s="371"/>
      <c r="P12" s="369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hidden="1" customHeight="1">
      <c r="B13" s="393"/>
      <c r="C13" s="366"/>
      <c r="D13" s="279"/>
      <c r="E13" s="279"/>
      <c r="F13" s="278"/>
      <c r="G13" s="279"/>
      <c r="H13" s="394"/>
      <c r="I13" s="368"/>
      <c r="J13" s="368"/>
      <c r="K13" s="281"/>
      <c r="L13" s="276"/>
      <c r="M13" s="395"/>
      <c r="N13" s="370"/>
      <c r="O13" s="371"/>
      <c r="P13" s="375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hidden="1" customHeight="1">
      <c r="B14" s="34"/>
      <c r="C14" s="366"/>
      <c r="D14" s="279"/>
      <c r="E14" s="279"/>
      <c r="F14" s="278"/>
      <c r="G14" s="279"/>
      <c r="H14" s="394"/>
      <c r="I14" s="368"/>
      <c r="J14" s="368"/>
      <c r="K14" s="281"/>
      <c r="L14" s="276"/>
      <c r="M14" s="395"/>
      <c r="N14" s="370"/>
      <c r="O14" s="371"/>
      <c r="P14" s="375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hidden="1" customHeight="1">
      <c r="B15" s="373"/>
      <c r="C15" s="366"/>
      <c r="D15" s="279"/>
      <c r="E15" s="279"/>
      <c r="F15" s="278"/>
      <c r="G15" s="383"/>
      <c r="H15" s="367"/>
      <c r="I15" s="368"/>
      <c r="J15" s="368"/>
      <c r="K15" s="281"/>
      <c r="L15" s="276"/>
      <c r="M15" s="374"/>
      <c r="N15" s="370"/>
      <c r="O15" s="371"/>
      <c r="P15" s="375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hidden="1" customHeight="1">
      <c r="B16" s="373"/>
      <c r="C16" s="366"/>
      <c r="D16" s="279"/>
      <c r="E16" s="279"/>
      <c r="F16" s="278"/>
      <c r="G16" s="383"/>
      <c r="H16" s="367"/>
      <c r="I16" s="368"/>
      <c r="J16" s="368"/>
      <c r="K16" s="281"/>
      <c r="L16" s="276"/>
      <c r="M16" s="374"/>
      <c r="N16" s="370"/>
      <c r="O16" s="371"/>
      <c r="P16" s="375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5.75" hidden="1" customHeight="1">
      <c r="B17" s="373"/>
      <c r="C17" s="366"/>
      <c r="D17" s="279"/>
      <c r="E17" s="279"/>
      <c r="F17" s="278"/>
      <c r="G17" s="383"/>
      <c r="H17" s="367"/>
      <c r="I17" s="368"/>
      <c r="J17" s="368"/>
      <c r="K17" s="281"/>
      <c r="L17" s="276"/>
      <c r="M17" s="374"/>
      <c r="N17" s="370"/>
      <c r="O17" s="371"/>
      <c r="P17" s="375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5.75" hidden="1" customHeight="1">
      <c r="B18" s="373"/>
      <c r="C18" s="366"/>
      <c r="D18" s="279"/>
      <c r="E18" s="279"/>
      <c r="F18" s="278"/>
      <c r="G18" s="383"/>
      <c r="H18" s="367"/>
      <c r="I18" s="368"/>
      <c r="J18" s="368"/>
      <c r="K18" s="281"/>
      <c r="L18" s="276"/>
      <c r="M18" s="374"/>
      <c r="N18" s="370"/>
      <c r="O18" s="371"/>
      <c r="P18" s="375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2:27" ht="15.75" hidden="1" customHeight="1">
      <c r="B19" s="373"/>
      <c r="C19" s="366"/>
      <c r="D19" s="279"/>
      <c r="E19" s="279"/>
      <c r="F19" s="278"/>
      <c r="G19" s="383"/>
      <c r="H19" s="367"/>
      <c r="I19" s="368"/>
      <c r="J19" s="368"/>
      <c r="K19" s="281"/>
      <c r="L19" s="276"/>
      <c r="M19" s="374"/>
      <c r="N19" s="370"/>
      <c r="O19" s="371"/>
      <c r="P19" s="375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5.75" hidden="1" customHeight="1">
      <c r="B20" s="373"/>
      <c r="C20" s="366"/>
      <c r="D20" s="279"/>
      <c r="E20" s="279"/>
      <c r="F20" s="278"/>
      <c r="G20" s="383"/>
      <c r="H20" s="367"/>
      <c r="I20" s="368"/>
      <c r="J20" s="368"/>
      <c r="K20" s="281"/>
      <c r="L20" s="276"/>
      <c r="M20" s="374"/>
      <c r="N20" s="370"/>
      <c r="O20" s="371"/>
      <c r="P20" s="375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5.75" hidden="1" customHeight="1">
      <c r="B21" s="373"/>
      <c r="C21" s="366"/>
      <c r="D21" s="279"/>
      <c r="E21" s="279"/>
      <c r="F21" s="278"/>
      <c r="G21" s="383"/>
      <c r="H21" s="367"/>
      <c r="I21" s="368"/>
      <c r="J21" s="368"/>
      <c r="K21" s="281"/>
      <c r="L21" s="276"/>
      <c r="M21" s="374"/>
      <c r="N21" s="370"/>
      <c r="O21" s="371"/>
      <c r="P21" s="375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5.75" hidden="1" customHeight="1">
      <c r="B22" s="373"/>
      <c r="C22" s="366"/>
      <c r="D22" s="279"/>
      <c r="E22" s="279"/>
      <c r="F22" s="278"/>
      <c r="G22" s="383"/>
      <c r="H22" s="367"/>
      <c r="I22" s="368"/>
      <c r="J22" s="368"/>
      <c r="K22" s="281"/>
      <c r="L22" s="276"/>
      <c r="M22" s="374"/>
      <c r="N22" s="370"/>
      <c r="O22" s="371"/>
      <c r="P22" s="375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5.75" hidden="1" customHeight="1">
      <c r="B23" s="373"/>
      <c r="C23" s="366"/>
      <c r="D23" s="279"/>
      <c r="E23" s="279"/>
      <c r="F23" s="278"/>
      <c r="G23" s="383"/>
      <c r="H23" s="367"/>
      <c r="I23" s="368"/>
      <c r="J23" s="368"/>
      <c r="K23" s="281"/>
      <c r="L23" s="276"/>
      <c r="M23" s="374"/>
      <c r="N23" s="370"/>
      <c r="O23" s="371"/>
      <c r="P23" s="375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5.75" hidden="1" customHeight="1">
      <c r="B24" s="373"/>
      <c r="C24" s="366"/>
      <c r="D24" s="279"/>
      <c r="E24" s="279"/>
      <c r="F24" s="278"/>
      <c r="G24" s="383"/>
      <c r="H24" s="367"/>
      <c r="I24" s="368"/>
      <c r="J24" s="368"/>
      <c r="K24" s="281"/>
      <c r="L24" s="276"/>
      <c r="M24" s="374"/>
      <c r="N24" s="370"/>
      <c r="O24" s="371"/>
      <c r="P24" s="375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5.75" hidden="1" customHeight="1">
      <c r="B25" s="373"/>
      <c r="C25" s="366"/>
      <c r="D25" s="279"/>
      <c r="E25" s="279"/>
      <c r="F25" s="278"/>
      <c r="G25" s="383"/>
      <c r="H25" s="367"/>
      <c r="I25" s="368"/>
      <c r="J25" s="368"/>
      <c r="K25" s="281"/>
      <c r="L25" s="276"/>
      <c r="M25" s="374"/>
      <c r="N25" s="370"/>
      <c r="O25" s="371"/>
      <c r="P25" s="375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5.75" hidden="1" customHeight="1">
      <c r="B26" s="373"/>
      <c r="C26" s="366"/>
      <c r="D26" s="279"/>
      <c r="E26" s="279"/>
      <c r="F26" s="278"/>
      <c r="G26" s="383"/>
      <c r="H26" s="367"/>
      <c r="I26" s="368"/>
      <c r="J26" s="368"/>
      <c r="K26" s="281"/>
      <c r="L26" s="276"/>
      <c r="M26" s="374"/>
      <c r="N26" s="370"/>
      <c r="O26" s="371"/>
      <c r="P26" s="375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5" hidden="1">
      <c r="B27" s="373"/>
      <c r="C27" s="366"/>
      <c r="D27" s="279"/>
      <c r="E27" s="279"/>
      <c r="F27" s="278"/>
      <c r="G27" s="383"/>
      <c r="H27" s="367"/>
      <c r="I27" s="368"/>
      <c r="J27" s="368"/>
      <c r="K27" s="281"/>
      <c r="L27" s="276"/>
      <c r="M27" s="374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5" hidden="1">
      <c r="B28" s="373"/>
      <c r="C28" s="366"/>
      <c r="D28" s="279"/>
      <c r="E28" s="279"/>
      <c r="F28" s="278"/>
      <c r="G28" s="383"/>
      <c r="H28" s="367"/>
      <c r="I28" s="368"/>
      <c r="J28" s="368"/>
      <c r="K28" s="281"/>
      <c r="L28" s="276"/>
      <c r="M28" s="374"/>
      <c r="N28" s="370"/>
      <c r="O28" s="371"/>
      <c r="P28" s="369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5" hidden="1">
      <c r="B29" s="373"/>
      <c r="C29" s="366"/>
      <c r="D29" s="279"/>
      <c r="E29" s="279"/>
      <c r="F29" s="278"/>
      <c r="G29" s="383"/>
      <c r="H29" s="367"/>
      <c r="I29" s="368"/>
      <c r="J29" s="368"/>
      <c r="K29" s="392"/>
      <c r="L29" s="276"/>
      <c r="M29" s="374"/>
      <c r="N29" s="370"/>
      <c r="O29" s="371"/>
      <c r="P29" s="369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5" hidden="1">
      <c r="B30" s="373"/>
      <c r="C30" s="366"/>
      <c r="D30" s="279"/>
      <c r="E30" s="279"/>
      <c r="F30" s="278"/>
      <c r="G30" s="383"/>
      <c r="H30" s="367"/>
      <c r="I30" s="368"/>
      <c r="J30" s="368"/>
      <c r="K30" s="281"/>
      <c r="L30" s="276"/>
      <c r="M30" s="374"/>
      <c r="N30" s="370"/>
      <c r="O30" s="371"/>
      <c r="P30" s="369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5" hidden="1">
      <c r="B31" s="373"/>
      <c r="C31" s="366"/>
      <c r="D31" s="279"/>
      <c r="E31" s="279"/>
      <c r="F31" s="278"/>
      <c r="G31" s="383"/>
      <c r="H31" s="367"/>
      <c r="I31" s="368"/>
      <c r="J31" s="368"/>
      <c r="K31" s="281"/>
      <c r="L31" s="276"/>
      <c r="M31" s="374"/>
      <c r="N31" s="370"/>
      <c r="O31" s="371"/>
      <c r="P31" s="369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5" hidden="1">
      <c r="B32" s="373"/>
      <c r="C32" s="366"/>
      <c r="D32" s="279"/>
      <c r="E32" s="279"/>
      <c r="F32" s="278"/>
      <c r="G32" s="383"/>
      <c r="H32" s="367"/>
      <c r="I32" s="368"/>
      <c r="J32" s="368"/>
      <c r="K32" s="281"/>
      <c r="L32" s="276"/>
      <c r="M32" s="374"/>
      <c r="N32" s="370"/>
      <c r="O32" s="371"/>
      <c r="P32" s="369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5" hidden="1">
      <c r="B33" s="393"/>
      <c r="C33" s="366"/>
      <c r="D33" s="279"/>
      <c r="E33" s="279"/>
      <c r="F33" s="278"/>
      <c r="G33" s="279"/>
      <c r="H33" s="394"/>
      <c r="I33" s="368"/>
      <c r="J33" s="368"/>
      <c r="K33" s="281"/>
      <c r="L33" s="276"/>
      <c r="M33" s="395"/>
      <c r="N33" s="370"/>
      <c r="O33" s="371"/>
      <c r="P33" s="369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5" hidden="1">
      <c r="B34" s="393"/>
      <c r="C34" s="366"/>
      <c r="D34" s="279"/>
      <c r="E34" s="279"/>
      <c r="F34" s="278"/>
      <c r="G34" s="279"/>
      <c r="H34" s="394"/>
      <c r="I34" s="368"/>
      <c r="J34" s="368"/>
      <c r="K34" s="281"/>
      <c r="L34" s="276"/>
      <c r="M34" s="395"/>
      <c r="N34" s="370"/>
      <c r="O34" s="371"/>
      <c r="P34" s="369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5" hidden="1">
      <c r="B35" s="393"/>
      <c r="C35" s="366"/>
      <c r="D35" s="279"/>
      <c r="E35" s="279"/>
      <c r="F35" s="278"/>
      <c r="G35" s="279"/>
      <c r="H35" s="394"/>
      <c r="I35" s="368"/>
      <c r="J35" s="368"/>
      <c r="K35" s="281"/>
      <c r="L35" s="276"/>
      <c r="M35" s="395"/>
      <c r="N35" s="370"/>
      <c r="O35" s="371"/>
      <c r="P35" s="369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5" hidden="1">
      <c r="B36" s="393"/>
      <c r="C36" s="366"/>
      <c r="D36" s="279"/>
      <c r="E36" s="279"/>
      <c r="F36" s="278"/>
      <c r="G36" s="279"/>
      <c r="H36" s="394"/>
      <c r="I36" s="368"/>
      <c r="J36" s="368"/>
      <c r="K36" s="281"/>
      <c r="L36" s="276"/>
      <c r="M36" s="395"/>
      <c r="N36" s="370"/>
      <c r="O36" s="371"/>
      <c r="P36" s="369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5" hidden="1">
      <c r="B37" s="393"/>
      <c r="C37" s="366"/>
      <c r="D37" s="279"/>
      <c r="E37" s="279"/>
      <c r="F37" s="278"/>
      <c r="G37" s="279"/>
      <c r="H37" s="394"/>
      <c r="I37" s="368"/>
      <c r="J37" s="368"/>
      <c r="K37" s="281"/>
      <c r="L37" s="276"/>
      <c r="M37" s="395"/>
      <c r="N37" s="370"/>
      <c r="O37" s="371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5" hidden="1">
      <c r="B38" s="393"/>
      <c r="C38" s="366"/>
      <c r="D38" s="279"/>
      <c r="E38" s="279"/>
      <c r="F38" s="278"/>
      <c r="G38" s="279"/>
      <c r="H38" s="394"/>
      <c r="I38" s="368"/>
      <c r="J38" s="368"/>
      <c r="K38" s="281"/>
      <c r="L38" s="276"/>
      <c r="M38" s="395"/>
      <c r="N38" s="370"/>
      <c r="O38" s="371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5">
      <c r="B39" s="393"/>
      <c r="C39" s="366"/>
      <c r="D39" s="279"/>
      <c r="E39" s="279"/>
      <c r="F39" s="278"/>
      <c r="G39" s="279"/>
      <c r="H39" s="394"/>
      <c r="I39" s="368"/>
      <c r="J39" s="368"/>
      <c r="K39" s="281"/>
      <c r="L39" s="276"/>
      <c r="M39" s="395"/>
      <c r="N39" s="370"/>
      <c r="O39" s="371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5">
      <c r="B40" s="393"/>
      <c r="C40" s="366"/>
      <c r="D40" s="279"/>
      <c r="E40" s="279"/>
      <c r="F40" s="278"/>
      <c r="G40" s="279"/>
      <c r="H40" s="394"/>
      <c r="I40" s="368"/>
      <c r="J40" s="368"/>
      <c r="K40" s="281"/>
      <c r="L40" s="276"/>
      <c r="M40" s="395"/>
      <c r="N40" s="370"/>
      <c r="O40" s="371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5">
      <c r="B41" s="393"/>
      <c r="C41" s="366"/>
      <c r="D41" s="279"/>
      <c r="E41" s="279"/>
      <c r="F41" s="278"/>
      <c r="G41" s="279"/>
      <c r="H41" s="394"/>
      <c r="I41" s="368"/>
      <c r="J41" s="368"/>
      <c r="K41" s="281"/>
      <c r="L41" s="276"/>
      <c r="M41" s="395"/>
      <c r="N41" s="370"/>
      <c r="O41" s="371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5">
      <c r="B42" s="393"/>
      <c r="C42" s="366"/>
      <c r="D42" s="279"/>
      <c r="E42" s="279"/>
      <c r="F42" s="278"/>
      <c r="G42" s="279"/>
      <c r="H42" s="394"/>
      <c r="I42" s="368"/>
      <c r="J42" s="368"/>
      <c r="K42" s="281"/>
      <c r="L42" s="276"/>
      <c r="M42" s="395"/>
      <c r="N42" s="370"/>
      <c r="O42" s="371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5">
      <c r="B43" s="393"/>
      <c r="C43" s="366"/>
      <c r="D43" s="279"/>
      <c r="E43" s="279"/>
      <c r="F43" s="278"/>
      <c r="G43" s="279"/>
      <c r="H43" s="394"/>
      <c r="I43" s="368"/>
      <c r="J43" s="368"/>
      <c r="K43" s="281"/>
      <c r="L43" s="276"/>
      <c r="M43" s="395"/>
      <c r="N43" s="370"/>
      <c r="O43" s="371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5" hidden="1">
      <c r="B44" s="393"/>
      <c r="C44" s="366"/>
      <c r="D44" s="279"/>
      <c r="E44" s="279"/>
      <c r="F44" s="278"/>
      <c r="G44" s="279"/>
      <c r="H44" s="394"/>
      <c r="I44" s="368"/>
      <c r="J44" s="368"/>
      <c r="K44" s="281"/>
      <c r="L44" s="276"/>
      <c r="M44" s="395"/>
      <c r="N44" s="370"/>
      <c r="O44" s="371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5" hidden="1">
      <c r="B45" s="393"/>
      <c r="C45" s="366"/>
      <c r="D45" s="279"/>
      <c r="E45" s="279"/>
      <c r="F45" s="278"/>
      <c r="G45" s="279"/>
      <c r="H45" s="394"/>
      <c r="I45" s="368"/>
      <c r="J45" s="368"/>
      <c r="K45" s="281"/>
      <c r="L45" s="276"/>
      <c r="M45" s="395"/>
      <c r="N45" s="370"/>
      <c r="O45" s="371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5" hidden="1">
      <c r="B46" s="393"/>
      <c r="C46" s="366"/>
      <c r="D46" s="279"/>
      <c r="E46" s="279"/>
      <c r="F46" s="278"/>
      <c r="G46" s="279"/>
      <c r="H46" s="394"/>
      <c r="I46" s="368"/>
      <c r="J46" s="368"/>
      <c r="K46" s="281"/>
      <c r="L46" s="276"/>
      <c r="M46" s="395"/>
      <c r="N46" s="370"/>
      <c r="O46" s="371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5" hidden="1">
      <c r="B47" s="373"/>
      <c r="C47" s="366"/>
      <c r="D47" s="279"/>
      <c r="E47" s="279"/>
      <c r="F47" s="278"/>
      <c r="G47" s="383"/>
      <c r="H47" s="367"/>
      <c r="I47" s="368"/>
      <c r="J47" s="368"/>
      <c r="K47" s="281"/>
      <c r="L47" s="276"/>
      <c r="M47" s="374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customHeight="1" thickBot="1">
      <c r="B48" s="358"/>
      <c r="C48" s="358"/>
      <c r="D48" s="358"/>
      <c r="E48" s="358"/>
      <c r="F48" s="294"/>
      <c r="G48" s="294"/>
      <c r="H48" s="348"/>
      <c r="I48" s="528" t="s">
        <v>34</v>
      </c>
      <c r="J48" s="528"/>
      <c r="K48" s="528"/>
      <c r="L48" s="528"/>
      <c r="M48" s="528"/>
      <c r="N48" s="528"/>
      <c r="O48" s="1"/>
      <c r="P48" s="12"/>
      <c r="S48" s="277"/>
      <c r="T48" s="296"/>
      <c r="U48" s="296"/>
      <c r="V48" s="297"/>
      <c r="W48" s="297"/>
      <c r="X48" s="297"/>
      <c r="Y48" s="297"/>
      <c r="Z48" s="297"/>
      <c r="AA48" s="296"/>
    </row>
    <row r="49" spans="1:27" ht="30.75" thickBot="1">
      <c r="B49" s="388" t="s">
        <v>145</v>
      </c>
      <c r="C49" s="388"/>
      <c r="D49" s="529" t="s">
        <v>35</v>
      </c>
      <c r="E49" s="530"/>
      <c r="F49" s="294"/>
      <c r="G49" s="294"/>
      <c r="H49" s="23"/>
      <c r="I49" s="24" t="s">
        <v>17</v>
      </c>
      <c r="J49" s="25" t="s">
        <v>146</v>
      </c>
      <c r="K49" s="26" t="s">
        <v>138</v>
      </c>
      <c r="L49" s="25" t="s">
        <v>37</v>
      </c>
      <c r="M49" s="25" t="s">
        <v>38</v>
      </c>
      <c r="N49" s="27" t="s">
        <v>39</v>
      </c>
      <c r="O49" s="294"/>
      <c r="P49" s="12"/>
      <c r="S49" s="277"/>
      <c r="T49" s="296"/>
      <c r="U49" s="296"/>
      <c r="V49" s="297"/>
      <c r="W49" s="297"/>
      <c r="X49" s="297"/>
      <c r="Y49" s="297"/>
      <c r="Z49" s="297"/>
      <c r="AA49" s="296"/>
    </row>
    <row r="50" spans="1:27" ht="15" customHeight="1">
      <c r="A50" s="28"/>
      <c r="B50" s="587" t="s">
        <v>9</v>
      </c>
      <c r="C50" s="362">
        <v>11.8</v>
      </c>
      <c r="D50" s="534">
        <v>11.73</v>
      </c>
      <c r="E50" s="535"/>
      <c r="F50" s="294"/>
      <c r="G50" s="294"/>
      <c r="H50" s="294"/>
      <c r="I50" s="29" t="s">
        <v>6</v>
      </c>
      <c r="J50" s="323"/>
      <c r="K50" s="284">
        <f>COUNTA([17]Brewhouse!$A$1596:$A$1619)</f>
        <v>24</v>
      </c>
      <c r="L50" s="302">
        <f>AVERAGE([17]Brewhouse!$AU$1529,[17]Brewhouse!$AU$1531:$AU$1594,[17]Brewhouse!$AU$1596:$AU$1619)</f>
        <v>98.205761326291494</v>
      </c>
      <c r="M50" s="302">
        <f>AVERAGE([17]Brewhouse!$AU$849:$AU$924,[17]Brewhouse!$AU$926:$AU$971,[17]Brewhouse!$AU$973:$AU$1066,[17]Brewhouse!$AU$1068:$AU$1111,[17]Brewhouse!$AU$1113:$AU$1132,[17]Brewhouse!$AU$1134:$AU$1167,[17]Brewhouse!$AU$1169:$AU$1230,[17]Brewhouse!$AU$1232:$AU$1299,[17]Brewhouse!$AU$1301:$AU$1363,[17]Brewhouse!$AU$1365:$AU$1444,[17]Brewhouse!$AU$1446:$AU$1527,[17]Brewhouse!$AU$1529,[17]Brewhouse!$AU$1531:$AU$1594,[17]Brewhouse!$AU$1596:$AU$1619)</f>
        <v>98.38180565872257</v>
      </c>
      <c r="N50" s="30">
        <v>98</v>
      </c>
      <c r="O50" s="11"/>
      <c r="P50" s="31"/>
      <c r="S50" s="277"/>
      <c r="T50" s="296"/>
      <c r="U50" s="296"/>
      <c r="V50" s="297"/>
      <c r="W50" s="297"/>
      <c r="X50" s="297"/>
      <c r="Y50" s="297"/>
      <c r="Z50" s="297"/>
      <c r="AA50" s="296"/>
    </row>
    <row r="51" spans="1:27" ht="15" customHeight="1">
      <c r="A51" s="28"/>
      <c r="B51" s="588"/>
      <c r="C51" s="349">
        <v>11.9</v>
      </c>
      <c r="D51" s="536"/>
      <c r="E51" s="537"/>
      <c r="F51" s="294"/>
      <c r="G51" s="294"/>
      <c r="H51" s="32"/>
      <c r="I51" s="33" t="s">
        <v>9</v>
      </c>
      <c r="J51" s="323"/>
      <c r="K51" s="284">
        <f>COUNTA([18]Brewhouse!$A$976:$A$1007)</f>
        <v>32</v>
      </c>
      <c r="L51" s="302">
        <f>AVERAGE([18]Brewhouse!$AS$976:$AS$979,[18]Brewhouse!$AS$981:$AS$1007)</f>
        <v>98.538566771868645</v>
      </c>
      <c r="M51" s="302">
        <f>AVERAGE([18]Brewhouse!$AS$577:$AS$618,[18]Brewhouse!$AS$620:$AS$651,[18]Brewhouse!$AS$653:$AS$696,[18]Brewhouse!$AS$698:$AS$708,[18]Brewhouse!$AS$710:$AS$733,[18]Brewhouse!$AS$735:$AS$777,[18]Brewhouse!$AS$779:$AS$822,[18]Brewhouse!$AS$824:$AS$863,[18]Brewhouse!$AS$865:$AS$974,[18]Brewhouse!$AS$976:$AS$979,[18]Brewhouse!$AS$981:$AS$1007)</f>
        <v>98.489670500712904</v>
      </c>
      <c r="N51" s="30">
        <v>98</v>
      </c>
      <c r="O51" s="11"/>
      <c r="P51" s="31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4.65" customHeight="1">
      <c r="A52" s="28"/>
      <c r="B52" s="588"/>
      <c r="C52" s="349"/>
      <c r="D52" s="534"/>
      <c r="E52" s="535"/>
      <c r="F52" s="294"/>
      <c r="G52" s="294"/>
      <c r="H52" s="32"/>
      <c r="I52" s="34" t="s">
        <v>12</v>
      </c>
      <c r="J52" s="280"/>
      <c r="K52" s="284">
        <f>COUNTA([19]Brewhouse!$A$282:$A$289)</f>
        <v>8</v>
      </c>
      <c r="L52" s="302">
        <f>AVERAGE([19]Brewhouse!$AU$269:$AU$279,[19]Brewhouse!$AU$282:$AU$289)</f>
        <v>96.1861768599382</v>
      </c>
      <c r="M52" s="302">
        <f>AVERAGE([19]Brewhouse!$AU$161:$AU$176,[19]Brewhouse!$AU$178:$AU$195,[19]Brewhouse!$AU$197:$AU$208,[19]Brewhouse!$AU$210:$AU$221,[19]Brewhouse!$AU$223:$AU$232,[19]Brewhouse!$AU$234:$AU$279,[19]Brewhouse!$AU$282:$AU$289)</f>
        <v>96.649159522318769</v>
      </c>
      <c r="N52" s="30">
        <v>98</v>
      </c>
      <c r="O52" s="11"/>
      <c r="P52" s="31"/>
      <c r="S52" s="23"/>
      <c r="T52" s="1"/>
      <c r="U52" s="1"/>
      <c r="AA52" s="285"/>
    </row>
    <row r="53" spans="1:27" ht="14.65" customHeight="1">
      <c r="A53" s="28"/>
      <c r="B53" s="588"/>
      <c r="C53" s="349"/>
      <c r="D53" s="536"/>
      <c r="E53" s="537"/>
      <c r="F53" s="294"/>
      <c r="G53" s="294"/>
      <c r="H53" s="32"/>
      <c r="I53" s="22" t="s">
        <v>33</v>
      </c>
      <c r="J53" s="280"/>
      <c r="K53" s="284">
        <f>COUNTA([20]Brewhouse!$A$158:$A$163)</f>
        <v>6</v>
      </c>
      <c r="L53" s="302">
        <f>AVERAGE([20]Brewhouse!$AU$158:$AU$163)</f>
        <v>94.603050114691541</v>
      </c>
      <c r="M53" s="302">
        <f>AVERAGE([20]Brewhouse!$AU$91:$AU$101,[20]Brewhouse!$AU$103:$AU$112,[20]Brewhouse!$AU$114:$AU$123,[20]Brewhouse!$AU$125:$AU$134,[20]Brewhouse!$AU$136:$AU$145,[20]Brewhouse!$AU$147:$AU$156,[20]Brewhouse!$AU$158:$AU$163)</f>
        <v>96.240013738482446</v>
      </c>
      <c r="N53" s="30">
        <v>98</v>
      </c>
      <c r="O53" s="11"/>
      <c r="P53" s="31"/>
      <c r="S53" s="23"/>
      <c r="T53" s="1"/>
      <c r="U53" s="1"/>
      <c r="AA53" s="285"/>
    </row>
    <row r="54" spans="1:27" ht="14.65" customHeight="1">
      <c r="A54" s="28"/>
      <c r="B54" s="588"/>
      <c r="C54" s="349"/>
      <c r="D54" s="534"/>
      <c r="E54" s="535"/>
      <c r="F54" s="294"/>
      <c r="G54" s="294"/>
      <c r="H54" s="32"/>
      <c r="I54" s="35" t="s">
        <v>29</v>
      </c>
      <c r="J54" s="280"/>
      <c r="K54" s="284"/>
      <c r="L54" s="302"/>
      <c r="M54" s="302"/>
      <c r="N54" s="30">
        <v>98</v>
      </c>
      <c r="O54" s="11"/>
      <c r="P54" s="31"/>
      <c r="S54" s="23"/>
    </row>
    <row r="55" spans="1:27" ht="14.65" customHeight="1">
      <c r="A55" s="28"/>
      <c r="B55" s="588"/>
      <c r="C55" s="349"/>
      <c r="D55" s="536"/>
      <c r="E55" s="537"/>
      <c r="F55" s="294"/>
      <c r="G55" s="294"/>
      <c r="H55" s="32"/>
      <c r="I55" s="36" t="s">
        <v>15</v>
      </c>
      <c r="J55" s="323"/>
      <c r="K55" s="284"/>
      <c r="L55" s="302"/>
      <c r="M55" s="302">
        <f>AVERAGE([21]Brewhouse!$AT$74:$AT$79)</f>
        <v>93.95983649860375</v>
      </c>
      <c r="N55" s="30">
        <v>98</v>
      </c>
      <c r="O55" s="11"/>
      <c r="P55" s="31"/>
      <c r="S55" s="23"/>
    </row>
    <row r="56" spans="1:27" ht="14.65" customHeight="1">
      <c r="A56" s="28"/>
      <c r="B56" s="588"/>
      <c r="C56" s="349"/>
      <c r="D56" s="534"/>
      <c r="E56" s="535"/>
      <c r="F56" s="294"/>
      <c r="G56" s="294"/>
      <c r="H56" s="32"/>
      <c r="I56" s="37" t="s">
        <v>16</v>
      </c>
      <c r="J56" s="323"/>
      <c r="K56" s="284">
        <f>COUNTA([22]Brewhouse!$A$249:$A$254)</f>
        <v>6</v>
      </c>
      <c r="L56" s="302">
        <f>AVERAGE([22]Brewhouse!$AY$249:$AY$254)</f>
        <v>99.681996476494263</v>
      </c>
      <c r="M56" s="302">
        <f>AVERAGE([22]Brewhouse!$AY$138:$AY$143,[22]Brewhouse!$AY$145:$AY$153,[22]Brewhouse!$AY$155,[22]Brewhouse!$AY$156:$AY$174,[22]Brewhouse!$AY$176:$AY$185,[22]Brewhouse!$AY$187:$AY$198,[22]Brewhouse!$AY$200:$AY$247,[22]Brewhouse!$AY$249:$AY$254)</f>
        <v>98.774702677266788</v>
      </c>
      <c r="N56" s="30">
        <v>98</v>
      </c>
      <c r="O56" s="11"/>
      <c r="P56" s="31" t="s">
        <v>41</v>
      </c>
      <c r="S56" s="23"/>
      <c r="X56" s="275" t="s">
        <v>41</v>
      </c>
    </row>
    <row r="57" spans="1:27" ht="14.65" customHeight="1">
      <c r="A57" s="28"/>
      <c r="B57" s="588"/>
      <c r="C57" s="349"/>
      <c r="D57" s="536"/>
      <c r="E57" s="537"/>
      <c r="F57" s="294"/>
      <c r="G57" s="294"/>
      <c r="H57" s="32"/>
      <c r="I57" s="306" t="s">
        <v>137</v>
      </c>
      <c r="J57" s="326"/>
      <c r="K57" s="284"/>
      <c r="L57" s="305"/>
      <c r="M57" s="305">
        <f>AVERAGE([23]Brewhouse!$AW$13:$AW$14,[23]Brewhouse!$AW$16:$AW$17)</f>
        <v>92.042628234181777</v>
      </c>
      <c r="N57" s="30">
        <v>98</v>
      </c>
      <c r="O57" s="11"/>
      <c r="P57" s="31"/>
      <c r="S57" s="23"/>
    </row>
    <row r="58" spans="1:27" ht="15" customHeight="1" thickBot="1">
      <c r="A58" s="28"/>
      <c r="B58" s="588"/>
      <c r="C58" s="349"/>
      <c r="D58" s="590"/>
      <c r="E58" s="582"/>
      <c r="F58" s="294"/>
      <c r="G58" s="294"/>
      <c r="H58" s="32"/>
      <c r="I58" s="38" t="s">
        <v>125</v>
      </c>
      <c r="J58" s="327"/>
      <c r="K58" s="284"/>
      <c r="L58" s="328"/>
      <c r="M58" s="328">
        <f>AVERAGE([23]Brewhouse!$AW$13:$AW$14)</f>
        <v>88.376943267718929</v>
      </c>
      <c r="N58" s="30">
        <v>98</v>
      </c>
      <c r="O58" s="11"/>
      <c r="P58" s="31"/>
      <c r="S58" s="23"/>
    </row>
    <row r="59" spans="1:27" ht="15" customHeight="1" thickTop="1" thickBot="1">
      <c r="A59" s="28"/>
      <c r="B59" s="588"/>
      <c r="C59" s="349"/>
      <c r="D59" s="591"/>
      <c r="E59" s="592"/>
      <c r="F59" s="294"/>
      <c r="G59" s="294"/>
      <c r="H59" s="32"/>
      <c r="I59" s="1"/>
      <c r="J59" s="39"/>
      <c r="K59" s="330">
        <f>SUM(K50:K58)</f>
        <v>76</v>
      </c>
      <c r="L59" s="329">
        <f>((L50*K50)+(L51*K51)+(L52*K52)+(L53*K53)+(L54*K54)+(K57*L57)+(L55*K55)+(L56*K56)+(L58*K58))/(K59)</f>
        <v>97.965422407334373</v>
      </c>
      <c r="M59" s="329">
        <f>AVERAGE('[24]Closing- January 2023'!$L$42,'[25]Feb. 28th'!$L$42,'[26]March 31st'!$L$75,'[27]Apri 28th'!$L$51,L59)</f>
        <v>98.069259977506491</v>
      </c>
      <c r="N59" s="40">
        <v>98</v>
      </c>
      <c r="O59" s="11"/>
      <c r="P59" s="31"/>
      <c r="S59" s="23"/>
    </row>
    <row r="60" spans="1:27" ht="15" customHeight="1">
      <c r="A60" s="28"/>
      <c r="B60" s="588"/>
      <c r="C60" s="349"/>
      <c r="D60" s="590"/>
      <c r="E60" s="582"/>
      <c r="F60" s="294"/>
      <c r="G60" s="294"/>
      <c r="H60" s="32"/>
      <c r="I60" s="1"/>
      <c r="J60" s="39"/>
      <c r="O60" s="11"/>
      <c r="P60" s="31"/>
      <c r="S60" s="23"/>
    </row>
    <row r="61" spans="1:27" ht="21.6" customHeight="1" thickBot="1">
      <c r="B61" s="589"/>
      <c r="C61" s="350"/>
      <c r="D61" s="593"/>
      <c r="E61" s="594"/>
      <c r="F61" s="294"/>
      <c r="G61" s="42"/>
      <c r="H61" s="41"/>
      <c r="I61" s="42"/>
      <c r="J61" s="42"/>
      <c r="K61" s="351"/>
      <c r="L61" s="348"/>
      <c r="M61" s="348"/>
      <c r="N61" s="11"/>
      <c r="O61" s="294"/>
      <c r="P61" s="12"/>
      <c r="S61" s="23"/>
    </row>
    <row r="62" spans="1:27" ht="15.75" thickBot="1">
      <c r="B62" s="574"/>
      <c r="C62" s="362"/>
      <c r="D62" s="577"/>
      <c r="E62" s="578"/>
      <c r="F62" s="43"/>
      <c r="G62" s="41"/>
      <c r="H62" s="41"/>
      <c r="I62" s="42"/>
      <c r="J62" s="579" t="s">
        <v>129</v>
      </c>
      <c r="K62" s="579"/>
      <c r="L62" s="294"/>
      <c r="M62" s="294"/>
      <c r="N62" s="294"/>
      <c r="O62" s="294"/>
      <c r="P62" s="12"/>
      <c r="S62" s="23" t="s">
        <v>41</v>
      </c>
    </row>
    <row r="63" spans="1:27" ht="13.5" customHeight="1" thickBot="1">
      <c r="B63" s="575"/>
      <c r="C63" s="349"/>
      <c r="D63" s="540"/>
      <c r="E63" s="537"/>
      <c r="F63" s="43"/>
      <c r="G63" s="41"/>
      <c r="H63" s="41"/>
      <c r="I63" s="42"/>
      <c r="J63" s="292" t="s">
        <v>17</v>
      </c>
      <c r="K63" s="293" t="s">
        <v>147</v>
      </c>
      <c r="L63" s="545" t="s">
        <v>136</v>
      </c>
      <c r="M63" s="545"/>
      <c r="N63" s="546"/>
      <c r="O63" s="294"/>
      <c r="P63" s="12"/>
      <c r="S63" s="23"/>
    </row>
    <row r="64" spans="1:27" ht="15" customHeight="1" thickBot="1">
      <c r="B64" s="575"/>
      <c r="C64" s="349"/>
      <c r="D64" s="580"/>
      <c r="E64" s="535"/>
      <c r="F64" s="43"/>
      <c r="G64" s="41"/>
      <c r="H64" s="41"/>
      <c r="I64" s="42"/>
      <c r="J64" s="287" t="s">
        <v>6</v>
      </c>
      <c r="K64" s="324"/>
      <c r="L64" s="343" t="s">
        <v>37</v>
      </c>
      <c r="M64" s="307" t="s">
        <v>38</v>
      </c>
      <c r="N64" s="307" t="s">
        <v>84</v>
      </c>
      <c r="O64" s="294"/>
      <c r="P64" s="12"/>
      <c r="S64" s="23"/>
    </row>
    <row r="65" spans="2:58" ht="15.75" customHeight="1" thickBot="1">
      <c r="B65" s="575"/>
      <c r="C65" s="349"/>
      <c r="D65" s="540"/>
      <c r="E65" s="537"/>
      <c r="F65" s="43"/>
      <c r="G65" s="41"/>
      <c r="H65" s="41"/>
      <c r="I65" s="42"/>
      <c r="J65" s="345" t="s">
        <v>9</v>
      </c>
      <c r="K65" s="324">
        <v>5</v>
      </c>
      <c r="L65" s="344" t="e">
        <f>AVERAGE(#REF!,#REF!,K74,#REF!,#REF!,#REF!,#REF!,#REF!,#REF!,#REF!,#REF!)</f>
        <v>#REF!</v>
      </c>
      <c r="M65" s="325" t="e">
        <f>AVERAGE(6,6,'[26]March 31st'!$L$80,'[28]June 30th  '!$L$71,6,L65,'[29]July 31st'!$L$108,'[30]Aug 30th'!$L$124,7,[31]Oct.31st!$L$51)</f>
        <v>#REF!</v>
      </c>
      <c r="N65" s="308">
        <v>9</v>
      </c>
      <c r="O65" s="294"/>
      <c r="P65" s="12"/>
      <c r="S65" s="23"/>
    </row>
    <row r="66" spans="2:58" ht="15" customHeight="1">
      <c r="B66" s="575"/>
      <c r="C66" s="349"/>
      <c r="D66" s="580"/>
      <c r="E66" s="535"/>
      <c r="F66" s="43"/>
      <c r="G66" s="41"/>
      <c r="H66" s="41"/>
      <c r="I66" s="42"/>
      <c r="J66" s="288" t="s">
        <v>40</v>
      </c>
      <c r="K66" s="324"/>
      <c r="L66" s="294"/>
      <c r="M66" s="294"/>
      <c r="N66" s="294"/>
      <c r="O66" s="294"/>
      <c r="P66" s="12"/>
      <c r="S66" s="23"/>
    </row>
    <row r="67" spans="2:58" ht="15" customHeight="1">
      <c r="B67" s="575"/>
      <c r="C67" s="349"/>
      <c r="D67" s="540"/>
      <c r="E67" s="537"/>
      <c r="F67" s="43"/>
      <c r="G67" s="41"/>
      <c r="H67" s="41"/>
      <c r="I67" s="42"/>
      <c r="J67" s="289" t="s">
        <v>33</v>
      </c>
      <c r="K67" s="324"/>
      <c r="L67" s="294"/>
      <c r="M67" s="294"/>
      <c r="N67" s="294"/>
      <c r="O67" s="294"/>
      <c r="P67" s="12"/>
      <c r="S67" s="23"/>
    </row>
    <row r="68" spans="2:58" ht="15">
      <c r="B68" s="575"/>
      <c r="C68" s="349"/>
      <c r="D68" s="580"/>
      <c r="E68" s="535"/>
      <c r="F68" s="43"/>
      <c r="G68" s="41"/>
      <c r="H68" s="41"/>
      <c r="I68" s="42"/>
      <c r="J68" s="290" t="s">
        <v>16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5">
      <c r="B69" s="575"/>
      <c r="C69" s="349"/>
      <c r="D69" s="540"/>
      <c r="E69" s="537"/>
      <c r="F69" s="43"/>
      <c r="G69" s="41"/>
      <c r="H69" s="41"/>
      <c r="I69" s="42"/>
      <c r="J69" s="291" t="s">
        <v>15</v>
      </c>
      <c r="K69" s="324"/>
      <c r="L69" s="294"/>
      <c r="M69" s="294"/>
      <c r="N69" s="294"/>
      <c r="O69" s="294"/>
      <c r="P69" s="12"/>
      <c r="S69" s="23"/>
      <c r="BD69" s="44"/>
      <c r="BE69" s="44"/>
    </row>
    <row r="70" spans="2:58" ht="15">
      <c r="B70" s="575"/>
      <c r="C70" s="349"/>
      <c r="D70" s="581"/>
      <c r="E70" s="582"/>
      <c r="F70" s="43"/>
      <c r="G70" s="41"/>
      <c r="H70" s="41"/>
      <c r="I70" s="42"/>
      <c r="J70" s="291" t="s">
        <v>149</v>
      </c>
      <c r="K70" s="324"/>
      <c r="L70" s="294"/>
      <c r="M70" s="294"/>
      <c r="N70" s="294"/>
      <c r="O70" s="294"/>
      <c r="P70" s="12"/>
      <c r="S70" s="23"/>
      <c r="BD70" s="44"/>
      <c r="BE70" s="44"/>
    </row>
    <row r="71" spans="2:58" ht="15.75" thickBot="1">
      <c r="B71" s="576"/>
      <c r="C71" s="350"/>
      <c r="D71" s="583"/>
      <c r="E71" s="584"/>
      <c r="F71" s="43"/>
      <c r="G71" s="41"/>
      <c r="H71" s="41"/>
      <c r="I71" s="42"/>
      <c r="J71" s="291" t="s">
        <v>148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8" ht="17.649999999999999" customHeight="1" thickBot="1">
      <c r="B72" s="312" t="s">
        <v>139</v>
      </c>
      <c r="C72" s="313"/>
      <c r="D72" s="572">
        <f>AVERAGE(D50:E71)</f>
        <v>11.73</v>
      </c>
      <c r="E72" s="573"/>
      <c r="F72" s="43"/>
      <c r="G72" s="41"/>
      <c r="H72" s="41"/>
      <c r="I72" s="42"/>
      <c r="J72" s="295" t="s">
        <v>134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8" ht="17.649999999999999" customHeight="1">
      <c r="B73" s="363"/>
      <c r="C73" s="364"/>
      <c r="D73" s="365"/>
      <c r="E73" s="365"/>
      <c r="F73" s="43"/>
      <c r="G73" s="41"/>
      <c r="H73" s="41"/>
      <c r="I73" s="42"/>
      <c r="J73" s="295" t="s">
        <v>131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8" ht="15.75" customHeight="1">
      <c r="B74" s="45"/>
      <c r="C74" s="11"/>
      <c r="D74" s="11"/>
      <c r="E74" s="46"/>
      <c r="F74" s="23"/>
      <c r="G74" s="11"/>
      <c r="H74" s="41"/>
      <c r="I74" s="42"/>
      <c r="J74" s="346" t="s">
        <v>130</v>
      </c>
      <c r="K74" s="324">
        <f>SUM(K64:K73)</f>
        <v>5</v>
      </c>
      <c r="L74" s="294"/>
      <c r="M74" s="294"/>
      <c r="N74" s="294"/>
      <c r="O74" s="294"/>
      <c r="P74" s="12"/>
    </row>
    <row r="75" spans="2:58" ht="20.25" customHeight="1">
      <c r="B75" s="15" t="s">
        <v>42</v>
      </c>
      <c r="C75" s="1" t="s">
        <v>43</v>
      </c>
      <c r="D75" s="1"/>
      <c r="E75" s="1"/>
      <c r="I75" s="42"/>
      <c r="L75" s="294"/>
      <c r="P75" s="334"/>
    </row>
    <row r="76" spans="2:58" ht="15" customHeight="1" thickBot="1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  <c r="O76" s="48"/>
      <c r="P76" s="49"/>
      <c r="X76" s="275" t="s">
        <v>41</v>
      </c>
    </row>
    <row r="77" spans="2:58" ht="15" customHeight="1" thickBot="1">
      <c r="B77" s="551" t="s">
        <v>17</v>
      </c>
      <c r="C77" s="551" t="s">
        <v>44</v>
      </c>
      <c r="D77" s="554" t="s">
        <v>45</v>
      </c>
      <c r="E77" s="519" t="s">
        <v>46</v>
      </c>
      <c r="F77" s="568" t="s">
        <v>47</v>
      </c>
      <c r="G77" s="563" t="s">
        <v>48</v>
      </c>
      <c r="H77" s="551" t="s">
        <v>49</v>
      </c>
      <c r="I77" s="570" t="s">
        <v>50</v>
      </c>
      <c r="J77" s="557" t="s">
        <v>28</v>
      </c>
      <c r="K77" s="517" t="s">
        <v>51</v>
      </c>
      <c r="L77" s="566" t="s">
        <v>52</v>
      </c>
      <c r="M77" s="557" t="s">
        <v>53</v>
      </c>
      <c r="N77" s="77"/>
      <c r="O77" s="13"/>
      <c r="P77" s="50"/>
    </row>
    <row r="78" spans="2:58" ht="28.5" customHeight="1" thickTop="1" thickBot="1">
      <c r="B78" s="553"/>
      <c r="C78" s="553"/>
      <c r="D78" s="555"/>
      <c r="E78" s="556"/>
      <c r="F78" s="569"/>
      <c r="G78" s="564"/>
      <c r="H78" s="553"/>
      <c r="I78" s="571"/>
      <c r="J78" s="558"/>
      <c r="K78" s="565"/>
      <c r="L78" s="567"/>
      <c r="M78" s="558"/>
      <c r="N78" s="77"/>
      <c r="O78" s="13"/>
      <c r="P78" s="50"/>
      <c r="Q78" s="355"/>
      <c r="R78" s="355"/>
      <c r="S78" s="355"/>
      <c r="T78" s="355"/>
      <c r="U78" s="51">
        <v>43466</v>
      </c>
      <c r="V78" s="51">
        <v>43467</v>
      </c>
      <c r="W78" s="51">
        <v>43468</v>
      </c>
      <c r="X78" s="51">
        <v>43469</v>
      </c>
      <c r="Y78" s="51">
        <v>43470</v>
      </c>
      <c r="Z78" s="51">
        <v>43471</v>
      </c>
      <c r="AA78" s="51">
        <v>43472</v>
      </c>
      <c r="AB78" s="51">
        <v>43473</v>
      </c>
      <c r="AC78" s="51">
        <v>43474</v>
      </c>
      <c r="AD78" s="51">
        <v>43475</v>
      </c>
      <c r="AE78" s="51">
        <v>43476</v>
      </c>
      <c r="AF78" s="51">
        <v>43477</v>
      </c>
      <c r="AG78" s="51">
        <v>43478</v>
      </c>
      <c r="AH78" s="51">
        <v>43479</v>
      </c>
      <c r="AI78" s="51">
        <v>43480</v>
      </c>
      <c r="AJ78" s="51">
        <v>43481</v>
      </c>
      <c r="AK78" s="51">
        <v>43482</v>
      </c>
      <c r="AL78" s="51">
        <v>43483</v>
      </c>
      <c r="AM78" s="51">
        <v>43484</v>
      </c>
      <c r="AN78" s="51">
        <v>43485</v>
      </c>
      <c r="AO78" s="51">
        <v>43486</v>
      </c>
      <c r="AP78" s="51">
        <v>43487</v>
      </c>
      <c r="AQ78" s="51">
        <v>43488</v>
      </c>
      <c r="AR78" s="51">
        <v>43489</v>
      </c>
      <c r="AS78" s="51">
        <v>43490</v>
      </c>
      <c r="AT78" s="51">
        <v>43491</v>
      </c>
      <c r="AU78" s="51">
        <v>43492</v>
      </c>
      <c r="AV78" s="51">
        <v>43493</v>
      </c>
      <c r="AW78" s="51">
        <v>43494</v>
      </c>
      <c r="AX78" s="51">
        <v>43495</v>
      </c>
      <c r="AY78" s="51">
        <v>43496</v>
      </c>
    </row>
    <row r="79" spans="2:58" s="54" customFormat="1" ht="41.25" customHeight="1">
      <c r="B79" s="385" t="s">
        <v>9</v>
      </c>
      <c r="C79" s="283">
        <v>45278</v>
      </c>
      <c r="D79" s="377">
        <f>[32]December_2023!$U$13</f>
        <v>150.4</v>
      </c>
      <c r="E79" s="378"/>
      <c r="F79" s="379"/>
      <c r="G79" s="303">
        <f>[32]December_2023!$U$17</f>
        <v>120.8</v>
      </c>
      <c r="H79" s="381"/>
      <c r="I79" s="382"/>
      <c r="J79" s="360" t="s">
        <v>150</v>
      </c>
      <c r="K79" s="380">
        <f>[33]December_2023!$U$25</f>
        <v>0.42385964912280699</v>
      </c>
      <c r="L79" s="391">
        <f>(((D79+E79)-G79)/(D79+E79))*100</f>
        <v>19.680851063829792</v>
      </c>
      <c r="M79" s="357" t="s">
        <v>154</v>
      </c>
      <c r="N79" s="13"/>
      <c r="O79" s="13"/>
      <c r="P79" s="50"/>
      <c r="T79" s="272" t="s">
        <v>54</v>
      </c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9"/>
      <c r="AW79" s="279"/>
      <c r="AX79" s="279"/>
    </row>
    <row r="80" spans="2:58" s="54" customFormat="1" ht="18.75" customHeight="1" thickBot="1">
      <c r="B80" s="387"/>
      <c r="C80" s="283"/>
      <c r="D80" s="279"/>
      <c r="E80" s="279"/>
      <c r="F80" s="279"/>
      <c r="G80" s="279"/>
      <c r="H80" s="320"/>
      <c r="I80" s="321"/>
      <c r="J80" s="281" t="s">
        <v>41</v>
      </c>
      <c r="K80" s="376"/>
      <c r="L80" s="314"/>
      <c r="M80" s="384"/>
      <c r="N80" s="13"/>
      <c r="O80" s="13"/>
      <c r="P80" s="50"/>
      <c r="T80" s="272" t="s">
        <v>51</v>
      </c>
      <c r="U80" s="57" t="e">
        <f>[16]January_2019!D8</f>
        <v>#DIV/0!</v>
      </c>
      <c r="V80" s="57">
        <f>[16]January_2019!E8</f>
        <v>1.0319298245614037</v>
      </c>
      <c r="W80" s="57">
        <f>[16]January_2019!F8</f>
        <v>1.7789473684210526</v>
      </c>
      <c r="X80" s="57">
        <f>[16]January_2019!G8</f>
        <v>0.51929824561403504</v>
      </c>
      <c r="Y80" s="57" t="e">
        <f>[16]January_2019!H8</f>
        <v>#DIV/0!</v>
      </c>
      <c r="Z80" s="57" t="e">
        <f>[16]January_2019!I8</f>
        <v>#DIV/0!</v>
      </c>
      <c r="AA80" s="57">
        <f>[16]January_2019!J8</f>
        <v>1.365263157894737</v>
      </c>
      <c r="AB80" s="57" t="e">
        <f>[16]January_2019!K8</f>
        <v>#DIV/0!</v>
      </c>
      <c r="AC80" s="57">
        <f>[16]January_2019!L8</f>
        <v>1.0028070175438597</v>
      </c>
      <c r="AD80" s="57">
        <f>[16]January_2019!M8</f>
        <v>1.7828070175438597</v>
      </c>
      <c r="AE80" s="57" t="e">
        <f>[16]January_2019!N8</f>
        <v>#DIV/0!</v>
      </c>
      <c r="AF80" s="57" t="e">
        <f>[16]January_2019!O8</f>
        <v>#DIV/0!</v>
      </c>
      <c r="AG80" s="57">
        <f>[16]January_2019!P8</f>
        <v>0.19222222222222221</v>
      </c>
      <c r="AH80" s="57">
        <f>[16]January_2019!Q8</f>
        <v>0.52219298245614032</v>
      </c>
      <c r="AI80" s="57">
        <f>[16]January_2019!R8</f>
        <v>0.42912280701754385</v>
      </c>
      <c r="AJ80" s="57" t="e">
        <f>[16]January_2019!S8</f>
        <v>#DIV/0!</v>
      </c>
      <c r="AK80" s="57">
        <f>[16]January_2019!T8</f>
        <v>1.0340350877192983</v>
      </c>
      <c r="AL80" s="57">
        <f>[16]January_2019!U8</f>
        <v>0.98421052631578942</v>
      </c>
      <c r="AM80" s="57" t="e">
        <f>[16]January_2019!V8</f>
        <v>#DIV/0!</v>
      </c>
      <c r="AN80" s="57" t="e">
        <f>[16]January_2019!W8</f>
        <v>#DIV/0!</v>
      </c>
      <c r="AO80" s="57">
        <f>[16]January_2019!X8</f>
        <v>0.66052631578947374</v>
      </c>
      <c r="AP80" s="57">
        <f>[16]January_2019!Y8</f>
        <v>1.0375438596491227</v>
      </c>
      <c r="AQ80" s="57">
        <f>[16]January_2019!Z8</f>
        <v>0.90456140350877201</v>
      </c>
      <c r="AR80" s="57">
        <f>[16]January_2019!AA8</f>
        <v>1.0217543859649123</v>
      </c>
      <c r="AS80" s="57">
        <f>[16]January_2019!AB8</f>
        <v>0.65614035087719302</v>
      </c>
      <c r="AT80" s="57" t="e">
        <f>[16]January_2019!AC8</f>
        <v>#DIV/0!</v>
      </c>
      <c r="AU80" s="57" t="e">
        <f>[16]January_2019!AD8</f>
        <v>#DIV/0!</v>
      </c>
      <c r="AV80" s="57">
        <f>[16]January_2019!AE8</f>
        <v>1.7021052631578948</v>
      </c>
      <c r="AW80" s="57">
        <f>[16]January_2019!AF8</f>
        <v>0.60192982456140354</v>
      </c>
      <c r="AX80" s="57">
        <f>[16]January_2019!AG8</f>
        <v>1.4870175438596491</v>
      </c>
      <c r="AY80" s="277" t="e">
        <f>[16]January_2019!AH8</f>
        <v>#DIV/0!</v>
      </c>
      <c r="AZ80" s="277"/>
      <c r="BA80" s="277"/>
      <c r="BB80" s="277"/>
      <c r="BC80" s="277"/>
      <c r="BD80" s="277"/>
      <c r="BE80" s="277"/>
      <c r="BF80" s="277"/>
    </row>
    <row r="81" spans="2:58" s="54" customFormat="1" ht="45.75" hidden="1" customHeight="1" thickBot="1">
      <c r="B81" s="29"/>
      <c r="C81" s="283"/>
      <c r="D81" s="279"/>
      <c r="E81" s="279"/>
      <c r="F81" s="279"/>
      <c r="G81" s="279"/>
      <c r="H81" s="381"/>
      <c r="I81" s="382"/>
      <c r="J81" s="390"/>
      <c r="K81" s="372"/>
      <c r="L81" s="391"/>
      <c r="M81" s="357"/>
      <c r="N81" s="13"/>
      <c r="O81" s="13"/>
      <c r="P81" s="50"/>
      <c r="T81" s="272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277"/>
      <c r="AZ81" s="277"/>
      <c r="BA81" s="277"/>
      <c r="BB81" s="277"/>
      <c r="BC81" s="277"/>
      <c r="BD81" s="277"/>
      <c r="BE81" s="277"/>
      <c r="BF81" s="277"/>
    </row>
    <row r="82" spans="2:58" s="54" customFormat="1" ht="28.5" hidden="1" customHeight="1" thickBot="1">
      <c r="B82" s="361"/>
      <c r="C82" s="283"/>
      <c r="D82" s="304"/>
      <c r="E82" s="279"/>
      <c r="F82" s="279"/>
      <c r="G82" s="279"/>
      <c r="H82" s="320"/>
      <c r="I82" s="321"/>
      <c r="J82" s="389"/>
      <c r="K82" s="376"/>
      <c r="L82" s="314"/>
      <c r="M82" s="354"/>
      <c r="N82" s="13"/>
      <c r="O82" s="13"/>
      <c r="P82" s="50"/>
      <c r="T82" s="272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277"/>
      <c r="AZ82" s="277"/>
      <c r="BA82" s="277"/>
      <c r="BB82" s="277"/>
      <c r="BC82" s="277"/>
      <c r="BD82" s="277"/>
      <c r="BE82" s="277"/>
      <c r="BF82" s="277"/>
    </row>
    <row r="83" spans="2:58" s="54" customFormat="1" ht="45.75" hidden="1" customHeight="1">
      <c r="B83" s="385"/>
      <c r="C83" s="283"/>
      <c r="D83" s="279"/>
      <c r="E83" s="279"/>
      <c r="F83" s="279"/>
      <c r="G83" s="279"/>
      <c r="H83" s="320"/>
      <c r="I83" s="322"/>
      <c r="J83" s="360"/>
      <c r="K83" s="286"/>
      <c r="L83" s="314"/>
      <c r="M83" s="384"/>
      <c r="N83" s="13"/>
      <c r="O83" s="13"/>
      <c r="P83" s="50"/>
      <c r="T83" s="272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7"/>
      <c r="AZ83" s="277"/>
      <c r="BA83" s="277"/>
      <c r="BB83" s="277"/>
      <c r="BC83" s="277"/>
      <c r="BD83" s="277"/>
      <c r="BE83" s="277"/>
      <c r="BF83" s="277"/>
    </row>
    <row r="84" spans="2:58" s="54" customFormat="1" ht="45.75" hidden="1" customHeight="1">
      <c r="B84" s="361"/>
      <c r="C84" s="283"/>
      <c r="D84" s="279"/>
      <c r="E84" s="279"/>
      <c r="F84" s="279"/>
      <c r="G84" s="279"/>
      <c r="H84" s="320"/>
      <c r="I84" s="322"/>
      <c r="J84" s="281"/>
      <c r="K84" s="286"/>
      <c r="L84" s="314"/>
      <c r="M84" s="339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ht="15.75" hidden="1" thickBot="1">
      <c r="B85" s="33"/>
      <c r="C85" s="310"/>
      <c r="D85" s="279"/>
      <c r="E85" s="279"/>
      <c r="F85" s="279"/>
      <c r="G85" s="279"/>
      <c r="H85" s="352"/>
      <c r="I85" s="353"/>
      <c r="J85" s="52"/>
      <c r="K85" s="52"/>
      <c r="L85" s="53"/>
      <c r="M85" s="55"/>
      <c r="N85" s="77"/>
      <c r="O85" s="13"/>
      <c r="P85" s="56"/>
    </row>
    <row r="86" spans="2:58" ht="15.75" thickBot="1">
      <c r="B86" s="58"/>
      <c r="C86" s="309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  <c r="O86" s="56"/>
      <c r="P86" s="60"/>
    </row>
    <row r="87" spans="2:58" ht="15.75" thickBot="1">
      <c r="B87" s="559" t="s">
        <v>55</v>
      </c>
      <c r="C87" s="560"/>
      <c r="D87" s="560"/>
      <c r="E87" s="560"/>
      <c r="F87" s="561"/>
      <c r="G87" s="559" t="s">
        <v>56</v>
      </c>
      <c r="H87" s="560"/>
      <c r="I87" s="560"/>
      <c r="J87" s="561"/>
      <c r="K87" s="559" t="s">
        <v>51</v>
      </c>
      <c r="L87" s="560"/>
      <c r="M87" s="560"/>
      <c r="N87" s="562"/>
      <c r="O87" s="56"/>
      <c r="P87" s="50"/>
    </row>
    <row r="88" spans="2:58" ht="15">
      <c r="B88" s="61" t="s">
        <v>17</v>
      </c>
      <c r="C88" s="62" t="s">
        <v>36</v>
      </c>
      <c r="D88" s="62" t="s">
        <v>37</v>
      </c>
      <c r="E88" s="62" t="s">
        <v>38</v>
      </c>
      <c r="F88" s="63" t="s">
        <v>39</v>
      </c>
      <c r="G88" s="62" t="s">
        <v>36</v>
      </c>
      <c r="H88" s="62" t="s">
        <v>37</v>
      </c>
      <c r="I88" s="62" t="s">
        <v>38</v>
      </c>
      <c r="J88" s="63" t="s">
        <v>39</v>
      </c>
      <c r="K88" s="62" t="s">
        <v>36</v>
      </c>
      <c r="L88" s="62" t="s">
        <v>37</v>
      </c>
      <c r="M88" s="62" t="s">
        <v>38</v>
      </c>
      <c r="N88" s="63" t="s">
        <v>39</v>
      </c>
      <c r="O88" s="56"/>
      <c r="P88" s="64"/>
    </row>
    <row r="89" spans="2:58" ht="15">
      <c r="B89" s="29" t="s">
        <v>6</v>
      </c>
      <c r="D89" s="76">
        <v>5.181332008533289</v>
      </c>
      <c r="E89" s="76">
        <v>6.6038502743493472</v>
      </c>
      <c r="F89" s="66">
        <v>4.8</v>
      </c>
      <c r="H89" s="76">
        <v>5.2502762338962023</v>
      </c>
      <c r="I89" s="76">
        <v>6.9665257793219286</v>
      </c>
      <c r="J89" s="66">
        <v>4.8</v>
      </c>
      <c r="L89" s="194">
        <v>0.70807017543859652</v>
      </c>
      <c r="M89" s="194">
        <v>0.77999467121139654</v>
      </c>
      <c r="N89" s="68">
        <v>1</v>
      </c>
      <c r="O89" s="56"/>
      <c r="P89" s="69"/>
    </row>
    <row r="90" spans="2:58" ht="15">
      <c r="B90" s="33" t="s">
        <v>9</v>
      </c>
      <c r="C90" s="65">
        <f>AVERAGE(L79,L81)</f>
        <v>19.680851063829792</v>
      </c>
      <c r="D90" s="76">
        <v>6.5498914589415387</v>
      </c>
      <c r="E90" s="76">
        <v>6.1662321034923213</v>
      </c>
      <c r="F90" s="66">
        <v>4.8</v>
      </c>
      <c r="G90" s="65">
        <f>[32]December_2023!$U$21</f>
        <v>19.680851063829799</v>
      </c>
      <c r="H90" s="76">
        <v>6.3458281571920923</v>
      </c>
      <c r="I90" s="76">
        <v>5.9138833775175614</v>
      </c>
      <c r="J90" s="66">
        <v>4.8</v>
      </c>
      <c r="K90" s="67">
        <f>AVERAGE(K79,K81)</f>
        <v>0.42385964912280699</v>
      </c>
      <c r="L90" s="194">
        <v>0.66137426900584784</v>
      </c>
      <c r="M90" s="194">
        <v>0.71942943874066057</v>
      </c>
      <c r="N90" s="68">
        <v>1</v>
      </c>
      <c r="P90" s="69"/>
    </row>
    <row r="91" spans="2:58" ht="15">
      <c r="B91" s="34" t="s">
        <v>40</v>
      </c>
      <c r="C91" s="65"/>
      <c r="D91" s="76">
        <v>8.4423676012461133</v>
      </c>
      <c r="E91" s="76">
        <v>8.9890454879433594</v>
      </c>
      <c r="F91" s="66">
        <v>5.5</v>
      </c>
      <c r="G91" s="65"/>
      <c r="H91" s="76">
        <v>5.9624998430282856</v>
      </c>
      <c r="I91" s="76">
        <v>8.6652309201910018</v>
      </c>
      <c r="J91" s="66">
        <v>5.5</v>
      </c>
      <c r="K91" s="67"/>
      <c r="L91" s="194">
        <v>0.5156140350877193</v>
      </c>
      <c r="M91" s="194">
        <v>0.65035607537361928</v>
      </c>
      <c r="N91" s="68">
        <v>1</v>
      </c>
      <c r="P91" s="69"/>
    </row>
    <row r="92" spans="2:58" ht="15">
      <c r="B92" s="22" t="s">
        <v>33</v>
      </c>
      <c r="C92" s="65"/>
      <c r="D92" s="76">
        <v>3.5978480161398938</v>
      </c>
      <c r="E92" s="76">
        <v>2.9936806546492249</v>
      </c>
      <c r="F92" s="66">
        <v>3.3</v>
      </c>
      <c r="G92" s="65"/>
      <c r="H92" s="76">
        <v>6.0982020044620322</v>
      </c>
      <c r="I92" s="76">
        <v>3.3134542932705222</v>
      </c>
      <c r="J92" s="66">
        <v>3.3</v>
      </c>
      <c r="K92" s="67"/>
      <c r="L92" s="194">
        <v>0.50298245614035086</v>
      </c>
      <c r="M92" s="194">
        <v>1.0625518341307816</v>
      </c>
      <c r="N92" s="68">
        <v>1</v>
      </c>
      <c r="P92" s="69"/>
    </row>
    <row r="93" spans="2:58" ht="15">
      <c r="B93" s="35" t="s">
        <v>29</v>
      </c>
      <c r="C93" s="65"/>
      <c r="D93" s="76"/>
      <c r="E93" s="76"/>
      <c r="F93" s="66">
        <v>3.3</v>
      </c>
      <c r="G93" s="282"/>
      <c r="H93" s="76"/>
      <c r="I93" s="76"/>
      <c r="J93" s="66">
        <v>3</v>
      </c>
      <c r="K93" s="67"/>
      <c r="L93" s="194"/>
      <c r="M93" s="194"/>
      <c r="N93" s="68">
        <v>1</v>
      </c>
      <c r="P93" s="69"/>
    </row>
    <row r="94" spans="2:58" ht="15">
      <c r="B94" s="36" t="s">
        <v>15</v>
      </c>
      <c r="C94" s="282"/>
      <c r="D94" s="76"/>
      <c r="E94" s="76">
        <v>6.4174306465055304</v>
      </c>
      <c r="F94" s="70">
        <f>[34]May_2022!$M$43</f>
        <v>3.4878406700073312</v>
      </c>
      <c r="G94" s="282"/>
      <c r="H94" s="76"/>
      <c r="I94" s="76">
        <v>7.0730654939490236</v>
      </c>
      <c r="J94" s="70">
        <v>5.5</v>
      </c>
      <c r="K94" s="67"/>
      <c r="L94" s="194"/>
      <c r="M94" s="194">
        <v>1.0342105263157895</v>
      </c>
      <c r="N94" s="68">
        <v>1</v>
      </c>
      <c r="P94" s="69"/>
    </row>
    <row r="95" spans="2:58" ht="15">
      <c r="B95" s="37" t="s">
        <v>16</v>
      </c>
      <c r="C95" s="65"/>
      <c r="D95" s="76">
        <v>2.7692803091289537</v>
      </c>
      <c r="E95" s="76">
        <v>3.0589057857018314</v>
      </c>
      <c r="F95" s="70">
        <v>3.3</v>
      </c>
      <c r="G95" s="282"/>
      <c r="H95" s="76">
        <v>4.2179953480824466</v>
      </c>
      <c r="I95" s="76">
        <v>4.9470952635574701</v>
      </c>
      <c r="J95" s="70">
        <v>3.3</v>
      </c>
      <c r="K95" s="67"/>
      <c r="L95" s="194">
        <v>1.0594736842105266</v>
      </c>
      <c r="M95" s="194">
        <v>1.0223839009287927</v>
      </c>
      <c r="N95" s="71">
        <v>1</v>
      </c>
      <c r="P95" s="69"/>
    </row>
    <row r="96" spans="2:58" ht="15.75" thickBot="1">
      <c r="B96" s="38" t="s">
        <v>127</v>
      </c>
      <c r="C96" s="65"/>
      <c r="D96" s="76"/>
      <c r="E96" s="76">
        <v>11.178247734138981</v>
      </c>
      <c r="F96" s="72">
        <v>7.5</v>
      </c>
      <c r="G96" s="73"/>
      <c r="H96" s="76"/>
      <c r="I96" s="76">
        <v>14.598510156332937</v>
      </c>
      <c r="J96" s="72">
        <v>7.5</v>
      </c>
      <c r="K96" s="67"/>
      <c r="L96" s="194"/>
      <c r="M96" s="194">
        <v>0.30947368421052629</v>
      </c>
      <c r="N96" s="71">
        <v>1</v>
      </c>
      <c r="P96" s="69"/>
    </row>
    <row r="97" spans="3:30" ht="15">
      <c r="C97" s="65"/>
      <c r="D97" s="76">
        <v>5.3927000828210607</v>
      </c>
      <c r="E97" s="76">
        <v>6.2517133375322747</v>
      </c>
      <c r="F97" s="341">
        <v>4.5</v>
      </c>
      <c r="G97" s="74"/>
      <c r="H97" s="76">
        <v>5.4965257407735688</v>
      </c>
      <c r="I97" s="76">
        <v>6.5279580392540781</v>
      </c>
      <c r="J97" s="342">
        <v>4.5</v>
      </c>
      <c r="K97" s="67"/>
      <c r="L97" s="194">
        <v>0.69682017543859642</v>
      </c>
      <c r="M97" s="194">
        <v>0.78265037728044273</v>
      </c>
      <c r="N97" s="386">
        <v>1</v>
      </c>
      <c r="O97" s="74"/>
      <c r="P97" s="75"/>
    </row>
    <row r="102" spans="3:30">
      <c r="F102" s="315"/>
    </row>
    <row r="110" spans="3:30">
      <c r="AD110" s="275" t="s">
        <v>57</v>
      </c>
    </row>
  </sheetData>
  <mergeCells count="54">
    <mergeCell ref="C4:D4"/>
    <mergeCell ref="J4:K5"/>
    <mergeCell ref="M4:N4"/>
    <mergeCell ref="T1:U1"/>
    <mergeCell ref="V1:W1"/>
    <mergeCell ref="X1:Y1"/>
    <mergeCell ref="Z1:AA1"/>
    <mergeCell ref="B2:O2"/>
    <mergeCell ref="D49:E49"/>
    <mergeCell ref="J6:K7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Q8:Q9"/>
    <mergeCell ref="I48:N48"/>
    <mergeCell ref="B50:B61"/>
    <mergeCell ref="D50:E51"/>
    <mergeCell ref="D52:E53"/>
    <mergeCell ref="D54:E55"/>
    <mergeCell ref="D56:E57"/>
    <mergeCell ref="D58:E59"/>
    <mergeCell ref="D60:E61"/>
    <mergeCell ref="B62:B71"/>
    <mergeCell ref="D62:E63"/>
    <mergeCell ref="J62:K62"/>
    <mergeCell ref="L63:N63"/>
    <mergeCell ref="D64:E65"/>
    <mergeCell ref="D66:E67"/>
    <mergeCell ref="D68:E69"/>
    <mergeCell ref="D70:E71"/>
    <mergeCell ref="D72:E72"/>
    <mergeCell ref="B77:B78"/>
    <mergeCell ref="C77:C78"/>
    <mergeCell ref="D77:D78"/>
    <mergeCell ref="E77:E78"/>
    <mergeCell ref="M77:M78"/>
    <mergeCell ref="B87:F87"/>
    <mergeCell ref="G87:J87"/>
    <mergeCell ref="K87:N87"/>
    <mergeCell ref="G77:G78"/>
    <mergeCell ref="H77:H78"/>
    <mergeCell ref="I77:I78"/>
    <mergeCell ref="J77:J78"/>
    <mergeCell ref="K77:K78"/>
    <mergeCell ref="L77:L78"/>
    <mergeCell ref="F77:F78"/>
  </mergeCells>
  <conditionalFormatting sqref="B72:B73">
    <cfRule type="cellIs" dxfId="4043" priority="157" operator="notBetween">
      <formula>#REF!</formula>
      <formula>#REF!</formula>
    </cfRule>
  </conditionalFormatting>
  <conditionalFormatting sqref="C76">
    <cfRule type="cellIs" dxfId="4042" priority="190" stopIfTrue="1" operator="greaterThan">
      <formula>100</formula>
    </cfRule>
    <cfRule type="cellIs" dxfId="4041" priority="189" stopIfTrue="1" operator="lessThan">
      <formula>96</formula>
    </cfRule>
  </conditionalFormatting>
  <conditionalFormatting sqref="C90">
    <cfRule type="cellIs" dxfId="4040" priority="212" stopIfTrue="1" operator="greaterThan">
      <formula>$F89</formula>
    </cfRule>
    <cfRule type="cellIs" dxfId="4039" priority="106" stopIfTrue="1" operator="lessThanOrEqual">
      <formula>0</formula>
    </cfRule>
  </conditionalFormatting>
  <conditionalFormatting sqref="C91:C93">
    <cfRule type="cellIs" dxfId="4038" priority="105" stopIfTrue="1" operator="greaterThan">
      <formula>$F91</formula>
    </cfRule>
  </conditionalFormatting>
  <conditionalFormatting sqref="C91:C94">
    <cfRule type="cellIs" dxfId="4037" priority="129" stopIfTrue="1" operator="lessThanOrEqual">
      <formula>0</formula>
    </cfRule>
  </conditionalFormatting>
  <conditionalFormatting sqref="C94">
    <cfRule type="cellIs" dxfId="4036" priority="128" stopIfTrue="1" operator="greaterThan">
      <formula>$J94</formula>
    </cfRule>
  </conditionalFormatting>
  <conditionalFormatting sqref="C95:C97">
    <cfRule type="cellIs" dxfId="4035" priority="145" stopIfTrue="1" operator="greaterThan">
      <formula>$F95</formula>
    </cfRule>
    <cfRule type="cellIs" dxfId="4034" priority="146" stopIfTrue="1" operator="lessThanOrEqual">
      <formula>0</formula>
    </cfRule>
  </conditionalFormatting>
  <conditionalFormatting sqref="C100:C104">
    <cfRule type="cellIs" dxfId="4033" priority="181" stopIfTrue="1" operator="lessThanOrEqual">
      <formula>0</formula>
    </cfRule>
  </conditionalFormatting>
  <conditionalFormatting sqref="C101:C104">
    <cfRule type="cellIs" dxfId="4032" priority="180" stopIfTrue="1" operator="greaterThan">
      <formula>$F$100</formula>
    </cfRule>
  </conditionalFormatting>
  <conditionalFormatting sqref="C106">
    <cfRule type="cellIs" dxfId="4031" priority="183" stopIfTrue="1" operator="lessThanOrEqual">
      <formula>0</formula>
    </cfRule>
    <cfRule type="cellIs" dxfId="4030" priority="182" stopIfTrue="1" operator="greaterThan">
      <formula>$F$100</formula>
    </cfRule>
  </conditionalFormatting>
  <conditionalFormatting sqref="C100:D100 D102:D108">
    <cfRule type="cellIs" dxfId="4029" priority="175" stopIfTrue="1" operator="greaterThan">
      <formula>4.5</formula>
    </cfRule>
  </conditionalFormatting>
  <conditionalFormatting sqref="D72:D73">
    <cfRule type="cellIs" dxfId="4028" priority="158" operator="notBetween">
      <formula>#REF!</formula>
      <formula>#REF!</formula>
    </cfRule>
  </conditionalFormatting>
  <conditionalFormatting sqref="D89:D96">
    <cfRule type="cellIs" dxfId="4027" priority="144" stopIfTrue="1" operator="lessThanOrEqual">
      <formula>0</formula>
    </cfRule>
  </conditionalFormatting>
  <conditionalFormatting sqref="D97">
    <cfRule type="cellIs" dxfId="4026" priority="143" stopIfTrue="1" operator="lessThanOrEqual">
      <formula>0</formula>
    </cfRule>
  </conditionalFormatting>
  <conditionalFormatting sqref="D100 D102:D108">
    <cfRule type="cellIs" dxfId="4025" priority="176" stopIfTrue="1" operator="lessThanOrEqual">
      <formula>0</formula>
    </cfRule>
  </conditionalFormatting>
  <conditionalFormatting sqref="D101">
    <cfRule type="cellIs" dxfId="4024" priority="167" stopIfTrue="1" operator="greaterThan">
      <formula>$F$100</formula>
    </cfRule>
    <cfRule type="cellIs" dxfId="4023" priority="168" stopIfTrue="1" operator="lessThanOrEqual">
      <formula>0</formula>
    </cfRule>
  </conditionalFormatting>
  <conditionalFormatting sqref="D89:E97">
    <cfRule type="cellIs" dxfId="4022" priority="135" stopIfTrue="1" operator="greaterThan">
      <formula>$F89</formula>
    </cfRule>
  </conditionalFormatting>
  <conditionalFormatting sqref="E10:E14">
    <cfRule type="cellIs" dxfId="4021" priority="52" operator="lessThan">
      <formula>48</formula>
    </cfRule>
  </conditionalFormatting>
  <conditionalFormatting sqref="E33:E46">
    <cfRule type="cellIs" dxfId="4020" priority="25" operator="lessThan">
      <formula>48</formula>
    </cfRule>
  </conditionalFormatting>
  <conditionalFormatting sqref="E76">
    <cfRule type="cellIs" dxfId="4019" priority="169" stopIfTrue="1" operator="lessThan">
      <formula>96.8</formula>
    </cfRule>
    <cfRule type="cellIs" dxfId="4018" priority="170" stopIfTrue="1" operator="greaterThan">
      <formula>100</formula>
    </cfRule>
  </conditionalFormatting>
  <conditionalFormatting sqref="E89:E97">
    <cfRule type="cellIs" dxfId="4017" priority="136" stopIfTrue="1" operator="lessThanOrEqual">
      <formula>0</formula>
    </cfRule>
  </conditionalFormatting>
  <conditionalFormatting sqref="E100:E108">
    <cfRule type="cellIs" dxfId="4016" priority="161" stopIfTrue="1" operator="greaterThan">
      <formula>4.5</formula>
    </cfRule>
    <cfRule type="cellIs" dxfId="4015" priority="162" stopIfTrue="1" operator="lessThanOrEqual">
      <formula>0</formula>
    </cfRule>
  </conditionalFormatting>
  <conditionalFormatting sqref="E75:F76">
    <cfRule type="cellIs" dxfId="4014" priority="171" stopIfTrue="1" operator="lessThan">
      <formula>96.5</formula>
    </cfRule>
    <cfRule type="cellIs" dxfId="4013" priority="172" stopIfTrue="1" operator="greaterThan">
      <formula>100</formula>
    </cfRule>
  </conditionalFormatting>
  <conditionalFormatting sqref="F10:F12">
    <cfRule type="cellIs" dxfId="4012" priority="62" operator="greaterThan">
      <formula>#REF!</formula>
    </cfRule>
  </conditionalFormatting>
  <conditionalFormatting sqref="F10:F47">
    <cfRule type="cellIs" dxfId="4011" priority="15" operator="greaterThan">
      <formula>$AA10</formula>
    </cfRule>
  </conditionalFormatting>
  <conditionalFormatting sqref="F13">
    <cfRule type="cellIs" dxfId="4010" priority="53" operator="greaterThan">
      <formula>$AA47</formula>
    </cfRule>
  </conditionalFormatting>
  <conditionalFormatting sqref="F14">
    <cfRule type="cellIs" dxfId="4009" priority="196" operator="greaterThan">
      <formula>#REF!</formula>
    </cfRule>
  </conditionalFormatting>
  <conditionalFormatting sqref="F33:F46">
    <cfRule type="cellIs" dxfId="4008" priority="26" operator="greaterThan">
      <formula>$AA48</formula>
    </cfRule>
  </conditionalFormatting>
  <conditionalFormatting sqref="F76">
    <cfRule type="cellIs" dxfId="4007" priority="188" stopIfTrue="1" operator="greaterThan">
      <formula>100</formula>
    </cfRule>
    <cfRule type="cellIs" dxfId="4006" priority="187" stopIfTrue="1" operator="lessThan">
      <formula>96.8</formula>
    </cfRule>
  </conditionalFormatting>
  <conditionalFormatting sqref="F97">
    <cfRule type="cellIs" dxfId="4005" priority="137" stopIfTrue="1" operator="greaterThan">
      <formula>$F97</formula>
    </cfRule>
    <cfRule type="cellIs" dxfId="4004" priority="138" stopIfTrue="1" operator="lessThanOrEqual">
      <formula>0</formula>
    </cfRule>
  </conditionalFormatting>
  <conditionalFormatting sqref="G10:G14">
    <cfRule type="expression" dxfId="4003" priority="54">
      <formula>IF(+(IF(G10&lt;#REF!,0,IF(G10&gt;#REF!,0,1)))=0,1)</formula>
    </cfRule>
  </conditionalFormatting>
  <conditionalFormatting sqref="G33:G46">
    <cfRule type="expression" dxfId="4002" priority="27">
      <formula>IF(+(IF(G33&lt;#REF!,0,IF(G33&gt;#REF!,0,1)))=0,1)</formula>
    </cfRule>
  </conditionalFormatting>
  <conditionalFormatting sqref="G90">
    <cfRule type="cellIs" dxfId="4001" priority="71" stopIfTrue="1" operator="lessThanOrEqual">
      <formula>0</formula>
    </cfRule>
    <cfRule type="cellIs" dxfId="4000" priority="70" stopIfTrue="1" operator="greaterThan">
      <formula>$F89</formula>
    </cfRule>
  </conditionalFormatting>
  <conditionalFormatting sqref="G90:G91">
    <cfRule type="cellIs" dxfId="3999" priority="192" stopIfTrue="1" operator="lessThanOrEqual">
      <formula>0</formula>
    </cfRule>
    <cfRule type="cellIs" dxfId="3998" priority="191" stopIfTrue="1" operator="greaterThan">
      <formula>$F89</formula>
    </cfRule>
  </conditionalFormatting>
  <conditionalFormatting sqref="G92">
    <cfRule type="cellIs" dxfId="3997" priority="140" stopIfTrue="1" operator="lessThanOrEqual">
      <formula>0</formula>
    </cfRule>
    <cfRule type="cellIs" dxfId="3996" priority="139" stopIfTrue="1" operator="greaterThan">
      <formula>$F92</formula>
    </cfRule>
  </conditionalFormatting>
  <conditionalFormatting sqref="G93:G96">
    <cfRule type="cellIs" dxfId="3995" priority="149" stopIfTrue="1" operator="lessThanOrEqual">
      <formula>0</formula>
    </cfRule>
    <cfRule type="cellIs" dxfId="3994" priority="148" stopIfTrue="1" operator="greaterThan">
      <formula>$J93</formula>
    </cfRule>
  </conditionalFormatting>
  <conditionalFormatting sqref="G97">
    <cfRule type="cellIs" dxfId="3993" priority="147" operator="greaterThan">
      <formula>4.5</formula>
    </cfRule>
  </conditionalFormatting>
  <conditionalFormatting sqref="G102:G107 C105 C107">
    <cfRule type="cellIs" dxfId="3992" priority="184" stopIfTrue="1" operator="greaterThan">
      <formula>4.5</formula>
    </cfRule>
    <cfRule type="cellIs" dxfId="3991" priority="185" stopIfTrue="1" operator="lessThanOrEqual">
      <formula>0</formula>
    </cfRule>
  </conditionalFormatting>
  <conditionalFormatting sqref="G62:H62 G63:G73 H63:H74">
    <cfRule type="cellIs" dxfId="3990" priority="163" stopIfTrue="1" operator="greaterThan">
      <formula>0</formula>
    </cfRule>
  </conditionalFormatting>
  <conditionalFormatting sqref="G101:H101">
    <cfRule type="cellIs" dxfId="3989" priority="166" stopIfTrue="1" operator="lessThanOrEqual">
      <formula>0</formula>
    </cfRule>
    <cfRule type="cellIs" dxfId="3988" priority="165" stopIfTrue="1" operator="greaterThan">
      <formula>$F$100</formula>
    </cfRule>
  </conditionalFormatting>
  <conditionalFormatting sqref="H10">
    <cfRule type="expression" dxfId="3987" priority="63">
      <formula>IF(+(IF(H10&lt;T27,0,IF(H10&gt;U27,0,1)))=0,1)</formula>
    </cfRule>
  </conditionalFormatting>
  <conditionalFormatting sqref="H10:H12">
    <cfRule type="expression" dxfId="3986" priority="64">
      <formula>IF(+(IF(H10&lt;#REF!,0,IF(H10&gt;#REF!,0,1)))=0,1)</formula>
    </cfRule>
  </conditionalFormatting>
  <conditionalFormatting sqref="H11:H12">
    <cfRule type="expression" dxfId="3985" priority="207">
      <formula>IF(+(IF(H11&lt;T47,0,IF(H11&gt;U47,0,1)))=0,1)</formula>
    </cfRule>
  </conditionalFormatting>
  <conditionalFormatting sqref="H13">
    <cfRule type="expression" dxfId="3984" priority="55">
      <formula>IF(+(IF(H13&lt;T56,0,IF(H13&gt;U56,0,1)))=0,1)</formula>
    </cfRule>
    <cfRule type="expression" dxfId="3983" priority="56">
      <formula>IF(+(IF(H13&lt;T47,0,IF(H13&gt;U47,0,1)))=0,1)</formula>
    </cfRule>
  </conditionalFormatting>
  <conditionalFormatting sqref="H14">
    <cfRule type="expression" dxfId="3982" priority="197">
      <formula>IF(+(IF(H14&lt;T50,0,IF(H14&gt;U50,0,1)))=0,1)</formula>
    </cfRule>
    <cfRule type="expression" dxfId="3981" priority="198">
      <formula>IF(+(IF(H14&lt;#REF!,0,IF(H14&gt;#REF!,0,1)))=0,1)</formula>
    </cfRule>
  </conditionalFormatting>
  <conditionalFormatting sqref="H15:H32">
    <cfRule type="expression" dxfId="3980" priority="209">
      <formula>IF(+(IF(H15&lt;T66,0,IF(H15&gt;U66,0,1)))=0,1)</formula>
    </cfRule>
  </conditionalFormatting>
  <conditionalFormatting sqref="H33:H46">
    <cfRule type="expression" dxfId="3979" priority="29">
      <formula>IF(+(IF(H33&lt;T48,0,IF(H33&gt;U48,0,1)))=0,1)</formula>
    </cfRule>
    <cfRule type="expression" dxfId="3978" priority="28">
      <formula>IF(+(IF(H33&lt;T57,0,IF(H33&gt;U57,0,1)))=0,1)</formula>
    </cfRule>
  </conditionalFormatting>
  <conditionalFormatting sqref="H47">
    <cfRule type="expression" dxfId="3977" priority="193">
      <formula>IF(+(IF(H47&lt;#REF!,0,IF(H47&gt;#REF!,0,1)))=0,1)</formula>
    </cfRule>
  </conditionalFormatting>
  <conditionalFormatting sqref="H51:H61">
    <cfRule type="cellIs" dxfId="3976" priority="159" stopIfTrue="1" operator="greaterThan">
      <formula>0</formula>
    </cfRule>
  </conditionalFormatting>
  <conditionalFormatting sqref="H79">
    <cfRule type="cellIs" dxfId="3975" priority="12" stopIfTrue="1" operator="lessThanOrEqual">
      <formula>0</formula>
    </cfRule>
    <cfRule type="cellIs" dxfId="3974" priority="14" stopIfTrue="1" operator="lessThanOrEqual">
      <formula>0</formula>
    </cfRule>
    <cfRule type="cellIs" dxfId="3973" priority="13" stopIfTrue="1" operator="greaterThan">
      <formula>$F$54</formula>
    </cfRule>
    <cfRule type="cellIs" dxfId="3972" priority="11" stopIfTrue="1" operator="greaterThan">
      <formula>$F$56</formula>
    </cfRule>
    <cfRule type="cellIs" dxfId="3971" priority="2" stopIfTrue="1" operator="lessThanOrEqual">
      <formula>0</formula>
    </cfRule>
    <cfRule type="cellIs" dxfId="3970" priority="3" stopIfTrue="1" operator="greaterThan">
      <formula>$F$53</formula>
    </cfRule>
  </conditionalFormatting>
  <conditionalFormatting sqref="H80">
    <cfRule type="cellIs" dxfId="3969" priority="92" stopIfTrue="1" operator="lessThanOrEqual">
      <formula>0</formula>
    </cfRule>
    <cfRule type="cellIs" dxfId="3968" priority="93" stopIfTrue="1" operator="greaterThan">
      <formula>$F$88</formula>
    </cfRule>
    <cfRule type="cellIs" dxfId="3967" priority="104" stopIfTrue="1" operator="lessThanOrEqual">
      <formula>0</formula>
    </cfRule>
    <cfRule type="cellIs" dxfId="3966" priority="101" stopIfTrue="1" operator="greaterThan">
      <formula>$F$91</formula>
    </cfRule>
    <cfRule type="cellIs" dxfId="3965" priority="102" stopIfTrue="1" operator="lessThanOrEqual">
      <formula>0</formula>
    </cfRule>
    <cfRule type="cellIs" dxfId="3964" priority="103" stopIfTrue="1" operator="greaterThan">
      <formula>$F$89</formula>
    </cfRule>
  </conditionalFormatting>
  <conditionalFormatting sqref="H81">
    <cfRule type="cellIs" dxfId="3963" priority="45" stopIfTrue="1" operator="lessThanOrEqual">
      <formula>0</formula>
    </cfRule>
    <cfRule type="cellIs" dxfId="3962" priority="36" stopIfTrue="1" operator="greaterThan">
      <formula>$F$72</formula>
    </cfRule>
    <cfRule type="cellIs" dxfId="3961" priority="35" stopIfTrue="1" operator="lessThanOrEqual">
      <formula>0</formula>
    </cfRule>
    <cfRule type="cellIs" dxfId="3960" priority="44" stopIfTrue="1" operator="greaterThan">
      <formula>$F$75</formula>
    </cfRule>
    <cfRule type="cellIs" dxfId="3959" priority="47" stopIfTrue="1" operator="lessThanOrEqual">
      <formula>0</formula>
    </cfRule>
    <cfRule type="cellIs" dxfId="3958" priority="46" stopIfTrue="1" operator="greaterThan">
      <formula>$F$73</formula>
    </cfRule>
  </conditionalFormatting>
  <conditionalFormatting sqref="H82">
    <cfRule type="cellIs" dxfId="3957" priority="84" stopIfTrue="1" operator="greaterThan">
      <formula>#REF!</formula>
    </cfRule>
    <cfRule type="cellIs" dxfId="3956" priority="75" stopIfTrue="1" operator="lessThanOrEqual">
      <formula>0</formula>
    </cfRule>
    <cfRule type="cellIs" dxfId="3955" priority="76" stopIfTrue="1" operator="greaterThan">
      <formula>#REF!</formula>
    </cfRule>
  </conditionalFormatting>
  <conditionalFormatting sqref="H82:H84">
    <cfRule type="cellIs" dxfId="3954" priority="85" stopIfTrue="1" operator="lessThanOrEqual">
      <formula>0</formula>
    </cfRule>
  </conditionalFormatting>
  <conditionalFormatting sqref="H83:H84">
    <cfRule type="cellIs" dxfId="3953" priority="125" stopIfTrue="1" operator="lessThanOrEqual">
      <formula>0</formula>
    </cfRule>
    <cfRule type="cellIs" dxfId="3952" priority="124" stopIfTrue="1" operator="greaterThan">
      <formula>$F$90</formula>
    </cfRule>
    <cfRule type="cellIs" dxfId="3951" priority="122" stopIfTrue="1" operator="greaterThan">
      <formula>$F$92</formula>
    </cfRule>
    <cfRule type="cellIs" dxfId="3950" priority="114" stopIfTrue="1" operator="greaterThan">
      <formula>$F$89</formula>
    </cfRule>
    <cfRule type="cellIs" dxfId="3949" priority="123" stopIfTrue="1" operator="lessThanOrEqual">
      <formula>0</formula>
    </cfRule>
  </conditionalFormatting>
  <conditionalFormatting sqref="H85">
    <cfRule type="cellIs" dxfId="3948" priority="155" stopIfTrue="1" operator="greaterThan">
      <formula>$F$82</formula>
    </cfRule>
    <cfRule type="cellIs" dxfId="3947" priority="156" stopIfTrue="1" operator="lessThanOrEqual">
      <formula>0</formula>
    </cfRule>
    <cfRule type="cellIs" dxfId="3946" priority="153" stopIfTrue="1" operator="greaterThan">
      <formula>$F$86</formula>
    </cfRule>
    <cfRule type="cellIs" dxfId="3945" priority="154" stopIfTrue="1" operator="lessThanOrEqual">
      <formula>0</formula>
    </cfRule>
  </conditionalFormatting>
  <conditionalFormatting sqref="H89:H96">
    <cfRule type="cellIs" dxfId="3944" priority="127" stopIfTrue="1" operator="lessThanOrEqual">
      <formula>0</formula>
    </cfRule>
    <cfRule type="cellIs" dxfId="3943" priority="126" stopIfTrue="1" operator="greaterThan">
      <formula>$J89</formula>
    </cfRule>
  </conditionalFormatting>
  <conditionalFormatting sqref="H97">
    <cfRule type="cellIs" dxfId="3942" priority="132" operator="greaterThan">
      <formula>5.3</formula>
    </cfRule>
  </conditionalFormatting>
  <conditionalFormatting sqref="H100 H102:H108">
    <cfRule type="cellIs" dxfId="3941" priority="177" stopIfTrue="1" operator="greaterThan">
      <formula>4.5</formula>
    </cfRule>
    <cfRule type="cellIs" dxfId="3940" priority="178" stopIfTrue="1" operator="lessThanOrEqual">
      <formula>0</formula>
    </cfRule>
  </conditionalFormatting>
  <conditionalFormatting sqref="H79:I79">
    <cfRule type="cellIs" dxfId="3939" priority="4" stopIfTrue="1" operator="lessThanOrEqual">
      <formula>0</formula>
    </cfRule>
    <cfRule type="cellIs" dxfId="3938" priority="1" stopIfTrue="1" operator="greaterThan">
      <formula>$F$55</formula>
    </cfRule>
  </conditionalFormatting>
  <conditionalFormatting sqref="H80:I80">
    <cfRule type="cellIs" dxfId="3937" priority="94" stopIfTrue="1" operator="lessThanOrEqual">
      <formula>0</formula>
    </cfRule>
    <cfRule type="cellIs" dxfId="3936" priority="91" stopIfTrue="1" operator="greaterThan">
      <formula>$F$90</formula>
    </cfRule>
  </conditionalFormatting>
  <conditionalFormatting sqref="H81:I81">
    <cfRule type="cellIs" dxfId="3935" priority="37" stopIfTrue="1" operator="lessThanOrEqual">
      <formula>0</formula>
    </cfRule>
    <cfRule type="cellIs" dxfId="3934" priority="34" stopIfTrue="1" operator="greaterThan">
      <formula>$F$74</formula>
    </cfRule>
  </conditionalFormatting>
  <conditionalFormatting sqref="H82:I82">
    <cfRule type="cellIs" dxfId="3933" priority="83" stopIfTrue="1" operator="lessThanOrEqual">
      <formula>0</formula>
    </cfRule>
    <cfRule type="cellIs" dxfId="3932" priority="82" stopIfTrue="1" operator="greaterThan">
      <formula>#REF!</formula>
    </cfRule>
    <cfRule type="cellIs" dxfId="3931" priority="74" stopIfTrue="1" operator="greaterThan">
      <formula>#REF!</formula>
    </cfRule>
    <cfRule type="cellIs" dxfId="3930" priority="77" stopIfTrue="1" operator="lessThanOrEqual">
      <formula>0</formula>
    </cfRule>
  </conditionalFormatting>
  <conditionalFormatting sqref="H83:I83">
    <cfRule type="cellIs" dxfId="3929" priority="115" stopIfTrue="1" operator="lessThanOrEqual">
      <formula>0</formula>
    </cfRule>
  </conditionalFormatting>
  <conditionalFormatting sqref="H83:I84">
    <cfRule type="cellIs" dxfId="3928" priority="72" stopIfTrue="1" operator="greaterThan">
      <formula>$F$91</formula>
    </cfRule>
  </conditionalFormatting>
  <conditionalFormatting sqref="H84:I84">
    <cfRule type="cellIs" dxfId="3927" priority="73" stopIfTrue="1" operator="lessThanOrEqual">
      <formula>0</formula>
    </cfRule>
  </conditionalFormatting>
  <conditionalFormatting sqref="I10:I14">
    <cfRule type="cellIs" dxfId="3926" priority="49" operator="lessThan">
      <formula>97.8</formula>
    </cfRule>
  </conditionalFormatting>
  <conditionalFormatting sqref="I10:I47">
    <cfRule type="cellIs" dxfId="3925" priority="21" operator="lessThan">
      <formula>98</formula>
    </cfRule>
  </conditionalFormatting>
  <conditionalFormatting sqref="I33:I46">
    <cfRule type="cellIs" dxfId="3924" priority="22" operator="lessThan">
      <formula>97.8</formula>
    </cfRule>
  </conditionalFormatting>
  <conditionalFormatting sqref="I79">
    <cfRule type="cellIs" dxfId="3923" priority="5" stopIfTrue="1" operator="greaterThan">
      <formula>$F$53</formula>
    </cfRule>
    <cfRule type="cellIs" dxfId="3922" priority="6" stopIfTrue="1" operator="lessThanOrEqual">
      <formula>0</formula>
    </cfRule>
    <cfRule type="cellIs" dxfId="3921" priority="7" stopIfTrue="1" operator="greaterThan">
      <formula>$F$55</formula>
    </cfRule>
    <cfRule type="cellIs" dxfId="3920" priority="8" stopIfTrue="1" operator="lessThanOrEqual">
      <formula>0</formula>
    </cfRule>
    <cfRule type="cellIs" dxfId="3919" priority="9" stopIfTrue="1" operator="greaterThan">
      <formula>$F$53</formula>
    </cfRule>
    <cfRule type="cellIs" dxfId="3918" priority="10" stopIfTrue="1" operator="lessThanOrEqual">
      <formula>0</formula>
    </cfRule>
  </conditionalFormatting>
  <conditionalFormatting sqref="I80">
    <cfRule type="cellIs" dxfId="3917" priority="99" stopIfTrue="1" operator="greaterThan">
      <formula>$F$88</formula>
    </cfRule>
    <cfRule type="cellIs" dxfId="3916" priority="97" stopIfTrue="1" operator="greaterThan">
      <formula>$F$90</formula>
    </cfRule>
    <cfRule type="cellIs" dxfId="3915" priority="96" stopIfTrue="1" operator="lessThanOrEqual">
      <formula>0</formula>
    </cfRule>
    <cfRule type="cellIs" dxfId="3914" priority="95" stopIfTrue="1" operator="greaterThan">
      <formula>$F$88</formula>
    </cfRule>
    <cfRule type="cellIs" dxfId="3913" priority="100" stopIfTrue="1" operator="lessThanOrEqual">
      <formula>0</formula>
    </cfRule>
    <cfRule type="cellIs" dxfId="3912" priority="98" stopIfTrue="1" operator="lessThanOrEqual">
      <formula>0</formula>
    </cfRule>
  </conditionalFormatting>
  <conditionalFormatting sqref="I81">
    <cfRule type="cellIs" dxfId="3911" priority="43" stopIfTrue="1" operator="lessThanOrEqual">
      <formula>0</formula>
    </cfRule>
    <cfRule type="cellIs" dxfId="3910" priority="42" stopIfTrue="1" operator="greaterThan">
      <formula>$F$72</formula>
    </cfRule>
    <cfRule type="cellIs" dxfId="3909" priority="41" stopIfTrue="1" operator="lessThanOrEqual">
      <formula>0</formula>
    </cfRule>
    <cfRule type="cellIs" dxfId="3908" priority="40" stopIfTrue="1" operator="greaterThan">
      <formula>$F$74</formula>
    </cfRule>
    <cfRule type="cellIs" dxfId="3907" priority="39" stopIfTrue="1" operator="lessThanOrEqual">
      <formula>0</formula>
    </cfRule>
    <cfRule type="cellIs" dxfId="3906" priority="38" stopIfTrue="1" operator="greaterThan">
      <formula>$F$72</formula>
    </cfRule>
  </conditionalFormatting>
  <conditionalFormatting sqref="I82">
    <cfRule type="cellIs" dxfId="3905" priority="80" stopIfTrue="1" operator="greaterThan">
      <formula>#REF!</formula>
    </cfRule>
    <cfRule type="cellIs" dxfId="3904" priority="79" stopIfTrue="1" operator="lessThanOrEqual">
      <formula>0</formula>
    </cfRule>
    <cfRule type="cellIs" dxfId="3903" priority="78" stopIfTrue="1" operator="greaterThan">
      <formula>#REF!</formula>
    </cfRule>
    <cfRule type="cellIs" dxfId="3902" priority="81" stopIfTrue="1" operator="lessThanOrEqual">
      <formula>0</formula>
    </cfRule>
  </conditionalFormatting>
  <conditionalFormatting sqref="I83:I84">
    <cfRule type="cellIs" dxfId="3901" priority="118" stopIfTrue="1" operator="greaterThan">
      <formula>$F$91</formula>
    </cfRule>
    <cfRule type="cellIs" dxfId="3900" priority="116" stopIfTrue="1" operator="greaterThan">
      <formula>$F$89</formula>
    </cfRule>
    <cfRule type="cellIs" dxfId="3899" priority="117" stopIfTrue="1" operator="lessThanOrEqual">
      <formula>0</formula>
    </cfRule>
    <cfRule type="cellIs" dxfId="3898" priority="119" stopIfTrue="1" operator="lessThanOrEqual">
      <formula>0</formula>
    </cfRule>
    <cfRule type="cellIs" dxfId="3897" priority="120" stopIfTrue="1" operator="greaterThan">
      <formula>$F$89</formula>
    </cfRule>
    <cfRule type="cellIs" dxfId="3896" priority="121" stopIfTrue="1" operator="lessThanOrEqual">
      <formula>0</formula>
    </cfRule>
  </conditionalFormatting>
  <conditionalFormatting sqref="I89:I97">
    <cfRule type="cellIs" dxfId="3895" priority="133" stopIfTrue="1" operator="greaterThan">
      <formula>$J89</formula>
    </cfRule>
    <cfRule type="cellIs" dxfId="3894" priority="134" stopIfTrue="1" operator="lessThanOrEqual">
      <formula>0</formula>
    </cfRule>
  </conditionalFormatting>
  <conditionalFormatting sqref="I100:I108">
    <cfRule type="cellIs" dxfId="3893" priority="173" stopIfTrue="1" operator="greaterThan">
      <formula>4.5</formula>
    </cfRule>
    <cfRule type="cellIs" dxfId="3892" priority="174" stopIfTrue="1" operator="lessThanOrEqual">
      <formula>0</formula>
    </cfRule>
  </conditionalFormatting>
  <conditionalFormatting sqref="J10:J14">
    <cfRule type="cellIs" dxfId="3891" priority="51" operator="notBetween">
      <formula>98</formula>
      <formula>99.9</formula>
    </cfRule>
  </conditionalFormatting>
  <conditionalFormatting sqref="J10:J47">
    <cfRule type="cellIs" dxfId="3890" priority="20" operator="lessThan">
      <formula>97.4</formula>
    </cfRule>
  </conditionalFormatting>
  <conditionalFormatting sqref="J33:J46">
    <cfRule type="cellIs" dxfId="3889" priority="24" operator="notBetween">
      <formula>98</formula>
      <formula>99.9</formula>
    </cfRule>
  </conditionalFormatting>
  <conditionalFormatting sqref="J50:J52">
    <cfRule type="cellIs" dxfId="3888" priority="108" stopIfTrue="1" operator="greaterThan">
      <formula>100</formula>
    </cfRule>
    <cfRule type="cellIs" dxfId="3887" priority="109" operator="lessThan">
      <formula>98</formula>
    </cfRule>
    <cfRule type="cellIs" dxfId="3886" priority="107" stopIfTrue="1" operator="lessThan">
      <formula>96.8</formula>
    </cfRule>
  </conditionalFormatting>
  <conditionalFormatting sqref="J50:J54">
    <cfRule type="cellIs" dxfId="3885" priority="48" operator="lessThan">
      <formula>97.4</formula>
    </cfRule>
  </conditionalFormatting>
  <conditionalFormatting sqref="J55 L59:M59 L61:M61">
    <cfRule type="cellIs" dxfId="3884" priority="110" operator="lessThan">
      <formula>98</formula>
    </cfRule>
  </conditionalFormatting>
  <conditionalFormatting sqref="J56:J57">
    <cfRule type="cellIs" dxfId="3883" priority="111" stopIfTrue="1" operator="lessThan">
      <formula>96.8</formula>
    </cfRule>
    <cfRule type="cellIs" dxfId="3882" priority="112" stopIfTrue="1" operator="greaterThan">
      <formula>100</formula>
    </cfRule>
  </conditionalFormatting>
  <conditionalFormatting sqref="J56:J58">
    <cfRule type="cellIs" dxfId="3881" priority="113" operator="lessThan">
      <formula>98</formula>
    </cfRule>
  </conditionalFormatting>
  <conditionalFormatting sqref="K10:K14">
    <cfRule type="cellIs" dxfId="3880" priority="50" operator="greaterThan">
      <formula>6.4</formula>
    </cfRule>
  </conditionalFormatting>
  <conditionalFormatting sqref="K10:K47">
    <cfRule type="cellIs" dxfId="3879" priority="17" operator="lessThan">
      <formula>4</formula>
    </cfRule>
    <cfRule type="cellIs" dxfId="3878" priority="16" operator="greaterThan">
      <formula>6</formula>
    </cfRule>
  </conditionalFormatting>
  <conditionalFormatting sqref="K33:K46">
    <cfRule type="cellIs" dxfId="3877" priority="23" operator="greaterThan">
      <formula>6.4</formula>
    </cfRule>
  </conditionalFormatting>
  <conditionalFormatting sqref="K64:K73">
    <cfRule type="cellIs" dxfId="3876" priority="141" operator="notEqual">
      <formula>#REF!</formula>
    </cfRule>
  </conditionalFormatting>
  <conditionalFormatting sqref="K79:K84 J85:K85 L89:N89 K90:N97">
    <cfRule type="cellIs" dxfId="3875" priority="152" stopIfTrue="1" operator="lessThan">
      <formula>100%</formula>
    </cfRule>
  </conditionalFormatting>
  <conditionalFormatting sqref="K100:K105">
    <cfRule type="cellIs" dxfId="3874" priority="179" stopIfTrue="1" operator="lessThan">
      <formula>100%</formula>
    </cfRule>
  </conditionalFormatting>
  <conditionalFormatting sqref="K107:K108">
    <cfRule type="cellIs" dxfId="3873" priority="186" stopIfTrue="1" operator="lessThan">
      <formula>100%</formula>
    </cfRule>
  </conditionalFormatting>
  <conditionalFormatting sqref="L10:L47">
    <cfRule type="cellIs" dxfId="3872" priority="19" operator="greaterThan">
      <formula>65</formula>
    </cfRule>
    <cfRule type="cellIs" dxfId="3871" priority="18" operator="between">
      <formula>61</formula>
      <formula>65</formula>
    </cfRule>
  </conditionalFormatting>
  <conditionalFormatting sqref="L52:L58">
    <cfRule type="cellIs" dxfId="3870" priority="88" operator="lessThan">
      <formula>98</formula>
    </cfRule>
  </conditionalFormatting>
  <conditionalFormatting sqref="L65:N65">
    <cfRule type="cellIs" dxfId="3869" priority="87" operator="notEqual">
      <formula>#REF!</formula>
    </cfRule>
  </conditionalFormatting>
  <conditionalFormatting sqref="L100:N108">
    <cfRule type="cellIs" dxfId="3868" priority="164" stopIfTrue="1" operator="lessThan">
      <formula>100%</formula>
    </cfRule>
  </conditionalFormatting>
  <conditionalFormatting sqref="M10:M11">
    <cfRule type="expression" dxfId="3867" priority="65">
      <formula>IF(+(IF(M10&lt;V23,0,IF(M10&gt;W23,0,1)))=0,1)</formula>
    </cfRule>
  </conditionalFormatting>
  <conditionalFormatting sqref="M13">
    <cfRule type="expression" dxfId="3866" priority="58">
      <formula>IF(+(IF(M13&lt;V47,0,IF(M13&gt;W47,0,1)))=0,1)</formula>
    </cfRule>
    <cfRule type="expression" dxfId="3865" priority="57">
      <formula>IF(+(IF(M13&lt;V52,0,IF(M13&gt;W52,0,1)))=0,1)</formula>
    </cfRule>
  </conditionalFormatting>
  <conditionalFormatting sqref="M14">
    <cfRule type="expression" dxfId="3864" priority="199">
      <formula>IF(+(IF(M14&lt;V27,0,IF(M14&gt;W27,0,1)))=0,1)</formula>
    </cfRule>
  </conditionalFormatting>
  <conditionalFormatting sqref="M15:M32">
    <cfRule type="expression" dxfId="3863" priority="210">
      <formula>IF(+(IF(M15&lt;V62,0,IF(M15&gt;W62,0,1)))=0,1)</formula>
    </cfRule>
  </conditionalFormatting>
  <conditionalFormatting sqref="M33:M46">
    <cfRule type="expression" dxfId="3862" priority="31">
      <formula>IF(+(IF(M33&lt;V48,0,IF(M33&gt;W48,0,1)))=0,1)</formula>
    </cfRule>
    <cfRule type="expression" dxfId="3861" priority="30">
      <formula>IF(+(IF(M33&lt;V53,0,IF(M33&gt;W53,0,1)))=0,1)</formula>
    </cfRule>
  </conditionalFormatting>
  <conditionalFormatting sqref="M50:M58">
    <cfRule type="cellIs" dxfId="3860" priority="86" operator="lessThan">
      <formula>98</formula>
    </cfRule>
  </conditionalFormatting>
  <conditionalFormatting sqref="M10:N12">
    <cfRule type="expression" dxfId="3859" priority="66">
      <formula>IF(+(IF(M10&lt;#REF!,0,IF(M10&gt;#REF!,0,1)))=0,1)</formula>
    </cfRule>
  </conditionalFormatting>
  <conditionalFormatting sqref="M14:N14">
    <cfRule type="expression" dxfId="3858" priority="200">
      <formula>IF(+(IF(M14&lt;#REF!,0,IF(M14&gt;#REF!,0,1)))=0,1)</formula>
    </cfRule>
  </conditionalFormatting>
  <conditionalFormatting sqref="M47:N47">
    <cfRule type="expression" dxfId="3857" priority="194">
      <formula>IF(+(IF(M47&lt;#REF!,0,IF(M47&gt;#REF!,0,1)))=0,1)</formula>
    </cfRule>
  </conditionalFormatting>
  <conditionalFormatting sqref="N10:N11">
    <cfRule type="expression" dxfId="3856" priority="67">
      <formula>IF(+(IF(N10&lt;X23,0,IF(N10&gt;Y23,0,1)))=0,1)</formula>
    </cfRule>
  </conditionalFormatting>
  <conditionalFormatting sqref="N13">
    <cfRule type="expression" dxfId="3855" priority="60">
      <formula>IF(+(IF(N13&lt;X47,0,IF(N13&gt;Y47,0,1)))=0,1)</formula>
    </cfRule>
    <cfRule type="expression" dxfId="3854" priority="59">
      <formula>IF(+(IF(N13&lt;X52,0,IF(N13&gt;Y52,0,1)))=0,1)</formula>
    </cfRule>
  </conditionalFormatting>
  <conditionalFormatting sqref="N14">
    <cfRule type="expression" dxfId="3853" priority="203">
      <formula>IF(+(IF(N14&lt;X27,0,IF(N14&gt;Y27,0,1)))=0,1)</formula>
    </cfRule>
  </conditionalFormatting>
  <conditionalFormatting sqref="N15:N32">
    <cfRule type="expression" dxfId="3852" priority="211">
      <formula>IF(+(IF(N15&lt;X62,0,IF(N15&gt;Y62,0,1)))=0,1)</formula>
    </cfRule>
  </conditionalFormatting>
  <conditionalFormatting sqref="N33:N46">
    <cfRule type="expression" dxfId="3851" priority="33">
      <formula>IF(+(IF(N33&lt;X48,0,IF(N33&gt;Y48,0,1)))=0,1)</formula>
    </cfRule>
    <cfRule type="expression" dxfId="3850" priority="32">
      <formula>IF(+(IF(N33&lt;X53,0,IF(N33&gt;Y53,0,1)))=0,1)</formula>
    </cfRule>
  </conditionalFormatting>
  <conditionalFormatting sqref="P6">
    <cfRule type="cellIs" dxfId="3849" priority="160" operator="greaterThanOrEqual">
      <formula>19</formula>
    </cfRule>
  </conditionalFormatting>
  <dataValidations count="1">
    <dataValidation type="list" allowBlank="1" showInputMessage="1" showErrorMessage="1" sqref="S8 B13 B15:B47" xr:uid="{0829AB47-947B-4730-ADDD-DF3E14D3F471}">
      <formula1>ProductList</formula1>
    </dataValidation>
  </dataValidations>
  <pageMargins left="0.7" right="0.7" top="0.75" bottom="0.75" header="0.3" footer="0.3"/>
  <pageSetup scale="46" fitToWidth="0" orientation="landscape" r:id="rId1"/>
  <rowBreaks count="1" manualBreakCount="1">
    <brk id="102" max="16383" man="1"/>
  </rowBreaks>
  <colBreaks count="1" manualBreakCount="1">
    <brk id="15" max="8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490A5-902F-4CB6-8A72-5726B32B0951}">
  <sheetPr>
    <pageSetUpPr fitToPage="1"/>
  </sheetPr>
  <dimension ref="A1:BE79"/>
  <sheetViews>
    <sheetView topLeftCell="A5" zoomScale="70" zoomScaleNormal="70" workbookViewId="0">
      <selection activeCell="E10" sqref="E10:E13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30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12" t="s">
        <v>0</v>
      </c>
      <c r="T1" s="512"/>
      <c r="U1" s="512" t="s">
        <v>1</v>
      </c>
      <c r="V1" s="512"/>
      <c r="W1" s="512" t="s">
        <v>2</v>
      </c>
      <c r="X1" s="512"/>
      <c r="Y1" s="512" t="s">
        <v>124</v>
      </c>
      <c r="Z1" s="512"/>
    </row>
    <row r="2" spans="2:29" ht="15">
      <c r="B2" s="513" t="s">
        <v>3</v>
      </c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46238</v>
      </c>
      <c r="J4" s="398" t="s">
        <v>167</v>
      </c>
      <c r="K4" s="398"/>
      <c r="L4" s="11"/>
      <c r="M4" s="510" t="s">
        <v>8</v>
      </c>
      <c r="N4" s="511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6"/>
      <c r="D5" s="516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19" t="s">
        <v>18</v>
      </c>
      <c r="D8" s="519" t="s">
        <v>19</v>
      </c>
      <c r="E8" s="356" t="s">
        <v>20</v>
      </c>
      <c r="F8" s="356" t="s">
        <v>21</v>
      </c>
      <c r="G8" s="519" t="s">
        <v>22</v>
      </c>
      <c r="H8" s="520" t="s">
        <v>144</v>
      </c>
      <c r="I8" s="519" t="s">
        <v>165</v>
      </c>
      <c r="J8" s="522" t="s">
        <v>23</v>
      </c>
      <c r="K8" s="524" t="s">
        <v>142</v>
      </c>
      <c r="L8" s="526" t="s">
        <v>24</v>
      </c>
      <c r="M8" s="359" t="s">
        <v>25</v>
      </c>
      <c r="N8" s="17" t="s">
        <v>168</v>
      </c>
      <c r="O8" s="519" t="s">
        <v>155</v>
      </c>
      <c r="P8" s="514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8"/>
      <c r="C9" s="515"/>
      <c r="D9" s="515"/>
      <c r="E9" s="357" t="s">
        <v>30</v>
      </c>
      <c r="F9" s="357" t="s">
        <v>31</v>
      </c>
      <c r="G9" s="515"/>
      <c r="H9" s="521"/>
      <c r="I9" s="515"/>
      <c r="J9" s="523"/>
      <c r="K9" s="525"/>
      <c r="L9" s="527"/>
      <c r="M9" s="20" t="s">
        <v>32</v>
      </c>
      <c r="N9" s="21" t="s">
        <v>41</v>
      </c>
      <c r="O9" s="515"/>
      <c r="P9" s="515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33" t="s">
        <v>9</v>
      </c>
      <c r="C10" s="366" t="str">
        <f>[3]Brewhouse!$A327</f>
        <v>ST270</v>
      </c>
      <c r="D10" s="279">
        <f>[3]Brewhouse!$AB327</f>
        <v>53.1</v>
      </c>
      <c r="E10" s="279">
        <f>[3]Brewhouse!$AG327</f>
        <v>47.5</v>
      </c>
      <c r="F10" s="278">
        <f>[3]Brewhouse!$V327</f>
        <v>56</v>
      </c>
      <c r="G10" s="279">
        <f>[3]Brewhouse!$AE327</f>
        <v>11.7</v>
      </c>
      <c r="H10" s="396"/>
      <c r="I10" s="368">
        <f>[3]Brewhouse!$AS327</f>
        <v>94.796610655110641</v>
      </c>
      <c r="J10" s="368">
        <f>[3]Brewhouse!$AT327</f>
        <v>95.236110798716737</v>
      </c>
      <c r="K10" s="281">
        <f>[3]Brewhouse!$Q327</f>
        <v>16.525423728813557</v>
      </c>
      <c r="L10" s="276">
        <f>[3]Brewhouse!$P327</f>
        <v>61</v>
      </c>
      <c r="M10" s="374">
        <f>[3]Brewhouse!$U327-[3]Brewhouse!$T327</f>
        <v>0.10833333333333339</v>
      </c>
      <c r="N10" s="370">
        <f>[3]Brewhouse!$AW327</f>
        <v>0.25208333333333333</v>
      </c>
      <c r="O10" s="420" t="str">
        <f>[3]Brewhouse!$AV327</f>
        <v>D. Gomaz</v>
      </c>
      <c r="P10" s="418"/>
      <c r="R10" s="277" t="str">
        <f t="shared" ref="R10:R25" si="0">B10</f>
        <v>STAG</v>
      </c>
      <c r="S10" s="472">
        <f t="shared" ref="S10:S25" si="1">VLOOKUP($B10,$R$3:$X$9,2,FALSE)</f>
        <v>11.6</v>
      </c>
      <c r="T10" s="472">
        <f t="shared" ref="T10:T25" si="2">VLOOKUP($B10,$R$3:$X$9,3,FALSE)</f>
        <v>12</v>
      </c>
      <c r="U10" s="297">
        <f t="shared" ref="U10:U25" si="3">VLOOKUP($B10,$R$3:$X$9,4,FALSE)</f>
        <v>0</v>
      </c>
      <c r="V10" s="297">
        <f t="shared" ref="V10:V25" si="4">VLOOKUP($B10,$R$3:$X$9,5,FALSE)</f>
        <v>0.118055555555556</v>
      </c>
      <c r="W10" s="297">
        <f t="shared" ref="W10:W25" si="5">VLOOKUP($B10,$R$3:$X$9,6,FALSE)</f>
        <v>0.22569444444444445</v>
      </c>
      <c r="X10" s="297">
        <f t="shared" ref="X10:X25" si="6">VLOOKUP($B10,$R$3:$X$9,7,FALSE)</f>
        <v>0.2638888888888889</v>
      </c>
      <c r="Y10" s="297">
        <f t="shared" ref="Y10:Y25" si="7">VLOOKUP($B10,$R$3:$Z$9,8,FALSE)</f>
        <v>0</v>
      </c>
      <c r="Z10" s="472">
        <f t="shared" ref="Z10:Z25" si="8">VLOOKUP($B10,$R$3:$Z$9,9,FALSE)</f>
        <v>60</v>
      </c>
    </row>
    <row r="11" spans="2:29" ht="17.25" customHeight="1">
      <c r="B11" s="33" t="s">
        <v>9</v>
      </c>
      <c r="C11" s="366" t="str">
        <f>[3]Brewhouse!$A328</f>
        <v>ST271</v>
      </c>
      <c r="D11" s="279">
        <f>[3]Brewhouse!$AB328</f>
        <v>53.1</v>
      </c>
      <c r="E11" s="279">
        <f>[3]Brewhouse!$AG328</f>
        <v>49.2</v>
      </c>
      <c r="F11" s="278">
        <f>[3]Brewhouse!$V328</f>
        <v>54</v>
      </c>
      <c r="G11" s="279">
        <f>[3]Brewhouse!$AE328</f>
        <v>11.7</v>
      </c>
      <c r="H11" s="396"/>
      <c r="I11" s="368">
        <f>[3]Brewhouse!$AS328</f>
        <v>98.314396537543004</v>
      </c>
      <c r="J11" s="368">
        <f>[3]Brewhouse!$AT328</f>
        <v>98.770050919802628</v>
      </c>
      <c r="K11" s="281">
        <f>[3]Brewhouse!$Q328</f>
        <v>10.687382297551784</v>
      </c>
      <c r="L11" s="276">
        <f>[3]Brewhouse!$P328</f>
        <v>45</v>
      </c>
      <c r="M11" s="374">
        <f>[3]Brewhouse!$U328-[3]Brewhouse!$T328</f>
        <v>0.11041666666666661</v>
      </c>
      <c r="N11" s="370">
        <f>[3]Brewhouse!$AW328</f>
        <v>0.25555555555555554</v>
      </c>
      <c r="O11" s="420" t="str">
        <f>[3]Brewhouse!$AV328</f>
        <v>D. Gomaz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33" t="s">
        <v>9</v>
      </c>
      <c r="C12" s="366" t="str">
        <f>[3]Brewhouse!$A329</f>
        <v>ST272</v>
      </c>
      <c r="D12" s="279">
        <f>[3]Brewhouse!$AB329</f>
        <v>53</v>
      </c>
      <c r="E12" s="279">
        <f>[3]Brewhouse!$AG329</f>
        <v>48.5</v>
      </c>
      <c r="F12" s="278">
        <f>[3]Brewhouse!$V329</f>
        <v>50</v>
      </c>
      <c r="G12" s="279">
        <f>[3]Brewhouse!$AE329</f>
        <v>12</v>
      </c>
      <c r="H12" s="396"/>
      <c r="I12" s="368">
        <f>[3]Brewhouse!$AS329</f>
        <v>99.784866605770077</v>
      </c>
      <c r="J12" s="368">
        <f>[3]Brewhouse!$AT329</f>
        <v>100.24702013774302</v>
      </c>
      <c r="K12" s="281">
        <f>[3]Brewhouse!$Q329</f>
        <v>10.330188679245285</v>
      </c>
      <c r="L12" s="276">
        <f>[3]Brewhouse!$P329</f>
        <v>60</v>
      </c>
      <c r="M12" s="374">
        <f>[3]Brewhouse!$U329-[3]Brewhouse!$T329</f>
        <v>0.11458333333333326</v>
      </c>
      <c r="N12" s="370">
        <f>[3]Brewhouse!$AW329</f>
        <v>0.27430555555555547</v>
      </c>
      <c r="O12" s="420" t="str">
        <f>[3]Brewhouse!$AV329</f>
        <v>D. Gomaz</v>
      </c>
      <c r="P12" s="418"/>
      <c r="R12" s="277" t="str">
        <f t="shared" si="0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33" t="s">
        <v>9</v>
      </c>
      <c r="C13" s="366" t="str">
        <f>[3]Brewhouse!$A330</f>
        <v>ST273</v>
      </c>
      <c r="D13" s="279">
        <f>[3]Brewhouse!$AB330</f>
        <v>53</v>
      </c>
      <c r="E13" s="279">
        <f>[3]Brewhouse!$AG330</f>
        <v>49.2</v>
      </c>
      <c r="F13" s="278">
        <f>[3]Brewhouse!$V330</f>
        <v>51</v>
      </c>
      <c r="G13" s="279">
        <f>[3]Brewhouse!$AE330</f>
        <v>11.9</v>
      </c>
      <c r="H13" s="396"/>
      <c r="I13" s="368">
        <f>[3]Brewhouse!$AS330</f>
        <v>100.33853534489856</v>
      </c>
      <c r="J13" s="368">
        <f>[3]Brewhouse!$AT330</f>
        <v>100.80325319320558</v>
      </c>
      <c r="K13" s="281">
        <f>[3]Brewhouse!$Q330</f>
        <v>10.707547169811315</v>
      </c>
      <c r="L13" s="276">
        <f>[3]Brewhouse!$P330</f>
        <v>60</v>
      </c>
      <c r="M13" s="374">
        <f>[3]Brewhouse!$U330-[3]Brewhouse!$T330</f>
        <v>0.10972222222222228</v>
      </c>
      <c r="N13" s="370">
        <f>[3]Brewhouse!$AW330</f>
        <v>0.28680555555555554</v>
      </c>
      <c r="O13" s="420" t="str">
        <f>[3]Brewhouse!$AV330</f>
        <v>D. Gomaz</v>
      </c>
      <c r="P13" s="418"/>
      <c r="R13" s="277" t="str">
        <f t="shared" si="0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33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420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7.25" customHeight="1">
      <c r="B15" s="487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420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7.25" hidden="1" customHeight="1">
      <c r="B16" s="487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420"/>
      <c r="P16" s="418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6" ht="17.25" hidden="1" customHeight="1">
      <c r="B17" s="487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20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7.25" hidden="1" customHeight="1">
      <c r="B18" s="487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7.25" hidden="1" customHeight="1">
      <c r="B19" s="487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7.25" hidden="1" customHeight="1">
      <c r="B20" s="487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7.25" hidden="1" customHeight="1">
      <c r="B21" s="487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7.2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" hidden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7.25" hidden="1" customHeight="1">
      <c r="B24" s="22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371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hidden="1" customHeight="1">
      <c r="B25" s="29"/>
      <c r="C25" s="366"/>
      <c r="D25" s="279"/>
      <c r="E25" s="279"/>
      <c r="F25" s="278"/>
      <c r="G25" s="279"/>
      <c r="H25" s="486"/>
      <c r="I25" s="368"/>
      <c r="J25" s="368"/>
      <c r="K25" s="281"/>
      <c r="L25" s="276"/>
      <c r="M25" s="397"/>
      <c r="N25" s="370"/>
      <c r="O25" s="420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customHeight="1" thickBot="1">
      <c r="B26" s="358"/>
      <c r="C26" s="358"/>
      <c r="D26" s="358"/>
      <c r="E26" s="358"/>
      <c r="F26" s="294"/>
      <c r="G26" s="294"/>
      <c r="H26" s="348"/>
      <c r="I26" s="528"/>
      <c r="J26" s="528"/>
      <c r="K26" s="528"/>
      <c r="L26" s="528"/>
      <c r="M26" s="528"/>
      <c r="N26" s="528"/>
      <c r="O26" s="1"/>
      <c r="P26" s="12"/>
      <c r="R26" s="277">
        <f t="shared" ref="R26:R39" si="9">B26</f>
        <v>0</v>
      </c>
      <c r="S26" s="472" t="e">
        <f t="shared" ref="S26:S39" si="10">VLOOKUP($B26,$R$3:$X$9,2,FALSE)</f>
        <v>#N/A</v>
      </c>
      <c r="T26" s="472" t="e">
        <f t="shared" ref="T26:T39" si="11">VLOOKUP($B26,$R$3:$X$9,3,FALSE)</f>
        <v>#N/A</v>
      </c>
      <c r="U26" s="297" t="e">
        <f t="shared" ref="U26:U39" si="12">VLOOKUP($B26,$R$3:$X$9,4,FALSE)</f>
        <v>#N/A</v>
      </c>
      <c r="V26" s="297" t="e">
        <f t="shared" ref="V26:V39" si="13">VLOOKUP($B26,$R$3:$X$9,5,FALSE)</f>
        <v>#N/A</v>
      </c>
      <c r="W26" s="297" t="e">
        <f t="shared" ref="W26:W39" si="14">VLOOKUP($B26,$R$3:$X$9,6,FALSE)</f>
        <v>#N/A</v>
      </c>
      <c r="X26" s="297" t="e">
        <f t="shared" ref="X26:X39" si="15">VLOOKUP($B26,$R$3:$X$9,7,FALSE)</f>
        <v>#N/A</v>
      </c>
      <c r="Y26" s="297" t="e">
        <f t="shared" ref="Y26:Y39" si="16">VLOOKUP($B26,$R$3:$Z$9,8,FALSE)</f>
        <v>#N/A</v>
      </c>
      <c r="Z26" s="472" t="e">
        <f t="shared" ref="Z26:Z39" si="17">VLOOKUP($B26,$R$3:$Z$9,9,FALSE)</f>
        <v>#N/A</v>
      </c>
    </row>
    <row r="27" spans="1:26" ht="17.25" customHeight="1" thickBot="1">
      <c r="B27" s="388" t="s">
        <v>162</v>
      </c>
      <c r="C27" s="388"/>
      <c r="D27" s="529" t="s">
        <v>35</v>
      </c>
      <c r="E27" s="530"/>
      <c r="F27" s="294"/>
      <c r="G27" s="294"/>
      <c r="H27" s="348"/>
      <c r="I27" s="24" t="s">
        <v>17</v>
      </c>
      <c r="J27" s="25"/>
      <c r="K27" s="26" t="s">
        <v>138</v>
      </c>
      <c r="L27" s="25" t="s">
        <v>37</v>
      </c>
      <c r="M27" s="25" t="s">
        <v>38</v>
      </c>
      <c r="N27" s="27" t="s">
        <v>39</v>
      </c>
      <c r="O27" s="294"/>
      <c r="P27" s="12"/>
      <c r="R27" s="277" t="str">
        <f t="shared" si="9"/>
        <v xml:space="preserve">BRAND 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6" ht="17.25" customHeight="1">
      <c r="A28" s="28"/>
      <c r="B28" s="587"/>
      <c r="C28" s="362"/>
      <c r="D28" s="534"/>
      <c r="E28" s="535"/>
      <c r="F28" s="294"/>
      <c r="G28" s="294"/>
      <c r="H28" s="348"/>
      <c r="I28" s="29" t="s">
        <v>6</v>
      </c>
      <c r="J28" s="323"/>
      <c r="K28" s="284"/>
      <c r="L28" s="305"/>
      <c r="M28" s="305">
        <f>AVERAGE([4]Brewhouse!$AU$42:$AU$123,[4]Brewhouse!$AU$125:$AU$188,[4]Brewhouse!$AU$198:$AU$290,[4]Brewhouse!$AU$292:$AU$370,[4]Brewhouse!$AU$372:$AU$439,[4]Brewhouse!$AU$441:$AU$497,[4]Brewhouse!$AU$499:$AU$519,[4]Brewhouse!$AU$521:$AU$593)</f>
        <v>98.168507502827651</v>
      </c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6" ht="15" customHeight="1">
      <c r="A29" s="28"/>
      <c r="B29" s="588"/>
      <c r="C29" s="362"/>
      <c r="D29" s="536"/>
      <c r="E29" s="537"/>
      <c r="F29" s="294"/>
      <c r="G29" s="294"/>
      <c r="H29" s="348"/>
      <c r="I29" s="33" t="s">
        <v>9</v>
      </c>
      <c r="J29" s="323">
        <f>AVERAGE(I10:I13)</f>
        <v>98.308602285830574</v>
      </c>
      <c r="K29" s="284">
        <f>COUNTA([3]Brewhouse!$A$327:$A$330)</f>
        <v>4</v>
      </c>
      <c r="L29" s="302">
        <f>AVERAGE([3]Brewhouse!$AS$327:$AS$330)</f>
        <v>98.308602285830574</v>
      </c>
      <c r="M29" s="302">
        <f>AVERAGE([3]Brewhouse!$AS$52:$AS$81,[3]Brewhouse!$AS$83:$AS$124,[3]Brewhouse!$AS$134:$AS$177,[3]Brewhouse!$AS$22:$AS$179,[3]Brewhouse!$AS$214:$AS$249,[3]Brewhouse!$AS$252:$AS$293,[3]Brewhouse!$AS$295:$AS$325,[3]Brewhouse!$AS$327:$AS$330)</f>
        <v>98.146416541200551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6" ht="14.65" customHeight="1">
      <c r="A30" s="28"/>
      <c r="B30" s="588"/>
      <c r="C30" s="362"/>
      <c r="D30" s="538"/>
      <c r="E30" s="539"/>
      <c r="F30" s="294"/>
      <c r="G30" s="294"/>
      <c r="H30" s="348"/>
      <c r="I30" s="34" t="s">
        <v>12</v>
      </c>
      <c r="J30" s="323"/>
      <c r="K30" s="284"/>
      <c r="L30" s="302"/>
      <c r="M30" s="302">
        <f>AVERAGE([5]Brewhouse!$AU$16:$AU$23,[5]Brewhouse!$AU$25:$AU$32,[5]Brewhouse!$AU$34:$AU$41,[5]Brewhouse!$AU$43:$AU$60,[5]Brewhouse!$AU$62:$AU$69,[5]Brewhouse!$AU$71:$AU$88)</f>
        <v>96.520985666401089</v>
      </c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6" ht="14.65" customHeight="1">
      <c r="A31" s="28"/>
      <c r="B31" s="588"/>
      <c r="C31" s="362"/>
      <c r="D31" s="540"/>
      <c r="E31" s="537"/>
      <c r="F31" s="294"/>
      <c r="G31" s="294"/>
      <c r="H31" s="348"/>
      <c r="I31" s="22" t="s">
        <v>33</v>
      </c>
      <c r="J31" s="280"/>
      <c r="K31" s="284"/>
      <c r="L31" s="302"/>
      <c r="M31" s="302">
        <f>AVERAGE([6]Brewhouse!$AV$23:$AV$34,[6]Brewhouse!$AV$36,[6]Brewhouse!$AV$38:$AV$52,[6]Brewhouse!$AV$54:$AV$60,[6]Brewhouse!$AV$62:$AV$69,[6]Brewhouse!$AV$71:$AV$78,[6]Brewhouse!$AV$80:$AV$87)</f>
        <v>97.513042763382714</v>
      </c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6" ht="14.65" customHeight="1">
      <c r="A32" s="28"/>
      <c r="B32" s="588"/>
      <c r="C32" s="362"/>
      <c r="D32" s="538"/>
      <c r="E32" s="539"/>
      <c r="F32" s="417"/>
      <c r="G32" s="294"/>
      <c r="H32" s="348"/>
      <c r="I32" s="35" t="s">
        <v>29</v>
      </c>
      <c r="J32" s="280"/>
      <c r="K32" s="284"/>
      <c r="L32" s="302"/>
      <c r="M32" s="302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</row>
    <row r="33" spans="1:56" ht="14.65" customHeight="1">
      <c r="A33" s="28"/>
      <c r="B33" s="588"/>
      <c r="C33" s="362"/>
      <c r="D33" s="540"/>
      <c r="E33" s="537"/>
      <c r="F33" s="417"/>
      <c r="G33" s="294"/>
      <c r="H33" s="348"/>
      <c r="I33" s="36" t="s">
        <v>15</v>
      </c>
      <c r="J33" s="323"/>
      <c r="K33" s="284"/>
      <c r="L33" s="302"/>
      <c r="M33" s="302">
        <f>AVERAGE([7]Brewhouse!$AT$4:$AT$11,[7]Brewhouse!$AT$13:$AT$16,[7]Brewhouse!$AT$18:$AT$21)</f>
        <v>91.832675391763644</v>
      </c>
      <c r="N33" s="30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</row>
    <row r="34" spans="1:56" ht="14.65" customHeight="1">
      <c r="A34" s="28"/>
      <c r="B34" s="588"/>
      <c r="C34" s="362"/>
      <c r="D34" s="538"/>
      <c r="E34" s="539"/>
      <c r="F34" s="417"/>
      <c r="G34" s="294"/>
      <c r="H34" s="348"/>
      <c r="I34" s="37" t="s">
        <v>16</v>
      </c>
      <c r="J34" s="323"/>
      <c r="K34" s="284"/>
      <c r="L34" s="302"/>
      <c r="M34" s="302">
        <f>AVERAGE([8]Brewhouse!$AY$5:$AY$14,[8]Brewhouse!$AY$16:$AY$23,[8]Brewhouse!$AY$42,[8]Brewhouse!$AY$44:$AY$51,[8]Brewhouse!$AY$53:$AY$64,[8]Brewhouse!$AY$66:$AY$73,[8]Brewhouse!$AY$75:$AY$82)</f>
        <v>98.12846703689479</v>
      </c>
      <c r="N34" s="30">
        <v>98</v>
      </c>
      <c r="O34" s="11"/>
      <c r="P34" s="31" t="s">
        <v>41</v>
      </c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</row>
    <row r="35" spans="1:56" ht="14.65" customHeight="1">
      <c r="A35" s="28"/>
      <c r="B35" s="588"/>
      <c r="C35" s="362"/>
      <c r="D35" s="540"/>
      <c r="E35" s="537"/>
      <c r="F35" s="294"/>
      <c r="G35" s="294"/>
      <c r="H35" s="348"/>
      <c r="I35" s="411" t="s">
        <v>158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</row>
    <row r="36" spans="1:56" ht="14.65" customHeight="1">
      <c r="A36" s="28"/>
      <c r="B36" s="588"/>
      <c r="C36" s="349"/>
      <c r="D36" s="538"/>
      <c r="E36" s="539"/>
      <c r="F36" s="294"/>
      <c r="G36" s="294"/>
      <c r="H36" s="348"/>
      <c r="I36" s="410" t="s">
        <v>157</v>
      </c>
      <c r="J36" s="326"/>
      <c r="K36" s="284"/>
      <c r="L36" s="305"/>
      <c r="M36" s="305"/>
      <c r="N36" s="30">
        <v>98</v>
      </c>
      <c r="O36" s="11"/>
      <c r="P36" s="31"/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  <c r="AA36" s="472"/>
    </row>
    <row r="37" spans="1:56" ht="15" customHeight="1" thickBot="1">
      <c r="A37" s="28"/>
      <c r="B37" s="588"/>
      <c r="C37" s="349"/>
      <c r="D37" s="540"/>
      <c r="E37" s="537"/>
      <c r="F37" s="294"/>
      <c r="G37" s="294"/>
      <c r="H37" s="348"/>
      <c r="I37" s="406" t="s">
        <v>156</v>
      </c>
      <c r="J37" s="327"/>
      <c r="K37" s="407"/>
      <c r="L37" s="408"/>
      <c r="M37" s="408"/>
      <c r="N37" s="409">
        <v>98</v>
      </c>
      <c r="O37" s="11"/>
      <c r="P37" s="31"/>
      <c r="R37" s="277">
        <f t="shared" si="9"/>
        <v>0</v>
      </c>
      <c r="S37" s="472" t="e">
        <f t="shared" si="10"/>
        <v>#N/A</v>
      </c>
      <c r="T37" s="472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2" t="e">
        <f t="shared" si="17"/>
        <v>#N/A</v>
      </c>
      <c r="AA37" s="472"/>
    </row>
    <row r="38" spans="1:56" ht="15" customHeight="1" thickBot="1">
      <c r="A38" s="28"/>
      <c r="B38" s="588"/>
      <c r="C38" s="349"/>
      <c r="D38" s="534"/>
      <c r="E38" s="535"/>
      <c r="F38" s="294"/>
      <c r="G38" s="294"/>
      <c r="H38" s="348"/>
      <c r="I38" s="1"/>
      <c r="J38" s="39"/>
      <c r="K38" s="404">
        <f>SUM(K28:K37)</f>
        <v>4</v>
      </c>
      <c r="L38" s="405">
        <f>((L28*K28)+(L29*K29)+(L30*K30)+(L31*K31)+(L32*K32)+(K35*L35)+(L33*K33)+(L34*K34)+(L37*K37))/(K38)</f>
        <v>98.308602285830574</v>
      </c>
      <c r="M38" s="405">
        <f>AVERAGE('[9]Jan30th-31st'!$L$42,'[10]Feb 27th-28th'!$L$45,'[11]Mar 31st'!$L$42,'[12]Apr 30th'!$L$41,'[13]May 29th '!$L$35,'[14]June 30th'!$L$32,L38)</f>
        <v>97.947805945261038</v>
      </c>
      <c r="N38" s="40">
        <v>98</v>
      </c>
      <c r="O38" s="11"/>
      <c r="P38" s="31"/>
      <c r="R38" s="277">
        <f t="shared" si="9"/>
        <v>0</v>
      </c>
      <c r="S38" s="472" t="e">
        <f t="shared" si="10"/>
        <v>#N/A</v>
      </c>
      <c r="T38" s="472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472" t="e">
        <f t="shared" si="17"/>
        <v>#N/A</v>
      </c>
      <c r="AA38" s="472"/>
    </row>
    <row r="39" spans="1:56" ht="15.75" thickBot="1">
      <c r="B39" s="603"/>
      <c r="C39" s="350"/>
      <c r="D39" s="536"/>
      <c r="E39" s="537"/>
      <c r="F39" s="294"/>
      <c r="G39" s="42"/>
      <c r="H39" s="41"/>
      <c r="I39" s="42"/>
      <c r="J39" s="42"/>
      <c r="K39" s="351"/>
      <c r="L39" s="348"/>
      <c r="M39" s="348"/>
      <c r="N39" s="11"/>
      <c r="O39" s="294"/>
      <c r="P39" s="12"/>
      <c r="R39" s="277">
        <f t="shared" si="9"/>
        <v>0</v>
      </c>
      <c r="S39" s="472" t="e">
        <f t="shared" si="10"/>
        <v>#N/A</v>
      </c>
      <c r="T39" s="472" t="e">
        <f t="shared" si="11"/>
        <v>#N/A</v>
      </c>
      <c r="U39" s="297" t="e">
        <f t="shared" si="12"/>
        <v>#N/A</v>
      </c>
      <c r="V39" s="297" t="e">
        <f t="shared" si="13"/>
        <v>#N/A</v>
      </c>
      <c r="W39" s="297" t="e">
        <f t="shared" si="14"/>
        <v>#N/A</v>
      </c>
      <c r="X39" s="297" t="e">
        <f t="shared" si="15"/>
        <v>#N/A</v>
      </c>
      <c r="Y39" s="297" t="e">
        <f t="shared" si="16"/>
        <v>#N/A</v>
      </c>
      <c r="Z39" s="472" t="e">
        <f t="shared" si="17"/>
        <v>#N/A</v>
      </c>
      <c r="AA39" s="472"/>
    </row>
    <row r="40" spans="1:56" ht="15.75" thickBot="1">
      <c r="B40" s="587"/>
      <c r="C40" s="362"/>
      <c r="D40" s="577"/>
      <c r="E40" s="578"/>
      <c r="F40" s="294"/>
      <c r="G40" s="42"/>
      <c r="H40" s="41"/>
      <c r="I40" s="42"/>
      <c r="J40" s="544" t="s">
        <v>129</v>
      </c>
      <c r="K40" s="544"/>
      <c r="L40" s="294"/>
      <c r="M40" s="294"/>
      <c r="N40" s="294"/>
      <c r="O40" s="294"/>
      <c r="P40" s="12"/>
    </row>
    <row r="41" spans="1:56" ht="15.75" thickBot="1">
      <c r="B41" s="588"/>
      <c r="C41" s="362"/>
      <c r="D41" s="540"/>
      <c r="E41" s="537"/>
      <c r="F41" s="294"/>
      <c r="G41" s="42"/>
      <c r="H41" s="42"/>
      <c r="I41" s="42"/>
      <c r="J41" s="292" t="s">
        <v>17</v>
      </c>
      <c r="K41" s="293"/>
      <c r="L41" s="545" t="s">
        <v>136</v>
      </c>
      <c r="M41" s="545"/>
      <c r="N41" s="546"/>
      <c r="O41" s="294"/>
      <c r="P41" s="12"/>
    </row>
    <row r="42" spans="1:56" ht="15" customHeight="1" thickBot="1">
      <c r="B42" s="588"/>
      <c r="C42" s="349"/>
      <c r="D42" s="538"/>
      <c r="E42" s="539"/>
      <c r="F42" s="294"/>
      <c r="G42" s="42"/>
      <c r="H42" s="42"/>
      <c r="I42" s="42"/>
      <c r="J42" s="287" t="s">
        <v>6</v>
      </c>
      <c r="K42" s="324"/>
      <c r="L42" s="473" t="s">
        <v>37</v>
      </c>
      <c r="M42" s="474" t="s">
        <v>38</v>
      </c>
      <c r="N42" s="474" t="s">
        <v>84</v>
      </c>
      <c r="O42" s="294"/>
      <c r="P42" s="12"/>
    </row>
    <row r="43" spans="1:56" ht="15.75" customHeight="1" thickBot="1">
      <c r="B43" s="588"/>
      <c r="C43" s="349"/>
      <c r="D43" s="540"/>
      <c r="E43" s="537"/>
      <c r="F43" s="294"/>
      <c r="G43" s="42"/>
      <c r="H43" s="42"/>
      <c r="I43" s="42"/>
      <c r="J43" s="345" t="s">
        <v>9</v>
      </c>
      <c r="K43" s="324">
        <v>4</v>
      </c>
      <c r="L43" s="344">
        <f>AVERAGE(K52)</f>
        <v>4</v>
      </c>
      <c r="M43" s="325">
        <f>AVERAGE('[9]Jan30th-31st'!$L$47,L43,'[10]Feb 26th '!$L$39,'[11]Mar 31st'!$L$47,'[12]Apr 30th'!$L$46,'[13]May 29th '!$L$40,'[14]June 30th'!$L$39)</f>
        <v>6.0085262563523427</v>
      </c>
      <c r="N43" s="416">
        <v>9.1999999999999993</v>
      </c>
      <c r="O43" s="294"/>
      <c r="P43" s="12"/>
    </row>
    <row r="44" spans="1:56" ht="15" customHeight="1">
      <c r="B44" s="588"/>
      <c r="C44" s="349"/>
      <c r="D44" s="538"/>
      <c r="E44" s="539"/>
      <c r="F44" s="294"/>
      <c r="G44" s="42"/>
      <c r="H44" s="42"/>
      <c r="I44" s="42"/>
      <c r="J44" s="288" t="s">
        <v>40</v>
      </c>
      <c r="K44" s="324"/>
      <c r="L44" s="294"/>
      <c r="M44" s="294"/>
      <c r="N44" s="294"/>
      <c r="O44" s="294"/>
      <c r="P44" s="12"/>
    </row>
    <row r="45" spans="1:56" ht="15" customHeight="1">
      <c r="B45" s="588"/>
      <c r="C45" s="349"/>
      <c r="D45" s="540"/>
      <c r="E45" s="537"/>
      <c r="F45" s="294"/>
      <c r="G45" s="42"/>
      <c r="H45" s="42"/>
      <c r="I45" s="42"/>
      <c r="J45" s="289" t="s">
        <v>33</v>
      </c>
      <c r="K45" s="324"/>
      <c r="L45" s="294"/>
      <c r="M45" s="294"/>
      <c r="N45" s="294"/>
      <c r="O45" s="294"/>
      <c r="P45" s="12"/>
    </row>
    <row r="46" spans="1:56" ht="15">
      <c r="B46" s="588"/>
      <c r="C46" s="349"/>
      <c r="D46" s="538"/>
      <c r="E46" s="539"/>
      <c r="F46" s="294"/>
      <c r="G46" s="42"/>
      <c r="H46" s="42"/>
      <c r="I46" s="42"/>
      <c r="J46" s="290" t="s">
        <v>16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88"/>
      <c r="C47" s="349"/>
      <c r="D47" s="540"/>
      <c r="E47" s="537"/>
      <c r="F47" s="294"/>
      <c r="G47" s="42"/>
      <c r="H47" s="42"/>
      <c r="I47" s="42"/>
      <c r="J47" s="291" t="s">
        <v>15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88"/>
      <c r="C48" s="349"/>
      <c r="D48" s="538"/>
      <c r="E48" s="539"/>
      <c r="F48" s="294"/>
      <c r="G48" s="42"/>
      <c r="H48" s="42"/>
      <c r="I48" s="42"/>
      <c r="J48" s="291" t="s">
        <v>149</v>
      </c>
      <c r="K48" s="324"/>
      <c r="L48" s="294"/>
      <c r="M48" s="294"/>
      <c r="N48" s="294"/>
      <c r="O48" s="294"/>
      <c r="P48" s="12"/>
      <c r="BC48" s="44"/>
      <c r="BD48" s="44"/>
    </row>
    <row r="49" spans="2:57" ht="15.75" thickBot="1">
      <c r="B49" s="589"/>
      <c r="C49" s="350"/>
      <c r="D49" s="547"/>
      <c r="E49" s="548"/>
      <c r="F49" s="294" t="s">
        <v>166</v>
      </c>
      <c r="G49" s="42"/>
      <c r="H49" s="42"/>
      <c r="I49" s="42"/>
      <c r="J49" s="291" t="s">
        <v>148</v>
      </c>
      <c r="K49" s="324"/>
      <c r="L49" s="294"/>
      <c r="M49" s="294"/>
      <c r="N49" s="294" t="s">
        <v>41</v>
      </c>
      <c r="O49" s="294"/>
      <c r="P49" s="12"/>
      <c r="BC49" s="44"/>
      <c r="BD49" s="44"/>
    </row>
    <row r="50" spans="2:57" ht="17.649999999999999" customHeight="1" thickBot="1">
      <c r="B50" s="312" t="s">
        <v>139</v>
      </c>
      <c r="C50" s="313"/>
      <c r="D50" s="549"/>
      <c r="E50" s="550"/>
      <c r="F50" s="294"/>
      <c r="J50" s="295" t="s">
        <v>134</v>
      </c>
      <c r="K50" s="324"/>
      <c r="L50" s="294"/>
      <c r="M50" s="294"/>
      <c r="N50" s="294"/>
      <c r="O50" s="294"/>
      <c r="P50" s="12"/>
      <c r="BC50" s="44"/>
      <c r="BD50" s="44"/>
    </row>
    <row r="51" spans="2:57" ht="17.649999999999999" customHeight="1">
      <c r="B51" s="363"/>
      <c r="C51" s="364"/>
      <c r="D51" s="365"/>
      <c r="E51" s="365"/>
      <c r="F51" s="294"/>
      <c r="G51" s="42"/>
      <c r="H51" s="42"/>
      <c r="I51" s="42"/>
      <c r="J51" s="295" t="s">
        <v>131</v>
      </c>
      <c r="K51" s="324"/>
      <c r="L51" s="294"/>
      <c r="M51" s="294"/>
      <c r="N51" s="294"/>
      <c r="O51" s="294"/>
      <c r="P51" s="12"/>
      <c r="BC51" s="44"/>
      <c r="BD51" s="44"/>
    </row>
    <row r="52" spans="2:57" ht="15.6" customHeight="1">
      <c r="B52" s="45"/>
      <c r="C52" s="11"/>
      <c r="D52" s="11"/>
      <c r="E52" s="46"/>
      <c r="F52" s="294"/>
      <c r="G52" s="42"/>
      <c r="H52" s="42"/>
      <c r="I52" s="42"/>
      <c r="J52" s="346" t="s">
        <v>130</v>
      </c>
      <c r="K52" s="324">
        <f>SUM(K42:K51)</f>
        <v>4</v>
      </c>
      <c r="L52" s="294"/>
      <c r="M52" s="294"/>
      <c r="N52" s="294"/>
      <c r="O52" s="294"/>
      <c r="P52" s="12"/>
    </row>
    <row r="53" spans="2:57" ht="20.25" customHeight="1">
      <c r="B53" s="15" t="s">
        <v>42</v>
      </c>
      <c r="C53" s="1" t="s">
        <v>43</v>
      </c>
      <c r="D53" s="1"/>
      <c r="E53" s="1"/>
      <c r="F53" s="294"/>
      <c r="G53" s="42"/>
      <c r="H53" s="41"/>
      <c r="I53" s="42"/>
      <c r="L53" s="42"/>
      <c r="N53" s="315"/>
      <c r="P53" s="334"/>
    </row>
    <row r="54" spans="2:57" ht="15" customHeight="1" thickBot="1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1"/>
      <c r="O54" s="48"/>
      <c r="P54" s="49"/>
    </row>
    <row r="55" spans="2:57" ht="15" customHeight="1" thickBot="1">
      <c r="B55" s="551" t="s">
        <v>17</v>
      </c>
      <c r="C55" s="551" t="s">
        <v>44</v>
      </c>
      <c r="D55" s="554" t="s">
        <v>45</v>
      </c>
      <c r="E55" s="519" t="s">
        <v>46</v>
      </c>
      <c r="F55" s="568" t="s">
        <v>47</v>
      </c>
      <c r="G55" s="563" t="s">
        <v>48</v>
      </c>
      <c r="H55" s="551" t="s">
        <v>49</v>
      </c>
      <c r="I55" s="551" t="s">
        <v>50</v>
      </c>
      <c r="J55" s="557" t="s">
        <v>28</v>
      </c>
      <c r="K55" s="517" t="s">
        <v>51</v>
      </c>
      <c r="L55" s="566" t="s">
        <v>52</v>
      </c>
      <c r="M55" s="557" t="s">
        <v>53</v>
      </c>
      <c r="N55" s="13"/>
      <c r="O55" s="13"/>
      <c r="P55" s="50"/>
    </row>
    <row r="56" spans="2:57" ht="28.5" customHeight="1" thickTop="1" thickBot="1">
      <c r="B56" s="552"/>
      <c r="C56" s="553"/>
      <c r="D56" s="555"/>
      <c r="E56" s="556"/>
      <c r="F56" s="569"/>
      <c r="G56" s="564"/>
      <c r="H56" s="552"/>
      <c r="I56" s="552"/>
      <c r="J56" s="558"/>
      <c r="K56" s="565"/>
      <c r="L56" s="567"/>
      <c r="M56" s="558"/>
      <c r="N56" s="13"/>
      <c r="O56" s="13"/>
      <c r="P56" s="50"/>
      <c r="Q56" s="355"/>
      <c r="AB56" s="475">
        <v>43474</v>
      </c>
      <c r="AC56" s="475">
        <v>43475</v>
      </c>
      <c r="AD56" s="475">
        <v>43476</v>
      </c>
      <c r="AE56" s="475">
        <v>43477</v>
      </c>
      <c r="AF56" s="475">
        <v>43478</v>
      </c>
      <c r="AG56" s="475">
        <v>43479</v>
      </c>
      <c r="AH56" s="475">
        <v>43480</v>
      </c>
      <c r="AI56" s="475">
        <v>43481</v>
      </c>
      <c r="AJ56" s="475">
        <v>43482</v>
      </c>
      <c r="AK56" s="475">
        <v>43483</v>
      </c>
      <c r="AL56" s="475">
        <v>43484</v>
      </c>
      <c r="AM56" s="475">
        <v>43485</v>
      </c>
      <c r="AN56" s="475">
        <v>43486</v>
      </c>
      <c r="AO56" s="475">
        <v>43487</v>
      </c>
      <c r="AP56" s="475">
        <v>43488</v>
      </c>
      <c r="AQ56" s="475">
        <v>43489</v>
      </c>
      <c r="AR56" s="475">
        <v>43490</v>
      </c>
      <c r="AS56" s="475">
        <v>43491</v>
      </c>
      <c r="AT56" s="475">
        <v>43492</v>
      </c>
      <c r="AU56" s="475">
        <v>43493</v>
      </c>
      <c r="AV56" s="475">
        <v>43494</v>
      </c>
      <c r="AW56" s="475">
        <v>43495</v>
      </c>
      <c r="AX56" s="475">
        <v>43496</v>
      </c>
    </row>
    <row r="57" spans="2:57" s="54" customFormat="1" ht="36.75" hidden="1" customHeight="1" thickBot="1">
      <c r="B57" s="484" t="str">
        <f>J43</f>
        <v>STAG</v>
      </c>
      <c r="C57" s="479">
        <v>46218</v>
      </c>
      <c r="D57" s="445">
        <f>[35]July_2026!$R$13</f>
        <v>195.67999999999998</v>
      </c>
      <c r="E57" s="443"/>
      <c r="F57" s="444"/>
      <c r="G57" s="444">
        <f>[35]July_2026!$R$17</f>
        <v>184</v>
      </c>
      <c r="H57" s="458"/>
      <c r="I57" s="458"/>
      <c r="J57" s="448" t="s">
        <v>170</v>
      </c>
      <c r="K57" s="449">
        <f>[36]July_2026!$R$25</f>
        <v>0.32280701754385965</v>
      </c>
      <c r="L57" s="457">
        <f>(((D57+E57)-G57)/(D57+E57))*100</f>
        <v>5.9689288634505209</v>
      </c>
      <c r="M57" s="455" t="s">
        <v>171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[16]January_2019!L5</f>
        <v>0</v>
      </c>
      <c r="AC57" s="57">
        <f>[16]January_2019!M5</f>
        <v>0</v>
      </c>
      <c r="AD57" s="57">
        <f>[16]January_2019!N5</f>
        <v>0</v>
      </c>
      <c r="AE57" s="57">
        <f>[16]January_2019!O5</f>
        <v>0</v>
      </c>
      <c r="AF57" s="57">
        <f>[16]January_2019!P5</f>
        <v>0</v>
      </c>
      <c r="AG57" s="57">
        <f>[16]January_2019!Q5</f>
        <v>0</v>
      </c>
      <c r="AH57" s="57">
        <f>[16]January_2019!R5</f>
        <v>0</v>
      </c>
      <c r="AI57" s="57">
        <f>[16]January_2019!S5</f>
        <v>0</v>
      </c>
      <c r="AJ57" s="57">
        <f>[16]January_2019!T5</f>
        <v>0</v>
      </c>
      <c r="AK57" s="57">
        <f>[16]January_2019!U5</f>
        <v>0</v>
      </c>
      <c r="AL57" s="57">
        <f>[16]January_2019!V5</f>
        <v>0</v>
      </c>
      <c r="AM57" s="57">
        <f>[16]January_2019!W5</f>
        <v>0</v>
      </c>
      <c r="AN57" s="57">
        <f>[16]January_2019!X5</f>
        <v>0</v>
      </c>
      <c r="AO57" s="57">
        <f>[16]January_2019!Y5</f>
        <v>0</v>
      </c>
      <c r="AP57" s="57">
        <f>[16]January_2019!Z5</f>
        <v>0</v>
      </c>
      <c r="AQ57" s="57">
        <f>[16]January_2019!AA5</f>
        <v>0</v>
      </c>
      <c r="AR57" s="57">
        <f>[16]January_2019!AB5</f>
        <v>0</v>
      </c>
      <c r="AS57" s="57">
        <f>[16]January_2019!AC5</f>
        <v>0</v>
      </c>
      <c r="AT57" s="57">
        <f>[16]January_2019!AD5</f>
        <v>0</v>
      </c>
      <c r="AU57" s="57">
        <f>[16]January_2019!AE5</f>
        <v>0</v>
      </c>
      <c r="AV57" s="57">
        <f>[16]January_2019!AF5</f>
        <v>0</v>
      </c>
      <c r="AW57" s="57">
        <f>[16]January_2019!AG5</f>
        <v>0</v>
      </c>
      <c r="AX57" s="277">
        <f>[16]January_2019!AH5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14.25" hidden="1" customHeight="1" thickBot="1">
      <c r="B58" s="480"/>
      <c r="C58" s="479"/>
      <c r="D58" s="442"/>
      <c r="E58" s="443"/>
      <c r="F58" s="444"/>
      <c r="G58" s="445"/>
      <c r="H58" s="458"/>
      <c r="I58" s="458"/>
      <c r="J58" s="476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[16]January_2019!L6</f>
        <v>0</v>
      </c>
      <c r="AC58" s="57">
        <f>[16]January_2019!M6</f>
        <v>0</v>
      </c>
      <c r="AD58" s="57">
        <f>[16]January_2019!N6</f>
        <v>0</v>
      </c>
      <c r="AE58" s="57">
        <f>[16]January_2019!O6</f>
        <v>0</v>
      </c>
      <c r="AF58" s="57">
        <f>[16]January_2019!P6</f>
        <v>0</v>
      </c>
      <c r="AG58" s="57">
        <f>[16]January_2019!Q6</f>
        <v>0</v>
      </c>
      <c r="AH58" s="57">
        <f>[16]January_2019!R6</f>
        <v>0</v>
      </c>
      <c r="AI58" s="57">
        <f>[16]January_2019!S6</f>
        <v>0</v>
      </c>
      <c r="AJ58" s="57">
        <f>[16]January_2019!T6</f>
        <v>0</v>
      </c>
      <c r="AK58" s="57">
        <f>[16]January_2019!U6</f>
        <v>0</v>
      </c>
      <c r="AL58" s="57">
        <f>[16]January_2019!V6</f>
        <v>0</v>
      </c>
      <c r="AM58" s="57">
        <f>[16]January_2019!W6</f>
        <v>0</v>
      </c>
      <c r="AN58" s="57">
        <f>[16]January_2019!X6</f>
        <v>0</v>
      </c>
      <c r="AO58" s="57">
        <f>[16]January_2019!Y6</f>
        <v>0</v>
      </c>
      <c r="AP58" s="57">
        <f>[16]January_2019!Z6</f>
        <v>0</v>
      </c>
      <c r="AQ58" s="57">
        <f>[16]January_2019!AA6</f>
        <v>0</v>
      </c>
      <c r="AR58" s="57">
        <f>[16]January_2019!AB6</f>
        <v>0</v>
      </c>
      <c r="AS58" s="57">
        <f>[16]January_2019!AC6</f>
        <v>0</v>
      </c>
      <c r="AT58" s="57">
        <f>[16]January_2019!AD6</f>
        <v>0</v>
      </c>
      <c r="AU58" s="57">
        <f>[16]January_2019!AE6</f>
        <v>0</v>
      </c>
      <c r="AV58" s="57">
        <f>[16]January_2019!AF6</f>
        <v>0</v>
      </c>
      <c r="AW58" s="57">
        <f>[16]January_2019!AG6</f>
        <v>0</v>
      </c>
      <c r="AX58" s="277">
        <f>[16]January_2019!AH6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37.15" customHeight="1" thickBot="1">
      <c r="B59" s="480" t="str">
        <f>J42</f>
        <v>CARIB</v>
      </c>
      <c r="C59" s="479">
        <v>46234</v>
      </c>
      <c r="D59" s="442"/>
      <c r="E59" s="443"/>
      <c r="F59" s="444"/>
      <c r="G59" s="444"/>
      <c r="H59" s="458"/>
      <c r="I59" s="458"/>
      <c r="J59" s="448" t="s">
        <v>174</v>
      </c>
      <c r="K59" s="449"/>
      <c r="L59" s="476" t="e">
        <f>(((D59+E59)-G59)/(D59+E59))*100</f>
        <v>#DIV/0!</v>
      </c>
      <c r="M59" s="455" t="s">
        <v>171</v>
      </c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[16]January_2019!L7</f>
        <v>285.8</v>
      </c>
      <c r="AC59" s="57">
        <f>[16]January_2019!M7</f>
        <v>508.1</v>
      </c>
      <c r="AD59" s="57">
        <f>[16]January_2019!N7</f>
        <v>0</v>
      </c>
      <c r="AE59" s="57">
        <f>[16]January_2019!O7</f>
        <v>0</v>
      </c>
      <c r="AF59" s="57">
        <f>[16]January_2019!P7</f>
        <v>109.56666666666666</v>
      </c>
      <c r="AG59" s="57">
        <f>[16]January_2019!Q7</f>
        <v>297.64999999999998</v>
      </c>
      <c r="AH59" s="57">
        <f>[16]January_2019!R7</f>
        <v>122.3</v>
      </c>
      <c r="AI59" s="57">
        <f>[16]January_2019!S7</f>
        <v>0</v>
      </c>
      <c r="AJ59" s="57">
        <f>[16]January_2019!T7</f>
        <v>294.7</v>
      </c>
      <c r="AK59" s="57">
        <f>[16]January_2019!U7</f>
        <v>280.5</v>
      </c>
      <c r="AL59" s="57">
        <f>[16]January_2019!V7</f>
        <v>0</v>
      </c>
      <c r="AM59" s="57">
        <f>[16]January_2019!W7</f>
        <v>0</v>
      </c>
      <c r="AN59" s="57">
        <f>[16]January_2019!X7</f>
        <v>188.25</v>
      </c>
      <c r="AO59" s="57">
        <f>[16]January_2019!Y7</f>
        <v>295.7</v>
      </c>
      <c r="AP59" s="57">
        <f>[16]January_2019!Z7</f>
        <v>257.8</v>
      </c>
      <c r="AQ59" s="57">
        <f>[16]January_2019!AA7</f>
        <v>291.2</v>
      </c>
      <c r="AR59" s="57">
        <f>[16]January_2019!AB7</f>
        <v>187</v>
      </c>
      <c r="AS59" s="57">
        <f>[16]January_2019!AC7</f>
        <v>0</v>
      </c>
      <c r="AT59" s="57">
        <f>[16]January_2019!AD7</f>
        <v>0</v>
      </c>
      <c r="AU59" s="57">
        <f>[16]January_2019!AE7</f>
        <v>485.1</v>
      </c>
      <c r="AV59" s="57">
        <f>[16]January_2019!AF7</f>
        <v>171.55</v>
      </c>
      <c r="AW59" s="57">
        <f>[16]January_2019!AG7</f>
        <v>423.8</v>
      </c>
      <c r="AX59" s="277">
        <f>[16]January_2019!AH7</f>
        <v>0</v>
      </c>
      <c r="AY59" s="277"/>
      <c r="AZ59" s="277"/>
      <c r="BA59" s="277"/>
      <c r="BB59" s="277"/>
      <c r="BC59" s="277"/>
      <c r="BD59" s="277"/>
      <c r="BE59" s="277"/>
    </row>
    <row r="60" spans="2:57" s="54" customFormat="1" ht="19.5" customHeight="1" thickBot="1">
      <c r="B60" s="478"/>
      <c r="C60" s="430"/>
      <c r="D60" s="431"/>
      <c r="E60" s="432"/>
      <c r="F60" s="433"/>
      <c r="G60" s="434"/>
      <c r="H60" s="458"/>
      <c r="I60" s="458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8.65" customHeight="1" thickBot="1">
      <c r="B61" s="484"/>
      <c r="C61" s="479"/>
      <c r="D61" s="442"/>
      <c r="E61" s="443"/>
      <c r="F61" s="444"/>
      <c r="G61" s="445"/>
      <c r="H61" s="458"/>
      <c r="I61" s="458"/>
      <c r="J61" s="448"/>
      <c r="K61" s="459"/>
      <c r="L61" s="476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5" hidden="1">
      <c r="B62" s="453"/>
      <c r="C62" s="430"/>
      <c r="D62" s="431"/>
      <c r="E62" s="432"/>
      <c r="F62" s="433"/>
      <c r="G62" s="434"/>
      <c r="H62" s="435"/>
      <c r="I62" s="450"/>
      <c r="J62" s="451"/>
      <c r="K62" s="436"/>
      <c r="L62" s="452"/>
      <c r="M62" s="421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hidden="1" customHeight="1" thickBot="1">
      <c r="B63" s="482"/>
      <c r="C63" s="479"/>
      <c r="D63" s="442"/>
      <c r="E63" s="443"/>
      <c r="F63" s="444"/>
      <c r="G63" s="445"/>
      <c r="H63" s="446"/>
      <c r="I63" s="447"/>
      <c r="J63" s="448"/>
      <c r="K63" s="449"/>
      <c r="L63" s="457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16.5" hidden="1" customHeight="1" thickBot="1">
      <c r="B64" s="437"/>
      <c r="C64" s="423"/>
      <c r="D64" s="424"/>
      <c r="E64" s="425"/>
      <c r="F64" s="426"/>
      <c r="G64" s="427"/>
      <c r="H64" s="428"/>
      <c r="I64" s="438"/>
      <c r="J64" s="439"/>
      <c r="K64" s="429"/>
      <c r="L64" s="440"/>
      <c r="M64" s="422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415"/>
      <c r="AC64" s="415"/>
      <c r="AD64" s="415"/>
      <c r="AE64" s="415"/>
      <c r="AF64" s="415"/>
      <c r="AG64" s="415"/>
      <c r="AH64" s="415"/>
      <c r="AI64" s="415"/>
      <c r="AJ64" s="415"/>
      <c r="AK64" s="415"/>
      <c r="AL64" s="415"/>
      <c r="AM64" s="415"/>
      <c r="AN64" s="415"/>
      <c r="AO64" s="415"/>
      <c r="AP64" s="415"/>
      <c r="AQ64" s="415"/>
      <c r="AR64" s="415"/>
      <c r="AS64" s="415"/>
      <c r="AT64" s="415"/>
      <c r="AU64" s="415"/>
      <c r="AV64" s="415"/>
      <c r="AW64" s="415"/>
    </row>
    <row r="65" spans="2:57" s="54" customFormat="1" ht="37.15" hidden="1" customHeight="1" thickBot="1">
      <c r="B65" s="456"/>
      <c r="C65" s="441"/>
      <c r="D65" s="442"/>
      <c r="E65" s="443"/>
      <c r="F65" s="444"/>
      <c r="G65" s="445"/>
      <c r="H65" s="446"/>
      <c r="I65" s="447"/>
      <c r="J65" s="448"/>
      <c r="K65" s="449"/>
      <c r="L65" s="457"/>
      <c r="M65" s="454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customHeight="1">
      <c r="B66" s="466"/>
      <c r="C66" s="430"/>
      <c r="D66" s="460"/>
      <c r="E66" s="461"/>
      <c r="F66" s="462"/>
      <c r="G66" s="460"/>
      <c r="H66" s="463"/>
      <c r="I66" s="463"/>
      <c r="J66" s="463"/>
      <c r="K66" s="464"/>
      <c r="L66" s="465"/>
      <c r="M66" s="50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ht="18" customHeight="1" thickBot="1">
      <c r="B67" s="59"/>
      <c r="C67" s="30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 t="s">
        <v>41</v>
      </c>
      <c r="O67" s="56"/>
      <c r="P67" s="60"/>
    </row>
    <row r="68" spans="2:57" ht="15.75" thickBot="1">
      <c r="B68" s="559" t="s">
        <v>55</v>
      </c>
      <c r="C68" s="560"/>
      <c r="D68" s="560"/>
      <c r="E68" s="560"/>
      <c r="F68" s="561"/>
      <c r="G68" s="559" t="s">
        <v>56</v>
      </c>
      <c r="H68" s="560"/>
      <c r="I68" s="560"/>
      <c r="J68" s="561"/>
      <c r="K68" s="559" t="s">
        <v>51</v>
      </c>
      <c r="L68" s="560"/>
      <c r="M68" s="560"/>
      <c r="N68" s="562"/>
      <c r="O68" s="56"/>
      <c r="P68" s="50"/>
    </row>
    <row r="69" spans="2:57" ht="15">
      <c r="B69" s="61" t="s">
        <v>17</v>
      </c>
      <c r="C69" s="62" t="s">
        <v>36</v>
      </c>
      <c r="D69" s="62" t="s">
        <v>37</v>
      </c>
      <c r="E69" s="62" t="s">
        <v>38</v>
      </c>
      <c r="F69" s="63" t="s">
        <v>39</v>
      </c>
      <c r="G69" s="62" t="s">
        <v>36</v>
      </c>
      <c r="H69" s="62" t="s">
        <v>37</v>
      </c>
      <c r="I69" s="62" t="s">
        <v>38</v>
      </c>
      <c r="J69" s="63" t="s">
        <v>39</v>
      </c>
      <c r="K69" s="62"/>
      <c r="L69" s="62" t="s">
        <v>37</v>
      </c>
      <c r="M69" s="62" t="s">
        <v>38</v>
      </c>
      <c r="N69" s="63" t="s">
        <v>39</v>
      </c>
      <c r="O69" s="56"/>
      <c r="P69" s="64"/>
    </row>
    <row r="70" spans="2:57" ht="15">
      <c r="B70" s="29" t="s">
        <v>6</v>
      </c>
      <c r="C70" s="65"/>
      <c r="D70" s="76"/>
      <c r="E70" s="76">
        <v>6.3344328997105954</v>
      </c>
      <c r="F70" s="66">
        <v>4.8</v>
      </c>
      <c r="G70" s="65"/>
      <c r="H70" s="477">
        <v>8.5339625744074716</v>
      </c>
      <c r="I70" s="477">
        <v>6.6324832355271122</v>
      </c>
      <c r="J70" s="66">
        <v>4.8</v>
      </c>
      <c r="K70" s="67"/>
      <c r="L70" s="194">
        <v>0.63472961756336266</v>
      </c>
      <c r="M70" s="194">
        <v>0.5378314286035405</v>
      </c>
      <c r="N70" s="68">
        <v>1</v>
      </c>
      <c r="O70" s="56"/>
      <c r="P70" s="69"/>
    </row>
    <row r="71" spans="2:57" ht="15">
      <c r="B71" s="33" t="s">
        <v>9</v>
      </c>
      <c r="C71" s="65"/>
      <c r="D71" s="76"/>
      <c r="E71" s="76">
        <v>5.7126344469380017</v>
      </c>
      <c r="F71" s="66">
        <v>4.8</v>
      </c>
      <c r="G71" s="65"/>
      <c r="H71" s="76">
        <v>6.3200151198785957</v>
      </c>
      <c r="I71" s="76">
        <v>5.7445831818092454</v>
      </c>
      <c r="J71" s="66">
        <v>4.8</v>
      </c>
      <c r="K71" s="67"/>
      <c r="L71" s="194">
        <v>0.73307711146028121</v>
      </c>
      <c r="M71" s="194">
        <v>0.70311528404448354</v>
      </c>
      <c r="N71" s="68">
        <v>1</v>
      </c>
      <c r="P71" s="69"/>
    </row>
    <row r="72" spans="2:57" ht="15">
      <c r="B72" s="34" t="s">
        <v>40</v>
      </c>
      <c r="C72" s="65"/>
      <c r="D72" s="76">
        <v>11.802449931946352</v>
      </c>
      <c r="E72" s="76">
        <v>11.629599164794833</v>
      </c>
      <c r="F72" s="66">
        <v>5.5</v>
      </c>
      <c r="G72" s="65"/>
      <c r="H72" s="76">
        <v>12.66028337217163</v>
      </c>
      <c r="I72" s="76">
        <v>12.698128671914382</v>
      </c>
      <c r="J72" s="66">
        <v>5.5</v>
      </c>
      <c r="K72" s="67"/>
      <c r="L72" s="194">
        <v>0.73473684210526313</v>
      </c>
      <c r="M72" s="194">
        <v>0.34236169970380492</v>
      </c>
      <c r="N72" s="68">
        <v>1</v>
      </c>
      <c r="P72" s="69"/>
    </row>
    <row r="73" spans="2:57" ht="15">
      <c r="B73" s="22" t="s">
        <v>33</v>
      </c>
      <c r="C73" s="65"/>
      <c r="D73" s="76">
        <v>5.2821235075431714</v>
      </c>
      <c r="E73" s="76">
        <v>4.8685538193023987</v>
      </c>
      <c r="F73" s="66">
        <v>3.3</v>
      </c>
      <c r="G73" s="65"/>
      <c r="H73" s="76">
        <v>6.0437242212826936</v>
      </c>
      <c r="I73" s="76">
        <v>5.0921772905826597</v>
      </c>
      <c r="J73" s="66">
        <v>3.3</v>
      </c>
      <c r="K73" s="67"/>
      <c r="L73" s="194">
        <v>0.98070175438596496</v>
      </c>
      <c r="M73" s="194">
        <v>0.79040935672514623</v>
      </c>
      <c r="N73" s="68">
        <v>1</v>
      </c>
      <c r="P73" s="69"/>
    </row>
    <row r="74" spans="2:57" ht="15">
      <c r="B74" s="35" t="s">
        <v>164</v>
      </c>
      <c r="C74" s="65"/>
      <c r="D74" s="76"/>
      <c r="E74" s="76"/>
      <c r="F74" s="66">
        <v>3.3</v>
      </c>
      <c r="G74" s="282"/>
      <c r="H74" s="76"/>
      <c r="I74" s="76"/>
      <c r="J74" s="66">
        <v>3</v>
      </c>
      <c r="K74" s="67"/>
      <c r="L74" s="194"/>
      <c r="M74" s="194"/>
      <c r="N74" s="68">
        <v>1</v>
      </c>
      <c r="P74" s="69"/>
    </row>
    <row r="75" spans="2:57" ht="15">
      <c r="B75" s="36" t="s">
        <v>15</v>
      </c>
      <c r="C75" s="65"/>
      <c r="D75" s="76">
        <v>8.8040712468193441</v>
      </c>
      <c r="E75" s="76">
        <v>6.040019762845847</v>
      </c>
      <c r="F75" s="481">
        <v>5.5</v>
      </c>
      <c r="G75" s="65"/>
      <c r="H75" s="76">
        <v>10.492754539985274</v>
      </c>
      <c r="I75" s="76">
        <v>8.2405787675951316</v>
      </c>
      <c r="J75" s="66">
        <v>5.5</v>
      </c>
      <c r="K75" s="67"/>
      <c r="L75" s="194">
        <v>0.31438596491228066</v>
      </c>
      <c r="M75" s="194">
        <v>0.78491228070175445</v>
      </c>
      <c r="N75" s="68">
        <v>1</v>
      </c>
      <c r="P75" s="69"/>
    </row>
    <row r="76" spans="2:57" ht="15">
      <c r="B76" s="37" t="s">
        <v>16</v>
      </c>
      <c r="C76" s="483"/>
      <c r="D76" s="76">
        <v>2.6353276353276138</v>
      </c>
      <c r="E76" s="76">
        <v>3.6168923014750458</v>
      </c>
      <c r="F76" s="66">
        <v>3.3</v>
      </c>
      <c r="G76" s="282"/>
      <c r="H76" s="76">
        <v>5.273936642500308</v>
      </c>
      <c r="I76" s="76">
        <v>4.9259238021167535</v>
      </c>
      <c r="J76" s="66">
        <v>3.3</v>
      </c>
      <c r="K76" s="67"/>
      <c r="L76" s="194">
        <v>1.438947368421053</v>
      </c>
      <c r="M76" s="194">
        <v>0.8884619883040934</v>
      </c>
      <c r="N76" s="71">
        <v>1</v>
      </c>
      <c r="P76" s="69"/>
    </row>
    <row r="77" spans="2:57" ht="15.75" thickBot="1">
      <c r="B77" s="38" t="s">
        <v>163</v>
      </c>
      <c r="C77" s="65"/>
      <c r="D77" s="76"/>
      <c r="E77" s="76"/>
      <c r="F77" s="66">
        <v>7.5</v>
      </c>
      <c r="G77" s="282"/>
      <c r="H77" s="76"/>
      <c r="I77" s="76"/>
      <c r="J77" s="66">
        <v>7.5</v>
      </c>
      <c r="K77" s="67"/>
      <c r="L77" s="194"/>
      <c r="M77" s="194"/>
      <c r="N77" s="71">
        <v>1</v>
      </c>
      <c r="P77" s="69"/>
    </row>
    <row r="78" spans="2:57" ht="15.75" thickBot="1">
      <c r="B78" s="414" t="s">
        <v>161</v>
      </c>
      <c r="C78" s="65"/>
      <c r="D78" s="76"/>
      <c r="E78" s="76"/>
      <c r="F78" s="66">
        <v>4.8</v>
      </c>
      <c r="G78" s="282"/>
      <c r="H78" s="76"/>
      <c r="I78" s="76"/>
      <c r="J78" s="66">
        <v>4.8</v>
      </c>
      <c r="K78" s="67"/>
      <c r="L78" s="194"/>
      <c r="M78" s="194"/>
      <c r="N78" s="71">
        <v>1</v>
      </c>
      <c r="O78" s="74"/>
      <c r="P78" s="75"/>
    </row>
    <row r="79" spans="2:57" ht="15">
      <c r="D79" s="76">
        <v>5.7813789818368564</v>
      </c>
      <c r="E79" s="76">
        <v>6.2081350262359862</v>
      </c>
      <c r="F79" s="341">
        <v>5.5</v>
      </c>
      <c r="H79" s="76">
        <v>7.8196577637489915</v>
      </c>
      <c r="I79" s="76">
        <v>6.6906544634781211</v>
      </c>
      <c r="J79" s="341">
        <v>5.5</v>
      </c>
      <c r="L79" s="194">
        <v>0.71600849718710224</v>
      </c>
      <c r="M79" s="194">
        <v>0.60661060464044936</v>
      </c>
      <c r="N79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6:N26"/>
    <mergeCell ref="D27:E27"/>
    <mergeCell ref="B28:B39"/>
    <mergeCell ref="D28:E29"/>
    <mergeCell ref="D30:E31"/>
    <mergeCell ref="D32:E33"/>
    <mergeCell ref="D34:E35"/>
    <mergeCell ref="D36:E37"/>
    <mergeCell ref="D38:E39"/>
    <mergeCell ref="B40:B49"/>
    <mergeCell ref="D40:E41"/>
    <mergeCell ref="J40:K40"/>
    <mergeCell ref="L41:N41"/>
    <mergeCell ref="D42:E43"/>
    <mergeCell ref="D44:E45"/>
    <mergeCell ref="D46:E47"/>
    <mergeCell ref="D48:E49"/>
    <mergeCell ref="D50:E50"/>
    <mergeCell ref="B55:B56"/>
    <mergeCell ref="C55:C56"/>
    <mergeCell ref="D55:D56"/>
    <mergeCell ref="E55:E56"/>
    <mergeCell ref="M55:M56"/>
    <mergeCell ref="B68:F68"/>
    <mergeCell ref="G68:J68"/>
    <mergeCell ref="K68:N68"/>
    <mergeCell ref="G55:G56"/>
    <mergeCell ref="H55:H56"/>
    <mergeCell ref="I55:I56"/>
    <mergeCell ref="J55:J56"/>
    <mergeCell ref="K55:K56"/>
    <mergeCell ref="L55:L56"/>
    <mergeCell ref="F55:F56"/>
  </mergeCells>
  <phoneticPr fontId="62" type="noConversion"/>
  <conditionalFormatting sqref="B50:B51">
    <cfRule type="cellIs" dxfId="3848" priority="114" operator="notBetween">
      <formula>#REF!</formula>
      <formula>#REF!</formula>
    </cfRule>
  </conditionalFormatting>
  <conditionalFormatting sqref="C54">
    <cfRule type="cellIs" dxfId="3847" priority="196" stopIfTrue="1" operator="lessThan">
      <formula>96</formula>
    </cfRule>
    <cfRule type="cellIs" dxfId="3846" priority="197" stopIfTrue="1" operator="greaterThan">
      <formula>100</formula>
    </cfRule>
  </conditionalFormatting>
  <conditionalFormatting sqref="C70:C71">
    <cfRule type="cellIs" dxfId="3845" priority="77" stopIfTrue="1" operator="lessThanOrEqual">
      <formula>0</formula>
    </cfRule>
    <cfRule type="cellIs" dxfId="3844" priority="78" stopIfTrue="1" operator="greaterThan">
      <formula>$F70</formula>
    </cfRule>
    <cfRule type="cellIs" dxfId="3843" priority="76" stopIfTrue="1" operator="greaterThan">
      <formula>$F70</formula>
    </cfRule>
    <cfRule type="cellIs" dxfId="3842" priority="79" stopIfTrue="1" operator="lessThanOrEqual">
      <formula>0</formula>
    </cfRule>
  </conditionalFormatting>
  <conditionalFormatting sqref="C72:C74 C76:C78">
    <cfRule type="cellIs" dxfId="3841" priority="86" stopIfTrue="1" operator="greaterThan">
      <formula>$F75</formula>
    </cfRule>
  </conditionalFormatting>
  <conditionalFormatting sqref="C72:C74">
    <cfRule type="cellIs" dxfId="3840" priority="87" stopIfTrue="1" operator="lessThanOrEqual">
      <formula>0</formula>
    </cfRule>
  </conditionalFormatting>
  <conditionalFormatting sqref="C75">
    <cfRule type="cellIs" dxfId="3839" priority="199" stopIfTrue="1" operator="lessThanOrEqual">
      <formula>0</formula>
    </cfRule>
    <cfRule type="cellIs" dxfId="3838" priority="200" stopIfTrue="1" operator="greaterThan">
      <formula>$F70</formula>
    </cfRule>
    <cfRule type="cellIs" dxfId="3837" priority="201" stopIfTrue="1" operator="lessThanOrEqual">
      <formula>0</formula>
    </cfRule>
    <cfRule type="cellIs" dxfId="3836" priority="198" stopIfTrue="1" operator="greaterThan">
      <formula>$F70</formula>
    </cfRule>
  </conditionalFormatting>
  <conditionalFormatting sqref="C76:C78">
    <cfRule type="cellIs" dxfId="3835" priority="88" stopIfTrue="1" operator="lessThanOrEqual">
      <formula>0</formula>
    </cfRule>
  </conditionalFormatting>
  <conditionalFormatting sqref="C81:C85">
    <cfRule type="cellIs" dxfId="3834" priority="188" stopIfTrue="1" operator="lessThanOrEqual">
      <formula>0</formula>
    </cfRule>
  </conditionalFormatting>
  <conditionalFormatting sqref="C82:C85">
    <cfRule type="cellIs" dxfId="3833" priority="187" stopIfTrue="1" operator="greaterThan">
      <formula>$F$81</formula>
    </cfRule>
  </conditionalFormatting>
  <conditionalFormatting sqref="C87">
    <cfRule type="cellIs" dxfId="3832" priority="189" stopIfTrue="1" operator="greaterThan">
      <formula>$F$81</formula>
    </cfRule>
    <cfRule type="cellIs" dxfId="3831" priority="190" stopIfTrue="1" operator="lessThanOrEqual">
      <formula>0</formula>
    </cfRule>
  </conditionalFormatting>
  <conditionalFormatting sqref="C75:D75">
    <cfRule type="cellIs" dxfId="3830" priority="75" stopIfTrue="1" operator="lessThanOrEqual">
      <formula>0</formula>
    </cfRule>
    <cfRule type="cellIs" dxfId="3829" priority="74" stopIfTrue="1" operator="greaterThan">
      <formula>$J75</formula>
    </cfRule>
  </conditionalFormatting>
  <conditionalFormatting sqref="C81:D81 D83:D89">
    <cfRule type="cellIs" dxfId="3828" priority="182" stopIfTrue="1" operator="greaterThan">
      <formula>4.5</formula>
    </cfRule>
  </conditionalFormatting>
  <conditionalFormatting sqref="D50:D51">
    <cfRule type="cellIs" dxfId="3827" priority="115" operator="notBetween">
      <formula>#REF!</formula>
      <formula>#REF!</formula>
    </cfRule>
  </conditionalFormatting>
  <conditionalFormatting sqref="D70:D74 D76:D77">
    <cfRule type="cellIs" dxfId="3826" priority="85" stopIfTrue="1" operator="lessThanOrEqual">
      <formula>0</formula>
    </cfRule>
  </conditionalFormatting>
  <conditionalFormatting sqref="D70:D74 D76:D79">
    <cfRule type="cellIs" dxfId="3825" priority="82" stopIfTrue="1" operator="greaterThan">
      <formula>$F70</formula>
    </cfRule>
    <cfRule type="cellIs" dxfId="3824" priority="81" stopIfTrue="1" operator="lessThanOrEqual">
      <formula>0</formula>
    </cfRule>
  </conditionalFormatting>
  <conditionalFormatting sqref="D78:D79">
    <cfRule type="cellIs" dxfId="3823" priority="83" stopIfTrue="1" operator="lessThanOrEqual">
      <formula>0</formula>
    </cfRule>
  </conditionalFormatting>
  <conditionalFormatting sqref="D79">
    <cfRule type="cellIs" dxfId="3822" priority="84" stopIfTrue="1" operator="lessThanOrEqual">
      <formula>0</formula>
    </cfRule>
  </conditionalFormatting>
  <conditionalFormatting sqref="D81 D83:D89">
    <cfRule type="cellIs" dxfId="3821" priority="183" stopIfTrue="1" operator="lessThanOrEqual">
      <formula>0</formula>
    </cfRule>
  </conditionalFormatting>
  <conditionalFormatting sqref="D82">
    <cfRule type="cellIs" dxfId="3820" priority="174" stopIfTrue="1" operator="greaterThan">
      <formula>$F$81</formula>
    </cfRule>
    <cfRule type="cellIs" dxfId="3819" priority="175" stopIfTrue="1" operator="lessThanOrEqual">
      <formula>0</formula>
    </cfRule>
  </conditionalFormatting>
  <conditionalFormatting sqref="E10:E25">
    <cfRule type="cellIs" dxfId="3818" priority="18" operator="lessThan">
      <formula>48</formula>
    </cfRule>
  </conditionalFormatting>
  <conditionalFormatting sqref="E53 E54:F54">
    <cfRule type="cellIs" dxfId="3817" priority="179" stopIfTrue="1" operator="greaterThan">
      <formula>100</formula>
    </cfRule>
  </conditionalFormatting>
  <conditionalFormatting sqref="E54">
    <cfRule type="cellIs" dxfId="3816" priority="176" stopIfTrue="1" operator="lessThan">
      <formula>96.8</formula>
    </cfRule>
    <cfRule type="cellIs" dxfId="3815" priority="177" stopIfTrue="1" operator="greaterThan">
      <formula>100</formula>
    </cfRule>
  </conditionalFormatting>
  <conditionalFormatting sqref="E70:E78">
    <cfRule type="cellIs" dxfId="3814" priority="47" stopIfTrue="1" operator="lessThanOrEqual">
      <formula>0</formula>
    </cfRule>
  </conditionalFormatting>
  <conditionalFormatting sqref="E70:E79">
    <cfRule type="cellIs" dxfId="3813" priority="49" stopIfTrue="1" operator="lessThanOrEqual">
      <formula>0</formula>
    </cfRule>
    <cfRule type="cellIs" dxfId="3812" priority="48" stopIfTrue="1" operator="greaterThan">
      <formula>$F70</formula>
    </cfRule>
  </conditionalFormatting>
  <conditionalFormatting sqref="E79">
    <cfRule type="cellIs" dxfId="3811" priority="50" stopIfTrue="1" operator="lessThanOrEqual">
      <formula>0</formula>
    </cfRule>
  </conditionalFormatting>
  <conditionalFormatting sqref="E81:E89">
    <cfRule type="cellIs" dxfId="3810" priority="169" stopIfTrue="1" operator="lessThanOrEqual">
      <formula>0</formula>
    </cfRule>
    <cfRule type="cellIs" dxfId="3809" priority="168" stopIfTrue="1" operator="greaterThan">
      <formula>4.5</formula>
    </cfRule>
  </conditionalFormatting>
  <conditionalFormatting sqref="E54:F54 E53">
    <cfRule type="cellIs" dxfId="3808" priority="178" stopIfTrue="1" operator="lessThan">
      <formula>96.5</formula>
    </cfRule>
  </conditionalFormatting>
  <conditionalFormatting sqref="F22:F25">
    <cfRule type="cellIs" dxfId="3807" priority="25" operator="greaterThan">
      <formula>60</formula>
    </cfRule>
  </conditionalFormatting>
  <conditionalFormatting sqref="F54">
    <cfRule type="cellIs" dxfId="3806" priority="195" stopIfTrue="1" operator="greaterThan">
      <formula>100</formula>
    </cfRule>
    <cfRule type="cellIs" dxfId="3805" priority="194" stopIfTrue="1" operator="lessThan">
      <formula>96.8</formula>
    </cfRule>
  </conditionalFormatting>
  <conditionalFormatting sqref="G10:G25">
    <cfRule type="expression" dxfId="3804" priority="20">
      <formula>IF(+(IF(G10&lt;S10,0,IF(G10&gt;T10,0,1)))=0,1)</formula>
    </cfRule>
  </conditionalFormatting>
  <conditionalFormatting sqref="G70:G73 F79">
    <cfRule type="cellIs" dxfId="3803" priority="57" stopIfTrue="1" operator="lessThanOrEqual">
      <formula>0</formula>
    </cfRule>
    <cfRule type="cellIs" dxfId="3802" priority="56" stopIfTrue="1" operator="greaterThan">
      <formula>$F70</formula>
    </cfRule>
  </conditionalFormatting>
  <conditionalFormatting sqref="G72:G73">
    <cfRule type="cellIs" dxfId="3801" priority="42" stopIfTrue="1" operator="greaterThan">
      <formula>$F72</formula>
    </cfRule>
    <cfRule type="cellIs" dxfId="3800" priority="43" stopIfTrue="1" operator="lessThanOrEqual">
      <formula>0</formula>
    </cfRule>
  </conditionalFormatting>
  <conditionalFormatting sqref="G74:G78">
    <cfRule type="cellIs" dxfId="3799" priority="58" stopIfTrue="1" operator="greaterThan">
      <formula>$J74</formula>
    </cfRule>
    <cfRule type="cellIs" dxfId="3798" priority="59" stopIfTrue="1" operator="lessThanOrEqual">
      <formula>0</formula>
    </cfRule>
  </conditionalFormatting>
  <conditionalFormatting sqref="G75">
    <cfRule type="cellIs" dxfId="3797" priority="203" stopIfTrue="1" operator="lessThanOrEqual">
      <formula>0</formula>
    </cfRule>
    <cfRule type="cellIs" dxfId="3796" priority="202" stopIfTrue="1" operator="greaterThan">
      <formula>$F70</formula>
    </cfRule>
  </conditionalFormatting>
  <conditionalFormatting sqref="G83:G88 C86 C88">
    <cfRule type="cellIs" dxfId="3795" priority="191" stopIfTrue="1" operator="greaterThan">
      <formula>4.5</formula>
    </cfRule>
    <cfRule type="cellIs" dxfId="3794" priority="192" stopIfTrue="1" operator="lessThanOrEqual">
      <formula>0</formula>
    </cfRule>
  </conditionalFormatting>
  <conditionalFormatting sqref="G82:H82">
    <cfRule type="cellIs" dxfId="3793" priority="172" stopIfTrue="1" operator="greaterThan">
      <formula>$F$81</formula>
    </cfRule>
    <cfRule type="cellIs" dxfId="3792" priority="173" stopIfTrue="1" operator="lessThanOrEqual">
      <formula>0</formula>
    </cfRule>
  </conditionalFormatting>
  <conditionalFormatting sqref="H39:H40 H53">
    <cfRule type="cellIs" dxfId="3791" priority="170" stopIfTrue="1" operator="greaterThan">
      <formula>0</formula>
    </cfRule>
  </conditionalFormatting>
  <conditionalFormatting sqref="H57">
    <cfRule type="cellIs" dxfId="3790" priority="72" stopIfTrue="1" operator="greaterThan">
      <formula>$F$71</formula>
    </cfRule>
    <cfRule type="cellIs" dxfId="3789" priority="71" stopIfTrue="1" operator="lessThanOrEqual">
      <formula>0</formula>
    </cfRule>
    <cfRule type="cellIs" dxfId="3788" priority="70" stopIfTrue="1" operator="greaterThan">
      <formula>$F$73</formula>
    </cfRule>
    <cfRule type="cellIs" dxfId="3787" priority="61" stopIfTrue="1" operator="lessThanOrEqual">
      <formula>0</formula>
    </cfRule>
    <cfRule type="cellIs" dxfId="3786" priority="62" stopIfTrue="1" operator="greaterThan">
      <formula>$F$70</formula>
    </cfRule>
  </conditionalFormatting>
  <conditionalFormatting sqref="H57:H58">
    <cfRule type="cellIs" dxfId="3785" priority="73" stopIfTrue="1" operator="lessThanOrEqual">
      <formula>0</formula>
    </cfRule>
  </conditionalFormatting>
  <conditionalFormatting sqref="H58 H60:H61">
    <cfRule type="cellIs" dxfId="3784" priority="100" stopIfTrue="1" operator="lessThanOrEqual">
      <formula>0</formula>
    </cfRule>
  </conditionalFormatting>
  <conditionalFormatting sqref="H58">
    <cfRule type="cellIs" dxfId="3783" priority="97" stopIfTrue="1" operator="greaterThan">
      <formula>$F$73</formula>
    </cfRule>
    <cfRule type="cellIs" dxfId="3782" priority="98" stopIfTrue="1" operator="lessThanOrEqual">
      <formula>0</formula>
    </cfRule>
    <cfRule type="cellIs" dxfId="3781" priority="99" stopIfTrue="1" operator="greaterThan">
      <formula>$F$71</formula>
    </cfRule>
    <cfRule type="cellIs" dxfId="3780" priority="89" stopIfTrue="1" operator="greaterThan">
      <formula>$F$70</formula>
    </cfRule>
  </conditionalFormatting>
  <conditionalFormatting sqref="H59">
    <cfRule type="cellIs" dxfId="3779" priority="38" stopIfTrue="1" operator="lessThanOrEqual">
      <formula>0</formula>
    </cfRule>
    <cfRule type="cellIs" dxfId="3778" priority="37" stopIfTrue="1" operator="greaterThan">
      <formula>$F$75</formula>
    </cfRule>
    <cfRule type="cellIs" dxfId="3777" priority="29" stopIfTrue="1" operator="greaterThan">
      <formula>$F$72</formula>
    </cfRule>
    <cfRule type="cellIs" dxfId="3776" priority="28" stopIfTrue="1" operator="lessThanOrEqual">
      <formula>0</formula>
    </cfRule>
    <cfRule type="cellIs" dxfId="3775" priority="40" stopIfTrue="1" operator="lessThanOrEqual">
      <formula>0</formula>
    </cfRule>
    <cfRule type="cellIs" dxfId="3774" priority="39" stopIfTrue="1" operator="greaterThan">
      <formula>$F$73</formula>
    </cfRule>
  </conditionalFormatting>
  <conditionalFormatting sqref="H60:H61">
    <cfRule type="cellIs" dxfId="3773" priority="102" stopIfTrue="1" operator="greaterThan">
      <formula>$F$70</formula>
    </cfRule>
    <cfRule type="cellIs" dxfId="3772" priority="113" stopIfTrue="1" operator="lessThanOrEqual">
      <formula>0</formula>
    </cfRule>
    <cfRule type="cellIs" dxfId="3771" priority="112" stopIfTrue="1" operator="greaterThan">
      <formula>$F$71</formula>
    </cfRule>
    <cfRule type="cellIs" dxfId="3770" priority="110" stopIfTrue="1" operator="greaterThan">
      <formula>$F$73</formula>
    </cfRule>
    <cfRule type="cellIs" dxfId="3769" priority="111" stopIfTrue="1" operator="lessThanOrEqual">
      <formula>0</formula>
    </cfRule>
  </conditionalFormatting>
  <conditionalFormatting sqref="H62:H63">
    <cfRule type="cellIs" dxfId="3768" priority="146" stopIfTrue="1" operator="greaterThan">
      <formula>#REF!</formula>
    </cfRule>
    <cfRule type="cellIs" dxfId="3767" priority="147" stopIfTrue="1" operator="lessThanOrEqual">
      <formula>0</formula>
    </cfRule>
    <cfRule type="cellIs" dxfId="3766" priority="137" stopIfTrue="1" operator="lessThanOrEqual">
      <formula>0</formula>
    </cfRule>
    <cfRule type="cellIs" dxfId="3765" priority="138" stopIfTrue="1" operator="greaterThan">
      <formula>#REF!</formula>
    </cfRule>
  </conditionalFormatting>
  <conditionalFormatting sqref="H64">
    <cfRule type="cellIs" dxfId="3764" priority="149" stopIfTrue="1" operator="lessThanOrEqual">
      <formula>0</formula>
    </cfRule>
    <cfRule type="cellIs" dxfId="3763" priority="150" stopIfTrue="1" operator="greaterThan">
      <formula>$F$38</formula>
    </cfRule>
    <cfRule type="cellIs" dxfId="3762" priority="158" stopIfTrue="1" operator="greaterThan">
      <formula>$F$41</formula>
    </cfRule>
    <cfRule type="cellIs" dxfId="3761" priority="159" stopIfTrue="1" operator="lessThanOrEqual">
      <formula>0</formula>
    </cfRule>
    <cfRule type="cellIs" dxfId="3760" priority="160" stopIfTrue="1" operator="greaterThan">
      <formula>$F$39</formula>
    </cfRule>
    <cfRule type="cellIs" dxfId="3759" priority="161" stopIfTrue="1" operator="lessThanOrEqual">
      <formula>0</formula>
    </cfRule>
  </conditionalFormatting>
  <conditionalFormatting sqref="H65:H66">
    <cfRule type="cellIs" dxfId="3758" priority="135" stopIfTrue="1" operator="lessThanOrEqual">
      <formula>0</formula>
    </cfRule>
    <cfRule type="cellIs" dxfId="3757" priority="126" stopIfTrue="1" operator="greaterThan">
      <formula>#REF!</formula>
    </cfRule>
    <cfRule type="cellIs" dxfId="3756" priority="125" stopIfTrue="1" operator="lessThanOrEqual">
      <formula>0</formula>
    </cfRule>
    <cfRule type="cellIs" dxfId="3755" priority="134" stopIfTrue="1" operator="greaterThan">
      <formula>#REF!</formula>
    </cfRule>
  </conditionalFormatting>
  <conditionalFormatting sqref="H81 H83:H89">
    <cfRule type="cellIs" dxfId="3754" priority="184" stopIfTrue="1" operator="greaterThan">
      <formula>4.5</formula>
    </cfRule>
    <cfRule type="cellIs" dxfId="3753" priority="185" stopIfTrue="1" operator="lessThanOrEqual">
      <formula>0</formula>
    </cfRule>
  </conditionalFormatting>
  <conditionalFormatting sqref="H57:I57">
    <cfRule type="cellIs" dxfId="3752" priority="63" stopIfTrue="1" operator="lessThanOrEqual">
      <formula>0</formula>
    </cfRule>
  </conditionalFormatting>
  <conditionalFormatting sqref="H57:I58 H60:I61">
    <cfRule type="cellIs" dxfId="3751" priority="60" stopIfTrue="1" operator="greaterThan">
      <formula>$F$72</formula>
    </cfRule>
  </conditionalFormatting>
  <conditionalFormatting sqref="H58:I58">
    <cfRule type="cellIs" dxfId="3750" priority="90" stopIfTrue="1" operator="lessThanOrEqual">
      <formula>0</formula>
    </cfRule>
  </conditionalFormatting>
  <conditionalFormatting sqref="H59:I59">
    <cfRule type="cellIs" dxfId="3749" priority="30" stopIfTrue="1" operator="lessThanOrEqual">
      <formula>0</formula>
    </cfRule>
    <cfRule type="cellIs" dxfId="3748" priority="27" stopIfTrue="1" operator="greaterThan">
      <formula>$F$74</formula>
    </cfRule>
  </conditionalFormatting>
  <conditionalFormatting sqref="H60:I61">
    <cfRule type="cellIs" dxfId="3747" priority="103" stopIfTrue="1" operator="lessThanOrEqual">
      <formula>0</formula>
    </cfRule>
  </conditionalFormatting>
  <conditionalFormatting sqref="H62:I63">
    <cfRule type="cellIs" dxfId="3746" priority="145" stopIfTrue="1" operator="lessThanOrEqual">
      <formula>0</formula>
    </cfRule>
    <cfRule type="cellIs" dxfId="3745" priority="144" stopIfTrue="1" operator="greaterThan">
      <formula>#REF!</formula>
    </cfRule>
    <cfRule type="cellIs" dxfId="3744" priority="139" stopIfTrue="1" operator="lessThanOrEqual">
      <formula>0</formula>
    </cfRule>
    <cfRule type="cellIs" dxfId="3743" priority="136" stopIfTrue="1" operator="greaterThan">
      <formula>#REF!</formula>
    </cfRule>
  </conditionalFormatting>
  <conditionalFormatting sqref="H64:I64">
    <cfRule type="cellIs" dxfId="3742" priority="148" stopIfTrue="1" operator="greaterThan">
      <formula>$F$40</formula>
    </cfRule>
    <cfRule type="cellIs" dxfId="3741" priority="151" stopIfTrue="1" operator="lessThanOrEqual">
      <formula>0</formula>
    </cfRule>
  </conditionalFormatting>
  <conditionalFormatting sqref="H65:I66">
    <cfRule type="cellIs" dxfId="3740" priority="132" stopIfTrue="1" operator="greaterThan">
      <formula>#REF!</formula>
    </cfRule>
    <cfRule type="cellIs" dxfId="3739" priority="124" stopIfTrue="1" operator="greaterThan">
      <formula>#REF!</formula>
    </cfRule>
    <cfRule type="cellIs" dxfId="3738" priority="127" stopIfTrue="1" operator="lessThanOrEqual">
      <formula>0</formula>
    </cfRule>
    <cfRule type="cellIs" dxfId="3737" priority="133" stopIfTrue="1" operator="lessThanOrEqual">
      <formula>0</formula>
    </cfRule>
  </conditionalFormatting>
  <conditionalFormatting sqref="H70:I77">
    <cfRule type="cellIs" dxfId="3736" priority="46" stopIfTrue="1" operator="lessThanOrEqual">
      <formula>0</formula>
    </cfRule>
    <cfRule type="cellIs" dxfId="3735" priority="45" stopIfTrue="1" operator="greaterThan">
      <formula>$J70</formula>
    </cfRule>
  </conditionalFormatting>
  <conditionalFormatting sqref="H78:I78">
    <cfRule type="cellIs" dxfId="3734" priority="53" operator="greaterThan">
      <formula>5.3</formula>
    </cfRule>
  </conditionalFormatting>
  <conditionalFormatting sqref="H79:I79">
    <cfRule type="cellIs" dxfId="3733" priority="51" stopIfTrue="1" operator="greaterThan">
      <formula>$J79</formula>
    </cfRule>
    <cfRule type="cellIs" dxfId="3732" priority="52" stopIfTrue="1" operator="lessThanOrEqual">
      <formula>0</formula>
    </cfRule>
  </conditionalFormatting>
  <conditionalFormatting sqref="I57">
    <cfRule type="cellIs" dxfId="3731" priority="67" stopIfTrue="1" operator="lessThanOrEqual">
      <formula>0</formula>
    </cfRule>
    <cfRule type="cellIs" dxfId="3730" priority="68" stopIfTrue="1" operator="greaterThan">
      <formula>$F$70</formula>
    </cfRule>
    <cfRule type="cellIs" dxfId="3729" priority="64" stopIfTrue="1" operator="greaterThan">
      <formula>$F$70</formula>
    </cfRule>
    <cfRule type="cellIs" dxfId="3728" priority="65" stopIfTrue="1" operator="lessThanOrEqual">
      <formula>0</formula>
    </cfRule>
    <cfRule type="cellIs" dxfId="3727" priority="66" stopIfTrue="1" operator="greaterThan">
      <formula>$F$72</formula>
    </cfRule>
    <cfRule type="cellIs" dxfId="3726" priority="69" stopIfTrue="1" operator="lessThanOrEqual">
      <formula>0</formula>
    </cfRule>
  </conditionalFormatting>
  <conditionalFormatting sqref="I58">
    <cfRule type="cellIs" dxfId="3725" priority="95" stopIfTrue="1" operator="greaterThan">
      <formula>$F$70</formula>
    </cfRule>
    <cfRule type="cellIs" dxfId="3724" priority="94" stopIfTrue="1" operator="lessThanOrEqual">
      <formula>0</formula>
    </cfRule>
    <cfRule type="cellIs" dxfId="3723" priority="96" stopIfTrue="1" operator="lessThanOrEqual">
      <formula>0</formula>
    </cfRule>
    <cfRule type="cellIs" dxfId="3722" priority="93" stopIfTrue="1" operator="greaterThan">
      <formula>$F$72</formula>
    </cfRule>
    <cfRule type="cellIs" dxfId="3721" priority="92" stopIfTrue="1" operator="lessThanOrEqual">
      <formula>0</formula>
    </cfRule>
    <cfRule type="cellIs" dxfId="3720" priority="91" stopIfTrue="1" operator="greaterThan">
      <formula>$F$70</formula>
    </cfRule>
  </conditionalFormatting>
  <conditionalFormatting sqref="I59">
    <cfRule type="cellIs" dxfId="3719" priority="36" stopIfTrue="1" operator="lessThanOrEqual">
      <formula>0</formula>
    </cfRule>
    <cfRule type="cellIs" dxfId="3718" priority="32" stopIfTrue="1" operator="lessThanOrEqual">
      <formula>0</formula>
    </cfRule>
    <cfRule type="cellIs" dxfId="3717" priority="35" stopIfTrue="1" operator="greaterThan">
      <formula>$F$72</formula>
    </cfRule>
    <cfRule type="cellIs" dxfId="3716" priority="33" stopIfTrue="1" operator="greaterThan">
      <formula>$F$74</formula>
    </cfRule>
    <cfRule type="cellIs" dxfId="3715" priority="31" stopIfTrue="1" operator="greaterThan">
      <formula>$F$72</formula>
    </cfRule>
    <cfRule type="cellIs" dxfId="3714" priority="34" stopIfTrue="1" operator="lessThanOrEqual">
      <formula>0</formula>
    </cfRule>
  </conditionalFormatting>
  <conditionalFormatting sqref="I60:I61">
    <cfRule type="cellIs" dxfId="3713" priority="108" stopIfTrue="1" operator="greaterThan">
      <formula>$F$70</formula>
    </cfRule>
    <cfRule type="cellIs" dxfId="3712" priority="105" stopIfTrue="1" operator="lessThanOrEqual">
      <formula>0</formula>
    </cfRule>
    <cfRule type="cellIs" dxfId="3711" priority="107" stopIfTrue="1" operator="lessThanOrEqual">
      <formula>0</formula>
    </cfRule>
    <cfRule type="cellIs" dxfId="3710" priority="109" stopIfTrue="1" operator="lessThanOrEqual">
      <formula>0</formula>
    </cfRule>
    <cfRule type="cellIs" dxfId="3709" priority="104" stopIfTrue="1" operator="greaterThan">
      <formula>$F$70</formula>
    </cfRule>
    <cfRule type="cellIs" dxfId="3708" priority="106" stopIfTrue="1" operator="greaterThan">
      <formula>$F$72</formula>
    </cfRule>
  </conditionalFormatting>
  <conditionalFormatting sqref="I62:I63">
    <cfRule type="cellIs" dxfId="3707" priority="141" stopIfTrue="1" operator="lessThanOrEqual">
      <formula>0</formula>
    </cfRule>
    <cfRule type="cellIs" dxfId="3706" priority="142" stopIfTrue="1" operator="greaterThan">
      <formula>#REF!</formula>
    </cfRule>
    <cfRule type="cellIs" dxfId="3705" priority="143" stopIfTrue="1" operator="lessThanOrEqual">
      <formula>0</formula>
    </cfRule>
    <cfRule type="cellIs" dxfId="3704" priority="140" stopIfTrue="1" operator="greaterThan">
      <formula>#REF!</formula>
    </cfRule>
  </conditionalFormatting>
  <conditionalFormatting sqref="I64">
    <cfRule type="cellIs" dxfId="3703" priority="157" stopIfTrue="1" operator="lessThanOrEqual">
      <formula>0</formula>
    </cfRule>
    <cfRule type="cellIs" dxfId="3702" priority="154" stopIfTrue="1" operator="greaterThan">
      <formula>$F$40</formula>
    </cfRule>
    <cfRule type="cellIs" dxfId="3701" priority="155" stopIfTrue="1" operator="lessThanOrEqual">
      <formula>0</formula>
    </cfRule>
    <cfRule type="cellIs" dxfId="3700" priority="152" stopIfTrue="1" operator="greaterThan">
      <formula>$F$38</formula>
    </cfRule>
    <cfRule type="cellIs" dxfId="3699" priority="153" stopIfTrue="1" operator="lessThanOrEqual">
      <formula>0</formula>
    </cfRule>
    <cfRule type="cellIs" dxfId="3698" priority="156" stopIfTrue="1" operator="greaterThan">
      <formula>$F$38</formula>
    </cfRule>
  </conditionalFormatting>
  <conditionalFormatting sqref="I65:I66">
    <cfRule type="cellIs" dxfId="3697" priority="128" stopIfTrue="1" operator="greaterThan">
      <formula>#REF!</formula>
    </cfRule>
    <cfRule type="cellIs" dxfId="3696" priority="129" stopIfTrue="1" operator="lessThanOrEqual">
      <formula>0</formula>
    </cfRule>
    <cfRule type="cellIs" dxfId="3695" priority="130" stopIfTrue="1" operator="greaterThan">
      <formula>#REF!</formula>
    </cfRule>
    <cfRule type="cellIs" dxfId="3694" priority="131" stopIfTrue="1" operator="lessThanOrEqual">
      <formula>0</formula>
    </cfRule>
  </conditionalFormatting>
  <conditionalFormatting sqref="I81:I89">
    <cfRule type="cellIs" dxfId="3693" priority="180" stopIfTrue="1" operator="greaterThan">
      <formula>4.5</formula>
    </cfRule>
    <cfRule type="cellIs" dxfId="3692" priority="181" stopIfTrue="1" operator="lessThanOrEqual">
      <formula>0</formula>
    </cfRule>
  </conditionalFormatting>
  <conditionalFormatting sqref="I10:J25">
    <cfRule type="cellIs" dxfId="3691" priority="12" operator="lessThan">
      <formula>97.9</formula>
    </cfRule>
  </conditionalFormatting>
  <conditionalFormatting sqref="J28:J30">
    <cfRule type="cellIs" dxfId="3690" priority="26" operator="lessThan">
      <formula>97.95</formula>
    </cfRule>
  </conditionalFormatting>
  <conditionalFormatting sqref="J30:J32">
    <cfRule type="cellIs" dxfId="3689" priority="162" operator="lessThan">
      <formula>97.4</formula>
    </cfRule>
  </conditionalFormatting>
  <conditionalFormatting sqref="J33:J34">
    <cfRule type="cellIs" dxfId="3688" priority="163" operator="lessThan">
      <formula>98</formula>
    </cfRule>
  </conditionalFormatting>
  <conditionalFormatting sqref="J35:J36">
    <cfRule type="cellIs" dxfId="3687" priority="164" stopIfTrue="1" operator="lessThan">
      <formula>96.8</formula>
    </cfRule>
    <cfRule type="cellIs" dxfId="3686" priority="165" stopIfTrue="1" operator="greaterThan">
      <formula>100</formula>
    </cfRule>
  </conditionalFormatting>
  <conditionalFormatting sqref="J35:J37">
    <cfRule type="cellIs" dxfId="3685" priority="166" operator="lessThan">
      <formula>98</formula>
    </cfRule>
  </conditionalFormatting>
  <conditionalFormatting sqref="J66">
    <cfRule type="cellIs" dxfId="3684" priority="116" stopIfTrue="1" operator="greaterThan">
      <formula>#REF!</formula>
    </cfRule>
    <cfRule type="cellIs" dxfId="3683" priority="117" stopIfTrue="1" operator="lessThanOrEqual">
      <formula>0</formula>
    </cfRule>
    <cfRule type="cellIs" dxfId="3682" priority="118" stopIfTrue="1" operator="greaterThan">
      <formula>#REF!</formula>
    </cfRule>
    <cfRule type="cellIs" dxfId="3681" priority="119" stopIfTrue="1" operator="lessThanOrEqual">
      <formula>0</formula>
    </cfRule>
    <cfRule type="cellIs" dxfId="3680" priority="120" stopIfTrue="1" operator="greaterThan">
      <formula>#REF!</formula>
    </cfRule>
    <cfRule type="cellIs" dxfId="3679" priority="121" stopIfTrue="1" operator="lessThanOrEqual">
      <formula>0</formula>
    </cfRule>
    <cfRule type="cellIs" dxfId="3678" priority="122" stopIfTrue="1" operator="greaterThan">
      <formula>#REF!</formula>
    </cfRule>
    <cfRule type="cellIs" dxfId="3677" priority="123" stopIfTrue="1" operator="lessThanOrEqual">
      <formula>0</formula>
    </cfRule>
  </conditionalFormatting>
  <conditionalFormatting sqref="J79">
    <cfRule type="cellIs" dxfId="3676" priority="54" stopIfTrue="1" operator="greaterThan">
      <formula>$F79</formula>
    </cfRule>
    <cfRule type="cellIs" dxfId="3675" priority="55" stopIfTrue="1" operator="lessThanOrEqual">
      <formula>0</formula>
    </cfRule>
  </conditionalFormatting>
  <conditionalFormatting sqref="K10:K25">
    <cfRule type="cellIs" dxfId="3674" priority="15" operator="greaterThan">
      <formula>6.4</formula>
    </cfRule>
    <cfRule type="cellIs" dxfId="3673" priority="14" operator="lessThan">
      <formula>4</formula>
    </cfRule>
    <cfRule type="cellIs" dxfId="3672" priority="13" operator="greaterThan">
      <formula>6</formula>
    </cfRule>
  </conditionalFormatting>
  <conditionalFormatting sqref="K57:K66">
    <cfRule type="cellIs" dxfId="3671" priority="101" stopIfTrue="1" operator="lessThan">
      <formula>100%</formula>
    </cfRule>
  </conditionalFormatting>
  <conditionalFormatting sqref="K70:K78">
    <cfRule type="cellIs" dxfId="3670" priority="44" stopIfTrue="1" operator="lessThan">
      <formula>100%</formula>
    </cfRule>
  </conditionalFormatting>
  <conditionalFormatting sqref="K81:K86">
    <cfRule type="cellIs" dxfId="3669" priority="186" stopIfTrue="1" operator="lessThan">
      <formula>100%</formula>
    </cfRule>
  </conditionalFormatting>
  <conditionalFormatting sqref="K88:K89">
    <cfRule type="cellIs" dxfId="3668" priority="193" stopIfTrue="1" operator="lessThan">
      <formula>100%</formula>
    </cfRule>
  </conditionalFormatting>
  <conditionalFormatting sqref="L10:L25">
    <cfRule type="cellIs" dxfId="3667" priority="16" operator="between">
      <formula>61</formula>
      <formula>65</formula>
    </cfRule>
    <cfRule type="cellIs" dxfId="3666" priority="17" operator="greaterThan">
      <formula>65</formula>
    </cfRule>
  </conditionalFormatting>
  <conditionalFormatting sqref="L28:M39">
    <cfRule type="cellIs" dxfId="3665" priority="1" operator="lessThan">
      <formula>97.95</formula>
    </cfRule>
  </conditionalFormatting>
  <conditionalFormatting sqref="L43:N43">
    <cfRule type="cellIs" dxfId="3664" priority="80" operator="notEqual">
      <formula>#REF!</formula>
    </cfRule>
  </conditionalFormatting>
  <conditionalFormatting sqref="L70:N79">
    <cfRule type="cellIs" dxfId="3663" priority="41" stopIfTrue="1" operator="lessThan">
      <formula>100%</formula>
    </cfRule>
  </conditionalFormatting>
  <conditionalFormatting sqref="L81:N89">
    <cfRule type="cellIs" dxfId="3662" priority="171" stopIfTrue="1" operator="lessThan">
      <formula>100%</formula>
    </cfRule>
  </conditionalFormatting>
  <conditionalFormatting sqref="M24">
    <cfRule type="expression" dxfId="3661" priority="22">
      <formula>IF(+(IF(M24&lt;U24,0,IF(M24&gt;V24,0,1)))=0,1)</formula>
    </cfRule>
  </conditionalFormatting>
  <conditionalFormatting sqref="M10:N23 H10:H25">
    <cfRule type="expression" dxfId="3660" priority="19">
      <formula>IF(+(IF(H10&lt;#REF!,0,IF(H10&gt;#REF!,0,1)))=0,1)</formula>
    </cfRule>
  </conditionalFormatting>
  <conditionalFormatting sqref="M25:N25">
    <cfRule type="expression" dxfId="3659" priority="24">
      <formula>IF(+(IF(M25&lt;#REF!,0,IF(M25&gt;#REF!,0,1)))=0,1)</formula>
    </cfRule>
  </conditionalFormatting>
  <conditionalFormatting sqref="N10:N25">
    <cfRule type="expression" dxfId="3658" priority="21">
      <formula>IF(+(IF(N10&lt;W10,0,IF(N10&gt;X10,0,1)))=0,1)</formula>
    </cfRule>
  </conditionalFormatting>
  <conditionalFormatting sqref="P6">
    <cfRule type="cellIs" dxfId="3657" priority="167" operator="greaterThanOrEqual">
      <formula>19</formula>
    </cfRule>
  </conditionalFormatting>
  <dataValidations count="1">
    <dataValidation type="list" allowBlank="1" showInputMessage="1" showErrorMessage="1" sqref="R8" xr:uid="{70FB593C-6A7D-47A4-B064-8B10DD9BC1FB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3" max="16383" man="1"/>
  </rowBreaks>
  <colBreaks count="1" manualBreakCount="1">
    <brk id="15" max="89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40DD-6887-4F65-9F8B-A25F2C8A41A9}">
  <sheetPr>
    <pageSetUpPr fitToPage="1"/>
  </sheetPr>
  <dimension ref="A1:BE74"/>
  <sheetViews>
    <sheetView topLeftCell="C1" zoomScale="70" zoomScaleNormal="70" workbookViewId="0">
      <selection activeCell="B14" sqref="B14:O14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30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12" t="s">
        <v>0</v>
      </c>
      <c r="T1" s="512"/>
      <c r="U1" s="512" t="s">
        <v>1</v>
      </c>
      <c r="V1" s="512"/>
      <c r="W1" s="512" t="s">
        <v>2</v>
      </c>
      <c r="X1" s="512"/>
      <c r="Y1" s="512" t="s">
        <v>124</v>
      </c>
      <c r="Z1" s="512"/>
    </row>
    <row r="2" spans="2:29" ht="15">
      <c r="B2" s="513" t="s">
        <v>3</v>
      </c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46238</v>
      </c>
      <c r="J4" s="398" t="s">
        <v>167</v>
      </c>
      <c r="K4" s="398"/>
      <c r="L4" s="11"/>
      <c r="M4" s="510" t="s">
        <v>8</v>
      </c>
      <c r="N4" s="511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6"/>
      <c r="D5" s="516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19" t="s">
        <v>18</v>
      </c>
      <c r="D8" s="519" t="s">
        <v>19</v>
      </c>
      <c r="E8" s="356" t="s">
        <v>20</v>
      </c>
      <c r="F8" s="356" t="s">
        <v>21</v>
      </c>
      <c r="G8" s="519" t="s">
        <v>22</v>
      </c>
      <c r="H8" s="520" t="s">
        <v>144</v>
      </c>
      <c r="I8" s="519" t="s">
        <v>165</v>
      </c>
      <c r="J8" s="522" t="s">
        <v>23</v>
      </c>
      <c r="K8" s="524" t="s">
        <v>142</v>
      </c>
      <c r="L8" s="526" t="s">
        <v>24</v>
      </c>
      <c r="M8" s="359" t="s">
        <v>25</v>
      </c>
      <c r="N8" s="17" t="s">
        <v>168</v>
      </c>
      <c r="O8" s="519" t="s">
        <v>155</v>
      </c>
      <c r="P8" s="514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8"/>
      <c r="C9" s="515"/>
      <c r="D9" s="515"/>
      <c r="E9" s="357" t="s">
        <v>30</v>
      </c>
      <c r="F9" s="357" t="s">
        <v>31</v>
      </c>
      <c r="G9" s="515"/>
      <c r="H9" s="521"/>
      <c r="I9" s="515"/>
      <c r="J9" s="523"/>
      <c r="K9" s="525"/>
      <c r="L9" s="527"/>
      <c r="M9" s="20" t="s">
        <v>32</v>
      </c>
      <c r="N9" s="21" t="s">
        <v>41</v>
      </c>
      <c r="O9" s="515"/>
      <c r="P9" s="515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33" t="s">
        <v>9</v>
      </c>
      <c r="C10" s="366" t="str">
        <f>[3]Brewhouse!$A331</f>
        <v>ST274</v>
      </c>
      <c r="D10" s="279">
        <f>[3]Brewhouse!$AB331</f>
        <v>53</v>
      </c>
      <c r="E10" s="279">
        <f>[3]Brewhouse!$AG331</f>
        <v>50.1</v>
      </c>
      <c r="F10" s="278">
        <f>[3]Brewhouse!$V331</f>
        <v>60</v>
      </c>
      <c r="G10" s="279">
        <f>[3]Brewhouse!$AE331</f>
        <v>12</v>
      </c>
      <c r="H10" s="486">
        <v>12.3</v>
      </c>
      <c r="I10" s="368">
        <f>[3]Brewhouse!$AS331</f>
        <v>102.03438257870683</v>
      </c>
      <c r="J10" s="368">
        <f>[3]Brewhouse!$AT331</f>
        <v>102.50823739707245</v>
      </c>
      <c r="K10" s="281">
        <f>[3]Brewhouse!$Q331</f>
        <v>11.462264150943389</v>
      </c>
      <c r="L10" s="276">
        <f>[3]Brewhouse!$P331</f>
        <v>92</v>
      </c>
      <c r="M10" s="374">
        <f>[3]Brewhouse!$U331-[3]Brewhouse!$T331</f>
        <v>0.11319444444444446</v>
      </c>
      <c r="N10" s="370">
        <f>[3]Brewhouse!$AW331</f>
        <v>0.26597222222222228</v>
      </c>
      <c r="O10" s="420" t="str">
        <f>[3]Brewhouse!$AV331</f>
        <v>K. Benjamin</v>
      </c>
      <c r="P10" s="418"/>
      <c r="R10" s="277" t="str">
        <f t="shared" ref="R10:R15" si="0">B10</f>
        <v>STAG</v>
      </c>
      <c r="S10" s="472">
        <f t="shared" ref="S10:S15" si="1">VLOOKUP($B10,$R$3:$X$9,2,FALSE)</f>
        <v>11.6</v>
      </c>
      <c r="T10" s="472">
        <f t="shared" ref="T10:T15" si="2">VLOOKUP($B10,$R$3:$X$9,3,FALSE)</f>
        <v>12</v>
      </c>
      <c r="U10" s="297">
        <f t="shared" ref="U10:U15" si="3">VLOOKUP($B10,$R$3:$X$9,4,FALSE)</f>
        <v>0</v>
      </c>
      <c r="V10" s="297">
        <f t="shared" ref="V10:V15" si="4">VLOOKUP($B10,$R$3:$X$9,5,FALSE)</f>
        <v>0.118055555555556</v>
      </c>
      <c r="W10" s="297">
        <f t="shared" ref="W10:W15" si="5">VLOOKUP($B10,$R$3:$X$9,6,FALSE)</f>
        <v>0.22569444444444445</v>
      </c>
      <c r="X10" s="297">
        <f t="shared" ref="X10:X15" si="6">VLOOKUP($B10,$R$3:$X$9,7,FALSE)</f>
        <v>0.2638888888888889</v>
      </c>
      <c r="Y10" s="297">
        <f t="shared" ref="Y10:Y15" si="7">VLOOKUP($B10,$R$3:$Z$9,8,FALSE)</f>
        <v>0</v>
      </c>
      <c r="Z10" s="472">
        <f t="shared" ref="Z10:Z15" si="8">VLOOKUP($B10,$R$3:$Z$9,9,FALSE)</f>
        <v>60</v>
      </c>
    </row>
    <row r="11" spans="2:29" ht="17.25" customHeight="1">
      <c r="B11" s="33" t="s">
        <v>9</v>
      </c>
      <c r="C11" s="366" t="str">
        <f>[3]Brewhouse!$A332</f>
        <v>ST275</v>
      </c>
      <c r="D11" s="279">
        <f>[3]Brewhouse!$AB332</f>
        <v>53</v>
      </c>
      <c r="E11" s="279">
        <f>[3]Brewhouse!$AG332</f>
        <v>50</v>
      </c>
      <c r="F11" s="278">
        <f>[3]Brewhouse!$V332</f>
        <v>60</v>
      </c>
      <c r="G11" s="279">
        <f>[3]Brewhouse!$AE332</f>
        <v>11.7</v>
      </c>
      <c r="H11" s="396">
        <v>11.8</v>
      </c>
      <c r="I11" s="368">
        <f>[3]Brewhouse!$AS332</f>
        <v>99.155232444155033</v>
      </c>
      <c r="J11" s="368">
        <f>[3]Brewhouse!$AT332</f>
        <v>99.61571628766319</v>
      </c>
      <c r="K11" s="281">
        <f>[3]Brewhouse!$Q332</f>
        <v>8.4433962264150964</v>
      </c>
      <c r="L11" s="276">
        <f>[3]Brewhouse!$P332</f>
        <v>96</v>
      </c>
      <c r="M11" s="374">
        <f>[3]Brewhouse!$U332-[3]Brewhouse!$T332</f>
        <v>0.11458333333333331</v>
      </c>
      <c r="N11" s="370">
        <f>[3]Brewhouse!$AW332</f>
        <v>0.26458333333333334</v>
      </c>
      <c r="O11" s="420" t="str">
        <f>[3]Brewhouse!$AV332</f>
        <v>K. Benjamin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33" t="s">
        <v>9</v>
      </c>
      <c r="C12" s="366" t="str">
        <f>[3]Brewhouse!$A333</f>
        <v>ST276</v>
      </c>
      <c r="D12" s="279">
        <f>[3]Brewhouse!$AB333</f>
        <v>53.1</v>
      </c>
      <c r="E12" s="279">
        <f>[3]Brewhouse!$AG333</f>
        <v>48.7</v>
      </c>
      <c r="F12" s="278">
        <f>[3]Brewhouse!$V333</f>
        <v>56</v>
      </c>
      <c r="G12" s="279">
        <f>[3]Brewhouse!$AE333</f>
        <v>11.8</v>
      </c>
      <c r="H12" s="396">
        <v>11.9</v>
      </c>
      <c r="I12" s="368">
        <f>[3]Brewhouse!$AS333</f>
        <v>97.692816245651542</v>
      </c>
      <c r="J12" s="368">
        <f>[3]Brewhouse!$AT333</f>
        <v>98.146203838010152</v>
      </c>
      <c r="K12" s="281">
        <f>[3]Brewhouse!$Q333</f>
        <v>15.20715630885123</v>
      </c>
      <c r="L12" s="276">
        <f>[3]Brewhouse!$P333</f>
        <v>92</v>
      </c>
      <c r="M12" s="374">
        <f>[3]Brewhouse!$U333-[3]Brewhouse!$T333</f>
        <v>0.11736111111111114</v>
      </c>
      <c r="N12" s="370">
        <f>[3]Brewhouse!$AW333</f>
        <v>0.26041666666666669</v>
      </c>
      <c r="O12" s="420" t="str">
        <f>[3]Brewhouse!$AV333</f>
        <v>K. Benjamin</v>
      </c>
      <c r="P12" s="418"/>
      <c r="R12" s="277" t="str">
        <f t="shared" si="0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33" t="s">
        <v>9</v>
      </c>
      <c r="C13" s="366" t="str">
        <f>[3]Brewhouse!$A334</f>
        <v>ST277</v>
      </c>
      <c r="D13" s="279">
        <f>[3]Brewhouse!$AB334</f>
        <v>53.1</v>
      </c>
      <c r="E13" s="279">
        <f>[3]Brewhouse!$AG334</f>
        <v>49.5</v>
      </c>
      <c r="F13" s="278">
        <f>[3]Brewhouse!$V334</f>
        <v>60</v>
      </c>
      <c r="G13" s="279">
        <f>[3]Brewhouse!$AE334</f>
        <v>11.9</v>
      </c>
      <c r="H13" s="396">
        <v>11.9</v>
      </c>
      <c r="I13" s="368">
        <f>[3]Brewhouse!$AS334</f>
        <v>99.929502656617558</v>
      </c>
      <c r="J13" s="368">
        <f>[3]Brewhouse!$AT334</f>
        <v>100.39358226521608</v>
      </c>
      <c r="K13" s="281">
        <f>[3]Brewhouse!$Q334</f>
        <v>17.090395480225993</v>
      </c>
      <c r="L13" s="276">
        <f>[3]Brewhouse!$P334</f>
        <v>84</v>
      </c>
      <c r="M13" s="374">
        <f>[3]Brewhouse!$U334-[3]Brewhouse!$T334</f>
        <v>0.12013888888888891</v>
      </c>
      <c r="N13" s="370">
        <f>[3]Brewhouse!$AW334</f>
        <v>0.2583333333333333</v>
      </c>
      <c r="O13" s="420" t="str">
        <f>[3]Brewhouse!$AV334</f>
        <v>R. Regis</v>
      </c>
      <c r="P13" s="418"/>
      <c r="R13" s="277" t="str">
        <f t="shared" si="0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33" t="s">
        <v>9</v>
      </c>
      <c r="C14" s="366" t="str">
        <f>[3]Brewhouse!$A335</f>
        <v>ST278</v>
      </c>
      <c r="D14" s="279">
        <f>[3]Brewhouse!$AB335</f>
        <v>53.1</v>
      </c>
      <c r="E14" s="279">
        <f>[3]Brewhouse!$AG335</f>
        <v>51.2</v>
      </c>
      <c r="F14" s="278">
        <f>[3]Brewhouse!$V335</f>
        <v>64</v>
      </c>
      <c r="G14" s="279">
        <f>[3]Brewhouse!$AE335</f>
        <v>11.8</v>
      </c>
      <c r="H14" s="396">
        <v>11.8</v>
      </c>
      <c r="I14" s="368">
        <f>[3]Brewhouse!$AS335</f>
        <v>102.31885501216071</v>
      </c>
      <c r="J14" s="368">
        <f>[3]Brewhouse!$AT335</f>
        <v>102.79418989474647</v>
      </c>
      <c r="K14" s="281">
        <f>[3]Brewhouse!$Q335</f>
        <v>8.6158192090395538</v>
      </c>
      <c r="L14" s="276">
        <f>[3]Brewhouse!$P335</f>
        <v>82</v>
      </c>
      <c r="M14" s="374">
        <f>[3]Brewhouse!$U335-[3]Brewhouse!$T335</f>
        <v>0.1333333333333333</v>
      </c>
      <c r="N14" s="370">
        <f>[3]Brewhouse!$AW335</f>
        <v>0.27430555555555552</v>
      </c>
      <c r="O14" s="420" t="str">
        <f>[3]Brewhouse!$AV335</f>
        <v>R. Regis</v>
      </c>
      <c r="P14" s="418"/>
      <c r="R14" s="277" t="str">
        <f t="shared" si="0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33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420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0"/>
      <c r="P16" s="418"/>
      <c r="R16" s="277">
        <f t="shared" ref="R16:R34" si="9">B16</f>
        <v>0</v>
      </c>
      <c r="S16" s="472" t="e">
        <f t="shared" ref="S16:S34" si="10">VLOOKUP($B16,$R$3:$X$9,2,FALSE)</f>
        <v>#N/A</v>
      </c>
      <c r="T16" s="472" t="e">
        <f t="shared" ref="T16:T34" si="11">VLOOKUP($B16,$R$3:$X$9,3,FALSE)</f>
        <v>#N/A</v>
      </c>
      <c r="U16" s="297" t="e">
        <f t="shared" ref="U16:U34" si="12">VLOOKUP($B16,$R$3:$X$9,4,FALSE)</f>
        <v>#N/A</v>
      </c>
      <c r="V16" s="297" t="e">
        <f t="shared" ref="V16:V34" si="13">VLOOKUP($B16,$R$3:$X$9,5,FALSE)</f>
        <v>#N/A</v>
      </c>
      <c r="W16" s="297" t="e">
        <f t="shared" ref="W16:W34" si="14">VLOOKUP($B16,$R$3:$X$9,6,FALSE)</f>
        <v>#N/A</v>
      </c>
      <c r="X16" s="297" t="e">
        <f t="shared" ref="X16:X34" si="15">VLOOKUP($B16,$R$3:$X$9,7,FALSE)</f>
        <v>#N/A</v>
      </c>
      <c r="Y16" s="297" t="e">
        <f t="shared" ref="Y16:Y34" si="16">VLOOKUP($B16,$R$3:$Z$9,8,FALSE)</f>
        <v>#N/A</v>
      </c>
      <c r="Z16" s="472" t="e">
        <f t="shared" ref="Z16:Z34" si="17">VLOOKUP($B16,$R$3:$Z$9,9,FALSE)</f>
        <v>#N/A</v>
      </c>
    </row>
    <row r="17" spans="1:27" ht="15" customHeight="1">
      <c r="B17" s="37" t="s">
        <v>16</v>
      </c>
      <c r="C17" s="366" t="str">
        <f>[8]Brewhouse!$A84</f>
        <v>SM073</v>
      </c>
      <c r="D17" s="279">
        <f>[8]Brewhouse!$AH84</f>
        <v>53.1</v>
      </c>
      <c r="E17" s="279">
        <f>[8]Brewhouse!$AM84</f>
        <v>47.1</v>
      </c>
      <c r="F17" s="278">
        <f>[8]Brewhouse!$Z84</f>
        <v>58</v>
      </c>
      <c r="G17" s="279">
        <f>[8]Brewhouse!$AK84</f>
        <v>17.2</v>
      </c>
      <c r="H17" s="396">
        <v>17.5</v>
      </c>
      <c r="I17" s="368">
        <f>[8]Brewhouse!$AY84</f>
        <v>89.865899111082911</v>
      </c>
      <c r="J17" s="368">
        <f>[8]Brewhouse!$AZ84</f>
        <v>90.108280071795349</v>
      </c>
      <c r="K17" s="281">
        <f>[8]Brewhouse!$U84</f>
        <v>20.112994350282499</v>
      </c>
      <c r="L17" s="276">
        <f>[8]Brewhouse!$T84</f>
        <v>59</v>
      </c>
      <c r="M17" s="374">
        <f>[8]Brewhouse!$Y84-[8]Brewhouse!$X84</f>
        <v>0.13749999999999996</v>
      </c>
      <c r="N17" s="370">
        <f>[8]Brewhouse!$AD84</f>
        <v>0.29999999999999993</v>
      </c>
      <c r="O17" s="371" t="str">
        <f>[8]Brewhouse!$BC84</f>
        <v>D. Gomaz</v>
      </c>
      <c r="P17" s="418"/>
      <c r="R17" s="277" t="str">
        <f t="shared" si="9"/>
        <v>STARMALT</v>
      </c>
      <c r="S17" s="472">
        <f t="shared" si="10"/>
        <v>17</v>
      </c>
      <c r="T17" s="472">
        <f t="shared" si="11"/>
        <v>17.399999999999999</v>
      </c>
      <c r="U17" s="297">
        <f t="shared" si="12"/>
        <v>0</v>
      </c>
      <c r="V17" s="297">
        <f t="shared" si="13"/>
        <v>0.13605324074074074</v>
      </c>
      <c r="W17" s="297">
        <f t="shared" si="14"/>
        <v>0.27430555555555552</v>
      </c>
      <c r="X17" s="297">
        <f t="shared" si="15"/>
        <v>0.30902777777777779</v>
      </c>
      <c r="Y17" s="297">
        <f t="shared" si="16"/>
        <v>0</v>
      </c>
      <c r="Z17" s="472">
        <f t="shared" si="17"/>
        <v>85</v>
      </c>
    </row>
    <row r="18" spans="1:27" ht="15" customHeight="1">
      <c r="B18" s="37" t="s">
        <v>16</v>
      </c>
      <c r="C18" s="366" t="str">
        <f>[8]Brewhouse!$A85</f>
        <v>SM074</v>
      </c>
      <c r="D18" s="279">
        <f>[8]Brewhouse!$AH85</f>
        <v>53</v>
      </c>
      <c r="E18" s="279">
        <f>[8]Brewhouse!$AM85</f>
        <v>50.5</v>
      </c>
      <c r="F18" s="278">
        <f>[8]Brewhouse!$Z85</f>
        <v>63</v>
      </c>
      <c r="G18" s="279">
        <f>[8]Brewhouse!$AK85</f>
        <v>17.3</v>
      </c>
      <c r="H18" s="396">
        <v>17.399999999999999</v>
      </c>
      <c r="I18" s="368">
        <f>[8]Brewhouse!$AY85</f>
        <v>97.693621175915609</v>
      </c>
      <c r="J18" s="368">
        <f>[8]Brewhouse!$AZ85</f>
        <v>97.954843367662875</v>
      </c>
      <c r="K18" s="281">
        <f>[8]Brewhouse!$U85</f>
        <v>11.849056603773587</v>
      </c>
      <c r="L18" s="276">
        <f>[8]Brewhouse!$T85</f>
        <v>60</v>
      </c>
      <c r="M18" s="374">
        <f>[8]Brewhouse!$Y85-[8]Brewhouse!$X85</f>
        <v>0.15486111111111112</v>
      </c>
      <c r="N18" s="370">
        <f>[8]Brewhouse!$AD85</f>
        <v>0.32916666666666661</v>
      </c>
      <c r="O18" s="371" t="str">
        <f>[8]Brewhouse!$BC85</f>
        <v>D. Gomaz</v>
      </c>
      <c r="P18" s="418"/>
      <c r="R18" s="277" t="str">
        <f t="shared" si="9"/>
        <v>STARMALT</v>
      </c>
      <c r="S18" s="472">
        <f t="shared" si="10"/>
        <v>17</v>
      </c>
      <c r="T18" s="472">
        <f t="shared" si="11"/>
        <v>17.399999999999999</v>
      </c>
      <c r="U18" s="297">
        <f t="shared" si="12"/>
        <v>0</v>
      </c>
      <c r="V18" s="297">
        <f t="shared" si="13"/>
        <v>0.13605324074074074</v>
      </c>
      <c r="W18" s="297">
        <f t="shared" si="14"/>
        <v>0.27430555555555552</v>
      </c>
      <c r="X18" s="297">
        <f t="shared" si="15"/>
        <v>0.30902777777777779</v>
      </c>
      <c r="Y18" s="297">
        <f t="shared" si="16"/>
        <v>0</v>
      </c>
      <c r="Z18" s="472">
        <f t="shared" si="17"/>
        <v>85</v>
      </c>
    </row>
    <row r="19" spans="1:27" ht="15" customHeight="1">
      <c r="B19" s="37" t="s">
        <v>16</v>
      </c>
      <c r="C19" s="366" t="str">
        <f>[8]Brewhouse!$A86</f>
        <v>SM075</v>
      </c>
      <c r="D19" s="279">
        <f>[8]Brewhouse!$AH86</f>
        <v>53</v>
      </c>
      <c r="E19" s="279">
        <f>[8]Brewhouse!$AM86</f>
        <v>50.2</v>
      </c>
      <c r="F19" s="278">
        <f>[8]Brewhouse!$Z86</f>
        <v>70</v>
      </c>
      <c r="G19" s="279">
        <f>[8]Brewhouse!$AK86</f>
        <v>17.600000000000001</v>
      </c>
      <c r="H19" s="396">
        <v>17.8</v>
      </c>
      <c r="I19" s="368">
        <f>[8]Brewhouse!$AY86</f>
        <v>98.098376729140924</v>
      </c>
      <c r="J19" s="368">
        <f>[8]Brewhouse!$AZ86</f>
        <v>98.363213201626039</v>
      </c>
      <c r="K19" s="281">
        <f>[8]Brewhouse!$U86</f>
        <v>14.490566037735849</v>
      </c>
      <c r="L19" s="276">
        <f>[8]Brewhouse!$T86</f>
        <v>62</v>
      </c>
      <c r="M19" s="374">
        <f>[8]Brewhouse!$Y86-[8]Brewhouse!$X86</f>
        <v>0.14236111111111116</v>
      </c>
      <c r="N19" s="370">
        <f>[8]Brewhouse!$AD86</f>
        <v>0.31944444444444442</v>
      </c>
      <c r="O19" s="371" t="str">
        <f>[8]Brewhouse!$BC86</f>
        <v>D. Gomaz</v>
      </c>
      <c r="P19" s="418"/>
      <c r="R19" s="277" t="str">
        <f t="shared" si="9"/>
        <v>STARMALT</v>
      </c>
      <c r="S19" s="472">
        <f t="shared" si="10"/>
        <v>17</v>
      </c>
      <c r="T19" s="472">
        <f t="shared" si="11"/>
        <v>17.399999999999999</v>
      </c>
      <c r="U19" s="297">
        <f t="shared" si="12"/>
        <v>0</v>
      </c>
      <c r="V19" s="297">
        <f t="shared" si="13"/>
        <v>0.13605324074074074</v>
      </c>
      <c r="W19" s="297">
        <f t="shared" si="14"/>
        <v>0.27430555555555552</v>
      </c>
      <c r="X19" s="297">
        <f t="shared" si="15"/>
        <v>0.30902777777777779</v>
      </c>
      <c r="Y19" s="297">
        <f t="shared" si="16"/>
        <v>0</v>
      </c>
      <c r="Z19" s="472">
        <f t="shared" si="17"/>
        <v>85</v>
      </c>
    </row>
    <row r="20" spans="1:27" ht="15" customHeight="1">
      <c r="B20" s="29"/>
      <c r="C20" s="366"/>
      <c r="D20" s="279"/>
      <c r="E20" s="279"/>
      <c r="F20" s="278"/>
      <c r="G20" s="279"/>
      <c r="H20" s="48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7.25" customHeight="1" thickBot="1">
      <c r="B21" s="358"/>
      <c r="C21" s="358"/>
      <c r="D21" s="358"/>
      <c r="E21" s="358"/>
      <c r="F21" s="294"/>
      <c r="G21" s="294"/>
      <c r="H21" s="348"/>
      <c r="I21" s="528"/>
      <c r="J21" s="528"/>
      <c r="K21" s="528"/>
      <c r="L21" s="528"/>
      <c r="M21" s="528"/>
      <c r="N21" s="528"/>
      <c r="O21" s="1"/>
      <c r="P21" s="12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7.25" customHeight="1" thickBot="1">
      <c r="B22" s="388" t="s">
        <v>162</v>
      </c>
      <c r="C22" s="388"/>
      <c r="D22" s="529" t="s">
        <v>35</v>
      </c>
      <c r="E22" s="530"/>
      <c r="F22" s="294"/>
      <c r="G22" s="294"/>
      <c r="H22" s="348"/>
      <c r="I22" s="24" t="s">
        <v>17</v>
      </c>
      <c r="J22" s="25"/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R22" s="277" t="str">
        <f t="shared" si="9"/>
        <v xml:space="preserve">BRAND 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7.25" customHeight="1">
      <c r="A23" s="28"/>
      <c r="B23" s="587"/>
      <c r="C23" s="362"/>
      <c r="D23" s="534"/>
      <c r="E23" s="535"/>
      <c r="F23" s="294"/>
      <c r="G23" s="294"/>
      <c r="H23" s="348"/>
      <c r="I23" s="29" t="s">
        <v>6</v>
      </c>
      <c r="J23" s="323"/>
      <c r="K23" s="284"/>
      <c r="L23" s="305"/>
      <c r="M23" s="305">
        <f>AVERAGE([4]Brewhouse!$AU$42:$AU$123,[4]Brewhouse!$AU$125:$AU$188,[4]Brewhouse!$AU$198:$AU$290,[4]Brewhouse!$AU$292:$AU$370,[4]Brewhouse!$AU$372:$AU$439,[4]Brewhouse!$AU$441:$AU$497,[4]Brewhouse!$AU$499:$AU$519,[4]Brewhouse!$AU$521:$AU$593)</f>
        <v>98.168507502827651</v>
      </c>
      <c r="N23" s="30">
        <v>98</v>
      </c>
      <c r="O23" s="11"/>
      <c r="P23" s="31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5" customHeight="1">
      <c r="A24" s="28"/>
      <c r="B24" s="588"/>
      <c r="C24" s="362"/>
      <c r="D24" s="536"/>
      <c r="E24" s="537"/>
      <c r="F24" s="294"/>
      <c r="G24" s="294"/>
      <c r="H24" s="348"/>
      <c r="I24" s="33" t="s">
        <v>9</v>
      </c>
      <c r="J24" s="323">
        <f>AVERAGE(I10:I14)</f>
        <v>100.22615778745833</v>
      </c>
      <c r="K24" s="284">
        <f>COUNTA([3]Brewhouse!$A$327:$A$335)</f>
        <v>9</v>
      </c>
      <c r="L24" s="302">
        <f>AVERAGE([3]Brewhouse!$AS$327:$AS$335)</f>
        <v>99.373910897846002</v>
      </c>
      <c r="M24" s="302">
        <f>AVERAGE([3]Brewhouse!$AS$52:$AS$81,[3]Brewhouse!$AS$83:$AS$124,[3]Brewhouse!$AS$134:$AS$177,[3]Brewhouse!$AS$22:$AS$179,[3]Brewhouse!$AS$214:$AS$249,[3]Brewhouse!$AS$252:$AS$293,[3]Brewhouse!$AS$295:$AS$325,[3]Brewhouse!$AS$327:$AS$335)</f>
        <v>98.172943853015084</v>
      </c>
      <c r="N24" s="30">
        <v>98</v>
      </c>
      <c r="O24" s="11"/>
      <c r="P24" s="31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4.65" customHeight="1">
      <c r="A25" s="28"/>
      <c r="B25" s="588"/>
      <c r="C25" s="362"/>
      <c r="D25" s="538"/>
      <c r="E25" s="539"/>
      <c r="F25" s="294"/>
      <c r="G25" s="294"/>
      <c r="H25" s="348"/>
      <c r="I25" s="34" t="s">
        <v>12</v>
      </c>
      <c r="J25" s="323"/>
      <c r="K25" s="284"/>
      <c r="L25" s="302"/>
      <c r="M25" s="302">
        <f>AVERAGE([5]Brewhouse!$AU$16:$AU$23,[5]Brewhouse!$AU$25:$AU$32,[5]Brewhouse!$AU$34:$AU$41,[5]Brewhouse!$AU$43:$AU$60,[5]Brewhouse!$AU$62:$AU$69,[5]Brewhouse!$AU$71:$AU$88)</f>
        <v>96.520985666401089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88"/>
      <c r="C26" s="362"/>
      <c r="D26" s="540"/>
      <c r="E26" s="537"/>
      <c r="F26" s="294"/>
      <c r="G26" s="294"/>
      <c r="H26" s="348"/>
      <c r="I26" s="22" t="s">
        <v>33</v>
      </c>
      <c r="J26" s="280"/>
      <c r="K26" s="284"/>
      <c r="L26" s="302"/>
      <c r="M26" s="302">
        <f>AVERAGE([6]Brewhouse!$AV$23:$AV$34,[6]Brewhouse!$AV$36,[6]Brewhouse!$AV$38:$AV$52,[6]Brewhouse!$AV$54:$AV$60,[6]Brewhouse!$AV$62:$AV$69,[6]Brewhouse!$AV$71:$AV$78,[6]Brewhouse!$AV$80:$AV$87)</f>
        <v>97.513042763382714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88"/>
      <c r="C27" s="362"/>
      <c r="D27" s="538"/>
      <c r="E27" s="539"/>
      <c r="F27" s="294"/>
      <c r="G27" s="294"/>
      <c r="H27" s="348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88"/>
      <c r="C28" s="362"/>
      <c r="D28" s="540"/>
      <c r="E28" s="537"/>
      <c r="F28" s="417"/>
      <c r="G28" s="294"/>
      <c r="H28" s="348"/>
      <c r="I28" s="36" t="s">
        <v>15</v>
      </c>
      <c r="J28" s="323"/>
      <c r="K28" s="284"/>
      <c r="L28" s="302"/>
      <c r="M28" s="302">
        <f>AVERAGE([7]Brewhouse!$AT$4:$AT$11,[7]Brewhouse!$AT$13:$AT$16,[7]Brewhouse!$AT$18:$AT$21)</f>
        <v>91.832675391763644</v>
      </c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88"/>
      <c r="C29" s="362"/>
      <c r="D29" s="538"/>
      <c r="E29" s="539"/>
      <c r="F29" s="417"/>
      <c r="G29" s="294"/>
      <c r="H29" s="348"/>
      <c r="I29" s="37" t="s">
        <v>16</v>
      </c>
      <c r="J29" s="323">
        <f>AVERAGE(I17:I19)</f>
        <v>95.21929900537981</v>
      </c>
      <c r="K29" s="284">
        <f>COUNTA([8]Brewhouse!$A$84:$A$86)</f>
        <v>3</v>
      </c>
      <c r="L29" s="302">
        <f>AVERAGE([8]Brewhouse!$AY$84:$AY$86)</f>
        <v>95.21929900537981</v>
      </c>
      <c r="M29" s="302">
        <f>AVERAGE([8]Brewhouse!$AY$5:$AY$14,[8]Brewhouse!$AY$16:$AY$23,[8]Brewhouse!$AY$42,[8]Brewhouse!$AY$44:$AY$51,[8]Brewhouse!$AY$53:$AY$64,[8]Brewhouse!$AY$66:$AY$73,[8]Brewhouse!$AY$75:$AY$82,[8]Brewhouse!$AY$84:$AY$86)</f>
        <v>97.977992828368158</v>
      </c>
      <c r="N29" s="30">
        <v>98</v>
      </c>
      <c r="O29" s="11"/>
      <c r="P29" s="31" t="s">
        <v>41</v>
      </c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7" ht="14.65" customHeight="1">
      <c r="A30" s="28"/>
      <c r="B30" s="588"/>
      <c r="C30" s="362"/>
      <c r="D30" s="540"/>
      <c r="E30" s="537"/>
      <c r="F30" s="294"/>
      <c r="G30" s="294"/>
      <c r="H30" s="348"/>
      <c r="I30" s="411" t="s">
        <v>158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7" ht="14.65" customHeight="1">
      <c r="A31" s="28"/>
      <c r="B31" s="588"/>
      <c r="C31" s="349"/>
      <c r="D31" s="538"/>
      <c r="E31" s="539"/>
      <c r="F31" s="294"/>
      <c r="G31" s="294"/>
      <c r="H31" s="348"/>
      <c r="I31" s="410" t="s">
        <v>157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  <c r="AA31" s="472"/>
    </row>
    <row r="32" spans="1:27" ht="15" customHeight="1" thickBot="1">
      <c r="A32" s="28"/>
      <c r="B32" s="588"/>
      <c r="C32" s="349"/>
      <c r="D32" s="540"/>
      <c r="E32" s="537"/>
      <c r="F32" s="294"/>
      <c r="G32" s="294"/>
      <c r="H32" s="348"/>
      <c r="I32" s="406" t="s">
        <v>156</v>
      </c>
      <c r="J32" s="327"/>
      <c r="K32" s="407"/>
      <c r="L32" s="408"/>
      <c r="M32" s="408"/>
      <c r="N32" s="409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1:56" ht="15" customHeight="1" thickBot="1">
      <c r="A33" s="28"/>
      <c r="B33" s="588"/>
      <c r="C33" s="349"/>
      <c r="D33" s="534"/>
      <c r="E33" s="535"/>
      <c r="F33" s="294"/>
      <c r="G33" s="294"/>
      <c r="H33" s="348"/>
      <c r="I33" s="1"/>
      <c r="J33" s="39"/>
      <c r="K33" s="404">
        <f>SUM(K23:K32)</f>
        <v>12</v>
      </c>
      <c r="L33" s="405">
        <f>((L23*K23)+(L24*K24)+(L25*K25)+(L26*K26)+(L27*K27)+(K30*L30)+(L28*K28)+(L29*K29)+(L32*K32))/(K33)</f>
        <v>98.335257924729447</v>
      </c>
      <c r="M33" s="405">
        <f>AVERAGE('[9]Jan30th-31st'!$L$42,'[10]Feb 27th-28th'!$L$45,'[11]Mar 31st'!$L$42,'[12]Apr 30th'!$L$41,'[13]May 29th '!$L$35,'[14]June 30th'!$L$32,L33)</f>
        <v>97.952248551744177</v>
      </c>
      <c r="N33" s="40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.75" thickBot="1">
      <c r="B34" s="603"/>
      <c r="C34" s="350"/>
      <c r="D34" s="536"/>
      <c r="E34" s="537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.75" thickBot="1">
      <c r="B35" s="587"/>
      <c r="C35" s="362"/>
      <c r="D35" s="577"/>
      <c r="E35" s="578"/>
      <c r="F35" s="294"/>
      <c r="G35" s="42"/>
      <c r="H35" s="41"/>
      <c r="I35" s="42"/>
      <c r="J35" s="544" t="s">
        <v>129</v>
      </c>
      <c r="K35" s="544"/>
      <c r="L35" s="294"/>
      <c r="M35" s="294"/>
      <c r="N35" s="294"/>
      <c r="O35" s="294"/>
      <c r="P35" s="12"/>
    </row>
    <row r="36" spans="1:56" ht="15.75" thickBot="1">
      <c r="B36" s="588"/>
      <c r="C36" s="362"/>
      <c r="D36" s="540"/>
      <c r="E36" s="537"/>
      <c r="F36" s="294"/>
      <c r="G36" s="42"/>
      <c r="H36" s="42"/>
      <c r="I36" s="42"/>
      <c r="J36" s="292" t="s">
        <v>17</v>
      </c>
      <c r="K36" s="293"/>
      <c r="L36" s="545" t="s">
        <v>136</v>
      </c>
      <c r="M36" s="545"/>
      <c r="N36" s="546"/>
      <c r="O36" s="294"/>
      <c r="P36" s="12"/>
    </row>
    <row r="37" spans="1:56" ht="15" customHeight="1" thickBot="1">
      <c r="B37" s="588"/>
      <c r="C37" s="349"/>
      <c r="D37" s="538"/>
      <c r="E37" s="539"/>
      <c r="F37" s="294"/>
      <c r="G37" s="42"/>
      <c r="H37" s="42"/>
      <c r="I37" s="42"/>
      <c r="J37" s="287" t="s">
        <v>6</v>
      </c>
      <c r="K37" s="324"/>
      <c r="L37" s="473" t="s">
        <v>37</v>
      </c>
      <c r="M37" s="474" t="s">
        <v>38</v>
      </c>
      <c r="N37" s="474" t="s">
        <v>84</v>
      </c>
      <c r="O37" s="294"/>
      <c r="P37" s="12"/>
    </row>
    <row r="38" spans="1:56" ht="15.75" customHeight="1" thickBot="1">
      <c r="B38" s="588"/>
      <c r="C38" s="349"/>
      <c r="D38" s="540"/>
      <c r="E38" s="537"/>
      <c r="F38" s="294"/>
      <c r="G38" s="42"/>
      <c r="H38" s="42"/>
      <c r="I38" s="42"/>
      <c r="J38" s="345" t="s">
        <v>9</v>
      </c>
      <c r="K38" s="324">
        <v>5</v>
      </c>
      <c r="L38" s="344">
        <f>AVERAGE(K47,'Aug 2nd'!K52)</f>
        <v>6</v>
      </c>
      <c r="M38" s="325">
        <f>AVERAGE('[9]Jan30th-31st'!$L$47,L38,'[10]Feb 26th '!$L$39,'[11]Mar 31st'!$L$47,'[12]Apr 30th'!$L$46,'[13]May 29th '!$L$40,'[14]June 30th'!$L$39)</f>
        <v>6.2942405420666292</v>
      </c>
      <c r="N38" s="416">
        <v>9.1999999999999993</v>
      </c>
      <c r="O38" s="294"/>
      <c r="P38" s="12"/>
    </row>
    <row r="39" spans="1:56" ht="15" customHeight="1">
      <c r="B39" s="588"/>
      <c r="C39" s="349"/>
      <c r="D39" s="538"/>
      <c r="E39" s="539"/>
      <c r="F39" s="294"/>
      <c r="G39" s="42"/>
      <c r="H39" s="42"/>
      <c r="I39" s="42"/>
      <c r="J39" s="288" t="s">
        <v>40</v>
      </c>
      <c r="K39" s="324"/>
      <c r="L39" s="294"/>
      <c r="M39" s="294"/>
      <c r="N39" s="294"/>
      <c r="O39" s="294"/>
      <c r="P39" s="12"/>
    </row>
    <row r="40" spans="1:56" ht="15" customHeight="1">
      <c r="B40" s="588"/>
      <c r="C40" s="349"/>
      <c r="D40" s="540"/>
      <c r="E40" s="537"/>
      <c r="F40" s="294"/>
      <c r="G40" s="42"/>
      <c r="H40" s="42"/>
      <c r="I40" s="42"/>
      <c r="J40" s="289" t="s">
        <v>33</v>
      </c>
      <c r="K40" s="324"/>
      <c r="L40" s="294"/>
      <c r="M40" s="294"/>
      <c r="N40" s="294"/>
      <c r="O40" s="294"/>
      <c r="P40" s="12"/>
    </row>
    <row r="41" spans="1:56" ht="15">
      <c r="B41" s="588"/>
      <c r="C41" s="349"/>
      <c r="D41" s="538"/>
      <c r="E41" s="539"/>
      <c r="F41" s="294"/>
      <c r="G41" s="42"/>
      <c r="H41" s="42"/>
      <c r="I41" s="42"/>
      <c r="J41" s="290" t="s">
        <v>16</v>
      </c>
      <c r="K41" s="324">
        <v>3</v>
      </c>
      <c r="L41" s="294"/>
      <c r="M41" s="294"/>
      <c r="N41" s="294"/>
      <c r="O41" s="294"/>
      <c r="P41" s="12"/>
      <c r="BC41" s="44"/>
      <c r="BD41" s="44"/>
    </row>
    <row r="42" spans="1:56" ht="15">
      <c r="B42" s="588"/>
      <c r="C42" s="349"/>
      <c r="D42" s="540"/>
      <c r="E42" s="537"/>
      <c r="F42" s="294"/>
      <c r="G42" s="42"/>
      <c r="H42" s="42"/>
      <c r="I42" s="42"/>
      <c r="J42" s="291" t="s">
        <v>15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88"/>
      <c r="C43" s="349"/>
      <c r="D43" s="538"/>
      <c r="E43" s="539"/>
      <c r="F43" s="294"/>
      <c r="G43" s="42"/>
      <c r="H43" s="42"/>
      <c r="I43" s="42"/>
      <c r="J43" s="291" t="s">
        <v>149</v>
      </c>
      <c r="K43" s="324"/>
      <c r="L43" s="294"/>
      <c r="M43" s="294"/>
      <c r="N43" s="294"/>
      <c r="O43" s="294"/>
      <c r="P43" s="12"/>
      <c r="BC43" s="44"/>
      <c r="BD43" s="44"/>
    </row>
    <row r="44" spans="1:56" ht="15.75" thickBot="1">
      <c r="B44" s="589"/>
      <c r="C44" s="350"/>
      <c r="D44" s="547"/>
      <c r="E44" s="548"/>
      <c r="F44" s="294" t="s">
        <v>166</v>
      </c>
      <c r="G44" s="42"/>
      <c r="H44" s="42"/>
      <c r="I44" s="42"/>
      <c r="J44" s="291" t="s">
        <v>148</v>
      </c>
      <c r="K44" s="324"/>
      <c r="L44" s="294"/>
      <c r="M44" s="294"/>
      <c r="N44" s="294" t="s">
        <v>41</v>
      </c>
      <c r="O44" s="294"/>
      <c r="P44" s="12"/>
      <c r="BC44" s="44"/>
      <c r="BD44" s="44"/>
    </row>
    <row r="45" spans="1:56" ht="17.649999999999999" customHeight="1" thickBot="1">
      <c r="B45" s="312" t="s">
        <v>139</v>
      </c>
      <c r="C45" s="313"/>
      <c r="D45" s="549"/>
      <c r="E45" s="550"/>
      <c r="F45" s="294"/>
      <c r="J45" s="295" t="s">
        <v>134</v>
      </c>
      <c r="K45" s="324"/>
      <c r="L45" s="294"/>
      <c r="M45" s="294"/>
      <c r="N45" s="294"/>
      <c r="O45" s="294"/>
      <c r="P45" s="12"/>
      <c r="BC45" s="44"/>
      <c r="BD45" s="44"/>
    </row>
    <row r="46" spans="1:56" ht="17.649999999999999" customHeight="1">
      <c r="B46" s="363"/>
      <c r="C46" s="364"/>
      <c r="D46" s="365"/>
      <c r="E46" s="365"/>
      <c r="F46" s="294"/>
      <c r="G46" s="42"/>
      <c r="H46" s="42"/>
      <c r="I46" s="42"/>
      <c r="J46" s="295" t="s">
        <v>131</v>
      </c>
      <c r="K46" s="324"/>
      <c r="L46" s="294"/>
      <c r="M46" s="294"/>
      <c r="N46" s="294"/>
      <c r="O46" s="294"/>
      <c r="P46" s="12"/>
      <c r="BC46" s="44"/>
      <c r="BD46" s="44"/>
    </row>
    <row r="47" spans="1:56" ht="15.6" customHeight="1">
      <c r="B47" s="45"/>
      <c r="C47" s="11"/>
      <c r="D47" s="11"/>
      <c r="E47" s="46"/>
      <c r="F47" s="294"/>
      <c r="G47" s="42"/>
      <c r="H47" s="42"/>
      <c r="I47" s="42"/>
      <c r="J47" s="346" t="s">
        <v>130</v>
      </c>
      <c r="K47" s="324">
        <f>SUM(K37:K46)</f>
        <v>8</v>
      </c>
      <c r="L47" s="294"/>
      <c r="M47" s="294"/>
      <c r="N47" s="294"/>
      <c r="O47" s="294"/>
      <c r="P47" s="12"/>
    </row>
    <row r="48" spans="1:56" ht="20.25" customHeight="1">
      <c r="B48" s="15" t="s">
        <v>42</v>
      </c>
      <c r="C48" s="1" t="s">
        <v>43</v>
      </c>
      <c r="D48" s="1"/>
      <c r="E48" s="1"/>
      <c r="F48" s="294"/>
      <c r="G48" s="42"/>
      <c r="H48" s="41"/>
      <c r="I48" s="42"/>
      <c r="L48" s="42"/>
      <c r="N48" s="315"/>
      <c r="P48" s="334"/>
    </row>
    <row r="49" spans="2:57" ht="15" customHeight="1" thickBot="1"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1"/>
      <c r="O49" s="48"/>
      <c r="P49" s="49"/>
    </row>
    <row r="50" spans="2:57" ht="15" customHeight="1" thickBot="1">
      <c r="B50" s="551" t="s">
        <v>17</v>
      </c>
      <c r="C50" s="551" t="s">
        <v>44</v>
      </c>
      <c r="D50" s="554" t="s">
        <v>45</v>
      </c>
      <c r="E50" s="519" t="s">
        <v>46</v>
      </c>
      <c r="F50" s="568" t="s">
        <v>47</v>
      </c>
      <c r="G50" s="563" t="s">
        <v>48</v>
      </c>
      <c r="H50" s="551" t="s">
        <v>49</v>
      </c>
      <c r="I50" s="551" t="s">
        <v>50</v>
      </c>
      <c r="J50" s="557" t="s">
        <v>28</v>
      </c>
      <c r="K50" s="517" t="s">
        <v>51</v>
      </c>
      <c r="L50" s="566" t="s">
        <v>52</v>
      </c>
      <c r="M50" s="557" t="s">
        <v>53</v>
      </c>
      <c r="N50" s="13"/>
      <c r="O50" s="13"/>
      <c r="P50" s="50"/>
    </row>
    <row r="51" spans="2:57" ht="28.5" customHeight="1" thickTop="1" thickBot="1">
      <c r="B51" s="552"/>
      <c r="C51" s="553"/>
      <c r="D51" s="555"/>
      <c r="E51" s="556"/>
      <c r="F51" s="569"/>
      <c r="G51" s="564"/>
      <c r="H51" s="552"/>
      <c r="I51" s="552"/>
      <c r="J51" s="558"/>
      <c r="K51" s="565"/>
      <c r="L51" s="567"/>
      <c r="M51" s="558"/>
      <c r="N51" s="13"/>
      <c r="O51" s="13"/>
      <c r="P51" s="50"/>
      <c r="Q51" s="355"/>
      <c r="AB51" s="475">
        <v>43474</v>
      </c>
      <c r="AC51" s="475">
        <v>43475</v>
      </c>
      <c r="AD51" s="475">
        <v>43476</v>
      </c>
      <c r="AE51" s="475">
        <v>43477</v>
      </c>
      <c r="AF51" s="475">
        <v>43478</v>
      </c>
      <c r="AG51" s="475">
        <v>43479</v>
      </c>
      <c r="AH51" s="475">
        <v>43480</v>
      </c>
      <c r="AI51" s="475">
        <v>43481</v>
      </c>
      <c r="AJ51" s="475">
        <v>43482</v>
      </c>
      <c r="AK51" s="475">
        <v>43483</v>
      </c>
      <c r="AL51" s="475">
        <v>43484</v>
      </c>
      <c r="AM51" s="475">
        <v>43485</v>
      </c>
      <c r="AN51" s="475">
        <v>43486</v>
      </c>
      <c r="AO51" s="475">
        <v>43487</v>
      </c>
      <c r="AP51" s="475">
        <v>43488</v>
      </c>
      <c r="AQ51" s="475">
        <v>43489</v>
      </c>
      <c r="AR51" s="475">
        <v>43490</v>
      </c>
      <c r="AS51" s="475">
        <v>43491</v>
      </c>
      <c r="AT51" s="475">
        <v>43492</v>
      </c>
      <c r="AU51" s="475">
        <v>43493</v>
      </c>
      <c r="AV51" s="475">
        <v>43494</v>
      </c>
      <c r="AW51" s="475">
        <v>43495</v>
      </c>
      <c r="AX51" s="475">
        <v>43496</v>
      </c>
    </row>
    <row r="52" spans="2:57" s="54" customFormat="1" ht="36.75" hidden="1" customHeight="1" thickBot="1">
      <c r="B52" s="484" t="str">
        <f>J38</f>
        <v>STAG</v>
      </c>
      <c r="C52" s="479">
        <v>46218</v>
      </c>
      <c r="D52" s="445">
        <f>[35]July_2026!$R$13</f>
        <v>195.67999999999998</v>
      </c>
      <c r="E52" s="443"/>
      <c r="F52" s="444"/>
      <c r="G52" s="444">
        <f>[35]July_2026!$R$17</f>
        <v>184</v>
      </c>
      <c r="H52" s="458"/>
      <c r="I52" s="458"/>
      <c r="J52" s="448" t="s">
        <v>170</v>
      </c>
      <c r="K52" s="449">
        <f>[36]July_2026!$R$25</f>
        <v>0.32280701754385965</v>
      </c>
      <c r="L52" s="457">
        <f>(((D52+E52)-G52)/(D52+E52))*100</f>
        <v>5.9689288634505209</v>
      </c>
      <c r="M52" s="455" t="s">
        <v>171</v>
      </c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[16]January_2019!L5</f>
        <v>0</v>
      </c>
      <c r="AC52" s="57">
        <f>[16]January_2019!M5</f>
        <v>0</v>
      </c>
      <c r="AD52" s="57">
        <f>[16]January_2019!N5</f>
        <v>0</v>
      </c>
      <c r="AE52" s="57">
        <f>[16]January_2019!O5</f>
        <v>0</v>
      </c>
      <c r="AF52" s="57">
        <f>[16]January_2019!P5</f>
        <v>0</v>
      </c>
      <c r="AG52" s="57">
        <f>[16]January_2019!Q5</f>
        <v>0</v>
      </c>
      <c r="AH52" s="57">
        <f>[16]January_2019!R5</f>
        <v>0</v>
      </c>
      <c r="AI52" s="57">
        <f>[16]January_2019!S5</f>
        <v>0</v>
      </c>
      <c r="AJ52" s="57">
        <f>[16]January_2019!T5</f>
        <v>0</v>
      </c>
      <c r="AK52" s="57">
        <f>[16]January_2019!U5</f>
        <v>0</v>
      </c>
      <c r="AL52" s="57">
        <f>[16]January_2019!V5</f>
        <v>0</v>
      </c>
      <c r="AM52" s="57">
        <f>[16]January_2019!W5</f>
        <v>0</v>
      </c>
      <c r="AN52" s="57">
        <f>[16]January_2019!X5</f>
        <v>0</v>
      </c>
      <c r="AO52" s="57">
        <f>[16]January_2019!Y5</f>
        <v>0</v>
      </c>
      <c r="AP52" s="57">
        <f>[16]January_2019!Z5</f>
        <v>0</v>
      </c>
      <c r="AQ52" s="57">
        <f>[16]January_2019!AA5</f>
        <v>0</v>
      </c>
      <c r="AR52" s="57">
        <f>[16]January_2019!AB5</f>
        <v>0</v>
      </c>
      <c r="AS52" s="57">
        <f>[16]January_2019!AC5</f>
        <v>0</v>
      </c>
      <c r="AT52" s="57">
        <f>[16]January_2019!AD5</f>
        <v>0</v>
      </c>
      <c r="AU52" s="57">
        <f>[16]January_2019!AE5</f>
        <v>0</v>
      </c>
      <c r="AV52" s="57">
        <f>[16]January_2019!AF5</f>
        <v>0</v>
      </c>
      <c r="AW52" s="57">
        <f>[16]January_2019!AG5</f>
        <v>0</v>
      </c>
      <c r="AX52" s="277">
        <f>[16]January_2019!AH5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14.25" hidden="1" customHeight="1" thickBot="1">
      <c r="B53" s="480"/>
      <c r="C53" s="479"/>
      <c r="D53" s="442"/>
      <c r="E53" s="443"/>
      <c r="F53" s="444"/>
      <c r="G53" s="445"/>
      <c r="H53" s="458"/>
      <c r="I53" s="458"/>
      <c r="J53" s="476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[16]January_2019!L6</f>
        <v>0</v>
      </c>
      <c r="AC53" s="57">
        <f>[16]January_2019!M6</f>
        <v>0</v>
      </c>
      <c r="AD53" s="57">
        <f>[16]January_2019!N6</f>
        <v>0</v>
      </c>
      <c r="AE53" s="57">
        <f>[16]January_2019!O6</f>
        <v>0</v>
      </c>
      <c r="AF53" s="57">
        <f>[16]January_2019!P6</f>
        <v>0</v>
      </c>
      <c r="AG53" s="57">
        <f>[16]January_2019!Q6</f>
        <v>0</v>
      </c>
      <c r="AH53" s="57">
        <f>[16]January_2019!R6</f>
        <v>0</v>
      </c>
      <c r="AI53" s="57">
        <f>[16]January_2019!S6</f>
        <v>0</v>
      </c>
      <c r="AJ53" s="57">
        <f>[16]January_2019!T6</f>
        <v>0</v>
      </c>
      <c r="AK53" s="57">
        <f>[16]January_2019!U6</f>
        <v>0</v>
      </c>
      <c r="AL53" s="57">
        <f>[16]January_2019!V6</f>
        <v>0</v>
      </c>
      <c r="AM53" s="57">
        <f>[16]January_2019!W6</f>
        <v>0</v>
      </c>
      <c r="AN53" s="57">
        <f>[16]January_2019!X6</f>
        <v>0</v>
      </c>
      <c r="AO53" s="57">
        <f>[16]January_2019!Y6</f>
        <v>0</v>
      </c>
      <c r="AP53" s="57">
        <f>[16]January_2019!Z6</f>
        <v>0</v>
      </c>
      <c r="AQ53" s="57">
        <f>[16]January_2019!AA6</f>
        <v>0</v>
      </c>
      <c r="AR53" s="57">
        <f>[16]January_2019!AB6</f>
        <v>0</v>
      </c>
      <c r="AS53" s="57">
        <f>[16]January_2019!AC6</f>
        <v>0</v>
      </c>
      <c r="AT53" s="57">
        <f>[16]January_2019!AD6</f>
        <v>0</v>
      </c>
      <c r="AU53" s="57">
        <f>[16]January_2019!AE6</f>
        <v>0</v>
      </c>
      <c r="AV53" s="57">
        <f>[16]January_2019!AF6</f>
        <v>0</v>
      </c>
      <c r="AW53" s="57">
        <f>[16]January_2019!AG6</f>
        <v>0</v>
      </c>
      <c r="AX53" s="277">
        <f>[16]January_2019!AH6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37.15" customHeight="1" thickBot="1">
      <c r="B54" s="485" t="str">
        <f>I25</f>
        <v>GUINNESS</v>
      </c>
      <c r="C54" s="479">
        <v>46237</v>
      </c>
      <c r="D54" s="442">
        <f>[35]August_2026!$F$23</f>
        <v>205.9</v>
      </c>
      <c r="E54" s="443">
        <f>[37]GUINNESS!$S$6</f>
        <v>5.2</v>
      </c>
      <c r="F54" s="444"/>
      <c r="G54" s="444">
        <f>[35]August_2026!$F$28</f>
        <v>194</v>
      </c>
      <c r="H54" s="458"/>
      <c r="I54" s="458"/>
      <c r="J54" s="448" t="s">
        <v>172</v>
      </c>
      <c r="K54" s="449">
        <f>[36]August_2026!$F$32</f>
        <v>0.68070175438596492</v>
      </c>
      <c r="L54" s="457">
        <f>(((D54+E54)-G54)/(D54+E54))*100</f>
        <v>8.1004263382283259</v>
      </c>
      <c r="M54" s="455" t="s">
        <v>173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[16]January_2019!L7</f>
        <v>285.8</v>
      </c>
      <c r="AC54" s="57">
        <f>[16]January_2019!M7</f>
        <v>508.1</v>
      </c>
      <c r="AD54" s="57">
        <f>[16]January_2019!N7</f>
        <v>0</v>
      </c>
      <c r="AE54" s="57">
        <f>[16]January_2019!O7</f>
        <v>0</v>
      </c>
      <c r="AF54" s="57">
        <f>[16]January_2019!P7</f>
        <v>109.56666666666666</v>
      </c>
      <c r="AG54" s="57">
        <f>[16]January_2019!Q7</f>
        <v>297.64999999999998</v>
      </c>
      <c r="AH54" s="57">
        <f>[16]January_2019!R7</f>
        <v>122.3</v>
      </c>
      <c r="AI54" s="57">
        <f>[16]January_2019!S7</f>
        <v>0</v>
      </c>
      <c r="AJ54" s="57">
        <f>[16]January_2019!T7</f>
        <v>294.7</v>
      </c>
      <c r="AK54" s="57">
        <f>[16]January_2019!U7</f>
        <v>280.5</v>
      </c>
      <c r="AL54" s="57">
        <f>[16]January_2019!V7</f>
        <v>0</v>
      </c>
      <c r="AM54" s="57">
        <f>[16]January_2019!W7</f>
        <v>0</v>
      </c>
      <c r="AN54" s="57">
        <f>[16]January_2019!X7</f>
        <v>188.25</v>
      </c>
      <c r="AO54" s="57">
        <f>[16]January_2019!Y7</f>
        <v>295.7</v>
      </c>
      <c r="AP54" s="57">
        <f>[16]January_2019!Z7</f>
        <v>257.8</v>
      </c>
      <c r="AQ54" s="57">
        <f>[16]January_2019!AA7</f>
        <v>291.2</v>
      </c>
      <c r="AR54" s="57">
        <f>[16]January_2019!AB7</f>
        <v>187</v>
      </c>
      <c r="AS54" s="57">
        <f>[16]January_2019!AC7</f>
        <v>0</v>
      </c>
      <c r="AT54" s="57">
        <f>[16]January_2019!AD7</f>
        <v>0</v>
      </c>
      <c r="AU54" s="57">
        <f>[16]January_2019!AE7</f>
        <v>485.1</v>
      </c>
      <c r="AV54" s="57">
        <f>[16]January_2019!AF7</f>
        <v>171.55</v>
      </c>
      <c r="AW54" s="57">
        <f>[16]January_2019!AG7</f>
        <v>423.8</v>
      </c>
      <c r="AX54" s="277">
        <f>[16]January_2019!AH7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9.5" customHeight="1" thickBot="1">
      <c r="B55" s="478"/>
      <c r="C55" s="430"/>
      <c r="D55" s="431"/>
      <c r="E55" s="432"/>
      <c r="F55" s="433"/>
      <c r="G55" s="434"/>
      <c r="H55" s="458"/>
      <c r="I55" s="458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8.65" customHeight="1" thickBot="1">
      <c r="B56" s="484"/>
      <c r="C56" s="479"/>
      <c r="D56" s="442"/>
      <c r="E56" s="443"/>
      <c r="F56" s="444"/>
      <c r="G56" s="445"/>
      <c r="H56" s="458"/>
      <c r="I56" s="458"/>
      <c r="J56" s="448"/>
      <c r="K56" s="459"/>
      <c r="L56" s="476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5" hidden="1">
      <c r="B57" s="453"/>
      <c r="C57" s="430"/>
      <c r="D57" s="431"/>
      <c r="E57" s="432"/>
      <c r="F57" s="433"/>
      <c r="G57" s="434"/>
      <c r="H57" s="435"/>
      <c r="I57" s="450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7.15" hidden="1" customHeight="1" thickBot="1">
      <c r="B58" s="482"/>
      <c r="C58" s="479"/>
      <c r="D58" s="442"/>
      <c r="E58" s="443"/>
      <c r="F58" s="444"/>
      <c r="G58" s="445"/>
      <c r="H58" s="446"/>
      <c r="I58" s="447"/>
      <c r="J58" s="448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hidden="1" customHeight="1" thickBot="1">
      <c r="B59" s="437"/>
      <c r="C59" s="423"/>
      <c r="D59" s="424"/>
      <c r="E59" s="425"/>
      <c r="F59" s="426"/>
      <c r="G59" s="427"/>
      <c r="H59" s="428"/>
      <c r="I59" s="438"/>
      <c r="J59" s="439"/>
      <c r="K59" s="429"/>
      <c r="L59" s="440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s="54" customFormat="1" ht="37.15" hidden="1" customHeight="1" thickBot="1">
      <c r="B60" s="456"/>
      <c r="C60" s="441"/>
      <c r="D60" s="442"/>
      <c r="E60" s="443"/>
      <c r="F60" s="444"/>
      <c r="G60" s="445"/>
      <c r="H60" s="446"/>
      <c r="I60" s="447"/>
      <c r="J60" s="448"/>
      <c r="K60" s="449"/>
      <c r="L60" s="457"/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customHeight="1">
      <c r="B61" s="466"/>
      <c r="C61" s="430"/>
      <c r="D61" s="460"/>
      <c r="E61" s="461"/>
      <c r="F61" s="462"/>
      <c r="G61" s="460"/>
      <c r="H61" s="463"/>
      <c r="I61" s="463"/>
      <c r="J61" s="463"/>
      <c r="K61" s="464"/>
      <c r="L61" s="465"/>
      <c r="M61" s="5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559" t="s">
        <v>55</v>
      </c>
      <c r="C63" s="560"/>
      <c r="D63" s="560"/>
      <c r="E63" s="560"/>
      <c r="F63" s="561"/>
      <c r="G63" s="559" t="s">
        <v>56</v>
      </c>
      <c r="H63" s="560"/>
      <c r="I63" s="560"/>
      <c r="J63" s="561"/>
      <c r="K63" s="559" t="s">
        <v>51</v>
      </c>
      <c r="L63" s="560"/>
      <c r="M63" s="560"/>
      <c r="N63" s="562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/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65"/>
      <c r="D65" s="76"/>
      <c r="E65" s="76"/>
      <c r="F65" s="66">
        <v>4.8</v>
      </c>
      <c r="G65" s="65"/>
      <c r="H65" s="477"/>
      <c r="I65" s="477"/>
      <c r="J65" s="66">
        <v>4.8</v>
      </c>
      <c r="K65" s="67"/>
      <c r="L65" s="194"/>
      <c r="M65" s="194"/>
      <c r="N65" s="68">
        <v>1</v>
      </c>
      <c r="O65" s="56"/>
      <c r="P65" s="69"/>
    </row>
    <row r="66" spans="2:16" ht="15">
      <c r="B66" s="33" t="s">
        <v>9</v>
      </c>
      <c r="C66" s="65"/>
      <c r="D66" s="76"/>
      <c r="E66" s="76"/>
      <c r="F66" s="66">
        <v>4.8</v>
      </c>
      <c r="G66" s="65"/>
      <c r="H66" s="76"/>
      <c r="I66" s="76"/>
      <c r="J66" s="66">
        <v>4.8</v>
      </c>
      <c r="K66" s="67"/>
      <c r="L66" s="194"/>
      <c r="M66" s="194"/>
      <c r="N66" s="68">
        <v>1</v>
      </c>
      <c r="P66" s="69"/>
    </row>
    <row r="67" spans="2:16" ht="15">
      <c r="B67" s="34" t="s">
        <v>40</v>
      </c>
      <c r="C67" s="65">
        <f>L54</f>
        <v>8.1004263382283259</v>
      </c>
      <c r="D67" s="76"/>
      <c r="E67" s="76"/>
      <c r="F67" s="66">
        <v>5.5</v>
      </c>
      <c r="G67" s="65"/>
      <c r="H67" s="76"/>
      <c r="I67" s="76"/>
      <c r="J67" s="66">
        <v>5.5</v>
      </c>
      <c r="K67" s="67"/>
      <c r="L67" s="194"/>
      <c r="M67" s="194"/>
      <c r="N67" s="68">
        <v>1</v>
      </c>
      <c r="P67" s="69"/>
    </row>
    <row r="68" spans="2:16" ht="15">
      <c r="B68" s="22" t="s">
        <v>33</v>
      </c>
      <c r="C68" s="65"/>
      <c r="D68" s="76"/>
      <c r="E68" s="76"/>
      <c r="F68" s="66">
        <v>3.3</v>
      </c>
      <c r="G68" s="65"/>
      <c r="H68" s="76"/>
      <c r="I68" s="76"/>
      <c r="J68" s="66">
        <v>3.3</v>
      </c>
      <c r="K68" s="67"/>
      <c r="L68" s="194"/>
      <c r="M68" s="194"/>
      <c r="N68" s="68">
        <v>1</v>
      </c>
      <c r="P68" s="69"/>
    </row>
    <row r="69" spans="2:16" ht="15">
      <c r="B69" s="35" t="s">
        <v>164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K69" s="67"/>
      <c r="L69" s="194"/>
      <c r="M69" s="194"/>
      <c r="N69" s="68">
        <v>1</v>
      </c>
      <c r="P69" s="69"/>
    </row>
    <row r="70" spans="2:16" ht="15">
      <c r="B70" s="36" t="s">
        <v>15</v>
      </c>
      <c r="C70" s="65"/>
      <c r="D70" s="76"/>
      <c r="E70" s="76"/>
      <c r="F70" s="481">
        <v>5.5</v>
      </c>
      <c r="G70" s="65"/>
      <c r="H70" s="76"/>
      <c r="I70" s="76"/>
      <c r="J70" s="66">
        <v>5.5</v>
      </c>
      <c r="K70" s="67"/>
      <c r="L70" s="194"/>
      <c r="M70" s="194"/>
      <c r="N70" s="68">
        <v>1</v>
      </c>
      <c r="P70" s="69"/>
    </row>
    <row r="71" spans="2:16" ht="15">
      <c r="B71" s="37" t="s">
        <v>16</v>
      </c>
      <c r="C71" s="483"/>
      <c r="D71" s="76"/>
      <c r="E71" s="76"/>
      <c r="F71" s="66">
        <v>3.3</v>
      </c>
      <c r="G71" s="282"/>
      <c r="H71" s="76"/>
      <c r="I71" s="76"/>
      <c r="J71" s="66">
        <v>3.3</v>
      </c>
      <c r="K71" s="67"/>
      <c r="L71" s="194"/>
      <c r="M71" s="194"/>
      <c r="N71" s="71">
        <v>1</v>
      </c>
      <c r="P71" s="69"/>
    </row>
    <row r="72" spans="2:16" ht="15.75" thickBot="1">
      <c r="B72" s="38" t="s">
        <v>163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L72" s="194"/>
      <c r="M72" s="194"/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/>
      <c r="F73" s="66">
        <v>4.8</v>
      </c>
      <c r="G73" s="282"/>
      <c r="H73" s="76"/>
      <c r="I73" s="76"/>
      <c r="J73" s="66">
        <v>4.8</v>
      </c>
      <c r="K73" s="67"/>
      <c r="L73" s="194"/>
      <c r="M73" s="194"/>
      <c r="N73" s="71">
        <v>1</v>
      </c>
      <c r="O73" s="74"/>
      <c r="P73" s="75"/>
    </row>
    <row r="74" spans="2:16" ht="15">
      <c r="D74" s="76"/>
      <c r="E74" s="76"/>
      <c r="F74" s="341">
        <v>5.5</v>
      </c>
      <c r="H74" s="76"/>
      <c r="I74" s="76"/>
      <c r="J74" s="341">
        <v>5.5</v>
      </c>
      <c r="L74" s="194"/>
      <c r="M74" s="194"/>
      <c r="N74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1:N21"/>
    <mergeCell ref="D22:E22"/>
    <mergeCell ref="B23:B34"/>
    <mergeCell ref="D23:E24"/>
    <mergeCell ref="D25:E26"/>
    <mergeCell ref="D27:E28"/>
    <mergeCell ref="D29:E30"/>
    <mergeCell ref="D31:E32"/>
    <mergeCell ref="D33:E34"/>
    <mergeCell ref="B35:B44"/>
    <mergeCell ref="D35:E36"/>
    <mergeCell ref="J35:K35"/>
    <mergeCell ref="L36:N36"/>
    <mergeCell ref="D37:E38"/>
    <mergeCell ref="D39:E40"/>
    <mergeCell ref="D41:E42"/>
    <mergeCell ref="D43:E44"/>
    <mergeCell ref="D45:E45"/>
    <mergeCell ref="B50:B51"/>
    <mergeCell ref="C50:C51"/>
    <mergeCell ref="D50:D51"/>
    <mergeCell ref="E50:E51"/>
    <mergeCell ref="M50:M51"/>
    <mergeCell ref="B63:F63"/>
    <mergeCell ref="G63:J63"/>
    <mergeCell ref="K63:N63"/>
    <mergeCell ref="G50:G51"/>
    <mergeCell ref="H50:H51"/>
    <mergeCell ref="I50:I51"/>
    <mergeCell ref="J50:J51"/>
    <mergeCell ref="K50:K51"/>
    <mergeCell ref="L50:L51"/>
    <mergeCell ref="F50:F51"/>
  </mergeCells>
  <conditionalFormatting sqref="B45:B46">
    <cfRule type="cellIs" dxfId="3656" priority="124" operator="notBetween">
      <formula>#REF!</formula>
      <formula>#REF!</formula>
    </cfRule>
  </conditionalFormatting>
  <conditionalFormatting sqref="C49">
    <cfRule type="cellIs" dxfId="3655" priority="206" stopIfTrue="1" operator="lessThan">
      <formula>96</formula>
    </cfRule>
    <cfRule type="cellIs" dxfId="3654" priority="207" stopIfTrue="1" operator="greaterThan">
      <formula>100</formula>
    </cfRule>
  </conditionalFormatting>
  <conditionalFormatting sqref="C65:C66">
    <cfRule type="cellIs" dxfId="3653" priority="87" stopIfTrue="1" operator="lessThanOrEqual">
      <formula>0</formula>
    </cfRule>
    <cfRule type="cellIs" dxfId="3652" priority="88" stopIfTrue="1" operator="greaterThan">
      <formula>$F65</formula>
    </cfRule>
    <cfRule type="cellIs" dxfId="3651" priority="86" stopIfTrue="1" operator="greaterThan">
      <formula>$F65</formula>
    </cfRule>
    <cfRule type="cellIs" dxfId="3650" priority="89" stopIfTrue="1" operator="lessThanOrEqual">
      <formula>0</formula>
    </cfRule>
  </conditionalFormatting>
  <conditionalFormatting sqref="C67:C69 C71:C73">
    <cfRule type="cellIs" dxfId="3649" priority="96" stopIfTrue="1" operator="greaterThan">
      <formula>$F70</formula>
    </cfRule>
  </conditionalFormatting>
  <conditionalFormatting sqref="C67:C69">
    <cfRule type="cellIs" dxfId="3648" priority="97" stopIfTrue="1" operator="lessThanOrEqual">
      <formula>0</formula>
    </cfRule>
  </conditionalFormatting>
  <conditionalFormatting sqref="C70">
    <cfRule type="cellIs" dxfId="3647" priority="209" stopIfTrue="1" operator="lessThanOrEqual">
      <formula>0</formula>
    </cfRule>
    <cfRule type="cellIs" dxfId="3646" priority="210" stopIfTrue="1" operator="greaterThan">
      <formula>$F65</formula>
    </cfRule>
    <cfRule type="cellIs" dxfId="3645" priority="211" stopIfTrue="1" operator="lessThanOrEqual">
      <formula>0</formula>
    </cfRule>
    <cfRule type="cellIs" dxfId="3644" priority="208" stopIfTrue="1" operator="greaterThan">
      <formula>$F65</formula>
    </cfRule>
  </conditionalFormatting>
  <conditionalFormatting sqref="C71:C73">
    <cfRule type="cellIs" dxfId="3643" priority="98" stopIfTrue="1" operator="lessThanOrEqual">
      <formula>0</formula>
    </cfRule>
  </conditionalFormatting>
  <conditionalFormatting sqref="C76:C80">
    <cfRule type="cellIs" dxfId="3642" priority="198" stopIfTrue="1" operator="lessThanOrEqual">
      <formula>0</formula>
    </cfRule>
  </conditionalFormatting>
  <conditionalFormatting sqref="C77:C80">
    <cfRule type="cellIs" dxfId="3641" priority="197" stopIfTrue="1" operator="greaterThan">
      <formula>$F$76</formula>
    </cfRule>
  </conditionalFormatting>
  <conditionalFormatting sqref="C82">
    <cfRule type="cellIs" dxfId="3640" priority="199" stopIfTrue="1" operator="greaterThan">
      <formula>$F$76</formula>
    </cfRule>
    <cfRule type="cellIs" dxfId="3639" priority="200" stopIfTrue="1" operator="lessThanOrEqual">
      <formula>0</formula>
    </cfRule>
  </conditionalFormatting>
  <conditionalFormatting sqref="C70:D70">
    <cfRule type="cellIs" dxfId="3638" priority="85" stopIfTrue="1" operator="lessThanOrEqual">
      <formula>0</formula>
    </cfRule>
    <cfRule type="cellIs" dxfId="3637" priority="84" stopIfTrue="1" operator="greaterThan">
      <formula>$J70</formula>
    </cfRule>
  </conditionalFormatting>
  <conditionalFormatting sqref="C76:D76 D78:D84">
    <cfRule type="cellIs" dxfId="3636" priority="192" stopIfTrue="1" operator="greaterThan">
      <formula>4.5</formula>
    </cfRule>
  </conditionalFormatting>
  <conditionalFormatting sqref="D45:D46">
    <cfRule type="cellIs" dxfId="3635" priority="125" operator="notBetween">
      <formula>#REF!</formula>
      <formula>#REF!</formula>
    </cfRule>
  </conditionalFormatting>
  <conditionalFormatting sqref="D65:D69 D71:D72">
    <cfRule type="cellIs" dxfId="3634" priority="95" stopIfTrue="1" operator="lessThanOrEqual">
      <formula>0</formula>
    </cfRule>
  </conditionalFormatting>
  <conditionalFormatting sqref="D65:D69 D71:D74">
    <cfRule type="cellIs" dxfId="3633" priority="92" stopIfTrue="1" operator="greaterThan">
      <formula>$F65</formula>
    </cfRule>
    <cfRule type="cellIs" dxfId="3632" priority="91" stopIfTrue="1" operator="lessThanOrEqual">
      <formula>0</formula>
    </cfRule>
  </conditionalFormatting>
  <conditionalFormatting sqref="D73:D74">
    <cfRule type="cellIs" dxfId="3631" priority="93" stopIfTrue="1" operator="lessThanOrEqual">
      <formula>0</formula>
    </cfRule>
  </conditionalFormatting>
  <conditionalFormatting sqref="D74">
    <cfRule type="cellIs" dxfId="3630" priority="94" stopIfTrue="1" operator="lessThanOrEqual">
      <formula>0</formula>
    </cfRule>
  </conditionalFormatting>
  <conditionalFormatting sqref="D76 D78:D84">
    <cfRule type="cellIs" dxfId="3629" priority="193" stopIfTrue="1" operator="lessThanOrEqual">
      <formula>0</formula>
    </cfRule>
  </conditionalFormatting>
  <conditionalFormatting sqref="D77">
    <cfRule type="cellIs" dxfId="3628" priority="184" stopIfTrue="1" operator="greaterThan">
      <formula>$F$76</formula>
    </cfRule>
    <cfRule type="cellIs" dxfId="3627" priority="185" stopIfTrue="1" operator="lessThanOrEqual">
      <formula>0</formula>
    </cfRule>
  </conditionalFormatting>
  <conditionalFormatting sqref="E10:E20">
    <cfRule type="cellIs" dxfId="3626" priority="28" operator="lessThan">
      <formula>48</formula>
    </cfRule>
  </conditionalFormatting>
  <conditionalFormatting sqref="E48 E49:F49">
    <cfRule type="cellIs" dxfId="3625" priority="189" stopIfTrue="1" operator="greaterThan">
      <formula>100</formula>
    </cfRule>
  </conditionalFormatting>
  <conditionalFormatting sqref="E49">
    <cfRule type="cellIs" dxfId="3624" priority="186" stopIfTrue="1" operator="lessThan">
      <formula>96.8</formula>
    </cfRule>
    <cfRule type="cellIs" dxfId="3623" priority="187" stopIfTrue="1" operator="greaterThan">
      <formula>100</formula>
    </cfRule>
  </conditionalFormatting>
  <conditionalFormatting sqref="E65:E73">
    <cfRule type="cellIs" dxfId="3622" priority="57" stopIfTrue="1" operator="lessThanOrEqual">
      <formula>0</formula>
    </cfRule>
  </conditionalFormatting>
  <conditionalFormatting sqref="E65:E74">
    <cfRule type="cellIs" dxfId="3621" priority="59" stopIfTrue="1" operator="lessThanOrEqual">
      <formula>0</formula>
    </cfRule>
    <cfRule type="cellIs" dxfId="3620" priority="58" stopIfTrue="1" operator="greaterThan">
      <formula>$F65</formula>
    </cfRule>
  </conditionalFormatting>
  <conditionalFormatting sqref="E74">
    <cfRule type="cellIs" dxfId="3619" priority="60" stopIfTrue="1" operator="lessThanOrEqual">
      <formula>0</formula>
    </cfRule>
  </conditionalFormatting>
  <conditionalFormatting sqref="E76:E84">
    <cfRule type="cellIs" dxfId="3618" priority="179" stopIfTrue="1" operator="lessThanOrEqual">
      <formula>0</formula>
    </cfRule>
    <cfRule type="cellIs" dxfId="3617" priority="178" stopIfTrue="1" operator="greaterThan">
      <formula>4.5</formula>
    </cfRule>
  </conditionalFormatting>
  <conditionalFormatting sqref="E49:F49 E48">
    <cfRule type="cellIs" dxfId="3616" priority="188" stopIfTrue="1" operator="lessThan">
      <formula>96.5</formula>
    </cfRule>
  </conditionalFormatting>
  <conditionalFormatting sqref="F16 F20">
    <cfRule type="cellIs" dxfId="3615" priority="35" operator="greaterThan">
      <formula>60</formula>
    </cfRule>
  </conditionalFormatting>
  <conditionalFormatting sqref="F49">
    <cfRule type="cellIs" dxfId="3614" priority="205" stopIfTrue="1" operator="greaterThan">
      <formula>100</formula>
    </cfRule>
    <cfRule type="cellIs" dxfId="3613" priority="204" stopIfTrue="1" operator="lessThan">
      <formula>96.8</formula>
    </cfRule>
  </conditionalFormatting>
  <conditionalFormatting sqref="G10:G20">
    <cfRule type="expression" dxfId="3612" priority="30">
      <formula>IF(+(IF(G10&lt;S10,0,IF(G10&gt;T10,0,1)))=0,1)</formula>
    </cfRule>
  </conditionalFormatting>
  <conditionalFormatting sqref="G65:G68 F74">
    <cfRule type="cellIs" dxfId="3611" priority="67" stopIfTrue="1" operator="lessThanOrEqual">
      <formula>0</formula>
    </cfRule>
    <cfRule type="cellIs" dxfId="3610" priority="66" stopIfTrue="1" operator="greaterThan">
      <formula>$F65</formula>
    </cfRule>
  </conditionalFormatting>
  <conditionalFormatting sqref="G67:G68">
    <cfRule type="cellIs" dxfId="3609" priority="52" stopIfTrue="1" operator="greaterThan">
      <formula>$F67</formula>
    </cfRule>
    <cfRule type="cellIs" dxfId="3608" priority="53" stopIfTrue="1" operator="lessThanOrEqual">
      <formula>0</formula>
    </cfRule>
  </conditionalFormatting>
  <conditionalFormatting sqref="G69:G73">
    <cfRule type="cellIs" dxfId="3607" priority="68" stopIfTrue="1" operator="greaterThan">
      <formula>$J69</formula>
    </cfRule>
    <cfRule type="cellIs" dxfId="3606" priority="69" stopIfTrue="1" operator="lessThanOrEqual">
      <formula>0</formula>
    </cfRule>
  </conditionalFormatting>
  <conditionalFormatting sqref="G70">
    <cfRule type="cellIs" dxfId="3605" priority="213" stopIfTrue="1" operator="lessThanOrEqual">
      <formula>0</formula>
    </cfRule>
    <cfRule type="cellIs" dxfId="3604" priority="212" stopIfTrue="1" operator="greaterThan">
      <formula>$F65</formula>
    </cfRule>
  </conditionalFormatting>
  <conditionalFormatting sqref="G78:G83 C81 C83">
    <cfRule type="cellIs" dxfId="3603" priority="201" stopIfTrue="1" operator="greaterThan">
      <formula>4.5</formula>
    </cfRule>
    <cfRule type="cellIs" dxfId="3602" priority="202" stopIfTrue="1" operator="lessThanOrEqual">
      <formula>0</formula>
    </cfRule>
  </conditionalFormatting>
  <conditionalFormatting sqref="G77:H77">
    <cfRule type="cellIs" dxfId="3601" priority="182" stopIfTrue="1" operator="greaterThan">
      <formula>$F$76</formula>
    </cfRule>
    <cfRule type="cellIs" dxfId="3600" priority="183" stopIfTrue="1" operator="lessThanOrEqual">
      <formula>0</formula>
    </cfRule>
  </conditionalFormatting>
  <conditionalFormatting sqref="H34:H35 H48">
    <cfRule type="cellIs" dxfId="3599" priority="180" stopIfTrue="1" operator="greaterThan">
      <formula>0</formula>
    </cfRule>
  </conditionalFormatting>
  <conditionalFormatting sqref="H52">
    <cfRule type="cellIs" dxfId="3598" priority="82" stopIfTrue="1" operator="greaterThan">
      <formula>$F$66</formula>
    </cfRule>
    <cfRule type="cellIs" dxfId="3597" priority="81" stopIfTrue="1" operator="lessThanOrEqual">
      <formula>0</formula>
    </cfRule>
    <cfRule type="cellIs" dxfId="3596" priority="80" stopIfTrue="1" operator="greaterThan">
      <formula>$F$68</formula>
    </cfRule>
    <cfRule type="cellIs" dxfId="3595" priority="71" stopIfTrue="1" operator="lessThanOrEqual">
      <formula>0</formula>
    </cfRule>
    <cfRule type="cellIs" dxfId="3594" priority="72" stopIfTrue="1" operator="greaterThan">
      <formula>$F$65</formula>
    </cfRule>
  </conditionalFormatting>
  <conditionalFormatting sqref="H52:H53">
    <cfRule type="cellIs" dxfId="3593" priority="83" stopIfTrue="1" operator="lessThanOrEqual">
      <formula>0</formula>
    </cfRule>
  </conditionalFormatting>
  <conditionalFormatting sqref="H53 H55:H56">
    <cfRule type="cellIs" dxfId="3592" priority="110" stopIfTrue="1" operator="lessThanOrEqual">
      <formula>0</formula>
    </cfRule>
  </conditionalFormatting>
  <conditionalFormatting sqref="H53">
    <cfRule type="cellIs" dxfId="3591" priority="107" stopIfTrue="1" operator="greaterThan">
      <formula>$F$68</formula>
    </cfRule>
    <cfRule type="cellIs" dxfId="3590" priority="108" stopIfTrue="1" operator="lessThanOrEqual">
      <formula>0</formula>
    </cfRule>
    <cfRule type="cellIs" dxfId="3589" priority="109" stopIfTrue="1" operator="greaterThan">
      <formula>$F$66</formula>
    </cfRule>
    <cfRule type="cellIs" dxfId="3588" priority="99" stopIfTrue="1" operator="greaterThan">
      <formula>$F$65</formula>
    </cfRule>
  </conditionalFormatting>
  <conditionalFormatting sqref="H54">
    <cfRule type="cellIs" dxfId="3587" priority="48" stopIfTrue="1" operator="lessThanOrEqual">
      <formula>0</formula>
    </cfRule>
    <cfRule type="cellIs" dxfId="3586" priority="47" stopIfTrue="1" operator="greaterThan">
      <formula>$F$70</formula>
    </cfRule>
    <cfRule type="cellIs" dxfId="3585" priority="39" stopIfTrue="1" operator="greaterThan">
      <formula>$F$67</formula>
    </cfRule>
    <cfRule type="cellIs" dxfId="3584" priority="38" stopIfTrue="1" operator="lessThanOrEqual">
      <formula>0</formula>
    </cfRule>
    <cfRule type="cellIs" dxfId="3583" priority="50" stopIfTrue="1" operator="lessThanOrEqual">
      <formula>0</formula>
    </cfRule>
    <cfRule type="cellIs" dxfId="3582" priority="49" stopIfTrue="1" operator="greaterThan">
      <formula>$F$68</formula>
    </cfRule>
  </conditionalFormatting>
  <conditionalFormatting sqref="H55:H56">
    <cfRule type="cellIs" dxfId="3581" priority="112" stopIfTrue="1" operator="greaterThan">
      <formula>$F$65</formula>
    </cfRule>
    <cfRule type="cellIs" dxfId="3580" priority="123" stopIfTrue="1" operator="lessThanOrEqual">
      <formula>0</formula>
    </cfRule>
    <cfRule type="cellIs" dxfId="3579" priority="122" stopIfTrue="1" operator="greaterThan">
      <formula>$F$66</formula>
    </cfRule>
    <cfRule type="cellIs" dxfId="3578" priority="120" stopIfTrue="1" operator="greaterThan">
      <formula>$F$68</formula>
    </cfRule>
    <cfRule type="cellIs" dxfId="3577" priority="121" stopIfTrue="1" operator="lessThanOrEqual">
      <formula>0</formula>
    </cfRule>
  </conditionalFormatting>
  <conditionalFormatting sqref="H57:H58">
    <cfRule type="cellIs" dxfId="3576" priority="156" stopIfTrue="1" operator="greaterThan">
      <formula>#REF!</formula>
    </cfRule>
    <cfRule type="cellIs" dxfId="3575" priority="157" stopIfTrue="1" operator="lessThanOrEqual">
      <formula>0</formula>
    </cfRule>
    <cfRule type="cellIs" dxfId="3574" priority="147" stopIfTrue="1" operator="lessThanOrEqual">
      <formula>0</formula>
    </cfRule>
    <cfRule type="cellIs" dxfId="3573" priority="148" stopIfTrue="1" operator="greaterThan">
      <formula>#REF!</formula>
    </cfRule>
  </conditionalFormatting>
  <conditionalFormatting sqref="H59">
    <cfRule type="cellIs" dxfId="3572" priority="159" stopIfTrue="1" operator="lessThanOrEqual">
      <formula>0</formula>
    </cfRule>
    <cfRule type="cellIs" dxfId="3571" priority="160" stopIfTrue="1" operator="greaterThan">
      <formula>$F$33</formula>
    </cfRule>
    <cfRule type="cellIs" dxfId="3570" priority="168" stopIfTrue="1" operator="greaterThan">
      <formula>$F$36</formula>
    </cfRule>
    <cfRule type="cellIs" dxfId="3569" priority="169" stopIfTrue="1" operator="lessThanOrEqual">
      <formula>0</formula>
    </cfRule>
    <cfRule type="cellIs" dxfId="3568" priority="170" stopIfTrue="1" operator="greaterThan">
      <formula>$F$34</formula>
    </cfRule>
    <cfRule type="cellIs" dxfId="3567" priority="171" stopIfTrue="1" operator="lessThanOrEqual">
      <formula>0</formula>
    </cfRule>
  </conditionalFormatting>
  <conditionalFormatting sqref="H60:H61">
    <cfRule type="cellIs" dxfId="3566" priority="145" stopIfTrue="1" operator="lessThanOrEqual">
      <formula>0</formula>
    </cfRule>
    <cfRule type="cellIs" dxfId="3565" priority="136" stopIfTrue="1" operator="greaterThan">
      <formula>#REF!</formula>
    </cfRule>
    <cfRule type="cellIs" dxfId="3564" priority="135" stopIfTrue="1" operator="lessThanOrEqual">
      <formula>0</formula>
    </cfRule>
    <cfRule type="cellIs" dxfId="3563" priority="144" stopIfTrue="1" operator="greaterThan">
      <formula>#REF!</formula>
    </cfRule>
  </conditionalFormatting>
  <conditionalFormatting sqref="H76 H78:H84">
    <cfRule type="cellIs" dxfId="3562" priority="194" stopIfTrue="1" operator="greaterThan">
      <formula>4.5</formula>
    </cfRule>
    <cfRule type="cellIs" dxfId="3561" priority="195" stopIfTrue="1" operator="lessThanOrEqual">
      <formula>0</formula>
    </cfRule>
  </conditionalFormatting>
  <conditionalFormatting sqref="H52:I52">
    <cfRule type="cellIs" dxfId="3560" priority="73" stopIfTrue="1" operator="lessThanOrEqual">
      <formula>0</formula>
    </cfRule>
  </conditionalFormatting>
  <conditionalFormatting sqref="H52:I53 H55:I56">
    <cfRule type="cellIs" dxfId="3559" priority="70" stopIfTrue="1" operator="greaterThan">
      <formula>$F$67</formula>
    </cfRule>
  </conditionalFormatting>
  <conditionalFormatting sqref="H53:I53">
    <cfRule type="cellIs" dxfId="3558" priority="100" stopIfTrue="1" operator="lessThanOrEqual">
      <formula>0</formula>
    </cfRule>
  </conditionalFormatting>
  <conditionalFormatting sqref="H54:I54">
    <cfRule type="cellIs" dxfId="3557" priority="40" stopIfTrue="1" operator="lessThanOrEqual">
      <formula>0</formula>
    </cfRule>
    <cfRule type="cellIs" dxfId="3556" priority="37" stopIfTrue="1" operator="greaterThan">
      <formula>$F$69</formula>
    </cfRule>
  </conditionalFormatting>
  <conditionalFormatting sqref="H55:I56">
    <cfRule type="cellIs" dxfId="3555" priority="113" stopIfTrue="1" operator="lessThanOrEqual">
      <formula>0</formula>
    </cfRule>
  </conditionalFormatting>
  <conditionalFormatting sqref="H57:I58">
    <cfRule type="cellIs" dxfId="3554" priority="155" stopIfTrue="1" operator="lessThanOrEqual">
      <formula>0</formula>
    </cfRule>
    <cfRule type="cellIs" dxfId="3553" priority="154" stopIfTrue="1" operator="greaterThan">
      <formula>#REF!</formula>
    </cfRule>
    <cfRule type="cellIs" dxfId="3552" priority="149" stopIfTrue="1" operator="lessThanOrEqual">
      <formula>0</formula>
    </cfRule>
    <cfRule type="cellIs" dxfId="3551" priority="146" stopIfTrue="1" operator="greaterThan">
      <formula>#REF!</formula>
    </cfRule>
  </conditionalFormatting>
  <conditionalFormatting sqref="H59:I59">
    <cfRule type="cellIs" dxfId="3550" priority="158" stopIfTrue="1" operator="greaterThan">
      <formula>$F$35</formula>
    </cfRule>
    <cfRule type="cellIs" dxfId="3549" priority="161" stopIfTrue="1" operator="lessThanOrEqual">
      <formula>0</formula>
    </cfRule>
  </conditionalFormatting>
  <conditionalFormatting sqref="H60:I61">
    <cfRule type="cellIs" dxfId="3548" priority="142" stopIfTrue="1" operator="greaterThan">
      <formula>#REF!</formula>
    </cfRule>
    <cfRule type="cellIs" dxfId="3547" priority="134" stopIfTrue="1" operator="greaterThan">
      <formula>#REF!</formula>
    </cfRule>
    <cfRule type="cellIs" dxfId="3546" priority="137" stopIfTrue="1" operator="lessThanOrEqual">
      <formula>0</formula>
    </cfRule>
    <cfRule type="cellIs" dxfId="3545" priority="143" stopIfTrue="1" operator="lessThanOrEqual">
      <formula>0</formula>
    </cfRule>
  </conditionalFormatting>
  <conditionalFormatting sqref="H65:I72">
    <cfRule type="cellIs" dxfId="3544" priority="56" stopIfTrue="1" operator="lessThanOrEqual">
      <formula>0</formula>
    </cfRule>
    <cfRule type="cellIs" dxfId="3543" priority="55" stopIfTrue="1" operator="greaterThan">
      <formula>$J65</formula>
    </cfRule>
  </conditionalFormatting>
  <conditionalFormatting sqref="H73:I73">
    <cfRule type="cellIs" dxfId="3542" priority="63" operator="greaterThan">
      <formula>5.3</formula>
    </cfRule>
  </conditionalFormatting>
  <conditionalFormatting sqref="H74:I74">
    <cfRule type="cellIs" dxfId="3541" priority="61" stopIfTrue="1" operator="greaterThan">
      <formula>$J74</formula>
    </cfRule>
    <cfRule type="cellIs" dxfId="3540" priority="62" stopIfTrue="1" operator="lessThanOrEqual">
      <formula>0</formula>
    </cfRule>
  </conditionalFormatting>
  <conditionalFormatting sqref="I52">
    <cfRule type="cellIs" dxfId="3539" priority="77" stopIfTrue="1" operator="lessThanOrEqual">
      <formula>0</formula>
    </cfRule>
    <cfRule type="cellIs" dxfId="3538" priority="78" stopIfTrue="1" operator="greaterThan">
      <formula>$F$65</formula>
    </cfRule>
    <cfRule type="cellIs" dxfId="3537" priority="74" stopIfTrue="1" operator="greaterThan">
      <formula>$F$65</formula>
    </cfRule>
    <cfRule type="cellIs" dxfId="3536" priority="75" stopIfTrue="1" operator="lessThanOrEqual">
      <formula>0</formula>
    </cfRule>
    <cfRule type="cellIs" dxfId="3535" priority="76" stopIfTrue="1" operator="greaterThan">
      <formula>$F$67</formula>
    </cfRule>
    <cfRule type="cellIs" dxfId="3534" priority="79" stopIfTrue="1" operator="lessThanOrEqual">
      <formula>0</formula>
    </cfRule>
  </conditionalFormatting>
  <conditionalFormatting sqref="I53">
    <cfRule type="cellIs" dxfId="3533" priority="105" stopIfTrue="1" operator="greaterThan">
      <formula>$F$65</formula>
    </cfRule>
    <cfRule type="cellIs" dxfId="3532" priority="104" stopIfTrue="1" operator="lessThanOrEqual">
      <formula>0</formula>
    </cfRule>
    <cfRule type="cellIs" dxfId="3531" priority="106" stopIfTrue="1" operator="lessThanOrEqual">
      <formula>0</formula>
    </cfRule>
    <cfRule type="cellIs" dxfId="3530" priority="103" stopIfTrue="1" operator="greaterThan">
      <formula>$F$67</formula>
    </cfRule>
    <cfRule type="cellIs" dxfId="3529" priority="102" stopIfTrue="1" operator="lessThanOrEqual">
      <formula>0</formula>
    </cfRule>
    <cfRule type="cellIs" dxfId="3528" priority="101" stopIfTrue="1" operator="greaterThan">
      <formula>$F$65</formula>
    </cfRule>
  </conditionalFormatting>
  <conditionalFormatting sqref="I54">
    <cfRule type="cellIs" dxfId="3527" priority="46" stopIfTrue="1" operator="lessThanOrEqual">
      <formula>0</formula>
    </cfRule>
    <cfRule type="cellIs" dxfId="3526" priority="42" stopIfTrue="1" operator="lessThanOrEqual">
      <formula>0</formula>
    </cfRule>
    <cfRule type="cellIs" dxfId="3525" priority="45" stopIfTrue="1" operator="greaterThan">
      <formula>$F$67</formula>
    </cfRule>
    <cfRule type="cellIs" dxfId="3524" priority="43" stopIfTrue="1" operator="greaterThan">
      <formula>$F$69</formula>
    </cfRule>
    <cfRule type="cellIs" dxfId="3523" priority="41" stopIfTrue="1" operator="greaterThan">
      <formula>$F$67</formula>
    </cfRule>
    <cfRule type="cellIs" dxfId="3522" priority="44" stopIfTrue="1" operator="lessThanOrEqual">
      <formula>0</formula>
    </cfRule>
  </conditionalFormatting>
  <conditionalFormatting sqref="I55:I56">
    <cfRule type="cellIs" dxfId="3521" priority="118" stopIfTrue="1" operator="greaterThan">
      <formula>$F$65</formula>
    </cfRule>
    <cfRule type="cellIs" dxfId="3520" priority="115" stopIfTrue="1" operator="lessThanOrEqual">
      <formula>0</formula>
    </cfRule>
    <cfRule type="cellIs" dxfId="3519" priority="117" stopIfTrue="1" operator="lessThanOrEqual">
      <formula>0</formula>
    </cfRule>
    <cfRule type="cellIs" dxfId="3518" priority="119" stopIfTrue="1" operator="lessThanOrEqual">
      <formula>0</formula>
    </cfRule>
    <cfRule type="cellIs" dxfId="3517" priority="114" stopIfTrue="1" operator="greaterThan">
      <formula>$F$65</formula>
    </cfRule>
    <cfRule type="cellIs" dxfId="3516" priority="116" stopIfTrue="1" operator="greaterThan">
      <formula>$F$67</formula>
    </cfRule>
  </conditionalFormatting>
  <conditionalFormatting sqref="I57:I58">
    <cfRule type="cellIs" dxfId="3515" priority="151" stopIfTrue="1" operator="lessThanOrEqual">
      <formula>0</formula>
    </cfRule>
    <cfRule type="cellIs" dxfId="3514" priority="152" stopIfTrue="1" operator="greaterThan">
      <formula>#REF!</formula>
    </cfRule>
    <cfRule type="cellIs" dxfId="3513" priority="153" stopIfTrue="1" operator="lessThanOrEqual">
      <formula>0</formula>
    </cfRule>
    <cfRule type="cellIs" dxfId="3512" priority="150" stopIfTrue="1" operator="greaterThan">
      <formula>#REF!</formula>
    </cfRule>
  </conditionalFormatting>
  <conditionalFormatting sqref="I59">
    <cfRule type="cellIs" dxfId="3511" priority="167" stopIfTrue="1" operator="lessThanOrEqual">
      <formula>0</formula>
    </cfRule>
    <cfRule type="cellIs" dxfId="3510" priority="164" stopIfTrue="1" operator="greaterThan">
      <formula>$F$35</formula>
    </cfRule>
    <cfRule type="cellIs" dxfId="3509" priority="165" stopIfTrue="1" operator="lessThanOrEqual">
      <formula>0</formula>
    </cfRule>
    <cfRule type="cellIs" dxfId="3508" priority="162" stopIfTrue="1" operator="greaterThan">
      <formula>$F$33</formula>
    </cfRule>
    <cfRule type="cellIs" dxfId="3507" priority="163" stopIfTrue="1" operator="lessThanOrEqual">
      <formula>0</formula>
    </cfRule>
    <cfRule type="cellIs" dxfId="3506" priority="166" stopIfTrue="1" operator="greaterThan">
      <formula>$F$33</formula>
    </cfRule>
  </conditionalFormatting>
  <conditionalFormatting sqref="I60:I61">
    <cfRule type="cellIs" dxfId="3505" priority="138" stopIfTrue="1" operator="greaterThan">
      <formula>#REF!</formula>
    </cfRule>
    <cfRule type="cellIs" dxfId="3504" priority="139" stopIfTrue="1" operator="lessThanOrEqual">
      <formula>0</formula>
    </cfRule>
    <cfRule type="cellIs" dxfId="3503" priority="140" stopIfTrue="1" operator="greaterThan">
      <formula>#REF!</formula>
    </cfRule>
    <cfRule type="cellIs" dxfId="3502" priority="141" stopIfTrue="1" operator="lessThanOrEqual">
      <formula>0</formula>
    </cfRule>
  </conditionalFormatting>
  <conditionalFormatting sqref="I76:I84">
    <cfRule type="cellIs" dxfId="3501" priority="190" stopIfTrue="1" operator="greaterThan">
      <formula>4.5</formula>
    </cfRule>
    <cfRule type="cellIs" dxfId="3500" priority="191" stopIfTrue="1" operator="lessThanOrEqual">
      <formula>0</formula>
    </cfRule>
  </conditionalFormatting>
  <conditionalFormatting sqref="I10:J20">
    <cfRule type="cellIs" dxfId="3499" priority="22" operator="lessThan">
      <formula>97.9</formula>
    </cfRule>
  </conditionalFormatting>
  <conditionalFormatting sqref="J23:J25">
    <cfRule type="cellIs" dxfId="3498" priority="36" operator="lessThan">
      <formula>97.95</formula>
    </cfRule>
  </conditionalFormatting>
  <conditionalFormatting sqref="J25:J27">
    <cfRule type="cellIs" dxfId="3497" priority="172" operator="lessThan">
      <formula>97.4</formula>
    </cfRule>
  </conditionalFormatting>
  <conditionalFormatting sqref="J28:J29">
    <cfRule type="cellIs" dxfId="3496" priority="173" operator="lessThan">
      <formula>98</formula>
    </cfRule>
  </conditionalFormatting>
  <conditionalFormatting sqref="J30:J31">
    <cfRule type="cellIs" dxfId="3495" priority="174" stopIfTrue="1" operator="lessThan">
      <formula>96.8</formula>
    </cfRule>
    <cfRule type="cellIs" dxfId="3494" priority="175" stopIfTrue="1" operator="greaterThan">
      <formula>100</formula>
    </cfRule>
  </conditionalFormatting>
  <conditionalFormatting sqref="J30:J32">
    <cfRule type="cellIs" dxfId="3493" priority="176" operator="lessThan">
      <formula>98</formula>
    </cfRule>
  </conditionalFormatting>
  <conditionalFormatting sqref="J61">
    <cfRule type="cellIs" dxfId="3492" priority="126" stopIfTrue="1" operator="greaterThan">
      <formula>#REF!</formula>
    </cfRule>
    <cfRule type="cellIs" dxfId="3491" priority="127" stopIfTrue="1" operator="lessThanOrEqual">
      <formula>0</formula>
    </cfRule>
    <cfRule type="cellIs" dxfId="3490" priority="128" stopIfTrue="1" operator="greaterThan">
      <formula>#REF!</formula>
    </cfRule>
    <cfRule type="cellIs" dxfId="3489" priority="129" stopIfTrue="1" operator="lessThanOrEqual">
      <formula>0</formula>
    </cfRule>
    <cfRule type="cellIs" dxfId="3488" priority="130" stopIfTrue="1" operator="greaterThan">
      <formula>#REF!</formula>
    </cfRule>
    <cfRule type="cellIs" dxfId="3487" priority="131" stopIfTrue="1" operator="lessThanOrEqual">
      <formula>0</formula>
    </cfRule>
    <cfRule type="cellIs" dxfId="3486" priority="132" stopIfTrue="1" operator="greaterThan">
      <formula>#REF!</formula>
    </cfRule>
    <cfRule type="cellIs" dxfId="3485" priority="133" stopIfTrue="1" operator="lessThanOrEqual">
      <formula>0</formula>
    </cfRule>
  </conditionalFormatting>
  <conditionalFormatting sqref="J74">
    <cfRule type="cellIs" dxfId="3484" priority="64" stopIfTrue="1" operator="greaterThan">
      <formula>$F74</formula>
    </cfRule>
    <cfRule type="cellIs" dxfId="3483" priority="65" stopIfTrue="1" operator="lessThanOrEqual">
      <formula>0</formula>
    </cfRule>
  </conditionalFormatting>
  <conditionalFormatting sqref="K10:K20">
    <cfRule type="cellIs" dxfId="3482" priority="25" operator="greaterThan">
      <formula>6.4</formula>
    </cfRule>
    <cfRule type="cellIs" dxfId="3481" priority="24" operator="lessThan">
      <formula>4</formula>
    </cfRule>
    <cfRule type="cellIs" dxfId="3480" priority="23" operator="greaterThan">
      <formula>6</formula>
    </cfRule>
  </conditionalFormatting>
  <conditionalFormatting sqref="K52:K61">
    <cfRule type="cellIs" dxfId="3479" priority="111" stopIfTrue="1" operator="lessThan">
      <formula>100%</formula>
    </cfRule>
  </conditionalFormatting>
  <conditionalFormatting sqref="K65:K73">
    <cfRule type="cellIs" dxfId="3478" priority="54" stopIfTrue="1" operator="lessThan">
      <formula>100%</formula>
    </cfRule>
  </conditionalFormatting>
  <conditionalFormatting sqref="K76:K81">
    <cfRule type="cellIs" dxfId="3477" priority="196" stopIfTrue="1" operator="lessThan">
      <formula>100%</formula>
    </cfRule>
  </conditionalFormatting>
  <conditionalFormatting sqref="K83:K84">
    <cfRule type="cellIs" dxfId="3476" priority="203" stopIfTrue="1" operator="lessThan">
      <formula>100%</formula>
    </cfRule>
  </conditionalFormatting>
  <conditionalFormatting sqref="L10:L20">
    <cfRule type="cellIs" dxfId="3475" priority="26" operator="between">
      <formula>61</formula>
      <formula>65</formula>
    </cfRule>
    <cfRule type="cellIs" dxfId="3474" priority="27" operator="greaterThan">
      <formula>65</formula>
    </cfRule>
  </conditionalFormatting>
  <conditionalFormatting sqref="L23:M34">
    <cfRule type="cellIs" dxfId="3473" priority="33" operator="lessThan">
      <formula>97.95</formula>
    </cfRule>
  </conditionalFormatting>
  <conditionalFormatting sqref="L38:N38">
    <cfRule type="cellIs" dxfId="3472" priority="90" operator="notEqual">
      <formula>#REF!</formula>
    </cfRule>
  </conditionalFormatting>
  <conditionalFormatting sqref="L65:N74">
    <cfRule type="cellIs" dxfId="3471" priority="51" stopIfTrue="1" operator="lessThan">
      <formula>100%</formula>
    </cfRule>
  </conditionalFormatting>
  <conditionalFormatting sqref="L76:N84">
    <cfRule type="cellIs" dxfId="3470" priority="181" stopIfTrue="1" operator="lessThan">
      <formula>100%</formula>
    </cfRule>
  </conditionalFormatting>
  <conditionalFormatting sqref="M10:N16 H10:H20">
    <cfRule type="expression" dxfId="3469" priority="29">
      <formula>IF(+(IF(H10&lt;#REF!,0,IF(H10&gt;#REF!,0,1)))=0,1)</formula>
    </cfRule>
  </conditionalFormatting>
  <conditionalFormatting sqref="M20:N20">
    <cfRule type="expression" dxfId="3468" priority="34">
      <formula>IF(+(IF(M20&lt;#REF!,0,IF(M20&gt;#REF!,0,1)))=0,1)</formula>
    </cfRule>
  </conditionalFormatting>
  <conditionalFormatting sqref="N10:N16 M17:M19 N20">
    <cfRule type="expression" dxfId="3467" priority="31">
      <formula>IF(+(IF(M10&lt;V10,0,IF(M10&gt;W10,0,1)))=0,1)</formula>
    </cfRule>
  </conditionalFormatting>
  <conditionalFormatting sqref="N17:N19">
    <cfRule type="expression" dxfId="3466" priority="11">
      <formula>IF(+(IF(N17&lt;X17,0,IF(N17&gt;Y17,0,1)))=0,1)</formula>
    </cfRule>
  </conditionalFormatting>
  <conditionalFormatting sqref="P6">
    <cfRule type="cellIs" dxfId="3465" priority="177" operator="greaterThanOrEqual">
      <formula>19</formula>
    </cfRule>
  </conditionalFormatting>
  <dataValidations count="1">
    <dataValidation type="list" allowBlank="1" showInputMessage="1" showErrorMessage="1" sqref="R8" xr:uid="{D7E917A8-E691-40DF-BDAE-44A4DC20248B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97BA-21FA-4E76-B184-AD4C7E1C30D8}">
  <sheetPr>
    <pageSetUpPr fitToPage="1"/>
  </sheetPr>
  <dimension ref="A1:BE74"/>
  <sheetViews>
    <sheetView topLeftCell="A4" zoomScale="70" zoomScaleNormal="70" workbookViewId="0">
      <selection activeCell="N12" sqref="N12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30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12" t="s">
        <v>0</v>
      </c>
      <c r="T1" s="512"/>
      <c r="U1" s="512" t="s">
        <v>1</v>
      </c>
      <c r="V1" s="512"/>
      <c r="W1" s="512" t="s">
        <v>2</v>
      </c>
      <c r="X1" s="512"/>
      <c r="Y1" s="512" t="s">
        <v>124</v>
      </c>
      <c r="Z1" s="512"/>
    </row>
    <row r="2" spans="2:29" ht="15">
      <c r="B2" s="513" t="s">
        <v>3</v>
      </c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46239</v>
      </c>
      <c r="J4" s="398" t="s">
        <v>153</v>
      </c>
      <c r="K4" s="398"/>
      <c r="L4" s="11"/>
      <c r="M4" s="510" t="s">
        <v>8</v>
      </c>
      <c r="N4" s="511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6"/>
      <c r="D5" s="516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175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19" t="s">
        <v>18</v>
      </c>
      <c r="D8" s="519" t="s">
        <v>19</v>
      </c>
      <c r="E8" s="356" t="s">
        <v>20</v>
      </c>
      <c r="F8" s="356" t="s">
        <v>21</v>
      </c>
      <c r="G8" s="519" t="s">
        <v>22</v>
      </c>
      <c r="H8" s="520" t="s">
        <v>144</v>
      </c>
      <c r="I8" s="519" t="s">
        <v>165</v>
      </c>
      <c r="J8" s="522" t="s">
        <v>23</v>
      </c>
      <c r="K8" s="524" t="s">
        <v>142</v>
      </c>
      <c r="L8" s="526" t="s">
        <v>24</v>
      </c>
      <c r="M8" s="359" t="s">
        <v>25</v>
      </c>
      <c r="N8" s="17" t="s">
        <v>168</v>
      </c>
      <c r="O8" s="519" t="s">
        <v>155</v>
      </c>
      <c r="P8" s="514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8"/>
      <c r="C9" s="515"/>
      <c r="D9" s="515"/>
      <c r="E9" s="357" t="s">
        <v>30</v>
      </c>
      <c r="F9" s="357" t="s">
        <v>31</v>
      </c>
      <c r="G9" s="515"/>
      <c r="H9" s="521"/>
      <c r="I9" s="515"/>
      <c r="J9" s="523"/>
      <c r="K9" s="525"/>
      <c r="L9" s="527"/>
      <c r="M9" s="20" t="s">
        <v>32</v>
      </c>
      <c r="N9" s="21" t="s">
        <v>41</v>
      </c>
      <c r="O9" s="515"/>
      <c r="P9" s="515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37" t="s">
        <v>16</v>
      </c>
      <c r="C10" s="366" t="str">
        <f>[8]Brewhouse!$A87</f>
        <v>SM076</v>
      </c>
      <c r="D10" s="279">
        <f>[8]Brewhouse!$AH87</f>
        <v>53</v>
      </c>
      <c r="E10" s="279">
        <f>[8]Brewhouse!$AM87</f>
        <v>52</v>
      </c>
      <c r="F10" s="278">
        <f>[8]Brewhouse!$Z87</f>
        <v>66</v>
      </c>
      <c r="G10" s="279">
        <f>[8]Brewhouse!$AK87</f>
        <v>17.100000000000001</v>
      </c>
      <c r="H10" s="396"/>
      <c r="I10" s="368">
        <f>[8]Brewhouse!$AY87</f>
        <v>98.701099186405543</v>
      </c>
      <c r="J10" s="368">
        <f>[8]Brewhouse!$AZ87</f>
        <v>98.967056608231346</v>
      </c>
      <c r="K10" s="281">
        <f>[8]Brewhouse!$U87</f>
        <v>9.2075471698113258</v>
      </c>
      <c r="L10" s="276">
        <f>[8]Brewhouse!$T87</f>
        <v>75</v>
      </c>
      <c r="M10" s="374">
        <f>[8]Brewhouse!$Y87-[8]Brewhouse!$X87</f>
        <v>0.14930555555555558</v>
      </c>
      <c r="N10" s="370">
        <f>[8]Brewhouse!$AD87</f>
        <v>0.31458333333333333</v>
      </c>
      <c r="O10" s="371" t="str">
        <f>[8]Brewhouse!$BC87</f>
        <v>K. Benjamin</v>
      </c>
      <c r="P10" s="418"/>
      <c r="R10" s="277" t="str">
        <f t="shared" ref="R10:R34" si="0">B10</f>
        <v>STARMALT</v>
      </c>
      <c r="S10" s="472">
        <f t="shared" ref="S10:S34" si="1">VLOOKUP($B10,$R$3:$X$9,2,FALSE)</f>
        <v>17</v>
      </c>
      <c r="T10" s="472">
        <f t="shared" ref="T10:T34" si="2">VLOOKUP($B10,$R$3:$X$9,3,FALSE)</f>
        <v>17.399999999999999</v>
      </c>
      <c r="U10" s="297">
        <f t="shared" ref="U10:U34" si="3">VLOOKUP($B10,$R$3:$X$9,4,FALSE)</f>
        <v>0</v>
      </c>
      <c r="V10" s="297">
        <f t="shared" ref="V10:V34" si="4">VLOOKUP($B10,$R$3:$X$9,5,FALSE)</f>
        <v>0.13605324074074074</v>
      </c>
      <c r="W10" s="297">
        <f t="shared" ref="W10:W34" si="5">VLOOKUP($B10,$R$3:$X$9,6,FALSE)</f>
        <v>0.27430555555555552</v>
      </c>
      <c r="X10" s="297">
        <f t="shared" ref="X10:X34" si="6">VLOOKUP($B10,$R$3:$X$9,7,FALSE)</f>
        <v>0.30902777777777779</v>
      </c>
      <c r="Y10" s="297">
        <f t="shared" ref="Y10:Y34" si="7">VLOOKUP($B10,$R$3:$Z$9,8,FALSE)</f>
        <v>0</v>
      </c>
      <c r="Z10" s="472">
        <f t="shared" ref="Z10:Z34" si="8">VLOOKUP($B10,$R$3:$Z$9,9,FALSE)</f>
        <v>85</v>
      </c>
    </row>
    <row r="11" spans="2:29" ht="17.25" customHeight="1">
      <c r="B11" s="37" t="s">
        <v>16</v>
      </c>
      <c r="C11" s="366" t="str">
        <f>[8]Brewhouse!$A88</f>
        <v>SM077</v>
      </c>
      <c r="D11" s="279">
        <f>[8]Brewhouse!$AH88</f>
        <v>53</v>
      </c>
      <c r="E11" s="279">
        <f>[8]Brewhouse!$AM88</f>
        <v>51.4</v>
      </c>
      <c r="F11" s="278">
        <f>[8]Brewhouse!$Z88</f>
        <v>64</v>
      </c>
      <c r="G11" s="279">
        <f>[8]Brewhouse!$AK88</f>
        <v>17.2</v>
      </c>
      <c r="H11" s="396"/>
      <c r="I11" s="368">
        <f>[8]Brewhouse!$AY88</f>
        <v>98.149643000896063</v>
      </c>
      <c r="J11" s="368">
        <f>[8]Brewhouse!$AZ88</f>
        <v>98.41411448318766</v>
      </c>
      <c r="K11" s="281">
        <f>[8]Brewhouse!$U88</f>
        <v>10.528301886792462</v>
      </c>
      <c r="L11" s="276">
        <f>[8]Brewhouse!$T88</f>
        <v>60</v>
      </c>
      <c r="M11" s="374">
        <f>[8]Brewhouse!$Y88-[8]Brewhouse!$X88</f>
        <v>0.13750000000000001</v>
      </c>
      <c r="N11" s="370">
        <f>[8]Brewhouse!$AD88</f>
        <v>0.31319444444444444</v>
      </c>
      <c r="O11" s="371" t="str">
        <f>[8]Brewhouse!$BC88</f>
        <v>K. Benjamin</v>
      </c>
      <c r="P11" s="418"/>
      <c r="R11" s="277" t="str">
        <f t="shared" si="0"/>
        <v>STARMALT</v>
      </c>
      <c r="S11" s="472">
        <f t="shared" si="1"/>
        <v>17</v>
      </c>
      <c r="T11" s="472">
        <f t="shared" si="2"/>
        <v>17.399999999999999</v>
      </c>
      <c r="U11" s="297">
        <f t="shared" si="3"/>
        <v>0</v>
      </c>
      <c r="V11" s="297">
        <f t="shared" si="4"/>
        <v>0.13605324074074074</v>
      </c>
      <c r="W11" s="297">
        <f t="shared" si="5"/>
        <v>0.27430555555555552</v>
      </c>
      <c r="X11" s="297">
        <f t="shared" si="6"/>
        <v>0.30902777777777779</v>
      </c>
      <c r="Y11" s="297">
        <f t="shared" si="7"/>
        <v>0</v>
      </c>
      <c r="Z11" s="472">
        <f t="shared" si="8"/>
        <v>85</v>
      </c>
    </row>
    <row r="12" spans="2:29" ht="17.25" customHeight="1">
      <c r="B12" s="37" t="s">
        <v>16</v>
      </c>
      <c r="C12" s="366" t="str">
        <f>[8]Brewhouse!$A89</f>
        <v>SM078</v>
      </c>
      <c r="D12" s="279">
        <f>[8]Brewhouse!$AH89</f>
        <v>53.1</v>
      </c>
      <c r="E12" s="279">
        <f>[8]Brewhouse!$AM89</f>
        <v>52.6</v>
      </c>
      <c r="F12" s="278">
        <f>[8]Brewhouse!$Z89</f>
        <v>65</v>
      </c>
      <c r="G12" s="279">
        <f>[8]Brewhouse!$AK89</f>
        <v>17.2</v>
      </c>
      <c r="H12" s="396"/>
      <c r="I12" s="368">
        <f>[8]Brewhouse!$AY89</f>
        <v>100.11673997026169</v>
      </c>
      <c r="J12" s="368">
        <f>[8]Brewhouse!$AZ89</f>
        <v>100.38753725381228</v>
      </c>
      <c r="K12" s="281">
        <f>[8]Brewhouse!$U89</f>
        <v>7.1186440677966116</v>
      </c>
      <c r="L12" s="276">
        <f>[8]Brewhouse!$T89</f>
        <v>70</v>
      </c>
      <c r="M12" s="374">
        <f>[8]Brewhouse!$Y89-[8]Brewhouse!$X89</f>
        <v>0.1472222222222222</v>
      </c>
      <c r="N12" s="370">
        <f>[8]Brewhouse!$AD89</f>
        <v>0.31874999999999998</v>
      </c>
      <c r="O12" s="371" t="str">
        <f>[8]Brewhouse!$BC89</f>
        <v>K. Benjamin</v>
      </c>
      <c r="P12" s="418"/>
      <c r="R12" s="277" t="str">
        <f t="shared" si="0"/>
        <v>STARMALT</v>
      </c>
      <c r="S12" s="472">
        <f t="shared" si="1"/>
        <v>17</v>
      </c>
      <c r="T12" s="472">
        <f t="shared" si="2"/>
        <v>17.399999999999999</v>
      </c>
      <c r="U12" s="297">
        <f t="shared" si="3"/>
        <v>0</v>
      </c>
      <c r="V12" s="297">
        <f t="shared" si="4"/>
        <v>0.13605324074074074</v>
      </c>
      <c r="W12" s="297">
        <f t="shared" si="5"/>
        <v>0.27430555555555552</v>
      </c>
      <c r="X12" s="297">
        <f t="shared" si="6"/>
        <v>0.30902777777777779</v>
      </c>
      <c r="Y12" s="297">
        <f t="shared" si="7"/>
        <v>0</v>
      </c>
      <c r="Z12" s="472">
        <f t="shared" si="8"/>
        <v>85</v>
      </c>
    </row>
    <row r="13" spans="2:29" ht="17.25" customHeight="1">
      <c r="B13" s="37" t="s">
        <v>16</v>
      </c>
      <c r="C13" s="366" t="str">
        <f>[8]Brewhouse!$A90</f>
        <v>SM079</v>
      </c>
      <c r="D13" s="279">
        <f>[8]Brewhouse!$AH90</f>
        <v>53.1</v>
      </c>
      <c r="E13" s="279">
        <f>[8]Brewhouse!$AM90</f>
        <v>51.9</v>
      </c>
      <c r="F13" s="278">
        <f>[8]Brewhouse!$Z90</f>
        <v>73</v>
      </c>
      <c r="G13" s="279">
        <f>[8]Brewhouse!$AK90</f>
        <v>17.3</v>
      </c>
      <c r="H13" s="396"/>
      <c r="I13" s="368">
        <f>[8]Brewhouse!$AY90</f>
        <v>99.269060038965534</v>
      </c>
      <c r="J13" s="368">
        <f>[8]Brewhouse!$AZ90</f>
        <v>99.538070370300474</v>
      </c>
      <c r="K13" s="281">
        <f>[8]Brewhouse!$U90</f>
        <v>11.450094161958578</v>
      </c>
      <c r="L13" s="276">
        <f>[8]Brewhouse!$T90</f>
        <v>60</v>
      </c>
      <c r="M13" s="374">
        <f>[8]Brewhouse!$Y90-[8]Brewhouse!$X90</f>
        <v>0.1430555555555556</v>
      </c>
      <c r="N13" s="370">
        <f>[8]Brewhouse!$AD90</f>
        <v>0.30972222222222223</v>
      </c>
      <c r="O13" s="371" t="str">
        <f>[8]Brewhouse!$BC90</f>
        <v>R. Regis</v>
      </c>
      <c r="P13" s="418"/>
      <c r="R13" s="277" t="str">
        <f t="shared" si="0"/>
        <v>STARMALT</v>
      </c>
      <c r="S13" s="472">
        <f t="shared" si="1"/>
        <v>17</v>
      </c>
      <c r="T13" s="472">
        <f t="shared" si="2"/>
        <v>17.399999999999999</v>
      </c>
      <c r="U13" s="297">
        <f t="shared" si="3"/>
        <v>0</v>
      </c>
      <c r="V13" s="297">
        <f t="shared" si="4"/>
        <v>0.13605324074074074</v>
      </c>
      <c r="W13" s="297">
        <f t="shared" si="5"/>
        <v>0.27430555555555552</v>
      </c>
      <c r="X13" s="297">
        <f t="shared" si="6"/>
        <v>0.30902777777777779</v>
      </c>
      <c r="Y13" s="297">
        <f t="shared" si="7"/>
        <v>0</v>
      </c>
      <c r="Z13" s="472">
        <f t="shared" si="8"/>
        <v>85</v>
      </c>
    </row>
    <row r="14" spans="2:29" ht="17.25" customHeight="1">
      <c r="B14" s="37" t="s">
        <v>16</v>
      </c>
      <c r="C14" s="366" t="str">
        <f>[8]Brewhouse!$A91</f>
        <v>SM080</v>
      </c>
      <c r="D14" s="279">
        <f>[8]Brewhouse!$AH91</f>
        <v>53.1</v>
      </c>
      <c r="E14" s="279">
        <f>[8]Brewhouse!$AM91</f>
        <v>51.8</v>
      </c>
      <c r="F14" s="278">
        <f>[8]Brewhouse!$Z91</f>
        <v>89</v>
      </c>
      <c r="G14" s="279">
        <f>[8]Brewhouse!$AK91</f>
        <v>17.100000000000001</v>
      </c>
      <c r="H14" s="396"/>
      <c r="I14" s="368">
        <f>[8]Brewhouse!$AY91</f>
        <v>98.24191438139087</v>
      </c>
      <c r="J14" s="368">
        <f>[8]Brewhouse!$AZ91</f>
        <v>98.506886632550959</v>
      </c>
      <c r="K14" s="281">
        <f>[8]Brewhouse!$U91</f>
        <v>10.131826741996237</v>
      </c>
      <c r="L14" s="276">
        <f>[8]Brewhouse!$T91</f>
        <v>60</v>
      </c>
      <c r="M14" s="374">
        <f>[8]Brewhouse!$Y91-[8]Brewhouse!$X91</f>
        <v>0.14236111111111105</v>
      </c>
      <c r="N14" s="370">
        <f>[8]Brewhouse!$AD91</f>
        <v>0.30625000000000002</v>
      </c>
      <c r="O14" s="371" t="str">
        <f>[8]Brewhouse!$BC91</f>
        <v>R. Regis</v>
      </c>
      <c r="P14" s="418"/>
      <c r="R14" s="277" t="str">
        <f t="shared" si="0"/>
        <v>STARMALT</v>
      </c>
      <c r="S14" s="472">
        <f t="shared" si="1"/>
        <v>17</v>
      </c>
      <c r="T14" s="472">
        <f t="shared" si="2"/>
        <v>17.399999999999999</v>
      </c>
      <c r="U14" s="297">
        <f t="shared" si="3"/>
        <v>0</v>
      </c>
      <c r="V14" s="297">
        <f t="shared" si="4"/>
        <v>0.13605324074074074</v>
      </c>
      <c r="W14" s="297">
        <f t="shared" si="5"/>
        <v>0.27430555555555552</v>
      </c>
      <c r="X14" s="297">
        <f t="shared" si="6"/>
        <v>0.30902777777777779</v>
      </c>
      <c r="Y14" s="297">
        <f t="shared" si="7"/>
        <v>0</v>
      </c>
      <c r="Z14" s="472">
        <f t="shared" si="8"/>
        <v>85</v>
      </c>
    </row>
    <row r="15" spans="2:29" ht="17.25" customHeight="1">
      <c r="B15" s="37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371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5" customHeight="1">
      <c r="B16" s="29" t="s">
        <v>6</v>
      </c>
      <c r="C16" s="366" t="str">
        <f>[4]Brewhouse!$A595</f>
        <v>CA547</v>
      </c>
      <c r="D16" s="279">
        <f>[4]Brewhouse!$AF595</f>
        <v>50.4</v>
      </c>
      <c r="E16" s="279">
        <f>[4]Brewhouse!$AI595</f>
        <v>51.4</v>
      </c>
      <c r="F16" s="278">
        <f>[4]Brewhouse!$V595</f>
        <v>54</v>
      </c>
      <c r="G16" s="279">
        <f>[4]Brewhouse!AG595</f>
        <v>12</v>
      </c>
      <c r="H16" s="396"/>
      <c r="I16" s="368">
        <f>[4]Brewhouse!$AU595</f>
        <v>102.9503534174209</v>
      </c>
      <c r="J16" s="368">
        <f>[4]Brewhouse!$AV595</f>
        <v>103.52474176928399</v>
      </c>
      <c r="K16" s="281">
        <f>[4]Brewhouse!$Q595</f>
        <v>17.412199630314234</v>
      </c>
      <c r="L16" s="276">
        <f>[4]Brewhouse!$P595</f>
        <v>58</v>
      </c>
      <c r="M16" s="397">
        <f>[4]Brewhouse!$U595-[4]Brewhouse!$T595</f>
        <v>0.10763888888888895</v>
      </c>
      <c r="N16" s="370">
        <f>[4]Brewhouse!$Z595</f>
        <v>0.24097222222222225</v>
      </c>
      <c r="O16" s="420" t="str">
        <f>[4]Brewhouse!$AX595</f>
        <v xml:space="preserve">D. Gomaz 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5" customHeight="1">
      <c r="B17" s="29" t="s">
        <v>6</v>
      </c>
      <c r="C17" s="366" t="str">
        <f>[4]Brewhouse!$A596</f>
        <v>CA548</v>
      </c>
      <c r="D17" s="279">
        <f>[4]Brewhouse!$AF596</f>
        <v>50.8</v>
      </c>
      <c r="E17" s="279">
        <f>[4]Brewhouse!$AI596</f>
        <v>51.4</v>
      </c>
      <c r="F17" s="278">
        <f>[4]Brewhouse!$V596</f>
        <v>63</v>
      </c>
      <c r="G17" s="279">
        <f>[4]Brewhouse!AG596</f>
        <v>12</v>
      </c>
      <c r="H17" s="396"/>
      <c r="I17" s="368">
        <f>[4]Brewhouse!$AU596</f>
        <v>103.20695554361478</v>
      </c>
      <c r="J17" s="368">
        <f>[4]Brewhouse!$AV596</f>
        <v>103.78269920875498</v>
      </c>
      <c r="K17" s="281">
        <f>[4]Brewhouse!$Q596</f>
        <v>7.4306839186691374</v>
      </c>
      <c r="L17" s="276">
        <f>[4]Brewhouse!$P596</f>
        <v>62</v>
      </c>
      <c r="M17" s="397">
        <f>[4]Brewhouse!$U596-[4]Brewhouse!$T596</f>
        <v>0.12777777777777777</v>
      </c>
      <c r="N17" s="370">
        <f>[4]Brewhouse!$Z596</f>
        <v>0.26736111111111105</v>
      </c>
      <c r="O17" s="420" t="str">
        <f>[4]Brewhouse!$AX596</f>
        <v xml:space="preserve">D. Gomaz 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7" ht="15" customHeight="1">
      <c r="B18" s="29" t="s">
        <v>6</v>
      </c>
      <c r="C18" s="366" t="str">
        <f>[4]Brewhouse!$A597</f>
        <v>CA549</v>
      </c>
      <c r="D18" s="279">
        <f>[4]Brewhouse!$AF597</f>
        <v>50.2</v>
      </c>
      <c r="E18" s="279">
        <f>[4]Brewhouse!$AI597</f>
        <v>51.4</v>
      </c>
      <c r="F18" s="278">
        <f>[4]Brewhouse!$V597</f>
        <v>58</v>
      </c>
      <c r="G18" s="279">
        <f>[4]Brewhouse!AG597</f>
        <v>11.7</v>
      </c>
      <c r="H18" s="396"/>
      <c r="I18" s="368">
        <f>[4]Brewhouse!$AU597</f>
        <v>100.49530782630643</v>
      </c>
      <c r="J18" s="368">
        <f>[4]Brewhouse!$AV597</f>
        <v>101.05592446839754</v>
      </c>
      <c r="K18" s="281">
        <f>[4]Brewhouse!$Q597</f>
        <v>10.757855822550832</v>
      </c>
      <c r="L18" s="276">
        <f>[4]Brewhouse!$P597</f>
        <v>61</v>
      </c>
      <c r="M18" s="397">
        <f>[4]Brewhouse!$U597-[4]Brewhouse!$T597</f>
        <v>0.11388888888888893</v>
      </c>
      <c r="N18" s="370">
        <f>[4]Brewhouse!$Z597</f>
        <v>0.5590277777777779</v>
      </c>
      <c r="O18" s="420" t="str">
        <f>[4]Brewhouse!$AX597</f>
        <v xml:space="preserve">D. Gomaz </v>
      </c>
      <c r="P18" s="418"/>
      <c r="R18" s="277" t="str">
        <f t="shared" si="0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7" ht="15" customHeight="1">
      <c r="B19" s="37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5" customHeight="1">
      <c r="B20" s="29"/>
      <c r="C20" s="366"/>
      <c r="D20" s="279"/>
      <c r="E20" s="279"/>
      <c r="F20" s="278"/>
      <c r="G20" s="279"/>
      <c r="H20" s="486"/>
      <c r="I20" s="368"/>
      <c r="J20" s="368"/>
      <c r="K20" s="281"/>
      <c r="L20" s="276"/>
      <c r="M20" s="397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7.25" customHeight="1" thickBot="1">
      <c r="B21" s="358"/>
      <c r="C21" s="358"/>
      <c r="D21" s="358"/>
      <c r="E21" s="358"/>
      <c r="F21" s="294"/>
      <c r="G21" s="294"/>
      <c r="H21" s="348"/>
      <c r="I21" s="528"/>
      <c r="J21" s="528"/>
      <c r="K21" s="528"/>
      <c r="L21" s="528"/>
      <c r="M21" s="528"/>
      <c r="N21" s="528"/>
      <c r="O21" s="1"/>
      <c r="P21" s="12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7.25" customHeight="1" thickBot="1">
      <c r="B22" s="388" t="s">
        <v>162</v>
      </c>
      <c r="C22" s="388"/>
      <c r="D22" s="529" t="s">
        <v>35</v>
      </c>
      <c r="E22" s="530"/>
      <c r="F22" s="294"/>
      <c r="G22" s="294"/>
      <c r="H22" s="348"/>
      <c r="I22" s="24" t="s">
        <v>17</v>
      </c>
      <c r="J22" s="25"/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R22" s="277" t="str">
        <f t="shared" si="0"/>
        <v xml:space="preserve">BRAND 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7.25" customHeight="1">
      <c r="A23" s="28"/>
      <c r="B23" s="587"/>
      <c r="C23" s="362"/>
      <c r="D23" s="534"/>
      <c r="E23" s="535"/>
      <c r="F23" s="294"/>
      <c r="G23" s="294"/>
      <c r="H23" s="348"/>
      <c r="I23" s="29" t="s">
        <v>6</v>
      </c>
      <c r="J23" s="323">
        <f>I16</f>
        <v>102.9503534174209</v>
      </c>
      <c r="K23" s="284">
        <f>COUNTA([4]Brewhouse!$A$595)</f>
        <v>1</v>
      </c>
      <c r="L23" s="305">
        <f>AVERAGE([4]Brewhouse!$AU$595)</f>
        <v>102.9503534174209</v>
      </c>
      <c r="M23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AVERAGE([4]Brewhouse!$AU$42:$AU$123,[4]Brewhouse!$AU$125:$AU$188,[4]Brewhouse!$AU$198:$AU$290,[4]Brewhouse!$AU$292:$AU$370,[4]Brewhouse!$AU$372:$AU$439,[4]Brewhouse!$AU$441:$AU$497,[4]Brewhouse!$AU$499:$AU$519,[4]Brewhouse!$AU$521:$AU$593,[4]Brewhouse!$AU$595)</f>
        <v>98.17741224382317</v>
      </c>
      <c r="N23" s="30">
        <v>98</v>
      </c>
      <c r="O23" s="11"/>
      <c r="P23" s="31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5" customHeight="1">
      <c r="A24" s="28"/>
      <c r="B24" s="588"/>
      <c r="C24" s="362"/>
      <c r="D24" s="536"/>
      <c r="E24" s="537"/>
      <c r="F24" s="294"/>
      <c r="G24" s="294"/>
      <c r="H24" s="348"/>
      <c r="I24" s="33" t="s">
        <v>9</v>
      </c>
      <c r="J24" s="323"/>
      <c r="K24" s="284">
        <f>COUNTA([3]Brewhouse!$A$327:$A$335)</f>
        <v>9</v>
      </c>
      <c r="L24" s="302">
        <f>AVERAGE([3]Brewhouse!$AS$327:$AS$335)</f>
        <v>99.373910897846002</v>
      </c>
      <c r="M24" s="302">
        <f>AVERAGE([3]Brewhouse!$AS$52:$AS$81,[3]Brewhouse!$AS$83:$AS$124,[3]Brewhouse!$AS$134:$AS$177,[3]Brewhouse!$AS$22:$AS$179,[3]Brewhouse!$AS$214:$AS$249,[3]Brewhouse!$AS$252:$AS$293,[3]Brewhouse!$AS$295:$AS$325,[3]Brewhouse!$AS$327:$AS$335)</f>
        <v>98.172943853015084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88"/>
      <c r="C25" s="362"/>
      <c r="D25" s="538"/>
      <c r="E25" s="539"/>
      <c r="F25" s="294"/>
      <c r="G25" s="294"/>
      <c r="H25" s="348"/>
      <c r="I25" s="34" t="s">
        <v>12</v>
      </c>
      <c r="J25" s="323"/>
      <c r="K25" s="284"/>
      <c r="L25" s="302"/>
      <c r="M25" s="302">
        <f>AVERAGE([5]Brewhouse!$AU$16:$AU$23,[5]Brewhouse!$AU$25:$AU$32,[5]Brewhouse!$AU$34:$AU$41,[5]Brewhouse!$AU$43:$AU$60,[5]Brewhouse!$AU$62:$AU$69,[5]Brewhouse!$AU$71:$AU$88)</f>
        <v>96.520985666401089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88"/>
      <c r="C26" s="362"/>
      <c r="D26" s="540"/>
      <c r="E26" s="537"/>
      <c r="F26" s="294"/>
      <c r="G26" s="294"/>
      <c r="H26" s="348"/>
      <c r="I26" s="22" t="s">
        <v>33</v>
      </c>
      <c r="J26" s="280"/>
      <c r="K26" s="284"/>
      <c r="L26" s="302"/>
      <c r="M26" s="302">
        <f>AVERAGE([6]Brewhouse!$AV$23:$AV$34,[6]Brewhouse!$AV$36,[6]Brewhouse!$AV$38:$AV$52,[6]Brewhouse!$AV$54:$AV$60,[6]Brewhouse!$AV$62:$AV$69,[6]Brewhouse!$AV$71:$AV$78,[6]Brewhouse!$AV$80:$AV$87)</f>
        <v>97.513042763382714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88"/>
      <c r="C27" s="362"/>
      <c r="D27" s="538"/>
      <c r="E27" s="539"/>
      <c r="F27" s="294"/>
      <c r="G27" s="294"/>
      <c r="H27" s="348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88"/>
      <c r="C28" s="362"/>
      <c r="D28" s="540"/>
      <c r="E28" s="537"/>
      <c r="F28" s="417"/>
      <c r="G28" s="294"/>
      <c r="H28" s="348"/>
      <c r="I28" s="36" t="s">
        <v>15</v>
      </c>
      <c r="J28" s="323"/>
      <c r="K28" s="284"/>
      <c r="L28" s="302"/>
      <c r="M28" s="302">
        <f>AVERAGE([7]Brewhouse!$AT$4:$AT$11,[7]Brewhouse!$AT$13:$AT$16,[7]Brewhouse!$AT$18:$AT$21)</f>
        <v>91.832675391763644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88"/>
      <c r="C29" s="362"/>
      <c r="D29" s="538"/>
      <c r="E29" s="539"/>
      <c r="F29" s="417"/>
      <c r="G29" s="294"/>
      <c r="H29" s="348"/>
      <c r="I29" s="37" t="s">
        <v>16</v>
      </c>
      <c r="J29" s="323">
        <f>AVERAGE(I10:I14)</f>
        <v>98.895691315583946</v>
      </c>
      <c r="K29" s="284">
        <f>COUNTA([8]Brewhouse!$A$84:$A$91)</f>
        <v>8</v>
      </c>
      <c r="L29" s="302">
        <f>AVERAGE([8]Brewhouse!$AY$84:$AY$91)</f>
        <v>97.517044199257398</v>
      </c>
      <c r="M29" s="302">
        <f>AVERAGE([8]Brewhouse!$AY$5:$AY$14,[8]Brewhouse!$AY$16:$AY$23,[8]Brewhouse!$AY$42,[8]Brewhouse!$AY$44:$AY$51,[8]Brewhouse!$AY$53:$AY$64,[8]Brewhouse!$AY$66:$AY$73,[8]Brewhouse!$AY$75:$AY$82,[8]Brewhouse!$AY$84:$AY$91)</f>
        <v>98.050826041639255</v>
      </c>
      <c r="N29" s="30">
        <v>98</v>
      </c>
      <c r="O29" s="11"/>
      <c r="P29" s="31" t="s">
        <v>41</v>
      </c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88"/>
      <c r="C30" s="362"/>
      <c r="D30" s="540"/>
      <c r="E30" s="537"/>
      <c r="F30" s="294"/>
      <c r="G30" s="294"/>
      <c r="H30" s="348"/>
      <c r="I30" s="411" t="s">
        <v>158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7" ht="14.65" customHeight="1">
      <c r="A31" s="28"/>
      <c r="B31" s="588"/>
      <c r="C31" s="349"/>
      <c r="D31" s="538"/>
      <c r="E31" s="539"/>
      <c r="F31" s="294"/>
      <c r="G31" s="294"/>
      <c r="H31" s="348"/>
      <c r="I31" s="410" t="s">
        <v>157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" customHeight="1" thickBot="1">
      <c r="A32" s="28"/>
      <c r="B32" s="588"/>
      <c r="C32" s="349"/>
      <c r="D32" s="540"/>
      <c r="E32" s="537"/>
      <c r="F32" s="294"/>
      <c r="G32" s="294"/>
      <c r="H32" s="348"/>
      <c r="I32" s="406" t="s">
        <v>156</v>
      </c>
      <c r="J32" s="327"/>
      <c r="K32" s="407"/>
      <c r="L32" s="408"/>
      <c r="M32" s="408"/>
      <c r="N32" s="409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5" customHeight="1" thickBot="1">
      <c r="A33" s="28"/>
      <c r="B33" s="588"/>
      <c r="C33" s="349"/>
      <c r="D33" s="534"/>
      <c r="E33" s="535"/>
      <c r="F33" s="294"/>
      <c r="G33" s="294"/>
      <c r="H33" s="348"/>
      <c r="I33" s="1"/>
      <c r="J33" s="39"/>
      <c r="K33" s="404">
        <f>SUM(K23:K32)</f>
        <v>18</v>
      </c>
      <c r="L33" s="405">
        <f>((L23*K23)+(L24*K24)+(L25*K25)+(L26*K26)+(L27*K27)+(K30*L30)+(L28*K28)+(L29*K29)+(L32*K32))/(K33)</f>
        <v>98.74732806067189</v>
      </c>
      <c r="M33" s="405">
        <f>AVERAGE('[9]Jan30th-31st'!$L$42,'[10]Feb 27th-28th'!$L$45,'[11]Mar 31st'!$L$42,'[12]Apr 30th'!$L$41,'[13]May 29th '!$L$35,'[14]June 30th'!$L$32,[15]July31st!$L$36,L33)</f>
        <v>97.996679195486735</v>
      </c>
      <c r="N33" s="4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.75" thickBot="1">
      <c r="B34" s="603"/>
      <c r="C34" s="350"/>
      <c r="D34" s="536"/>
      <c r="E34" s="537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.75" thickBot="1">
      <c r="B35" s="587"/>
      <c r="C35" s="362"/>
      <c r="D35" s="577"/>
      <c r="E35" s="578"/>
      <c r="F35" s="294"/>
      <c r="G35" s="42"/>
      <c r="H35" s="41"/>
      <c r="I35" s="42"/>
      <c r="J35" s="544" t="s">
        <v>129</v>
      </c>
      <c r="K35" s="544"/>
      <c r="L35" s="294"/>
      <c r="M35" s="294"/>
      <c r="N35" s="294"/>
      <c r="O35" s="294"/>
      <c r="P35" s="12"/>
    </row>
    <row r="36" spans="1:56" ht="15.75" thickBot="1">
      <c r="B36" s="588"/>
      <c r="C36" s="362"/>
      <c r="D36" s="540"/>
      <c r="E36" s="537"/>
      <c r="F36" s="294"/>
      <c r="G36" s="42"/>
      <c r="H36" s="42"/>
      <c r="I36" s="42"/>
      <c r="J36" s="292" t="s">
        <v>17</v>
      </c>
      <c r="K36" s="293"/>
      <c r="L36" s="545" t="s">
        <v>136</v>
      </c>
      <c r="M36" s="545"/>
      <c r="N36" s="546"/>
      <c r="O36" s="294"/>
      <c r="P36" s="12"/>
    </row>
    <row r="37" spans="1:56" ht="15" customHeight="1" thickBot="1">
      <c r="B37" s="588"/>
      <c r="C37" s="349"/>
      <c r="D37" s="538"/>
      <c r="E37" s="539"/>
      <c r="F37" s="294"/>
      <c r="G37" s="42"/>
      <c r="H37" s="42"/>
      <c r="I37" s="42"/>
      <c r="J37" s="287" t="s">
        <v>6</v>
      </c>
      <c r="K37" s="324">
        <v>3</v>
      </c>
      <c r="L37" s="473" t="s">
        <v>37</v>
      </c>
      <c r="M37" s="474" t="s">
        <v>38</v>
      </c>
      <c r="N37" s="474" t="s">
        <v>84</v>
      </c>
      <c r="O37" s="294"/>
      <c r="P37" s="12"/>
    </row>
    <row r="38" spans="1:56" ht="15.75" customHeight="1" thickBot="1">
      <c r="B38" s="588"/>
      <c r="C38" s="349"/>
      <c r="D38" s="540"/>
      <c r="E38" s="537"/>
      <c r="F38" s="294"/>
      <c r="G38" s="42"/>
      <c r="H38" s="42"/>
      <c r="I38" s="42"/>
      <c r="J38" s="345" t="s">
        <v>9</v>
      </c>
      <c r="K38" s="324"/>
      <c r="L38" s="344">
        <f>AVERAGE(K47,'Aug 3rd '!K47,'Aug 2nd'!K52)</f>
        <v>6.666666666666667</v>
      </c>
      <c r="M38" s="325">
        <f>AVERAGE('[9]Jan30th-31st'!$L$47,L38,'[10]Feb 26th '!$L$39,'[11]Mar 31st'!$L$47,'[12]Apr 30th'!$L$46,'[13]May 29th '!$L$40,'[14]June 30th'!$L$39)</f>
        <v>6.389478637304725</v>
      </c>
      <c r="N38" s="416">
        <v>9.1999999999999993</v>
      </c>
      <c r="O38" s="294"/>
      <c r="P38" s="12"/>
    </row>
    <row r="39" spans="1:56" ht="15" customHeight="1">
      <c r="B39" s="588"/>
      <c r="C39" s="349"/>
      <c r="D39" s="538"/>
      <c r="E39" s="539"/>
      <c r="F39" s="294"/>
      <c r="G39" s="42"/>
      <c r="H39" s="42"/>
      <c r="I39" s="42"/>
      <c r="J39" s="288" t="s">
        <v>40</v>
      </c>
      <c r="K39" s="324"/>
      <c r="L39" s="294"/>
      <c r="M39" s="294"/>
      <c r="N39" s="294"/>
      <c r="O39" s="294"/>
      <c r="P39" s="12"/>
    </row>
    <row r="40" spans="1:56" ht="15" customHeight="1">
      <c r="B40" s="588"/>
      <c r="C40" s="349"/>
      <c r="D40" s="540"/>
      <c r="E40" s="537"/>
      <c r="F40" s="294"/>
      <c r="G40" s="42"/>
      <c r="H40" s="42"/>
      <c r="I40" s="42"/>
      <c r="J40" s="289" t="s">
        <v>33</v>
      </c>
      <c r="K40" s="324"/>
      <c r="L40" s="294"/>
      <c r="M40" s="294"/>
      <c r="N40" s="294"/>
      <c r="O40" s="294"/>
      <c r="P40" s="12"/>
    </row>
    <row r="41" spans="1:56" ht="15">
      <c r="B41" s="588"/>
      <c r="C41" s="349"/>
      <c r="D41" s="538"/>
      <c r="E41" s="539"/>
      <c r="F41" s="294"/>
      <c r="G41" s="42"/>
      <c r="H41" s="42"/>
      <c r="I41" s="42"/>
      <c r="J41" s="290" t="s">
        <v>16</v>
      </c>
      <c r="K41" s="324">
        <v>5</v>
      </c>
      <c r="L41" s="294"/>
      <c r="M41" s="294"/>
      <c r="N41" s="294"/>
      <c r="O41" s="294"/>
      <c r="P41" s="12"/>
      <c r="BC41" s="44"/>
      <c r="BD41" s="44"/>
    </row>
    <row r="42" spans="1:56" ht="15">
      <c r="B42" s="588"/>
      <c r="C42" s="349"/>
      <c r="D42" s="540"/>
      <c r="E42" s="537"/>
      <c r="F42" s="294"/>
      <c r="G42" s="42"/>
      <c r="H42" s="42"/>
      <c r="I42" s="42"/>
      <c r="J42" s="291" t="s">
        <v>15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88"/>
      <c r="C43" s="349"/>
      <c r="D43" s="538"/>
      <c r="E43" s="539"/>
      <c r="F43" s="294"/>
      <c r="G43" s="42"/>
      <c r="H43" s="42"/>
      <c r="I43" s="42"/>
      <c r="J43" s="291" t="s">
        <v>149</v>
      </c>
      <c r="K43" s="324"/>
      <c r="L43" s="294"/>
      <c r="M43" s="294"/>
      <c r="N43" s="294"/>
      <c r="O43" s="294"/>
      <c r="P43" s="12"/>
      <c r="BC43" s="44"/>
      <c r="BD43" s="44"/>
    </row>
    <row r="44" spans="1:56" ht="15.75" thickBot="1">
      <c r="B44" s="589"/>
      <c r="C44" s="350"/>
      <c r="D44" s="547"/>
      <c r="E44" s="548"/>
      <c r="F44" s="294" t="s">
        <v>166</v>
      </c>
      <c r="G44" s="42"/>
      <c r="H44" s="42"/>
      <c r="I44" s="42"/>
      <c r="J44" s="291" t="s">
        <v>148</v>
      </c>
      <c r="K44" s="324"/>
      <c r="L44" s="294"/>
      <c r="M44" s="294"/>
      <c r="N44" s="294" t="s">
        <v>41</v>
      </c>
      <c r="O44" s="294"/>
      <c r="P44" s="12"/>
      <c r="BC44" s="44"/>
      <c r="BD44" s="44"/>
    </row>
    <row r="45" spans="1:56" ht="17.649999999999999" customHeight="1" thickBot="1">
      <c r="B45" s="312" t="s">
        <v>139</v>
      </c>
      <c r="C45" s="313"/>
      <c r="D45" s="549"/>
      <c r="E45" s="550"/>
      <c r="F45" s="294"/>
      <c r="J45" s="295" t="s">
        <v>134</v>
      </c>
      <c r="K45" s="324"/>
      <c r="L45" s="294"/>
      <c r="M45" s="294"/>
      <c r="N45" s="294"/>
      <c r="O45" s="294"/>
      <c r="P45" s="12"/>
      <c r="BC45" s="44"/>
      <c r="BD45" s="44"/>
    </row>
    <row r="46" spans="1:56" ht="17.649999999999999" customHeight="1">
      <c r="B46" s="363"/>
      <c r="C46" s="364"/>
      <c r="D46" s="365"/>
      <c r="E46" s="365"/>
      <c r="F46" s="294"/>
      <c r="G46" s="42"/>
      <c r="H46" s="42"/>
      <c r="I46" s="42"/>
      <c r="J46" s="295" t="s">
        <v>131</v>
      </c>
      <c r="K46" s="324"/>
      <c r="L46" s="294"/>
      <c r="M46" s="294"/>
      <c r="N46" s="294"/>
      <c r="O46" s="294"/>
      <c r="P46" s="12"/>
      <c r="BC46" s="44"/>
      <c r="BD46" s="44"/>
    </row>
    <row r="47" spans="1:56" ht="15.6" customHeight="1">
      <c r="B47" s="45"/>
      <c r="C47" s="11"/>
      <c r="D47" s="11"/>
      <c r="E47" s="46"/>
      <c r="F47" s="294"/>
      <c r="G47" s="42"/>
      <c r="H47" s="42"/>
      <c r="I47" s="42"/>
      <c r="J47" s="346" t="s">
        <v>130</v>
      </c>
      <c r="K47" s="324">
        <f>SUM(K37:K46)</f>
        <v>8</v>
      </c>
      <c r="L47" s="294"/>
      <c r="M47" s="294"/>
      <c r="N47" s="294"/>
      <c r="O47" s="294"/>
      <c r="P47" s="12"/>
    </row>
    <row r="48" spans="1:56" ht="20.25" customHeight="1">
      <c r="B48" s="15" t="s">
        <v>42</v>
      </c>
      <c r="C48" s="1" t="s">
        <v>43</v>
      </c>
      <c r="D48" s="1"/>
      <c r="E48" s="1"/>
      <c r="F48" s="294"/>
      <c r="G48" s="42"/>
      <c r="H48" s="41"/>
      <c r="I48" s="42"/>
      <c r="L48" s="42"/>
      <c r="N48" s="315"/>
      <c r="P48" s="334"/>
    </row>
    <row r="49" spans="2:57" ht="15" customHeight="1" thickBot="1"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1"/>
      <c r="O49" s="48"/>
      <c r="P49" s="49"/>
    </row>
    <row r="50" spans="2:57" ht="15" customHeight="1" thickBot="1">
      <c r="B50" s="551" t="s">
        <v>17</v>
      </c>
      <c r="C50" s="551" t="s">
        <v>44</v>
      </c>
      <c r="D50" s="554" t="s">
        <v>45</v>
      </c>
      <c r="E50" s="519" t="s">
        <v>46</v>
      </c>
      <c r="F50" s="568" t="s">
        <v>47</v>
      </c>
      <c r="G50" s="563" t="s">
        <v>48</v>
      </c>
      <c r="H50" s="551" t="s">
        <v>49</v>
      </c>
      <c r="I50" s="551" t="s">
        <v>50</v>
      </c>
      <c r="J50" s="557" t="s">
        <v>28</v>
      </c>
      <c r="K50" s="517" t="s">
        <v>51</v>
      </c>
      <c r="L50" s="566" t="s">
        <v>52</v>
      </c>
      <c r="M50" s="557" t="s">
        <v>53</v>
      </c>
      <c r="N50" s="13"/>
      <c r="O50" s="13"/>
      <c r="P50" s="50"/>
    </row>
    <row r="51" spans="2:57" ht="28.5" customHeight="1" thickTop="1" thickBot="1">
      <c r="B51" s="552"/>
      <c r="C51" s="553"/>
      <c r="D51" s="555"/>
      <c r="E51" s="556"/>
      <c r="F51" s="569"/>
      <c r="G51" s="564"/>
      <c r="H51" s="552"/>
      <c r="I51" s="552"/>
      <c r="J51" s="558"/>
      <c r="K51" s="565"/>
      <c r="L51" s="567"/>
      <c r="M51" s="558"/>
      <c r="N51" s="13"/>
      <c r="O51" s="13"/>
      <c r="P51" s="50"/>
      <c r="Q51" s="355"/>
      <c r="AB51" s="475">
        <v>43474</v>
      </c>
      <c r="AC51" s="475">
        <v>43475</v>
      </c>
      <c r="AD51" s="475">
        <v>43476</v>
      </c>
      <c r="AE51" s="475">
        <v>43477</v>
      </c>
      <c r="AF51" s="475">
        <v>43478</v>
      </c>
      <c r="AG51" s="475">
        <v>43479</v>
      </c>
      <c r="AH51" s="475">
        <v>43480</v>
      </c>
      <c r="AI51" s="475">
        <v>43481</v>
      </c>
      <c r="AJ51" s="475">
        <v>43482</v>
      </c>
      <c r="AK51" s="475">
        <v>43483</v>
      </c>
      <c r="AL51" s="475">
        <v>43484</v>
      </c>
      <c r="AM51" s="475">
        <v>43485</v>
      </c>
      <c r="AN51" s="475">
        <v>43486</v>
      </c>
      <c r="AO51" s="475">
        <v>43487</v>
      </c>
      <c r="AP51" s="475">
        <v>43488</v>
      </c>
      <c r="AQ51" s="475">
        <v>43489</v>
      </c>
      <c r="AR51" s="475">
        <v>43490</v>
      </c>
      <c r="AS51" s="475">
        <v>43491</v>
      </c>
      <c r="AT51" s="475">
        <v>43492</v>
      </c>
      <c r="AU51" s="475">
        <v>43493</v>
      </c>
      <c r="AV51" s="475">
        <v>43494</v>
      </c>
      <c r="AW51" s="475">
        <v>43495</v>
      </c>
      <c r="AX51" s="475">
        <v>43496</v>
      </c>
    </row>
    <row r="52" spans="2:57" s="54" customFormat="1" ht="36.75" hidden="1" customHeight="1" thickBot="1">
      <c r="B52" s="484" t="str">
        <f>J38</f>
        <v>STAG</v>
      </c>
      <c r="C52" s="479">
        <v>46218</v>
      </c>
      <c r="D52" s="445">
        <f>[35]July_2026!$R$13</f>
        <v>195.67999999999998</v>
      </c>
      <c r="E52" s="443"/>
      <c r="F52" s="444"/>
      <c r="G52" s="444">
        <f>[35]July_2026!$R$17</f>
        <v>184</v>
      </c>
      <c r="H52" s="458"/>
      <c r="I52" s="458"/>
      <c r="J52" s="448" t="s">
        <v>170</v>
      </c>
      <c r="K52" s="449">
        <f>[36]July_2026!$R$25</f>
        <v>0.32280701754385965</v>
      </c>
      <c r="L52" s="457">
        <f>(((D52+E52)-G52)/(D52+E52))*100</f>
        <v>5.9689288634505209</v>
      </c>
      <c r="M52" s="455" t="s">
        <v>171</v>
      </c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[16]January_2019!L5</f>
        <v>0</v>
      </c>
      <c r="AC52" s="57">
        <f>[16]January_2019!M5</f>
        <v>0</v>
      </c>
      <c r="AD52" s="57">
        <f>[16]January_2019!N5</f>
        <v>0</v>
      </c>
      <c r="AE52" s="57">
        <f>[16]January_2019!O5</f>
        <v>0</v>
      </c>
      <c r="AF52" s="57">
        <f>[16]January_2019!P5</f>
        <v>0</v>
      </c>
      <c r="AG52" s="57">
        <f>[16]January_2019!Q5</f>
        <v>0</v>
      </c>
      <c r="AH52" s="57">
        <f>[16]January_2019!R5</f>
        <v>0</v>
      </c>
      <c r="AI52" s="57">
        <f>[16]January_2019!S5</f>
        <v>0</v>
      </c>
      <c r="AJ52" s="57">
        <f>[16]January_2019!T5</f>
        <v>0</v>
      </c>
      <c r="AK52" s="57">
        <f>[16]January_2019!U5</f>
        <v>0</v>
      </c>
      <c r="AL52" s="57">
        <f>[16]January_2019!V5</f>
        <v>0</v>
      </c>
      <c r="AM52" s="57">
        <f>[16]January_2019!W5</f>
        <v>0</v>
      </c>
      <c r="AN52" s="57">
        <f>[16]January_2019!X5</f>
        <v>0</v>
      </c>
      <c r="AO52" s="57">
        <f>[16]January_2019!Y5</f>
        <v>0</v>
      </c>
      <c r="AP52" s="57">
        <f>[16]January_2019!Z5</f>
        <v>0</v>
      </c>
      <c r="AQ52" s="57">
        <f>[16]January_2019!AA5</f>
        <v>0</v>
      </c>
      <c r="AR52" s="57">
        <f>[16]January_2019!AB5</f>
        <v>0</v>
      </c>
      <c r="AS52" s="57">
        <f>[16]January_2019!AC5</f>
        <v>0</v>
      </c>
      <c r="AT52" s="57">
        <f>[16]January_2019!AD5</f>
        <v>0</v>
      </c>
      <c r="AU52" s="57">
        <f>[16]January_2019!AE5</f>
        <v>0</v>
      </c>
      <c r="AV52" s="57">
        <f>[16]January_2019!AF5</f>
        <v>0</v>
      </c>
      <c r="AW52" s="57">
        <f>[16]January_2019!AG5</f>
        <v>0</v>
      </c>
      <c r="AX52" s="277">
        <f>[16]January_2019!AH5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14.25" hidden="1" customHeight="1" thickBot="1">
      <c r="B53" s="480"/>
      <c r="C53" s="479"/>
      <c r="D53" s="442"/>
      <c r="E53" s="443"/>
      <c r="F53" s="444"/>
      <c r="G53" s="445"/>
      <c r="H53" s="458"/>
      <c r="I53" s="458"/>
      <c r="J53" s="476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[16]January_2019!L6</f>
        <v>0</v>
      </c>
      <c r="AC53" s="57">
        <f>[16]January_2019!M6</f>
        <v>0</v>
      </c>
      <c r="AD53" s="57">
        <f>[16]January_2019!N6</f>
        <v>0</v>
      </c>
      <c r="AE53" s="57">
        <f>[16]January_2019!O6</f>
        <v>0</v>
      </c>
      <c r="AF53" s="57">
        <f>[16]January_2019!P6</f>
        <v>0</v>
      </c>
      <c r="AG53" s="57">
        <f>[16]January_2019!Q6</f>
        <v>0</v>
      </c>
      <c r="AH53" s="57">
        <f>[16]January_2019!R6</f>
        <v>0</v>
      </c>
      <c r="AI53" s="57">
        <f>[16]January_2019!S6</f>
        <v>0</v>
      </c>
      <c r="AJ53" s="57">
        <f>[16]January_2019!T6</f>
        <v>0</v>
      </c>
      <c r="AK53" s="57">
        <f>[16]January_2019!U6</f>
        <v>0</v>
      </c>
      <c r="AL53" s="57">
        <f>[16]January_2019!V6</f>
        <v>0</v>
      </c>
      <c r="AM53" s="57">
        <f>[16]January_2019!W6</f>
        <v>0</v>
      </c>
      <c r="AN53" s="57">
        <f>[16]January_2019!X6</f>
        <v>0</v>
      </c>
      <c r="AO53" s="57">
        <f>[16]January_2019!Y6</f>
        <v>0</v>
      </c>
      <c r="AP53" s="57">
        <f>[16]January_2019!Z6</f>
        <v>0</v>
      </c>
      <c r="AQ53" s="57">
        <f>[16]January_2019!AA6</f>
        <v>0</v>
      </c>
      <c r="AR53" s="57">
        <f>[16]January_2019!AB6</f>
        <v>0</v>
      </c>
      <c r="AS53" s="57">
        <f>[16]January_2019!AC6</f>
        <v>0</v>
      </c>
      <c r="AT53" s="57">
        <f>[16]January_2019!AD6</f>
        <v>0</v>
      </c>
      <c r="AU53" s="57">
        <f>[16]January_2019!AE6</f>
        <v>0</v>
      </c>
      <c r="AV53" s="57">
        <f>[16]January_2019!AF6</f>
        <v>0</v>
      </c>
      <c r="AW53" s="57">
        <f>[16]January_2019!AG6</f>
        <v>0</v>
      </c>
      <c r="AX53" s="277">
        <f>[16]January_2019!AH6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37.15" customHeight="1" thickBot="1">
      <c r="B54" s="480" t="str">
        <f>J37</f>
        <v>CARIB</v>
      </c>
      <c r="C54" s="479">
        <v>46238</v>
      </c>
      <c r="D54" s="442">
        <f>[35]August_2026!$G$3</f>
        <v>993.69999999999982</v>
      </c>
      <c r="E54" s="443"/>
      <c r="F54" s="444"/>
      <c r="G54" s="444">
        <f>[35]August_2026!$G$7</f>
        <v>959.5</v>
      </c>
      <c r="H54" s="458"/>
      <c r="I54" s="458"/>
      <c r="J54" s="448" t="s">
        <v>177</v>
      </c>
      <c r="K54" s="449">
        <f>[36]August_2026!$G$18</f>
        <v>0.49809523809523798</v>
      </c>
      <c r="L54" s="457">
        <f>(((D54+E54)-G54)/(D54+E54))*100</f>
        <v>3.4416826003823919</v>
      </c>
      <c r="M54" s="455" t="s">
        <v>176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[16]January_2019!L7</f>
        <v>285.8</v>
      </c>
      <c r="AC54" s="57">
        <f>[16]January_2019!M7</f>
        <v>508.1</v>
      </c>
      <c r="AD54" s="57">
        <f>[16]January_2019!N7</f>
        <v>0</v>
      </c>
      <c r="AE54" s="57">
        <f>[16]January_2019!O7</f>
        <v>0</v>
      </c>
      <c r="AF54" s="57">
        <f>[16]January_2019!P7</f>
        <v>109.56666666666666</v>
      </c>
      <c r="AG54" s="57">
        <f>[16]January_2019!Q7</f>
        <v>297.64999999999998</v>
      </c>
      <c r="AH54" s="57">
        <f>[16]January_2019!R7</f>
        <v>122.3</v>
      </c>
      <c r="AI54" s="57">
        <f>[16]January_2019!S7</f>
        <v>0</v>
      </c>
      <c r="AJ54" s="57">
        <f>[16]January_2019!T7</f>
        <v>294.7</v>
      </c>
      <c r="AK54" s="57">
        <f>[16]January_2019!U7</f>
        <v>280.5</v>
      </c>
      <c r="AL54" s="57">
        <f>[16]January_2019!V7</f>
        <v>0</v>
      </c>
      <c r="AM54" s="57">
        <f>[16]January_2019!W7</f>
        <v>0</v>
      </c>
      <c r="AN54" s="57">
        <f>[16]January_2019!X7</f>
        <v>188.25</v>
      </c>
      <c r="AO54" s="57">
        <f>[16]January_2019!Y7</f>
        <v>295.7</v>
      </c>
      <c r="AP54" s="57">
        <f>[16]January_2019!Z7</f>
        <v>257.8</v>
      </c>
      <c r="AQ54" s="57">
        <f>[16]January_2019!AA7</f>
        <v>291.2</v>
      </c>
      <c r="AR54" s="57">
        <f>[16]January_2019!AB7</f>
        <v>187</v>
      </c>
      <c r="AS54" s="57">
        <f>[16]January_2019!AC7</f>
        <v>0</v>
      </c>
      <c r="AT54" s="57">
        <f>[16]January_2019!AD7</f>
        <v>0</v>
      </c>
      <c r="AU54" s="57">
        <f>[16]January_2019!AE7</f>
        <v>485.1</v>
      </c>
      <c r="AV54" s="57">
        <f>[16]January_2019!AF7</f>
        <v>171.55</v>
      </c>
      <c r="AW54" s="57">
        <f>[16]January_2019!AG7</f>
        <v>423.8</v>
      </c>
      <c r="AX54" s="277">
        <f>[16]January_2019!AH7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9.5" customHeight="1" thickBot="1">
      <c r="B55" s="478"/>
      <c r="C55" s="430"/>
      <c r="D55" s="431"/>
      <c r="E55" s="432"/>
      <c r="F55" s="433"/>
      <c r="G55" s="434"/>
      <c r="H55" s="458"/>
      <c r="I55" s="458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8.65" customHeight="1" thickBot="1">
      <c r="B56" s="484"/>
      <c r="C56" s="479"/>
      <c r="D56" s="442"/>
      <c r="E56" s="443"/>
      <c r="F56" s="444"/>
      <c r="G56" s="445"/>
      <c r="H56" s="458"/>
      <c r="I56" s="458"/>
      <c r="J56" s="448"/>
      <c r="K56" s="459"/>
      <c r="L56" s="476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5" hidden="1">
      <c r="B57" s="453"/>
      <c r="C57" s="430"/>
      <c r="D57" s="431"/>
      <c r="E57" s="432"/>
      <c r="F57" s="433"/>
      <c r="G57" s="434"/>
      <c r="H57" s="435"/>
      <c r="I57" s="450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7.15" hidden="1" customHeight="1" thickBot="1">
      <c r="B58" s="482"/>
      <c r="C58" s="479"/>
      <c r="D58" s="442"/>
      <c r="E58" s="443"/>
      <c r="F58" s="444"/>
      <c r="G58" s="445"/>
      <c r="H58" s="446"/>
      <c r="I58" s="447"/>
      <c r="J58" s="448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hidden="1" customHeight="1" thickBot="1">
      <c r="B59" s="437"/>
      <c r="C59" s="423"/>
      <c r="D59" s="424"/>
      <c r="E59" s="425"/>
      <c r="F59" s="426"/>
      <c r="G59" s="427"/>
      <c r="H59" s="428"/>
      <c r="I59" s="438"/>
      <c r="J59" s="439"/>
      <c r="K59" s="429"/>
      <c r="L59" s="440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s="54" customFormat="1" ht="37.15" hidden="1" customHeight="1" thickBot="1">
      <c r="B60" s="456"/>
      <c r="C60" s="441"/>
      <c r="D60" s="442"/>
      <c r="E60" s="443"/>
      <c r="F60" s="444"/>
      <c r="G60" s="445"/>
      <c r="H60" s="446"/>
      <c r="I60" s="447"/>
      <c r="J60" s="448"/>
      <c r="K60" s="449"/>
      <c r="L60" s="457"/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customHeight="1">
      <c r="B61" s="466"/>
      <c r="C61" s="430"/>
      <c r="D61" s="460"/>
      <c r="E61" s="461"/>
      <c r="F61" s="462"/>
      <c r="G61" s="460"/>
      <c r="H61" s="463"/>
      <c r="I61" s="463"/>
      <c r="J61" s="463"/>
      <c r="K61" s="464"/>
      <c r="L61" s="465"/>
      <c r="M61" s="5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559" t="s">
        <v>55</v>
      </c>
      <c r="C63" s="560"/>
      <c r="D63" s="560"/>
      <c r="E63" s="560"/>
      <c r="F63" s="561"/>
      <c r="G63" s="559" t="s">
        <v>56</v>
      </c>
      <c r="H63" s="560"/>
      <c r="I63" s="560"/>
      <c r="J63" s="561"/>
      <c r="K63" s="559" t="s">
        <v>51</v>
      </c>
      <c r="L63" s="560"/>
      <c r="M63" s="560"/>
      <c r="N63" s="562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/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65">
        <f>L54</f>
        <v>3.4416826003823919</v>
      </c>
      <c r="D65" s="76"/>
      <c r="E65" s="76"/>
      <c r="F65" s="66">
        <v>4.8</v>
      </c>
      <c r="G65" s="65"/>
      <c r="H65" s="477"/>
      <c r="I65" s="477"/>
      <c r="J65" s="66">
        <v>4.8</v>
      </c>
      <c r="K65" s="67"/>
      <c r="L65" s="194"/>
      <c r="M65" s="194"/>
      <c r="N65" s="68">
        <v>1</v>
      </c>
      <c r="O65" s="56"/>
      <c r="P65" s="69"/>
    </row>
    <row r="66" spans="2:16" ht="15">
      <c r="B66" s="33" t="s">
        <v>9</v>
      </c>
      <c r="C66" s="65"/>
      <c r="D66" s="76"/>
      <c r="E66" s="76"/>
      <c r="F66" s="66">
        <v>4.8</v>
      </c>
      <c r="G66" s="65"/>
      <c r="H66" s="76"/>
      <c r="I66" s="76"/>
      <c r="J66" s="66">
        <v>4.8</v>
      </c>
      <c r="K66" s="67"/>
      <c r="L66" s="194"/>
      <c r="M66" s="194"/>
      <c r="N66" s="68">
        <v>1</v>
      </c>
      <c r="P66" s="69"/>
    </row>
    <row r="67" spans="2:16" ht="15">
      <c r="B67" s="34" t="s">
        <v>40</v>
      </c>
      <c r="C67" s="65"/>
      <c r="D67" s="76"/>
      <c r="E67" s="76"/>
      <c r="F67" s="66">
        <v>5.5</v>
      </c>
      <c r="G67" s="65"/>
      <c r="H67" s="76"/>
      <c r="I67" s="76"/>
      <c r="J67" s="66">
        <v>5.5</v>
      </c>
      <c r="K67" s="67"/>
      <c r="L67" s="194"/>
      <c r="M67" s="194"/>
      <c r="N67" s="68">
        <v>1</v>
      </c>
      <c r="P67" s="69"/>
    </row>
    <row r="68" spans="2:16" ht="15">
      <c r="B68" s="22" t="s">
        <v>33</v>
      </c>
      <c r="C68" s="65"/>
      <c r="D68" s="76"/>
      <c r="E68" s="76"/>
      <c r="F68" s="66">
        <v>3.3</v>
      </c>
      <c r="G68" s="65"/>
      <c r="H68" s="76"/>
      <c r="I68" s="76"/>
      <c r="J68" s="66">
        <v>3.3</v>
      </c>
      <c r="K68" s="67"/>
      <c r="L68" s="194"/>
      <c r="M68" s="194"/>
      <c r="N68" s="68">
        <v>1</v>
      </c>
      <c r="P68" s="69"/>
    </row>
    <row r="69" spans="2:16" ht="15">
      <c r="B69" s="35" t="s">
        <v>164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K69" s="67"/>
      <c r="L69" s="194"/>
      <c r="M69" s="194"/>
      <c r="N69" s="68">
        <v>1</v>
      </c>
      <c r="P69" s="69"/>
    </row>
    <row r="70" spans="2:16" ht="15">
      <c r="B70" s="36" t="s">
        <v>15</v>
      </c>
      <c r="C70" s="65"/>
      <c r="D70" s="76"/>
      <c r="E70" s="76"/>
      <c r="F70" s="481">
        <v>5.5</v>
      </c>
      <c r="G70" s="65"/>
      <c r="H70" s="76"/>
      <c r="I70" s="76"/>
      <c r="J70" s="66">
        <v>5.5</v>
      </c>
      <c r="K70" s="67"/>
      <c r="L70" s="194"/>
      <c r="M70" s="194"/>
      <c r="N70" s="68">
        <v>1</v>
      </c>
      <c r="P70" s="69"/>
    </row>
    <row r="71" spans="2:16" ht="15">
      <c r="B71" s="37" t="s">
        <v>16</v>
      </c>
      <c r="C71" s="483"/>
      <c r="D71" s="76"/>
      <c r="E71" s="76"/>
      <c r="F71" s="66">
        <v>3.3</v>
      </c>
      <c r="G71" s="282"/>
      <c r="H71" s="76"/>
      <c r="I71" s="76"/>
      <c r="J71" s="66">
        <v>3.3</v>
      </c>
      <c r="K71" s="67"/>
      <c r="L71" s="194"/>
      <c r="M71" s="194"/>
      <c r="N71" s="71">
        <v>1</v>
      </c>
      <c r="P71" s="69"/>
    </row>
    <row r="72" spans="2:16" ht="15.75" thickBot="1">
      <c r="B72" s="38" t="s">
        <v>163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L72" s="194"/>
      <c r="M72" s="194"/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/>
      <c r="F73" s="66">
        <v>4.8</v>
      </c>
      <c r="G73" s="282"/>
      <c r="H73" s="76"/>
      <c r="I73" s="76"/>
      <c r="J73" s="66">
        <v>4.8</v>
      </c>
      <c r="K73" s="67"/>
      <c r="L73" s="194"/>
      <c r="M73" s="194"/>
      <c r="N73" s="71">
        <v>1</v>
      </c>
      <c r="O73" s="74"/>
      <c r="P73" s="75"/>
    </row>
    <row r="74" spans="2:16" ht="15">
      <c r="D74" s="76"/>
      <c r="E74" s="76"/>
      <c r="F74" s="341">
        <v>5.5</v>
      </c>
      <c r="H74" s="76"/>
      <c r="I74" s="76"/>
      <c r="J74" s="341">
        <v>5.5</v>
      </c>
      <c r="L74" s="194"/>
      <c r="M74" s="194"/>
      <c r="N74" s="386">
        <v>1</v>
      </c>
    </row>
  </sheetData>
  <mergeCells count="51">
    <mergeCell ref="M50:M51"/>
    <mergeCell ref="B63:F63"/>
    <mergeCell ref="G63:J63"/>
    <mergeCell ref="K63:N63"/>
    <mergeCell ref="G50:G51"/>
    <mergeCell ref="H50:H51"/>
    <mergeCell ref="I50:I51"/>
    <mergeCell ref="J50:J51"/>
    <mergeCell ref="K50:K51"/>
    <mergeCell ref="L50:L51"/>
    <mergeCell ref="F50:F51"/>
    <mergeCell ref="D45:E45"/>
    <mergeCell ref="B50:B51"/>
    <mergeCell ref="C50:C51"/>
    <mergeCell ref="D50:D51"/>
    <mergeCell ref="E50:E51"/>
    <mergeCell ref="B35:B44"/>
    <mergeCell ref="D35:E36"/>
    <mergeCell ref="J35:K35"/>
    <mergeCell ref="L36:N36"/>
    <mergeCell ref="D37:E38"/>
    <mergeCell ref="D39:E40"/>
    <mergeCell ref="D41:E42"/>
    <mergeCell ref="D43:E44"/>
    <mergeCell ref="I21:N21"/>
    <mergeCell ref="D22:E22"/>
    <mergeCell ref="B23:B34"/>
    <mergeCell ref="D23:E24"/>
    <mergeCell ref="D25:E26"/>
    <mergeCell ref="D27:E28"/>
    <mergeCell ref="D29:E30"/>
    <mergeCell ref="D31:E32"/>
    <mergeCell ref="D33:E34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5:B46">
    <cfRule type="cellIs" dxfId="3464" priority="116" operator="notBetween">
      <formula>#REF!</formula>
      <formula>#REF!</formula>
    </cfRule>
  </conditionalFormatting>
  <conditionalFormatting sqref="C49">
    <cfRule type="cellIs" dxfId="3463" priority="199" stopIfTrue="1" operator="greaterThan">
      <formula>100</formula>
    </cfRule>
    <cfRule type="cellIs" dxfId="3462" priority="198" stopIfTrue="1" operator="lessThan">
      <formula>96</formula>
    </cfRule>
  </conditionalFormatting>
  <conditionalFormatting sqref="C65:C66">
    <cfRule type="cellIs" dxfId="3461" priority="81" stopIfTrue="1" operator="lessThanOrEqual">
      <formula>0</formula>
    </cfRule>
    <cfRule type="cellIs" dxfId="3460" priority="80" stopIfTrue="1" operator="greaterThan">
      <formula>$F65</formula>
    </cfRule>
    <cfRule type="cellIs" dxfId="3459" priority="79" stopIfTrue="1" operator="lessThanOrEqual">
      <formula>0</formula>
    </cfRule>
    <cfRule type="cellIs" dxfId="3458" priority="78" stopIfTrue="1" operator="greaterThan">
      <formula>$F65</formula>
    </cfRule>
  </conditionalFormatting>
  <conditionalFormatting sqref="C67:C69 C71:C73">
    <cfRule type="cellIs" dxfId="3457" priority="88" stopIfTrue="1" operator="greaterThan">
      <formula>$F70</formula>
    </cfRule>
  </conditionalFormatting>
  <conditionalFormatting sqref="C67:C69">
    <cfRule type="cellIs" dxfId="3456" priority="89" stopIfTrue="1" operator="lessThanOrEqual">
      <formula>0</formula>
    </cfRule>
  </conditionalFormatting>
  <conditionalFormatting sqref="C70">
    <cfRule type="cellIs" dxfId="3455" priority="203" stopIfTrue="1" operator="lessThanOrEqual">
      <formula>0</formula>
    </cfRule>
    <cfRule type="cellIs" dxfId="3454" priority="202" stopIfTrue="1" operator="greaterThan">
      <formula>$F65</formula>
    </cfRule>
    <cfRule type="cellIs" dxfId="3453" priority="201" stopIfTrue="1" operator="lessThanOrEqual">
      <formula>0</formula>
    </cfRule>
    <cfRule type="cellIs" dxfId="3452" priority="200" stopIfTrue="1" operator="greaterThan">
      <formula>$F65</formula>
    </cfRule>
  </conditionalFormatting>
  <conditionalFormatting sqref="C71:C73">
    <cfRule type="cellIs" dxfId="3451" priority="90" stopIfTrue="1" operator="lessThanOrEqual">
      <formula>0</formula>
    </cfRule>
  </conditionalFormatting>
  <conditionalFormatting sqref="C76:C80">
    <cfRule type="cellIs" dxfId="3450" priority="190" stopIfTrue="1" operator="lessThanOrEqual">
      <formula>0</formula>
    </cfRule>
  </conditionalFormatting>
  <conditionalFormatting sqref="C77:C80">
    <cfRule type="cellIs" dxfId="3449" priority="189" stopIfTrue="1" operator="greaterThan">
      <formula>$F$76</formula>
    </cfRule>
  </conditionalFormatting>
  <conditionalFormatting sqref="C82">
    <cfRule type="cellIs" dxfId="3448" priority="191" stopIfTrue="1" operator="greaterThan">
      <formula>$F$76</formula>
    </cfRule>
    <cfRule type="cellIs" dxfId="3447" priority="192" stopIfTrue="1" operator="lessThanOrEqual">
      <formula>0</formula>
    </cfRule>
  </conditionalFormatting>
  <conditionalFormatting sqref="C70:D70">
    <cfRule type="cellIs" dxfId="3446" priority="77" stopIfTrue="1" operator="lessThanOrEqual">
      <formula>0</formula>
    </cfRule>
    <cfRule type="cellIs" dxfId="3445" priority="76" stopIfTrue="1" operator="greaterThan">
      <formula>$J70</formula>
    </cfRule>
  </conditionalFormatting>
  <conditionalFormatting sqref="C76:D76 D78:D84">
    <cfRule type="cellIs" dxfId="3444" priority="184" stopIfTrue="1" operator="greaterThan">
      <formula>4.5</formula>
    </cfRule>
  </conditionalFormatting>
  <conditionalFormatting sqref="D45:D46">
    <cfRule type="cellIs" dxfId="3443" priority="117" operator="notBetween">
      <formula>#REF!</formula>
      <formula>#REF!</formula>
    </cfRule>
  </conditionalFormatting>
  <conditionalFormatting sqref="D65:D69 D71:D72">
    <cfRule type="cellIs" dxfId="3442" priority="87" stopIfTrue="1" operator="lessThanOrEqual">
      <formula>0</formula>
    </cfRule>
  </conditionalFormatting>
  <conditionalFormatting sqref="D65:D69 D71:D74">
    <cfRule type="cellIs" dxfId="3441" priority="84" stopIfTrue="1" operator="greaterThan">
      <formula>$F65</formula>
    </cfRule>
    <cfRule type="cellIs" dxfId="3440" priority="83" stopIfTrue="1" operator="lessThanOrEqual">
      <formula>0</formula>
    </cfRule>
  </conditionalFormatting>
  <conditionalFormatting sqref="D73:D74">
    <cfRule type="cellIs" dxfId="3439" priority="85" stopIfTrue="1" operator="lessThanOrEqual">
      <formula>0</formula>
    </cfRule>
  </conditionalFormatting>
  <conditionalFormatting sqref="D74">
    <cfRule type="cellIs" dxfId="3438" priority="86" stopIfTrue="1" operator="lessThanOrEqual">
      <formula>0</formula>
    </cfRule>
  </conditionalFormatting>
  <conditionalFormatting sqref="D76 D78:D84">
    <cfRule type="cellIs" dxfId="3437" priority="185" stopIfTrue="1" operator="lessThanOrEqual">
      <formula>0</formula>
    </cfRule>
  </conditionalFormatting>
  <conditionalFormatting sqref="D77">
    <cfRule type="cellIs" dxfId="3436" priority="176" stopIfTrue="1" operator="greaterThan">
      <formula>$F$76</formula>
    </cfRule>
    <cfRule type="cellIs" dxfId="3435" priority="177" stopIfTrue="1" operator="lessThanOrEqual">
      <formula>0</formula>
    </cfRule>
  </conditionalFormatting>
  <conditionalFormatting sqref="E10:E20">
    <cfRule type="cellIs" dxfId="3434" priority="7" operator="lessThan">
      <formula>48</formula>
    </cfRule>
  </conditionalFormatting>
  <conditionalFormatting sqref="E48 E49:F49">
    <cfRule type="cellIs" dxfId="3433" priority="181" stopIfTrue="1" operator="greaterThan">
      <formula>100</formula>
    </cfRule>
  </conditionalFormatting>
  <conditionalFormatting sqref="E49">
    <cfRule type="cellIs" dxfId="3432" priority="179" stopIfTrue="1" operator="greaterThan">
      <formula>100</formula>
    </cfRule>
    <cfRule type="cellIs" dxfId="3431" priority="178" stopIfTrue="1" operator="lessThan">
      <formula>96.8</formula>
    </cfRule>
  </conditionalFormatting>
  <conditionalFormatting sqref="E65:E73">
    <cfRule type="cellIs" dxfId="3430" priority="49" stopIfTrue="1" operator="lessThanOrEqual">
      <formula>0</formula>
    </cfRule>
  </conditionalFormatting>
  <conditionalFormatting sqref="E65:E74">
    <cfRule type="cellIs" dxfId="3429" priority="50" stopIfTrue="1" operator="greaterThan">
      <formula>$F65</formula>
    </cfRule>
    <cfRule type="cellIs" dxfId="3428" priority="51" stopIfTrue="1" operator="lessThanOrEqual">
      <formula>0</formula>
    </cfRule>
  </conditionalFormatting>
  <conditionalFormatting sqref="E74">
    <cfRule type="cellIs" dxfId="3427" priority="52" stopIfTrue="1" operator="lessThanOrEqual">
      <formula>0</formula>
    </cfRule>
  </conditionalFormatting>
  <conditionalFormatting sqref="E76:E84">
    <cfRule type="cellIs" dxfId="3426" priority="171" stopIfTrue="1" operator="lessThanOrEqual">
      <formula>0</formula>
    </cfRule>
    <cfRule type="cellIs" dxfId="3425" priority="170" stopIfTrue="1" operator="greaterThan">
      <formula>4.5</formula>
    </cfRule>
  </conditionalFormatting>
  <conditionalFormatting sqref="E49:F49 E48">
    <cfRule type="cellIs" dxfId="3424" priority="180" stopIfTrue="1" operator="lessThan">
      <formula>96.5</formula>
    </cfRule>
  </conditionalFormatting>
  <conditionalFormatting sqref="F16:F18">
    <cfRule type="cellIs" dxfId="3423" priority="11" operator="greaterThan">
      <formula>60</formula>
    </cfRule>
  </conditionalFormatting>
  <conditionalFormatting sqref="F20">
    <cfRule type="cellIs" dxfId="3422" priority="27" operator="greaterThan">
      <formula>60</formula>
    </cfRule>
  </conditionalFormatting>
  <conditionalFormatting sqref="F49">
    <cfRule type="cellIs" dxfId="3421" priority="197" stopIfTrue="1" operator="greaterThan">
      <formula>100</formula>
    </cfRule>
    <cfRule type="cellIs" dxfId="3420" priority="196" stopIfTrue="1" operator="lessThan">
      <formula>96.8</formula>
    </cfRule>
  </conditionalFormatting>
  <conditionalFormatting sqref="G10:G20">
    <cfRule type="expression" dxfId="3419" priority="9">
      <formula>IF(+(IF(G10&lt;S10,0,IF(G10&gt;T10,0,1)))=0,1)</formula>
    </cfRule>
  </conditionalFormatting>
  <conditionalFormatting sqref="G65:G68 F74">
    <cfRule type="cellIs" dxfId="3418" priority="59" stopIfTrue="1" operator="lessThanOrEqual">
      <formula>0</formula>
    </cfRule>
    <cfRule type="cellIs" dxfId="3417" priority="58" stopIfTrue="1" operator="greaterThan">
      <formula>$F65</formula>
    </cfRule>
  </conditionalFormatting>
  <conditionalFormatting sqref="G67:G68">
    <cfRule type="cellIs" dxfId="3416" priority="44" stopIfTrue="1" operator="greaterThan">
      <formula>$F67</formula>
    </cfRule>
    <cfRule type="cellIs" dxfId="3415" priority="45" stopIfTrue="1" operator="lessThanOrEqual">
      <formula>0</formula>
    </cfRule>
  </conditionalFormatting>
  <conditionalFormatting sqref="G69:G73">
    <cfRule type="cellIs" dxfId="3414" priority="61" stopIfTrue="1" operator="lessThanOrEqual">
      <formula>0</formula>
    </cfRule>
    <cfRule type="cellIs" dxfId="3413" priority="60" stopIfTrue="1" operator="greaterThan">
      <formula>$J69</formula>
    </cfRule>
  </conditionalFormatting>
  <conditionalFormatting sqref="G70">
    <cfRule type="cellIs" dxfId="3412" priority="205" stopIfTrue="1" operator="lessThanOrEqual">
      <formula>0</formula>
    </cfRule>
    <cfRule type="cellIs" dxfId="3411" priority="204" stopIfTrue="1" operator="greaterThan">
      <formula>$F65</formula>
    </cfRule>
  </conditionalFormatting>
  <conditionalFormatting sqref="G78:G83 C81 C83">
    <cfRule type="cellIs" dxfId="3410" priority="193" stopIfTrue="1" operator="greaterThan">
      <formula>4.5</formula>
    </cfRule>
    <cfRule type="cellIs" dxfId="3409" priority="194" stopIfTrue="1" operator="lessThanOrEqual">
      <formula>0</formula>
    </cfRule>
  </conditionalFormatting>
  <conditionalFormatting sqref="G77:H77">
    <cfRule type="cellIs" dxfId="3408" priority="175" stopIfTrue="1" operator="lessThanOrEqual">
      <formula>0</formula>
    </cfRule>
    <cfRule type="cellIs" dxfId="3407" priority="174" stopIfTrue="1" operator="greaterThan">
      <formula>$F$76</formula>
    </cfRule>
  </conditionalFormatting>
  <conditionalFormatting sqref="H10:H20 M16:N18">
    <cfRule type="expression" dxfId="3406" priority="8">
      <formula>IF(+(IF(H10&lt;#REF!,0,IF(H10&gt;#REF!,0,1)))=0,1)</formula>
    </cfRule>
  </conditionalFormatting>
  <conditionalFormatting sqref="H34:H35 H48">
    <cfRule type="cellIs" dxfId="3405" priority="172" stopIfTrue="1" operator="greaterThan">
      <formula>0</formula>
    </cfRule>
  </conditionalFormatting>
  <conditionalFormatting sqref="H52">
    <cfRule type="cellIs" dxfId="3404" priority="74" stopIfTrue="1" operator="greaterThan">
      <formula>$F$66</formula>
    </cfRule>
    <cfRule type="cellIs" dxfId="3403" priority="73" stopIfTrue="1" operator="lessThanOrEqual">
      <formula>0</formula>
    </cfRule>
    <cfRule type="cellIs" dxfId="3402" priority="72" stopIfTrue="1" operator="greaterThan">
      <formula>$F$68</formula>
    </cfRule>
    <cfRule type="cellIs" dxfId="3401" priority="64" stopIfTrue="1" operator="greaterThan">
      <formula>$F$65</formula>
    </cfRule>
    <cfRule type="cellIs" dxfId="3400" priority="63" stopIfTrue="1" operator="lessThanOrEqual">
      <formula>0</formula>
    </cfRule>
  </conditionalFormatting>
  <conditionalFormatting sqref="H52:H53">
    <cfRule type="cellIs" dxfId="3399" priority="75" stopIfTrue="1" operator="lessThanOrEqual">
      <formula>0</formula>
    </cfRule>
  </conditionalFormatting>
  <conditionalFormatting sqref="H53 H55:H56">
    <cfRule type="cellIs" dxfId="3398" priority="102" stopIfTrue="1" operator="lessThanOrEqual">
      <formula>0</formula>
    </cfRule>
  </conditionalFormatting>
  <conditionalFormatting sqref="H53">
    <cfRule type="cellIs" dxfId="3397" priority="101" stopIfTrue="1" operator="greaterThan">
      <formula>$F$66</formula>
    </cfRule>
    <cfRule type="cellIs" dxfId="3396" priority="91" stopIfTrue="1" operator="greaterThan">
      <formula>$F$65</formula>
    </cfRule>
    <cfRule type="cellIs" dxfId="3395" priority="99" stopIfTrue="1" operator="greaterThan">
      <formula>$F$68</formula>
    </cfRule>
    <cfRule type="cellIs" dxfId="3394" priority="100" stopIfTrue="1" operator="lessThanOrEqual">
      <formula>0</formula>
    </cfRule>
  </conditionalFormatting>
  <conditionalFormatting sqref="H54">
    <cfRule type="cellIs" dxfId="3393" priority="30" stopIfTrue="1" operator="lessThanOrEqual">
      <formula>0</formula>
    </cfRule>
    <cfRule type="cellIs" dxfId="3392" priority="41" stopIfTrue="1" operator="greaterThan">
      <formula>$F$68</formula>
    </cfRule>
    <cfRule type="cellIs" dxfId="3391" priority="42" stopIfTrue="1" operator="lessThanOrEqual">
      <formula>0</formula>
    </cfRule>
    <cfRule type="cellIs" dxfId="3390" priority="39" stopIfTrue="1" operator="greaterThan">
      <formula>$F$70</formula>
    </cfRule>
    <cfRule type="cellIs" dxfId="3389" priority="40" stopIfTrue="1" operator="lessThanOrEqual">
      <formula>0</formula>
    </cfRule>
    <cfRule type="cellIs" dxfId="3388" priority="31" stopIfTrue="1" operator="greaterThan">
      <formula>$F$67</formula>
    </cfRule>
  </conditionalFormatting>
  <conditionalFormatting sqref="H55:H56">
    <cfRule type="cellIs" dxfId="3387" priority="114" stopIfTrue="1" operator="greaterThan">
      <formula>$F$66</formula>
    </cfRule>
    <cfRule type="cellIs" dxfId="3386" priority="104" stopIfTrue="1" operator="greaterThan">
      <formula>$F$65</formula>
    </cfRule>
    <cfRule type="cellIs" dxfId="3385" priority="115" stopIfTrue="1" operator="lessThanOrEqual">
      <formula>0</formula>
    </cfRule>
    <cfRule type="cellIs" dxfId="3384" priority="113" stopIfTrue="1" operator="lessThanOrEqual">
      <formula>0</formula>
    </cfRule>
    <cfRule type="cellIs" dxfId="3383" priority="112" stopIfTrue="1" operator="greaterThan">
      <formula>$F$68</formula>
    </cfRule>
  </conditionalFormatting>
  <conditionalFormatting sqref="H57:H58">
    <cfRule type="cellIs" dxfId="3382" priority="149" stopIfTrue="1" operator="lessThanOrEqual">
      <formula>0</formula>
    </cfRule>
    <cfRule type="cellIs" dxfId="3381" priority="140" stopIfTrue="1" operator="greaterThan">
      <formula>#REF!</formula>
    </cfRule>
    <cfRule type="cellIs" dxfId="3380" priority="139" stopIfTrue="1" operator="lessThanOrEqual">
      <formula>0</formula>
    </cfRule>
    <cfRule type="cellIs" dxfId="3379" priority="148" stopIfTrue="1" operator="greaterThan">
      <formula>#REF!</formula>
    </cfRule>
  </conditionalFormatting>
  <conditionalFormatting sqref="H59">
    <cfRule type="cellIs" dxfId="3378" priority="151" stopIfTrue="1" operator="lessThanOrEqual">
      <formula>0</formula>
    </cfRule>
    <cfRule type="cellIs" dxfId="3377" priority="162" stopIfTrue="1" operator="greaterThan">
      <formula>$F$34</formula>
    </cfRule>
    <cfRule type="cellIs" dxfId="3376" priority="161" stopIfTrue="1" operator="lessThanOrEqual">
      <formula>0</formula>
    </cfRule>
    <cfRule type="cellIs" dxfId="3375" priority="163" stopIfTrue="1" operator="lessThanOrEqual">
      <formula>0</formula>
    </cfRule>
    <cfRule type="cellIs" dxfId="3374" priority="152" stopIfTrue="1" operator="greaterThan">
      <formula>$F$33</formula>
    </cfRule>
    <cfRule type="cellIs" dxfId="3373" priority="160" stopIfTrue="1" operator="greaterThan">
      <formula>$F$36</formula>
    </cfRule>
  </conditionalFormatting>
  <conditionalFormatting sqref="H60:H61">
    <cfRule type="cellIs" dxfId="3372" priority="127" stopIfTrue="1" operator="lessThanOrEqual">
      <formula>0</formula>
    </cfRule>
    <cfRule type="cellIs" dxfId="3371" priority="128" stopIfTrue="1" operator="greaterThan">
      <formula>#REF!</formula>
    </cfRule>
    <cfRule type="cellIs" dxfId="3370" priority="137" stopIfTrue="1" operator="lessThanOrEqual">
      <formula>0</formula>
    </cfRule>
    <cfRule type="cellIs" dxfId="3369" priority="136" stopIfTrue="1" operator="greaterThan">
      <formula>#REF!</formula>
    </cfRule>
  </conditionalFormatting>
  <conditionalFormatting sqref="H76 H78:H84">
    <cfRule type="cellIs" dxfId="3368" priority="186" stopIfTrue="1" operator="greaterThan">
      <formula>4.5</formula>
    </cfRule>
    <cfRule type="cellIs" dxfId="3367" priority="187" stopIfTrue="1" operator="lessThanOrEqual">
      <formula>0</formula>
    </cfRule>
  </conditionalFormatting>
  <conditionalFormatting sqref="H52:I52">
    <cfRule type="cellIs" dxfId="3366" priority="65" stopIfTrue="1" operator="lessThanOrEqual">
      <formula>0</formula>
    </cfRule>
  </conditionalFormatting>
  <conditionalFormatting sqref="H52:I53 H55:I56">
    <cfRule type="cellIs" dxfId="3365" priority="62" stopIfTrue="1" operator="greaterThan">
      <formula>$F$67</formula>
    </cfRule>
  </conditionalFormatting>
  <conditionalFormatting sqref="H53:I53">
    <cfRule type="cellIs" dxfId="3364" priority="92" stopIfTrue="1" operator="lessThanOrEqual">
      <formula>0</formula>
    </cfRule>
  </conditionalFormatting>
  <conditionalFormatting sqref="H54:I54">
    <cfRule type="cellIs" dxfId="3363" priority="29" stopIfTrue="1" operator="greaterThan">
      <formula>$F$69</formula>
    </cfRule>
    <cfRule type="cellIs" dxfId="3362" priority="32" stopIfTrue="1" operator="lessThanOrEqual">
      <formula>0</formula>
    </cfRule>
  </conditionalFormatting>
  <conditionalFormatting sqref="H55:I56">
    <cfRule type="cellIs" dxfId="3361" priority="105" stopIfTrue="1" operator="lessThanOrEqual">
      <formula>0</formula>
    </cfRule>
  </conditionalFormatting>
  <conditionalFormatting sqref="H57:I58">
    <cfRule type="cellIs" dxfId="3360" priority="141" stopIfTrue="1" operator="lessThanOrEqual">
      <formula>0</formula>
    </cfRule>
    <cfRule type="cellIs" dxfId="3359" priority="138" stopIfTrue="1" operator="greaterThan">
      <formula>#REF!</formula>
    </cfRule>
    <cfRule type="cellIs" dxfId="3358" priority="147" stopIfTrue="1" operator="lessThanOrEqual">
      <formula>0</formula>
    </cfRule>
    <cfRule type="cellIs" dxfId="3357" priority="146" stopIfTrue="1" operator="greaterThan">
      <formula>#REF!</formula>
    </cfRule>
  </conditionalFormatting>
  <conditionalFormatting sqref="H59:I59">
    <cfRule type="cellIs" dxfId="3356" priority="150" stopIfTrue="1" operator="greaterThan">
      <formula>$F$35</formula>
    </cfRule>
    <cfRule type="cellIs" dxfId="3355" priority="153" stopIfTrue="1" operator="lessThanOrEqual">
      <formula>0</formula>
    </cfRule>
  </conditionalFormatting>
  <conditionalFormatting sqref="H60:I61">
    <cfRule type="cellIs" dxfId="3354" priority="126" stopIfTrue="1" operator="greaterThan">
      <formula>#REF!</formula>
    </cfRule>
    <cfRule type="cellIs" dxfId="3353" priority="129" stopIfTrue="1" operator="lessThanOrEqual">
      <formula>0</formula>
    </cfRule>
    <cfRule type="cellIs" dxfId="3352" priority="134" stopIfTrue="1" operator="greaterThan">
      <formula>#REF!</formula>
    </cfRule>
    <cfRule type="cellIs" dxfId="3351" priority="135" stopIfTrue="1" operator="lessThanOrEqual">
      <formula>0</formula>
    </cfRule>
  </conditionalFormatting>
  <conditionalFormatting sqref="H65:I72">
    <cfRule type="cellIs" dxfId="3350" priority="47" stopIfTrue="1" operator="greaterThan">
      <formula>$J65</formula>
    </cfRule>
    <cfRule type="cellIs" dxfId="3349" priority="48" stopIfTrue="1" operator="lessThanOrEqual">
      <formula>0</formula>
    </cfRule>
  </conditionalFormatting>
  <conditionalFormatting sqref="H73:I73">
    <cfRule type="cellIs" dxfId="3348" priority="55" operator="greaterThan">
      <formula>5.3</formula>
    </cfRule>
  </conditionalFormatting>
  <conditionalFormatting sqref="H74:I74">
    <cfRule type="cellIs" dxfId="3347" priority="53" stopIfTrue="1" operator="greaterThan">
      <formula>$J74</formula>
    </cfRule>
    <cfRule type="cellIs" dxfId="3346" priority="54" stopIfTrue="1" operator="lessThanOrEqual">
      <formula>0</formula>
    </cfRule>
  </conditionalFormatting>
  <conditionalFormatting sqref="I52">
    <cfRule type="cellIs" dxfId="3345" priority="68" stopIfTrue="1" operator="greaterThan">
      <formula>$F$67</formula>
    </cfRule>
    <cfRule type="cellIs" dxfId="3344" priority="71" stopIfTrue="1" operator="lessThanOrEqual">
      <formula>0</formula>
    </cfRule>
    <cfRule type="cellIs" dxfId="3343" priority="70" stopIfTrue="1" operator="greaterThan">
      <formula>$F$65</formula>
    </cfRule>
    <cfRule type="cellIs" dxfId="3342" priority="67" stopIfTrue="1" operator="lessThanOrEqual">
      <formula>0</formula>
    </cfRule>
    <cfRule type="cellIs" dxfId="3341" priority="66" stopIfTrue="1" operator="greaterThan">
      <formula>$F$65</formula>
    </cfRule>
    <cfRule type="cellIs" dxfId="3340" priority="69" stopIfTrue="1" operator="lessThanOrEqual">
      <formula>0</formula>
    </cfRule>
  </conditionalFormatting>
  <conditionalFormatting sqref="I53">
    <cfRule type="cellIs" dxfId="3339" priority="95" stopIfTrue="1" operator="greaterThan">
      <formula>$F$67</formula>
    </cfRule>
    <cfRule type="cellIs" dxfId="3338" priority="94" stopIfTrue="1" operator="lessThanOrEqual">
      <formula>0</formula>
    </cfRule>
    <cfRule type="cellIs" dxfId="3337" priority="93" stopIfTrue="1" operator="greaterThan">
      <formula>$F$65</formula>
    </cfRule>
    <cfRule type="cellIs" dxfId="3336" priority="98" stopIfTrue="1" operator="lessThanOrEqual">
      <formula>0</formula>
    </cfRule>
    <cfRule type="cellIs" dxfId="3335" priority="97" stopIfTrue="1" operator="greaterThan">
      <formula>$F$65</formula>
    </cfRule>
    <cfRule type="cellIs" dxfId="3334" priority="96" stopIfTrue="1" operator="lessThanOrEqual">
      <formula>0</formula>
    </cfRule>
  </conditionalFormatting>
  <conditionalFormatting sqref="I54">
    <cfRule type="cellIs" dxfId="3333" priority="37" stopIfTrue="1" operator="greaterThan">
      <formula>$F$67</formula>
    </cfRule>
    <cfRule type="cellIs" dxfId="3332" priority="38" stopIfTrue="1" operator="lessThanOrEqual">
      <formula>0</formula>
    </cfRule>
    <cfRule type="cellIs" dxfId="3331" priority="35" stopIfTrue="1" operator="greaterThan">
      <formula>$F$69</formula>
    </cfRule>
    <cfRule type="cellIs" dxfId="3330" priority="33" stopIfTrue="1" operator="greaterThan">
      <formula>$F$67</formula>
    </cfRule>
    <cfRule type="cellIs" dxfId="3329" priority="34" stopIfTrue="1" operator="lessThanOrEqual">
      <formula>0</formula>
    </cfRule>
    <cfRule type="cellIs" dxfId="3328" priority="36" stopIfTrue="1" operator="lessThanOrEqual">
      <formula>0</formula>
    </cfRule>
  </conditionalFormatting>
  <conditionalFormatting sqref="I55:I56">
    <cfRule type="cellIs" dxfId="3327" priority="109" stopIfTrue="1" operator="lessThanOrEqual">
      <formula>0</formula>
    </cfRule>
    <cfRule type="cellIs" dxfId="3326" priority="110" stopIfTrue="1" operator="greaterThan">
      <formula>$F$65</formula>
    </cfRule>
    <cfRule type="cellIs" dxfId="3325" priority="111" stopIfTrue="1" operator="lessThanOrEqual">
      <formula>0</formula>
    </cfRule>
    <cfRule type="cellIs" dxfId="3324" priority="107" stopIfTrue="1" operator="lessThanOrEqual">
      <formula>0</formula>
    </cfRule>
    <cfRule type="cellIs" dxfId="3323" priority="106" stopIfTrue="1" operator="greaterThan">
      <formula>$F$65</formula>
    </cfRule>
    <cfRule type="cellIs" dxfId="3322" priority="108" stopIfTrue="1" operator="greaterThan">
      <formula>$F$67</formula>
    </cfRule>
  </conditionalFormatting>
  <conditionalFormatting sqref="I57:I58">
    <cfRule type="cellIs" dxfId="3321" priority="145" stopIfTrue="1" operator="lessThanOrEqual">
      <formula>0</formula>
    </cfRule>
    <cfRule type="cellIs" dxfId="3320" priority="144" stopIfTrue="1" operator="greaterThan">
      <formula>#REF!</formula>
    </cfRule>
    <cfRule type="cellIs" dxfId="3319" priority="143" stopIfTrue="1" operator="lessThanOrEqual">
      <formula>0</formula>
    </cfRule>
    <cfRule type="cellIs" dxfId="3318" priority="142" stopIfTrue="1" operator="greaterThan">
      <formula>#REF!</formula>
    </cfRule>
  </conditionalFormatting>
  <conditionalFormatting sqref="I59">
    <cfRule type="cellIs" dxfId="3317" priority="154" stopIfTrue="1" operator="greaterThan">
      <formula>$F$33</formula>
    </cfRule>
    <cfRule type="cellIs" dxfId="3316" priority="155" stopIfTrue="1" operator="lessThanOrEqual">
      <formula>0</formula>
    </cfRule>
    <cfRule type="cellIs" dxfId="3315" priority="156" stopIfTrue="1" operator="greaterThan">
      <formula>$F$35</formula>
    </cfRule>
    <cfRule type="cellIs" dxfId="3314" priority="157" stopIfTrue="1" operator="lessThanOrEqual">
      <formula>0</formula>
    </cfRule>
    <cfRule type="cellIs" dxfId="3313" priority="158" stopIfTrue="1" operator="greaterThan">
      <formula>$F$33</formula>
    </cfRule>
    <cfRule type="cellIs" dxfId="3312" priority="159" stopIfTrue="1" operator="lessThanOrEqual">
      <formula>0</formula>
    </cfRule>
  </conditionalFormatting>
  <conditionalFormatting sqref="I60:I61">
    <cfRule type="cellIs" dxfId="3311" priority="130" stopIfTrue="1" operator="greaterThan">
      <formula>#REF!</formula>
    </cfRule>
    <cfRule type="cellIs" dxfId="3310" priority="131" stopIfTrue="1" operator="lessThanOrEqual">
      <formula>0</formula>
    </cfRule>
    <cfRule type="cellIs" dxfId="3309" priority="132" stopIfTrue="1" operator="greaterThan">
      <formula>#REF!</formula>
    </cfRule>
    <cfRule type="cellIs" dxfId="3308" priority="133" stopIfTrue="1" operator="lessThanOrEqual">
      <formula>0</formula>
    </cfRule>
  </conditionalFormatting>
  <conditionalFormatting sqref="I76:I84">
    <cfRule type="cellIs" dxfId="3307" priority="182" stopIfTrue="1" operator="greaterThan">
      <formula>4.5</formula>
    </cfRule>
    <cfRule type="cellIs" dxfId="3306" priority="183" stopIfTrue="1" operator="lessThanOrEqual">
      <formula>0</formula>
    </cfRule>
  </conditionalFormatting>
  <conditionalFormatting sqref="I10:J20">
    <cfRule type="cellIs" dxfId="3305" priority="1" operator="lessThan">
      <formula>97.9</formula>
    </cfRule>
  </conditionalFormatting>
  <conditionalFormatting sqref="J23:J25">
    <cfRule type="cellIs" dxfId="3304" priority="28" operator="lessThan">
      <formula>97.95</formula>
    </cfRule>
  </conditionalFormatting>
  <conditionalFormatting sqref="J25:J27">
    <cfRule type="cellIs" dxfId="3303" priority="164" operator="lessThan">
      <formula>97.4</formula>
    </cfRule>
  </conditionalFormatting>
  <conditionalFormatting sqref="J28:J29">
    <cfRule type="cellIs" dxfId="3302" priority="165" operator="lessThan">
      <formula>98</formula>
    </cfRule>
  </conditionalFormatting>
  <conditionalFormatting sqref="J30:J31">
    <cfRule type="cellIs" dxfId="3301" priority="167" stopIfTrue="1" operator="greaterThan">
      <formula>100</formula>
    </cfRule>
    <cfRule type="cellIs" dxfId="3300" priority="166" stopIfTrue="1" operator="lessThan">
      <formula>96.8</formula>
    </cfRule>
  </conditionalFormatting>
  <conditionalFormatting sqref="J30:J32">
    <cfRule type="cellIs" dxfId="3299" priority="168" operator="lessThan">
      <formula>98</formula>
    </cfRule>
  </conditionalFormatting>
  <conditionalFormatting sqref="J61">
    <cfRule type="cellIs" dxfId="3298" priority="119" stopIfTrue="1" operator="lessThanOrEqual">
      <formula>0</formula>
    </cfRule>
    <cfRule type="cellIs" dxfId="3297" priority="125" stopIfTrue="1" operator="lessThanOrEqual">
      <formula>0</formula>
    </cfRule>
    <cfRule type="cellIs" dxfId="3296" priority="120" stopIfTrue="1" operator="greaterThan">
      <formula>#REF!</formula>
    </cfRule>
    <cfRule type="cellIs" dxfId="3295" priority="121" stopIfTrue="1" operator="lessThanOrEqual">
      <formula>0</formula>
    </cfRule>
    <cfRule type="cellIs" dxfId="3294" priority="122" stopIfTrue="1" operator="greaterThan">
      <formula>#REF!</formula>
    </cfRule>
    <cfRule type="cellIs" dxfId="3293" priority="123" stopIfTrue="1" operator="lessThanOrEqual">
      <formula>0</formula>
    </cfRule>
    <cfRule type="cellIs" dxfId="3292" priority="124" stopIfTrue="1" operator="greaterThan">
      <formula>#REF!</formula>
    </cfRule>
    <cfRule type="cellIs" dxfId="3291" priority="118" stopIfTrue="1" operator="greaterThan">
      <formula>#REF!</formula>
    </cfRule>
  </conditionalFormatting>
  <conditionalFormatting sqref="J74">
    <cfRule type="cellIs" dxfId="3290" priority="57" stopIfTrue="1" operator="lessThanOrEqual">
      <formula>0</formula>
    </cfRule>
    <cfRule type="cellIs" dxfId="3289" priority="56" stopIfTrue="1" operator="greaterThan">
      <formula>$F74</formula>
    </cfRule>
  </conditionalFormatting>
  <conditionalFormatting sqref="K10:K20">
    <cfRule type="cellIs" dxfId="3288" priority="2" operator="greaterThan">
      <formula>6</formula>
    </cfRule>
    <cfRule type="cellIs" dxfId="3287" priority="4" operator="greaterThan">
      <formula>6.4</formula>
    </cfRule>
    <cfRule type="cellIs" dxfId="3286" priority="3" operator="lessThan">
      <formula>4</formula>
    </cfRule>
  </conditionalFormatting>
  <conditionalFormatting sqref="K52:K61">
    <cfRule type="cellIs" dxfId="3285" priority="103" stopIfTrue="1" operator="lessThan">
      <formula>100%</formula>
    </cfRule>
  </conditionalFormatting>
  <conditionalFormatting sqref="K65:K73">
    <cfRule type="cellIs" dxfId="3284" priority="46" stopIfTrue="1" operator="lessThan">
      <formula>100%</formula>
    </cfRule>
  </conditionalFormatting>
  <conditionalFormatting sqref="K76:K81">
    <cfRule type="cellIs" dxfId="3283" priority="188" stopIfTrue="1" operator="lessThan">
      <formula>100%</formula>
    </cfRule>
  </conditionalFormatting>
  <conditionalFormatting sqref="K83:K84">
    <cfRule type="cellIs" dxfId="3282" priority="195" stopIfTrue="1" operator="lessThan">
      <formula>100%</formula>
    </cfRule>
  </conditionalFormatting>
  <conditionalFormatting sqref="L10:L20">
    <cfRule type="cellIs" dxfId="3281" priority="6" operator="greaterThan">
      <formula>65</formula>
    </cfRule>
    <cfRule type="cellIs" dxfId="3280" priority="5" operator="between">
      <formula>61</formula>
      <formula>65</formula>
    </cfRule>
  </conditionalFormatting>
  <conditionalFormatting sqref="L23:M34">
    <cfRule type="cellIs" dxfId="3279" priority="25" operator="lessThan">
      <formula>97.95</formula>
    </cfRule>
  </conditionalFormatting>
  <conditionalFormatting sqref="L38:N38">
    <cfRule type="cellIs" dxfId="3278" priority="82" operator="notEqual">
      <formula>#REF!</formula>
    </cfRule>
  </conditionalFormatting>
  <conditionalFormatting sqref="L65:N74">
    <cfRule type="cellIs" dxfId="3277" priority="43" stopIfTrue="1" operator="lessThan">
      <formula>100%</formula>
    </cfRule>
  </conditionalFormatting>
  <conditionalFormatting sqref="L76:N84">
    <cfRule type="cellIs" dxfId="3276" priority="173" stopIfTrue="1" operator="lessThan">
      <formula>100%</formula>
    </cfRule>
  </conditionalFormatting>
  <conditionalFormatting sqref="M10:M15 M19">
    <cfRule type="expression" dxfId="3275" priority="13">
      <formula>IF(+(IF(M10&lt;V10,0,IF(M10&gt;W10,0,1)))=0,1)</formula>
    </cfRule>
  </conditionalFormatting>
  <conditionalFormatting sqref="M20:N20">
    <cfRule type="expression" dxfId="3274" priority="26">
      <formula>IF(+(IF(M20&lt;#REF!,0,IF(M20&gt;#REF!,0,1)))=0,1)</formula>
    </cfRule>
  </conditionalFormatting>
  <conditionalFormatting sqref="N10:N15 N19">
    <cfRule type="expression" dxfId="3273" priority="12">
      <formula>IF(+(IF(N10&lt;X10,0,IF(N10&gt;Y10,0,1)))=0,1)</formula>
    </cfRule>
  </conditionalFormatting>
  <conditionalFormatting sqref="N16:N18">
    <cfRule type="expression" dxfId="3272" priority="10">
      <formula>IF(+(IF(N16&lt;W16,0,IF(N16&gt;X16,0,1)))=0,1)</formula>
    </cfRule>
  </conditionalFormatting>
  <conditionalFormatting sqref="N20">
    <cfRule type="expression" dxfId="3271" priority="24">
      <formula>IF(+(IF(N20&lt;W20,0,IF(N20&gt;X20,0,1)))=0,1)</formula>
    </cfRule>
  </conditionalFormatting>
  <conditionalFormatting sqref="P6">
    <cfRule type="cellIs" dxfId="3270" priority="169" operator="greaterThanOrEqual">
      <formula>19</formula>
    </cfRule>
  </conditionalFormatting>
  <dataValidations count="1">
    <dataValidation type="list" allowBlank="1" showInputMessage="1" showErrorMessage="1" sqref="R8" xr:uid="{18287996-89BB-4A5A-BC4E-E759984CB281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13DD-E2A4-4126-AF84-0CC5CD82ABA6}">
  <sheetPr>
    <pageSetUpPr fitToPage="1"/>
  </sheetPr>
  <dimension ref="A1:BE78"/>
  <sheetViews>
    <sheetView zoomScale="50" zoomScaleNormal="50" workbookViewId="0">
      <selection activeCell="F43" sqref="F43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12" t="s">
        <v>0</v>
      </c>
      <c r="T1" s="512"/>
      <c r="U1" s="512" t="s">
        <v>1</v>
      </c>
      <c r="V1" s="512"/>
      <c r="W1" s="512" t="s">
        <v>2</v>
      </c>
      <c r="X1" s="512"/>
      <c r="Y1" s="512" t="s">
        <v>124</v>
      </c>
      <c r="Z1" s="512"/>
    </row>
    <row r="2" spans="2:29" ht="15">
      <c r="B2" s="513" t="s">
        <v>3</v>
      </c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46240</v>
      </c>
      <c r="J4" s="398" t="s">
        <v>153</v>
      </c>
      <c r="K4" s="398"/>
      <c r="L4" s="11"/>
      <c r="M4" s="510" t="s">
        <v>8</v>
      </c>
      <c r="N4" s="511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6"/>
      <c r="D5" s="516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175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19" t="s">
        <v>18</v>
      </c>
      <c r="D8" s="519" t="s">
        <v>19</v>
      </c>
      <c r="E8" s="356" t="s">
        <v>20</v>
      </c>
      <c r="F8" s="356" t="s">
        <v>21</v>
      </c>
      <c r="G8" s="519" t="s">
        <v>22</v>
      </c>
      <c r="H8" s="520" t="s">
        <v>144</v>
      </c>
      <c r="I8" s="519" t="s">
        <v>165</v>
      </c>
      <c r="J8" s="522" t="s">
        <v>23</v>
      </c>
      <c r="K8" s="524" t="s">
        <v>142</v>
      </c>
      <c r="L8" s="526" t="s">
        <v>24</v>
      </c>
      <c r="M8" s="359" t="s">
        <v>25</v>
      </c>
      <c r="N8" s="17" t="s">
        <v>168</v>
      </c>
      <c r="O8" s="519" t="s">
        <v>155</v>
      </c>
      <c r="P8" s="514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8"/>
      <c r="C9" s="515"/>
      <c r="D9" s="515"/>
      <c r="E9" s="357" t="s">
        <v>30</v>
      </c>
      <c r="F9" s="357" t="s">
        <v>31</v>
      </c>
      <c r="G9" s="515"/>
      <c r="H9" s="521"/>
      <c r="I9" s="515"/>
      <c r="J9" s="523"/>
      <c r="K9" s="525"/>
      <c r="L9" s="527"/>
      <c r="M9" s="20" t="s">
        <v>32</v>
      </c>
      <c r="N9" s="21" t="s">
        <v>41</v>
      </c>
      <c r="O9" s="515"/>
      <c r="P9" s="515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[4]Brewhouse!$A598</f>
        <v>CA550</v>
      </c>
      <c r="D10" s="279">
        <f>[4]Brewhouse!$AF598</f>
        <v>48.6</v>
      </c>
      <c r="E10" s="279">
        <f>[4]Brewhouse!$AI598</f>
        <v>49.6</v>
      </c>
      <c r="F10" s="278">
        <f>[4]Brewhouse!$V598</f>
        <v>60</v>
      </c>
      <c r="G10" s="279">
        <f>[4]Brewhouse!AG598</f>
        <v>11.9</v>
      </c>
      <c r="H10" s="396">
        <v>12.1</v>
      </c>
      <c r="I10" s="368">
        <f>[4]Brewhouse!$AU598</f>
        <v>98.352761035087568</v>
      </c>
      <c r="J10" s="368">
        <f>[4]Brewhouse!$AV598</f>
        <v>98.901534393434602</v>
      </c>
      <c r="K10" s="281">
        <f>[4]Brewhouse!$Q598</f>
        <v>12.975970425138639</v>
      </c>
      <c r="L10" s="276">
        <f>[4]Brewhouse!$P598</f>
        <v>60</v>
      </c>
      <c r="M10" s="397">
        <f>[4]Brewhouse!$U598-[4]Brewhouse!$T598</f>
        <v>0.10902777777777778</v>
      </c>
      <c r="N10" s="370">
        <f>[4]Brewhouse!$Z598</f>
        <v>0.24236111111111114</v>
      </c>
      <c r="O10" s="420" t="str">
        <f>[4]Brewhouse!$AX598</f>
        <v>R. Regis</v>
      </c>
      <c r="P10" s="418"/>
      <c r="R10" s="277" t="str">
        <f t="shared" ref="R10:R29" si="0">B10</f>
        <v>CARIB</v>
      </c>
      <c r="S10" s="472">
        <f t="shared" ref="S10:S38" si="1">VLOOKUP($B10,$R$3:$X$9,2,FALSE)</f>
        <v>11.6</v>
      </c>
      <c r="T10" s="472">
        <f t="shared" ref="T10:T38" si="2">VLOOKUP($B10,$R$3:$X$9,3,FALSE)</f>
        <v>12</v>
      </c>
      <c r="U10" s="297">
        <f t="shared" ref="U10:U38" si="3">VLOOKUP($B10,$R$3:$X$9,4,FALSE)</f>
        <v>0</v>
      </c>
      <c r="V10" s="297">
        <f t="shared" ref="V10:V38" si="4">VLOOKUP($B10,$R$3:$X$9,5,FALSE)</f>
        <v>0.118055555555556</v>
      </c>
      <c r="W10" s="297">
        <f t="shared" ref="W10:W38" si="5">VLOOKUP($B10,$R$3:$X$9,6,FALSE)</f>
        <v>0.22569444444444445</v>
      </c>
      <c r="X10" s="297">
        <f t="shared" ref="X10:X38" si="6">VLOOKUP($B10,$R$3:$X$9,7,FALSE)</f>
        <v>0.2638888888888889</v>
      </c>
      <c r="Y10" s="297">
        <f t="shared" ref="Y10:Y38" si="7">VLOOKUP($B10,$R$3:$Z$9,8,FALSE)</f>
        <v>0</v>
      </c>
      <c r="Z10" s="472">
        <f t="shared" ref="Z10:Z38" si="8">VLOOKUP($B10,$R$3:$Z$9,9,FALSE)</f>
        <v>60</v>
      </c>
    </row>
    <row r="11" spans="2:29" ht="15" customHeight="1">
      <c r="B11" s="29" t="s">
        <v>6</v>
      </c>
      <c r="C11" s="366" t="str">
        <f>[4]Brewhouse!$A599</f>
        <v>CA551</v>
      </c>
      <c r="D11" s="279">
        <f>[4]Brewhouse!$AF599</f>
        <v>49.6</v>
      </c>
      <c r="E11" s="279">
        <f>[4]Brewhouse!$AI599</f>
        <v>50.4</v>
      </c>
      <c r="F11" s="278">
        <f>[4]Brewhouse!$V599</f>
        <v>62</v>
      </c>
      <c r="G11" s="279">
        <f>[4]Brewhouse!AG599</f>
        <v>11.8</v>
      </c>
      <c r="H11" s="396">
        <v>11.9</v>
      </c>
      <c r="I11" s="368">
        <f>[4]Brewhouse!$AU599</f>
        <v>99.302688314491746</v>
      </c>
      <c r="J11" s="368">
        <f>[4]Brewhouse!$AV599</f>
        <v>99.856688658335528</v>
      </c>
      <c r="K11" s="281">
        <f>[4]Brewhouse!$Q599</f>
        <v>11.127541589648803</v>
      </c>
      <c r="L11" s="276">
        <f>[4]Brewhouse!$P599</f>
        <v>60</v>
      </c>
      <c r="M11" s="397">
        <f>[4]Brewhouse!$U599-[4]Brewhouse!$T599</f>
        <v>0.11388888888888893</v>
      </c>
      <c r="N11" s="370">
        <f>[4]Brewhouse!$Z599</f>
        <v>0.24722222222222223</v>
      </c>
      <c r="O11" s="420" t="str">
        <f>[4]Brewhouse!$AX599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[4]Brewhouse!$A600</f>
        <v>CA552</v>
      </c>
      <c r="D12" s="279">
        <f>[4]Brewhouse!$AF600</f>
        <v>49.6</v>
      </c>
      <c r="E12" s="279">
        <f>[4]Brewhouse!$AI600</f>
        <v>50.3</v>
      </c>
      <c r="F12" s="278">
        <f>[4]Brewhouse!$V600</f>
        <v>60</v>
      </c>
      <c r="G12" s="279">
        <f>[4]Brewhouse!AG600</f>
        <v>11.7</v>
      </c>
      <c r="H12" s="396">
        <v>11.7</v>
      </c>
      <c r="I12" s="368">
        <f>[4]Brewhouse!$AU600</f>
        <v>98.222221366406799</v>
      </c>
      <c r="J12" s="368">
        <f>[4]Brewhouse!$AV600</f>
        <v>98.770193886926663</v>
      </c>
      <c r="K12" s="281">
        <f>[4]Brewhouse!$Q600</f>
        <v>9.6487985212569285</v>
      </c>
      <c r="L12" s="276">
        <f>[4]Brewhouse!$P600</f>
        <v>60</v>
      </c>
      <c r="M12" s="397">
        <f>[4]Brewhouse!$U600-[4]Brewhouse!$T600</f>
        <v>0.11875000000000002</v>
      </c>
      <c r="N12" s="370">
        <f>[4]Brewhouse!$Z600</f>
        <v>0.25208333333333333</v>
      </c>
      <c r="O12" s="420" t="str">
        <f>[4]Brewhouse!$AX600</f>
        <v>R. Regis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[4]Brewhouse!$A601</f>
        <v>CA553</v>
      </c>
      <c r="D13" s="279">
        <f>[4]Brewhouse!$AF601</f>
        <v>49.2</v>
      </c>
      <c r="E13" s="279">
        <f>[4]Brewhouse!$AI601</f>
        <v>50.7</v>
      </c>
      <c r="F13" s="278">
        <f>[4]Brewhouse!$V601</f>
        <v>63</v>
      </c>
      <c r="G13" s="279">
        <f>[4]Brewhouse!AG601</f>
        <v>11.8</v>
      </c>
      <c r="H13" s="396">
        <v>11.7</v>
      </c>
      <c r="I13" s="368">
        <f>[4]Brewhouse!$AU601</f>
        <v>99.769593439999099</v>
      </c>
      <c r="J13" s="368">
        <f>[4]Brewhouse!$AV601</f>
        <v>100.32623545665831</v>
      </c>
      <c r="K13" s="281">
        <f>[4]Brewhouse!$Q601</f>
        <v>13.345656192236596</v>
      </c>
      <c r="L13" s="276">
        <f>[4]Brewhouse!$P601</f>
        <v>61</v>
      </c>
      <c r="M13" s="397">
        <f>[4]Brewhouse!$U601-[4]Brewhouse!$T601</f>
        <v>0.11458333333333326</v>
      </c>
      <c r="N13" s="370">
        <f>[4]Brewhouse!$Z601</f>
        <v>0.25486111111111109</v>
      </c>
      <c r="O13" s="420" t="str">
        <f>[4]Brewhouse!$AX601</f>
        <v>R. Regis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[4]Brewhouse!$A602</f>
        <v>CA554</v>
      </c>
      <c r="D14" s="279">
        <f>[4]Brewhouse!$AF602</f>
        <v>48.4</v>
      </c>
      <c r="E14" s="279">
        <f>[4]Brewhouse!$AI602</f>
        <v>49.8</v>
      </c>
      <c r="F14" s="278">
        <f>[4]Brewhouse!$V602</f>
        <v>60</v>
      </c>
      <c r="G14" s="279">
        <f>[4]Brewhouse!AG602</f>
        <v>12</v>
      </c>
      <c r="H14" s="396">
        <v>12</v>
      </c>
      <c r="I14" s="368">
        <f>[4]Brewhouse!$AU602</f>
        <v>99.869825686975531</v>
      </c>
      <c r="J14" s="368">
        <f>[4]Brewhouse!$AV602</f>
        <v>100.42699003679635</v>
      </c>
      <c r="K14" s="281">
        <f>[4]Brewhouse!$Q602</f>
        <v>13.345656192236596</v>
      </c>
      <c r="L14" s="276">
        <f>[4]Brewhouse!$P602</f>
        <v>62</v>
      </c>
      <c r="M14" s="397">
        <f>[4]Brewhouse!$U602-[4]Brewhouse!$T602</f>
        <v>0.1069444444444444</v>
      </c>
      <c r="N14" s="370">
        <f>[4]Brewhouse!$Z602</f>
        <v>0.25</v>
      </c>
      <c r="O14" s="420" t="str">
        <f>[4]Brewhouse!$AX602</f>
        <v xml:space="preserve">D. Gomaz 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[4]Brewhouse!$A603</f>
        <v>CA555</v>
      </c>
      <c r="D15" s="279">
        <f>[4]Brewhouse!$AF603</f>
        <v>48.6</v>
      </c>
      <c r="E15" s="279">
        <f>[4]Brewhouse!$AI603</f>
        <v>48.7</v>
      </c>
      <c r="F15" s="278">
        <f>[4]Brewhouse!$V603</f>
        <v>53</v>
      </c>
      <c r="G15" s="279">
        <f>[4]Brewhouse!AG603</f>
        <v>11.7</v>
      </c>
      <c r="H15" s="396">
        <v>12.11</v>
      </c>
      <c r="I15" s="368">
        <f>[4]Brewhouse!$AU603</f>
        <v>94.979636183315108</v>
      </c>
      <c r="J15" s="368">
        <f>[4]Brewhouse!$AV603</f>
        <v>95.509553710326315</v>
      </c>
      <c r="K15" s="281">
        <f>[4]Brewhouse!$Q603</f>
        <v>11.333333333333329</v>
      </c>
      <c r="L15" s="276">
        <f>[4]Brewhouse!$P603</f>
        <v>60</v>
      </c>
      <c r="M15" s="397">
        <f>[4]Brewhouse!$U603-[4]Brewhouse!$T603</f>
        <v>8.1944444444444597E-2</v>
      </c>
      <c r="N15" s="370">
        <f>[4]Brewhouse!$Z603</f>
        <v>0.22777777777777786</v>
      </c>
      <c r="O15" s="420" t="str">
        <f>[4]Brewhouse!$AX603</f>
        <v xml:space="preserve">D. Gomaz 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[4]Brewhouse!$A604</f>
        <v>CA556</v>
      </c>
      <c r="D16" s="279">
        <f>[4]Brewhouse!$AF604</f>
        <v>48.2</v>
      </c>
      <c r="E16" s="279">
        <f>[4]Brewhouse!$AI604</f>
        <v>49.2</v>
      </c>
      <c r="F16" s="278">
        <f>[4]Brewhouse!$V604</f>
        <v>52</v>
      </c>
      <c r="G16" s="279">
        <f>[4]Brewhouse!AG604</f>
        <v>11.9</v>
      </c>
      <c r="H16" s="396">
        <v>12.08</v>
      </c>
      <c r="I16" s="368">
        <f>[4]Brewhouse!$AU604</f>
        <v>97.924342221439488</v>
      </c>
      <c r="J16" s="368">
        <f>[4]Brewhouse!$AV604</f>
        <v>98.470616640639733</v>
      </c>
      <c r="K16" s="281">
        <f>[4]Brewhouse!$Q604</f>
        <v>12.236598890942693</v>
      </c>
      <c r="L16" s="276">
        <f>[4]Brewhouse!$P604</f>
        <v>60</v>
      </c>
      <c r="M16" s="397">
        <f>[4]Brewhouse!$U604-[4]Brewhouse!$T604</f>
        <v>0.1131944444444446</v>
      </c>
      <c r="N16" s="370">
        <f>[4]Brewhouse!$Z604</f>
        <v>0.26944444444444449</v>
      </c>
      <c r="O16" s="420" t="str">
        <f>[4]Brewhouse!$AX604</f>
        <v>K. Benjamin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 customHeight="1">
      <c r="B17" s="488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hidden="1" customHeight="1">
      <c r="B21" s="37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hidden="1" customHeight="1">
      <c r="B22" s="37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" hidden="1" customHeight="1">
      <c r="B23" s="37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5" hidden="1" customHeight="1">
      <c r="B24" s="29"/>
      <c r="C24" s="366"/>
      <c r="D24" s="279"/>
      <c r="E24" s="279"/>
      <c r="F24" s="278"/>
      <c r="G24" s="279"/>
      <c r="H24" s="486"/>
      <c r="I24" s="368"/>
      <c r="J24" s="368"/>
      <c r="K24" s="281"/>
      <c r="L24" s="276"/>
      <c r="M24" s="397"/>
      <c r="N24" s="370"/>
      <c r="O24" s="420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customHeight="1" thickBot="1">
      <c r="B25" s="358"/>
      <c r="C25" s="358"/>
      <c r="D25" s="358"/>
      <c r="E25" s="358"/>
      <c r="F25" s="294"/>
      <c r="G25" s="294"/>
      <c r="H25" s="348"/>
      <c r="I25" s="528"/>
      <c r="J25" s="528"/>
      <c r="K25" s="528"/>
      <c r="L25" s="528"/>
      <c r="M25" s="528"/>
      <c r="N25" s="528"/>
      <c r="O25" s="1"/>
      <c r="P25" s="12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customHeight="1" thickBot="1">
      <c r="B26" s="388" t="s">
        <v>162</v>
      </c>
      <c r="C26" s="388"/>
      <c r="D26" s="529" t="s">
        <v>35</v>
      </c>
      <c r="E26" s="530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0"/>
        <v xml:space="preserve">BRAND 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7.25" customHeight="1">
      <c r="A27" s="28"/>
      <c r="B27" s="587" t="str">
        <f>I28</f>
        <v>STAG</v>
      </c>
      <c r="C27" s="362">
        <f>[3]Process!D305</f>
        <v>11.6</v>
      </c>
      <c r="D27" s="534">
        <v>11.7</v>
      </c>
      <c r="E27" s="535"/>
      <c r="F27" s="294"/>
      <c r="G27" s="294"/>
      <c r="H27" s="348"/>
      <c r="I27" s="29" t="s">
        <v>6</v>
      </c>
      <c r="J27" s="323">
        <f>AVERAGE(I10:I16)</f>
        <v>98.345866892530765</v>
      </c>
      <c r="K27" s="284">
        <f>COUNTA([4]Brewhouse!$A$595:$A$604)</f>
        <v>10</v>
      </c>
      <c r="L27" s="305">
        <f>AVERAGE([4]Brewhouse!$AU$595:$AU$604)</f>
        <v>99.507368503505745</v>
      </c>
      <c r="M27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AVERAGE([4]Brewhouse!$AU$42:$AU$123,[4]Brewhouse!$AU$125:$AU$188,[4]Brewhouse!$AU$198:$AU$290,[4]Brewhouse!$AU$292:$AU$370,[4]Brewhouse!$AU$372:$AU$439,[4]Brewhouse!$AU$441:$AU$497,[4]Brewhouse!$AU$499:$AU$519,[4]Brewhouse!$AU$521:$AU$593,[4]Brewhouse!$AU$595:$AU$604)</f>
        <v>98.193028766576333</v>
      </c>
      <c r="N27" s="30">
        <v>98</v>
      </c>
      <c r="O27" s="11"/>
      <c r="P27" s="31"/>
      <c r="R27" s="277" t="str">
        <f t="shared" si="0"/>
        <v>STAG</v>
      </c>
      <c r="S27" s="472">
        <f t="shared" si="1"/>
        <v>11.6</v>
      </c>
      <c r="T27" s="472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472">
        <f t="shared" si="8"/>
        <v>60</v>
      </c>
    </row>
    <row r="28" spans="1:26" ht="15" customHeight="1">
      <c r="A28" s="28"/>
      <c r="B28" s="588"/>
      <c r="C28" s="362">
        <f>[3]Process!D306</f>
        <v>11.7</v>
      </c>
      <c r="D28" s="536"/>
      <c r="E28" s="537"/>
      <c r="F28" s="294"/>
      <c r="G28" s="294"/>
      <c r="H28" s="348"/>
      <c r="I28" s="33" t="s">
        <v>9</v>
      </c>
      <c r="J28" s="323"/>
      <c r="K28" s="284">
        <f>COUNTA([3]Brewhouse!$A$327:$A$335)</f>
        <v>9</v>
      </c>
      <c r="L28" s="302">
        <f>AVERAGE([3]Brewhouse!$AS$327:$AS$335)</f>
        <v>99.373910897846002</v>
      </c>
      <c r="M28" s="302">
        <f>AVERAGE([3]Brewhouse!$AS$52:$AS$81,[3]Brewhouse!$AS$83:$AS$124,[3]Brewhouse!$AS$134:$AS$177,[3]Brewhouse!$AS$22:$AS$179,[3]Brewhouse!$AS$214:$AS$249,[3]Brewhouse!$AS$252:$AS$293,[3]Brewhouse!$AS$295:$AS$325,[3]Brewhouse!$AS$327:$AS$335)</f>
        <v>98.172943853015084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588"/>
      <c r="C29" s="362">
        <f>[3]Process!D307</f>
        <v>11.8</v>
      </c>
      <c r="D29" s="538">
        <v>11.75</v>
      </c>
      <c r="E29" s="539"/>
      <c r="F29" s="294"/>
      <c r="G29" s="294"/>
      <c r="H29" s="348"/>
      <c r="I29" s="34" t="s">
        <v>12</v>
      </c>
      <c r="J29" s="323"/>
      <c r="K29" s="284"/>
      <c r="L29" s="302"/>
      <c r="M29" s="302">
        <f>AVERAGE([5]Brewhouse!$AU$16:$AU$23,[5]Brewhouse!$AU$25:$AU$32,[5]Brewhouse!$AU$34:$AU$41,[5]Brewhouse!$AU$43:$AU$60,[5]Brewhouse!$AU$62:$AU$69,[5]Brewhouse!$AU$71:$AU$88)</f>
        <v>96.520985666401089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88"/>
      <c r="C30" s="362">
        <f>[3]Process!D308</f>
        <v>11.8</v>
      </c>
      <c r="D30" s="540"/>
      <c r="E30" s="537"/>
      <c r="F30" s="294"/>
      <c r="G30" s="294"/>
      <c r="H30" s="348"/>
      <c r="I30" s="22" t="s">
        <v>33</v>
      </c>
      <c r="J30" s="280"/>
      <c r="K30" s="284"/>
      <c r="L30" s="302"/>
      <c r="M30" s="302">
        <f>AVERAGE([6]Brewhouse!$AV$23:$AV$34,[6]Brewhouse!$AV$36,[6]Brewhouse!$AV$38:$AV$52,[6]Brewhouse!$AV$54:$AV$60,[6]Brewhouse!$AV$62:$AV$69,[6]Brewhouse!$AV$71:$AV$78,[6]Brewhouse!$AV$80:$AV$87)</f>
        <v>97.513042763382714</v>
      </c>
      <c r="N30" s="30">
        <v>98</v>
      </c>
      <c r="O30" s="11"/>
      <c r="P30" s="31"/>
      <c r="R30" s="277">
        <f t="shared" ref="R30:R38" si="9">B30</f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88"/>
      <c r="C31" s="362">
        <f>[3]Process!D309</f>
        <v>11.8</v>
      </c>
      <c r="D31" s="538">
        <v>11.7</v>
      </c>
      <c r="E31" s="539"/>
      <c r="F31" s="294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9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88"/>
      <c r="C32" s="362">
        <f>[3]Process!D310</f>
        <v>11.9</v>
      </c>
      <c r="D32" s="540"/>
      <c r="E32" s="537"/>
      <c r="F32" s="417"/>
      <c r="G32" s="294"/>
      <c r="H32" s="348"/>
      <c r="I32" s="36" t="s">
        <v>15</v>
      </c>
      <c r="J32" s="323"/>
      <c r="K32" s="284"/>
      <c r="L32" s="302"/>
      <c r="M32" s="302">
        <f>AVERAGE([7]Brewhouse!$AT$4:$AT$11,[7]Brewhouse!$AT$13:$AT$16,[7]Brewhouse!$AT$18:$AT$21)</f>
        <v>91.832675391763644</v>
      </c>
      <c r="N32" s="30">
        <v>98</v>
      </c>
      <c r="O32" s="11"/>
      <c r="P32" s="31"/>
      <c r="R32" s="277">
        <f t="shared" si="9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88"/>
      <c r="C33" s="362"/>
      <c r="D33" s="538"/>
      <c r="E33" s="539"/>
      <c r="F33" s="417"/>
      <c r="G33" s="294"/>
      <c r="H33" s="348"/>
      <c r="I33" s="37" t="s">
        <v>16</v>
      </c>
      <c r="J33" s="323"/>
      <c r="K33" s="284">
        <f>COUNTA([8]Brewhouse!$A$84:$A$91)</f>
        <v>8</v>
      </c>
      <c r="L33" s="302">
        <f>AVERAGE([8]Brewhouse!$AY$84:$AY$91)</f>
        <v>97.517044199257398</v>
      </c>
      <c r="M33" s="302">
        <f>AVERAGE([8]Brewhouse!$AY$5:$AY$14,[8]Brewhouse!$AY$16:$AY$23,[8]Brewhouse!$AY$42,[8]Brewhouse!$AY$44:$AY$51,[8]Brewhouse!$AY$53:$AY$64,[8]Brewhouse!$AY$66:$AY$73,[8]Brewhouse!$AY$75:$AY$82,[8]Brewhouse!$AY$84:$AY$91)</f>
        <v>98.050826041639255</v>
      </c>
      <c r="N33" s="30">
        <v>98</v>
      </c>
      <c r="O33" s="11"/>
      <c r="P33" s="31" t="s">
        <v>41</v>
      </c>
      <c r="R33" s="277">
        <f t="shared" si="9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88"/>
      <c r="C34" s="362"/>
      <c r="D34" s="540"/>
      <c r="E34" s="537"/>
      <c r="F34" s="294"/>
      <c r="G34" s="294"/>
      <c r="H34" s="348"/>
      <c r="I34" s="411" t="s">
        <v>158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9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56" ht="14.65" customHeight="1">
      <c r="A35" s="28"/>
      <c r="B35" s="588"/>
      <c r="C35" s="349"/>
      <c r="D35" s="538"/>
      <c r="E35" s="539"/>
      <c r="F35" s="294"/>
      <c r="G35" s="294"/>
      <c r="H35" s="348"/>
      <c r="I35" s="410" t="s">
        <v>157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9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588"/>
      <c r="C36" s="349"/>
      <c r="D36" s="540"/>
      <c r="E36" s="537"/>
      <c r="F36" s="294"/>
      <c r="G36" s="294"/>
      <c r="H36" s="348"/>
      <c r="I36" s="406" t="s">
        <v>156</v>
      </c>
      <c r="J36" s="327"/>
      <c r="K36" s="407"/>
      <c r="L36" s="408"/>
      <c r="M36" s="408"/>
      <c r="N36" s="409">
        <v>98</v>
      </c>
      <c r="O36" s="11"/>
      <c r="P36" s="31"/>
      <c r="R36" s="277">
        <f t="shared" si="9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" customHeight="1" thickBot="1">
      <c r="A37" s="28"/>
      <c r="B37" s="588"/>
      <c r="C37" s="349"/>
      <c r="D37" s="534"/>
      <c r="E37" s="535"/>
      <c r="F37" s="294"/>
      <c r="G37" s="294"/>
      <c r="H37" s="348"/>
      <c r="I37" s="1"/>
      <c r="J37" s="39"/>
      <c r="K37" s="404">
        <f>SUM(K27:K36)</f>
        <v>27</v>
      </c>
      <c r="L37" s="405">
        <f>((L27*K27)+(L28*K28)+(L29*K29)+(L30*K30)+(L31*K31)+(K34*L34)+(L32*K32)+(L33*K33)+(L36*K36))/(K37)</f>
        <v>98.873156915175215</v>
      </c>
      <c r="M37" s="405">
        <f>AVERAGE('[9]Jan30th-31st'!$L$42,'[10]Feb 27th-28th'!$L$45,'[11]Mar 31st'!$L$42,'[12]Apr 30th'!$L$41,'[13]May 29th '!$L$35,'[14]June 30th'!$L$32,[15]July31st!$L$36,L37)</f>
        <v>98.014654746130063</v>
      </c>
      <c r="N37" s="40">
        <v>98</v>
      </c>
      <c r="O37" s="11"/>
      <c r="P37" s="31"/>
      <c r="R37" s="277">
        <f t="shared" si="9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.75" thickBot="1">
      <c r="B38" s="603"/>
      <c r="C38" s="350"/>
      <c r="D38" s="536"/>
      <c r="E38" s="537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9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.75" thickBot="1">
      <c r="B39" s="587"/>
      <c r="C39" s="362"/>
      <c r="D39" s="577"/>
      <c r="E39" s="578"/>
      <c r="F39" s="294"/>
      <c r="G39" s="42"/>
      <c r="H39" s="41"/>
      <c r="I39" s="42"/>
      <c r="J39" s="544" t="s">
        <v>129</v>
      </c>
      <c r="K39" s="544"/>
      <c r="L39" s="294"/>
      <c r="M39" s="294"/>
      <c r="N39" s="294"/>
      <c r="O39" s="294"/>
      <c r="P39" s="12"/>
    </row>
    <row r="40" spans="1:56" ht="15.75" thickBot="1">
      <c r="B40" s="588"/>
      <c r="C40" s="362"/>
      <c r="D40" s="540"/>
      <c r="E40" s="537"/>
      <c r="F40" s="294"/>
      <c r="G40" s="42"/>
      <c r="H40" s="42"/>
      <c r="I40" s="42"/>
      <c r="J40" s="292" t="s">
        <v>17</v>
      </c>
      <c r="K40" s="293"/>
      <c r="L40" s="545" t="s">
        <v>136</v>
      </c>
      <c r="M40" s="545"/>
      <c r="N40" s="546"/>
      <c r="O40" s="294"/>
      <c r="P40" s="12"/>
    </row>
    <row r="41" spans="1:56" ht="15" customHeight="1" thickBot="1">
      <c r="B41" s="588"/>
      <c r="C41" s="349"/>
      <c r="D41" s="538"/>
      <c r="E41" s="539"/>
      <c r="F41" s="294"/>
      <c r="G41" s="42"/>
      <c r="H41" s="42"/>
      <c r="I41" s="42"/>
      <c r="J41" s="287" t="s">
        <v>6</v>
      </c>
      <c r="K41" s="324">
        <v>7</v>
      </c>
      <c r="L41" s="473" t="s">
        <v>37</v>
      </c>
      <c r="M41" s="474" t="s">
        <v>38</v>
      </c>
      <c r="N41" s="474" t="s">
        <v>84</v>
      </c>
      <c r="O41" s="294"/>
      <c r="P41" s="12"/>
    </row>
    <row r="42" spans="1:56" ht="15.75" customHeight="1" thickBot="1">
      <c r="B42" s="588"/>
      <c r="C42" s="349"/>
      <c r="D42" s="540"/>
      <c r="E42" s="537"/>
      <c r="F42" s="294"/>
      <c r="G42" s="42"/>
      <c r="H42" s="42"/>
      <c r="I42" s="42"/>
      <c r="J42" s="345" t="s">
        <v>9</v>
      </c>
      <c r="K42" s="324"/>
      <c r="L42" s="494">
        <f>AVERAGE(K51,'Aug 3rd '!K47,'Aug 2nd'!K52,'Aug 4th'!K47)</f>
        <v>6.75</v>
      </c>
      <c r="M42" s="495">
        <f>AVERAGE('[9]Jan30th-31st'!$L$47,L42,'[10]Feb 26th '!$L$39,'[11]Mar 31st'!$L$47,'[12]Apr 30th'!$L$46,'[13]May 29th '!$L$40,'[14]June 30th'!$L$39)</f>
        <v>6.401383399209486</v>
      </c>
      <c r="N42" s="416">
        <v>9.1999999999999993</v>
      </c>
      <c r="O42" s="294"/>
      <c r="P42" s="12"/>
    </row>
    <row r="43" spans="1:56" ht="15" customHeight="1">
      <c r="B43" s="588"/>
      <c r="C43" s="349"/>
      <c r="D43" s="538"/>
      <c r="E43" s="539"/>
      <c r="F43" s="294"/>
      <c r="G43" s="42"/>
      <c r="H43" s="42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88"/>
      <c r="C44" s="349"/>
      <c r="D44" s="540"/>
      <c r="E44" s="537"/>
      <c r="F44" s="294"/>
      <c r="G44" s="42"/>
      <c r="H44" s="42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88"/>
      <c r="C45" s="349"/>
      <c r="D45" s="538"/>
      <c r="E45" s="539"/>
      <c r="F45" s="294"/>
      <c r="G45" s="42"/>
      <c r="H45" s="42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88"/>
      <c r="C46" s="349"/>
      <c r="D46" s="540"/>
      <c r="E46" s="537"/>
      <c r="F46" s="294"/>
      <c r="G46" s="42"/>
      <c r="H46" s="42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88"/>
      <c r="C47" s="349"/>
      <c r="D47" s="538"/>
      <c r="E47" s="539"/>
      <c r="F47" s="294"/>
      <c r="G47" s="42"/>
      <c r="H47" s="42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89"/>
      <c r="C48" s="350"/>
      <c r="D48" s="547"/>
      <c r="E48" s="548"/>
      <c r="F48" s="294" t="s">
        <v>166</v>
      </c>
      <c r="G48" s="42"/>
      <c r="H48" s="42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49"/>
      <c r="E49" s="550"/>
      <c r="F49" s="294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2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2"/>
      <c r="I51" s="42"/>
      <c r="J51" s="346" t="s">
        <v>130</v>
      </c>
      <c r="K51" s="324">
        <f>SUM(K41:K50)</f>
        <v>7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42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551" t="s">
        <v>17</v>
      </c>
      <c r="C54" s="551" t="s">
        <v>44</v>
      </c>
      <c r="D54" s="554" t="s">
        <v>45</v>
      </c>
      <c r="E54" s="519" t="s">
        <v>46</v>
      </c>
      <c r="F54" s="568" t="s">
        <v>47</v>
      </c>
      <c r="G54" s="563" t="s">
        <v>48</v>
      </c>
      <c r="H54" s="551" t="s">
        <v>49</v>
      </c>
      <c r="I54" s="551" t="s">
        <v>50</v>
      </c>
      <c r="J54" s="557" t="s">
        <v>28</v>
      </c>
      <c r="K54" s="517" t="s">
        <v>51</v>
      </c>
      <c r="L54" s="566" t="s">
        <v>52</v>
      </c>
      <c r="M54" s="557" t="s">
        <v>53</v>
      </c>
      <c r="N54" s="13"/>
      <c r="O54" s="13"/>
      <c r="P54" s="50"/>
    </row>
    <row r="55" spans="2:57" ht="28.5" customHeight="1" thickTop="1" thickBot="1">
      <c r="B55" s="552"/>
      <c r="C55" s="553"/>
      <c r="D55" s="555"/>
      <c r="E55" s="556"/>
      <c r="F55" s="569"/>
      <c r="G55" s="564"/>
      <c r="H55" s="552"/>
      <c r="I55" s="552"/>
      <c r="J55" s="558"/>
      <c r="K55" s="565"/>
      <c r="L55" s="567"/>
      <c r="M55" s="558"/>
      <c r="N55" s="13"/>
      <c r="O55" s="13"/>
      <c r="P55" s="50"/>
      <c r="Q55" s="355"/>
      <c r="AB55" s="475">
        <v>43474</v>
      </c>
      <c r="AC55" s="475">
        <v>43475</v>
      </c>
      <c r="AD55" s="475">
        <v>43476</v>
      </c>
      <c r="AE55" s="475">
        <v>43477</v>
      </c>
      <c r="AF55" s="475">
        <v>43478</v>
      </c>
      <c r="AG55" s="475">
        <v>43479</v>
      </c>
      <c r="AH55" s="475">
        <v>43480</v>
      </c>
      <c r="AI55" s="475">
        <v>43481</v>
      </c>
      <c r="AJ55" s="475">
        <v>43482</v>
      </c>
      <c r="AK55" s="475">
        <v>43483</v>
      </c>
      <c r="AL55" s="475">
        <v>43484</v>
      </c>
      <c r="AM55" s="475">
        <v>43485</v>
      </c>
      <c r="AN55" s="475">
        <v>43486</v>
      </c>
      <c r="AO55" s="475">
        <v>43487</v>
      </c>
      <c r="AP55" s="475">
        <v>43488</v>
      </c>
      <c r="AQ55" s="475">
        <v>43489</v>
      </c>
      <c r="AR55" s="475">
        <v>43490</v>
      </c>
      <c r="AS55" s="475">
        <v>43491</v>
      </c>
      <c r="AT55" s="475">
        <v>43492</v>
      </c>
      <c r="AU55" s="475">
        <v>43493</v>
      </c>
      <c r="AV55" s="475">
        <v>43494</v>
      </c>
      <c r="AW55" s="475">
        <v>43495</v>
      </c>
      <c r="AX55" s="475">
        <v>43496</v>
      </c>
    </row>
    <row r="56" spans="2:57" s="54" customFormat="1" ht="36.75" hidden="1" customHeight="1" thickBot="1">
      <c r="B56" s="484" t="str">
        <f>J42</f>
        <v>STAG</v>
      </c>
      <c r="C56" s="479">
        <v>46218</v>
      </c>
      <c r="D56" s="445">
        <f>[35]July_2026!$R$13</f>
        <v>195.67999999999998</v>
      </c>
      <c r="E56" s="443"/>
      <c r="F56" s="444"/>
      <c r="G56" s="444">
        <f>[35]July_2026!$R$17</f>
        <v>184</v>
      </c>
      <c r="H56" s="458"/>
      <c r="I56" s="458"/>
      <c r="J56" s="448" t="s">
        <v>170</v>
      </c>
      <c r="K56" s="449">
        <f>[36]July_2026!$R$25</f>
        <v>0.32280701754385965</v>
      </c>
      <c r="L56" s="457">
        <f>(((D56+E56)-G56)/(D56+E56))*100</f>
        <v>5.9689288634505209</v>
      </c>
      <c r="M56" s="455" t="s">
        <v>171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[16]January_2019!L5</f>
        <v>0</v>
      </c>
      <c r="AC56" s="57">
        <f>[16]January_2019!M5</f>
        <v>0</v>
      </c>
      <c r="AD56" s="57">
        <f>[16]January_2019!N5</f>
        <v>0</v>
      </c>
      <c r="AE56" s="57">
        <f>[16]January_2019!O5</f>
        <v>0</v>
      </c>
      <c r="AF56" s="57">
        <f>[16]January_2019!P5</f>
        <v>0</v>
      </c>
      <c r="AG56" s="57">
        <f>[16]January_2019!Q5</f>
        <v>0</v>
      </c>
      <c r="AH56" s="57">
        <f>[16]January_2019!R5</f>
        <v>0</v>
      </c>
      <c r="AI56" s="57">
        <f>[16]January_2019!S5</f>
        <v>0</v>
      </c>
      <c r="AJ56" s="57">
        <f>[16]January_2019!T5</f>
        <v>0</v>
      </c>
      <c r="AK56" s="57">
        <f>[16]January_2019!U5</f>
        <v>0</v>
      </c>
      <c r="AL56" s="57">
        <f>[16]January_2019!V5</f>
        <v>0</v>
      </c>
      <c r="AM56" s="57">
        <f>[16]January_2019!W5</f>
        <v>0</v>
      </c>
      <c r="AN56" s="57">
        <f>[16]January_2019!X5</f>
        <v>0</v>
      </c>
      <c r="AO56" s="57">
        <f>[16]January_2019!Y5</f>
        <v>0</v>
      </c>
      <c r="AP56" s="57">
        <f>[16]January_2019!Z5</f>
        <v>0</v>
      </c>
      <c r="AQ56" s="57">
        <f>[16]January_2019!AA5</f>
        <v>0</v>
      </c>
      <c r="AR56" s="57">
        <f>[16]January_2019!AB5</f>
        <v>0</v>
      </c>
      <c r="AS56" s="57">
        <f>[16]January_2019!AC5</f>
        <v>0</v>
      </c>
      <c r="AT56" s="57">
        <f>[16]January_2019!AD5</f>
        <v>0</v>
      </c>
      <c r="AU56" s="57">
        <f>[16]January_2019!AE5</f>
        <v>0</v>
      </c>
      <c r="AV56" s="57">
        <f>[16]January_2019!AF5</f>
        <v>0</v>
      </c>
      <c r="AW56" s="57">
        <f>[16]January_2019!AG5</f>
        <v>0</v>
      </c>
      <c r="AX56" s="277">
        <f>[16]January_2019!AH5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4.25" hidden="1" customHeight="1" thickBot="1">
      <c r="B57" s="480"/>
      <c r="C57" s="479"/>
      <c r="D57" s="442"/>
      <c r="E57" s="443"/>
      <c r="F57" s="444"/>
      <c r="G57" s="445"/>
      <c r="H57" s="458"/>
      <c r="I57" s="458"/>
      <c r="J57" s="476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[16]January_2019!L6</f>
        <v>0</v>
      </c>
      <c r="AC57" s="57">
        <f>[16]January_2019!M6</f>
        <v>0</v>
      </c>
      <c r="AD57" s="57">
        <f>[16]January_2019!N6</f>
        <v>0</v>
      </c>
      <c r="AE57" s="57">
        <f>[16]January_2019!O6</f>
        <v>0</v>
      </c>
      <c r="AF57" s="57">
        <f>[16]January_2019!P6</f>
        <v>0</v>
      </c>
      <c r="AG57" s="57">
        <f>[16]January_2019!Q6</f>
        <v>0</v>
      </c>
      <c r="AH57" s="57">
        <f>[16]January_2019!R6</f>
        <v>0</v>
      </c>
      <c r="AI57" s="57">
        <f>[16]January_2019!S6</f>
        <v>0</v>
      </c>
      <c r="AJ57" s="57">
        <f>[16]January_2019!T6</f>
        <v>0</v>
      </c>
      <c r="AK57" s="57">
        <f>[16]January_2019!U6</f>
        <v>0</v>
      </c>
      <c r="AL57" s="57">
        <f>[16]January_2019!V6</f>
        <v>0</v>
      </c>
      <c r="AM57" s="57">
        <f>[16]January_2019!W6</f>
        <v>0</v>
      </c>
      <c r="AN57" s="57">
        <f>[16]January_2019!X6</f>
        <v>0</v>
      </c>
      <c r="AO57" s="57">
        <f>[16]January_2019!Y6</f>
        <v>0</v>
      </c>
      <c r="AP57" s="57">
        <f>[16]January_2019!Z6</f>
        <v>0</v>
      </c>
      <c r="AQ57" s="57">
        <f>[16]January_2019!AA6</f>
        <v>0</v>
      </c>
      <c r="AR57" s="57">
        <f>[16]January_2019!AB6</f>
        <v>0</v>
      </c>
      <c r="AS57" s="57">
        <f>[16]January_2019!AC6</f>
        <v>0</v>
      </c>
      <c r="AT57" s="57">
        <f>[16]January_2019!AD6</f>
        <v>0</v>
      </c>
      <c r="AU57" s="57">
        <f>[16]January_2019!AE6</f>
        <v>0</v>
      </c>
      <c r="AV57" s="57">
        <f>[16]January_2019!AF6</f>
        <v>0</v>
      </c>
      <c r="AW57" s="57">
        <f>[16]January_2019!AG6</f>
        <v>0</v>
      </c>
      <c r="AX57" s="277">
        <f>[16]January_2019!AH6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37.15" customHeight="1" thickBot="1">
      <c r="B58" s="480" t="str">
        <f>J41</f>
        <v>CARIB</v>
      </c>
      <c r="C58" s="479">
        <v>46239</v>
      </c>
      <c r="D58" s="442">
        <f>[35]August_2026!$H$13</f>
        <v>342.6</v>
      </c>
      <c r="E58" s="443"/>
      <c r="F58" s="444"/>
      <c r="G58" s="444">
        <f>[35]August_2026!$H$17</f>
        <v>295.3</v>
      </c>
      <c r="H58" s="458"/>
      <c r="I58" s="458"/>
      <c r="J58" s="448" t="s">
        <v>172</v>
      </c>
      <c r="K58" s="449">
        <f>[36]August_2026!$H$25</f>
        <v>1.0361403508771929</v>
      </c>
      <c r="L58" s="457">
        <f>(((D58+E58)-G58)/(D58+E58))*100</f>
        <v>13.806187974314071</v>
      </c>
      <c r="M58" s="455" t="s">
        <v>173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[16]January_2019!L7</f>
        <v>285.8</v>
      </c>
      <c r="AC58" s="57">
        <f>[16]January_2019!M7</f>
        <v>508.1</v>
      </c>
      <c r="AD58" s="57">
        <f>[16]January_2019!N7</f>
        <v>0</v>
      </c>
      <c r="AE58" s="57">
        <f>[16]January_2019!O7</f>
        <v>0</v>
      </c>
      <c r="AF58" s="57">
        <f>[16]January_2019!P7</f>
        <v>109.56666666666666</v>
      </c>
      <c r="AG58" s="57">
        <f>[16]January_2019!Q7</f>
        <v>297.64999999999998</v>
      </c>
      <c r="AH58" s="57">
        <f>[16]January_2019!R7</f>
        <v>122.3</v>
      </c>
      <c r="AI58" s="57">
        <f>[16]January_2019!S7</f>
        <v>0</v>
      </c>
      <c r="AJ58" s="57">
        <f>[16]January_2019!T7</f>
        <v>294.7</v>
      </c>
      <c r="AK58" s="57">
        <f>[16]January_2019!U7</f>
        <v>280.5</v>
      </c>
      <c r="AL58" s="57">
        <f>[16]January_2019!V7</f>
        <v>0</v>
      </c>
      <c r="AM58" s="57">
        <f>[16]January_2019!W7</f>
        <v>0</v>
      </c>
      <c r="AN58" s="57">
        <f>[16]January_2019!X7</f>
        <v>188.25</v>
      </c>
      <c r="AO58" s="57">
        <f>[16]January_2019!Y7</f>
        <v>295.7</v>
      </c>
      <c r="AP58" s="57">
        <f>[16]January_2019!Z7</f>
        <v>257.8</v>
      </c>
      <c r="AQ58" s="57">
        <f>[16]January_2019!AA7</f>
        <v>291.2</v>
      </c>
      <c r="AR58" s="57">
        <f>[16]January_2019!AB7</f>
        <v>187</v>
      </c>
      <c r="AS58" s="57">
        <f>[16]January_2019!AC7</f>
        <v>0</v>
      </c>
      <c r="AT58" s="57">
        <f>[16]January_2019!AD7</f>
        <v>0</v>
      </c>
      <c r="AU58" s="57">
        <f>[16]January_2019!AE7</f>
        <v>485.1</v>
      </c>
      <c r="AV58" s="57">
        <f>[16]January_2019!AF7</f>
        <v>171.55</v>
      </c>
      <c r="AW58" s="57">
        <f>[16]January_2019!AG7</f>
        <v>423.8</v>
      </c>
      <c r="AX58" s="277">
        <f>[16]January_2019!AH7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19.5" customHeight="1" thickBot="1">
      <c r="B59" s="478"/>
      <c r="C59" s="430"/>
      <c r="D59" s="431"/>
      <c r="E59" s="432"/>
      <c r="F59" s="433"/>
      <c r="G59" s="434"/>
      <c r="H59" s="458"/>
      <c r="I59" s="458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8.65" customHeight="1" thickBot="1">
      <c r="B60" s="484"/>
      <c r="C60" s="479"/>
      <c r="D60" s="442"/>
      <c r="E60" s="443"/>
      <c r="F60" s="444"/>
      <c r="G60" s="445"/>
      <c r="H60" s="458"/>
      <c r="I60" s="458"/>
      <c r="J60" s="448"/>
      <c r="K60" s="459"/>
      <c r="L60" s="476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" hidden="1">
      <c r="B61" s="453"/>
      <c r="C61" s="430"/>
      <c r="D61" s="431"/>
      <c r="E61" s="432"/>
      <c r="F61" s="433"/>
      <c r="G61" s="434"/>
      <c r="H61" s="435"/>
      <c r="I61" s="450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hidden="1" customHeight="1" thickBot="1">
      <c r="B62" s="482"/>
      <c r="C62" s="479"/>
      <c r="D62" s="442"/>
      <c r="E62" s="443"/>
      <c r="F62" s="444"/>
      <c r="G62" s="445"/>
      <c r="H62" s="446"/>
      <c r="I62" s="447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hidden="1" customHeight="1" thickBot="1">
      <c r="B63" s="437"/>
      <c r="C63" s="423"/>
      <c r="D63" s="424"/>
      <c r="E63" s="425"/>
      <c r="F63" s="426"/>
      <c r="G63" s="427"/>
      <c r="H63" s="428"/>
      <c r="I63" s="438"/>
      <c r="J63" s="439"/>
      <c r="K63" s="429"/>
      <c r="L63" s="440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s="54" customFormat="1" ht="37.15" hidden="1" customHeight="1" thickBot="1">
      <c r="B64" s="456"/>
      <c r="C64" s="441"/>
      <c r="D64" s="442"/>
      <c r="E64" s="443"/>
      <c r="F64" s="444"/>
      <c r="G64" s="445"/>
      <c r="H64" s="446"/>
      <c r="I64" s="447"/>
      <c r="J64" s="448"/>
      <c r="K64" s="449"/>
      <c r="L64" s="457"/>
      <c r="M64" s="45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66"/>
      <c r="C65" s="430"/>
      <c r="D65" s="460"/>
      <c r="E65" s="461"/>
      <c r="F65" s="462"/>
      <c r="G65" s="460"/>
      <c r="H65" s="463"/>
      <c r="I65" s="463"/>
      <c r="J65" s="463"/>
      <c r="K65" s="464"/>
      <c r="L65" s="465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59" t="s">
        <v>55</v>
      </c>
      <c r="C67" s="560"/>
      <c r="D67" s="560"/>
      <c r="E67" s="560"/>
      <c r="F67" s="561"/>
      <c r="G67" s="559" t="s">
        <v>56</v>
      </c>
      <c r="H67" s="560"/>
      <c r="I67" s="560"/>
      <c r="J67" s="561"/>
      <c r="K67" s="559" t="s">
        <v>51</v>
      </c>
      <c r="L67" s="560"/>
      <c r="M67" s="560"/>
      <c r="N67" s="562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/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65">
        <f>L58</f>
        <v>13.806187974314071</v>
      </c>
      <c r="D69" s="76">
        <v>5.3537284894837418</v>
      </c>
      <c r="E69" s="76"/>
      <c r="F69" s="66">
        <v>4.8</v>
      </c>
      <c r="G69" s="65">
        <f>[35]August_2026!$H$21</f>
        <v>14.156284692533767</v>
      </c>
      <c r="H69" s="477">
        <v>6.2741136257286234</v>
      </c>
      <c r="I69" s="477">
        <v>6.7940190114609402</v>
      </c>
      <c r="J69" s="66">
        <v>4.8</v>
      </c>
      <c r="K69" s="67">
        <f>K58</f>
        <v>1.0361403508771929</v>
      </c>
      <c r="L69" s="194">
        <v>0.49809523809523798</v>
      </c>
      <c r="M69" s="194">
        <v>0.5371800005576659</v>
      </c>
      <c r="N69" s="68">
        <v>1</v>
      </c>
      <c r="O69" s="56"/>
      <c r="P69" s="69"/>
    </row>
    <row r="70" spans="2:57" ht="15">
      <c r="B70" s="33" t="s">
        <v>9</v>
      </c>
      <c r="C70" s="65"/>
      <c r="D70" s="76">
        <v>13.806187974314071</v>
      </c>
      <c r="E70" s="76"/>
      <c r="F70" s="66">
        <v>4.8</v>
      </c>
      <c r="G70" s="65"/>
      <c r="H70" s="76">
        <v>14.156284692533767</v>
      </c>
      <c r="I70" s="76">
        <v>6.0280449027682144</v>
      </c>
      <c r="J70" s="66">
        <v>4.8</v>
      </c>
      <c r="K70" s="67"/>
      <c r="L70" s="194">
        <v>1.0361403508771929</v>
      </c>
      <c r="M70" s="194">
        <v>0.71156427372551401</v>
      </c>
      <c r="N70" s="68">
        <v>1</v>
      </c>
      <c r="P70" s="69"/>
    </row>
    <row r="71" spans="2:57" ht="15">
      <c r="B71" s="34" t="s">
        <v>40</v>
      </c>
      <c r="C71" s="65"/>
      <c r="D71" s="76">
        <v>8.0132764343290681</v>
      </c>
      <c r="E71" s="76"/>
      <c r="F71" s="66">
        <v>5.5</v>
      </c>
      <c r="G71" s="65"/>
      <c r="H71" s="76">
        <v>7.261998133908862</v>
      </c>
      <c r="I71" s="76">
        <v>11.847386208595987</v>
      </c>
      <c r="J71" s="66">
        <v>5.5</v>
      </c>
      <c r="K71" s="67"/>
      <c r="L71" s="194">
        <v>0.68070175438596492</v>
      </c>
      <c r="M71" s="194">
        <v>0.37172629490392645</v>
      </c>
      <c r="N71" s="68">
        <v>1</v>
      </c>
      <c r="P71" s="69"/>
    </row>
    <row r="72" spans="2:57" ht="15">
      <c r="B72" s="22" t="s">
        <v>33</v>
      </c>
      <c r="C72" s="65"/>
      <c r="D72" s="76"/>
      <c r="E72" s="76"/>
      <c r="F72" s="66">
        <v>3.3</v>
      </c>
      <c r="G72" s="65"/>
      <c r="H72" s="76"/>
      <c r="I72" s="76">
        <v>5.0921772905826597</v>
      </c>
      <c r="J72" s="66">
        <v>3.3</v>
      </c>
      <c r="K72" s="67"/>
      <c r="L72" s="194"/>
      <c r="M72" s="194">
        <v>0.79040935672514623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/>
      <c r="F73" s="66">
        <v>3.3</v>
      </c>
      <c r="G73" s="282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57" ht="15">
      <c r="B74" s="36" t="s">
        <v>15</v>
      </c>
      <c r="C74" s="65"/>
      <c r="D74" s="76"/>
      <c r="E74" s="76"/>
      <c r="F74" s="70">
        <v>5.5</v>
      </c>
      <c r="G74" s="65"/>
      <c r="H74" s="76"/>
      <c r="I74" s="76">
        <v>8.2405787675951316</v>
      </c>
      <c r="J74" s="66">
        <v>5.5</v>
      </c>
      <c r="K74" s="67"/>
      <c r="L74" s="194"/>
      <c r="M74" s="194">
        <v>0.78491228070175445</v>
      </c>
      <c r="N74" s="68">
        <v>1</v>
      </c>
      <c r="P74" s="69"/>
    </row>
    <row r="75" spans="2:57" ht="15">
      <c r="B75" s="37" t="s">
        <v>16</v>
      </c>
      <c r="C75" s="483"/>
      <c r="D75" s="76"/>
      <c r="E75" s="76"/>
      <c r="F75" s="66">
        <v>3.3</v>
      </c>
      <c r="G75" s="282"/>
      <c r="H75" s="76"/>
      <c r="I75" s="76">
        <v>4.9259238021167535</v>
      </c>
      <c r="J75" s="66">
        <v>3.3</v>
      </c>
      <c r="K75" s="67"/>
      <c r="L75" s="194"/>
      <c r="M75" s="194">
        <v>0.8884619883040934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/>
      <c r="F76" s="66">
        <v>7.5</v>
      </c>
      <c r="G76" s="282"/>
      <c r="H76" s="76"/>
      <c r="I76" s="76"/>
      <c r="J76" s="66">
        <v>7.5</v>
      </c>
      <c r="K76" s="67"/>
      <c r="L76" s="194"/>
      <c r="M76" s="194"/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/>
      <c r="F77" s="66">
        <v>4.8</v>
      </c>
      <c r="G77" s="282"/>
      <c r="H77" s="76"/>
      <c r="I77" s="76"/>
      <c r="J77" s="66">
        <v>4.8</v>
      </c>
      <c r="K77" s="67"/>
      <c r="L77" s="194"/>
      <c r="M77" s="194"/>
      <c r="N77" s="71">
        <v>1</v>
      </c>
      <c r="O77" s="74"/>
      <c r="P77" s="75"/>
    </row>
    <row r="78" spans="2:57" ht="15">
      <c r="D78" s="76">
        <v>7.5879007238883061</v>
      </c>
      <c r="E78" s="76"/>
      <c r="F78" s="341">
        <v>5.5</v>
      </c>
      <c r="H78" s="76">
        <v>8.0921255183245933</v>
      </c>
      <c r="I78" s="76">
        <v>6.8120633422463079</v>
      </c>
      <c r="J78" s="341">
        <v>5.5</v>
      </c>
      <c r="L78" s="194">
        <v>0.73831244778613203</v>
      </c>
      <c r="M78" s="194">
        <v>0.60904141021157188</v>
      </c>
      <c r="N78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B39:B48"/>
    <mergeCell ref="D39:E40"/>
    <mergeCell ref="J39:K39"/>
    <mergeCell ref="L40:N40"/>
    <mergeCell ref="D41:E42"/>
    <mergeCell ref="D43:E44"/>
    <mergeCell ref="D45:E46"/>
    <mergeCell ref="D47:E48"/>
    <mergeCell ref="D49:E49"/>
    <mergeCell ref="B54:B55"/>
    <mergeCell ref="C54:C55"/>
    <mergeCell ref="D54:D55"/>
    <mergeCell ref="E54:E55"/>
    <mergeCell ref="M54:M55"/>
    <mergeCell ref="B67:F67"/>
    <mergeCell ref="G67:J67"/>
    <mergeCell ref="K67:N67"/>
    <mergeCell ref="G54:G55"/>
    <mergeCell ref="H54:H55"/>
    <mergeCell ref="I54:I55"/>
    <mergeCell ref="J54:J55"/>
    <mergeCell ref="K54:K55"/>
    <mergeCell ref="L54:L55"/>
    <mergeCell ref="F54:F55"/>
  </mergeCells>
  <conditionalFormatting sqref="B49:B50">
    <cfRule type="cellIs" dxfId="3269" priority="107" operator="notBetween">
      <formula>#REF!</formula>
      <formula>#REF!</formula>
    </cfRule>
  </conditionalFormatting>
  <conditionalFormatting sqref="C53">
    <cfRule type="cellIs" dxfId="3268" priority="190" stopIfTrue="1" operator="greaterThan">
      <formula>100</formula>
    </cfRule>
    <cfRule type="cellIs" dxfId="3267" priority="189" stopIfTrue="1" operator="lessThan">
      <formula>96</formula>
    </cfRule>
  </conditionalFormatting>
  <conditionalFormatting sqref="C69:C70">
    <cfRule type="cellIs" dxfId="3266" priority="69" stopIfTrue="1" operator="greaterThan">
      <formula>$F69</formula>
    </cfRule>
    <cfRule type="cellIs" dxfId="3265" priority="70" stopIfTrue="1" operator="lessThanOrEqual">
      <formula>0</formula>
    </cfRule>
    <cfRule type="cellIs" dxfId="3264" priority="71" stopIfTrue="1" operator="greaterThan">
      <formula>$F69</formula>
    </cfRule>
    <cfRule type="cellIs" dxfId="3263" priority="72" stopIfTrue="1" operator="lessThanOrEqual">
      <formula>0</formula>
    </cfRule>
  </conditionalFormatting>
  <conditionalFormatting sqref="C71:C73 C75:C77">
    <cfRule type="cellIs" dxfId="3262" priority="79" stopIfTrue="1" operator="greaterThan">
      <formula>$F74</formula>
    </cfRule>
  </conditionalFormatting>
  <conditionalFormatting sqref="C71:C73">
    <cfRule type="cellIs" dxfId="3261" priority="80" stopIfTrue="1" operator="lessThanOrEqual">
      <formula>0</formula>
    </cfRule>
  </conditionalFormatting>
  <conditionalFormatting sqref="C74">
    <cfRule type="cellIs" dxfId="3260" priority="192" stopIfTrue="1" operator="lessThanOrEqual">
      <formula>0</formula>
    </cfRule>
    <cfRule type="cellIs" dxfId="3259" priority="194" stopIfTrue="1" operator="lessThanOrEqual">
      <formula>0</formula>
    </cfRule>
    <cfRule type="cellIs" dxfId="3258" priority="193" stopIfTrue="1" operator="greaterThan">
      <formula>$F69</formula>
    </cfRule>
    <cfRule type="cellIs" dxfId="3257" priority="191" stopIfTrue="1" operator="greaterThan">
      <formula>$F69</formula>
    </cfRule>
  </conditionalFormatting>
  <conditionalFormatting sqref="C75:C77">
    <cfRule type="cellIs" dxfId="3256" priority="81" stopIfTrue="1" operator="lessThanOrEqual">
      <formula>0</formula>
    </cfRule>
  </conditionalFormatting>
  <conditionalFormatting sqref="C80:C84">
    <cfRule type="cellIs" dxfId="3255" priority="181" stopIfTrue="1" operator="lessThanOrEqual">
      <formula>0</formula>
    </cfRule>
  </conditionalFormatting>
  <conditionalFormatting sqref="C81:C84">
    <cfRule type="cellIs" dxfId="3254" priority="180" stopIfTrue="1" operator="greaterThan">
      <formula>$F$80</formula>
    </cfRule>
  </conditionalFormatting>
  <conditionalFormatting sqref="C86">
    <cfRule type="cellIs" dxfId="3253" priority="182" stopIfTrue="1" operator="greaterThan">
      <formula>$F$80</formula>
    </cfRule>
    <cfRule type="cellIs" dxfId="3252" priority="183" stopIfTrue="1" operator="lessThanOrEqual">
      <formula>0</formula>
    </cfRule>
  </conditionalFormatting>
  <conditionalFormatting sqref="C74:D74">
    <cfRule type="cellIs" dxfId="3251" priority="67" stopIfTrue="1" operator="greaterThan">
      <formula>$J74</formula>
    </cfRule>
    <cfRule type="cellIs" dxfId="3250" priority="68" stopIfTrue="1" operator="lessThanOrEqual">
      <formula>0</formula>
    </cfRule>
  </conditionalFormatting>
  <conditionalFormatting sqref="C80:D80 D82:D88">
    <cfRule type="cellIs" dxfId="3249" priority="175" stopIfTrue="1" operator="greaterThan">
      <formula>4.5</formula>
    </cfRule>
  </conditionalFormatting>
  <conditionalFormatting sqref="D49:D50">
    <cfRule type="cellIs" dxfId="3248" priority="108" operator="notBetween">
      <formula>#REF!</formula>
      <formula>#REF!</formula>
    </cfRule>
  </conditionalFormatting>
  <conditionalFormatting sqref="D69:D73 D75:D76">
    <cfRule type="cellIs" dxfId="3247" priority="78" stopIfTrue="1" operator="lessThanOrEqual">
      <formula>0</formula>
    </cfRule>
  </conditionalFormatting>
  <conditionalFormatting sqref="D69:D73 D75:D78">
    <cfRule type="cellIs" dxfId="3246" priority="75" stopIfTrue="1" operator="greaterThan">
      <formula>$F69</formula>
    </cfRule>
    <cfRule type="cellIs" dxfId="3245" priority="74" stopIfTrue="1" operator="lessThanOrEqual">
      <formula>0</formula>
    </cfRule>
  </conditionalFormatting>
  <conditionalFormatting sqref="D77:D78">
    <cfRule type="cellIs" dxfId="3244" priority="76" stopIfTrue="1" operator="lessThanOrEqual">
      <formula>0</formula>
    </cfRule>
  </conditionalFormatting>
  <conditionalFormatting sqref="D78">
    <cfRule type="cellIs" dxfId="3243" priority="77" stopIfTrue="1" operator="lessThanOrEqual">
      <formula>0</formula>
    </cfRule>
  </conditionalFormatting>
  <conditionalFormatting sqref="D80 D82:D88">
    <cfRule type="cellIs" dxfId="3242" priority="176" stopIfTrue="1" operator="lessThanOrEqual">
      <formula>0</formula>
    </cfRule>
  </conditionalFormatting>
  <conditionalFormatting sqref="D81">
    <cfRule type="cellIs" dxfId="3241" priority="167" stopIfTrue="1" operator="greaterThan">
      <formula>$F$80</formula>
    </cfRule>
    <cfRule type="cellIs" dxfId="3240" priority="168" stopIfTrue="1" operator="lessThanOrEqual">
      <formula>0</formula>
    </cfRule>
  </conditionalFormatting>
  <conditionalFormatting sqref="E10:E24">
    <cfRule type="cellIs" dxfId="3239" priority="8" operator="lessThan">
      <formula>48</formula>
    </cfRule>
  </conditionalFormatting>
  <conditionalFormatting sqref="E52 E53:F53">
    <cfRule type="cellIs" dxfId="3238" priority="172" stopIfTrue="1" operator="greaterThan">
      <formula>100</formula>
    </cfRule>
  </conditionalFormatting>
  <conditionalFormatting sqref="E53">
    <cfRule type="cellIs" dxfId="3237" priority="170" stopIfTrue="1" operator="greaterThan">
      <formula>100</formula>
    </cfRule>
    <cfRule type="cellIs" dxfId="3236" priority="169" stopIfTrue="1" operator="lessThan">
      <formula>96.8</formula>
    </cfRule>
  </conditionalFormatting>
  <conditionalFormatting sqref="E69:E77">
    <cfRule type="cellIs" dxfId="3235" priority="40" stopIfTrue="1" operator="lessThanOrEqual">
      <formula>0</formula>
    </cfRule>
  </conditionalFormatting>
  <conditionalFormatting sqref="E69:E78">
    <cfRule type="cellIs" dxfId="3234" priority="41" stopIfTrue="1" operator="greaterThan">
      <formula>$F69</formula>
    </cfRule>
    <cfRule type="cellIs" dxfId="3233" priority="42" stopIfTrue="1" operator="lessThanOrEqual">
      <formula>0</formula>
    </cfRule>
  </conditionalFormatting>
  <conditionalFormatting sqref="E78">
    <cfRule type="cellIs" dxfId="3232" priority="43" stopIfTrue="1" operator="lessThanOrEqual">
      <formula>0</formula>
    </cfRule>
  </conditionalFormatting>
  <conditionalFormatting sqref="E80:E88">
    <cfRule type="cellIs" dxfId="3231" priority="161" stopIfTrue="1" operator="greaterThan">
      <formula>4.5</formula>
    </cfRule>
    <cfRule type="cellIs" dxfId="3230" priority="162" stopIfTrue="1" operator="lessThanOrEqual">
      <formula>0</formula>
    </cfRule>
  </conditionalFormatting>
  <conditionalFormatting sqref="E53:F53 E52">
    <cfRule type="cellIs" dxfId="3229" priority="171" stopIfTrue="1" operator="lessThan">
      <formula>96.5</formula>
    </cfRule>
  </conditionalFormatting>
  <conditionalFormatting sqref="F10:F20">
    <cfRule type="cellIs" dxfId="3228" priority="12" operator="greaterThan">
      <formula>60</formula>
    </cfRule>
  </conditionalFormatting>
  <conditionalFormatting sqref="F24">
    <cfRule type="cellIs" dxfId="3227" priority="18" operator="greaterThan">
      <formula>60</formula>
    </cfRule>
  </conditionalFormatting>
  <conditionalFormatting sqref="F53">
    <cfRule type="cellIs" dxfId="3226" priority="188" stopIfTrue="1" operator="greaterThan">
      <formula>100</formula>
    </cfRule>
    <cfRule type="cellIs" dxfId="3225" priority="187" stopIfTrue="1" operator="lessThan">
      <formula>96.8</formula>
    </cfRule>
  </conditionalFormatting>
  <conditionalFormatting sqref="G10:G16 M10:N20 H10:H24">
    <cfRule type="expression" dxfId="3224" priority="1">
      <formula>IF(+(IF(G10&lt;#REF!,0,IF(G10&gt;#REF!,0,1)))=0,1)</formula>
    </cfRule>
  </conditionalFormatting>
  <conditionalFormatting sqref="G17:G24">
    <cfRule type="expression" dxfId="3223" priority="10">
      <formula>IF(+(IF(G17&lt;S17,0,IF(G17&gt;T17,0,1)))=0,1)</formula>
    </cfRule>
  </conditionalFormatting>
  <conditionalFormatting sqref="G69:G72 F78">
    <cfRule type="cellIs" dxfId="3222" priority="50" stopIfTrue="1" operator="lessThanOrEqual">
      <formula>0</formula>
    </cfRule>
    <cfRule type="cellIs" dxfId="3221" priority="49" stopIfTrue="1" operator="greaterThan">
      <formula>$F69</formula>
    </cfRule>
  </conditionalFormatting>
  <conditionalFormatting sqref="G71:G72">
    <cfRule type="cellIs" dxfId="3220" priority="35" stopIfTrue="1" operator="greaterThan">
      <formula>$F71</formula>
    </cfRule>
    <cfRule type="cellIs" dxfId="3219" priority="36" stopIfTrue="1" operator="lessThanOrEqual">
      <formula>0</formula>
    </cfRule>
  </conditionalFormatting>
  <conditionalFormatting sqref="G73:G77">
    <cfRule type="cellIs" dxfId="3218" priority="51" stopIfTrue="1" operator="greaterThan">
      <formula>$J73</formula>
    </cfRule>
    <cfRule type="cellIs" dxfId="3217" priority="52" stopIfTrue="1" operator="lessThanOrEqual">
      <formula>0</formula>
    </cfRule>
  </conditionalFormatting>
  <conditionalFormatting sqref="G74">
    <cfRule type="cellIs" dxfId="3216" priority="196" stopIfTrue="1" operator="lessThanOrEqual">
      <formula>0</formula>
    </cfRule>
    <cfRule type="cellIs" dxfId="3215" priority="195" stopIfTrue="1" operator="greaterThan">
      <formula>$F69</formula>
    </cfRule>
  </conditionalFormatting>
  <conditionalFormatting sqref="G82:G87 C85 C87">
    <cfRule type="cellIs" dxfId="3214" priority="185" stopIfTrue="1" operator="lessThanOrEqual">
      <formula>0</formula>
    </cfRule>
    <cfRule type="cellIs" dxfId="3213" priority="184" stopIfTrue="1" operator="greaterThan">
      <formula>4.5</formula>
    </cfRule>
  </conditionalFormatting>
  <conditionalFormatting sqref="G81:H81">
    <cfRule type="cellIs" dxfId="3212" priority="166" stopIfTrue="1" operator="lessThanOrEqual">
      <formula>0</formula>
    </cfRule>
    <cfRule type="cellIs" dxfId="3211" priority="165" stopIfTrue="1" operator="greaterThan">
      <formula>$F$80</formula>
    </cfRule>
  </conditionalFormatting>
  <conditionalFormatting sqref="H38:H39 H52">
    <cfRule type="cellIs" dxfId="3210" priority="163" stopIfTrue="1" operator="greaterThan">
      <formula>0</formula>
    </cfRule>
  </conditionalFormatting>
  <conditionalFormatting sqref="H56">
    <cfRule type="cellIs" dxfId="3209" priority="54" stopIfTrue="1" operator="lessThanOrEqual">
      <formula>0</formula>
    </cfRule>
    <cfRule type="cellIs" dxfId="3208" priority="63" stopIfTrue="1" operator="greaterThan">
      <formula>$F$72</formula>
    </cfRule>
    <cfRule type="cellIs" dxfId="3207" priority="55" stopIfTrue="1" operator="greaterThan">
      <formula>$F$69</formula>
    </cfRule>
    <cfRule type="cellIs" dxfId="3206" priority="64" stopIfTrue="1" operator="lessThanOrEqual">
      <formula>0</formula>
    </cfRule>
    <cfRule type="cellIs" dxfId="3205" priority="65" stopIfTrue="1" operator="greaterThan">
      <formula>$F$70</formula>
    </cfRule>
  </conditionalFormatting>
  <conditionalFormatting sqref="H56:H57">
    <cfRule type="cellIs" dxfId="3204" priority="66" stopIfTrue="1" operator="lessThanOrEqual">
      <formula>0</formula>
    </cfRule>
  </conditionalFormatting>
  <conditionalFormatting sqref="H57 H59:H60">
    <cfRule type="cellIs" dxfId="3203" priority="93" stopIfTrue="1" operator="lessThanOrEqual">
      <formula>0</formula>
    </cfRule>
  </conditionalFormatting>
  <conditionalFormatting sqref="H57">
    <cfRule type="cellIs" dxfId="3202" priority="90" stopIfTrue="1" operator="greaterThan">
      <formula>$F$72</formula>
    </cfRule>
    <cfRule type="cellIs" dxfId="3201" priority="91" stopIfTrue="1" operator="lessThanOrEqual">
      <formula>0</formula>
    </cfRule>
    <cfRule type="cellIs" dxfId="3200" priority="92" stopIfTrue="1" operator="greaterThan">
      <formula>$F$70</formula>
    </cfRule>
    <cfRule type="cellIs" dxfId="3199" priority="82" stopIfTrue="1" operator="greaterThan">
      <formula>$F$69</formula>
    </cfRule>
  </conditionalFormatting>
  <conditionalFormatting sqref="H58">
    <cfRule type="cellIs" dxfId="3198" priority="21" stopIfTrue="1" operator="lessThanOrEqual">
      <formula>0</formula>
    </cfRule>
    <cfRule type="cellIs" dxfId="3197" priority="22" stopIfTrue="1" operator="greaterThan">
      <formula>$F$71</formula>
    </cfRule>
    <cfRule type="cellIs" dxfId="3196" priority="31" stopIfTrue="1" operator="lessThanOrEqual">
      <formula>0</formula>
    </cfRule>
    <cfRule type="cellIs" dxfId="3195" priority="32" stopIfTrue="1" operator="greaterThan">
      <formula>$F$72</formula>
    </cfRule>
    <cfRule type="cellIs" dxfId="3194" priority="33" stopIfTrue="1" operator="lessThanOrEqual">
      <formula>0</formula>
    </cfRule>
    <cfRule type="cellIs" dxfId="3193" priority="30" stopIfTrue="1" operator="greaterThan">
      <formula>$F$74</formula>
    </cfRule>
  </conditionalFormatting>
  <conditionalFormatting sqref="H59:H60">
    <cfRule type="cellIs" dxfId="3192" priority="105" stopIfTrue="1" operator="greaterThan">
      <formula>$F$70</formula>
    </cfRule>
    <cfRule type="cellIs" dxfId="3191" priority="106" stopIfTrue="1" operator="lessThanOrEqual">
      <formula>0</formula>
    </cfRule>
    <cfRule type="cellIs" dxfId="3190" priority="104" stopIfTrue="1" operator="lessThanOrEqual">
      <formula>0</formula>
    </cfRule>
    <cfRule type="cellIs" dxfId="3189" priority="95" stopIfTrue="1" operator="greaterThan">
      <formula>$F$69</formula>
    </cfRule>
    <cfRule type="cellIs" dxfId="3188" priority="103" stopIfTrue="1" operator="greaterThan">
      <formula>$F$72</formula>
    </cfRule>
  </conditionalFormatting>
  <conditionalFormatting sqref="H61:H62">
    <cfRule type="cellIs" dxfId="3187" priority="130" stopIfTrue="1" operator="lessThanOrEqual">
      <formula>0</formula>
    </cfRule>
    <cfRule type="cellIs" dxfId="3186" priority="131" stopIfTrue="1" operator="greaterThan">
      <formula>#REF!</formula>
    </cfRule>
    <cfRule type="cellIs" dxfId="3185" priority="139" stopIfTrue="1" operator="greaterThan">
      <formula>#REF!</formula>
    </cfRule>
    <cfRule type="cellIs" dxfId="3184" priority="140" stopIfTrue="1" operator="lessThanOrEqual">
      <formula>0</formula>
    </cfRule>
  </conditionalFormatting>
  <conditionalFormatting sqref="H63">
    <cfRule type="cellIs" dxfId="3183" priority="142" stopIfTrue="1" operator="lessThanOrEqual">
      <formula>0</formula>
    </cfRule>
    <cfRule type="cellIs" dxfId="3182" priority="143" stopIfTrue="1" operator="greaterThan">
      <formula>$F$37</formula>
    </cfRule>
    <cfRule type="cellIs" dxfId="3181" priority="151" stopIfTrue="1" operator="greaterThan">
      <formula>$F$40</formula>
    </cfRule>
    <cfRule type="cellIs" dxfId="3180" priority="154" stopIfTrue="1" operator="lessThanOrEqual">
      <formula>0</formula>
    </cfRule>
    <cfRule type="cellIs" dxfId="3179" priority="153" stopIfTrue="1" operator="greaterThan">
      <formula>$F$38</formula>
    </cfRule>
    <cfRule type="cellIs" dxfId="3178" priority="152" stopIfTrue="1" operator="lessThanOrEqual">
      <formula>0</formula>
    </cfRule>
  </conditionalFormatting>
  <conditionalFormatting sqref="H64:H65">
    <cfRule type="cellIs" dxfId="3177" priority="119" stopIfTrue="1" operator="greaterThan">
      <formula>#REF!</formula>
    </cfRule>
    <cfRule type="cellIs" dxfId="3176" priority="127" stopIfTrue="1" operator="greaterThan">
      <formula>#REF!</formula>
    </cfRule>
    <cfRule type="cellIs" dxfId="3175" priority="128" stopIfTrue="1" operator="lessThanOrEqual">
      <formula>0</formula>
    </cfRule>
    <cfRule type="cellIs" dxfId="3174" priority="118" stopIfTrue="1" operator="lessThanOrEqual">
      <formula>0</formula>
    </cfRule>
  </conditionalFormatting>
  <conditionalFormatting sqref="H80 H82:H88">
    <cfRule type="cellIs" dxfId="3173" priority="178" stopIfTrue="1" operator="lessThanOrEqual">
      <formula>0</formula>
    </cfRule>
    <cfRule type="cellIs" dxfId="3172" priority="177" stopIfTrue="1" operator="greaterThan">
      <formula>4.5</formula>
    </cfRule>
  </conditionalFormatting>
  <conditionalFormatting sqref="H56:I56">
    <cfRule type="cellIs" dxfId="3171" priority="56" stopIfTrue="1" operator="lessThanOrEqual">
      <formula>0</formula>
    </cfRule>
  </conditionalFormatting>
  <conditionalFormatting sqref="H56:I57 H59:I60">
    <cfRule type="cellIs" dxfId="3170" priority="53" stopIfTrue="1" operator="greaterThan">
      <formula>$F$71</formula>
    </cfRule>
  </conditionalFormatting>
  <conditionalFormatting sqref="H57:I57">
    <cfRule type="cellIs" dxfId="3169" priority="83" stopIfTrue="1" operator="lessThanOrEqual">
      <formula>0</formula>
    </cfRule>
  </conditionalFormatting>
  <conditionalFormatting sqref="H58:I58">
    <cfRule type="cellIs" dxfId="3168" priority="23" stopIfTrue="1" operator="lessThanOrEqual">
      <formula>0</formula>
    </cfRule>
    <cfRule type="cellIs" dxfId="3167" priority="20" stopIfTrue="1" operator="greaterThan">
      <formula>$F$73</formula>
    </cfRule>
  </conditionalFormatting>
  <conditionalFormatting sqref="H59:I60">
    <cfRule type="cellIs" dxfId="3166" priority="96" stopIfTrue="1" operator="lessThanOrEqual">
      <formula>0</formula>
    </cfRule>
  </conditionalFormatting>
  <conditionalFormatting sqref="H61:I62">
    <cfRule type="cellIs" dxfId="3165" priority="129" stopIfTrue="1" operator="greaterThan">
      <formula>#REF!</formula>
    </cfRule>
    <cfRule type="cellIs" dxfId="3164" priority="138" stopIfTrue="1" operator="lessThanOrEqual">
      <formula>0</formula>
    </cfRule>
    <cfRule type="cellIs" dxfId="3163" priority="137" stopIfTrue="1" operator="greaterThan">
      <formula>#REF!</formula>
    </cfRule>
    <cfRule type="cellIs" dxfId="3162" priority="132" stopIfTrue="1" operator="lessThanOrEqual">
      <formula>0</formula>
    </cfRule>
  </conditionalFormatting>
  <conditionalFormatting sqref="H63:I63">
    <cfRule type="cellIs" dxfId="3161" priority="141" stopIfTrue="1" operator="greaterThan">
      <formula>$F$39</formula>
    </cfRule>
    <cfRule type="cellIs" dxfId="3160" priority="144" stopIfTrue="1" operator="lessThanOrEqual">
      <formula>0</formula>
    </cfRule>
  </conditionalFormatting>
  <conditionalFormatting sqref="H64:I65">
    <cfRule type="cellIs" dxfId="3159" priority="126" stopIfTrue="1" operator="lessThanOrEqual">
      <formula>0</formula>
    </cfRule>
    <cfRule type="cellIs" dxfId="3158" priority="125" stopIfTrue="1" operator="greaterThan">
      <formula>#REF!</formula>
    </cfRule>
    <cfRule type="cellIs" dxfId="3157" priority="117" stopIfTrue="1" operator="greaterThan">
      <formula>#REF!</formula>
    </cfRule>
    <cfRule type="cellIs" dxfId="3156" priority="120" stopIfTrue="1" operator="lessThanOrEqual">
      <formula>0</formula>
    </cfRule>
  </conditionalFormatting>
  <conditionalFormatting sqref="H69:I76">
    <cfRule type="cellIs" dxfId="3155" priority="39" stopIfTrue="1" operator="lessThanOrEqual">
      <formula>0</formula>
    </cfRule>
    <cfRule type="cellIs" dxfId="3154" priority="38" stopIfTrue="1" operator="greaterThan">
      <formula>$J69</formula>
    </cfRule>
  </conditionalFormatting>
  <conditionalFormatting sqref="H77:I77">
    <cfRule type="cellIs" dxfId="3153" priority="46" operator="greaterThan">
      <formula>5.3</formula>
    </cfRule>
  </conditionalFormatting>
  <conditionalFormatting sqref="H78:I78">
    <cfRule type="cellIs" dxfId="3152" priority="44" stopIfTrue="1" operator="greaterThan">
      <formula>$J78</formula>
    </cfRule>
    <cfRule type="cellIs" dxfId="3151" priority="45" stopIfTrue="1" operator="lessThanOrEqual">
      <formula>0</formula>
    </cfRule>
  </conditionalFormatting>
  <conditionalFormatting sqref="I56">
    <cfRule type="cellIs" dxfId="3150" priority="62" stopIfTrue="1" operator="lessThanOrEqual">
      <formula>0</formula>
    </cfRule>
    <cfRule type="cellIs" dxfId="3149" priority="57" stopIfTrue="1" operator="greaterThan">
      <formula>$F$69</formula>
    </cfRule>
    <cfRule type="cellIs" dxfId="3148" priority="58" stopIfTrue="1" operator="lessThanOrEqual">
      <formula>0</formula>
    </cfRule>
    <cfRule type="cellIs" dxfId="3147" priority="59" stopIfTrue="1" operator="greaterThan">
      <formula>$F$71</formula>
    </cfRule>
    <cfRule type="cellIs" dxfId="3146" priority="60" stopIfTrue="1" operator="lessThanOrEqual">
      <formula>0</formula>
    </cfRule>
    <cfRule type="cellIs" dxfId="3145" priority="61" stopIfTrue="1" operator="greaterThan">
      <formula>$F$69</formula>
    </cfRule>
  </conditionalFormatting>
  <conditionalFormatting sqref="I57">
    <cfRule type="cellIs" dxfId="3144" priority="89" stopIfTrue="1" operator="lessThanOrEqual">
      <formula>0</formula>
    </cfRule>
    <cfRule type="cellIs" dxfId="3143" priority="86" stopIfTrue="1" operator="greaterThan">
      <formula>$F$71</formula>
    </cfRule>
    <cfRule type="cellIs" dxfId="3142" priority="85" stopIfTrue="1" operator="lessThanOrEqual">
      <formula>0</formula>
    </cfRule>
    <cfRule type="cellIs" dxfId="3141" priority="88" stopIfTrue="1" operator="greaterThan">
      <formula>$F$69</formula>
    </cfRule>
    <cfRule type="cellIs" dxfId="3140" priority="87" stopIfTrue="1" operator="lessThanOrEqual">
      <formula>0</formula>
    </cfRule>
    <cfRule type="cellIs" dxfId="3139" priority="84" stopIfTrue="1" operator="greaterThan">
      <formula>$F$69</formula>
    </cfRule>
  </conditionalFormatting>
  <conditionalFormatting sqref="I58">
    <cfRule type="cellIs" dxfId="3138" priority="25" stopIfTrue="1" operator="lessThanOrEqual">
      <formula>0</formula>
    </cfRule>
    <cfRule type="cellIs" dxfId="3137" priority="24" stopIfTrue="1" operator="greaterThan">
      <formula>$F$71</formula>
    </cfRule>
    <cfRule type="cellIs" dxfId="3136" priority="26" stopIfTrue="1" operator="greaterThan">
      <formula>$F$73</formula>
    </cfRule>
    <cfRule type="cellIs" dxfId="3135" priority="28" stopIfTrue="1" operator="greaterThan">
      <formula>$F$71</formula>
    </cfRule>
    <cfRule type="cellIs" dxfId="3134" priority="29" stopIfTrue="1" operator="lessThanOrEqual">
      <formula>0</formula>
    </cfRule>
    <cfRule type="cellIs" dxfId="3133" priority="27" stopIfTrue="1" operator="lessThanOrEqual">
      <formula>0</formula>
    </cfRule>
  </conditionalFormatting>
  <conditionalFormatting sqref="I59:I60">
    <cfRule type="cellIs" dxfId="3132" priority="99" stopIfTrue="1" operator="greaterThan">
      <formula>$F$71</formula>
    </cfRule>
    <cfRule type="cellIs" dxfId="3131" priority="102" stopIfTrue="1" operator="lessThanOrEqual">
      <formula>0</formula>
    </cfRule>
    <cfRule type="cellIs" dxfId="3130" priority="98" stopIfTrue="1" operator="lessThanOrEqual">
      <formula>0</formula>
    </cfRule>
    <cfRule type="cellIs" dxfId="3129" priority="101" stopIfTrue="1" operator="greaterThan">
      <formula>$F$69</formula>
    </cfRule>
    <cfRule type="cellIs" dxfId="3128" priority="97" stopIfTrue="1" operator="greaterThan">
      <formula>$F$69</formula>
    </cfRule>
    <cfRule type="cellIs" dxfId="3127" priority="100" stopIfTrue="1" operator="lessThanOrEqual">
      <formula>0</formula>
    </cfRule>
  </conditionalFormatting>
  <conditionalFormatting sqref="I61:I62">
    <cfRule type="cellIs" dxfId="3126" priority="136" stopIfTrue="1" operator="lessThanOrEqual">
      <formula>0</formula>
    </cfRule>
    <cfRule type="cellIs" dxfId="3125" priority="134" stopIfTrue="1" operator="lessThanOrEqual">
      <formula>0</formula>
    </cfRule>
    <cfRule type="cellIs" dxfId="3124" priority="135" stopIfTrue="1" operator="greaterThan">
      <formula>#REF!</formula>
    </cfRule>
    <cfRule type="cellIs" dxfId="3123" priority="133" stopIfTrue="1" operator="greaterThan">
      <formula>#REF!</formula>
    </cfRule>
  </conditionalFormatting>
  <conditionalFormatting sqref="I63">
    <cfRule type="cellIs" dxfId="3122" priority="147" stopIfTrue="1" operator="greaterThan">
      <formula>$F$39</formula>
    </cfRule>
    <cfRule type="cellIs" dxfId="3121" priority="149" stopIfTrue="1" operator="greaterThan">
      <formula>$F$37</formula>
    </cfRule>
    <cfRule type="cellIs" dxfId="3120" priority="150" stopIfTrue="1" operator="lessThanOrEqual">
      <formula>0</formula>
    </cfRule>
    <cfRule type="cellIs" dxfId="3119" priority="145" stopIfTrue="1" operator="greaterThan">
      <formula>$F$37</formula>
    </cfRule>
    <cfRule type="cellIs" dxfId="3118" priority="146" stopIfTrue="1" operator="lessThanOrEqual">
      <formula>0</formula>
    </cfRule>
    <cfRule type="cellIs" dxfId="3117" priority="148" stopIfTrue="1" operator="lessThanOrEqual">
      <formula>0</formula>
    </cfRule>
  </conditionalFormatting>
  <conditionalFormatting sqref="I64:I65">
    <cfRule type="cellIs" dxfId="3116" priority="124" stopIfTrue="1" operator="lessThanOrEqual">
      <formula>0</formula>
    </cfRule>
    <cfRule type="cellIs" dxfId="3115" priority="123" stopIfTrue="1" operator="greaterThan">
      <formula>#REF!</formula>
    </cfRule>
    <cfRule type="cellIs" dxfId="3114" priority="121" stopIfTrue="1" operator="greaterThan">
      <formula>#REF!</formula>
    </cfRule>
    <cfRule type="cellIs" dxfId="3113" priority="122" stopIfTrue="1" operator="lessThanOrEqual">
      <formula>0</formula>
    </cfRule>
  </conditionalFormatting>
  <conditionalFormatting sqref="I80:I88">
    <cfRule type="cellIs" dxfId="3112" priority="173" stopIfTrue="1" operator="greaterThan">
      <formula>4.5</formula>
    </cfRule>
    <cfRule type="cellIs" dxfId="3111" priority="174" stopIfTrue="1" operator="lessThanOrEqual">
      <formula>0</formula>
    </cfRule>
  </conditionalFormatting>
  <conditionalFormatting sqref="I10:J24">
    <cfRule type="cellIs" dxfId="3110" priority="2" operator="lessThan">
      <formula>97.9</formula>
    </cfRule>
  </conditionalFormatting>
  <conditionalFormatting sqref="J27:J29">
    <cfRule type="cellIs" dxfId="3109" priority="19" operator="lessThan">
      <formula>97.95</formula>
    </cfRule>
  </conditionalFormatting>
  <conditionalFormatting sqref="J29:J31">
    <cfRule type="cellIs" dxfId="3108" priority="155" operator="lessThan">
      <formula>97.4</formula>
    </cfRule>
  </conditionalFormatting>
  <conditionalFormatting sqref="J32:J33">
    <cfRule type="cellIs" dxfId="3107" priority="156" operator="lessThan">
      <formula>98</formula>
    </cfRule>
  </conditionalFormatting>
  <conditionalFormatting sqref="J34:J35">
    <cfRule type="cellIs" dxfId="3106" priority="158" stopIfTrue="1" operator="greaterThan">
      <formula>100</formula>
    </cfRule>
    <cfRule type="cellIs" dxfId="3105" priority="157" stopIfTrue="1" operator="lessThan">
      <formula>96.8</formula>
    </cfRule>
  </conditionalFormatting>
  <conditionalFormatting sqref="J34:J36">
    <cfRule type="cellIs" dxfId="3104" priority="159" operator="lessThan">
      <formula>98</formula>
    </cfRule>
  </conditionalFormatting>
  <conditionalFormatting sqref="J65">
    <cfRule type="cellIs" dxfId="3103" priority="111" stopIfTrue="1" operator="greaterThan">
      <formula>#REF!</formula>
    </cfRule>
    <cfRule type="cellIs" dxfId="3102" priority="109" stopIfTrue="1" operator="greaterThan">
      <formula>#REF!</formula>
    </cfRule>
    <cfRule type="cellIs" dxfId="3101" priority="110" stopIfTrue="1" operator="lessThanOrEqual">
      <formula>0</formula>
    </cfRule>
    <cfRule type="cellIs" dxfId="3100" priority="112" stopIfTrue="1" operator="lessThanOrEqual">
      <formula>0</formula>
    </cfRule>
    <cfRule type="cellIs" dxfId="3099" priority="116" stopIfTrue="1" operator="lessThanOrEqual">
      <formula>0</formula>
    </cfRule>
    <cfRule type="cellIs" dxfId="3098" priority="115" stopIfTrue="1" operator="greaterThan">
      <formula>#REF!</formula>
    </cfRule>
    <cfRule type="cellIs" dxfId="3097" priority="114" stopIfTrue="1" operator="lessThanOrEqual">
      <formula>0</formula>
    </cfRule>
    <cfRule type="cellIs" dxfId="3096" priority="113" stopIfTrue="1" operator="greaterThan">
      <formula>#REF!</formula>
    </cfRule>
  </conditionalFormatting>
  <conditionalFormatting sqref="J78">
    <cfRule type="cellIs" dxfId="3095" priority="48" stopIfTrue="1" operator="lessThanOrEqual">
      <formula>0</formula>
    </cfRule>
    <cfRule type="cellIs" dxfId="3094" priority="47" stopIfTrue="1" operator="greaterThan">
      <formula>$F78</formula>
    </cfRule>
  </conditionalFormatting>
  <conditionalFormatting sqref="K10:K24">
    <cfRule type="cellIs" dxfId="3093" priority="4" operator="lessThan">
      <formula>4</formula>
    </cfRule>
    <cfRule type="cellIs" dxfId="3092" priority="3" operator="greaterThan">
      <formula>6</formula>
    </cfRule>
    <cfRule type="cellIs" dxfId="3091" priority="5" operator="greaterThan">
      <formula>6.4</formula>
    </cfRule>
  </conditionalFormatting>
  <conditionalFormatting sqref="K56:K65">
    <cfRule type="cellIs" dxfId="3090" priority="94" stopIfTrue="1" operator="lessThan">
      <formula>100%</formula>
    </cfRule>
  </conditionalFormatting>
  <conditionalFormatting sqref="K69:K77">
    <cfRule type="cellIs" dxfId="3089" priority="37" stopIfTrue="1" operator="lessThan">
      <formula>100%</formula>
    </cfRule>
  </conditionalFormatting>
  <conditionalFormatting sqref="K80:K85">
    <cfRule type="cellIs" dxfId="3088" priority="179" stopIfTrue="1" operator="lessThan">
      <formula>100%</formula>
    </cfRule>
  </conditionalFormatting>
  <conditionalFormatting sqref="K87:K88">
    <cfRule type="cellIs" dxfId="3087" priority="186" stopIfTrue="1" operator="lessThan">
      <formula>100%</formula>
    </cfRule>
  </conditionalFormatting>
  <conditionalFormatting sqref="L10:L24">
    <cfRule type="cellIs" dxfId="3086" priority="6" operator="between">
      <formula>61</formula>
      <formula>65</formula>
    </cfRule>
    <cfRule type="cellIs" dxfId="3085" priority="7" operator="greaterThan">
      <formula>65</formula>
    </cfRule>
  </conditionalFormatting>
  <conditionalFormatting sqref="L27:M38">
    <cfRule type="cellIs" dxfId="3084" priority="16" operator="lessThan">
      <formula>97.95</formula>
    </cfRule>
  </conditionalFormatting>
  <conditionalFormatting sqref="L42:N42">
    <cfRule type="cellIs" dxfId="3083" priority="73" operator="notEqual">
      <formula>#REF!</formula>
    </cfRule>
  </conditionalFormatting>
  <conditionalFormatting sqref="L69:N78">
    <cfRule type="cellIs" dxfId="3082" priority="34" stopIfTrue="1" operator="lessThan">
      <formula>100%</formula>
    </cfRule>
  </conditionalFormatting>
  <conditionalFormatting sqref="L80:N88">
    <cfRule type="cellIs" dxfId="3081" priority="164" stopIfTrue="1" operator="lessThan">
      <formula>100%</formula>
    </cfRule>
  </conditionalFormatting>
  <conditionalFormatting sqref="M24:N24">
    <cfRule type="expression" dxfId="3080" priority="17">
      <formula>IF(+(IF(M24&lt;#REF!,0,IF(M24&gt;#REF!,0,1)))=0,1)</formula>
    </cfRule>
  </conditionalFormatting>
  <conditionalFormatting sqref="N10:N20 M21:M23">
    <cfRule type="expression" dxfId="3079" priority="14">
      <formula>IF(+(IF(M10&lt;V10,0,IF(M10&gt;W10,0,1)))=0,1)</formula>
    </cfRule>
  </conditionalFormatting>
  <conditionalFormatting sqref="N21:N23">
    <cfRule type="expression" dxfId="3078" priority="13">
      <formula>IF(+(IF(N21&lt;X21,0,IF(N21&gt;Y21,0,1)))=0,1)</formula>
    </cfRule>
  </conditionalFormatting>
  <conditionalFormatting sqref="N24">
    <cfRule type="expression" dxfId="3077" priority="15">
      <formula>IF(+(IF(N24&lt;W24,0,IF(N24&gt;X24,0,1)))=0,1)</formula>
    </cfRule>
  </conditionalFormatting>
  <conditionalFormatting sqref="P6">
    <cfRule type="cellIs" dxfId="3076" priority="160" operator="greaterThanOrEqual">
      <formula>19</formula>
    </cfRule>
  </conditionalFormatting>
  <dataValidations count="1">
    <dataValidation type="list" allowBlank="1" showInputMessage="1" showErrorMessage="1" sqref="R8" xr:uid="{882FCD81-B8BF-4B20-9722-2B15752F9F3F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5D3E-0AA5-431A-A160-455A083B92FE}">
  <sheetPr>
    <pageSetUpPr fitToPage="1"/>
  </sheetPr>
  <dimension ref="A1:BE78"/>
  <sheetViews>
    <sheetView zoomScale="60" zoomScaleNormal="60" workbookViewId="0">
      <selection activeCell="D10" sqref="D10:D18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12" t="s">
        <v>0</v>
      </c>
      <c r="T1" s="512"/>
      <c r="U1" s="512" t="s">
        <v>1</v>
      </c>
      <c r="V1" s="512"/>
      <c r="W1" s="512" t="s">
        <v>2</v>
      </c>
      <c r="X1" s="512"/>
      <c r="Y1" s="512" t="s">
        <v>124</v>
      </c>
      <c r="Z1" s="512"/>
    </row>
    <row r="2" spans="2:29" ht="15">
      <c r="B2" s="513" t="s">
        <v>3</v>
      </c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46241</v>
      </c>
      <c r="J4" s="398" t="s">
        <v>153</v>
      </c>
      <c r="K4" s="398"/>
      <c r="L4" s="11"/>
      <c r="M4" s="510" t="s">
        <v>8</v>
      </c>
      <c r="N4" s="511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6"/>
      <c r="D5" s="516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175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19" t="s">
        <v>18</v>
      </c>
      <c r="D8" s="519" t="s">
        <v>19</v>
      </c>
      <c r="E8" s="356" t="s">
        <v>20</v>
      </c>
      <c r="F8" s="356" t="s">
        <v>21</v>
      </c>
      <c r="G8" s="519" t="s">
        <v>22</v>
      </c>
      <c r="H8" s="520" t="s">
        <v>144</v>
      </c>
      <c r="I8" s="519" t="s">
        <v>165</v>
      </c>
      <c r="J8" s="522" t="s">
        <v>23</v>
      </c>
      <c r="K8" s="524" t="s">
        <v>142</v>
      </c>
      <c r="L8" s="526" t="s">
        <v>24</v>
      </c>
      <c r="M8" s="359" t="s">
        <v>25</v>
      </c>
      <c r="N8" s="17" t="s">
        <v>168</v>
      </c>
      <c r="O8" s="519" t="s">
        <v>155</v>
      </c>
      <c r="P8" s="514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8"/>
      <c r="C9" s="515"/>
      <c r="D9" s="515"/>
      <c r="E9" s="357" t="s">
        <v>30</v>
      </c>
      <c r="F9" s="357" t="s">
        <v>31</v>
      </c>
      <c r="G9" s="515"/>
      <c r="H9" s="521"/>
      <c r="I9" s="515"/>
      <c r="J9" s="523"/>
      <c r="K9" s="525"/>
      <c r="L9" s="527"/>
      <c r="M9" s="20" t="s">
        <v>32</v>
      </c>
      <c r="N9" s="21" t="s">
        <v>41</v>
      </c>
      <c r="O9" s="515"/>
      <c r="P9" s="515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29" t="s">
        <v>6</v>
      </c>
      <c r="C10" s="366" t="str">
        <f>[4]Brewhouse!$A605</f>
        <v>CA557</v>
      </c>
      <c r="D10" s="279">
        <f>[4]Brewhouse!$AF605</f>
        <v>49.8</v>
      </c>
      <c r="E10" s="279">
        <f>[4]Brewhouse!$AI605</f>
        <v>50.7</v>
      </c>
      <c r="F10" s="278">
        <f>[4]Brewhouse!$V605</f>
        <v>53</v>
      </c>
      <c r="G10" s="279">
        <f>[4]Brewhouse!AG605</f>
        <v>11.9</v>
      </c>
      <c r="H10" s="396">
        <v>12.1</v>
      </c>
      <c r="I10" s="368">
        <f>[4]Brewhouse!$AU605</f>
        <v>100.78423889987383</v>
      </c>
      <c r="J10" s="368">
        <f>[4]Brewhouse!$AV605</f>
        <v>101.34650467487214</v>
      </c>
      <c r="K10" s="281">
        <f>[4]Brewhouse!$Q605</f>
        <v>10.018484288354902</v>
      </c>
      <c r="L10" s="276">
        <f>[4]Brewhouse!$P605</f>
        <v>60</v>
      </c>
      <c r="M10" s="397">
        <f>[4]Brewhouse!$U605-[4]Brewhouse!$T605</f>
        <v>0.10555555555555554</v>
      </c>
      <c r="N10" s="370">
        <f>[4]Brewhouse!$Z605</f>
        <v>0.24444444444444444</v>
      </c>
      <c r="O10" s="420" t="str">
        <f>[4]Brewhouse!$AX605</f>
        <v>K. Benjamin</v>
      </c>
      <c r="P10" s="418"/>
      <c r="R10" s="277" t="str">
        <f t="shared" ref="R10:R38" si="0">B10</f>
        <v>CARIB</v>
      </c>
      <c r="S10" s="472">
        <f t="shared" ref="S10:S38" si="1">VLOOKUP($B10,$R$3:$X$9,2,FALSE)</f>
        <v>11.6</v>
      </c>
      <c r="T10" s="472">
        <f t="shared" ref="T10:T38" si="2">VLOOKUP($B10,$R$3:$X$9,3,FALSE)</f>
        <v>12</v>
      </c>
      <c r="U10" s="297">
        <f t="shared" ref="U10:U38" si="3">VLOOKUP($B10,$R$3:$X$9,4,FALSE)</f>
        <v>0</v>
      </c>
      <c r="V10" s="297">
        <f t="shared" ref="V10:V38" si="4">VLOOKUP($B10,$R$3:$X$9,5,FALSE)</f>
        <v>0.118055555555556</v>
      </c>
      <c r="W10" s="297">
        <f t="shared" ref="W10:W38" si="5">VLOOKUP($B10,$R$3:$X$9,6,FALSE)</f>
        <v>0.22569444444444445</v>
      </c>
      <c r="X10" s="297">
        <f t="shared" ref="X10:X38" si="6">VLOOKUP($B10,$R$3:$X$9,7,FALSE)</f>
        <v>0.2638888888888889</v>
      </c>
      <c r="Y10" s="297">
        <f t="shared" ref="Y10:Y38" si="7">VLOOKUP($B10,$R$3:$Z$9,8,FALSE)</f>
        <v>0</v>
      </c>
      <c r="Z10" s="472">
        <f t="shared" ref="Z10:Z38" si="8">VLOOKUP($B10,$R$3:$Z$9,9,FALSE)</f>
        <v>60</v>
      </c>
    </row>
    <row r="11" spans="2:29" ht="17.25" customHeight="1">
      <c r="B11" s="29" t="s">
        <v>6</v>
      </c>
      <c r="C11" s="366" t="str">
        <f>[4]Brewhouse!$A606</f>
        <v>CA558</v>
      </c>
      <c r="D11" s="279">
        <f>[4]Brewhouse!$AF606</f>
        <v>50.8</v>
      </c>
      <c r="E11" s="279">
        <f>[4]Brewhouse!$AI606</f>
        <v>51.3</v>
      </c>
      <c r="F11" s="278">
        <f>[4]Brewhouse!$V606</f>
        <v>58</v>
      </c>
      <c r="G11" s="279">
        <f>[4]Brewhouse!AG606</f>
        <v>12</v>
      </c>
      <c r="H11" s="396">
        <v>11.9</v>
      </c>
      <c r="I11" s="368">
        <f>[4]Brewhouse!$AU606</f>
        <v>103.00616380131203</v>
      </c>
      <c r="J11" s="368">
        <f>[4]Brewhouse!$AV606</f>
        <v>103.58078734259007</v>
      </c>
      <c r="K11" s="281">
        <f>[4]Brewhouse!$Q606</f>
        <v>3.6923076923076956</v>
      </c>
      <c r="L11" s="276">
        <f>[4]Brewhouse!$P606</f>
        <v>61</v>
      </c>
      <c r="M11" s="397">
        <f>[4]Brewhouse!$U606-[4]Brewhouse!$T606</f>
        <v>0.10625000000000001</v>
      </c>
      <c r="N11" s="370">
        <f>[4]Brewhouse!$Z606</f>
        <v>0.23749999999999999</v>
      </c>
      <c r="O11" s="420" t="str">
        <f>[4]Brewhouse!$AX606</f>
        <v>K. Benjamin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29" t="s">
        <v>6</v>
      </c>
      <c r="C12" s="366" t="str">
        <f>[4]Brewhouse!$A607</f>
        <v>CA559</v>
      </c>
      <c r="D12" s="279">
        <f>[4]Brewhouse!$AF607</f>
        <v>49.8</v>
      </c>
      <c r="E12" s="279">
        <f>[4]Brewhouse!$AI607</f>
        <v>50.5</v>
      </c>
      <c r="F12" s="278">
        <f>[4]Brewhouse!$V607</f>
        <v>57</v>
      </c>
      <c r="G12" s="279">
        <f>[4]Brewhouse!AG607</f>
        <v>11.7</v>
      </c>
      <c r="H12" s="396">
        <v>11.7</v>
      </c>
      <c r="I12" s="368">
        <f>[4]Brewhouse!$AU607</f>
        <v>98.735662358530632</v>
      </c>
      <c r="J12" s="368">
        <f>[4]Brewhouse!$AV607</f>
        <v>99.286462755915878</v>
      </c>
      <c r="K12" s="281">
        <f>[4]Brewhouse!$Q607</f>
        <v>6.1567877629063084</v>
      </c>
      <c r="L12" s="276">
        <f>[4]Brewhouse!$P607</f>
        <v>61</v>
      </c>
      <c r="M12" s="397">
        <f>[4]Brewhouse!$U607-[4]Brewhouse!$T607</f>
        <v>0.1111111111111111</v>
      </c>
      <c r="N12" s="370">
        <f>[4]Brewhouse!$Z607</f>
        <v>0.28819444444444442</v>
      </c>
      <c r="O12" s="420" t="str">
        <f>[4]Brewhouse!$AX607</f>
        <v>K. Benjamin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29" t="s">
        <v>6</v>
      </c>
      <c r="C13" s="366" t="str">
        <f>[4]Brewhouse!$A608</f>
        <v>CA560</v>
      </c>
      <c r="D13" s="279">
        <f>[4]Brewhouse!$AF608</f>
        <v>48.9</v>
      </c>
      <c r="E13" s="279">
        <f>[4]Brewhouse!$AI608</f>
        <v>49.4</v>
      </c>
      <c r="F13" s="278">
        <f>[4]Brewhouse!$V608</f>
        <v>59</v>
      </c>
      <c r="G13" s="279">
        <f>[4]Brewhouse!AG608</f>
        <v>12</v>
      </c>
      <c r="H13" s="396">
        <v>11.8</v>
      </c>
      <c r="I13" s="368">
        <f>[4]Brewhouse!$AU608</f>
        <v>99.191120697559725</v>
      </c>
      <c r="J13" s="368">
        <f>[4]Brewhouse!$AV608</f>
        <v>99.744461885457113</v>
      </c>
      <c r="K13" s="281">
        <f>[4]Brewhouse!$Q608</f>
        <v>10.942698706099819</v>
      </c>
      <c r="L13" s="276">
        <f>[4]Brewhouse!$P608</f>
        <v>60</v>
      </c>
      <c r="M13" s="397">
        <f>[4]Brewhouse!$U608-[4]Brewhouse!$T608</f>
        <v>0.10625000000000007</v>
      </c>
      <c r="N13" s="370">
        <f>[4]Brewhouse!$Z608</f>
        <v>0.24791666666666673</v>
      </c>
      <c r="O13" s="420" t="str">
        <f>[4]Brewhouse!$AX608</f>
        <v>R. Regis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29" t="s">
        <v>6</v>
      </c>
      <c r="C14" s="366" t="str">
        <f>[4]Brewhouse!$A609</f>
        <v>CA561</v>
      </c>
      <c r="D14" s="279">
        <f>[4]Brewhouse!$AF609</f>
        <v>49.2</v>
      </c>
      <c r="E14" s="279">
        <f>[4]Brewhouse!$AI609</f>
        <v>49.9</v>
      </c>
      <c r="F14" s="278">
        <f>[4]Brewhouse!$V609</f>
        <v>60</v>
      </c>
      <c r="G14" s="279">
        <f>[4]Brewhouse!AG609</f>
        <v>11.9</v>
      </c>
      <c r="H14" s="396">
        <v>11.7</v>
      </c>
      <c r="I14" s="368">
        <f>[4]Brewhouse!$AU609</f>
        <v>99.137028566690901</v>
      </c>
      <c r="J14" s="368">
        <f>[4]Brewhouse!$AV609</f>
        <v>99.871621348941517</v>
      </c>
      <c r="K14" s="281">
        <f>[4]Brewhouse!$Q609</f>
        <v>11.127541589648803</v>
      </c>
      <c r="L14" s="276">
        <f>[4]Brewhouse!$P609</f>
        <v>62</v>
      </c>
      <c r="M14" s="397">
        <f>[4]Brewhouse!$U609-[4]Brewhouse!$T609</f>
        <v>0.11388888888888882</v>
      </c>
      <c r="N14" s="370">
        <f>[4]Brewhouse!$Z609</f>
        <v>0.24722222222222218</v>
      </c>
      <c r="O14" s="420" t="str">
        <f>[4]Brewhouse!$AX609</f>
        <v>R. Regis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29" t="s">
        <v>6</v>
      </c>
      <c r="C15" s="366" t="str">
        <f>[4]Brewhouse!$A610</f>
        <v>CA562</v>
      </c>
      <c r="D15" s="279">
        <f>[4]Brewhouse!$AF610</f>
        <v>48.7</v>
      </c>
      <c r="E15" s="279">
        <f>[4]Brewhouse!$AI610</f>
        <v>50</v>
      </c>
      <c r="F15" s="278">
        <f>[4]Brewhouse!$V610</f>
        <v>61</v>
      </c>
      <c r="G15" s="279">
        <f>[4]Brewhouse!AG610</f>
        <v>12</v>
      </c>
      <c r="H15" s="396">
        <v>11.9</v>
      </c>
      <c r="I15" s="368">
        <f>[4]Brewhouse!$AU610</f>
        <v>99.906988502754658</v>
      </c>
      <c r="J15" s="368">
        <f>[4]Brewhouse!$AV610</f>
        <v>100.83031128192405</v>
      </c>
      <c r="K15" s="281">
        <f>[4]Brewhouse!$Q610</f>
        <v>12.05175600739372</v>
      </c>
      <c r="L15" s="276">
        <f>[4]Brewhouse!$P610</f>
        <v>60</v>
      </c>
      <c r="M15" s="397">
        <f>[4]Brewhouse!$U610-[4]Brewhouse!$T610</f>
        <v>0.10555555555555551</v>
      </c>
      <c r="N15" s="370">
        <f>[4]Brewhouse!$Z610</f>
        <v>0.23888888888888893</v>
      </c>
      <c r="O15" s="420" t="str">
        <f>[4]Brewhouse!$AX610</f>
        <v>R. Regis</v>
      </c>
      <c r="P15" s="418"/>
      <c r="R15" s="277" t="str">
        <f t="shared" ref="R15:R27" si="9">B15</f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[4]Brewhouse!$A611</f>
        <v>CA563</v>
      </c>
      <c r="D16" s="279">
        <f>[4]Brewhouse!$AF611</f>
        <v>47.2</v>
      </c>
      <c r="E16" s="279">
        <f>[4]Brewhouse!$AI611</f>
        <v>47.1</v>
      </c>
      <c r="F16" s="278">
        <f>[4]Brewhouse!$V611</f>
        <v>53</v>
      </c>
      <c r="G16" s="279">
        <f>[4]Brewhouse!AG611</f>
        <v>12</v>
      </c>
      <c r="H16" s="396">
        <v>12.2</v>
      </c>
      <c r="I16" s="368">
        <f>[4]Brewhouse!$AU611</f>
        <v>94.112383169594878</v>
      </c>
      <c r="J16" s="368">
        <f>[4]Brewhouse!$AV611</f>
        <v>94.982153227572468</v>
      </c>
      <c r="K16" s="281">
        <f>[4]Brewhouse!$Q611</f>
        <v>14.824399260628471</v>
      </c>
      <c r="L16" s="276">
        <f>[4]Brewhouse!$P611</f>
        <v>60</v>
      </c>
      <c r="M16" s="397">
        <f>[4]Brewhouse!$U611-[4]Brewhouse!$T611</f>
        <v>0.1069444444444444</v>
      </c>
      <c r="N16" s="370">
        <f>[4]Brewhouse!$Z611</f>
        <v>0.25347222222222221</v>
      </c>
      <c r="O16" s="420" t="str">
        <f>[4]Brewhouse!$AX611</f>
        <v xml:space="preserve">D. Gomaz </v>
      </c>
      <c r="P16" s="418"/>
      <c r="R16" s="277" t="str">
        <f t="shared" si="9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 customHeight="1">
      <c r="B17" s="29" t="s">
        <v>6</v>
      </c>
      <c r="C17" s="366" t="str">
        <f>[4]Brewhouse!$A612</f>
        <v>CA564</v>
      </c>
      <c r="D17" s="279">
        <f>[4]Brewhouse!$AF612</f>
        <v>48.2</v>
      </c>
      <c r="E17" s="279">
        <f>[4]Brewhouse!$AI612</f>
        <v>50.8</v>
      </c>
      <c r="F17" s="278">
        <f>[4]Brewhouse!$V612</f>
        <v>53</v>
      </c>
      <c r="G17" s="279">
        <f>[4]Brewhouse!AG612</f>
        <v>11.8</v>
      </c>
      <c r="H17" s="396">
        <v>12</v>
      </c>
      <c r="I17" s="368">
        <f>[4]Brewhouse!$AU612</f>
        <v>99.727537733596833</v>
      </c>
      <c r="J17" s="368">
        <f>[4]Brewhouse!$AV612</f>
        <v>100.64920206038583</v>
      </c>
      <c r="K17" s="281">
        <f>[4]Brewhouse!$Q612</f>
        <v>12.074074074074066</v>
      </c>
      <c r="L17" s="276">
        <f>[4]Brewhouse!$P612</f>
        <v>60</v>
      </c>
      <c r="M17" s="397">
        <f>[4]Brewhouse!$U612-[4]Brewhouse!$T612</f>
        <v>0.11944444444444424</v>
      </c>
      <c r="N17" s="370">
        <f>[4]Brewhouse!$Z612</f>
        <v>0.2618055555555554</v>
      </c>
      <c r="O17" s="420" t="str">
        <f>[4]Brewhouse!$AX612</f>
        <v xml:space="preserve">D. Gomaz </v>
      </c>
      <c r="P17" s="418"/>
      <c r="R17" s="277" t="str">
        <f t="shared" si="9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5" customHeight="1">
      <c r="B18" s="29" t="s">
        <v>6</v>
      </c>
      <c r="C18" s="366" t="str">
        <f>[4]Brewhouse!$A613</f>
        <v>CA565</v>
      </c>
      <c r="D18" s="279">
        <f>[4]Brewhouse!$AF613</f>
        <v>49.3</v>
      </c>
      <c r="E18" s="279">
        <f>[4]Brewhouse!$AI613</f>
        <v>51.5</v>
      </c>
      <c r="F18" s="278">
        <f>[4]Brewhouse!$V613</f>
        <v>54</v>
      </c>
      <c r="G18" s="279">
        <f>[4]Brewhouse!AG613</f>
        <v>11.9</v>
      </c>
      <c r="H18" s="396">
        <v>12.1</v>
      </c>
      <c r="I18" s="368">
        <f>[4]Brewhouse!$AU613</f>
        <v>102.00296712301547</v>
      </c>
      <c r="J18" s="368">
        <f>[4]Brewhouse!$AV613</f>
        <v>102.9456605671778</v>
      </c>
      <c r="K18" s="281">
        <f>[4]Brewhouse!$Q613</f>
        <v>10.03703703703704</v>
      </c>
      <c r="L18" s="276">
        <f>[4]Brewhouse!$P613</f>
        <v>60</v>
      </c>
      <c r="M18" s="397">
        <f>[4]Brewhouse!$U613-[4]Brewhouse!$T613</f>
        <v>0.11527777777777781</v>
      </c>
      <c r="N18" s="370">
        <f>[4]Brewhouse!$Z613</f>
        <v>0.2680555555555556</v>
      </c>
      <c r="O18" s="420" t="str">
        <f>[4]Brewhouse!$AX613</f>
        <v xml:space="preserve">D. Gomaz </v>
      </c>
      <c r="P18" s="418"/>
      <c r="R18" s="277" t="str">
        <f t="shared" si="9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6" ht="1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customHeight="1">
      <c r="B20" s="496" t="s">
        <v>178</v>
      </c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 t="str">
        <f t="shared" si="9"/>
        <v>August 7th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customHeight="1">
      <c r="B21" s="29" t="s">
        <v>6</v>
      </c>
      <c r="C21" s="366" t="str">
        <f>[4]Brewhouse!$A614</f>
        <v>CA566</v>
      </c>
      <c r="D21" s="279">
        <f>[4]Brewhouse!$AF614</f>
        <v>49.4</v>
      </c>
      <c r="E21" s="279">
        <f>[4]Brewhouse!$AI614</f>
        <v>50.2</v>
      </c>
      <c r="F21" s="278">
        <f>[4]Brewhouse!$V614</f>
        <v>59</v>
      </c>
      <c r="G21" s="279">
        <f>[4]Brewhouse!AG614</f>
        <v>12</v>
      </c>
      <c r="H21" s="396">
        <v>12.1</v>
      </c>
      <c r="I21" s="368">
        <f>[4]Brewhouse!$AU614</f>
        <v>100.30661645676568</v>
      </c>
      <c r="J21" s="368">
        <f>[4]Brewhouse!$AV614</f>
        <v>101.23363252705178</v>
      </c>
      <c r="K21" s="281">
        <f>[4]Brewhouse!$Q614</f>
        <v>10.592592592592592</v>
      </c>
      <c r="L21" s="276">
        <f>[4]Brewhouse!$P614</f>
        <v>61</v>
      </c>
      <c r="M21" s="397">
        <f>[4]Brewhouse!$U614-[4]Brewhouse!$T614</f>
        <v>0.11319444444444446</v>
      </c>
      <c r="N21" s="370">
        <f>[4]Brewhouse!$Z614</f>
        <v>0.25694444444444448</v>
      </c>
      <c r="O21" s="420" t="str">
        <f>[4]Brewhouse!$AX614</f>
        <v>K. Benjamin</v>
      </c>
      <c r="P21" s="418"/>
      <c r="R21" s="277" t="str">
        <f t="shared" si="9"/>
        <v>CARIB</v>
      </c>
      <c r="S21" s="472">
        <f t="shared" si="1"/>
        <v>11.6</v>
      </c>
      <c r="T21" s="472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472">
        <f t="shared" si="8"/>
        <v>60</v>
      </c>
    </row>
    <row r="22" spans="1:26" ht="1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5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0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customHeight="1" thickBot="1">
      <c r="B25" s="358"/>
      <c r="C25" s="358"/>
      <c r="D25" s="358"/>
      <c r="E25" s="358"/>
      <c r="F25" s="294"/>
      <c r="G25" s="294"/>
      <c r="H25" s="348"/>
      <c r="I25" s="528"/>
      <c r="J25" s="528"/>
      <c r="K25" s="528"/>
      <c r="L25" s="528"/>
      <c r="M25" s="528"/>
      <c r="N25" s="528"/>
      <c r="O25" s="1"/>
      <c r="P25" s="12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customHeight="1" thickBot="1">
      <c r="B26" s="489" t="s">
        <v>162</v>
      </c>
      <c r="C26" s="388"/>
      <c r="D26" s="529" t="s">
        <v>35</v>
      </c>
      <c r="E26" s="530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9"/>
        <v xml:space="preserve">BRAND 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7.25" customHeight="1">
      <c r="A27" s="28"/>
      <c r="B27" s="604" t="str">
        <f>I27</f>
        <v>CARIB</v>
      </c>
      <c r="C27" s="490">
        <f>[4]Process!D557</f>
        <v>11.8</v>
      </c>
      <c r="D27" s="534">
        <v>11.9</v>
      </c>
      <c r="E27" s="535"/>
      <c r="F27" s="294"/>
      <c r="G27" s="294"/>
      <c r="H27" s="348"/>
      <c r="I27" s="29" t="s">
        <v>6</v>
      </c>
      <c r="J27" s="323">
        <f>AVERAGE(I10:I18)</f>
        <v>99.622676761436537</v>
      </c>
      <c r="K27" s="284">
        <f>COUNTA([4]Brewhouse!$A$595:$A$613)</f>
        <v>19</v>
      </c>
      <c r="L27" s="305">
        <f>AVERAGE([4]Brewhouse!$AU$595:$AU$613)</f>
        <v>99.56198820463085</v>
      </c>
      <c r="M27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AVERAGE([4]Brewhouse!$AU$42:$AU$123,[4]Brewhouse!$AU$125:$AU$188,[4]Brewhouse!$AU$198:$AU$290,[4]Brewhouse!$AU$292:$AU$370,[4]Brewhouse!$AU$372:$AU$439,[4]Brewhouse!$AU$441:$AU$497,[4]Brewhouse!$AU$499:$AU$519,[4]Brewhouse!$AU$521:$AU$593,[4]Brewhouse!$AU$595:$AU$613)</f>
        <v>98.216212247574063</v>
      </c>
      <c r="N27" s="30">
        <v>98</v>
      </c>
      <c r="O27" s="11"/>
      <c r="P27" s="31"/>
      <c r="R27" s="277" t="str">
        <f t="shared" si="9"/>
        <v>CARIB</v>
      </c>
      <c r="S27" s="472">
        <f t="shared" si="1"/>
        <v>11.6</v>
      </c>
      <c r="T27" s="472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472">
        <f t="shared" si="8"/>
        <v>60</v>
      </c>
    </row>
    <row r="28" spans="1:26" ht="15" customHeight="1">
      <c r="A28" s="28"/>
      <c r="B28" s="604"/>
      <c r="C28" s="362">
        <f>[4]Process!D558</f>
        <v>11.7</v>
      </c>
      <c r="D28" s="536"/>
      <c r="E28" s="537"/>
      <c r="F28" s="294"/>
      <c r="G28" s="294"/>
      <c r="H28" s="348"/>
      <c r="I28" s="33" t="s">
        <v>9</v>
      </c>
      <c r="J28" s="323"/>
      <c r="K28" s="284">
        <f>COUNTA([3]Brewhouse!$A$327:$A$335)</f>
        <v>9</v>
      </c>
      <c r="L28" s="302">
        <f>AVERAGE([3]Brewhouse!$AS$327:$AS$335)</f>
        <v>99.373910897846002</v>
      </c>
      <c r="M28" s="302">
        <f>AVERAGE([3]Brewhouse!$AS$52:$AS$81,[3]Brewhouse!$AS$83:$AS$124,[3]Brewhouse!$AS$134:$AS$177,[3]Brewhouse!$AS$22:$AS$179,[3]Brewhouse!$AS$214:$AS$249,[3]Brewhouse!$AS$252:$AS$293,[3]Brewhouse!$AS$295:$AS$325,[3]Brewhouse!$AS$327:$AS$335)</f>
        <v>98.172943853015084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604"/>
      <c r="C29" s="362">
        <f>[4]Process!D559</f>
        <v>12</v>
      </c>
      <c r="D29" s="538">
        <v>11.9</v>
      </c>
      <c r="E29" s="539"/>
      <c r="F29" s="294"/>
      <c r="G29" s="294"/>
      <c r="H29" s="348"/>
      <c r="I29" s="34" t="s">
        <v>12</v>
      </c>
      <c r="J29" s="323"/>
      <c r="K29" s="284"/>
      <c r="L29" s="302"/>
      <c r="M29" s="302">
        <f>AVERAGE([5]Brewhouse!$AU$16:$AU$23,[5]Brewhouse!$AU$25:$AU$32,[5]Brewhouse!$AU$34:$AU$41,[5]Brewhouse!$AU$43:$AU$60,[5]Brewhouse!$AU$62:$AU$69,[5]Brewhouse!$AU$71:$AU$88)</f>
        <v>96.520985666401089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604"/>
      <c r="C30" s="362">
        <f>[4]Process!D560</f>
        <v>12</v>
      </c>
      <c r="D30" s="540"/>
      <c r="E30" s="537"/>
      <c r="F30" s="294"/>
      <c r="G30" s="294"/>
      <c r="H30" s="348"/>
      <c r="I30" s="22" t="s">
        <v>33</v>
      </c>
      <c r="J30" s="280"/>
      <c r="K30" s="284"/>
      <c r="L30" s="302"/>
      <c r="M30" s="302">
        <f>AVERAGE([6]Brewhouse!$AV$23:$AV$34,[6]Brewhouse!$AV$36,[6]Brewhouse!$AV$38:$AV$52,[6]Brewhouse!$AV$54:$AV$60,[6]Brewhouse!$AV$62:$AV$69,[6]Brewhouse!$AV$71:$AV$78,[6]Brewhouse!$AV$80:$AV$87)</f>
        <v>97.513042763382714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604"/>
      <c r="C31" s="362">
        <f>[4]Process!D561</f>
        <v>11.8</v>
      </c>
      <c r="D31" s="538">
        <v>11.91</v>
      </c>
      <c r="E31" s="539"/>
      <c r="F31" s="294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604"/>
      <c r="C32" s="362">
        <f>[4]Process!D562</f>
        <v>11.7</v>
      </c>
      <c r="D32" s="540"/>
      <c r="E32" s="537"/>
      <c r="F32" s="417"/>
      <c r="G32" s="294"/>
      <c r="H32" s="348"/>
      <c r="I32" s="36" t="s">
        <v>15</v>
      </c>
      <c r="J32" s="323"/>
      <c r="K32" s="284"/>
      <c r="L32" s="302"/>
      <c r="M32" s="302">
        <f>AVERAGE([7]Brewhouse!$AT$4:$AT$11,[7]Brewhouse!$AT$13:$AT$16,[7]Brewhouse!$AT$18:$AT$21)</f>
        <v>91.832675391763644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604"/>
      <c r="C33" s="362">
        <f>[4]Process!D563</f>
        <v>11.8</v>
      </c>
      <c r="D33" s="538">
        <v>11.85</v>
      </c>
      <c r="E33" s="539"/>
      <c r="F33" s="417"/>
      <c r="G33" s="294"/>
      <c r="H33" s="348"/>
      <c r="I33" s="37" t="s">
        <v>16</v>
      </c>
      <c r="J33" s="323"/>
      <c r="K33" s="284">
        <f>COUNTA([8]Brewhouse!$A$84:$A$91)</f>
        <v>8</v>
      </c>
      <c r="L33" s="302">
        <f>AVERAGE([8]Brewhouse!$AY$84:$AY$91)</f>
        <v>97.517044199257398</v>
      </c>
      <c r="M33" s="302">
        <f>AVERAGE([8]Brewhouse!$AY$5:$AY$14,[8]Brewhouse!$AY$16:$AY$23,[8]Brewhouse!$AY$42,[8]Brewhouse!$AY$44:$AY$51,[8]Brewhouse!$AY$53:$AY$64,[8]Brewhouse!$AY$66:$AY$73,[8]Brewhouse!$AY$75:$AY$82,[8]Brewhouse!$AY$84:$AY$91)</f>
        <v>98.050826041639255</v>
      </c>
      <c r="N33" s="30">
        <v>98</v>
      </c>
      <c r="O33" s="11"/>
      <c r="P33" s="31" t="s">
        <v>41</v>
      </c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 thickBot="1">
      <c r="A34" s="28"/>
      <c r="B34" s="604"/>
      <c r="C34" s="491">
        <f>[4]Process!D564</f>
        <v>11.8</v>
      </c>
      <c r="D34" s="540"/>
      <c r="E34" s="537"/>
      <c r="F34" s="294"/>
      <c r="G34" s="294"/>
      <c r="H34" s="348"/>
      <c r="I34" s="411" t="s">
        <v>158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56" ht="14.65" customHeight="1">
      <c r="A35" s="28"/>
      <c r="B35" s="605" t="s">
        <v>6</v>
      </c>
      <c r="C35" s="362">
        <f>[4]Process!D551</f>
        <v>11.9</v>
      </c>
      <c r="D35" s="538">
        <v>11.94</v>
      </c>
      <c r="E35" s="539"/>
      <c r="F35" s="294"/>
      <c r="G35" s="294"/>
      <c r="H35" s="348"/>
      <c r="I35" s="410" t="s">
        <v>157</v>
      </c>
      <c r="J35" s="326"/>
      <c r="K35" s="284"/>
      <c r="L35" s="305"/>
      <c r="M35" s="305"/>
      <c r="N35" s="30">
        <v>98</v>
      </c>
      <c r="O35" s="11"/>
      <c r="P35" s="31"/>
      <c r="R35" s="277" t="str">
        <f t="shared" si="0"/>
        <v>CARIB</v>
      </c>
      <c r="S35" s="472">
        <f t="shared" si="1"/>
        <v>11.6</v>
      </c>
      <c r="T35" s="472">
        <f t="shared" si="2"/>
        <v>12</v>
      </c>
      <c r="U35" s="297">
        <f t="shared" si="3"/>
        <v>0</v>
      </c>
      <c r="V35" s="297">
        <f t="shared" si="4"/>
        <v>0.118055555555556</v>
      </c>
      <c r="W35" s="297">
        <f t="shared" si="5"/>
        <v>0.22569444444444445</v>
      </c>
      <c r="X35" s="297">
        <f t="shared" si="6"/>
        <v>0.2638888888888889</v>
      </c>
      <c r="Y35" s="297">
        <f t="shared" si="7"/>
        <v>0</v>
      </c>
      <c r="Z35" s="472">
        <f t="shared" si="8"/>
        <v>60</v>
      </c>
      <c r="AA35" s="472"/>
    </row>
    <row r="36" spans="1:56" ht="15" customHeight="1" thickBot="1">
      <c r="A36" s="28"/>
      <c r="B36" s="542"/>
      <c r="C36" s="349">
        <f>[4]Process!D552</f>
        <v>11.8</v>
      </c>
      <c r="D36" s="540"/>
      <c r="E36" s="537"/>
      <c r="F36" s="294"/>
      <c r="G36" s="294"/>
      <c r="H36" s="348"/>
      <c r="I36" s="406" t="s">
        <v>156</v>
      </c>
      <c r="J36" s="327"/>
      <c r="K36" s="407"/>
      <c r="L36" s="408"/>
      <c r="M36" s="408"/>
      <c r="N36" s="409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" customHeight="1" thickBot="1">
      <c r="A37" s="28"/>
      <c r="B37" s="542"/>
      <c r="C37" s="349"/>
      <c r="D37" s="534"/>
      <c r="E37" s="535"/>
      <c r="F37" s="294"/>
      <c r="G37" s="294"/>
      <c r="H37" s="348"/>
      <c r="I37" s="1"/>
      <c r="J37" s="39"/>
      <c r="K37" s="404">
        <f>SUM(K27:K36)</f>
        <v>36</v>
      </c>
      <c r="L37" s="405">
        <f>((L27*K27)+(L28*K28)+(L29*K29)+(L30*K30)+(L31*K31)+(K34*L34)+(L32*K32)+(L33*K33)+(L36*K36))/(K37)</f>
        <v>99.060536876740528</v>
      </c>
      <c r="M37" s="405">
        <f>AVERAGE('[9]Jan30th-31st'!$L$42,'[10]Feb 27th-28th'!$L$45,'[11]Mar 31st'!$L$42,'[12]Apr 30th'!$L$41,'[13]May 29th '!$L$35,'[14]June 30th'!$L$32,[15]July31st!$L$36,L37)</f>
        <v>98.041423312067977</v>
      </c>
      <c r="N37" s="4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.75" thickBot="1">
      <c r="B38" s="606"/>
      <c r="C38" s="350"/>
      <c r="D38" s="536"/>
      <c r="E38" s="537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.75" thickBot="1">
      <c r="B39" s="607" t="str">
        <f>J45</f>
        <v>STARMALT</v>
      </c>
      <c r="C39" s="362">
        <f>[8]Process!D84</f>
        <v>17.2</v>
      </c>
      <c r="D39" s="577">
        <v>17.02</v>
      </c>
      <c r="E39" s="578"/>
      <c r="F39" s="294"/>
      <c r="G39" s="42"/>
      <c r="H39" s="41"/>
      <c r="I39" s="42"/>
      <c r="J39" s="544" t="s">
        <v>129</v>
      </c>
      <c r="K39" s="544"/>
      <c r="L39" s="294"/>
      <c r="M39" s="294"/>
      <c r="N39" s="294"/>
      <c r="O39" s="294"/>
      <c r="P39" s="12"/>
    </row>
    <row r="40" spans="1:56" ht="15.75" thickBot="1">
      <c r="B40" s="608"/>
      <c r="C40" s="362">
        <f>[8]Process!D85</f>
        <v>17.3</v>
      </c>
      <c r="D40" s="540"/>
      <c r="E40" s="537"/>
      <c r="F40" s="294"/>
      <c r="G40" s="42"/>
      <c r="H40" s="42"/>
      <c r="I40" s="42"/>
      <c r="J40" s="292" t="s">
        <v>17</v>
      </c>
      <c r="K40" s="293"/>
      <c r="L40" s="545" t="s">
        <v>136</v>
      </c>
      <c r="M40" s="545"/>
      <c r="N40" s="546"/>
      <c r="O40" s="294"/>
      <c r="P40" s="12"/>
    </row>
    <row r="41" spans="1:56" ht="15" customHeight="1" thickBot="1">
      <c r="B41" s="608"/>
      <c r="C41" s="349">
        <f>[8]Process!D86</f>
        <v>17.600000000000001</v>
      </c>
      <c r="D41" s="538">
        <v>17.2</v>
      </c>
      <c r="E41" s="539"/>
      <c r="F41" s="294"/>
      <c r="G41" s="42"/>
      <c r="H41" s="42"/>
      <c r="I41" s="42"/>
      <c r="J41" s="287" t="s">
        <v>6</v>
      </c>
      <c r="K41" s="324">
        <v>9</v>
      </c>
      <c r="L41" s="473" t="s">
        <v>37</v>
      </c>
      <c r="M41" s="474" t="s">
        <v>38</v>
      </c>
      <c r="N41" s="474" t="s">
        <v>84</v>
      </c>
      <c r="O41" s="294"/>
      <c r="P41" s="12"/>
    </row>
    <row r="42" spans="1:56" ht="15.75" customHeight="1" thickBot="1">
      <c r="B42" s="608"/>
      <c r="C42" s="349">
        <f>[8]Process!D87</f>
        <v>17.100000000000001</v>
      </c>
      <c r="D42" s="540"/>
      <c r="E42" s="537"/>
      <c r="F42" s="294"/>
      <c r="G42" s="42"/>
      <c r="H42" s="42"/>
      <c r="I42" s="42"/>
      <c r="J42" s="345" t="s">
        <v>9</v>
      </c>
      <c r="K42" s="324"/>
      <c r="L42" s="494">
        <f>AVERAGE(K51,'Aug 3rd '!K47,'Aug 2nd'!K52,'Aug 4th'!K47,'Aug 5th'!K51)</f>
        <v>7.2</v>
      </c>
      <c r="M42" s="495">
        <f>AVERAGE('[9]Jan30th-31st'!$L$47,L42,'[10]Feb 26th '!$L$39,'[11]Mar 31st'!$L$47,'[12]Apr 30th'!$L$46,'[13]May 29th '!$L$40,'[14]June 30th'!$L$39,[15]July31st!$L$41)</f>
        <v>6.4459220127698389</v>
      </c>
      <c r="N42" s="416">
        <v>9.1999999999999993</v>
      </c>
      <c r="O42" s="294"/>
      <c r="P42" s="12"/>
    </row>
    <row r="43" spans="1:56" ht="15" customHeight="1">
      <c r="B43" s="608"/>
      <c r="C43" s="349">
        <f>[8]Process!D88</f>
        <v>17.2</v>
      </c>
      <c r="D43" s="538">
        <v>17.16</v>
      </c>
      <c r="E43" s="539"/>
      <c r="F43" s="294"/>
      <c r="G43" s="42"/>
      <c r="H43" s="42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608"/>
      <c r="C44" s="349">
        <f>[8]Process!D89</f>
        <v>17.2</v>
      </c>
      <c r="D44" s="540"/>
      <c r="E44" s="537"/>
      <c r="F44" s="294"/>
      <c r="G44" s="42"/>
      <c r="H44" s="42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608"/>
      <c r="C45" s="349">
        <f>[8]Process!D90</f>
        <v>17.3</v>
      </c>
      <c r="D45" s="538">
        <v>17.21</v>
      </c>
      <c r="E45" s="539"/>
      <c r="F45" s="294"/>
      <c r="G45" s="42"/>
      <c r="H45" s="42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609"/>
      <c r="C46" s="349">
        <f>[8]Process!D91</f>
        <v>17.100000000000001</v>
      </c>
      <c r="D46" s="540"/>
      <c r="E46" s="537"/>
      <c r="F46" s="294"/>
      <c r="G46" s="42"/>
      <c r="H46" s="42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492"/>
      <c r="C47" s="349"/>
      <c r="D47" s="538"/>
      <c r="E47" s="539"/>
      <c r="F47" s="294"/>
      <c r="G47" s="42"/>
      <c r="H47" s="42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493"/>
      <c r="C48" s="350"/>
      <c r="D48" s="547"/>
      <c r="E48" s="548"/>
      <c r="F48" s="294" t="s">
        <v>166</v>
      </c>
      <c r="G48" s="42"/>
      <c r="H48" s="42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49"/>
      <c r="E49" s="550"/>
      <c r="F49" s="294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2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2"/>
      <c r="I51" s="42"/>
      <c r="J51" s="346" t="s">
        <v>130</v>
      </c>
      <c r="K51" s="324">
        <f>SUM(K41:K50)</f>
        <v>9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42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551" t="s">
        <v>17</v>
      </c>
      <c r="C54" s="551" t="s">
        <v>44</v>
      </c>
      <c r="D54" s="554" t="s">
        <v>45</v>
      </c>
      <c r="E54" s="519" t="s">
        <v>46</v>
      </c>
      <c r="F54" s="568" t="s">
        <v>47</v>
      </c>
      <c r="G54" s="563" t="s">
        <v>48</v>
      </c>
      <c r="H54" s="551" t="s">
        <v>49</v>
      </c>
      <c r="I54" s="551" t="s">
        <v>50</v>
      </c>
      <c r="J54" s="557" t="s">
        <v>28</v>
      </c>
      <c r="K54" s="517" t="s">
        <v>51</v>
      </c>
      <c r="L54" s="566" t="s">
        <v>52</v>
      </c>
      <c r="M54" s="557" t="s">
        <v>53</v>
      </c>
      <c r="N54" s="13"/>
      <c r="O54" s="13"/>
      <c r="P54" s="50"/>
    </row>
    <row r="55" spans="2:57" ht="28.5" customHeight="1" thickTop="1" thickBot="1">
      <c r="B55" s="552"/>
      <c r="C55" s="553"/>
      <c r="D55" s="555"/>
      <c r="E55" s="556"/>
      <c r="F55" s="569"/>
      <c r="G55" s="564"/>
      <c r="H55" s="552"/>
      <c r="I55" s="552"/>
      <c r="J55" s="558"/>
      <c r="K55" s="565"/>
      <c r="L55" s="567"/>
      <c r="M55" s="558"/>
      <c r="N55" s="13"/>
      <c r="O55" s="13"/>
      <c r="P55" s="50"/>
      <c r="Q55" s="355"/>
      <c r="AB55" s="475">
        <v>43474</v>
      </c>
      <c r="AC55" s="475">
        <v>43475</v>
      </c>
      <c r="AD55" s="475">
        <v>43476</v>
      </c>
      <c r="AE55" s="475">
        <v>43477</v>
      </c>
      <c r="AF55" s="475">
        <v>43478</v>
      </c>
      <c r="AG55" s="475">
        <v>43479</v>
      </c>
      <c r="AH55" s="475">
        <v>43480</v>
      </c>
      <c r="AI55" s="475">
        <v>43481</v>
      </c>
      <c r="AJ55" s="475">
        <v>43482</v>
      </c>
      <c r="AK55" s="475">
        <v>43483</v>
      </c>
      <c r="AL55" s="475">
        <v>43484</v>
      </c>
      <c r="AM55" s="475">
        <v>43485</v>
      </c>
      <c r="AN55" s="475">
        <v>43486</v>
      </c>
      <c r="AO55" s="475">
        <v>43487</v>
      </c>
      <c r="AP55" s="475">
        <v>43488</v>
      </c>
      <c r="AQ55" s="475">
        <v>43489</v>
      </c>
      <c r="AR55" s="475">
        <v>43490</v>
      </c>
      <c r="AS55" s="475">
        <v>43491</v>
      </c>
      <c r="AT55" s="475">
        <v>43492</v>
      </c>
      <c r="AU55" s="475">
        <v>43493</v>
      </c>
      <c r="AV55" s="475">
        <v>43494</v>
      </c>
      <c r="AW55" s="475">
        <v>43495</v>
      </c>
      <c r="AX55" s="475">
        <v>43496</v>
      </c>
    </row>
    <row r="56" spans="2:57" s="54" customFormat="1" ht="36.75" hidden="1" customHeight="1" thickBot="1">
      <c r="B56" s="484" t="str">
        <f>J42</f>
        <v>STAG</v>
      </c>
      <c r="C56" s="479">
        <v>46218</v>
      </c>
      <c r="D56" s="445">
        <f>[35]July_2026!$R$13</f>
        <v>195.67999999999998</v>
      </c>
      <c r="E56" s="443"/>
      <c r="F56" s="444"/>
      <c r="G56" s="444">
        <f>[35]July_2026!$R$17</f>
        <v>184</v>
      </c>
      <c r="H56" s="458"/>
      <c r="I56" s="458"/>
      <c r="J56" s="448" t="s">
        <v>170</v>
      </c>
      <c r="K56" s="449">
        <f>[36]July_2026!$R$25</f>
        <v>0.32280701754385965</v>
      </c>
      <c r="L56" s="457">
        <f>(((D56+E56)-G56)/(D56+E56))*100</f>
        <v>5.9689288634505209</v>
      </c>
      <c r="M56" s="455" t="s">
        <v>171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[16]January_2019!L5</f>
        <v>0</v>
      </c>
      <c r="AC56" s="57">
        <f>[16]January_2019!M5</f>
        <v>0</v>
      </c>
      <c r="AD56" s="57">
        <f>[16]January_2019!N5</f>
        <v>0</v>
      </c>
      <c r="AE56" s="57">
        <f>[16]January_2019!O5</f>
        <v>0</v>
      </c>
      <c r="AF56" s="57">
        <f>[16]January_2019!P5</f>
        <v>0</v>
      </c>
      <c r="AG56" s="57">
        <f>[16]January_2019!Q5</f>
        <v>0</v>
      </c>
      <c r="AH56" s="57">
        <f>[16]January_2019!R5</f>
        <v>0</v>
      </c>
      <c r="AI56" s="57">
        <f>[16]January_2019!S5</f>
        <v>0</v>
      </c>
      <c r="AJ56" s="57">
        <f>[16]January_2019!T5</f>
        <v>0</v>
      </c>
      <c r="AK56" s="57">
        <f>[16]January_2019!U5</f>
        <v>0</v>
      </c>
      <c r="AL56" s="57">
        <f>[16]January_2019!V5</f>
        <v>0</v>
      </c>
      <c r="AM56" s="57">
        <f>[16]January_2019!W5</f>
        <v>0</v>
      </c>
      <c r="AN56" s="57">
        <f>[16]January_2019!X5</f>
        <v>0</v>
      </c>
      <c r="AO56" s="57">
        <f>[16]January_2019!Y5</f>
        <v>0</v>
      </c>
      <c r="AP56" s="57">
        <f>[16]January_2019!Z5</f>
        <v>0</v>
      </c>
      <c r="AQ56" s="57">
        <f>[16]January_2019!AA5</f>
        <v>0</v>
      </c>
      <c r="AR56" s="57">
        <f>[16]January_2019!AB5</f>
        <v>0</v>
      </c>
      <c r="AS56" s="57">
        <f>[16]January_2019!AC5</f>
        <v>0</v>
      </c>
      <c r="AT56" s="57">
        <f>[16]January_2019!AD5</f>
        <v>0</v>
      </c>
      <c r="AU56" s="57">
        <f>[16]January_2019!AE5</f>
        <v>0</v>
      </c>
      <c r="AV56" s="57">
        <f>[16]January_2019!AF5</f>
        <v>0</v>
      </c>
      <c r="AW56" s="57">
        <f>[16]January_2019!AG5</f>
        <v>0</v>
      </c>
      <c r="AX56" s="277">
        <f>[16]January_2019!AH5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4.25" hidden="1" customHeight="1" thickBot="1">
      <c r="B57" s="480"/>
      <c r="C57" s="479"/>
      <c r="D57" s="442"/>
      <c r="E57" s="443"/>
      <c r="F57" s="444"/>
      <c r="G57" s="445"/>
      <c r="H57" s="458"/>
      <c r="I57" s="458"/>
      <c r="J57" s="476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[16]January_2019!L6</f>
        <v>0</v>
      </c>
      <c r="AC57" s="57">
        <f>[16]January_2019!M6</f>
        <v>0</v>
      </c>
      <c r="AD57" s="57">
        <f>[16]January_2019!N6</f>
        <v>0</v>
      </c>
      <c r="AE57" s="57">
        <f>[16]January_2019!O6</f>
        <v>0</v>
      </c>
      <c r="AF57" s="57">
        <f>[16]January_2019!P6</f>
        <v>0</v>
      </c>
      <c r="AG57" s="57">
        <f>[16]January_2019!Q6</f>
        <v>0</v>
      </c>
      <c r="AH57" s="57">
        <f>[16]January_2019!R6</f>
        <v>0</v>
      </c>
      <c r="AI57" s="57">
        <f>[16]January_2019!S6</f>
        <v>0</v>
      </c>
      <c r="AJ57" s="57">
        <f>[16]January_2019!T6</f>
        <v>0</v>
      </c>
      <c r="AK57" s="57">
        <f>[16]January_2019!U6</f>
        <v>0</v>
      </c>
      <c r="AL57" s="57">
        <f>[16]January_2019!V6</f>
        <v>0</v>
      </c>
      <c r="AM57" s="57">
        <f>[16]January_2019!W6</f>
        <v>0</v>
      </c>
      <c r="AN57" s="57">
        <f>[16]January_2019!X6</f>
        <v>0</v>
      </c>
      <c r="AO57" s="57">
        <f>[16]January_2019!Y6</f>
        <v>0</v>
      </c>
      <c r="AP57" s="57">
        <f>[16]January_2019!Z6</f>
        <v>0</v>
      </c>
      <c r="AQ57" s="57">
        <f>[16]January_2019!AA6</f>
        <v>0</v>
      </c>
      <c r="AR57" s="57">
        <f>[16]January_2019!AB6</f>
        <v>0</v>
      </c>
      <c r="AS57" s="57">
        <f>[16]January_2019!AC6</f>
        <v>0</v>
      </c>
      <c r="AT57" s="57">
        <f>[16]January_2019!AD6</f>
        <v>0</v>
      </c>
      <c r="AU57" s="57">
        <f>[16]January_2019!AE6</f>
        <v>0</v>
      </c>
      <c r="AV57" s="57">
        <f>[16]January_2019!AF6</f>
        <v>0</v>
      </c>
      <c r="AW57" s="57">
        <f>[16]January_2019!AG6</f>
        <v>0</v>
      </c>
      <c r="AX57" s="277">
        <f>[16]January_2019!AH6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37.15" customHeight="1" thickBot="1">
      <c r="B58" s="480" t="str">
        <f>J41</f>
        <v>CARIB</v>
      </c>
      <c r="C58" s="479">
        <v>46240</v>
      </c>
      <c r="D58" s="442">
        <f>[35]August_2026!$H$3</f>
        <v>401.69999999999993</v>
      </c>
      <c r="E58" s="443"/>
      <c r="F58" s="444"/>
      <c r="G58" s="444">
        <f>[35]August_2026!$H$7</f>
        <v>374.79999999999995</v>
      </c>
      <c r="H58" s="458"/>
      <c r="I58" s="458"/>
      <c r="J58" s="448" t="s">
        <v>174</v>
      </c>
      <c r="K58" s="449">
        <f>[36]August_2026!$H$18</f>
        <v>0.43836257309941518</v>
      </c>
      <c r="L58" s="457">
        <f>(((D58+E58)-G58)/(D58+E58))*100</f>
        <v>6.6965397062484406</v>
      </c>
      <c r="M58" s="455" t="s">
        <v>173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[16]January_2019!L7</f>
        <v>285.8</v>
      </c>
      <c r="AC58" s="57">
        <f>[16]January_2019!M7</f>
        <v>508.1</v>
      </c>
      <c r="AD58" s="57">
        <f>[16]January_2019!N7</f>
        <v>0</v>
      </c>
      <c r="AE58" s="57">
        <f>[16]January_2019!O7</f>
        <v>0</v>
      </c>
      <c r="AF58" s="57">
        <f>[16]January_2019!P7</f>
        <v>109.56666666666666</v>
      </c>
      <c r="AG58" s="57">
        <f>[16]January_2019!Q7</f>
        <v>297.64999999999998</v>
      </c>
      <c r="AH58" s="57">
        <f>[16]January_2019!R7</f>
        <v>122.3</v>
      </c>
      <c r="AI58" s="57">
        <f>[16]January_2019!S7</f>
        <v>0</v>
      </c>
      <c r="AJ58" s="57">
        <f>[16]January_2019!T7</f>
        <v>294.7</v>
      </c>
      <c r="AK58" s="57">
        <f>[16]January_2019!U7</f>
        <v>280.5</v>
      </c>
      <c r="AL58" s="57">
        <f>[16]January_2019!V7</f>
        <v>0</v>
      </c>
      <c r="AM58" s="57">
        <f>[16]January_2019!W7</f>
        <v>0</v>
      </c>
      <c r="AN58" s="57">
        <f>[16]January_2019!X7</f>
        <v>188.25</v>
      </c>
      <c r="AO58" s="57">
        <f>[16]January_2019!Y7</f>
        <v>295.7</v>
      </c>
      <c r="AP58" s="57">
        <f>[16]January_2019!Z7</f>
        <v>257.8</v>
      </c>
      <c r="AQ58" s="57">
        <f>[16]January_2019!AA7</f>
        <v>291.2</v>
      </c>
      <c r="AR58" s="57">
        <f>[16]January_2019!AB7</f>
        <v>187</v>
      </c>
      <c r="AS58" s="57">
        <f>[16]January_2019!AC7</f>
        <v>0</v>
      </c>
      <c r="AT58" s="57">
        <f>[16]January_2019!AD7</f>
        <v>0</v>
      </c>
      <c r="AU58" s="57">
        <f>[16]January_2019!AE7</f>
        <v>485.1</v>
      </c>
      <c r="AV58" s="57">
        <f>[16]January_2019!AF7</f>
        <v>171.55</v>
      </c>
      <c r="AW58" s="57">
        <f>[16]January_2019!AG7</f>
        <v>423.8</v>
      </c>
      <c r="AX58" s="277">
        <f>[16]January_2019!AH7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18.600000000000001" customHeight="1" thickBot="1">
      <c r="B59" s="478"/>
      <c r="C59" s="430"/>
      <c r="D59" s="431"/>
      <c r="E59" s="432"/>
      <c r="F59" s="433"/>
      <c r="G59" s="434"/>
      <c r="H59" s="458"/>
      <c r="I59" s="458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8.65" customHeight="1" thickBot="1">
      <c r="B60" s="387" t="str">
        <f>B69</f>
        <v>CARIB</v>
      </c>
      <c r="C60" s="479">
        <v>46240</v>
      </c>
      <c r="D60" s="442">
        <f>[35]August_2026!$I$3</f>
        <v>99.5</v>
      </c>
      <c r="E60" s="443"/>
      <c r="F60" s="444"/>
      <c r="G60" s="445">
        <f>[35]August_2026!$I$7</f>
        <v>94.1</v>
      </c>
      <c r="H60" s="458"/>
      <c r="I60" s="458"/>
      <c r="J60" s="448" t="s">
        <v>172</v>
      </c>
      <c r="K60" s="459">
        <f>[36]August_2026!$I$18</f>
        <v>0.33017543859649123</v>
      </c>
      <c r="L60" s="457">
        <f>(((D60+E60)-G60)/(D60+E60))*100</f>
        <v>5.4271356783919655</v>
      </c>
      <c r="M60" s="455" t="str">
        <f>M58</f>
        <v>K. Neptune</v>
      </c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.75" thickBot="1">
      <c r="B61" s="453"/>
      <c r="C61" s="430"/>
      <c r="D61" s="431"/>
      <c r="E61" s="432"/>
      <c r="F61" s="433"/>
      <c r="G61" s="434"/>
      <c r="H61" s="435"/>
      <c r="I61" s="450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 thickBot="1">
      <c r="B62" s="482" t="str">
        <f>B75</f>
        <v>STARMALT</v>
      </c>
      <c r="C62" s="479">
        <v>46240</v>
      </c>
      <c r="D62" s="442">
        <f>[35]August_2026!$I$55</f>
        <v>407.5</v>
      </c>
      <c r="E62" s="443"/>
      <c r="F62" s="444"/>
      <c r="G62" s="445">
        <f>[35]August_2026!$I$59</f>
        <v>398</v>
      </c>
      <c r="H62" s="446"/>
      <c r="I62" s="447"/>
      <c r="J62" s="448" t="s">
        <v>172</v>
      </c>
      <c r="K62" s="449">
        <f>[36]August_2026!$I$53</f>
        <v>1.3964912280701753</v>
      </c>
      <c r="L62" s="457">
        <f>(((D62+E62)-G62)/(D62+E62))*100</f>
        <v>2.3312883435582821</v>
      </c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customHeight="1" thickBot="1">
      <c r="B63" s="437"/>
      <c r="C63" s="423"/>
      <c r="D63" s="424"/>
      <c r="E63" s="425"/>
      <c r="F63" s="426"/>
      <c r="G63" s="427"/>
      <c r="H63" s="428"/>
      <c r="I63" s="438"/>
      <c r="J63" s="439"/>
      <c r="K63" s="429"/>
      <c r="L63" s="440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s="54" customFormat="1" ht="37.15" hidden="1" customHeight="1" thickBot="1">
      <c r="B64" s="456"/>
      <c r="C64" s="441"/>
      <c r="D64" s="442"/>
      <c r="E64" s="443"/>
      <c r="F64" s="444"/>
      <c r="G64" s="445"/>
      <c r="H64" s="446"/>
      <c r="I64" s="447"/>
      <c r="J64" s="448"/>
      <c r="K64" s="449"/>
      <c r="L64" s="457"/>
      <c r="M64" s="45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66"/>
      <c r="C65" s="430"/>
      <c r="D65" s="460"/>
      <c r="E65" s="461"/>
      <c r="F65" s="462"/>
      <c r="G65" s="460"/>
      <c r="H65" s="463"/>
      <c r="I65" s="463"/>
      <c r="J65" s="463"/>
      <c r="K65" s="464"/>
      <c r="L65" s="465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59" t="s">
        <v>55</v>
      </c>
      <c r="C67" s="560"/>
      <c r="D67" s="560"/>
      <c r="E67" s="560"/>
      <c r="F67" s="561"/>
      <c r="G67" s="559" t="s">
        <v>56</v>
      </c>
      <c r="H67" s="560"/>
      <c r="I67" s="560"/>
      <c r="J67" s="561"/>
      <c r="K67" s="559" t="s">
        <v>51</v>
      </c>
      <c r="L67" s="560"/>
      <c r="M67" s="560"/>
      <c r="N67" s="562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/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65">
        <f>AVERAGE(L58,L60,L62)</f>
        <v>4.8183212427328961</v>
      </c>
      <c r="D69" s="76">
        <v>5.7194461167971253</v>
      </c>
      <c r="E69" s="76">
        <v>6.4745938926185822</v>
      </c>
      <c r="F69" s="66">
        <v>4.8</v>
      </c>
      <c r="G69" s="65">
        <f>AVERAGE([35]August_2026!$H$11,[35]August_2026!$I$11)</f>
        <v>5.5311388611420895</v>
      </c>
      <c r="H69" s="477">
        <v>6.1382763907372251</v>
      </c>
      <c r="I69" s="477">
        <v>6.7768651622846923</v>
      </c>
      <c r="J69" s="66">
        <v>4.8</v>
      </c>
      <c r="K69" s="67">
        <f>AVERAGE(K58,K60)</f>
        <v>0.3842690058479532</v>
      </c>
      <c r="L69" s="194">
        <v>0.42221108326371476</v>
      </c>
      <c r="M69" s="194">
        <v>0.53343496764153453</v>
      </c>
      <c r="N69" s="68">
        <v>1</v>
      </c>
      <c r="O69" s="56"/>
      <c r="P69" s="69"/>
    </row>
    <row r="70" spans="2:57" ht="15">
      <c r="B70" s="33" t="s">
        <v>9</v>
      </c>
      <c r="C70" s="65"/>
      <c r="D70" s="76">
        <v>13.806187974314071</v>
      </c>
      <c r="E70" s="76">
        <v>5.9909115522805205</v>
      </c>
      <c r="F70" s="66">
        <v>4.8</v>
      </c>
      <c r="G70" s="65"/>
      <c r="H70" s="76">
        <v>14.156284692533767</v>
      </c>
      <c r="I70" s="76">
        <v>6.0280449027682144</v>
      </c>
      <c r="J70" s="66">
        <v>4.8</v>
      </c>
      <c r="K70" s="67"/>
      <c r="L70" s="194">
        <v>1.0361403508771929</v>
      </c>
      <c r="M70" s="194">
        <v>0.71156427372551401</v>
      </c>
      <c r="N70" s="68">
        <v>1</v>
      </c>
      <c r="P70" s="69"/>
    </row>
    <row r="71" spans="2:57" ht="15">
      <c r="B71" s="34" t="s">
        <v>40</v>
      </c>
      <c r="C71" s="65"/>
      <c r="D71" s="76">
        <v>8.0132764343290681</v>
      </c>
      <c r="E71" s="76">
        <v>11.085360064780945</v>
      </c>
      <c r="F71" s="66">
        <v>5.5</v>
      </c>
      <c r="G71" s="65"/>
      <c r="H71" s="76">
        <v>7.261998133908862</v>
      </c>
      <c r="I71" s="76">
        <v>11.847386208595987</v>
      </c>
      <c r="J71" s="66">
        <v>5.5</v>
      </c>
      <c r="K71" s="67"/>
      <c r="L71" s="194">
        <v>0.68070175438596492</v>
      </c>
      <c r="M71" s="194">
        <v>0.37172629490392645</v>
      </c>
      <c r="N71" s="68">
        <v>1</v>
      </c>
      <c r="P71" s="69"/>
    </row>
    <row r="72" spans="2:57" ht="15">
      <c r="B72" s="22" t="s">
        <v>33</v>
      </c>
      <c r="C72" s="65"/>
      <c r="D72" s="76"/>
      <c r="E72" s="76">
        <v>4.8685538193023836</v>
      </c>
      <c r="F72" s="66">
        <v>3.3</v>
      </c>
      <c r="G72" s="65"/>
      <c r="H72" s="76"/>
      <c r="I72" s="76">
        <v>5.0921772905826597</v>
      </c>
      <c r="J72" s="66">
        <v>3.3</v>
      </c>
      <c r="K72" s="67"/>
      <c r="L72" s="194"/>
      <c r="M72" s="194">
        <v>0.79040935672514623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/>
      <c r="F73" s="66">
        <v>3.3</v>
      </c>
      <c r="G73" s="282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57" ht="15">
      <c r="B74" s="36" t="s">
        <v>15</v>
      </c>
      <c r="C74" s="65"/>
      <c r="D74" s="76"/>
      <c r="E74" s="76">
        <v>6.0400197628458603</v>
      </c>
      <c r="F74" s="70">
        <v>5.5</v>
      </c>
      <c r="G74" s="65"/>
      <c r="H74" s="76"/>
      <c r="I74" s="76">
        <v>8.2405787675951316</v>
      </c>
      <c r="J74" s="66">
        <v>5.5</v>
      </c>
      <c r="K74" s="67"/>
      <c r="L74" s="194"/>
      <c r="M74" s="194">
        <v>0.78491228070175445</v>
      </c>
      <c r="N74" s="68">
        <v>1</v>
      </c>
      <c r="P74" s="69"/>
    </row>
    <row r="75" spans="2:57" ht="15">
      <c r="B75" s="37" t="s">
        <v>16</v>
      </c>
      <c r="C75" s="483"/>
      <c r="D75" s="76">
        <v>2.3312883435582821</v>
      </c>
      <c r="E75" s="76">
        <v>3.4897129331795727</v>
      </c>
      <c r="F75" s="66">
        <v>3.3</v>
      </c>
      <c r="G75" s="282"/>
      <c r="H75" s="76">
        <v>2.9668764888279751</v>
      </c>
      <c r="I75" s="76">
        <v>4.7322074825777003</v>
      </c>
      <c r="J75" s="66">
        <v>3.3</v>
      </c>
      <c r="K75" s="67"/>
      <c r="L75" s="194">
        <v>1.3964912280701753</v>
      </c>
      <c r="M75" s="194">
        <v>0.9346464646464645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/>
      <c r="F76" s="66">
        <v>7.5</v>
      </c>
      <c r="G76" s="282"/>
      <c r="H76" s="76"/>
      <c r="I76" s="76"/>
      <c r="J76" s="66">
        <v>7.5</v>
      </c>
      <c r="K76" s="67"/>
      <c r="L76" s="194"/>
      <c r="M76" s="194"/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/>
      <c r="F77" s="66">
        <v>4.8</v>
      </c>
      <c r="G77" s="282"/>
      <c r="H77" s="76"/>
      <c r="I77" s="76"/>
      <c r="J77" s="66">
        <v>4.8</v>
      </c>
      <c r="K77" s="67"/>
      <c r="L77" s="194"/>
      <c r="M77" s="194"/>
      <c r="N77" s="71">
        <v>1</v>
      </c>
      <c r="O77" s="74"/>
      <c r="P77" s="75"/>
    </row>
    <row r="78" spans="2:57" ht="15">
      <c r="D78" s="76">
        <v>6.4823486298302164</v>
      </c>
      <c r="E78" s="76">
        <v>6.331587431037887</v>
      </c>
      <c r="F78" s="341">
        <v>5.5</v>
      </c>
      <c r="H78" s="76">
        <v>6.5607487215705085</v>
      </c>
      <c r="I78" s="76">
        <v>6.7631932611272276</v>
      </c>
      <c r="J78" s="341">
        <v>5.5</v>
      </c>
      <c r="L78" s="194">
        <v>0.7299944305207462</v>
      </c>
      <c r="M78" s="194">
        <v>0.61126516949545084</v>
      </c>
      <c r="N78" s="386">
        <v>1</v>
      </c>
    </row>
  </sheetData>
  <mergeCells count="52">
    <mergeCell ref="U1:V1"/>
    <mergeCell ref="W1:X1"/>
    <mergeCell ref="D33:E34"/>
    <mergeCell ref="D35:E36"/>
    <mergeCell ref="D37:E38"/>
    <mergeCell ref="I25:N25"/>
    <mergeCell ref="D26:E26"/>
    <mergeCell ref="D27:E28"/>
    <mergeCell ref="D29:E30"/>
    <mergeCell ref="D31:E32"/>
    <mergeCell ref="Y1:Z1"/>
    <mergeCell ref="B2:O2"/>
    <mergeCell ref="B8:B9"/>
    <mergeCell ref="C8:C9"/>
    <mergeCell ref="D8:D9"/>
    <mergeCell ref="G8:G9"/>
    <mergeCell ref="H8:H9"/>
    <mergeCell ref="K8:K9"/>
    <mergeCell ref="L8:L9"/>
    <mergeCell ref="O8:O9"/>
    <mergeCell ref="P8:P9"/>
    <mergeCell ref="C5:D5"/>
    <mergeCell ref="I8:I9"/>
    <mergeCell ref="J8:J9"/>
    <mergeCell ref="M4:N4"/>
    <mergeCell ref="S1:T1"/>
    <mergeCell ref="J39:K39"/>
    <mergeCell ref="M54:M55"/>
    <mergeCell ref="B67:F67"/>
    <mergeCell ref="G67:J67"/>
    <mergeCell ref="K67:N67"/>
    <mergeCell ref="J54:J55"/>
    <mergeCell ref="K54:K55"/>
    <mergeCell ref="L54:L55"/>
    <mergeCell ref="D45:E46"/>
    <mergeCell ref="D47:E48"/>
    <mergeCell ref="E54:E55"/>
    <mergeCell ref="F54:F55"/>
    <mergeCell ref="D39:E40"/>
    <mergeCell ref="B39:B46"/>
    <mergeCell ref="L40:N40"/>
    <mergeCell ref="D41:E42"/>
    <mergeCell ref="B27:B34"/>
    <mergeCell ref="B35:B38"/>
    <mergeCell ref="G54:G55"/>
    <mergeCell ref="H54:H55"/>
    <mergeCell ref="I54:I55"/>
    <mergeCell ref="D49:E49"/>
    <mergeCell ref="B54:B55"/>
    <mergeCell ref="C54:C55"/>
    <mergeCell ref="D54:D55"/>
    <mergeCell ref="D43:E44"/>
  </mergeCells>
  <conditionalFormatting sqref="B49:B50">
    <cfRule type="cellIs" dxfId="3075" priority="109" operator="notBetween">
      <formula>#REF!</formula>
      <formula>#REF!</formula>
    </cfRule>
  </conditionalFormatting>
  <conditionalFormatting sqref="C53">
    <cfRule type="cellIs" dxfId="3074" priority="192" stopIfTrue="1" operator="greaterThan">
      <formula>100</formula>
    </cfRule>
    <cfRule type="cellIs" dxfId="3073" priority="191" stopIfTrue="1" operator="lessThan">
      <formula>96</formula>
    </cfRule>
  </conditionalFormatting>
  <conditionalFormatting sqref="C69:C70">
    <cfRule type="cellIs" dxfId="3072" priority="74" stopIfTrue="1" operator="lessThanOrEqual">
      <formula>0</formula>
    </cfRule>
    <cfRule type="cellIs" dxfId="3071" priority="71" stopIfTrue="1" operator="greaterThan">
      <formula>$F69</formula>
    </cfRule>
    <cfRule type="cellIs" dxfId="3070" priority="72" stopIfTrue="1" operator="lessThanOrEqual">
      <formula>0</formula>
    </cfRule>
    <cfRule type="cellIs" dxfId="3069" priority="73" stopIfTrue="1" operator="greaterThan">
      <formula>$F69</formula>
    </cfRule>
  </conditionalFormatting>
  <conditionalFormatting sqref="C71:C73 C75:C77">
    <cfRule type="cellIs" dxfId="3068" priority="81" stopIfTrue="1" operator="greaterThan">
      <formula>$F74</formula>
    </cfRule>
  </conditionalFormatting>
  <conditionalFormatting sqref="C71:C73">
    <cfRule type="cellIs" dxfId="3067" priority="82" stopIfTrue="1" operator="lessThanOrEqual">
      <formula>0</formula>
    </cfRule>
  </conditionalFormatting>
  <conditionalFormatting sqref="C74">
    <cfRule type="cellIs" dxfId="3066" priority="195" stopIfTrue="1" operator="greaterThan">
      <formula>$F69</formula>
    </cfRule>
    <cfRule type="cellIs" dxfId="3065" priority="194" stopIfTrue="1" operator="lessThanOrEqual">
      <formula>0</formula>
    </cfRule>
    <cfRule type="cellIs" dxfId="3064" priority="193" stopIfTrue="1" operator="greaterThan">
      <formula>$F69</formula>
    </cfRule>
    <cfRule type="cellIs" dxfId="3063" priority="196" stopIfTrue="1" operator="lessThanOrEqual">
      <formula>0</formula>
    </cfRule>
  </conditionalFormatting>
  <conditionalFormatting sqref="C75:C77">
    <cfRule type="cellIs" dxfId="3062" priority="83" stopIfTrue="1" operator="lessThanOrEqual">
      <formula>0</formula>
    </cfRule>
  </conditionalFormatting>
  <conditionalFormatting sqref="C80:C84">
    <cfRule type="cellIs" dxfId="3061" priority="183" stopIfTrue="1" operator="lessThanOrEqual">
      <formula>0</formula>
    </cfRule>
  </conditionalFormatting>
  <conditionalFormatting sqref="C81:C84">
    <cfRule type="cellIs" dxfId="3060" priority="182" stopIfTrue="1" operator="greaterThan">
      <formula>$F$80</formula>
    </cfRule>
  </conditionalFormatting>
  <conditionalFormatting sqref="C86">
    <cfRule type="cellIs" dxfId="3059" priority="185" stopIfTrue="1" operator="lessThanOrEqual">
      <formula>0</formula>
    </cfRule>
    <cfRule type="cellIs" dxfId="3058" priority="184" stopIfTrue="1" operator="greaterThan">
      <formula>$F$80</formula>
    </cfRule>
  </conditionalFormatting>
  <conditionalFormatting sqref="C74:D74">
    <cfRule type="cellIs" dxfId="3057" priority="70" stopIfTrue="1" operator="lessThanOrEqual">
      <formula>0</formula>
    </cfRule>
    <cfRule type="cellIs" dxfId="3056" priority="69" stopIfTrue="1" operator="greaterThan">
      <formula>$J74</formula>
    </cfRule>
  </conditionalFormatting>
  <conditionalFormatting sqref="C80:D80 D82:D88">
    <cfRule type="cellIs" dxfId="3055" priority="177" stopIfTrue="1" operator="greaterThan">
      <formula>4.5</formula>
    </cfRule>
  </conditionalFormatting>
  <conditionalFormatting sqref="D49:D50">
    <cfRule type="cellIs" dxfId="3054" priority="110" operator="notBetween">
      <formula>#REF!</formula>
      <formula>#REF!</formula>
    </cfRule>
  </conditionalFormatting>
  <conditionalFormatting sqref="D69:D73 D75:D76">
    <cfRule type="cellIs" dxfId="3053" priority="80" stopIfTrue="1" operator="lessThanOrEqual">
      <formula>0</formula>
    </cfRule>
  </conditionalFormatting>
  <conditionalFormatting sqref="D69:D73 D75:D78">
    <cfRule type="cellIs" dxfId="3052" priority="77" stopIfTrue="1" operator="greaterThan">
      <formula>$F69</formula>
    </cfRule>
    <cfRule type="cellIs" dxfId="3051" priority="76" stopIfTrue="1" operator="lessThanOrEqual">
      <formula>0</formula>
    </cfRule>
  </conditionalFormatting>
  <conditionalFormatting sqref="D77:D78">
    <cfRule type="cellIs" dxfId="3050" priority="78" stopIfTrue="1" operator="lessThanOrEqual">
      <formula>0</formula>
    </cfRule>
  </conditionalFormatting>
  <conditionalFormatting sqref="D78">
    <cfRule type="cellIs" dxfId="3049" priority="79" stopIfTrue="1" operator="lessThanOrEqual">
      <formula>0</formula>
    </cfRule>
  </conditionalFormatting>
  <conditionalFormatting sqref="D80 D82:D88">
    <cfRule type="cellIs" dxfId="3048" priority="178" stopIfTrue="1" operator="lessThanOrEqual">
      <formula>0</formula>
    </cfRule>
  </conditionalFormatting>
  <conditionalFormatting sqref="D81">
    <cfRule type="cellIs" dxfId="3047" priority="169" stopIfTrue="1" operator="greaterThan">
      <formula>$F$80</formula>
    </cfRule>
    <cfRule type="cellIs" dxfId="3046" priority="170" stopIfTrue="1" operator="lessThanOrEqual">
      <formula>0</formula>
    </cfRule>
  </conditionalFormatting>
  <conditionalFormatting sqref="E10:E24">
    <cfRule type="cellIs" dxfId="3045" priority="11" operator="lessThan">
      <formula>48</formula>
    </cfRule>
  </conditionalFormatting>
  <conditionalFormatting sqref="E52 E53:F53">
    <cfRule type="cellIs" dxfId="3044" priority="174" stopIfTrue="1" operator="greaterThan">
      <formula>100</formula>
    </cfRule>
  </conditionalFormatting>
  <conditionalFormatting sqref="E53">
    <cfRule type="cellIs" dxfId="3043" priority="172" stopIfTrue="1" operator="greaterThan">
      <formula>100</formula>
    </cfRule>
    <cfRule type="cellIs" dxfId="3042" priority="171" stopIfTrue="1" operator="lessThan">
      <formula>96.8</formula>
    </cfRule>
  </conditionalFormatting>
  <conditionalFormatting sqref="E69:E77">
    <cfRule type="cellIs" dxfId="3041" priority="42" stopIfTrue="1" operator="lessThanOrEqual">
      <formula>0</formula>
    </cfRule>
  </conditionalFormatting>
  <conditionalFormatting sqref="E69:E78">
    <cfRule type="cellIs" dxfId="3040" priority="44" stopIfTrue="1" operator="lessThanOrEqual">
      <formula>0</formula>
    </cfRule>
    <cfRule type="cellIs" dxfId="3039" priority="43" stopIfTrue="1" operator="greaterThan">
      <formula>$F69</formula>
    </cfRule>
  </conditionalFormatting>
  <conditionalFormatting sqref="E78">
    <cfRule type="cellIs" dxfId="3038" priority="45" stopIfTrue="1" operator="lessThanOrEqual">
      <formula>0</formula>
    </cfRule>
  </conditionalFormatting>
  <conditionalFormatting sqref="E80:E88">
    <cfRule type="cellIs" dxfId="3037" priority="164" stopIfTrue="1" operator="lessThanOrEqual">
      <formula>0</formula>
    </cfRule>
    <cfRule type="cellIs" dxfId="3036" priority="163" stopIfTrue="1" operator="greaterThan">
      <formula>4.5</formula>
    </cfRule>
  </conditionalFormatting>
  <conditionalFormatting sqref="E53:F53 E52">
    <cfRule type="cellIs" dxfId="3035" priority="173" stopIfTrue="1" operator="lessThan">
      <formula>96.5</formula>
    </cfRule>
  </conditionalFormatting>
  <conditionalFormatting sqref="F10:F24">
    <cfRule type="cellIs" dxfId="3034" priority="2" operator="greaterThan">
      <formula>60</formula>
    </cfRule>
  </conditionalFormatting>
  <conditionalFormatting sqref="F53">
    <cfRule type="cellIs" dxfId="3033" priority="190" stopIfTrue="1" operator="greaterThan">
      <formula>100</formula>
    </cfRule>
    <cfRule type="cellIs" dxfId="3032" priority="189" stopIfTrue="1" operator="lessThan">
      <formula>96.8</formula>
    </cfRule>
  </conditionalFormatting>
  <conditionalFormatting sqref="G69:G72 F78">
    <cfRule type="cellIs" dxfId="3031" priority="51" stopIfTrue="1" operator="greaterThan">
      <formula>$F69</formula>
    </cfRule>
    <cfRule type="cellIs" dxfId="3030" priority="52" stopIfTrue="1" operator="lessThanOrEqual">
      <formula>0</formula>
    </cfRule>
  </conditionalFormatting>
  <conditionalFormatting sqref="G71:G72">
    <cfRule type="cellIs" dxfId="3029" priority="38" stopIfTrue="1" operator="lessThanOrEqual">
      <formula>0</formula>
    </cfRule>
    <cfRule type="cellIs" dxfId="3028" priority="37" stopIfTrue="1" operator="greaterThan">
      <formula>$F71</formula>
    </cfRule>
  </conditionalFormatting>
  <conditionalFormatting sqref="G73:G77">
    <cfRule type="cellIs" dxfId="3027" priority="53" stopIfTrue="1" operator="greaterThan">
      <formula>$J73</formula>
    </cfRule>
    <cfRule type="cellIs" dxfId="3026" priority="54" stopIfTrue="1" operator="lessThanOrEqual">
      <formula>0</formula>
    </cfRule>
  </conditionalFormatting>
  <conditionalFormatting sqref="G74">
    <cfRule type="cellIs" dxfId="3025" priority="198" stopIfTrue="1" operator="lessThanOrEqual">
      <formula>0</formula>
    </cfRule>
    <cfRule type="cellIs" dxfId="3024" priority="197" stopIfTrue="1" operator="greaterThan">
      <formula>$F69</formula>
    </cfRule>
  </conditionalFormatting>
  <conditionalFormatting sqref="G82:G87 C85 C87">
    <cfRule type="cellIs" dxfId="3023" priority="187" stopIfTrue="1" operator="lessThanOrEqual">
      <formula>0</formula>
    </cfRule>
    <cfRule type="cellIs" dxfId="3022" priority="186" stopIfTrue="1" operator="greaterThan">
      <formula>4.5</formula>
    </cfRule>
  </conditionalFormatting>
  <conditionalFormatting sqref="G10:H24">
    <cfRule type="expression" dxfId="3021" priority="1">
      <formula>IF(+(IF(G10&lt;#REF!,0,IF(G10&gt;#REF!,0,1)))=0,1)</formula>
    </cfRule>
  </conditionalFormatting>
  <conditionalFormatting sqref="G81:H81">
    <cfRule type="cellIs" dxfId="3020" priority="167" stopIfTrue="1" operator="greaterThan">
      <formula>$F$80</formula>
    </cfRule>
    <cfRule type="cellIs" dxfId="3019" priority="168" stopIfTrue="1" operator="lessThanOrEqual">
      <formula>0</formula>
    </cfRule>
  </conditionalFormatting>
  <conditionalFormatting sqref="H38:H39 H52">
    <cfRule type="cellIs" dxfId="3018" priority="165" stopIfTrue="1" operator="greaterThan">
      <formula>0</formula>
    </cfRule>
  </conditionalFormatting>
  <conditionalFormatting sqref="H56">
    <cfRule type="cellIs" dxfId="3017" priority="67" stopIfTrue="1" operator="greaterThan">
      <formula>$F$70</formula>
    </cfRule>
    <cfRule type="cellIs" dxfId="3016" priority="57" stopIfTrue="1" operator="greaterThan">
      <formula>$F$69</formula>
    </cfRule>
    <cfRule type="cellIs" dxfId="3015" priority="66" stopIfTrue="1" operator="lessThanOrEqual">
      <formula>0</formula>
    </cfRule>
    <cfRule type="cellIs" dxfId="3014" priority="56" stopIfTrue="1" operator="lessThanOrEqual">
      <formula>0</formula>
    </cfRule>
    <cfRule type="cellIs" dxfId="3013" priority="65" stopIfTrue="1" operator="greaterThan">
      <formula>$F$72</formula>
    </cfRule>
  </conditionalFormatting>
  <conditionalFormatting sqref="H56:H57">
    <cfRule type="cellIs" dxfId="3012" priority="68" stopIfTrue="1" operator="lessThanOrEqual">
      <formula>0</formula>
    </cfRule>
  </conditionalFormatting>
  <conditionalFormatting sqref="H57 H59:H60">
    <cfRule type="cellIs" dxfId="3011" priority="95" stopIfTrue="1" operator="lessThanOrEqual">
      <formula>0</formula>
    </cfRule>
  </conditionalFormatting>
  <conditionalFormatting sqref="H57">
    <cfRule type="cellIs" dxfId="3010" priority="84" stopIfTrue="1" operator="greaterThan">
      <formula>$F$69</formula>
    </cfRule>
    <cfRule type="cellIs" dxfId="3009" priority="92" stopIfTrue="1" operator="greaterThan">
      <formula>$F$72</formula>
    </cfRule>
    <cfRule type="cellIs" dxfId="3008" priority="93" stopIfTrue="1" operator="lessThanOrEqual">
      <formula>0</formula>
    </cfRule>
    <cfRule type="cellIs" dxfId="3007" priority="94" stopIfTrue="1" operator="greaterThan">
      <formula>$F$70</formula>
    </cfRule>
  </conditionalFormatting>
  <conditionalFormatting sqref="H58">
    <cfRule type="cellIs" dxfId="3006" priority="35" stopIfTrue="1" operator="lessThanOrEqual">
      <formula>0</formula>
    </cfRule>
    <cfRule type="cellIs" dxfId="3005" priority="34" stopIfTrue="1" operator="greaterThan">
      <formula>$F$72</formula>
    </cfRule>
    <cfRule type="cellIs" dxfId="3004" priority="33" stopIfTrue="1" operator="lessThanOrEqual">
      <formula>0</formula>
    </cfRule>
    <cfRule type="cellIs" dxfId="3003" priority="32" stopIfTrue="1" operator="greaterThan">
      <formula>$F$74</formula>
    </cfRule>
    <cfRule type="cellIs" dxfId="3002" priority="23" stopIfTrue="1" operator="lessThanOrEqual">
      <formula>0</formula>
    </cfRule>
    <cfRule type="cellIs" dxfId="3001" priority="24" stopIfTrue="1" operator="greaterThan">
      <formula>$F$71</formula>
    </cfRule>
  </conditionalFormatting>
  <conditionalFormatting sqref="H59:H60">
    <cfRule type="cellIs" dxfId="3000" priority="108" stopIfTrue="1" operator="lessThanOrEqual">
      <formula>0</formula>
    </cfRule>
    <cfRule type="cellIs" dxfId="2999" priority="107" stopIfTrue="1" operator="greaterThan">
      <formula>$F$70</formula>
    </cfRule>
    <cfRule type="cellIs" dxfId="2998" priority="106" stopIfTrue="1" operator="lessThanOrEqual">
      <formula>0</formula>
    </cfRule>
    <cfRule type="cellIs" dxfId="2997" priority="97" stopIfTrue="1" operator="greaterThan">
      <formula>$F$69</formula>
    </cfRule>
    <cfRule type="cellIs" dxfId="2996" priority="105" stopIfTrue="1" operator="greaterThan">
      <formula>$F$72</formula>
    </cfRule>
  </conditionalFormatting>
  <conditionalFormatting sqref="H61:H62">
    <cfRule type="cellIs" dxfId="2995" priority="141" stopIfTrue="1" operator="greaterThan">
      <formula>#REF!</formula>
    </cfRule>
    <cfRule type="cellIs" dxfId="2994" priority="142" stopIfTrue="1" operator="lessThanOrEqual">
      <formula>0</formula>
    </cfRule>
    <cfRule type="cellIs" dxfId="2993" priority="133" stopIfTrue="1" operator="greaterThan">
      <formula>#REF!</formula>
    </cfRule>
    <cfRule type="cellIs" dxfId="2992" priority="132" stopIfTrue="1" operator="lessThanOrEqual">
      <formula>0</formula>
    </cfRule>
  </conditionalFormatting>
  <conditionalFormatting sqref="H63">
    <cfRule type="cellIs" dxfId="2991" priority="145" stopIfTrue="1" operator="greaterThan">
      <formula>$F$37</formula>
    </cfRule>
    <cfRule type="cellIs" dxfId="2990" priority="153" stopIfTrue="1" operator="greaterThan">
      <formula>$F$40</formula>
    </cfRule>
    <cfRule type="cellIs" dxfId="2989" priority="154" stopIfTrue="1" operator="lessThanOrEqual">
      <formula>0</formula>
    </cfRule>
    <cfRule type="cellIs" dxfId="2988" priority="144" stopIfTrue="1" operator="lessThanOrEqual">
      <formula>0</formula>
    </cfRule>
    <cfRule type="cellIs" dxfId="2987" priority="155" stopIfTrue="1" operator="greaterThan">
      <formula>$F$38</formula>
    </cfRule>
    <cfRule type="cellIs" dxfId="2986" priority="156" stopIfTrue="1" operator="lessThanOrEqual">
      <formula>0</formula>
    </cfRule>
  </conditionalFormatting>
  <conditionalFormatting sqref="H64:H65">
    <cfRule type="cellIs" dxfId="2985" priority="129" stopIfTrue="1" operator="greaterThan">
      <formula>#REF!</formula>
    </cfRule>
    <cfRule type="cellIs" dxfId="2984" priority="120" stopIfTrue="1" operator="lessThanOrEqual">
      <formula>0</formula>
    </cfRule>
    <cfRule type="cellIs" dxfId="2983" priority="130" stopIfTrue="1" operator="lessThanOrEqual">
      <formula>0</formula>
    </cfRule>
    <cfRule type="cellIs" dxfId="2982" priority="121" stopIfTrue="1" operator="greaterThan">
      <formula>#REF!</formula>
    </cfRule>
  </conditionalFormatting>
  <conditionalFormatting sqref="H80 H82:H88">
    <cfRule type="cellIs" dxfId="2981" priority="179" stopIfTrue="1" operator="greaterThan">
      <formula>4.5</formula>
    </cfRule>
    <cfRule type="cellIs" dxfId="2980" priority="180" stopIfTrue="1" operator="lessThanOrEqual">
      <formula>0</formula>
    </cfRule>
  </conditionalFormatting>
  <conditionalFormatting sqref="H56:I56">
    <cfRule type="cellIs" dxfId="2979" priority="58" stopIfTrue="1" operator="lessThanOrEqual">
      <formula>0</formula>
    </cfRule>
  </conditionalFormatting>
  <conditionalFormatting sqref="H56:I57 H59:I60">
    <cfRule type="cellIs" dxfId="2978" priority="55" stopIfTrue="1" operator="greaterThan">
      <formula>$F$71</formula>
    </cfRule>
  </conditionalFormatting>
  <conditionalFormatting sqref="H57:I57">
    <cfRule type="cellIs" dxfId="2977" priority="85" stopIfTrue="1" operator="lessThanOrEqual">
      <formula>0</formula>
    </cfRule>
  </conditionalFormatting>
  <conditionalFormatting sqref="H58:I58">
    <cfRule type="cellIs" dxfId="2976" priority="22" stopIfTrue="1" operator="greaterThan">
      <formula>$F$73</formula>
    </cfRule>
    <cfRule type="cellIs" dxfId="2975" priority="25" stopIfTrue="1" operator="lessThanOrEqual">
      <formula>0</formula>
    </cfRule>
  </conditionalFormatting>
  <conditionalFormatting sqref="H59:I60">
    <cfRule type="cellIs" dxfId="2974" priority="98" stopIfTrue="1" operator="lessThanOrEqual">
      <formula>0</formula>
    </cfRule>
  </conditionalFormatting>
  <conditionalFormatting sqref="H61:I62">
    <cfRule type="cellIs" dxfId="2973" priority="139" stopIfTrue="1" operator="greaterThan">
      <formula>#REF!</formula>
    </cfRule>
    <cfRule type="cellIs" dxfId="2972" priority="134" stopIfTrue="1" operator="lessThanOrEqual">
      <formula>0</formula>
    </cfRule>
    <cfRule type="cellIs" dxfId="2971" priority="140" stopIfTrue="1" operator="lessThanOrEqual">
      <formula>0</formula>
    </cfRule>
    <cfRule type="cellIs" dxfId="2970" priority="131" stopIfTrue="1" operator="greaterThan">
      <formula>#REF!</formula>
    </cfRule>
  </conditionalFormatting>
  <conditionalFormatting sqref="H63:I63">
    <cfRule type="cellIs" dxfId="2969" priority="143" stopIfTrue="1" operator="greaterThan">
      <formula>$F$39</formula>
    </cfRule>
    <cfRule type="cellIs" dxfId="2968" priority="146" stopIfTrue="1" operator="lessThanOrEqual">
      <formula>0</formula>
    </cfRule>
  </conditionalFormatting>
  <conditionalFormatting sqref="H64:I65">
    <cfRule type="cellIs" dxfId="2967" priority="119" stopIfTrue="1" operator="greaterThan">
      <formula>#REF!</formula>
    </cfRule>
    <cfRule type="cellIs" dxfId="2966" priority="122" stopIfTrue="1" operator="lessThanOrEqual">
      <formula>0</formula>
    </cfRule>
    <cfRule type="cellIs" dxfId="2965" priority="128" stopIfTrue="1" operator="lessThanOrEqual">
      <formula>0</formula>
    </cfRule>
    <cfRule type="cellIs" dxfId="2964" priority="127" stopIfTrue="1" operator="greaterThan">
      <formula>#REF!</formula>
    </cfRule>
  </conditionalFormatting>
  <conditionalFormatting sqref="H69:I76">
    <cfRule type="cellIs" dxfId="2963" priority="41" stopIfTrue="1" operator="lessThanOrEqual">
      <formula>0</formula>
    </cfRule>
    <cfRule type="cellIs" dxfId="2962" priority="40" stopIfTrue="1" operator="greaterThan">
      <formula>$J69</formula>
    </cfRule>
  </conditionalFormatting>
  <conditionalFormatting sqref="H77:I77">
    <cfRule type="cellIs" dxfId="2961" priority="48" operator="greaterThan">
      <formula>5.3</formula>
    </cfRule>
  </conditionalFormatting>
  <conditionalFormatting sqref="H78:I78">
    <cfRule type="cellIs" dxfId="2960" priority="46" stopIfTrue="1" operator="greaterThan">
      <formula>$J78</formula>
    </cfRule>
    <cfRule type="cellIs" dxfId="2959" priority="47" stopIfTrue="1" operator="lessThanOrEqual">
      <formula>0</formula>
    </cfRule>
  </conditionalFormatting>
  <conditionalFormatting sqref="I56">
    <cfRule type="cellIs" dxfId="2958" priority="62" stopIfTrue="1" operator="lessThanOrEqual">
      <formula>0</formula>
    </cfRule>
    <cfRule type="cellIs" dxfId="2957" priority="61" stopIfTrue="1" operator="greaterThan">
      <formula>$F$71</formula>
    </cfRule>
    <cfRule type="cellIs" dxfId="2956" priority="60" stopIfTrue="1" operator="lessThanOrEqual">
      <formula>0</formula>
    </cfRule>
    <cfRule type="cellIs" dxfId="2955" priority="59" stopIfTrue="1" operator="greaterThan">
      <formula>$F$69</formula>
    </cfRule>
    <cfRule type="cellIs" dxfId="2954" priority="64" stopIfTrue="1" operator="lessThanOrEqual">
      <formula>0</formula>
    </cfRule>
    <cfRule type="cellIs" dxfId="2953" priority="63" stopIfTrue="1" operator="greaterThan">
      <formula>$F$69</formula>
    </cfRule>
  </conditionalFormatting>
  <conditionalFormatting sqref="I57">
    <cfRule type="cellIs" dxfId="2952" priority="91" stopIfTrue="1" operator="lessThanOrEqual">
      <formula>0</formula>
    </cfRule>
    <cfRule type="cellIs" dxfId="2951" priority="89" stopIfTrue="1" operator="lessThanOrEqual">
      <formula>0</formula>
    </cfRule>
    <cfRule type="cellIs" dxfId="2950" priority="90" stopIfTrue="1" operator="greaterThan">
      <formula>$F$69</formula>
    </cfRule>
    <cfRule type="cellIs" dxfId="2949" priority="87" stopIfTrue="1" operator="lessThanOrEqual">
      <formula>0</formula>
    </cfRule>
    <cfRule type="cellIs" dxfId="2948" priority="86" stopIfTrue="1" operator="greaterThan">
      <formula>$F$69</formula>
    </cfRule>
    <cfRule type="cellIs" dxfId="2947" priority="88" stopIfTrue="1" operator="greaterThan">
      <formula>$F$71</formula>
    </cfRule>
  </conditionalFormatting>
  <conditionalFormatting sqref="I58">
    <cfRule type="cellIs" dxfId="2946" priority="26" stopIfTrue="1" operator="greaterThan">
      <formula>$F$71</formula>
    </cfRule>
    <cfRule type="cellIs" dxfId="2945" priority="28" stopIfTrue="1" operator="greaterThan">
      <formula>$F$73</formula>
    </cfRule>
    <cfRule type="cellIs" dxfId="2944" priority="29" stopIfTrue="1" operator="lessThanOrEqual">
      <formula>0</formula>
    </cfRule>
    <cfRule type="cellIs" dxfId="2943" priority="30" stopIfTrue="1" operator="greaterThan">
      <formula>$F$71</formula>
    </cfRule>
    <cfRule type="cellIs" dxfId="2942" priority="31" stopIfTrue="1" operator="lessThanOrEqual">
      <formula>0</formula>
    </cfRule>
    <cfRule type="cellIs" dxfId="2941" priority="27" stopIfTrue="1" operator="lessThanOrEqual">
      <formula>0</formula>
    </cfRule>
  </conditionalFormatting>
  <conditionalFormatting sqref="I59:I60">
    <cfRule type="cellIs" dxfId="2940" priority="102" stopIfTrue="1" operator="lessThanOrEqual">
      <formula>0</formula>
    </cfRule>
    <cfRule type="cellIs" dxfId="2939" priority="103" stopIfTrue="1" operator="greaterThan">
      <formula>$F$69</formula>
    </cfRule>
    <cfRule type="cellIs" dxfId="2938" priority="104" stopIfTrue="1" operator="lessThanOrEqual">
      <formula>0</formula>
    </cfRule>
    <cfRule type="cellIs" dxfId="2937" priority="101" stopIfTrue="1" operator="greaterThan">
      <formula>$F$71</formula>
    </cfRule>
    <cfRule type="cellIs" dxfId="2936" priority="99" stopIfTrue="1" operator="greaterThan">
      <formula>$F$69</formula>
    </cfRule>
    <cfRule type="cellIs" dxfId="2935" priority="100" stopIfTrue="1" operator="lessThanOrEqual">
      <formula>0</formula>
    </cfRule>
  </conditionalFormatting>
  <conditionalFormatting sqref="I61:I62">
    <cfRule type="cellIs" dxfId="2934" priority="138" stopIfTrue="1" operator="lessThanOrEqual">
      <formula>0</formula>
    </cfRule>
    <cfRule type="cellIs" dxfId="2933" priority="136" stopIfTrue="1" operator="lessThanOrEqual">
      <formula>0</formula>
    </cfRule>
    <cfRule type="cellIs" dxfId="2932" priority="135" stopIfTrue="1" operator="greaterThan">
      <formula>#REF!</formula>
    </cfRule>
    <cfRule type="cellIs" dxfId="2931" priority="137" stopIfTrue="1" operator="greaterThan">
      <formula>#REF!</formula>
    </cfRule>
  </conditionalFormatting>
  <conditionalFormatting sqref="I63">
    <cfRule type="cellIs" dxfId="2930" priority="151" stopIfTrue="1" operator="greaterThan">
      <formula>$F$37</formula>
    </cfRule>
    <cfRule type="cellIs" dxfId="2929" priority="152" stopIfTrue="1" operator="lessThanOrEqual">
      <formula>0</formula>
    </cfRule>
    <cfRule type="cellIs" dxfId="2928" priority="147" stopIfTrue="1" operator="greaterThan">
      <formula>$F$37</formula>
    </cfRule>
    <cfRule type="cellIs" dxfId="2927" priority="148" stopIfTrue="1" operator="lessThanOrEqual">
      <formula>0</formula>
    </cfRule>
    <cfRule type="cellIs" dxfId="2926" priority="149" stopIfTrue="1" operator="greaterThan">
      <formula>$F$39</formula>
    </cfRule>
    <cfRule type="cellIs" dxfId="2925" priority="150" stopIfTrue="1" operator="lessThanOrEqual">
      <formula>0</formula>
    </cfRule>
  </conditionalFormatting>
  <conditionalFormatting sqref="I64:I65">
    <cfRule type="cellIs" dxfId="2924" priority="123" stopIfTrue="1" operator="greaterThan">
      <formula>#REF!</formula>
    </cfRule>
    <cfRule type="cellIs" dxfId="2923" priority="124" stopIfTrue="1" operator="lessThanOrEqual">
      <formula>0</formula>
    </cfRule>
    <cfRule type="cellIs" dxfId="2922" priority="126" stopIfTrue="1" operator="lessThanOrEqual">
      <formula>0</formula>
    </cfRule>
    <cfRule type="cellIs" dxfId="2921" priority="125" stopIfTrue="1" operator="greaterThan">
      <formula>#REF!</formula>
    </cfRule>
  </conditionalFormatting>
  <conditionalFormatting sqref="I80:I88">
    <cfRule type="cellIs" dxfId="2920" priority="176" stopIfTrue="1" operator="lessThanOrEqual">
      <formula>0</formula>
    </cfRule>
    <cfRule type="cellIs" dxfId="2919" priority="175" stopIfTrue="1" operator="greaterThan">
      <formula>4.5</formula>
    </cfRule>
  </conditionalFormatting>
  <conditionalFormatting sqref="I10:J24">
    <cfRule type="cellIs" dxfId="2918" priority="5" operator="lessThan">
      <formula>97.9</formula>
    </cfRule>
  </conditionalFormatting>
  <conditionalFormatting sqref="J27:J29">
    <cfRule type="cellIs" dxfId="2917" priority="21" operator="lessThan">
      <formula>97.95</formula>
    </cfRule>
  </conditionalFormatting>
  <conditionalFormatting sqref="J29:J31">
    <cfRule type="cellIs" dxfId="2916" priority="157" operator="lessThan">
      <formula>97.4</formula>
    </cfRule>
  </conditionalFormatting>
  <conditionalFormatting sqref="J32:J33">
    <cfRule type="cellIs" dxfId="2915" priority="158" operator="lessThan">
      <formula>98</formula>
    </cfRule>
  </conditionalFormatting>
  <conditionalFormatting sqref="J34:J35">
    <cfRule type="cellIs" dxfId="2914" priority="159" stopIfTrue="1" operator="lessThan">
      <formula>96.8</formula>
    </cfRule>
    <cfRule type="cellIs" dxfId="2913" priority="160" stopIfTrue="1" operator="greaterThan">
      <formula>100</formula>
    </cfRule>
  </conditionalFormatting>
  <conditionalFormatting sqref="J34:J36">
    <cfRule type="cellIs" dxfId="2912" priority="161" operator="lessThan">
      <formula>98</formula>
    </cfRule>
  </conditionalFormatting>
  <conditionalFormatting sqref="J65">
    <cfRule type="cellIs" dxfId="2911" priority="116" stopIfTrue="1" operator="lessThanOrEqual">
      <formula>0</formula>
    </cfRule>
    <cfRule type="cellIs" dxfId="2910" priority="115" stopIfTrue="1" operator="greaterThan">
      <formula>#REF!</formula>
    </cfRule>
    <cfRule type="cellIs" dxfId="2909" priority="114" stopIfTrue="1" operator="lessThanOrEqual">
      <formula>0</formula>
    </cfRule>
    <cfRule type="cellIs" dxfId="2908" priority="113" stopIfTrue="1" operator="greaterThan">
      <formula>#REF!</formula>
    </cfRule>
    <cfRule type="cellIs" dxfId="2907" priority="112" stopIfTrue="1" operator="lessThanOrEqual">
      <formula>0</formula>
    </cfRule>
    <cfRule type="cellIs" dxfId="2906" priority="111" stopIfTrue="1" operator="greaterThan">
      <formula>#REF!</formula>
    </cfRule>
    <cfRule type="cellIs" dxfId="2905" priority="117" stopIfTrue="1" operator="greaterThan">
      <formula>#REF!</formula>
    </cfRule>
    <cfRule type="cellIs" dxfId="2904" priority="118" stopIfTrue="1" operator="lessThanOrEqual">
      <formula>0</formula>
    </cfRule>
  </conditionalFormatting>
  <conditionalFormatting sqref="J78">
    <cfRule type="cellIs" dxfId="2903" priority="49" stopIfTrue="1" operator="greaterThan">
      <formula>$F78</formula>
    </cfRule>
    <cfRule type="cellIs" dxfId="2902" priority="50" stopIfTrue="1" operator="lessThanOrEqual">
      <formula>0</formula>
    </cfRule>
  </conditionalFormatting>
  <conditionalFormatting sqref="K10:K24">
    <cfRule type="cellIs" dxfId="2901" priority="8" operator="greaterThan">
      <formula>6.4</formula>
    </cfRule>
    <cfRule type="cellIs" dxfId="2900" priority="6" operator="greaterThan">
      <formula>6</formula>
    </cfRule>
    <cfRule type="cellIs" dxfId="2899" priority="7" operator="lessThan">
      <formula>4</formula>
    </cfRule>
  </conditionalFormatting>
  <conditionalFormatting sqref="K56:K65">
    <cfRule type="cellIs" dxfId="2898" priority="96" stopIfTrue="1" operator="lessThan">
      <formula>100%</formula>
    </cfRule>
  </conditionalFormatting>
  <conditionalFormatting sqref="K69:K77">
    <cfRule type="cellIs" dxfId="2897" priority="39" stopIfTrue="1" operator="lessThan">
      <formula>100%</formula>
    </cfRule>
  </conditionalFormatting>
  <conditionalFormatting sqref="K80:K85">
    <cfRule type="cellIs" dxfId="2896" priority="181" stopIfTrue="1" operator="lessThan">
      <formula>100%</formula>
    </cfRule>
  </conditionalFormatting>
  <conditionalFormatting sqref="K87:K88">
    <cfRule type="cellIs" dxfId="2895" priority="188" stopIfTrue="1" operator="lessThan">
      <formula>100%</formula>
    </cfRule>
  </conditionalFormatting>
  <conditionalFormatting sqref="L10:L24">
    <cfRule type="cellIs" dxfId="2894" priority="9" operator="between">
      <formula>61</formula>
      <formula>65</formula>
    </cfRule>
    <cfRule type="cellIs" dxfId="2893" priority="10" operator="greaterThan">
      <formula>65</formula>
    </cfRule>
  </conditionalFormatting>
  <conditionalFormatting sqref="L27:M38">
    <cfRule type="cellIs" dxfId="2892" priority="18" operator="lessThan">
      <formula>97.95</formula>
    </cfRule>
  </conditionalFormatting>
  <conditionalFormatting sqref="L42:N42">
    <cfRule type="cellIs" dxfId="2891" priority="75" operator="notEqual">
      <formula>#REF!</formula>
    </cfRule>
  </conditionalFormatting>
  <conditionalFormatting sqref="L69:N78">
    <cfRule type="cellIs" dxfId="2890" priority="36" stopIfTrue="1" operator="lessThan">
      <formula>100%</formula>
    </cfRule>
  </conditionalFormatting>
  <conditionalFormatting sqref="L80:N88">
    <cfRule type="cellIs" dxfId="2889" priority="166" stopIfTrue="1" operator="lessThan">
      <formula>100%</formula>
    </cfRule>
  </conditionalFormatting>
  <conditionalFormatting sqref="M10:N24">
    <cfRule type="expression" dxfId="2888" priority="12">
      <formula>IF(+(IF(M10&lt;#REF!,0,IF(M10&gt;#REF!,0,1)))=0,1)</formula>
    </cfRule>
  </conditionalFormatting>
  <conditionalFormatting sqref="N10:N24">
    <cfRule type="expression" dxfId="2887" priority="16">
      <formula>IF(+(IF(N10&lt;W10,0,IF(N10&gt;X10,0,1)))=0,1)</formula>
    </cfRule>
  </conditionalFormatting>
  <conditionalFormatting sqref="P6">
    <cfRule type="cellIs" dxfId="2886" priority="162" operator="greaterThanOrEqual">
      <formula>19</formula>
    </cfRule>
  </conditionalFormatting>
  <dataValidations count="1">
    <dataValidation type="list" allowBlank="1" showInputMessage="1" showErrorMessage="1" sqref="R8" xr:uid="{F7E62536-70B4-4386-8DD1-1255C0CDC08F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0707C-81A6-47B1-861F-615D24D57D3E}">
  <sheetPr>
    <pageSetUpPr fitToPage="1"/>
  </sheetPr>
  <dimension ref="A1:BE78"/>
  <sheetViews>
    <sheetView zoomScale="60" zoomScaleNormal="60" workbookViewId="0">
      <selection activeCell="E10" sqref="E10:E14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12" t="s">
        <v>0</v>
      </c>
      <c r="T1" s="512"/>
      <c r="U1" s="512" t="s">
        <v>1</v>
      </c>
      <c r="V1" s="512"/>
      <c r="W1" s="512" t="s">
        <v>2</v>
      </c>
      <c r="X1" s="512"/>
      <c r="Y1" s="512" t="s">
        <v>124</v>
      </c>
      <c r="Z1" s="512"/>
    </row>
    <row r="2" spans="2:29" ht="15">
      <c r="B2" s="513" t="s">
        <v>3</v>
      </c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46246</v>
      </c>
      <c r="J4" s="398" t="s">
        <v>182</v>
      </c>
      <c r="K4" s="398"/>
      <c r="L4" s="11"/>
      <c r="M4" s="510" t="s">
        <v>8</v>
      </c>
      <c r="N4" s="511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6"/>
      <c r="D5" s="516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183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19" t="s">
        <v>18</v>
      </c>
      <c r="D8" s="519" t="s">
        <v>19</v>
      </c>
      <c r="E8" s="356" t="s">
        <v>20</v>
      </c>
      <c r="F8" s="356" t="s">
        <v>21</v>
      </c>
      <c r="G8" s="519" t="s">
        <v>22</v>
      </c>
      <c r="H8" s="520" t="s">
        <v>144</v>
      </c>
      <c r="I8" s="519" t="s">
        <v>181</v>
      </c>
      <c r="J8" s="522" t="s">
        <v>23</v>
      </c>
      <c r="K8" s="524" t="s">
        <v>142</v>
      </c>
      <c r="L8" s="526" t="s">
        <v>24</v>
      </c>
      <c r="M8" s="359" t="s">
        <v>25</v>
      </c>
      <c r="N8" s="17" t="s">
        <v>168</v>
      </c>
      <c r="O8" s="519" t="s">
        <v>155</v>
      </c>
      <c r="P8" s="514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8"/>
      <c r="C9" s="515"/>
      <c r="D9" s="515"/>
      <c r="E9" s="357" t="s">
        <v>30</v>
      </c>
      <c r="F9" s="357" t="s">
        <v>31</v>
      </c>
      <c r="G9" s="515"/>
      <c r="H9" s="521"/>
      <c r="I9" s="515"/>
      <c r="J9" s="523"/>
      <c r="K9" s="525"/>
      <c r="L9" s="527"/>
      <c r="M9" s="20" t="s">
        <v>32</v>
      </c>
      <c r="N9" s="21" t="s">
        <v>41</v>
      </c>
      <c r="O9" s="515"/>
      <c r="P9" s="515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29" t="s">
        <v>6</v>
      </c>
      <c r="C10" s="366" t="str">
        <f>[4]Brewhouse!$A614</f>
        <v>CA566</v>
      </c>
      <c r="D10" s="279">
        <f>[4]Brewhouse!$AF614</f>
        <v>49.4</v>
      </c>
      <c r="E10" s="279">
        <f>[4]Brewhouse!$AI614</f>
        <v>50.2</v>
      </c>
      <c r="F10" s="278">
        <f>[4]Brewhouse!$V614</f>
        <v>59</v>
      </c>
      <c r="G10" s="279">
        <f>[4]Brewhouse!AG614</f>
        <v>12</v>
      </c>
      <c r="H10" s="396">
        <v>12.1</v>
      </c>
      <c r="I10" s="368">
        <f>[4]Brewhouse!$AU614</f>
        <v>100.30661645676568</v>
      </c>
      <c r="J10" s="368">
        <f>[4]Brewhouse!$AV614</f>
        <v>101.23363252705178</v>
      </c>
      <c r="K10" s="281">
        <f>[4]Brewhouse!$Q614</f>
        <v>10.592592592592592</v>
      </c>
      <c r="L10" s="276">
        <f>[4]Brewhouse!$P614</f>
        <v>61</v>
      </c>
      <c r="M10" s="397">
        <f>[4]Brewhouse!$U614-[4]Brewhouse!$T614</f>
        <v>0.11319444444444446</v>
      </c>
      <c r="N10" s="370">
        <f>[4]Brewhouse!$Z614</f>
        <v>0.25694444444444448</v>
      </c>
      <c r="O10" s="420" t="str">
        <f>[4]Brewhouse!$AX614</f>
        <v>K. Benjamin</v>
      </c>
      <c r="P10" s="418"/>
      <c r="R10" s="277" t="str">
        <f t="shared" ref="R10:R38" si="0">B10</f>
        <v>CARIB</v>
      </c>
      <c r="S10" s="472">
        <f t="shared" ref="S10:S38" si="1">VLOOKUP($B10,$R$3:$X$9,2,FALSE)</f>
        <v>11.6</v>
      </c>
      <c r="T10" s="472">
        <f t="shared" ref="T10:T38" si="2">VLOOKUP($B10,$R$3:$X$9,3,FALSE)</f>
        <v>12</v>
      </c>
      <c r="U10" s="297">
        <f t="shared" ref="U10:U38" si="3">VLOOKUP($B10,$R$3:$X$9,4,FALSE)</f>
        <v>0</v>
      </c>
      <c r="V10" s="297">
        <f t="shared" ref="V10:V38" si="4">VLOOKUP($B10,$R$3:$X$9,5,FALSE)</f>
        <v>0.118055555555556</v>
      </c>
      <c r="W10" s="297">
        <f t="shared" ref="W10:W38" si="5">VLOOKUP($B10,$R$3:$X$9,6,FALSE)</f>
        <v>0.22569444444444445</v>
      </c>
      <c r="X10" s="297">
        <f t="shared" ref="X10:X38" si="6">VLOOKUP($B10,$R$3:$X$9,7,FALSE)</f>
        <v>0.2638888888888889</v>
      </c>
      <c r="Y10" s="297">
        <f t="shared" ref="Y10:Y38" si="7">VLOOKUP($B10,$R$3:$Z$9,8,FALSE)</f>
        <v>0</v>
      </c>
      <c r="Z10" s="472">
        <f t="shared" ref="Z10:Z38" si="8">VLOOKUP($B10,$R$3:$Z$9,9,FALSE)</f>
        <v>60</v>
      </c>
    </row>
    <row r="11" spans="2:29" ht="17.25" customHeight="1">
      <c r="B11" s="29" t="s">
        <v>6</v>
      </c>
      <c r="C11" s="366" t="str">
        <f>[4]Brewhouse!$A615</f>
        <v>CA567</v>
      </c>
      <c r="D11" s="279">
        <f>[4]Brewhouse!$AF615</f>
        <v>51.6</v>
      </c>
      <c r="E11" s="279">
        <f>[4]Brewhouse!$AI615</f>
        <v>53.1</v>
      </c>
      <c r="F11" s="278">
        <f>[4]Brewhouse!$V615</f>
        <v>58</v>
      </c>
      <c r="G11" s="279">
        <f>[4]Brewhouse!AG615</f>
        <v>11.6</v>
      </c>
      <c r="H11" s="396">
        <v>11.7</v>
      </c>
      <c r="I11" s="368">
        <f>[4]Brewhouse!$AU615</f>
        <v>102.38430000747583</v>
      </c>
      <c r="J11" s="368">
        <f>[4]Brewhouse!$AV615</f>
        <v>103.33051766294656</v>
      </c>
      <c r="K11" s="281">
        <f>[4]Brewhouse!$Q615</f>
        <v>9.6666666666666643</v>
      </c>
      <c r="L11" s="276">
        <f>[4]Brewhouse!$P615</f>
        <v>60</v>
      </c>
      <c r="M11" s="397">
        <f>[4]Brewhouse!$U615-[4]Brewhouse!$T615</f>
        <v>0.11249999999999999</v>
      </c>
      <c r="N11" s="370">
        <f>[4]Brewhouse!$Z615</f>
        <v>0.25138888888888888</v>
      </c>
      <c r="O11" s="420" t="str">
        <f>[4]Brewhouse!$AX615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29" t="s">
        <v>6</v>
      </c>
      <c r="C12" s="366" t="str">
        <f>[4]Brewhouse!$A616</f>
        <v>CA568</v>
      </c>
      <c r="D12" s="279">
        <f>[4]Brewhouse!$AF616</f>
        <v>49.1</v>
      </c>
      <c r="E12" s="279">
        <f>[4]Brewhouse!$AI616</f>
        <v>50.4</v>
      </c>
      <c r="F12" s="278">
        <f>[4]Brewhouse!$V616</f>
        <v>63</v>
      </c>
      <c r="G12" s="279">
        <f>[4]Brewhouse!AG616</f>
        <v>11.6</v>
      </c>
      <c r="H12" s="396">
        <v>12</v>
      </c>
      <c r="I12" s="368">
        <f>[4]Brewhouse!$AU616</f>
        <v>97.178318651163494</v>
      </c>
      <c r="J12" s="368">
        <f>[4]Brewhouse!$AV616</f>
        <v>98.076423544491632</v>
      </c>
      <c r="K12" s="281">
        <f>[4]Brewhouse!$Q616</f>
        <v>12.791127541589651</v>
      </c>
      <c r="L12" s="276">
        <f>[4]Brewhouse!$P616</f>
        <v>61</v>
      </c>
      <c r="M12" s="397">
        <f>[4]Brewhouse!$U616-[4]Brewhouse!$T616</f>
        <v>0.11319444444444449</v>
      </c>
      <c r="N12" s="370">
        <f>[4]Brewhouse!$Z616</f>
        <v>0.26597222222222228</v>
      </c>
      <c r="O12" s="420" t="str">
        <f>[4]Brewhouse!$AX616</f>
        <v>R. Regis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29" t="s">
        <v>6</v>
      </c>
      <c r="C13" s="366" t="str">
        <f>[4]Brewhouse!$A617</f>
        <v>CA569</v>
      </c>
      <c r="D13" s="279">
        <f>[4]Brewhouse!$AF617</f>
        <v>48.6</v>
      </c>
      <c r="E13" s="279">
        <f>[4]Brewhouse!$AI617</f>
        <v>49.4</v>
      </c>
      <c r="F13" s="278">
        <f>[4]Brewhouse!$V617</f>
        <v>58</v>
      </c>
      <c r="G13" s="279">
        <f>[4]Brewhouse!AG617</f>
        <v>12.1</v>
      </c>
      <c r="H13" s="367"/>
      <c r="I13" s="368">
        <f>[4]Brewhouse!$AU617</f>
        <v>99.448779663128292</v>
      </c>
      <c r="J13" s="368">
        <f>[4]Brewhouse!$AV617</f>
        <v>100.36792861023712</v>
      </c>
      <c r="K13" s="281">
        <f>[4]Brewhouse!$Q617</f>
        <v>12.236598890942693</v>
      </c>
      <c r="L13" s="276">
        <f>[4]Brewhouse!$P617</f>
        <v>60</v>
      </c>
      <c r="M13" s="397">
        <f>[4]Brewhouse!$U617-[4]Brewhouse!$T617</f>
        <v>0.1118055555555556</v>
      </c>
      <c r="N13" s="370">
        <f>[4]Brewhouse!$Z617</f>
        <v>0.24583333333333335</v>
      </c>
      <c r="O13" s="420" t="str">
        <f>[4]Brewhouse!$AX617</f>
        <v>R. Regis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29" t="s">
        <v>6</v>
      </c>
      <c r="C14" s="366" t="str">
        <f>[4]Brewhouse!$A618</f>
        <v>CA570</v>
      </c>
      <c r="D14" s="279">
        <f>[4]Brewhouse!$AF618</f>
        <v>49.4</v>
      </c>
      <c r="E14" s="279">
        <f>[4]Brewhouse!$AI618</f>
        <v>50.6</v>
      </c>
      <c r="F14" s="278">
        <f>[4]Brewhouse!$V618</f>
        <v>65</v>
      </c>
      <c r="G14" s="279">
        <f>[4]Brewhouse!AG618</f>
        <v>11.7</v>
      </c>
      <c r="H14" s="396">
        <v>11.8</v>
      </c>
      <c r="I14" s="368">
        <f>[4]Brewhouse!$AU618</f>
        <v>98.327017995218057</v>
      </c>
      <c r="J14" s="368">
        <f>[4]Brewhouse!$AV618</f>
        <v>99.235799132289785</v>
      </c>
      <c r="K14" s="281">
        <f>[4]Brewhouse!$Q618</f>
        <v>12.236598890942693</v>
      </c>
      <c r="L14" s="276">
        <f>[4]Brewhouse!$P618</f>
        <v>61</v>
      </c>
      <c r="M14" s="397">
        <f>[4]Brewhouse!$U618-[4]Brewhouse!$T618</f>
        <v>0.11041666666666672</v>
      </c>
      <c r="N14" s="370">
        <f>[4]Brewhouse!$Z618</f>
        <v>0.24513888888888896</v>
      </c>
      <c r="O14" s="420" t="str">
        <f>[4]Brewhouse!$AX618</f>
        <v>R. Regis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0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0"/>
      <c r="P16" s="418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6" ht="1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0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customHeight="1" thickBot="1">
      <c r="B25" s="358"/>
      <c r="C25" s="358"/>
      <c r="D25" s="358"/>
      <c r="E25" s="358"/>
      <c r="F25" s="294"/>
      <c r="G25" s="294"/>
      <c r="H25" s="348"/>
      <c r="I25" s="528"/>
      <c r="J25" s="528"/>
      <c r="K25" s="528"/>
      <c r="L25" s="528"/>
      <c r="M25" s="528"/>
      <c r="N25" s="528"/>
      <c r="O25" s="1"/>
      <c r="P25" s="12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customHeight="1" thickBot="1">
      <c r="B26" s="489" t="s">
        <v>162</v>
      </c>
      <c r="C26" s="388"/>
      <c r="D26" s="529" t="s">
        <v>35</v>
      </c>
      <c r="E26" s="530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0"/>
        <v xml:space="preserve">BRAND 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7.25" customHeight="1">
      <c r="A27" s="28"/>
      <c r="B27" s="541" t="str">
        <f>I27</f>
        <v>CARIB</v>
      </c>
      <c r="C27" s="490">
        <f>[4]Process!D549</f>
        <v>11.6</v>
      </c>
      <c r="D27" s="534">
        <v>11.78</v>
      </c>
      <c r="E27" s="535"/>
      <c r="F27" s="294"/>
      <c r="G27" s="294"/>
      <c r="H27" s="348"/>
      <c r="I27" s="29" t="s">
        <v>6</v>
      </c>
      <c r="J27" s="323">
        <f>AVERAGE(I10:I14)</f>
        <v>99.529006554750268</v>
      </c>
      <c r="K27" s="284">
        <f>COUNTA([4]Brewhouse!$A$595:$A$618)</f>
        <v>24</v>
      </c>
      <c r="L27" s="305">
        <f>AVERAGE([4]Brewhouse!$AU$595:$AU$618)</f>
        <v>99.555117027572393</v>
      </c>
      <c r="M27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AVERAGE([4]Brewhouse!$AU$42:$AU$123,[4]Brewhouse!$AU$125:$AU$188,[4]Brewhouse!$AU$198:$AU$290,[4]Brewhouse!$AU$292:$AU$370,[4]Brewhouse!$AU$372:$AU$439,[4]Brewhouse!$AU$441:$AU$497,[4]Brewhouse!$AU$499:$AU$519,[4]Brewhouse!$AU$521:$AU$593,[4]Brewhouse!$AU$595:$AU$618)</f>
        <v>98.227933625316709</v>
      </c>
      <c r="N27" s="30">
        <v>98</v>
      </c>
      <c r="O27" s="11"/>
      <c r="P27" s="31"/>
      <c r="R27" s="277" t="str">
        <f t="shared" si="0"/>
        <v>CARIB</v>
      </c>
      <c r="S27" s="472">
        <f t="shared" si="1"/>
        <v>11.6</v>
      </c>
      <c r="T27" s="472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472">
        <f t="shared" si="8"/>
        <v>60</v>
      </c>
    </row>
    <row r="28" spans="1:26" ht="15" customHeight="1">
      <c r="A28" s="28"/>
      <c r="B28" s="542"/>
      <c r="C28" s="362">
        <f>[4]Process!D550</f>
        <v>11.8</v>
      </c>
      <c r="D28" s="536"/>
      <c r="E28" s="537"/>
      <c r="F28" s="294"/>
      <c r="G28" s="294"/>
      <c r="H28" s="348"/>
      <c r="I28" s="33" t="s">
        <v>9</v>
      </c>
      <c r="J28" s="323"/>
      <c r="K28" s="284">
        <f>COUNTA([3]Brewhouse!$A$327:$A$335)</f>
        <v>9</v>
      </c>
      <c r="L28" s="302">
        <f>AVERAGE([3]Brewhouse!$AS$327:$AS$335)</f>
        <v>99.373910897846002</v>
      </c>
      <c r="M28" s="302">
        <f>AVERAGE([3]Brewhouse!$AS$52:$AS$81,[3]Brewhouse!$AS$83:$AS$124,[3]Brewhouse!$AS$134:$AS$177,[3]Brewhouse!$AS$22:$AS$179,[3]Brewhouse!$AS$214:$AS$249,[3]Brewhouse!$AS$252:$AS$293,[3]Brewhouse!$AS$295:$AS$325,[3]Brewhouse!$AS$327:$AS$335)</f>
        <v>98.172943853015084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542"/>
      <c r="C29" s="362">
        <f>[4]Process!D553</f>
        <v>11.6</v>
      </c>
      <c r="D29" s="538">
        <v>11.6</v>
      </c>
      <c r="E29" s="539"/>
      <c r="F29" s="294"/>
      <c r="G29" s="294"/>
      <c r="H29" s="348"/>
      <c r="I29" s="34" t="s">
        <v>12</v>
      </c>
      <c r="J29" s="323"/>
      <c r="K29" s="284"/>
      <c r="L29" s="302"/>
      <c r="M29" s="302">
        <f>AVERAGE([5]Brewhouse!$AU$16:$AU$23,[5]Brewhouse!$AU$25:$AU$32,[5]Brewhouse!$AU$34:$AU$41,[5]Brewhouse!$AU$43:$AU$60,[5]Brewhouse!$AU$62:$AU$69,[5]Brewhouse!$AU$71:$AU$88)</f>
        <v>96.520985666401089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42"/>
      <c r="C30" s="362">
        <f>[4]Process!D554</f>
        <v>11.7</v>
      </c>
      <c r="D30" s="540"/>
      <c r="E30" s="537"/>
      <c r="F30" s="294"/>
      <c r="G30" s="294"/>
      <c r="H30" s="348"/>
      <c r="I30" s="22" t="s">
        <v>33</v>
      </c>
      <c r="J30" s="280"/>
      <c r="K30" s="284"/>
      <c r="L30" s="302"/>
      <c r="M30" s="302">
        <f>AVERAGE([6]Brewhouse!$AV$23:$AV$34,[6]Brewhouse!$AV$36,[6]Brewhouse!$AV$38:$AV$52,[6]Brewhouse!$AV$54:$AV$60,[6]Brewhouse!$AV$62:$AV$69,[6]Brewhouse!$AV$71:$AV$78,[6]Brewhouse!$AV$80:$AV$87)</f>
        <v>97.513042763382714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42"/>
      <c r="C31" s="362">
        <f>[4]Process!D555</f>
        <v>11.7</v>
      </c>
      <c r="D31" s="538"/>
      <c r="E31" s="539"/>
      <c r="F31" s="294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42"/>
      <c r="C32" s="362">
        <f>[4]Process!D556</f>
        <v>11.8</v>
      </c>
      <c r="D32" s="540"/>
      <c r="E32" s="537"/>
      <c r="F32" s="417"/>
      <c r="G32" s="294"/>
      <c r="H32" s="348"/>
      <c r="I32" s="36" t="s">
        <v>15</v>
      </c>
      <c r="J32" s="323"/>
      <c r="K32" s="284"/>
      <c r="L32" s="302"/>
      <c r="M32" s="302">
        <f>AVERAGE([7]Brewhouse!$AT$4:$AT$11,[7]Brewhouse!$AT$13:$AT$16,[7]Brewhouse!$AT$18:$AT$21)</f>
        <v>91.832675391763644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42"/>
      <c r="C33" s="362"/>
      <c r="D33" s="538"/>
      <c r="E33" s="539"/>
      <c r="F33" s="417"/>
      <c r="G33" s="294"/>
      <c r="H33" s="348"/>
      <c r="I33" s="37" t="s">
        <v>16</v>
      </c>
      <c r="J33" s="323"/>
      <c r="K33" s="284">
        <f>COUNTA([8]Brewhouse!$A$84:$A$91)</f>
        <v>8</v>
      </c>
      <c r="L33" s="302">
        <f>AVERAGE([8]Brewhouse!$AY$84:$AY$91)</f>
        <v>97.517044199257398</v>
      </c>
      <c r="M33" s="302">
        <f>AVERAGE([8]Brewhouse!$AY$5:$AY$14,[8]Brewhouse!$AY$16:$AY$23,[8]Brewhouse!$AY$42,[8]Brewhouse!$AY$44:$AY$51,[8]Brewhouse!$AY$53:$AY$64,[8]Brewhouse!$AY$66:$AY$73,[8]Brewhouse!$AY$75:$AY$82,[8]Brewhouse!$AY$84:$AY$91)</f>
        <v>98.050826041639255</v>
      </c>
      <c r="N33" s="30">
        <v>98</v>
      </c>
      <c r="O33" s="11"/>
      <c r="P33" s="31" t="s">
        <v>41</v>
      </c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42"/>
      <c r="C34" s="362"/>
      <c r="D34" s="540"/>
      <c r="E34" s="537"/>
      <c r="F34" s="294"/>
      <c r="G34" s="294"/>
      <c r="H34" s="348"/>
      <c r="I34" s="411" t="s">
        <v>158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56" ht="14.65" customHeight="1">
      <c r="A35" s="28"/>
      <c r="B35" s="542"/>
      <c r="C35" s="362"/>
      <c r="D35" s="538"/>
      <c r="E35" s="539"/>
      <c r="F35" s="294"/>
      <c r="G35" s="294"/>
      <c r="H35" s="348"/>
      <c r="I35" s="410" t="s">
        <v>157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542"/>
      <c r="C36" s="362"/>
      <c r="D36" s="540"/>
      <c r="E36" s="537"/>
      <c r="F36" s="294"/>
      <c r="G36" s="294"/>
      <c r="H36" s="348"/>
      <c r="I36" s="406" t="s">
        <v>156</v>
      </c>
      <c r="J36" s="327"/>
      <c r="K36" s="407"/>
      <c r="L36" s="408"/>
      <c r="M36" s="408"/>
      <c r="N36" s="409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" customHeight="1" thickBot="1">
      <c r="A37" s="28"/>
      <c r="B37" s="542"/>
      <c r="C37" s="349"/>
      <c r="D37" s="534"/>
      <c r="E37" s="535"/>
      <c r="F37" s="294"/>
      <c r="G37" s="294"/>
      <c r="H37" s="348"/>
      <c r="I37" s="1"/>
      <c r="J37" s="39"/>
      <c r="K37" s="404">
        <f>SUM(K27:K36)</f>
        <v>41</v>
      </c>
      <c r="L37" s="405">
        <f>((L27*K27)+(L28*K28)+(L29*K29)+(L30*K30)+(L31*K31)+(K34*L34)+(L32*K32)+(L33*K33)+(L36*K36))/(K37)</f>
        <v>99.117667325278305</v>
      </c>
      <c r="M37" s="405">
        <f>AVERAGE('[9]Jan30th-31st'!$L$42,'[10]Feb 27th-28th'!$L$45,'[11]Mar 31st'!$L$42,'[12]Apr 30th'!$L$41,'[13]May 29th '!$L$35,'[14]June 30th'!$L$32,[15]July31st!$L$36,L37)</f>
        <v>98.049584804716218</v>
      </c>
      <c r="N37" s="4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.75" thickBot="1">
      <c r="B38" s="606"/>
      <c r="C38" s="350"/>
      <c r="D38" s="536"/>
      <c r="E38" s="537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.75" thickBot="1">
      <c r="B39" s="607"/>
      <c r="C39" s="362"/>
      <c r="D39" s="577"/>
      <c r="E39" s="578"/>
      <c r="F39" s="294"/>
      <c r="G39" s="42"/>
      <c r="H39" s="41"/>
      <c r="I39" s="42"/>
      <c r="J39" s="544" t="s">
        <v>129</v>
      </c>
      <c r="K39" s="544"/>
      <c r="L39" s="294"/>
      <c r="M39" s="294"/>
      <c r="N39" s="294"/>
      <c r="O39" s="294"/>
      <c r="P39" s="12"/>
    </row>
    <row r="40" spans="1:56" ht="15.75" thickBot="1">
      <c r="B40" s="608"/>
      <c r="C40" s="362"/>
      <c r="D40" s="540"/>
      <c r="E40" s="537"/>
      <c r="F40" s="294"/>
      <c r="G40" s="42"/>
      <c r="H40" s="42"/>
      <c r="I40" s="42"/>
      <c r="J40" s="292" t="s">
        <v>17</v>
      </c>
      <c r="K40" s="293"/>
      <c r="L40" s="545" t="s">
        <v>136</v>
      </c>
      <c r="M40" s="545"/>
      <c r="N40" s="546"/>
      <c r="O40" s="294"/>
      <c r="P40" s="12"/>
    </row>
    <row r="41" spans="1:56" ht="15" customHeight="1" thickBot="1">
      <c r="B41" s="608"/>
      <c r="C41" s="349"/>
      <c r="D41" s="538"/>
      <c r="E41" s="539"/>
      <c r="F41" s="294"/>
      <c r="G41" s="42"/>
      <c r="H41" s="42"/>
      <c r="I41" s="42"/>
      <c r="J41" s="287" t="s">
        <v>6</v>
      </c>
      <c r="K41" s="324">
        <v>5</v>
      </c>
      <c r="L41" s="473" t="s">
        <v>37</v>
      </c>
      <c r="M41" s="474" t="s">
        <v>38</v>
      </c>
      <c r="N41" s="474" t="s">
        <v>84</v>
      </c>
      <c r="O41" s="294"/>
      <c r="P41" s="12"/>
    </row>
    <row r="42" spans="1:56" ht="15.75" customHeight="1" thickBot="1">
      <c r="B42" s="608"/>
      <c r="C42" s="349"/>
      <c r="D42" s="540"/>
      <c r="E42" s="537"/>
      <c r="F42" s="294"/>
      <c r="G42" s="42"/>
      <c r="H42" s="42"/>
      <c r="I42" s="42"/>
      <c r="J42" s="345" t="s">
        <v>9</v>
      </c>
      <c r="K42" s="324"/>
      <c r="L42" s="494">
        <f>AVERAGE(K51,'Aug 3rd '!K47,'Aug 2nd'!K52,'Aug 4th'!K47,'Aug 5th'!K51,'Aug 6th'!K51)</f>
        <v>6.833333333333333</v>
      </c>
      <c r="M42" s="495">
        <f>AVERAGE('[9]Jan30th-31st'!$L$47,L42,'[10]Feb 26th '!$L$39,'[11]Mar 31st'!$L$47,'[12]Apr 30th'!$L$46,'[13]May 29th '!$L$40,'[14]June 30th'!$L$39,[15]July31st!$L$41)</f>
        <v>6.4000886794365055</v>
      </c>
      <c r="N42" s="416">
        <v>9.1999999999999993</v>
      </c>
      <c r="O42" s="294"/>
      <c r="P42" s="12"/>
    </row>
    <row r="43" spans="1:56" ht="15" customHeight="1">
      <c r="B43" s="608"/>
      <c r="C43" s="349"/>
      <c r="D43" s="538"/>
      <c r="E43" s="539"/>
      <c r="F43" s="294"/>
      <c r="G43" s="42"/>
      <c r="H43" s="42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608"/>
      <c r="C44" s="349"/>
      <c r="D44" s="540"/>
      <c r="E44" s="537"/>
      <c r="F44" s="294"/>
      <c r="G44" s="42"/>
      <c r="H44" s="42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608"/>
      <c r="C45" s="349"/>
      <c r="D45" s="538"/>
      <c r="E45" s="539"/>
      <c r="F45" s="294"/>
      <c r="G45" s="42"/>
      <c r="H45" s="42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609"/>
      <c r="C46" s="349"/>
      <c r="D46" s="540"/>
      <c r="E46" s="537"/>
      <c r="F46" s="294"/>
      <c r="G46" s="42"/>
      <c r="H46" s="42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492"/>
      <c r="C47" s="349"/>
      <c r="D47" s="538"/>
      <c r="E47" s="539"/>
      <c r="F47" s="294"/>
      <c r="G47" s="42"/>
      <c r="H47" s="42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493"/>
      <c r="C48" s="350"/>
      <c r="D48" s="547"/>
      <c r="E48" s="548"/>
      <c r="F48" s="294" t="s">
        <v>166</v>
      </c>
      <c r="G48" s="42"/>
      <c r="H48" s="42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49"/>
      <c r="E49" s="550"/>
      <c r="F49" s="294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2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2"/>
      <c r="I51" s="42"/>
      <c r="J51" s="346" t="s">
        <v>130</v>
      </c>
      <c r="K51" s="324">
        <f>SUM(K41:K50)</f>
        <v>5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42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551" t="s">
        <v>17</v>
      </c>
      <c r="C54" s="551" t="s">
        <v>44</v>
      </c>
      <c r="D54" s="554" t="s">
        <v>45</v>
      </c>
      <c r="E54" s="519" t="s">
        <v>46</v>
      </c>
      <c r="F54" s="568" t="s">
        <v>47</v>
      </c>
      <c r="G54" s="563" t="s">
        <v>48</v>
      </c>
      <c r="H54" s="551" t="s">
        <v>49</v>
      </c>
      <c r="I54" s="551" t="s">
        <v>50</v>
      </c>
      <c r="J54" s="557" t="s">
        <v>28</v>
      </c>
      <c r="K54" s="517" t="s">
        <v>51</v>
      </c>
      <c r="L54" s="566" t="s">
        <v>52</v>
      </c>
      <c r="M54" s="557" t="s">
        <v>53</v>
      </c>
      <c r="N54" s="13"/>
      <c r="O54" s="13"/>
      <c r="P54" s="50"/>
    </row>
    <row r="55" spans="2:57" ht="28.5" customHeight="1" thickTop="1" thickBot="1">
      <c r="B55" s="552"/>
      <c r="C55" s="553"/>
      <c r="D55" s="555"/>
      <c r="E55" s="556"/>
      <c r="F55" s="569"/>
      <c r="G55" s="564"/>
      <c r="H55" s="552"/>
      <c r="I55" s="552"/>
      <c r="J55" s="558"/>
      <c r="K55" s="565"/>
      <c r="L55" s="567"/>
      <c r="M55" s="558"/>
      <c r="N55" s="13"/>
      <c r="O55" s="13"/>
      <c r="P55" s="50"/>
      <c r="Q55" s="355"/>
      <c r="AB55" s="475">
        <v>43474</v>
      </c>
      <c r="AC55" s="475">
        <v>43475</v>
      </c>
      <c r="AD55" s="475">
        <v>43476</v>
      </c>
      <c r="AE55" s="475">
        <v>43477</v>
      </c>
      <c r="AF55" s="475">
        <v>43478</v>
      </c>
      <c r="AG55" s="475">
        <v>43479</v>
      </c>
      <c r="AH55" s="475">
        <v>43480</v>
      </c>
      <c r="AI55" s="475">
        <v>43481</v>
      </c>
      <c r="AJ55" s="475">
        <v>43482</v>
      </c>
      <c r="AK55" s="475">
        <v>43483</v>
      </c>
      <c r="AL55" s="475">
        <v>43484</v>
      </c>
      <c r="AM55" s="475">
        <v>43485</v>
      </c>
      <c r="AN55" s="475">
        <v>43486</v>
      </c>
      <c r="AO55" s="475">
        <v>43487</v>
      </c>
      <c r="AP55" s="475">
        <v>43488</v>
      </c>
      <c r="AQ55" s="475">
        <v>43489</v>
      </c>
      <c r="AR55" s="475">
        <v>43490</v>
      </c>
      <c r="AS55" s="475">
        <v>43491</v>
      </c>
      <c r="AT55" s="475">
        <v>43492</v>
      </c>
      <c r="AU55" s="475">
        <v>43493</v>
      </c>
      <c r="AV55" s="475">
        <v>43494</v>
      </c>
      <c r="AW55" s="475">
        <v>43495</v>
      </c>
      <c r="AX55" s="475">
        <v>43496</v>
      </c>
    </row>
    <row r="56" spans="2:57" s="54" customFormat="1" ht="36.75" hidden="1" customHeight="1" thickBot="1">
      <c r="B56" s="484" t="str">
        <f>J42</f>
        <v>STAG</v>
      </c>
      <c r="C56" s="479">
        <v>46218</v>
      </c>
      <c r="D56" s="445">
        <f>[35]July_2026!$R$13</f>
        <v>195.67999999999998</v>
      </c>
      <c r="E56" s="443"/>
      <c r="F56" s="444"/>
      <c r="G56" s="444">
        <f>[35]July_2026!$R$17</f>
        <v>184</v>
      </c>
      <c r="H56" s="458"/>
      <c r="I56" s="458"/>
      <c r="J56" s="448" t="s">
        <v>170</v>
      </c>
      <c r="K56" s="449">
        <f>[36]July_2026!$R$25</f>
        <v>0.32280701754385965</v>
      </c>
      <c r="L56" s="457">
        <f>(((D56+E56)-G56)/(D56+E56))*100</f>
        <v>5.9689288634505209</v>
      </c>
      <c r="M56" s="455" t="s">
        <v>171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[16]January_2019!L5</f>
        <v>0</v>
      </c>
      <c r="AC56" s="57">
        <f>[16]January_2019!M5</f>
        <v>0</v>
      </c>
      <c r="AD56" s="57">
        <f>[16]January_2019!N5</f>
        <v>0</v>
      </c>
      <c r="AE56" s="57">
        <f>[16]January_2019!O5</f>
        <v>0</v>
      </c>
      <c r="AF56" s="57">
        <f>[16]January_2019!P5</f>
        <v>0</v>
      </c>
      <c r="AG56" s="57">
        <f>[16]January_2019!Q5</f>
        <v>0</v>
      </c>
      <c r="AH56" s="57">
        <f>[16]January_2019!R5</f>
        <v>0</v>
      </c>
      <c r="AI56" s="57">
        <f>[16]January_2019!S5</f>
        <v>0</v>
      </c>
      <c r="AJ56" s="57">
        <f>[16]January_2019!T5</f>
        <v>0</v>
      </c>
      <c r="AK56" s="57">
        <f>[16]January_2019!U5</f>
        <v>0</v>
      </c>
      <c r="AL56" s="57">
        <f>[16]January_2019!V5</f>
        <v>0</v>
      </c>
      <c r="AM56" s="57">
        <f>[16]January_2019!W5</f>
        <v>0</v>
      </c>
      <c r="AN56" s="57">
        <f>[16]January_2019!X5</f>
        <v>0</v>
      </c>
      <c r="AO56" s="57">
        <f>[16]January_2019!Y5</f>
        <v>0</v>
      </c>
      <c r="AP56" s="57">
        <f>[16]January_2019!Z5</f>
        <v>0</v>
      </c>
      <c r="AQ56" s="57">
        <f>[16]January_2019!AA5</f>
        <v>0</v>
      </c>
      <c r="AR56" s="57">
        <f>[16]January_2019!AB5</f>
        <v>0</v>
      </c>
      <c r="AS56" s="57">
        <f>[16]January_2019!AC5</f>
        <v>0</v>
      </c>
      <c r="AT56" s="57">
        <f>[16]January_2019!AD5</f>
        <v>0</v>
      </c>
      <c r="AU56" s="57">
        <f>[16]January_2019!AE5</f>
        <v>0</v>
      </c>
      <c r="AV56" s="57">
        <f>[16]January_2019!AF5</f>
        <v>0</v>
      </c>
      <c r="AW56" s="57">
        <f>[16]January_2019!AG5</f>
        <v>0</v>
      </c>
      <c r="AX56" s="277">
        <f>[16]January_2019!AH5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4.25" hidden="1" customHeight="1" thickBot="1">
      <c r="B57" s="480"/>
      <c r="C57" s="479"/>
      <c r="D57" s="442"/>
      <c r="E57" s="443"/>
      <c r="F57" s="444"/>
      <c r="G57" s="445"/>
      <c r="H57" s="458"/>
      <c r="I57" s="458"/>
      <c r="J57" s="476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[16]January_2019!L6</f>
        <v>0</v>
      </c>
      <c r="AC57" s="57">
        <f>[16]January_2019!M6</f>
        <v>0</v>
      </c>
      <c r="AD57" s="57">
        <f>[16]January_2019!N6</f>
        <v>0</v>
      </c>
      <c r="AE57" s="57">
        <f>[16]January_2019!O6</f>
        <v>0</v>
      </c>
      <c r="AF57" s="57">
        <f>[16]January_2019!P6</f>
        <v>0</v>
      </c>
      <c r="AG57" s="57">
        <f>[16]January_2019!Q6</f>
        <v>0</v>
      </c>
      <c r="AH57" s="57">
        <f>[16]January_2019!R6</f>
        <v>0</v>
      </c>
      <c r="AI57" s="57">
        <f>[16]January_2019!S6</f>
        <v>0</v>
      </c>
      <c r="AJ57" s="57">
        <f>[16]January_2019!T6</f>
        <v>0</v>
      </c>
      <c r="AK57" s="57">
        <f>[16]January_2019!U6</f>
        <v>0</v>
      </c>
      <c r="AL57" s="57">
        <f>[16]January_2019!V6</f>
        <v>0</v>
      </c>
      <c r="AM57" s="57">
        <f>[16]January_2019!W6</f>
        <v>0</v>
      </c>
      <c r="AN57" s="57">
        <f>[16]January_2019!X6</f>
        <v>0</v>
      </c>
      <c r="AO57" s="57">
        <f>[16]January_2019!Y6</f>
        <v>0</v>
      </c>
      <c r="AP57" s="57">
        <f>[16]January_2019!Z6</f>
        <v>0</v>
      </c>
      <c r="AQ57" s="57">
        <f>[16]January_2019!AA6</f>
        <v>0</v>
      </c>
      <c r="AR57" s="57">
        <f>[16]January_2019!AB6</f>
        <v>0</v>
      </c>
      <c r="AS57" s="57">
        <f>[16]January_2019!AC6</f>
        <v>0</v>
      </c>
      <c r="AT57" s="57">
        <f>[16]January_2019!AD6</f>
        <v>0</v>
      </c>
      <c r="AU57" s="57">
        <f>[16]January_2019!AE6</f>
        <v>0</v>
      </c>
      <c r="AV57" s="57">
        <f>[16]January_2019!AF6</f>
        <v>0</v>
      </c>
      <c r="AW57" s="57">
        <f>[16]January_2019!AG6</f>
        <v>0</v>
      </c>
      <c r="AX57" s="277">
        <f>[16]January_2019!AH6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37.15" customHeight="1" thickBot="1">
      <c r="B58" s="480" t="str">
        <f>J41</f>
        <v>CARIB</v>
      </c>
      <c r="C58" s="479">
        <v>46241</v>
      </c>
      <c r="D58" s="442">
        <f>[35]August_2026!$J$3</f>
        <v>303.7</v>
      </c>
      <c r="E58" s="443"/>
      <c r="F58" s="444"/>
      <c r="G58" s="444">
        <f>[35]August_2026!$J$7</f>
        <v>291.3</v>
      </c>
      <c r="H58" s="458"/>
      <c r="I58" s="458"/>
      <c r="J58" s="448" t="s">
        <v>180</v>
      </c>
      <c r="K58" s="449">
        <f>[36]August_2026!$J$18</f>
        <v>0.51105263157894742</v>
      </c>
      <c r="L58" s="497">
        <f>(((D58+E58)-G58)/(D58+E58))*100</f>
        <v>4.0829766216661101</v>
      </c>
      <c r="M58" s="455" t="s">
        <v>179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[16]January_2019!L7</f>
        <v>285.8</v>
      </c>
      <c r="AC58" s="57">
        <f>[16]January_2019!M7</f>
        <v>508.1</v>
      </c>
      <c r="AD58" s="57">
        <f>[16]January_2019!N7</f>
        <v>0</v>
      </c>
      <c r="AE58" s="57">
        <f>[16]January_2019!O7</f>
        <v>0</v>
      </c>
      <c r="AF58" s="57">
        <f>[16]January_2019!P7</f>
        <v>109.56666666666666</v>
      </c>
      <c r="AG58" s="57">
        <f>[16]January_2019!Q7</f>
        <v>297.64999999999998</v>
      </c>
      <c r="AH58" s="57">
        <f>[16]January_2019!R7</f>
        <v>122.3</v>
      </c>
      <c r="AI58" s="57">
        <f>[16]January_2019!S7</f>
        <v>0</v>
      </c>
      <c r="AJ58" s="57">
        <f>[16]January_2019!T7</f>
        <v>294.7</v>
      </c>
      <c r="AK58" s="57">
        <f>[16]January_2019!U7</f>
        <v>280.5</v>
      </c>
      <c r="AL58" s="57">
        <f>[16]January_2019!V7</f>
        <v>0</v>
      </c>
      <c r="AM58" s="57">
        <f>[16]January_2019!W7</f>
        <v>0</v>
      </c>
      <c r="AN58" s="57">
        <f>[16]January_2019!X7</f>
        <v>188.25</v>
      </c>
      <c r="AO58" s="57">
        <f>[16]January_2019!Y7</f>
        <v>295.7</v>
      </c>
      <c r="AP58" s="57">
        <f>[16]January_2019!Z7</f>
        <v>257.8</v>
      </c>
      <c r="AQ58" s="57">
        <f>[16]January_2019!AA7</f>
        <v>291.2</v>
      </c>
      <c r="AR58" s="57">
        <f>[16]January_2019!AB7</f>
        <v>187</v>
      </c>
      <c r="AS58" s="57">
        <f>[16]January_2019!AC7</f>
        <v>0</v>
      </c>
      <c r="AT58" s="57">
        <f>[16]January_2019!AD7</f>
        <v>0</v>
      </c>
      <c r="AU58" s="57">
        <f>[16]January_2019!AE7</f>
        <v>485.1</v>
      </c>
      <c r="AV58" s="57">
        <f>[16]January_2019!AF7</f>
        <v>171.55</v>
      </c>
      <c r="AW58" s="57">
        <f>[16]January_2019!AG7</f>
        <v>423.8</v>
      </c>
      <c r="AX58" s="277">
        <f>[16]January_2019!AH7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18.600000000000001" hidden="1" customHeight="1" thickBot="1">
      <c r="B59" s="478"/>
      <c r="C59" s="430"/>
      <c r="D59" s="431"/>
      <c r="E59" s="432"/>
      <c r="F59" s="433"/>
      <c r="G59" s="434"/>
      <c r="H59" s="458"/>
      <c r="I59" s="458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8.65" hidden="1" customHeight="1" thickBot="1">
      <c r="B60" s="387"/>
      <c r="C60" s="479"/>
      <c r="D60" s="442"/>
      <c r="E60" s="443"/>
      <c r="F60" s="444"/>
      <c r="G60" s="445"/>
      <c r="H60" s="458"/>
      <c r="I60" s="458"/>
      <c r="J60" s="448"/>
      <c r="K60" s="45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.75" hidden="1" thickBot="1">
      <c r="B61" s="453"/>
      <c r="C61" s="430"/>
      <c r="D61" s="431"/>
      <c r="E61" s="432"/>
      <c r="F61" s="433"/>
      <c r="G61" s="434"/>
      <c r="H61" s="435"/>
      <c r="I61" s="450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hidden="1" customHeight="1" thickBot="1">
      <c r="B62" s="482"/>
      <c r="C62" s="479"/>
      <c r="D62" s="442"/>
      <c r="E62" s="443"/>
      <c r="F62" s="444"/>
      <c r="G62" s="445"/>
      <c r="H62" s="446"/>
      <c r="I62" s="447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hidden="1" customHeight="1" thickBot="1">
      <c r="B63" s="437"/>
      <c r="C63" s="423"/>
      <c r="D63" s="424"/>
      <c r="E63" s="425"/>
      <c r="F63" s="426"/>
      <c r="G63" s="427"/>
      <c r="H63" s="428"/>
      <c r="I63" s="438"/>
      <c r="J63" s="439"/>
      <c r="K63" s="429"/>
      <c r="L63" s="440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s="54" customFormat="1" ht="37.15" hidden="1" customHeight="1" thickBot="1">
      <c r="B64" s="456"/>
      <c r="C64" s="441"/>
      <c r="D64" s="442"/>
      <c r="E64" s="443"/>
      <c r="F64" s="444"/>
      <c r="G64" s="445"/>
      <c r="H64" s="446"/>
      <c r="I64" s="447"/>
      <c r="J64" s="448"/>
      <c r="K64" s="449"/>
      <c r="L64" s="457"/>
      <c r="M64" s="45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66"/>
      <c r="C65" s="430"/>
      <c r="D65" s="460"/>
      <c r="E65" s="461"/>
      <c r="F65" s="462"/>
      <c r="G65" s="460"/>
      <c r="H65" s="463"/>
      <c r="I65" s="463"/>
      <c r="J65" s="463"/>
      <c r="K65" s="464"/>
      <c r="L65" s="465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59" t="s">
        <v>55</v>
      </c>
      <c r="C67" s="560"/>
      <c r="D67" s="560"/>
      <c r="E67" s="560"/>
      <c r="F67" s="561"/>
      <c r="G67" s="559" t="s">
        <v>56</v>
      </c>
      <c r="H67" s="560"/>
      <c r="I67" s="560"/>
      <c r="J67" s="561"/>
      <c r="K67" s="559" t="s">
        <v>51</v>
      </c>
      <c r="L67" s="560"/>
      <c r="M67" s="560"/>
      <c r="N67" s="562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/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65">
        <f>L58</f>
        <v>4.0829766216661101</v>
      </c>
      <c r="D69" s="76">
        <v>4.3867452463027092</v>
      </c>
      <c r="E69" s="76">
        <v>6.3785025785124905</v>
      </c>
      <c r="F69" s="66">
        <v>4.8</v>
      </c>
      <c r="G69" s="65">
        <f>[35]August_2026!$J$11</f>
        <v>4.082976621666119</v>
      </c>
      <c r="H69" s="477">
        <v>4.747194143403763</v>
      </c>
      <c r="I69" s="477">
        <v>6.6785392787147142</v>
      </c>
      <c r="J69" s="66">
        <v>4.8</v>
      </c>
      <c r="K69" s="67">
        <f>K58</f>
        <v>0.51105263157894742</v>
      </c>
      <c r="L69" s="194">
        <v>0.44442147034252288</v>
      </c>
      <c r="M69" s="194">
        <v>0.53316419401499671</v>
      </c>
      <c r="N69" s="68">
        <v>1</v>
      </c>
      <c r="O69" s="56"/>
      <c r="P69" s="69"/>
    </row>
    <row r="70" spans="2:57" ht="15">
      <c r="B70" s="33" t="s">
        <v>9</v>
      </c>
      <c r="C70" s="65"/>
      <c r="D70" s="76">
        <v>13.806187974314071</v>
      </c>
      <c r="E70" s="76">
        <v>5.9909115522805205</v>
      </c>
      <c r="F70" s="66">
        <v>4.8</v>
      </c>
      <c r="G70" s="65"/>
      <c r="H70" s="76">
        <v>14.156284692533767</v>
      </c>
      <c r="I70" s="76">
        <v>6.0280449027682144</v>
      </c>
      <c r="J70" s="66">
        <v>4.8</v>
      </c>
      <c r="K70" s="67"/>
      <c r="L70" s="194">
        <v>1.0361403508771929</v>
      </c>
      <c r="M70" s="194">
        <v>0.71156427372551401</v>
      </c>
      <c r="N70" s="68">
        <v>1</v>
      </c>
      <c r="P70" s="69"/>
    </row>
    <row r="71" spans="2:57" ht="15">
      <c r="B71" s="34" t="s">
        <v>40</v>
      </c>
      <c r="C71" s="65"/>
      <c r="D71" s="76">
        <v>8.0132764343290681</v>
      </c>
      <c r="E71" s="76">
        <v>11.085360064780945</v>
      </c>
      <c r="F71" s="66">
        <v>5.5</v>
      </c>
      <c r="G71" s="65"/>
      <c r="H71" s="76">
        <v>7.261998133908862</v>
      </c>
      <c r="I71" s="76">
        <v>11.847386208595987</v>
      </c>
      <c r="J71" s="66">
        <v>5.5</v>
      </c>
      <c r="K71" s="67"/>
      <c r="L71" s="194">
        <v>0.68070175438596492</v>
      </c>
      <c r="M71" s="194">
        <v>0.37172629490392645</v>
      </c>
      <c r="N71" s="68">
        <v>1</v>
      </c>
      <c r="P71" s="69"/>
    </row>
    <row r="72" spans="2:57" ht="15">
      <c r="B72" s="22" t="s">
        <v>33</v>
      </c>
      <c r="C72" s="65"/>
      <c r="D72" s="76"/>
      <c r="E72" s="76">
        <v>4.8685538193023836</v>
      </c>
      <c r="F72" s="66">
        <v>3.3</v>
      </c>
      <c r="G72" s="65"/>
      <c r="H72" s="76"/>
      <c r="I72" s="76">
        <v>5.0921772905826597</v>
      </c>
      <c r="J72" s="66">
        <v>3.3</v>
      </c>
      <c r="K72" s="67"/>
      <c r="L72" s="194"/>
      <c r="M72" s="194">
        <v>0.79040935672514623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/>
      <c r="F73" s="66">
        <v>3.3</v>
      </c>
      <c r="G73" s="282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57" ht="15">
      <c r="B74" s="36" t="s">
        <v>15</v>
      </c>
      <c r="C74" s="65"/>
      <c r="D74" s="76"/>
      <c r="E74" s="76">
        <v>6.0400197628458603</v>
      </c>
      <c r="F74" s="70">
        <v>5.5</v>
      </c>
      <c r="G74" s="65"/>
      <c r="H74" s="76"/>
      <c r="I74" s="76">
        <v>8.2405787675951316</v>
      </c>
      <c r="J74" s="66">
        <v>5.5</v>
      </c>
      <c r="K74" s="67"/>
      <c r="L74" s="194"/>
      <c r="M74" s="194">
        <v>0.78491228070175445</v>
      </c>
      <c r="N74" s="68">
        <v>1</v>
      </c>
      <c r="P74" s="69"/>
    </row>
    <row r="75" spans="2:57" ht="15">
      <c r="B75" s="37" t="s">
        <v>16</v>
      </c>
      <c r="C75" s="483"/>
      <c r="D75" s="76">
        <v>2.3312883435582821</v>
      </c>
      <c r="E75" s="76">
        <v>3.4897129331795727</v>
      </c>
      <c r="F75" s="66">
        <v>3.3</v>
      </c>
      <c r="G75" s="282"/>
      <c r="H75" s="76">
        <v>2.9668764888279751</v>
      </c>
      <c r="I75" s="76">
        <v>4.7322074825777003</v>
      </c>
      <c r="J75" s="66">
        <v>3.3</v>
      </c>
      <c r="K75" s="67"/>
      <c r="L75" s="194">
        <v>1.3964912280701753</v>
      </c>
      <c r="M75" s="194">
        <v>0.9346464646464645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/>
      <c r="F76" s="66">
        <v>7.5</v>
      </c>
      <c r="G76" s="282"/>
      <c r="H76" s="76"/>
      <c r="I76" s="76"/>
      <c r="J76" s="66">
        <v>7.5</v>
      </c>
      <c r="K76" s="67"/>
      <c r="L76" s="194"/>
      <c r="M76" s="194"/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/>
      <c r="F77" s="66">
        <v>4.8</v>
      </c>
      <c r="G77" s="282"/>
      <c r="H77" s="76"/>
      <c r="I77" s="76"/>
      <c r="J77" s="66">
        <v>4.8</v>
      </c>
      <c r="K77" s="67"/>
      <c r="L77" s="194"/>
      <c r="M77" s="194"/>
      <c r="N77" s="71">
        <v>1</v>
      </c>
      <c r="O77" s="74"/>
      <c r="P77" s="75"/>
    </row>
    <row r="78" spans="2:57" ht="15">
      <c r="D78" s="76">
        <v>5.5297869256414094</v>
      </c>
      <c r="E78" s="76">
        <v>6.2823339439240442</v>
      </c>
      <c r="F78" s="341">
        <v>5.5</v>
      </c>
      <c r="H78" s="76">
        <v>5.7044930129510663</v>
      </c>
      <c r="I78" s="76">
        <v>6.7167678072497159</v>
      </c>
      <c r="J78" s="341">
        <v>5.5</v>
      </c>
      <c r="L78" s="194">
        <v>0.69871703067191782</v>
      </c>
      <c r="M78" s="194">
        <v>0.61060998068977823</v>
      </c>
      <c r="N78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J39:K39"/>
    <mergeCell ref="I25:N25"/>
    <mergeCell ref="D26:E26"/>
    <mergeCell ref="D27:E28"/>
    <mergeCell ref="D29:E30"/>
    <mergeCell ref="D31:E32"/>
    <mergeCell ref="D33:E34"/>
    <mergeCell ref="D49:E49"/>
    <mergeCell ref="D35:E36"/>
    <mergeCell ref="D37:E38"/>
    <mergeCell ref="B39:B46"/>
    <mergeCell ref="D39:E40"/>
    <mergeCell ref="L40:N40"/>
    <mergeCell ref="D41:E42"/>
    <mergeCell ref="D43:E44"/>
    <mergeCell ref="D45:E46"/>
    <mergeCell ref="D47:E48"/>
    <mergeCell ref="B67:F67"/>
    <mergeCell ref="G67:J67"/>
    <mergeCell ref="K67:N67"/>
    <mergeCell ref="B27:B38"/>
    <mergeCell ref="H54:H55"/>
    <mergeCell ref="I54:I55"/>
    <mergeCell ref="J54:J55"/>
    <mergeCell ref="K54:K55"/>
    <mergeCell ref="L54:L55"/>
    <mergeCell ref="M54:M55"/>
    <mergeCell ref="B54:B55"/>
    <mergeCell ref="C54:C55"/>
    <mergeCell ref="D54:D55"/>
    <mergeCell ref="E54:E55"/>
    <mergeCell ref="F54:F55"/>
    <mergeCell ref="G54:G55"/>
  </mergeCells>
  <conditionalFormatting sqref="B49:B50">
    <cfRule type="cellIs" dxfId="2885" priority="101" operator="notBetween">
      <formula>#REF!</formula>
      <formula>#REF!</formula>
    </cfRule>
  </conditionalFormatting>
  <conditionalFormatting sqref="C53">
    <cfRule type="cellIs" dxfId="2884" priority="184" stopIfTrue="1" operator="greaterThan">
      <formula>100</formula>
    </cfRule>
    <cfRule type="cellIs" dxfId="2883" priority="183" stopIfTrue="1" operator="lessThan">
      <formula>96</formula>
    </cfRule>
  </conditionalFormatting>
  <conditionalFormatting sqref="C69:C70">
    <cfRule type="cellIs" dxfId="2882" priority="66" stopIfTrue="1" operator="lessThanOrEqual">
      <formula>0</formula>
    </cfRule>
    <cfRule type="cellIs" dxfId="2881" priority="63" stopIfTrue="1" operator="greaterThan">
      <formula>$F69</formula>
    </cfRule>
    <cfRule type="cellIs" dxfId="2880" priority="64" stopIfTrue="1" operator="lessThanOrEqual">
      <formula>0</formula>
    </cfRule>
    <cfRule type="cellIs" dxfId="2879" priority="65" stopIfTrue="1" operator="greaterThan">
      <formula>$F69</formula>
    </cfRule>
  </conditionalFormatting>
  <conditionalFormatting sqref="C71:C73 C75:C77">
    <cfRule type="cellIs" dxfId="2878" priority="73" stopIfTrue="1" operator="greaterThan">
      <formula>$F74</formula>
    </cfRule>
  </conditionalFormatting>
  <conditionalFormatting sqref="C71:C73">
    <cfRule type="cellIs" dxfId="2877" priority="74" stopIfTrue="1" operator="lessThanOrEqual">
      <formula>0</formula>
    </cfRule>
  </conditionalFormatting>
  <conditionalFormatting sqref="C74">
    <cfRule type="cellIs" dxfId="2876" priority="187" stopIfTrue="1" operator="greaterThan">
      <formula>$F69</formula>
    </cfRule>
    <cfRule type="cellIs" dxfId="2875" priority="186" stopIfTrue="1" operator="lessThanOrEqual">
      <formula>0</formula>
    </cfRule>
    <cfRule type="cellIs" dxfId="2874" priority="185" stopIfTrue="1" operator="greaterThan">
      <formula>$F69</formula>
    </cfRule>
    <cfRule type="cellIs" dxfId="2873" priority="188" stopIfTrue="1" operator="lessThanOrEqual">
      <formula>0</formula>
    </cfRule>
  </conditionalFormatting>
  <conditionalFormatting sqref="C75:C77">
    <cfRule type="cellIs" dxfId="2872" priority="75" stopIfTrue="1" operator="lessThanOrEqual">
      <formula>0</formula>
    </cfRule>
  </conditionalFormatting>
  <conditionalFormatting sqref="C80:C84">
    <cfRule type="cellIs" dxfId="2871" priority="175" stopIfTrue="1" operator="lessThanOrEqual">
      <formula>0</formula>
    </cfRule>
  </conditionalFormatting>
  <conditionalFormatting sqref="C81:C84">
    <cfRule type="cellIs" dxfId="2870" priority="174" stopIfTrue="1" operator="greaterThan">
      <formula>$F$80</formula>
    </cfRule>
  </conditionalFormatting>
  <conditionalFormatting sqref="C86">
    <cfRule type="cellIs" dxfId="2869" priority="177" stopIfTrue="1" operator="lessThanOrEqual">
      <formula>0</formula>
    </cfRule>
    <cfRule type="cellIs" dxfId="2868" priority="176" stopIfTrue="1" operator="greaterThan">
      <formula>$F$80</formula>
    </cfRule>
  </conditionalFormatting>
  <conditionalFormatting sqref="C74:D74">
    <cfRule type="cellIs" dxfId="2867" priority="62" stopIfTrue="1" operator="lessThanOrEqual">
      <formula>0</formula>
    </cfRule>
    <cfRule type="cellIs" dxfId="2866" priority="61" stopIfTrue="1" operator="greaterThan">
      <formula>$J74</formula>
    </cfRule>
  </conditionalFormatting>
  <conditionalFormatting sqref="C80:D80 D82:D88">
    <cfRule type="cellIs" dxfId="2865" priority="169" stopIfTrue="1" operator="greaterThan">
      <formula>4.5</formula>
    </cfRule>
  </conditionalFormatting>
  <conditionalFormatting sqref="D49:D50">
    <cfRule type="cellIs" dxfId="2864" priority="102" operator="notBetween">
      <formula>#REF!</formula>
      <formula>#REF!</formula>
    </cfRule>
  </conditionalFormatting>
  <conditionalFormatting sqref="D69:D73 D75:D76">
    <cfRule type="cellIs" dxfId="2863" priority="72" stopIfTrue="1" operator="lessThanOrEqual">
      <formula>0</formula>
    </cfRule>
  </conditionalFormatting>
  <conditionalFormatting sqref="D69:D73 D75:D78">
    <cfRule type="cellIs" dxfId="2862" priority="69" stopIfTrue="1" operator="greaterThan">
      <formula>$F69</formula>
    </cfRule>
    <cfRule type="cellIs" dxfId="2861" priority="68" stopIfTrue="1" operator="lessThanOrEqual">
      <formula>0</formula>
    </cfRule>
  </conditionalFormatting>
  <conditionalFormatting sqref="D77:D78">
    <cfRule type="cellIs" dxfId="2860" priority="70" stopIfTrue="1" operator="lessThanOrEqual">
      <formula>0</formula>
    </cfRule>
  </conditionalFormatting>
  <conditionalFormatting sqref="D78">
    <cfRule type="cellIs" dxfId="2859" priority="71" stopIfTrue="1" operator="lessThanOrEqual">
      <formula>0</formula>
    </cfRule>
  </conditionalFormatting>
  <conditionalFormatting sqref="D80 D82:D88">
    <cfRule type="cellIs" dxfId="2858" priority="170" stopIfTrue="1" operator="lessThanOrEqual">
      <formula>0</formula>
    </cfRule>
  </conditionalFormatting>
  <conditionalFormatting sqref="D81">
    <cfRule type="cellIs" dxfId="2857" priority="161" stopIfTrue="1" operator="greaterThan">
      <formula>$F$80</formula>
    </cfRule>
    <cfRule type="cellIs" dxfId="2856" priority="162" stopIfTrue="1" operator="lessThanOrEqual">
      <formula>0</formula>
    </cfRule>
  </conditionalFormatting>
  <conditionalFormatting sqref="E10:E24">
    <cfRule type="cellIs" dxfId="2855" priority="9" operator="lessThan">
      <formula>48</formula>
    </cfRule>
  </conditionalFormatting>
  <conditionalFormatting sqref="E52 E53:F53">
    <cfRule type="cellIs" dxfId="2854" priority="166" stopIfTrue="1" operator="greaterThan">
      <formula>100</formula>
    </cfRule>
  </conditionalFormatting>
  <conditionalFormatting sqref="E53">
    <cfRule type="cellIs" dxfId="2853" priority="164" stopIfTrue="1" operator="greaterThan">
      <formula>100</formula>
    </cfRule>
    <cfRule type="cellIs" dxfId="2852" priority="163" stopIfTrue="1" operator="lessThan">
      <formula>96.8</formula>
    </cfRule>
  </conditionalFormatting>
  <conditionalFormatting sqref="E69:E77">
    <cfRule type="cellIs" dxfId="2851" priority="34" stopIfTrue="1" operator="lessThanOrEqual">
      <formula>0</formula>
    </cfRule>
  </conditionalFormatting>
  <conditionalFormatting sqref="E69:E78">
    <cfRule type="cellIs" dxfId="2850" priority="36" stopIfTrue="1" operator="lessThanOrEqual">
      <formula>0</formula>
    </cfRule>
    <cfRule type="cellIs" dxfId="2849" priority="35" stopIfTrue="1" operator="greaterThan">
      <formula>$F69</formula>
    </cfRule>
  </conditionalFormatting>
  <conditionalFormatting sqref="E78">
    <cfRule type="cellIs" dxfId="2848" priority="37" stopIfTrue="1" operator="lessThanOrEqual">
      <formula>0</formula>
    </cfRule>
  </conditionalFormatting>
  <conditionalFormatting sqref="E80:E88">
    <cfRule type="cellIs" dxfId="2847" priority="156" stopIfTrue="1" operator="lessThanOrEqual">
      <formula>0</formula>
    </cfRule>
    <cfRule type="cellIs" dxfId="2846" priority="155" stopIfTrue="1" operator="greaterThan">
      <formula>4.5</formula>
    </cfRule>
  </conditionalFormatting>
  <conditionalFormatting sqref="E53:F53 E52">
    <cfRule type="cellIs" dxfId="2845" priority="165" stopIfTrue="1" operator="lessThan">
      <formula>96.5</formula>
    </cfRule>
  </conditionalFormatting>
  <conditionalFormatting sqref="F10:F24">
    <cfRule type="cellIs" dxfId="2844" priority="2" operator="greaterThan">
      <formula>60</formula>
    </cfRule>
  </conditionalFormatting>
  <conditionalFormatting sqref="F53">
    <cfRule type="cellIs" dxfId="2843" priority="182" stopIfTrue="1" operator="greaterThan">
      <formula>100</formula>
    </cfRule>
    <cfRule type="cellIs" dxfId="2842" priority="181" stopIfTrue="1" operator="lessThan">
      <formula>96.8</formula>
    </cfRule>
  </conditionalFormatting>
  <conditionalFormatting sqref="G69:G72 F78">
    <cfRule type="cellIs" dxfId="2841" priority="43" stopIfTrue="1" operator="greaterThan">
      <formula>$F69</formula>
    </cfRule>
    <cfRule type="cellIs" dxfId="2840" priority="44" stopIfTrue="1" operator="lessThanOrEqual">
      <formula>0</formula>
    </cfRule>
  </conditionalFormatting>
  <conditionalFormatting sqref="G71:G72">
    <cfRule type="cellIs" dxfId="2839" priority="30" stopIfTrue="1" operator="lessThanOrEqual">
      <formula>0</formula>
    </cfRule>
    <cfRule type="cellIs" dxfId="2838" priority="29" stopIfTrue="1" operator="greaterThan">
      <formula>$F71</formula>
    </cfRule>
  </conditionalFormatting>
  <conditionalFormatting sqref="G73:G77">
    <cfRule type="cellIs" dxfId="2837" priority="45" stopIfTrue="1" operator="greaterThan">
      <formula>$J73</formula>
    </cfRule>
    <cfRule type="cellIs" dxfId="2836" priority="46" stopIfTrue="1" operator="lessThanOrEqual">
      <formula>0</formula>
    </cfRule>
  </conditionalFormatting>
  <conditionalFormatting sqref="G74">
    <cfRule type="cellIs" dxfId="2835" priority="190" stopIfTrue="1" operator="lessThanOrEqual">
      <formula>0</formula>
    </cfRule>
    <cfRule type="cellIs" dxfId="2834" priority="189" stopIfTrue="1" operator="greaterThan">
      <formula>$F69</formula>
    </cfRule>
  </conditionalFormatting>
  <conditionalFormatting sqref="G82:G87 C85 C87">
    <cfRule type="cellIs" dxfId="2833" priority="179" stopIfTrue="1" operator="lessThanOrEqual">
      <formula>0</formula>
    </cfRule>
    <cfRule type="cellIs" dxfId="2832" priority="178" stopIfTrue="1" operator="greaterThan">
      <formula>4.5</formula>
    </cfRule>
  </conditionalFormatting>
  <conditionalFormatting sqref="G10:H24">
    <cfRule type="expression" dxfId="2831" priority="1">
      <formula>IF(+(IF(G10&lt;#REF!,0,IF(G10&gt;#REF!,0,1)))=0,1)</formula>
    </cfRule>
  </conditionalFormatting>
  <conditionalFormatting sqref="G81:H81">
    <cfRule type="cellIs" dxfId="2830" priority="159" stopIfTrue="1" operator="greaterThan">
      <formula>$F$80</formula>
    </cfRule>
    <cfRule type="cellIs" dxfId="2829" priority="160" stopIfTrue="1" operator="lessThanOrEqual">
      <formula>0</formula>
    </cfRule>
  </conditionalFormatting>
  <conditionalFormatting sqref="H38:H39 H52">
    <cfRule type="cellIs" dxfId="2828" priority="157" stopIfTrue="1" operator="greaterThan">
      <formula>0</formula>
    </cfRule>
  </conditionalFormatting>
  <conditionalFormatting sqref="H56">
    <cfRule type="cellIs" dxfId="2827" priority="59" stopIfTrue="1" operator="greaterThan">
      <formula>$F$70</formula>
    </cfRule>
    <cfRule type="cellIs" dxfId="2826" priority="49" stopIfTrue="1" operator="greaterThan">
      <formula>$F$69</formula>
    </cfRule>
    <cfRule type="cellIs" dxfId="2825" priority="58" stopIfTrue="1" operator="lessThanOrEqual">
      <formula>0</formula>
    </cfRule>
    <cfRule type="cellIs" dxfId="2824" priority="48" stopIfTrue="1" operator="lessThanOrEqual">
      <formula>0</formula>
    </cfRule>
    <cfRule type="cellIs" dxfId="2823" priority="57" stopIfTrue="1" operator="greaterThan">
      <formula>$F$72</formula>
    </cfRule>
  </conditionalFormatting>
  <conditionalFormatting sqref="H56:H57">
    <cfRule type="cellIs" dxfId="2822" priority="60" stopIfTrue="1" operator="lessThanOrEqual">
      <formula>0</formula>
    </cfRule>
  </conditionalFormatting>
  <conditionalFormatting sqref="H57 H59:H60">
    <cfRule type="cellIs" dxfId="2821" priority="87" stopIfTrue="1" operator="lessThanOrEqual">
      <formula>0</formula>
    </cfRule>
  </conditionalFormatting>
  <conditionalFormatting sqref="H57">
    <cfRule type="cellIs" dxfId="2820" priority="76" stopIfTrue="1" operator="greaterThan">
      <formula>$F$69</formula>
    </cfRule>
    <cfRule type="cellIs" dxfId="2819" priority="84" stopIfTrue="1" operator="greaterThan">
      <formula>$F$72</formula>
    </cfRule>
    <cfRule type="cellIs" dxfId="2818" priority="85" stopIfTrue="1" operator="lessThanOrEqual">
      <formula>0</formula>
    </cfRule>
    <cfRule type="cellIs" dxfId="2817" priority="86" stopIfTrue="1" operator="greaterThan">
      <formula>$F$70</formula>
    </cfRule>
  </conditionalFormatting>
  <conditionalFormatting sqref="H58">
    <cfRule type="cellIs" dxfId="2816" priority="27" stopIfTrue="1" operator="lessThanOrEqual">
      <formula>0</formula>
    </cfRule>
    <cfRule type="cellIs" dxfId="2815" priority="26" stopIfTrue="1" operator="greaterThan">
      <formula>$F$72</formula>
    </cfRule>
    <cfRule type="cellIs" dxfId="2814" priority="25" stopIfTrue="1" operator="lessThanOrEqual">
      <formula>0</formula>
    </cfRule>
    <cfRule type="cellIs" dxfId="2813" priority="24" stopIfTrue="1" operator="greaterThan">
      <formula>$F$74</formula>
    </cfRule>
    <cfRule type="cellIs" dxfId="2812" priority="15" stopIfTrue="1" operator="lessThanOrEqual">
      <formula>0</formula>
    </cfRule>
    <cfRule type="cellIs" dxfId="2811" priority="16" stopIfTrue="1" operator="greaterThan">
      <formula>$F$71</formula>
    </cfRule>
  </conditionalFormatting>
  <conditionalFormatting sqref="H59:H60">
    <cfRule type="cellIs" dxfId="2810" priority="100" stopIfTrue="1" operator="lessThanOrEqual">
      <formula>0</formula>
    </cfRule>
    <cfRule type="cellIs" dxfId="2809" priority="99" stopIfTrue="1" operator="greaterThan">
      <formula>$F$70</formula>
    </cfRule>
    <cfRule type="cellIs" dxfId="2808" priority="98" stopIfTrue="1" operator="lessThanOrEqual">
      <formula>0</formula>
    </cfRule>
    <cfRule type="cellIs" dxfId="2807" priority="89" stopIfTrue="1" operator="greaterThan">
      <formula>$F$69</formula>
    </cfRule>
    <cfRule type="cellIs" dxfId="2806" priority="97" stopIfTrue="1" operator="greaterThan">
      <formula>$F$72</formula>
    </cfRule>
  </conditionalFormatting>
  <conditionalFormatting sqref="H61:H62">
    <cfRule type="cellIs" dxfId="2805" priority="133" stopIfTrue="1" operator="greaterThan">
      <formula>#REF!</formula>
    </cfRule>
    <cfRule type="cellIs" dxfId="2804" priority="134" stopIfTrue="1" operator="lessThanOrEqual">
      <formula>0</formula>
    </cfRule>
    <cfRule type="cellIs" dxfId="2803" priority="125" stopIfTrue="1" operator="greaterThan">
      <formula>#REF!</formula>
    </cfRule>
    <cfRule type="cellIs" dxfId="2802" priority="124" stopIfTrue="1" operator="lessThanOrEqual">
      <formula>0</formula>
    </cfRule>
  </conditionalFormatting>
  <conditionalFormatting sqref="H63">
    <cfRule type="cellIs" dxfId="2801" priority="137" stopIfTrue="1" operator="greaterThan">
      <formula>$F$37</formula>
    </cfRule>
    <cfRule type="cellIs" dxfId="2800" priority="145" stopIfTrue="1" operator="greaterThan">
      <formula>$F$40</formula>
    </cfRule>
    <cfRule type="cellIs" dxfId="2799" priority="146" stopIfTrue="1" operator="lessThanOrEqual">
      <formula>0</formula>
    </cfRule>
    <cfRule type="cellIs" dxfId="2798" priority="136" stopIfTrue="1" operator="lessThanOrEqual">
      <formula>0</formula>
    </cfRule>
    <cfRule type="cellIs" dxfId="2797" priority="147" stopIfTrue="1" operator="greaterThan">
      <formula>$F$38</formula>
    </cfRule>
    <cfRule type="cellIs" dxfId="2796" priority="148" stopIfTrue="1" operator="lessThanOrEqual">
      <formula>0</formula>
    </cfRule>
  </conditionalFormatting>
  <conditionalFormatting sqref="H64:H65">
    <cfRule type="cellIs" dxfId="2795" priority="121" stopIfTrue="1" operator="greaterThan">
      <formula>#REF!</formula>
    </cfRule>
    <cfRule type="cellIs" dxfId="2794" priority="112" stopIfTrue="1" operator="lessThanOrEqual">
      <formula>0</formula>
    </cfRule>
    <cfRule type="cellIs" dxfId="2793" priority="122" stopIfTrue="1" operator="lessThanOrEqual">
      <formula>0</formula>
    </cfRule>
    <cfRule type="cellIs" dxfId="2792" priority="113" stopIfTrue="1" operator="greaterThan">
      <formula>#REF!</formula>
    </cfRule>
  </conditionalFormatting>
  <conditionalFormatting sqref="H80 H82:H88">
    <cfRule type="cellIs" dxfId="2791" priority="171" stopIfTrue="1" operator="greaterThan">
      <formula>4.5</formula>
    </cfRule>
    <cfRule type="cellIs" dxfId="2790" priority="172" stopIfTrue="1" operator="lessThanOrEqual">
      <formula>0</formula>
    </cfRule>
  </conditionalFormatting>
  <conditionalFormatting sqref="H56:I56">
    <cfRule type="cellIs" dxfId="2789" priority="50" stopIfTrue="1" operator="lessThanOrEqual">
      <formula>0</formula>
    </cfRule>
  </conditionalFormatting>
  <conditionalFormatting sqref="H56:I57 H59:I60">
    <cfRule type="cellIs" dxfId="2788" priority="47" stopIfTrue="1" operator="greaterThan">
      <formula>$F$71</formula>
    </cfRule>
  </conditionalFormatting>
  <conditionalFormatting sqref="H57:I57">
    <cfRule type="cellIs" dxfId="2787" priority="77" stopIfTrue="1" operator="lessThanOrEqual">
      <formula>0</formula>
    </cfRule>
  </conditionalFormatting>
  <conditionalFormatting sqref="H58:I58">
    <cfRule type="cellIs" dxfId="2786" priority="14" stopIfTrue="1" operator="greaterThan">
      <formula>$F$73</formula>
    </cfRule>
    <cfRule type="cellIs" dxfId="2785" priority="17" stopIfTrue="1" operator="lessThanOrEqual">
      <formula>0</formula>
    </cfRule>
  </conditionalFormatting>
  <conditionalFormatting sqref="H59:I60">
    <cfRule type="cellIs" dxfId="2784" priority="90" stopIfTrue="1" operator="lessThanOrEqual">
      <formula>0</formula>
    </cfRule>
  </conditionalFormatting>
  <conditionalFormatting sqref="H61:I62">
    <cfRule type="cellIs" dxfId="2783" priority="131" stopIfTrue="1" operator="greaterThan">
      <formula>#REF!</formula>
    </cfRule>
    <cfRule type="cellIs" dxfId="2782" priority="126" stopIfTrue="1" operator="lessThanOrEqual">
      <formula>0</formula>
    </cfRule>
    <cfRule type="cellIs" dxfId="2781" priority="132" stopIfTrue="1" operator="lessThanOrEqual">
      <formula>0</formula>
    </cfRule>
    <cfRule type="cellIs" dxfId="2780" priority="123" stopIfTrue="1" operator="greaterThan">
      <formula>#REF!</formula>
    </cfRule>
  </conditionalFormatting>
  <conditionalFormatting sqref="H63:I63">
    <cfRule type="cellIs" dxfId="2779" priority="135" stopIfTrue="1" operator="greaterThan">
      <formula>$F$39</formula>
    </cfRule>
    <cfRule type="cellIs" dxfId="2778" priority="138" stopIfTrue="1" operator="lessThanOrEqual">
      <formula>0</formula>
    </cfRule>
  </conditionalFormatting>
  <conditionalFormatting sqref="H64:I65">
    <cfRule type="cellIs" dxfId="2777" priority="111" stopIfTrue="1" operator="greaterThan">
      <formula>#REF!</formula>
    </cfRule>
    <cfRule type="cellIs" dxfId="2776" priority="114" stopIfTrue="1" operator="lessThanOrEqual">
      <formula>0</formula>
    </cfRule>
    <cfRule type="cellIs" dxfId="2775" priority="120" stopIfTrue="1" operator="lessThanOrEqual">
      <formula>0</formula>
    </cfRule>
    <cfRule type="cellIs" dxfId="2774" priority="119" stopIfTrue="1" operator="greaterThan">
      <formula>#REF!</formula>
    </cfRule>
  </conditionalFormatting>
  <conditionalFormatting sqref="H69:I76">
    <cfRule type="cellIs" dxfId="2773" priority="33" stopIfTrue="1" operator="lessThanOrEqual">
      <formula>0</formula>
    </cfRule>
    <cfRule type="cellIs" dxfId="2772" priority="32" stopIfTrue="1" operator="greaterThan">
      <formula>$J69</formula>
    </cfRule>
  </conditionalFormatting>
  <conditionalFormatting sqref="H77:I77">
    <cfRule type="cellIs" dxfId="2771" priority="40" operator="greaterThan">
      <formula>5.3</formula>
    </cfRule>
  </conditionalFormatting>
  <conditionalFormatting sqref="H78:I78">
    <cfRule type="cellIs" dxfId="2770" priority="38" stopIfTrue="1" operator="greaterThan">
      <formula>$J78</formula>
    </cfRule>
    <cfRule type="cellIs" dxfId="2769" priority="39" stopIfTrue="1" operator="lessThanOrEqual">
      <formula>0</formula>
    </cfRule>
  </conditionalFormatting>
  <conditionalFormatting sqref="I56">
    <cfRule type="cellIs" dxfId="2768" priority="54" stopIfTrue="1" operator="lessThanOrEqual">
      <formula>0</formula>
    </cfRule>
    <cfRule type="cellIs" dxfId="2767" priority="53" stopIfTrue="1" operator="greaterThan">
      <formula>$F$71</formula>
    </cfRule>
    <cfRule type="cellIs" dxfId="2766" priority="52" stopIfTrue="1" operator="lessThanOrEqual">
      <formula>0</formula>
    </cfRule>
    <cfRule type="cellIs" dxfId="2765" priority="51" stopIfTrue="1" operator="greaterThan">
      <formula>$F$69</formula>
    </cfRule>
    <cfRule type="cellIs" dxfId="2764" priority="56" stopIfTrue="1" operator="lessThanOrEqual">
      <formula>0</formula>
    </cfRule>
    <cfRule type="cellIs" dxfId="2763" priority="55" stopIfTrue="1" operator="greaterThan">
      <formula>$F$69</formula>
    </cfRule>
  </conditionalFormatting>
  <conditionalFormatting sqref="I57">
    <cfRule type="cellIs" dxfId="2762" priority="83" stopIfTrue="1" operator="lessThanOrEqual">
      <formula>0</formula>
    </cfRule>
    <cfRule type="cellIs" dxfId="2761" priority="81" stopIfTrue="1" operator="lessThanOrEqual">
      <formula>0</formula>
    </cfRule>
    <cfRule type="cellIs" dxfId="2760" priority="82" stopIfTrue="1" operator="greaterThan">
      <formula>$F$69</formula>
    </cfRule>
    <cfRule type="cellIs" dxfId="2759" priority="79" stopIfTrue="1" operator="lessThanOrEqual">
      <formula>0</formula>
    </cfRule>
    <cfRule type="cellIs" dxfId="2758" priority="78" stopIfTrue="1" operator="greaterThan">
      <formula>$F$69</formula>
    </cfRule>
    <cfRule type="cellIs" dxfId="2757" priority="80" stopIfTrue="1" operator="greaterThan">
      <formula>$F$71</formula>
    </cfRule>
  </conditionalFormatting>
  <conditionalFormatting sqref="I58">
    <cfRule type="cellIs" dxfId="2756" priority="18" stopIfTrue="1" operator="greaterThan">
      <formula>$F$71</formula>
    </cfRule>
    <cfRule type="cellIs" dxfId="2755" priority="20" stopIfTrue="1" operator="greaterThan">
      <formula>$F$73</formula>
    </cfRule>
    <cfRule type="cellIs" dxfId="2754" priority="21" stopIfTrue="1" operator="lessThanOrEqual">
      <formula>0</formula>
    </cfRule>
    <cfRule type="cellIs" dxfId="2753" priority="22" stopIfTrue="1" operator="greaterThan">
      <formula>$F$71</formula>
    </cfRule>
    <cfRule type="cellIs" dxfId="2752" priority="23" stopIfTrue="1" operator="lessThanOrEqual">
      <formula>0</formula>
    </cfRule>
    <cfRule type="cellIs" dxfId="2751" priority="19" stopIfTrue="1" operator="lessThanOrEqual">
      <formula>0</formula>
    </cfRule>
  </conditionalFormatting>
  <conditionalFormatting sqref="I59:I60">
    <cfRule type="cellIs" dxfId="2750" priority="94" stopIfTrue="1" operator="lessThanOrEqual">
      <formula>0</formula>
    </cfRule>
    <cfRule type="cellIs" dxfId="2749" priority="95" stopIfTrue="1" operator="greaterThan">
      <formula>$F$69</formula>
    </cfRule>
    <cfRule type="cellIs" dxfId="2748" priority="96" stopIfTrue="1" operator="lessThanOrEqual">
      <formula>0</formula>
    </cfRule>
    <cfRule type="cellIs" dxfId="2747" priority="93" stopIfTrue="1" operator="greaterThan">
      <formula>$F$71</formula>
    </cfRule>
    <cfRule type="cellIs" dxfId="2746" priority="91" stopIfTrue="1" operator="greaterThan">
      <formula>$F$69</formula>
    </cfRule>
    <cfRule type="cellIs" dxfId="2745" priority="92" stopIfTrue="1" operator="lessThanOrEqual">
      <formula>0</formula>
    </cfRule>
  </conditionalFormatting>
  <conditionalFormatting sqref="I61:I62">
    <cfRule type="cellIs" dxfId="2744" priority="130" stopIfTrue="1" operator="lessThanOrEqual">
      <formula>0</formula>
    </cfRule>
    <cfRule type="cellIs" dxfId="2743" priority="128" stopIfTrue="1" operator="lessThanOrEqual">
      <formula>0</formula>
    </cfRule>
    <cfRule type="cellIs" dxfId="2742" priority="127" stopIfTrue="1" operator="greaterThan">
      <formula>#REF!</formula>
    </cfRule>
    <cfRule type="cellIs" dxfId="2741" priority="129" stopIfTrue="1" operator="greaterThan">
      <formula>#REF!</formula>
    </cfRule>
  </conditionalFormatting>
  <conditionalFormatting sqref="I63">
    <cfRule type="cellIs" dxfId="2740" priority="143" stopIfTrue="1" operator="greaterThan">
      <formula>$F$37</formula>
    </cfRule>
    <cfRule type="cellIs" dxfId="2739" priority="144" stopIfTrue="1" operator="lessThanOrEqual">
      <formula>0</formula>
    </cfRule>
    <cfRule type="cellIs" dxfId="2738" priority="139" stopIfTrue="1" operator="greaterThan">
      <formula>$F$37</formula>
    </cfRule>
    <cfRule type="cellIs" dxfId="2737" priority="140" stopIfTrue="1" operator="lessThanOrEqual">
      <formula>0</formula>
    </cfRule>
    <cfRule type="cellIs" dxfId="2736" priority="141" stopIfTrue="1" operator="greaterThan">
      <formula>$F$39</formula>
    </cfRule>
    <cfRule type="cellIs" dxfId="2735" priority="142" stopIfTrue="1" operator="lessThanOrEqual">
      <formula>0</formula>
    </cfRule>
  </conditionalFormatting>
  <conditionalFormatting sqref="I64:I65">
    <cfRule type="cellIs" dxfId="2734" priority="115" stopIfTrue="1" operator="greaterThan">
      <formula>#REF!</formula>
    </cfRule>
    <cfRule type="cellIs" dxfId="2733" priority="116" stopIfTrue="1" operator="lessThanOrEqual">
      <formula>0</formula>
    </cfRule>
    <cfRule type="cellIs" dxfId="2732" priority="118" stopIfTrue="1" operator="lessThanOrEqual">
      <formula>0</formula>
    </cfRule>
    <cfRule type="cellIs" dxfId="2731" priority="117" stopIfTrue="1" operator="greaterThan">
      <formula>#REF!</formula>
    </cfRule>
  </conditionalFormatting>
  <conditionalFormatting sqref="I80:I88">
    <cfRule type="cellIs" dxfId="2730" priority="168" stopIfTrue="1" operator="lessThanOrEqual">
      <formula>0</formula>
    </cfRule>
    <cfRule type="cellIs" dxfId="2729" priority="167" stopIfTrue="1" operator="greaterThan">
      <formula>4.5</formula>
    </cfRule>
  </conditionalFormatting>
  <conditionalFormatting sqref="I10:J24">
    <cfRule type="cellIs" dxfId="2728" priority="3" operator="lessThan">
      <formula>97.9</formula>
    </cfRule>
  </conditionalFormatting>
  <conditionalFormatting sqref="J27:J29">
    <cfRule type="cellIs" dxfId="2727" priority="13" operator="lessThan">
      <formula>97.95</formula>
    </cfRule>
  </conditionalFormatting>
  <conditionalFormatting sqref="J29:J31">
    <cfRule type="cellIs" dxfId="2726" priority="149" operator="lessThan">
      <formula>97.4</formula>
    </cfRule>
  </conditionalFormatting>
  <conditionalFormatting sqref="J32:J33">
    <cfRule type="cellIs" dxfId="2725" priority="150" operator="lessThan">
      <formula>98</formula>
    </cfRule>
  </conditionalFormatting>
  <conditionalFormatting sqref="J34:J35">
    <cfRule type="cellIs" dxfId="2724" priority="151" stopIfTrue="1" operator="lessThan">
      <formula>96.8</formula>
    </cfRule>
    <cfRule type="cellIs" dxfId="2723" priority="152" stopIfTrue="1" operator="greaterThan">
      <formula>100</formula>
    </cfRule>
  </conditionalFormatting>
  <conditionalFormatting sqref="J34:J36">
    <cfRule type="cellIs" dxfId="2722" priority="153" operator="lessThan">
      <formula>98</formula>
    </cfRule>
  </conditionalFormatting>
  <conditionalFormatting sqref="J65">
    <cfRule type="cellIs" dxfId="2721" priority="108" stopIfTrue="1" operator="lessThanOrEqual">
      <formula>0</formula>
    </cfRule>
    <cfRule type="cellIs" dxfId="2720" priority="107" stopIfTrue="1" operator="greaterThan">
      <formula>#REF!</formula>
    </cfRule>
    <cfRule type="cellIs" dxfId="2719" priority="106" stopIfTrue="1" operator="lessThanOrEqual">
      <formula>0</formula>
    </cfRule>
    <cfRule type="cellIs" dxfId="2718" priority="105" stopIfTrue="1" operator="greaterThan">
      <formula>#REF!</formula>
    </cfRule>
    <cfRule type="cellIs" dxfId="2717" priority="104" stopIfTrue="1" operator="lessThanOrEqual">
      <formula>0</formula>
    </cfRule>
    <cfRule type="cellIs" dxfId="2716" priority="103" stopIfTrue="1" operator="greaterThan">
      <formula>#REF!</formula>
    </cfRule>
    <cfRule type="cellIs" dxfId="2715" priority="109" stopIfTrue="1" operator="greaterThan">
      <formula>#REF!</formula>
    </cfRule>
    <cfRule type="cellIs" dxfId="2714" priority="110" stopIfTrue="1" operator="lessThanOrEqual">
      <formula>0</formula>
    </cfRule>
  </conditionalFormatting>
  <conditionalFormatting sqref="J78">
    <cfRule type="cellIs" dxfId="2713" priority="41" stopIfTrue="1" operator="greaterThan">
      <formula>$F78</formula>
    </cfRule>
    <cfRule type="cellIs" dxfId="2712" priority="42" stopIfTrue="1" operator="lessThanOrEqual">
      <formula>0</formula>
    </cfRule>
  </conditionalFormatting>
  <conditionalFormatting sqref="K10:K24">
    <cfRule type="cellIs" dxfId="2711" priority="6" operator="greaterThan">
      <formula>6.4</formula>
    </cfRule>
    <cfRule type="cellIs" dxfId="2710" priority="4" operator="greaterThan">
      <formula>6</formula>
    </cfRule>
    <cfRule type="cellIs" dxfId="2709" priority="5" operator="lessThan">
      <formula>4</formula>
    </cfRule>
  </conditionalFormatting>
  <conditionalFormatting sqref="K56:K65">
    <cfRule type="cellIs" dxfId="2708" priority="88" stopIfTrue="1" operator="lessThan">
      <formula>100%</formula>
    </cfRule>
  </conditionalFormatting>
  <conditionalFormatting sqref="K69:K77">
    <cfRule type="cellIs" dxfId="2707" priority="31" stopIfTrue="1" operator="lessThan">
      <formula>100%</formula>
    </cfRule>
  </conditionalFormatting>
  <conditionalFormatting sqref="K80:K85">
    <cfRule type="cellIs" dxfId="2706" priority="173" stopIfTrue="1" operator="lessThan">
      <formula>100%</formula>
    </cfRule>
  </conditionalFormatting>
  <conditionalFormatting sqref="K87:K88">
    <cfRule type="cellIs" dxfId="2705" priority="180" stopIfTrue="1" operator="lessThan">
      <formula>100%</formula>
    </cfRule>
  </conditionalFormatting>
  <conditionalFormatting sqref="L10:L24">
    <cfRule type="cellIs" dxfId="2704" priority="7" operator="between">
      <formula>61</formula>
      <formula>65</formula>
    </cfRule>
    <cfRule type="cellIs" dxfId="2703" priority="8" operator="greaterThan">
      <formula>65</formula>
    </cfRule>
  </conditionalFormatting>
  <conditionalFormatting sqref="L27:M38">
    <cfRule type="cellIs" dxfId="2702" priority="12" operator="lessThan">
      <formula>97.95</formula>
    </cfRule>
  </conditionalFormatting>
  <conditionalFormatting sqref="L42:N42">
    <cfRule type="cellIs" dxfId="2701" priority="67" operator="notEqual">
      <formula>#REF!</formula>
    </cfRule>
  </conditionalFormatting>
  <conditionalFormatting sqref="L69:N78">
    <cfRule type="cellIs" dxfId="2700" priority="28" stopIfTrue="1" operator="lessThan">
      <formula>100%</formula>
    </cfRule>
  </conditionalFormatting>
  <conditionalFormatting sqref="L80:N88">
    <cfRule type="cellIs" dxfId="2699" priority="158" stopIfTrue="1" operator="lessThan">
      <formula>100%</formula>
    </cfRule>
  </conditionalFormatting>
  <conditionalFormatting sqref="M10:N24">
    <cfRule type="expression" dxfId="2698" priority="10">
      <formula>IF(+(IF(M10&lt;#REF!,0,IF(M10&gt;#REF!,0,1)))=0,1)</formula>
    </cfRule>
  </conditionalFormatting>
  <conditionalFormatting sqref="N10:N24">
    <cfRule type="expression" dxfId="2697" priority="11">
      <formula>IF(+(IF(N10&lt;W10,0,IF(N10&gt;X10,0,1)))=0,1)</formula>
    </cfRule>
  </conditionalFormatting>
  <conditionalFormatting sqref="P6">
    <cfRule type="cellIs" dxfId="2696" priority="154" operator="greaterThanOrEqual">
      <formula>19</formula>
    </cfRule>
  </conditionalFormatting>
  <dataValidations count="1">
    <dataValidation type="list" allowBlank="1" showInputMessage="1" showErrorMessage="1" sqref="R8" xr:uid="{90672516-0B23-4989-A311-85F0CBE03E27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D512B-86CE-4936-8236-2FEAAF28264F}">
  <sheetPr>
    <pageSetUpPr fitToPage="1"/>
  </sheetPr>
  <dimension ref="A1:BE78"/>
  <sheetViews>
    <sheetView zoomScale="60" zoomScaleNormal="60" workbookViewId="0">
      <selection activeCell="E10" sqref="E10:E12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12" t="s">
        <v>0</v>
      </c>
      <c r="T1" s="512"/>
      <c r="U1" s="512" t="s">
        <v>1</v>
      </c>
      <c r="V1" s="512"/>
      <c r="W1" s="512" t="s">
        <v>2</v>
      </c>
      <c r="X1" s="512"/>
      <c r="Y1" s="512" t="s">
        <v>124</v>
      </c>
      <c r="Z1" s="512"/>
    </row>
    <row r="2" spans="2:29" ht="15">
      <c r="B2" s="513" t="s">
        <v>3</v>
      </c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46248</v>
      </c>
      <c r="J4" s="398" t="s">
        <v>184</v>
      </c>
      <c r="K4" s="398"/>
      <c r="L4" s="11"/>
      <c r="M4" s="510" t="s">
        <v>8</v>
      </c>
      <c r="N4" s="511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6"/>
      <c r="D5" s="516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19" t="s">
        <v>18</v>
      </c>
      <c r="D8" s="519" t="s">
        <v>19</v>
      </c>
      <c r="E8" s="356" t="s">
        <v>20</v>
      </c>
      <c r="F8" s="356" t="s">
        <v>21</v>
      </c>
      <c r="G8" s="519" t="s">
        <v>22</v>
      </c>
      <c r="H8" s="520" t="s">
        <v>144</v>
      </c>
      <c r="I8" s="519" t="s">
        <v>181</v>
      </c>
      <c r="J8" s="522" t="s">
        <v>23</v>
      </c>
      <c r="K8" s="524" t="s">
        <v>142</v>
      </c>
      <c r="L8" s="526" t="s">
        <v>24</v>
      </c>
      <c r="M8" s="359" t="s">
        <v>25</v>
      </c>
      <c r="N8" s="17" t="s">
        <v>168</v>
      </c>
      <c r="O8" s="519" t="s">
        <v>155</v>
      </c>
      <c r="P8" s="514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8"/>
      <c r="C9" s="515"/>
      <c r="D9" s="515"/>
      <c r="E9" s="357" t="s">
        <v>30</v>
      </c>
      <c r="F9" s="357" t="s">
        <v>31</v>
      </c>
      <c r="G9" s="515"/>
      <c r="H9" s="521"/>
      <c r="I9" s="515"/>
      <c r="J9" s="523"/>
      <c r="K9" s="525"/>
      <c r="L9" s="527"/>
      <c r="M9" s="20" t="s">
        <v>32</v>
      </c>
      <c r="N9" s="21" t="s">
        <v>41</v>
      </c>
      <c r="O9" s="515"/>
      <c r="P9" s="515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33" t="s">
        <v>9</v>
      </c>
      <c r="C10" s="366" t="str">
        <f>[3]Brewhouse!$A336</f>
        <v>ST279</v>
      </c>
      <c r="D10" s="279">
        <f>[3]Brewhouse!$AB336</f>
        <v>53.1</v>
      </c>
      <c r="E10" s="279">
        <f>[3]Brewhouse!$AG336</f>
        <v>49.7</v>
      </c>
      <c r="F10" s="278">
        <f>[3]Brewhouse!$V336</f>
        <v>52</v>
      </c>
      <c r="G10" s="279">
        <f>[3]Brewhouse!$AE336</f>
        <v>12</v>
      </c>
      <c r="H10" s="396">
        <v>11.8</v>
      </c>
      <c r="I10" s="368">
        <f>[3]Brewhouse!$AS336</f>
        <v>99.652790566766143</v>
      </c>
      <c r="J10" s="368">
        <f>[3]Brewhouse!$AT336</f>
        <v>100.42197589944648</v>
      </c>
      <c r="K10" s="281">
        <f>[3]Brewhouse!$Q336</f>
        <v>10.499058380414318</v>
      </c>
      <c r="L10" s="276">
        <f>[3]Brewhouse!$P336</f>
        <v>60</v>
      </c>
      <c r="M10" s="374">
        <f>[3]Brewhouse!$U336-[3]Brewhouse!$T336</f>
        <v>0.11458333333333337</v>
      </c>
      <c r="N10" s="370">
        <f>[3]Brewhouse!$AW336</f>
        <v>0.25</v>
      </c>
      <c r="O10" s="420" t="str">
        <f>[3]Brewhouse!$AV336</f>
        <v>R. Regis</v>
      </c>
      <c r="P10" s="418"/>
      <c r="R10" s="277" t="str">
        <f t="shared" ref="R10:R38" si="0">B10</f>
        <v>STAG</v>
      </c>
      <c r="S10" s="472">
        <f t="shared" ref="S10:S38" si="1">VLOOKUP($B10,$R$3:$X$9,2,FALSE)</f>
        <v>11.6</v>
      </c>
      <c r="T10" s="472">
        <f t="shared" ref="T10:T38" si="2">VLOOKUP($B10,$R$3:$X$9,3,FALSE)</f>
        <v>12</v>
      </c>
      <c r="U10" s="297">
        <f t="shared" ref="U10:U38" si="3">VLOOKUP($B10,$R$3:$X$9,4,FALSE)</f>
        <v>0</v>
      </c>
      <c r="V10" s="297">
        <f t="shared" ref="V10:V38" si="4">VLOOKUP($B10,$R$3:$X$9,5,FALSE)</f>
        <v>0.118055555555556</v>
      </c>
      <c r="W10" s="297">
        <f t="shared" ref="W10:W38" si="5">VLOOKUP($B10,$R$3:$X$9,6,FALSE)</f>
        <v>0.22569444444444445</v>
      </c>
      <c r="X10" s="297">
        <f t="shared" ref="X10:X38" si="6">VLOOKUP($B10,$R$3:$X$9,7,FALSE)</f>
        <v>0.2638888888888889</v>
      </c>
      <c r="Y10" s="297">
        <f t="shared" ref="Y10:Y38" si="7">VLOOKUP($B10,$R$3:$Z$9,8,FALSE)</f>
        <v>0</v>
      </c>
      <c r="Z10" s="472">
        <f t="shared" ref="Z10:Z38" si="8">VLOOKUP($B10,$R$3:$Z$9,9,FALSE)</f>
        <v>60</v>
      </c>
    </row>
    <row r="11" spans="2:29" ht="17.25" customHeight="1">
      <c r="B11" s="33" t="s">
        <v>9</v>
      </c>
      <c r="C11" s="366" t="str">
        <f>[3]Brewhouse!$A337</f>
        <v>ST280</v>
      </c>
      <c r="D11" s="279">
        <f>[3]Brewhouse!$AB337</f>
        <v>53.1</v>
      </c>
      <c r="E11" s="279">
        <f>[3]Brewhouse!$AG337</f>
        <v>48.6</v>
      </c>
      <c r="F11" s="278">
        <f>[3]Brewhouse!$V337</f>
        <v>56</v>
      </c>
      <c r="G11" s="279">
        <f>[3]Brewhouse!$AE337</f>
        <v>12</v>
      </c>
      <c r="H11" s="396">
        <v>12.1</v>
      </c>
      <c r="I11" s="368">
        <f>[3]Brewhouse!$AS337</f>
        <v>99.055898699447013</v>
      </c>
      <c r="J11" s="368">
        <f>[3]Brewhouse!$AT337</f>
        <v>99.817187585134263</v>
      </c>
      <c r="K11" s="281">
        <f>[3]Brewhouse!$Q337</f>
        <v>13.323917137476466</v>
      </c>
      <c r="L11" s="276">
        <f>[3]Brewhouse!$P337</f>
        <v>61</v>
      </c>
      <c r="M11" s="374">
        <f>[3]Brewhouse!$U337-[3]Brewhouse!$T337</f>
        <v>0.11111111111111105</v>
      </c>
      <c r="N11" s="370">
        <f>[3]Brewhouse!$AW337</f>
        <v>0.2534722222222221</v>
      </c>
      <c r="O11" s="420" t="str">
        <f>[3]Brewhouse!$AV337</f>
        <v>R. Regis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33" t="s">
        <v>9</v>
      </c>
      <c r="C12" s="366" t="str">
        <f>[3]Brewhouse!$A338</f>
        <v>ST281</v>
      </c>
      <c r="D12" s="279">
        <f>[3]Brewhouse!$AB338</f>
        <v>53.1</v>
      </c>
      <c r="E12" s="279">
        <f>[3]Brewhouse!$AG338</f>
        <v>49</v>
      </c>
      <c r="F12" s="278">
        <f>[3]Brewhouse!$V338</f>
        <v>54</v>
      </c>
      <c r="G12" s="279">
        <f>[3]Brewhouse!$AE338</f>
        <v>11.9</v>
      </c>
      <c r="H12" s="396">
        <v>11.9</v>
      </c>
      <c r="I12" s="368">
        <f>[3]Brewhouse!$AS338</f>
        <v>98.745714949083094</v>
      </c>
      <c r="J12" s="368">
        <f>[3]Brewhouse!$AT338</f>
        <v>99.505131401578325</v>
      </c>
      <c r="K12" s="281">
        <f>[3]Brewhouse!$Q338</f>
        <v>14.453860640301313</v>
      </c>
      <c r="L12" s="276">
        <f>[3]Brewhouse!$P338</f>
        <v>61</v>
      </c>
      <c r="M12" s="374">
        <f>[3]Brewhouse!$U338-[3]Brewhouse!$T338</f>
        <v>0.11319444444444438</v>
      </c>
      <c r="N12" s="370">
        <f>[3]Brewhouse!$AW338</f>
        <v>0.25555555555555542</v>
      </c>
      <c r="O12" s="420" t="str">
        <f>[3]Brewhouse!$AV338</f>
        <v>R. Regis</v>
      </c>
      <c r="P12" s="418"/>
      <c r="R12" s="277" t="str">
        <f t="shared" si="0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33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74"/>
      <c r="N13" s="370"/>
      <c r="O13" s="420"/>
      <c r="P13" s="418"/>
      <c r="R13" s="277">
        <f t="shared" si="0"/>
        <v>0</v>
      </c>
      <c r="S13" s="472" t="e">
        <f t="shared" si="1"/>
        <v>#N/A</v>
      </c>
      <c r="T13" s="472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2" t="e">
        <f t="shared" si="8"/>
        <v>#N/A</v>
      </c>
    </row>
    <row r="14" spans="2:29" ht="17.25" customHeight="1">
      <c r="B14" s="33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420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7.25" hidden="1" customHeight="1">
      <c r="B15" s="33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420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5" hidden="1" customHeight="1">
      <c r="B16" s="33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420"/>
      <c r="P16" s="418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6" ht="15" hidden="1" customHeight="1">
      <c r="B17" s="33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20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5" hidden="1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hidden="1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 customHeight="1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hidden="1" customHeight="1">
      <c r="B21" s="33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0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customHeight="1" thickBot="1">
      <c r="B25" s="358"/>
      <c r="C25" s="358"/>
      <c r="D25" s="358"/>
      <c r="E25" s="358"/>
      <c r="F25" s="294"/>
      <c r="G25" s="294"/>
      <c r="H25" s="348"/>
      <c r="I25" s="528"/>
      <c r="J25" s="528"/>
      <c r="K25" s="528"/>
      <c r="L25" s="528"/>
      <c r="M25" s="528"/>
      <c r="N25" s="528"/>
      <c r="O25" s="1"/>
      <c r="P25" s="12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customHeight="1" thickBot="1">
      <c r="B26" s="489" t="s">
        <v>162</v>
      </c>
      <c r="C26" s="388"/>
      <c r="D26" s="529" t="s">
        <v>35</v>
      </c>
      <c r="E26" s="530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0"/>
        <v xml:space="preserve">BRAND 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7.25" customHeight="1">
      <c r="A27" s="28"/>
      <c r="B27" s="541" t="str">
        <f>I27</f>
        <v>CARIB</v>
      </c>
      <c r="C27" s="490">
        <f>[4]Process!D565</f>
        <v>12</v>
      </c>
      <c r="D27" s="534">
        <v>11.98</v>
      </c>
      <c r="E27" s="535"/>
      <c r="F27" s="294"/>
      <c r="G27" s="294"/>
      <c r="H27" s="348"/>
      <c r="I27" s="29" t="s">
        <v>6</v>
      </c>
      <c r="J27" s="323"/>
      <c r="K27" s="284">
        <f>COUNTA([4]Brewhouse!$A$595:$A$618)</f>
        <v>24</v>
      </c>
      <c r="L27" s="305">
        <f>AVERAGE([4]Brewhouse!$AU$595:$AU$618)</f>
        <v>99.555117027572393</v>
      </c>
      <c r="M27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AVERAGE([4]Brewhouse!$AU$42:$AU$123,[4]Brewhouse!$AU$125:$AU$188,[4]Brewhouse!$AU$198:$AU$290,[4]Brewhouse!$AU$292:$AU$370,[4]Brewhouse!$AU$372:$AU$439,[4]Brewhouse!$AU$441:$AU$497,[4]Brewhouse!$AU$499:$AU$519,[4]Brewhouse!$AU$521:$AU$593,[4]Brewhouse!$AU$595:$AU$618)</f>
        <v>98.227933625316709</v>
      </c>
      <c r="N27" s="30">
        <v>98</v>
      </c>
      <c r="O27" s="11"/>
      <c r="P27" s="31"/>
      <c r="R27" s="277" t="str">
        <f t="shared" si="0"/>
        <v>CARIB</v>
      </c>
      <c r="S27" s="472">
        <f t="shared" si="1"/>
        <v>11.6</v>
      </c>
      <c r="T27" s="472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472">
        <f t="shared" si="8"/>
        <v>60</v>
      </c>
    </row>
    <row r="28" spans="1:26" ht="15" customHeight="1">
      <c r="A28" s="28"/>
      <c r="B28" s="542"/>
      <c r="C28" s="362">
        <f>[4]Process!D566</f>
        <v>11.9</v>
      </c>
      <c r="D28" s="536"/>
      <c r="E28" s="537"/>
      <c r="F28" s="294"/>
      <c r="G28" s="294"/>
      <c r="H28" s="348"/>
      <c r="I28" s="33" t="s">
        <v>9</v>
      </c>
      <c r="J28" s="323">
        <f>AVERAGE(I10:I12)</f>
        <v>99.151468071765407</v>
      </c>
      <c r="K28" s="284">
        <f>COUNTA([3]Brewhouse!$A$327:$A$338)</f>
        <v>12</v>
      </c>
      <c r="L28" s="302">
        <f>AVERAGE([3]Brewhouse!$AS$327:$AS$338)</f>
        <v>99.318300191325861</v>
      </c>
      <c r="M28" s="302">
        <f>AVERAGE([3]Brewhouse!$AS$52:$AS$81,[3]Brewhouse!$AS$83:$AS$124,[3]Brewhouse!$AS$134:$AS$177,[3]Brewhouse!$AS$22:$AS$179,[3]Brewhouse!$AS$214:$AS$249,[3]Brewhouse!$AS$252:$AS$293,[3]Brewhouse!$AS$295:$AS$325,[3]Brewhouse!$AS$327:$AS$338)</f>
        <v>98.18037568252457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542"/>
      <c r="C29" s="362">
        <f>[4]Process!D567</f>
        <v>11.7</v>
      </c>
      <c r="D29" s="538">
        <v>11.72</v>
      </c>
      <c r="E29" s="539"/>
      <c r="F29" s="294"/>
      <c r="G29" s="294"/>
      <c r="H29" s="348"/>
      <c r="I29" s="34" t="s">
        <v>12</v>
      </c>
      <c r="J29" s="323"/>
      <c r="K29" s="284"/>
      <c r="L29" s="302"/>
      <c r="M29" s="302">
        <f>AVERAGE([5]Brewhouse!$AU$16:$AU$23,[5]Brewhouse!$AU$25:$AU$32,[5]Brewhouse!$AU$34:$AU$41,[5]Brewhouse!$AU$43:$AU$60,[5]Brewhouse!$AU$62:$AU$69,[5]Brewhouse!$AU$71:$AU$88)</f>
        <v>96.520985666401089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42"/>
      <c r="C30" s="362">
        <f>[4]Process!D568</f>
        <v>11.9</v>
      </c>
      <c r="D30" s="540"/>
      <c r="E30" s="537"/>
      <c r="F30" s="294"/>
      <c r="G30" s="294"/>
      <c r="H30" s="348"/>
      <c r="I30" s="22" t="s">
        <v>33</v>
      </c>
      <c r="J30" s="280"/>
      <c r="K30" s="284"/>
      <c r="L30" s="302"/>
      <c r="M30" s="302">
        <f>AVERAGE([6]Brewhouse!$AV$23:$AV$34,[6]Brewhouse!$AV$36,[6]Brewhouse!$AV$38:$AV$52,[6]Brewhouse!$AV$54:$AV$60,[6]Brewhouse!$AV$62:$AV$69,[6]Brewhouse!$AV$71:$AV$78,[6]Brewhouse!$AV$80:$AV$87)</f>
        <v>97.513042763382714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42"/>
      <c r="C31" s="362">
        <f>[4]Process!D569</f>
        <v>11.6</v>
      </c>
      <c r="D31" s="538">
        <v>11.92</v>
      </c>
      <c r="E31" s="539"/>
      <c r="F31" s="294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42"/>
      <c r="C32" s="362">
        <f>[4]Process!D570</f>
        <v>11.8</v>
      </c>
      <c r="D32" s="540"/>
      <c r="E32" s="537"/>
      <c r="F32" s="417"/>
      <c r="G32" s="294"/>
      <c r="H32" s="348"/>
      <c r="I32" s="36" t="s">
        <v>15</v>
      </c>
      <c r="J32" s="323"/>
      <c r="K32" s="284"/>
      <c r="L32" s="302"/>
      <c r="M32" s="302">
        <f>AVERAGE([7]Brewhouse!$AT$4:$AT$11,[7]Brewhouse!$AT$13:$AT$16,[7]Brewhouse!$AT$18:$AT$21)</f>
        <v>91.832675391763644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42"/>
      <c r="C33" s="362">
        <f>[4]Process!D571</f>
        <v>11.7</v>
      </c>
      <c r="D33" s="538">
        <v>11.91</v>
      </c>
      <c r="E33" s="539"/>
      <c r="F33" s="417"/>
      <c r="G33" s="294"/>
      <c r="H33" s="348"/>
      <c r="I33" s="37" t="s">
        <v>16</v>
      </c>
      <c r="J33" s="323"/>
      <c r="K33" s="284">
        <f>COUNTA([8]Brewhouse!$A$84:$A$91)</f>
        <v>8</v>
      </c>
      <c r="L33" s="302">
        <f>AVERAGE([8]Brewhouse!$AY$84:$AY$91)</f>
        <v>97.517044199257398</v>
      </c>
      <c r="M33" s="302">
        <f>AVERAGE([8]Brewhouse!$AY$5:$AY$14,[8]Brewhouse!$AY$16:$AY$23,[8]Brewhouse!$AY$42,[8]Brewhouse!$AY$44:$AY$51,[8]Brewhouse!$AY$53:$AY$64,[8]Brewhouse!$AY$66:$AY$73,[8]Brewhouse!$AY$75:$AY$82,[8]Brewhouse!$AY$84:$AY$91)</f>
        <v>98.050826041639255</v>
      </c>
      <c r="N33" s="30">
        <v>98</v>
      </c>
      <c r="O33" s="11"/>
      <c r="P33" s="31" t="s">
        <v>41</v>
      </c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42"/>
      <c r="C34" s="362">
        <f>[4]Process!D572</f>
        <v>12.1</v>
      </c>
      <c r="D34" s="540"/>
      <c r="E34" s="537"/>
      <c r="F34" s="294"/>
      <c r="G34" s="294"/>
      <c r="H34" s="348"/>
      <c r="I34" s="411" t="s">
        <v>158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56" ht="14.65" customHeight="1">
      <c r="A35" s="28"/>
      <c r="B35" s="542"/>
      <c r="C35" s="362"/>
      <c r="D35" s="538"/>
      <c r="E35" s="539"/>
      <c r="F35" s="294"/>
      <c r="G35" s="294"/>
      <c r="H35" s="348"/>
      <c r="I35" s="410" t="s">
        <v>157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542"/>
      <c r="C36" s="362"/>
      <c r="D36" s="540"/>
      <c r="E36" s="537"/>
      <c r="F36" s="294"/>
      <c r="G36" s="294"/>
      <c r="H36" s="348"/>
      <c r="I36" s="406" t="s">
        <v>156</v>
      </c>
      <c r="J36" s="327"/>
      <c r="K36" s="407"/>
      <c r="L36" s="408"/>
      <c r="M36" s="408"/>
      <c r="N36" s="409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" customHeight="1" thickBot="1">
      <c r="A37" s="28"/>
      <c r="B37" s="542"/>
      <c r="C37" s="349"/>
      <c r="D37" s="534"/>
      <c r="E37" s="535"/>
      <c r="F37" s="294"/>
      <c r="G37" s="294"/>
      <c r="H37" s="348"/>
      <c r="I37" s="1"/>
      <c r="J37" s="39"/>
      <c r="K37" s="404">
        <f>SUM(K27:K36)</f>
        <v>44</v>
      </c>
      <c r="L37" s="405">
        <f>((L27*K27)+(L28*K28)+(L29*K29)+(L30*K30)+(L31*K31)+(K34*L34)+(L32*K32)+(L33*K33)+(L36*K36))/(K37)</f>
        <v>99.119971921629698</v>
      </c>
      <c r="M37" s="405">
        <f>AVERAGE('[9]Jan30th-31st'!$L$42,'[10]Feb 27th-28th'!$L$45,'[11]Mar 31st'!$L$42,'[12]Apr 30th'!$L$41,'[13]May 29th '!$L$35,'[14]June 30th'!$L$32,[15]July31st!$L$36,L37)</f>
        <v>98.049914032766424</v>
      </c>
      <c r="N37" s="4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.75" thickBot="1">
      <c r="B38" s="606"/>
      <c r="C38" s="350"/>
      <c r="D38" s="536"/>
      <c r="E38" s="537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.75" thickBot="1">
      <c r="B39" s="607"/>
      <c r="C39" s="362"/>
      <c r="D39" s="577"/>
      <c r="E39" s="578"/>
      <c r="F39" s="294"/>
      <c r="G39" s="42"/>
      <c r="H39" s="41"/>
      <c r="I39" s="42"/>
      <c r="J39" s="544" t="s">
        <v>129</v>
      </c>
      <c r="K39" s="544"/>
      <c r="L39" s="294"/>
      <c r="M39" s="294"/>
      <c r="N39" s="294"/>
      <c r="O39" s="294"/>
      <c r="P39" s="12"/>
    </row>
    <row r="40" spans="1:56" ht="15.75" thickBot="1">
      <c r="B40" s="608"/>
      <c r="C40" s="362"/>
      <c r="D40" s="540"/>
      <c r="E40" s="537"/>
      <c r="F40" s="294"/>
      <c r="G40" s="42"/>
      <c r="H40" s="42"/>
      <c r="I40" s="42"/>
      <c r="J40" s="292" t="s">
        <v>17</v>
      </c>
      <c r="K40" s="293"/>
      <c r="L40" s="545" t="s">
        <v>136</v>
      </c>
      <c r="M40" s="545"/>
      <c r="N40" s="546"/>
      <c r="O40" s="294"/>
      <c r="P40" s="12"/>
    </row>
    <row r="41" spans="1:56" ht="15" customHeight="1" thickBot="1">
      <c r="B41" s="608"/>
      <c r="C41" s="349"/>
      <c r="D41" s="538"/>
      <c r="E41" s="539"/>
      <c r="F41" s="294"/>
      <c r="G41" s="42"/>
      <c r="H41" s="42"/>
      <c r="I41" s="42"/>
      <c r="J41" s="287" t="s">
        <v>6</v>
      </c>
      <c r="K41" s="324"/>
      <c r="L41" s="473" t="s">
        <v>37</v>
      </c>
      <c r="M41" s="474" t="s">
        <v>38</v>
      </c>
      <c r="N41" s="474" t="s">
        <v>84</v>
      </c>
      <c r="O41" s="294"/>
      <c r="P41" s="12"/>
    </row>
    <row r="42" spans="1:56" ht="15.75" customHeight="1" thickBot="1">
      <c r="B42" s="608"/>
      <c r="C42" s="349"/>
      <c r="D42" s="540"/>
      <c r="E42" s="537"/>
      <c r="F42" s="294"/>
      <c r="G42" s="42"/>
      <c r="H42" s="42"/>
      <c r="I42" s="42"/>
      <c r="J42" s="345" t="s">
        <v>9</v>
      </c>
      <c r="K42" s="324">
        <v>3</v>
      </c>
      <c r="L42" s="494">
        <f>AVERAGE(K51,'Aug 3rd '!K47,'Aug 2nd'!K52,'Aug 4th'!K47,'Aug 5th'!K51,'Aug 6th'!K51,'Aug 7th'!K51)</f>
        <v>6.2857142857142856</v>
      </c>
      <c r="M42" s="495">
        <f>AVERAGE('[9]Jan30th-31st'!$L$47,L42,'[10]Feb 26th '!$L$39,'[11]Mar 31st'!$L$47,'[12]Apr 30th'!$L$46,'[13]May 29th '!$L$40,'[14]June 30th'!$L$39,[15]July31st!$L$41)</f>
        <v>6.331636298484125</v>
      </c>
      <c r="N42" s="416">
        <v>9.1999999999999993</v>
      </c>
      <c r="O42" s="294"/>
      <c r="P42" s="12"/>
    </row>
    <row r="43" spans="1:56" ht="15" customHeight="1">
      <c r="B43" s="608"/>
      <c r="C43" s="349"/>
      <c r="D43" s="538"/>
      <c r="E43" s="539"/>
      <c r="F43" s="294"/>
      <c r="G43" s="42"/>
      <c r="H43" s="42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608"/>
      <c r="C44" s="349"/>
      <c r="D44" s="540"/>
      <c r="E44" s="537"/>
      <c r="F44" s="294"/>
      <c r="G44" s="42"/>
      <c r="H44" s="42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608"/>
      <c r="C45" s="349"/>
      <c r="D45" s="538"/>
      <c r="E45" s="539"/>
      <c r="F45" s="294"/>
      <c r="G45" s="42"/>
      <c r="H45" s="42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609"/>
      <c r="C46" s="349"/>
      <c r="D46" s="540"/>
      <c r="E46" s="537"/>
      <c r="F46" s="294"/>
      <c r="G46" s="42"/>
      <c r="H46" s="42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492"/>
      <c r="C47" s="349"/>
      <c r="D47" s="538"/>
      <c r="E47" s="539"/>
      <c r="F47" s="294"/>
      <c r="G47" s="42"/>
      <c r="H47" s="42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493"/>
      <c r="C48" s="350"/>
      <c r="D48" s="547"/>
      <c r="E48" s="548"/>
      <c r="F48" s="294" t="s">
        <v>166</v>
      </c>
      <c r="G48" s="42"/>
      <c r="H48" s="42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49"/>
      <c r="E49" s="550"/>
      <c r="F49" s="294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2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2"/>
      <c r="I51" s="42"/>
      <c r="J51" s="346" t="s">
        <v>130</v>
      </c>
      <c r="K51" s="324">
        <f>SUM(K41:K50)</f>
        <v>3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42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551" t="s">
        <v>17</v>
      </c>
      <c r="C54" s="551" t="s">
        <v>44</v>
      </c>
      <c r="D54" s="554" t="s">
        <v>45</v>
      </c>
      <c r="E54" s="519" t="s">
        <v>46</v>
      </c>
      <c r="F54" s="568" t="s">
        <v>47</v>
      </c>
      <c r="G54" s="563" t="s">
        <v>48</v>
      </c>
      <c r="H54" s="551" t="s">
        <v>49</v>
      </c>
      <c r="I54" s="551" t="s">
        <v>50</v>
      </c>
      <c r="J54" s="557" t="s">
        <v>28</v>
      </c>
      <c r="K54" s="517" t="s">
        <v>51</v>
      </c>
      <c r="L54" s="566" t="s">
        <v>52</v>
      </c>
      <c r="M54" s="557" t="s">
        <v>53</v>
      </c>
      <c r="N54" s="13"/>
      <c r="O54" s="13"/>
      <c r="P54" s="50"/>
    </row>
    <row r="55" spans="2:57" ht="28.5" customHeight="1" thickTop="1" thickBot="1">
      <c r="B55" s="552"/>
      <c r="C55" s="553"/>
      <c r="D55" s="555"/>
      <c r="E55" s="556"/>
      <c r="F55" s="569"/>
      <c r="G55" s="564"/>
      <c r="H55" s="552"/>
      <c r="I55" s="552"/>
      <c r="J55" s="558"/>
      <c r="K55" s="565"/>
      <c r="L55" s="567"/>
      <c r="M55" s="558"/>
      <c r="N55" s="13"/>
      <c r="O55" s="13"/>
      <c r="P55" s="50"/>
      <c r="Q55" s="355"/>
      <c r="AB55" s="475">
        <v>43474</v>
      </c>
      <c r="AC55" s="475">
        <v>43475</v>
      </c>
      <c r="AD55" s="475">
        <v>43476</v>
      </c>
      <c r="AE55" s="475">
        <v>43477</v>
      </c>
      <c r="AF55" s="475">
        <v>43478</v>
      </c>
      <c r="AG55" s="475">
        <v>43479</v>
      </c>
      <c r="AH55" s="475">
        <v>43480</v>
      </c>
      <c r="AI55" s="475">
        <v>43481</v>
      </c>
      <c r="AJ55" s="475">
        <v>43482</v>
      </c>
      <c r="AK55" s="475">
        <v>43483</v>
      </c>
      <c r="AL55" s="475">
        <v>43484</v>
      </c>
      <c r="AM55" s="475">
        <v>43485</v>
      </c>
      <c r="AN55" s="475">
        <v>43486</v>
      </c>
      <c r="AO55" s="475">
        <v>43487</v>
      </c>
      <c r="AP55" s="475">
        <v>43488</v>
      </c>
      <c r="AQ55" s="475">
        <v>43489</v>
      </c>
      <c r="AR55" s="475">
        <v>43490</v>
      </c>
      <c r="AS55" s="475">
        <v>43491</v>
      </c>
      <c r="AT55" s="475">
        <v>43492</v>
      </c>
      <c r="AU55" s="475">
        <v>43493</v>
      </c>
      <c r="AV55" s="475">
        <v>43494</v>
      </c>
      <c r="AW55" s="475">
        <v>43495</v>
      </c>
      <c r="AX55" s="475">
        <v>43496</v>
      </c>
    </row>
    <row r="56" spans="2:57" s="54" customFormat="1" ht="36.75" hidden="1" customHeight="1" thickBot="1">
      <c r="B56" s="484" t="str">
        <f>J42</f>
        <v>STAG</v>
      </c>
      <c r="C56" s="479">
        <v>46218</v>
      </c>
      <c r="D56" s="445">
        <f>[35]July_2026!$R$13</f>
        <v>195.67999999999998</v>
      </c>
      <c r="E56" s="443"/>
      <c r="F56" s="444"/>
      <c r="G56" s="444">
        <f>[35]July_2026!$R$17</f>
        <v>184</v>
      </c>
      <c r="H56" s="458"/>
      <c r="I56" s="458"/>
      <c r="J56" s="448" t="s">
        <v>170</v>
      </c>
      <c r="K56" s="449">
        <f>[36]July_2026!$R$25</f>
        <v>0.32280701754385965</v>
      </c>
      <c r="L56" s="457">
        <f>(((D56+E56)-G56)/(D56+E56))*100</f>
        <v>5.9689288634505209</v>
      </c>
      <c r="M56" s="455" t="s">
        <v>171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[16]January_2019!L5</f>
        <v>0</v>
      </c>
      <c r="AC56" s="57">
        <f>[16]January_2019!M5</f>
        <v>0</v>
      </c>
      <c r="AD56" s="57">
        <f>[16]January_2019!N5</f>
        <v>0</v>
      </c>
      <c r="AE56" s="57">
        <f>[16]January_2019!O5</f>
        <v>0</v>
      </c>
      <c r="AF56" s="57">
        <f>[16]January_2019!P5</f>
        <v>0</v>
      </c>
      <c r="AG56" s="57">
        <f>[16]January_2019!Q5</f>
        <v>0</v>
      </c>
      <c r="AH56" s="57">
        <f>[16]January_2019!R5</f>
        <v>0</v>
      </c>
      <c r="AI56" s="57">
        <f>[16]January_2019!S5</f>
        <v>0</v>
      </c>
      <c r="AJ56" s="57">
        <f>[16]January_2019!T5</f>
        <v>0</v>
      </c>
      <c r="AK56" s="57">
        <f>[16]January_2019!U5</f>
        <v>0</v>
      </c>
      <c r="AL56" s="57">
        <f>[16]January_2019!V5</f>
        <v>0</v>
      </c>
      <c r="AM56" s="57">
        <f>[16]January_2019!W5</f>
        <v>0</v>
      </c>
      <c r="AN56" s="57">
        <f>[16]January_2019!X5</f>
        <v>0</v>
      </c>
      <c r="AO56" s="57">
        <f>[16]January_2019!Y5</f>
        <v>0</v>
      </c>
      <c r="AP56" s="57">
        <f>[16]January_2019!Z5</f>
        <v>0</v>
      </c>
      <c r="AQ56" s="57">
        <f>[16]January_2019!AA5</f>
        <v>0</v>
      </c>
      <c r="AR56" s="57">
        <f>[16]January_2019!AB5</f>
        <v>0</v>
      </c>
      <c r="AS56" s="57">
        <f>[16]January_2019!AC5</f>
        <v>0</v>
      </c>
      <c r="AT56" s="57">
        <f>[16]January_2019!AD5</f>
        <v>0</v>
      </c>
      <c r="AU56" s="57">
        <f>[16]January_2019!AE5</f>
        <v>0</v>
      </c>
      <c r="AV56" s="57">
        <f>[16]January_2019!AF5</f>
        <v>0</v>
      </c>
      <c r="AW56" s="57">
        <f>[16]January_2019!AG5</f>
        <v>0</v>
      </c>
      <c r="AX56" s="277">
        <f>[16]January_2019!AH5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4.25" hidden="1" customHeight="1" thickBot="1">
      <c r="B57" s="480"/>
      <c r="C57" s="479"/>
      <c r="D57" s="442"/>
      <c r="E57" s="443"/>
      <c r="F57" s="444"/>
      <c r="G57" s="445"/>
      <c r="H57" s="458"/>
      <c r="I57" s="458"/>
      <c r="J57" s="476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[16]January_2019!L6</f>
        <v>0</v>
      </c>
      <c r="AC57" s="57">
        <f>[16]January_2019!M6</f>
        <v>0</v>
      </c>
      <c r="AD57" s="57">
        <f>[16]January_2019!N6</f>
        <v>0</v>
      </c>
      <c r="AE57" s="57">
        <f>[16]January_2019!O6</f>
        <v>0</v>
      </c>
      <c r="AF57" s="57">
        <f>[16]January_2019!P6</f>
        <v>0</v>
      </c>
      <c r="AG57" s="57">
        <f>[16]January_2019!Q6</f>
        <v>0</v>
      </c>
      <c r="AH57" s="57">
        <f>[16]January_2019!R6</f>
        <v>0</v>
      </c>
      <c r="AI57" s="57">
        <f>[16]January_2019!S6</f>
        <v>0</v>
      </c>
      <c r="AJ57" s="57">
        <f>[16]January_2019!T6</f>
        <v>0</v>
      </c>
      <c r="AK57" s="57">
        <f>[16]January_2019!U6</f>
        <v>0</v>
      </c>
      <c r="AL57" s="57">
        <f>[16]January_2019!V6</f>
        <v>0</v>
      </c>
      <c r="AM57" s="57">
        <f>[16]January_2019!W6</f>
        <v>0</v>
      </c>
      <c r="AN57" s="57">
        <f>[16]January_2019!X6</f>
        <v>0</v>
      </c>
      <c r="AO57" s="57">
        <f>[16]January_2019!Y6</f>
        <v>0</v>
      </c>
      <c r="AP57" s="57">
        <f>[16]January_2019!Z6</f>
        <v>0</v>
      </c>
      <c r="AQ57" s="57">
        <f>[16]January_2019!AA6</f>
        <v>0</v>
      </c>
      <c r="AR57" s="57">
        <f>[16]January_2019!AB6</f>
        <v>0</v>
      </c>
      <c r="AS57" s="57">
        <f>[16]January_2019!AC6</f>
        <v>0</v>
      </c>
      <c r="AT57" s="57">
        <f>[16]January_2019!AD6</f>
        <v>0</v>
      </c>
      <c r="AU57" s="57">
        <f>[16]January_2019!AE6</f>
        <v>0</v>
      </c>
      <c r="AV57" s="57">
        <f>[16]January_2019!AF6</f>
        <v>0</v>
      </c>
      <c r="AW57" s="57">
        <f>[16]January_2019!AG6</f>
        <v>0</v>
      </c>
      <c r="AX57" s="277">
        <f>[16]January_2019!AH6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37.15" customHeight="1" thickBot="1">
      <c r="B58" s="387" t="str">
        <f>B69</f>
        <v>CARIB</v>
      </c>
      <c r="C58" s="479">
        <v>46246</v>
      </c>
      <c r="D58" s="442">
        <f>[35]August_2026!$O$3</f>
        <v>393.57</v>
      </c>
      <c r="E58" s="443"/>
      <c r="F58" s="444"/>
      <c r="G58" s="444">
        <f>[35]August_2026!$O$7</f>
        <v>376.2</v>
      </c>
      <c r="H58" s="458"/>
      <c r="I58" s="458"/>
      <c r="J58" s="448" t="s">
        <v>174</v>
      </c>
      <c r="K58" s="449">
        <f>[36]August_2026!$O$18</f>
        <v>0.43999999999999995</v>
      </c>
      <c r="L58" s="497">
        <f>(((D58+E58)-G58)/(D58+E58))*100</f>
        <v>4.4134461468099708</v>
      </c>
      <c r="M58" s="455" t="s">
        <v>179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[16]January_2019!L7</f>
        <v>285.8</v>
      </c>
      <c r="AC58" s="57">
        <f>[16]January_2019!M7</f>
        <v>508.1</v>
      </c>
      <c r="AD58" s="57">
        <f>[16]January_2019!N7</f>
        <v>0</v>
      </c>
      <c r="AE58" s="57">
        <f>[16]January_2019!O7</f>
        <v>0</v>
      </c>
      <c r="AF58" s="57">
        <f>[16]January_2019!P7</f>
        <v>109.56666666666666</v>
      </c>
      <c r="AG58" s="57">
        <f>[16]January_2019!Q7</f>
        <v>297.64999999999998</v>
      </c>
      <c r="AH58" s="57">
        <f>[16]January_2019!R7</f>
        <v>122.3</v>
      </c>
      <c r="AI58" s="57">
        <f>[16]January_2019!S7</f>
        <v>0</v>
      </c>
      <c r="AJ58" s="57">
        <f>[16]January_2019!T7</f>
        <v>294.7</v>
      </c>
      <c r="AK58" s="57">
        <f>[16]January_2019!U7</f>
        <v>280.5</v>
      </c>
      <c r="AL58" s="57">
        <f>[16]January_2019!V7</f>
        <v>0</v>
      </c>
      <c r="AM58" s="57">
        <f>[16]January_2019!W7</f>
        <v>0</v>
      </c>
      <c r="AN58" s="57">
        <f>[16]January_2019!X7</f>
        <v>188.25</v>
      </c>
      <c r="AO58" s="57">
        <f>[16]January_2019!Y7</f>
        <v>295.7</v>
      </c>
      <c r="AP58" s="57">
        <f>[16]January_2019!Z7</f>
        <v>257.8</v>
      </c>
      <c r="AQ58" s="57">
        <f>[16]January_2019!AA7</f>
        <v>291.2</v>
      </c>
      <c r="AR58" s="57">
        <f>[16]January_2019!AB7</f>
        <v>187</v>
      </c>
      <c r="AS58" s="57">
        <f>[16]January_2019!AC7</f>
        <v>0</v>
      </c>
      <c r="AT58" s="57">
        <f>[16]January_2019!AD7</f>
        <v>0</v>
      </c>
      <c r="AU58" s="57">
        <f>[16]January_2019!AE7</f>
        <v>485.1</v>
      </c>
      <c r="AV58" s="57">
        <f>[16]January_2019!AF7</f>
        <v>171.55</v>
      </c>
      <c r="AW58" s="57">
        <f>[16]January_2019!AG7</f>
        <v>423.8</v>
      </c>
      <c r="AX58" s="277">
        <f>[16]January_2019!AH7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18.600000000000001" hidden="1" customHeight="1" thickBot="1">
      <c r="B59" s="478"/>
      <c r="C59" s="430"/>
      <c r="D59" s="431"/>
      <c r="E59" s="432"/>
      <c r="F59" s="433"/>
      <c r="G59" s="434"/>
      <c r="H59" s="458"/>
      <c r="I59" s="458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8.65" hidden="1" customHeight="1" thickBot="1">
      <c r="B60" s="498"/>
      <c r="C60" s="479"/>
      <c r="D60" s="442"/>
      <c r="E60" s="443"/>
      <c r="F60" s="444"/>
      <c r="G60" s="445"/>
      <c r="H60" s="458"/>
      <c r="I60" s="458"/>
      <c r="J60" s="448"/>
      <c r="K60" s="45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" hidden="1">
      <c r="B61" s="453"/>
      <c r="C61" s="430"/>
      <c r="D61" s="431"/>
      <c r="E61" s="432"/>
      <c r="F61" s="433"/>
      <c r="G61" s="434"/>
      <c r="H61" s="435"/>
      <c r="I61" s="450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hidden="1" customHeight="1" thickBot="1">
      <c r="B62" s="482"/>
      <c r="C62" s="479"/>
      <c r="D62" s="442"/>
      <c r="E62" s="443"/>
      <c r="F62" s="444"/>
      <c r="G62" s="445"/>
      <c r="H62" s="446"/>
      <c r="I62" s="447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hidden="1" customHeight="1" thickBot="1">
      <c r="B63" s="437"/>
      <c r="C63" s="423"/>
      <c r="D63" s="424"/>
      <c r="E63" s="425"/>
      <c r="F63" s="426"/>
      <c r="G63" s="427"/>
      <c r="H63" s="428"/>
      <c r="I63" s="438"/>
      <c r="J63" s="439"/>
      <c r="K63" s="429"/>
      <c r="L63" s="440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s="54" customFormat="1" ht="37.15" hidden="1" customHeight="1" thickBot="1">
      <c r="B64" s="456"/>
      <c r="C64" s="441"/>
      <c r="D64" s="442"/>
      <c r="E64" s="443"/>
      <c r="F64" s="444"/>
      <c r="G64" s="445"/>
      <c r="H64" s="446"/>
      <c r="I64" s="447"/>
      <c r="J64" s="448"/>
      <c r="K64" s="449"/>
      <c r="L64" s="457"/>
      <c r="M64" s="45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hidden="1" customHeight="1">
      <c r="B65" s="466"/>
      <c r="C65" s="430"/>
      <c r="D65" s="460"/>
      <c r="E65" s="461"/>
      <c r="F65" s="462"/>
      <c r="G65" s="460"/>
      <c r="H65" s="463"/>
      <c r="I65" s="463"/>
      <c r="J65" s="463"/>
      <c r="K65" s="464"/>
      <c r="L65" s="465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59" t="s">
        <v>55</v>
      </c>
      <c r="C67" s="560"/>
      <c r="D67" s="560"/>
      <c r="E67" s="560"/>
      <c r="F67" s="561"/>
      <c r="G67" s="559" t="s">
        <v>56</v>
      </c>
      <c r="H67" s="560"/>
      <c r="I67" s="560"/>
      <c r="J67" s="561"/>
      <c r="K67" s="559" t="s">
        <v>51</v>
      </c>
      <c r="L67" s="560"/>
      <c r="M67" s="560"/>
      <c r="N67" s="562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/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65">
        <f>L58</f>
        <v>4.4134461468099708</v>
      </c>
      <c r="D69" s="76">
        <v>4.3915389773603719</v>
      </c>
      <c r="E69" s="76">
        <v>6.3506078581162004</v>
      </c>
      <c r="F69" s="66">
        <v>4.8</v>
      </c>
      <c r="G69" s="65">
        <f>[35]August_2026!$O$11</f>
        <v>4.0273938291476492</v>
      </c>
      <c r="H69" s="477">
        <v>4.6175432482444858</v>
      </c>
      <c r="I69" s="477">
        <v>6.6408535188706264</v>
      </c>
      <c r="J69" s="66">
        <v>4.8</v>
      </c>
      <c r="K69" s="67">
        <f>K58</f>
        <v>0.43999999999999995</v>
      </c>
      <c r="L69" s="194">
        <v>0.44353717627401829</v>
      </c>
      <c r="M69" s="194">
        <v>0.53205059826487233</v>
      </c>
      <c r="N69" s="68">
        <v>1</v>
      </c>
      <c r="O69" s="56"/>
      <c r="P69" s="69"/>
    </row>
    <row r="70" spans="2:57" ht="15">
      <c r="B70" s="33" t="s">
        <v>9</v>
      </c>
      <c r="C70" s="65"/>
      <c r="D70" s="76">
        <v>13.806187974314071</v>
      </c>
      <c r="E70" s="76">
        <v>5.9909115522805205</v>
      </c>
      <c r="F70" s="66">
        <v>4.8</v>
      </c>
      <c r="G70" s="65"/>
      <c r="H70" s="76">
        <v>14.156284692533767</v>
      </c>
      <c r="I70" s="76">
        <v>6.0280449027682144</v>
      </c>
      <c r="J70" s="66">
        <v>4.8</v>
      </c>
      <c r="K70" s="67"/>
      <c r="L70" s="194">
        <v>1.0361403508771929</v>
      </c>
      <c r="M70" s="194">
        <v>0.71156427372551401</v>
      </c>
      <c r="N70" s="68">
        <v>1</v>
      </c>
      <c r="P70" s="69"/>
    </row>
    <row r="71" spans="2:57" ht="15">
      <c r="B71" s="34" t="s">
        <v>40</v>
      </c>
      <c r="C71" s="65"/>
      <c r="D71" s="76">
        <v>8.0132764343290681</v>
      </c>
      <c r="E71" s="76">
        <v>11.085360064780945</v>
      </c>
      <c r="F71" s="66">
        <v>5.5</v>
      </c>
      <c r="G71" s="65"/>
      <c r="H71" s="76">
        <v>7.261998133908862</v>
      </c>
      <c r="I71" s="76">
        <v>11.847386208595987</v>
      </c>
      <c r="J71" s="66">
        <v>5.5</v>
      </c>
      <c r="K71" s="67"/>
      <c r="L71" s="194">
        <v>0.68070175438596492</v>
      </c>
      <c r="M71" s="194">
        <v>0.37172629490392645</v>
      </c>
      <c r="N71" s="68">
        <v>1</v>
      </c>
      <c r="P71" s="69"/>
    </row>
    <row r="72" spans="2:57" ht="15">
      <c r="B72" s="22" t="s">
        <v>33</v>
      </c>
      <c r="C72" s="65"/>
      <c r="D72" s="76"/>
      <c r="E72" s="76">
        <v>4.8685538193023836</v>
      </c>
      <c r="F72" s="66">
        <v>3.3</v>
      </c>
      <c r="G72" s="65"/>
      <c r="H72" s="76"/>
      <c r="I72" s="76">
        <v>5.0921772905826597</v>
      </c>
      <c r="J72" s="66">
        <v>3.3</v>
      </c>
      <c r="K72" s="67"/>
      <c r="L72" s="194"/>
      <c r="M72" s="194">
        <v>0.79040935672514623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/>
      <c r="F73" s="66">
        <v>3.3</v>
      </c>
      <c r="G73" s="282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57" ht="15">
      <c r="B74" s="36" t="s">
        <v>15</v>
      </c>
      <c r="C74" s="65"/>
      <c r="D74" s="76"/>
      <c r="E74" s="76">
        <v>6.0400197628458603</v>
      </c>
      <c r="F74" s="70">
        <v>5.5</v>
      </c>
      <c r="G74" s="65"/>
      <c r="H74" s="76"/>
      <c r="I74" s="76">
        <v>8.2405787675951316</v>
      </c>
      <c r="J74" s="66">
        <v>5.5</v>
      </c>
      <c r="K74" s="67"/>
      <c r="L74" s="194"/>
      <c r="M74" s="194">
        <v>0.78491228070175445</v>
      </c>
      <c r="N74" s="68">
        <v>1</v>
      </c>
      <c r="P74" s="69"/>
    </row>
    <row r="75" spans="2:57" ht="15">
      <c r="B75" s="37" t="s">
        <v>16</v>
      </c>
      <c r="C75" s="483"/>
      <c r="D75" s="76">
        <v>2.3312883435582821</v>
      </c>
      <c r="E75" s="76">
        <v>3.4897129331795727</v>
      </c>
      <c r="F75" s="66">
        <v>3.3</v>
      </c>
      <c r="G75" s="282"/>
      <c r="H75" s="76">
        <v>2.9668764888279751</v>
      </c>
      <c r="I75" s="76">
        <v>4.7322074825777003</v>
      </c>
      <c r="J75" s="66">
        <v>3.3</v>
      </c>
      <c r="K75" s="67"/>
      <c r="L75" s="194">
        <v>1.3964912280701753</v>
      </c>
      <c r="M75" s="194">
        <v>0.9346464646464645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/>
      <c r="F76" s="66">
        <v>7.5</v>
      </c>
      <c r="G76" s="282"/>
      <c r="H76" s="76"/>
      <c r="I76" s="76"/>
      <c r="J76" s="66">
        <v>7.5</v>
      </c>
      <c r="K76" s="67"/>
      <c r="L76" s="194"/>
      <c r="M76" s="194"/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/>
      <c r="F77" s="66">
        <v>4.8</v>
      </c>
      <c r="G77" s="282"/>
      <c r="H77" s="76"/>
      <c r="I77" s="76"/>
      <c r="J77" s="66">
        <v>4.8</v>
      </c>
      <c r="K77" s="67"/>
      <c r="L77" s="194"/>
      <c r="M77" s="194"/>
      <c r="N77" s="71">
        <v>1</v>
      </c>
      <c r="O77" s="74"/>
      <c r="P77" s="75"/>
    </row>
    <row r="78" spans="2:57" ht="15">
      <c r="D78" s="76">
        <v>5.3904483424617347</v>
      </c>
      <c r="E78" s="76">
        <v>6.2684124169412616</v>
      </c>
      <c r="F78" s="341">
        <v>5.5</v>
      </c>
      <c r="H78" s="76">
        <v>5.513285111224036</v>
      </c>
      <c r="I78" s="76">
        <v>6.69855344722796</v>
      </c>
      <c r="J78" s="341">
        <v>5.5</v>
      </c>
      <c r="L78" s="194">
        <v>0.66637740183792804</v>
      </c>
      <c r="M78" s="194">
        <v>0.60950177935406391</v>
      </c>
      <c r="N78" s="386">
        <v>1</v>
      </c>
    </row>
  </sheetData>
  <mergeCells count="51">
    <mergeCell ref="L54:L55"/>
    <mergeCell ref="M54:M55"/>
    <mergeCell ref="B67:F67"/>
    <mergeCell ref="G67:J67"/>
    <mergeCell ref="K67:N67"/>
    <mergeCell ref="F54:F55"/>
    <mergeCell ref="G54:G55"/>
    <mergeCell ref="H54:H55"/>
    <mergeCell ref="I54:I55"/>
    <mergeCell ref="J54:J55"/>
    <mergeCell ref="K54:K55"/>
    <mergeCell ref="D47:E48"/>
    <mergeCell ref="D49:E49"/>
    <mergeCell ref="B54:B55"/>
    <mergeCell ref="C54:C55"/>
    <mergeCell ref="D54:D55"/>
    <mergeCell ref="E54:E55"/>
    <mergeCell ref="B39:B46"/>
    <mergeCell ref="D39:E40"/>
    <mergeCell ref="J39:K39"/>
    <mergeCell ref="L40:N40"/>
    <mergeCell ref="D41:E42"/>
    <mergeCell ref="D43:E44"/>
    <mergeCell ref="D45:E46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9:B50">
    <cfRule type="cellIs" dxfId="2695" priority="102" operator="notBetween">
      <formula>#REF!</formula>
      <formula>#REF!</formula>
    </cfRule>
  </conditionalFormatting>
  <conditionalFormatting sqref="C53">
    <cfRule type="cellIs" dxfId="2694" priority="184" stopIfTrue="1" operator="lessThan">
      <formula>96</formula>
    </cfRule>
    <cfRule type="cellIs" dxfId="2693" priority="185" stopIfTrue="1" operator="greaterThan">
      <formula>100</formula>
    </cfRule>
  </conditionalFormatting>
  <conditionalFormatting sqref="C69:C70">
    <cfRule type="cellIs" dxfId="2692" priority="64" stopIfTrue="1" operator="greaterThan">
      <formula>$F69</formula>
    </cfRule>
    <cfRule type="cellIs" dxfId="2691" priority="65" stopIfTrue="1" operator="lessThanOrEqual">
      <formula>0</formula>
    </cfRule>
    <cfRule type="cellIs" dxfId="2690" priority="66" stopIfTrue="1" operator="greaterThan">
      <formula>$F69</formula>
    </cfRule>
    <cfRule type="cellIs" dxfId="2689" priority="67" stopIfTrue="1" operator="lessThanOrEqual">
      <formula>0</formula>
    </cfRule>
  </conditionalFormatting>
  <conditionalFormatting sqref="C71:C73 C75:C77">
    <cfRule type="cellIs" dxfId="2688" priority="74" stopIfTrue="1" operator="greaterThan">
      <formula>$F74</formula>
    </cfRule>
  </conditionalFormatting>
  <conditionalFormatting sqref="C71:C73">
    <cfRule type="cellIs" dxfId="2687" priority="75" stopIfTrue="1" operator="lessThanOrEqual">
      <formula>0</formula>
    </cfRule>
  </conditionalFormatting>
  <conditionalFormatting sqref="C74">
    <cfRule type="cellIs" dxfId="2686" priority="186" stopIfTrue="1" operator="greaterThan">
      <formula>$F69</formula>
    </cfRule>
    <cfRule type="cellIs" dxfId="2685" priority="189" stopIfTrue="1" operator="lessThanOrEqual">
      <formula>0</formula>
    </cfRule>
    <cfRule type="cellIs" dxfId="2684" priority="188" stopIfTrue="1" operator="greaterThan">
      <formula>$F69</formula>
    </cfRule>
    <cfRule type="cellIs" dxfId="2683" priority="187" stopIfTrue="1" operator="lessThanOrEqual">
      <formula>0</formula>
    </cfRule>
  </conditionalFormatting>
  <conditionalFormatting sqref="C75:C77">
    <cfRule type="cellIs" dxfId="2682" priority="76" stopIfTrue="1" operator="lessThanOrEqual">
      <formula>0</formula>
    </cfRule>
  </conditionalFormatting>
  <conditionalFormatting sqref="C80:C84">
    <cfRule type="cellIs" dxfId="2681" priority="176" stopIfTrue="1" operator="lessThanOrEqual">
      <formula>0</formula>
    </cfRule>
  </conditionalFormatting>
  <conditionalFormatting sqref="C81:C84">
    <cfRule type="cellIs" dxfId="2680" priority="175" stopIfTrue="1" operator="greaterThan">
      <formula>$F$80</formula>
    </cfRule>
  </conditionalFormatting>
  <conditionalFormatting sqref="C86">
    <cfRule type="cellIs" dxfId="2679" priority="177" stopIfTrue="1" operator="greaterThan">
      <formula>$F$80</formula>
    </cfRule>
    <cfRule type="cellIs" dxfId="2678" priority="178" stopIfTrue="1" operator="lessThanOrEqual">
      <formula>0</formula>
    </cfRule>
  </conditionalFormatting>
  <conditionalFormatting sqref="C74:D74">
    <cfRule type="cellIs" dxfId="2677" priority="62" stopIfTrue="1" operator="greaterThan">
      <formula>$J74</formula>
    </cfRule>
    <cfRule type="cellIs" dxfId="2676" priority="63" stopIfTrue="1" operator="lessThanOrEqual">
      <formula>0</formula>
    </cfRule>
  </conditionalFormatting>
  <conditionalFormatting sqref="C80:D80 D82:D88">
    <cfRule type="cellIs" dxfId="2675" priority="170" stopIfTrue="1" operator="greaterThan">
      <formula>4.5</formula>
    </cfRule>
  </conditionalFormatting>
  <conditionalFormatting sqref="D49:D50">
    <cfRule type="cellIs" dxfId="2674" priority="103" operator="notBetween">
      <formula>#REF!</formula>
      <formula>#REF!</formula>
    </cfRule>
  </conditionalFormatting>
  <conditionalFormatting sqref="D69:D73 D75:D76">
    <cfRule type="cellIs" dxfId="2673" priority="73" stopIfTrue="1" operator="lessThanOrEqual">
      <formula>0</formula>
    </cfRule>
  </conditionalFormatting>
  <conditionalFormatting sqref="D69:D73 D75:D78">
    <cfRule type="cellIs" dxfId="2672" priority="69" stopIfTrue="1" operator="lessThanOrEqual">
      <formula>0</formula>
    </cfRule>
    <cfRule type="cellIs" dxfId="2671" priority="70" stopIfTrue="1" operator="greaterThan">
      <formula>$F69</formula>
    </cfRule>
  </conditionalFormatting>
  <conditionalFormatting sqref="D77:D78">
    <cfRule type="cellIs" dxfId="2670" priority="71" stopIfTrue="1" operator="lessThanOrEqual">
      <formula>0</formula>
    </cfRule>
  </conditionalFormatting>
  <conditionalFormatting sqref="D78">
    <cfRule type="cellIs" dxfId="2669" priority="72" stopIfTrue="1" operator="lessThanOrEqual">
      <formula>0</formula>
    </cfRule>
  </conditionalFormatting>
  <conditionalFormatting sqref="D80 D82:D88">
    <cfRule type="cellIs" dxfId="2668" priority="171" stopIfTrue="1" operator="lessThanOrEqual">
      <formula>0</formula>
    </cfRule>
  </conditionalFormatting>
  <conditionalFormatting sqref="D81">
    <cfRule type="cellIs" dxfId="2667" priority="162" stopIfTrue="1" operator="greaterThan">
      <formula>$F$80</formula>
    </cfRule>
    <cfRule type="cellIs" dxfId="2666" priority="163" stopIfTrue="1" operator="lessThanOrEqual">
      <formula>0</formula>
    </cfRule>
  </conditionalFormatting>
  <conditionalFormatting sqref="E10:E24">
    <cfRule type="cellIs" dxfId="2665" priority="7" operator="lessThan">
      <formula>48</formula>
    </cfRule>
  </conditionalFormatting>
  <conditionalFormatting sqref="E52 E53:F53">
    <cfRule type="cellIs" dxfId="2664" priority="167" stopIfTrue="1" operator="greaterThan">
      <formula>100</formula>
    </cfRule>
  </conditionalFormatting>
  <conditionalFormatting sqref="E53">
    <cfRule type="cellIs" dxfId="2663" priority="165" stopIfTrue="1" operator="greaterThan">
      <formula>100</formula>
    </cfRule>
    <cfRule type="cellIs" dxfId="2662" priority="164" stopIfTrue="1" operator="lessThan">
      <formula>96.8</formula>
    </cfRule>
  </conditionalFormatting>
  <conditionalFormatting sqref="E69:E77">
    <cfRule type="cellIs" dxfId="2661" priority="35" stopIfTrue="1" operator="lessThanOrEqual">
      <formula>0</formula>
    </cfRule>
  </conditionalFormatting>
  <conditionalFormatting sqref="E69:E78">
    <cfRule type="cellIs" dxfId="2660" priority="36" stopIfTrue="1" operator="greaterThan">
      <formula>$F69</formula>
    </cfRule>
    <cfRule type="cellIs" dxfId="2659" priority="37" stopIfTrue="1" operator="lessThanOrEqual">
      <formula>0</formula>
    </cfRule>
  </conditionalFormatting>
  <conditionalFormatting sqref="E78">
    <cfRule type="cellIs" dxfId="2658" priority="38" stopIfTrue="1" operator="lessThanOrEqual">
      <formula>0</formula>
    </cfRule>
  </conditionalFormatting>
  <conditionalFormatting sqref="E80:E88">
    <cfRule type="cellIs" dxfId="2657" priority="156" stopIfTrue="1" operator="greaterThan">
      <formula>4.5</formula>
    </cfRule>
    <cfRule type="cellIs" dxfId="2656" priority="157" stopIfTrue="1" operator="lessThanOrEqual">
      <formula>0</formula>
    </cfRule>
  </conditionalFormatting>
  <conditionalFormatting sqref="E53:F53 E52">
    <cfRule type="cellIs" dxfId="2655" priority="166" stopIfTrue="1" operator="lessThan">
      <formula>96.5</formula>
    </cfRule>
  </conditionalFormatting>
  <conditionalFormatting sqref="F22:F24">
    <cfRule type="cellIs" dxfId="2654" priority="12" operator="greaterThan">
      <formula>60</formula>
    </cfRule>
  </conditionalFormatting>
  <conditionalFormatting sqref="F53">
    <cfRule type="cellIs" dxfId="2653" priority="182" stopIfTrue="1" operator="lessThan">
      <formula>96.8</formula>
    </cfRule>
    <cfRule type="cellIs" dxfId="2652" priority="183" stopIfTrue="1" operator="greaterThan">
      <formula>100</formula>
    </cfRule>
  </conditionalFormatting>
  <conditionalFormatting sqref="G10:G21">
    <cfRule type="expression" dxfId="2651" priority="9">
      <formula>IF(+(IF(G10&lt;S10,0,IF(G10&gt;T10,0,1)))=0,1)</formula>
    </cfRule>
  </conditionalFormatting>
  <conditionalFormatting sqref="G69:G72 F78">
    <cfRule type="cellIs" dxfId="2650" priority="44" stopIfTrue="1" operator="greaterThan">
      <formula>$F69</formula>
    </cfRule>
    <cfRule type="cellIs" dxfId="2649" priority="45" stopIfTrue="1" operator="lessThanOrEqual">
      <formula>0</formula>
    </cfRule>
  </conditionalFormatting>
  <conditionalFormatting sqref="G71:G72">
    <cfRule type="cellIs" dxfId="2648" priority="31" stopIfTrue="1" operator="lessThanOrEqual">
      <formula>0</formula>
    </cfRule>
    <cfRule type="cellIs" dxfId="2647" priority="30" stopIfTrue="1" operator="greaterThan">
      <formula>$F71</formula>
    </cfRule>
  </conditionalFormatting>
  <conditionalFormatting sqref="G73:G77">
    <cfRule type="cellIs" dxfId="2646" priority="47" stopIfTrue="1" operator="lessThanOrEqual">
      <formula>0</formula>
    </cfRule>
    <cfRule type="cellIs" dxfId="2645" priority="46" stopIfTrue="1" operator="greaterThan">
      <formula>$J73</formula>
    </cfRule>
  </conditionalFormatting>
  <conditionalFormatting sqref="G74">
    <cfRule type="cellIs" dxfId="2644" priority="190" stopIfTrue="1" operator="greaterThan">
      <formula>$F69</formula>
    </cfRule>
    <cfRule type="cellIs" dxfId="2643" priority="191" stopIfTrue="1" operator="lessThanOrEqual">
      <formula>0</formula>
    </cfRule>
  </conditionalFormatting>
  <conditionalFormatting sqref="G82:G87 C85 C87">
    <cfRule type="cellIs" dxfId="2642" priority="180" stopIfTrue="1" operator="lessThanOrEqual">
      <formula>0</formula>
    </cfRule>
    <cfRule type="cellIs" dxfId="2641" priority="179" stopIfTrue="1" operator="greaterThan">
      <formula>4.5</formula>
    </cfRule>
  </conditionalFormatting>
  <conditionalFormatting sqref="G22:H24">
    <cfRule type="expression" dxfId="2640" priority="11">
      <formula>IF(+(IF(G22&lt;#REF!,0,IF(G22&gt;#REF!,0,1)))=0,1)</formula>
    </cfRule>
  </conditionalFormatting>
  <conditionalFormatting sqref="G81:H81">
    <cfRule type="cellIs" dxfId="2639" priority="161" stopIfTrue="1" operator="lessThanOrEqual">
      <formula>0</formula>
    </cfRule>
    <cfRule type="cellIs" dxfId="2638" priority="160" stopIfTrue="1" operator="greaterThan">
      <formula>$F$80</formula>
    </cfRule>
  </conditionalFormatting>
  <conditionalFormatting sqref="H10:H21 M10:N24">
    <cfRule type="expression" dxfId="2637" priority="8">
      <formula>IF(+(IF(H10&lt;#REF!,0,IF(H10&gt;#REF!,0,1)))=0,1)</formula>
    </cfRule>
  </conditionalFormatting>
  <conditionalFormatting sqref="H38:H39 H52">
    <cfRule type="cellIs" dxfId="2636" priority="158" stopIfTrue="1" operator="greaterThan">
      <formula>0</formula>
    </cfRule>
  </conditionalFormatting>
  <conditionalFormatting sqref="H56">
    <cfRule type="cellIs" dxfId="2635" priority="58" stopIfTrue="1" operator="greaterThan">
      <formula>$F$72</formula>
    </cfRule>
    <cfRule type="cellIs" dxfId="2634" priority="49" stopIfTrue="1" operator="lessThanOrEqual">
      <formula>0</formula>
    </cfRule>
    <cfRule type="cellIs" dxfId="2633" priority="60" stopIfTrue="1" operator="greaterThan">
      <formula>$F$70</formula>
    </cfRule>
    <cfRule type="cellIs" dxfId="2632" priority="59" stopIfTrue="1" operator="lessThanOrEqual">
      <formula>0</formula>
    </cfRule>
    <cfRule type="cellIs" dxfId="2631" priority="50" stopIfTrue="1" operator="greaterThan">
      <formula>$F$69</formula>
    </cfRule>
  </conditionalFormatting>
  <conditionalFormatting sqref="H56:H57">
    <cfRule type="cellIs" dxfId="2630" priority="61" stopIfTrue="1" operator="lessThanOrEqual">
      <formula>0</formula>
    </cfRule>
  </conditionalFormatting>
  <conditionalFormatting sqref="H57 H59:H60">
    <cfRule type="cellIs" dxfId="2629" priority="88" stopIfTrue="1" operator="lessThanOrEqual">
      <formula>0</formula>
    </cfRule>
  </conditionalFormatting>
  <conditionalFormatting sqref="H57">
    <cfRule type="cellIs" dxfId="2628" priority="86" stopIfTrue="1" operator="lessThanOrEqual">
      <formula>0</formula>
    </cfRule>
    <cfRule type="cellIs" dxfId="2627" priority="87" stopIfTrue="1" operator="greaterThan">
      <formula>$F$70</formula>
    </cfRule>
    <cfRule type="cellIs" dxfId="2626" priority="85" stopIfTrue="1" operator="greaterThan">
      <formula>$F$72</formula>
    </cfRule>
    <cfRule type="cellIs" dxfId="2625" priority="77" stopIfTrue="1" operator="greaterThan">
      <formula>$F$69</formula>
    </cfRule>
  </conditionalFormatting>
  <conditionalFormatting sqref="H58">
    <cfRule type="cellIs" dxfId="2624" priority="27" stopIfTrue="1" operator="greaterThan">
      <formula>$F$72</formula>
    </cfRule>
    <cfRule type="cellIs" dxfId="2623" priority="28" stopIfTrue="1" operator="lessThanOrEqual">
      <formula>0</formula>
    </cfRule>
    <cfRule type="cellIs" dxfId="2622" priority="16" stopIfTrue="1" operator="lessThanOrEqual">
      <formula>0</formula>
    </cfRule>
    <cfRule type="cellIs" dxfId="2621" priority="17" stopIfTrue="1" operator="greaterThan">
      <formula>$F$71</formula>
    </cfRule>
    <cfRule type="cellIs" dxfId="2620" priority="26" stopIfTrue="1" operator="lessThanOrEqual">
      <formula>0</formula>
    </cfRule>
    <cfRule type="cellIs" dxfId="2619" priority="25" stopIfTrue="1" operator="greaterThan">
      <formula>$F$74</formula>
    </cfRule>
  </conditionalFormatting>
  <conditionalFormatting sqref="H59:H60">
    <cfRule type="cellIs" dxfId="2618" priority="99" stopIfTrue="1" operator="lessThanOrEqual">
      <formula>0</formula>
    </cfRule>
    <cfRule type="cellIs" dxfId="2617" priority="98" stopIfTrue="1" operator="greaterThan">
      <formula>$F$72</formula>
    </cfRule>
    <cfRule type="cellIs" dxfId="2616" priority="90" stopIfTrue="1" operator="greaterThan">
      <formula>$F$69</formula>
    </cfRule>
    <cfRule type="cellIs" dxfId="2615" priority="100" stopIfTrue="1" operator="greaterThan">
      <formula>$F$70</formula>
    </cfRule>
    <cfRule type="cellIs" dxfId="2614" priority="101" stopIfTrue="1" operator="lessThanOrEqual">
      <formula>0</formula>
    </cfRule>
  </conditionalFormatting>
  <conditionalFormatting sqref="H61:H62">
    <cfRule type="cellIs" dxfId="2613" priority="125" stopIfTrue="1" operator="lessThanOrEqual">
      <formula>0</formula>
    </cfRule>
    <cfRule type="cellIs" dxfId="2612" priority="126" stopIfTrue="1" operator="greaterThan">
      <formula>#REF!</formula>
    </cfRule>
    <cfRule type="cellIs" dxfId="2611" priority="135" stopIfTrue="1" operator="lessThanOrEqual">
      <formula>0</formula>
    </cfRule>
    <cfRule type="cellIs" dxfId="2610" priority="134" stopIfTrue="1" operator="greaterThan">
      <formula>#REF!</formula>
    </cfRule>
  </conditionalFormatting>
  <conditionalFormatting sqref="H63">
    <cfRule type="cellIs" dxfId="2609" priority="146" stopIfTrue="1" operator="greaterThan">
      <formula>$F$40</formula>
    </cfRule>
    <cfRule type="cellIs" dxfId="2608" priority="148" stopIfTrue="1" operator="greaterThan">
      <formula>$F$38</formula>
    </cfRule>
    <cfRule type="cellIs" dxfId="2607" priority="137" stopIfTrue="1" operator="lessThanOrEqual">
      <formula>0</formula>
    </cfRule>
    <cfRule type="cellIs" dxfId="2606" priority="138" stopIfTrue="1" operator="greaterThan">
      <formula>$F$37</formula>
    </cfRule>
    <cfRule type="cellIs" dxfId="2605" priority="149" stopIfTrue="1" operator="lessThanOrEqual">
      <formula>0</formula>
    </cfRule>
    <cfRule type="cellIs" dxfId="2604" priority="147" stopIfTrue="1" operator="lessThanOrEqual">
      <formula>0</formula>
    </cfRule>
  </conditionalFormatting>
  <conditionalFormatting sqref="H64:H65">
    <cfRule type="cellIs" dxfId="2603" priority="113" stopIfTrue="1" operator="lessThanOrEqual">
      <formula>0</formula>
    </cfRule>
    <cfRule type="cellIs" dxfId="2602" priority="114" stopIfTrue="1" operator="greaterThan">
      <formula>#REF!</formula>
    </cfRule>
    <cfRule type="cellIs" dxfId="2601" priority="122" stopIfTrue="1" operator="greaterThan">
      <formula>#REF!</formula>
    </cfRule>
    <cfRule type="cellIs" dxfId="2600" priority="123" stopIfTrue="1" operator="lessThanOrEqual">
      <formula>0</formula>
    </cfRule>
  </conditionalFormatting>
  <conditionalFormatting sqref="H80 H82:H88">
    <cfRule type="cellIs" dxfId="2599" priority="172" stopIfTrue="1" operator="greaterThan">
      <formula>4.5</formula>
    </cfRule>
    <cfRule type="cellIs" dxfId="2598" priority="173" stopIfTrue="1" operator="lessThanOrEqual">
      <formula>0</formula>
    </cfRule>
  </conditionalFormatting>
  <conditionalFormatting sqref="H56:I56">
    <cfRule type="cellIs" dxfId="2597" priority="51" stopIfTrue="1" operator="lessThanOrEqual">
      <formula>0</formula>
    </cfRule>
  </conditionalFormatting>
  <conditionalFormatting sqref="H56:I57 H59:I60">
    <cfRule type="cellIs" dxfId="2596" priority="48" stopIfTrue="1" operator="greaterThan">
      <formula>$F$71</formula>
    </cfRule>
  </conditionalFormatting>
  <conditionalFormatting sqref="H57:I57">
    <cfRule type="cellIs" dxfId="2595" priority="78" stopIfTrue="1" operator="lessThanOrEqual">
      <formula>0</formula>
    </cfRule>
  </conditionalFormatting>
  <conditionalFormatting sqref="H58:I58">
    <cfRule type="cellIs" dxfId="2594" priority="15" stopIfTrue="1" operator="greaterThan">
      <formula>$F$73</formula>
    </cfRule>
    <cfRule type="cellIs" dxfId="2593" priority="18" stopIfTrue="1" operator="lessThanOrEqual">
      <formula>0</formula>
    </cfRule>
  </conditionalFormatting>
  <conditionalFormatting sqref="H59:I60">
    <cfRule type="cellIs" dxfId="2592" priority="91" stopIfTrue="1" operator="lessThanOrEqual">
      <formula>0</formula>
    </cfRule>
  </conditionalFormatting>
  <conditionalFormatting sqref="H61:I62">
    <cfRule type="cellIs" dxfId="2591" priority="127" stopIfTrue="1" operator="lessThanOrEqual">
      <formula>0</formula>
    </cfRule>
    <cfRule type="cellIs" dxfId="2590" priority="133" stopIfTrue="1" operator="lessThanOrEqual">
      <formula>0</formula>
    </cfRule>
    <cfRule type="cellIs" dxfId="2589" priority="124" stopIfTrue="1" operator="greaterThan">
      <formula>#REF!</formula>
    </cfRule>
    <cfRule type="cellIs" dxfId="2588" priority="132" stopIfTrue="1" operator="greaterThan">
      <formula>#REF!</formula>
    </cfRule>
  </conditionalFormatting>
  <conditionalFormatting sqref="H63:I63">
    <cfRule type="cellIs" dxfId="2587" priority="136" stopIfTrue="1" operator="greaterThan">
      <formula>$F$39</formula>
    </cfRule>
    <cfRule type="cellIs" dxfId="2586" priority="139" stopIfTrue="1" operator="lessThanOrEqual">
      <formula>0</formula>
    </cfRule>
  </conditionalFormatting>
  <conditionalFormatting sqref="H64:I65">
    <cfRule type="cellIs" dxfId="2585" priority="120" stopIfTrue="1" operator="greaterThan">
      <formula>#REF!</formula>
    </cfRule>
    <cfRule type="cellIs" dxfId="2584" priority="121" stopIfTrue="1" operator="lessThanOrEqual">
      <formula>0</formula>
    </cfRule>
    <cfRule type="cellIs" dxfId="2583" priority="115" stopIfTrue="1" operator="lessThanOrEqual">
      <formula>0</formula>
    </cfRule>
    <cfRule type="cellIs" dxfId="2582" priority="112" stopIfTrue="1" operator="greaterThan">
      <formula>#REF!</formula>
    </cfRule>
  </conditionalFormatting>
  <conditionalFormatting sqref="H69:I76">
    <cfRule type="cellIs" dxfId="2581" priority="33" stopIfTrue="1" operator="greaterThan">
      <formula>$J69</formula>
    </cfRule>
    <cfRule type="cellIs" dxfId="2580" priority="34" stopIfTrue="1" operator="lessThanOrEqual">
      <formula>0</formula>
    </cfRule>
  </conditionalFormatting>
  <conditionalFormatting sqref="H77:I77">
    <cfRule type="cellIs" dxfId="2579" priority="41" operator="greaterThan">
      <formula>5.3</formula>
    </cfRule>
  </conditionalFormatting>
  <conditionalFormatting sqref="H78:I78">
    <cfRule type="cellIs" dxfId="2578" priority="39" stopIfTrue="1" operator="greaterThan">
      <formula>$J78</formula>
    </cfRule>
    <cfRule type="cellIs" dxfId="2577" priority="40" stopIfTrue="1" operator="lessThanOrEqual">
      <formula>0</formula>
    </cfRule>
  </conditionalFormatting>
  <conditionalFormatting sqref="I56">
    <cfRule type="cellIs" dxfId="2576" priority="57" stopIfTrue="1" operator="lessThanOrEqual">
      <formula>0</formula>
    </cfRule>
    <cfRule type="cellIs" dxfId="2575" priority="55" stopIfTrue="1" operator="lessThanOrEqual">
      <formula>0</formula>
    </cfRule>
    <cfRule type="cellIs" dxfId="2574" priority="52" stopIfTrue="1" operator="greaterThan">
      <formula>$F$69</formula>
    </cfRule>
    <cfRule type="cellIs" dxfId="2573" priority="54" stopIfTrue="1" operator="greaterThan">
      <formula>$F$71</formula>
    </cfRule>
    <cfRule type="cellIs" dxfId="2572" priority="53" stopIfTrue="1" operator="lessThanOrEqual">
      <formula>0</formula>
    </cfRule>
    <cfRule type="cellIs" dxfId="2571" priority="56" stopIfTrue="1" operator="greaterThan">
      <formula>$F$69</formula>
    </cfRule>
  </conditionalFormatting>
  <conditionalFormatting sqref="I57">
    <cfRule type="cellIs" dxfId="2570" priority="79" stopIfTrue="1" operator="greaterThan">
      <formula>$F$69</formula>
    </cfRule>
    <cfRule type="cellIs" dxfId="2569" priority="80" stopIfTrue="1" operator="lessThanOrEqual">
      <formula>0</formula>
    </cfRule>
    <cfRule type="cellIs" dxfId="2568" priority="81" stopIfTrue="1" operator="greaterThan">
      <formula>$F$71</formula>
    </cfRule>
    <cfRule type="cellIs" dxfId="2567" priority="82" stopIfTrue="1" operator="lessThanOrEqual">
      <formula>0</formula>
    </cfRule>
    <cfRule type="cellIs" dxfId="2566" priority="84" stopIfTrue="1" operator="lessThanOrEqual">
      <formula>0</formula>
    </cfRule>
    <cfRule type="cellIs" dxfId="2565" priority="83" stopIfTrue="1" operator="greaterThan">
      <formula>$F$69</formula>
    </cfRule>
  </conditionalFormatting>
  <conditionalFormatting sqref="I58">
    <cfRule type="cellIs" dxfId="2564" priority="19" stopIfTrue="1" operator="greaterThan">
      <formula>$F$71</formula>
    </cfRule>
    <cfRule type="cellIs" dxfId="2563" priority="20" stopIfTrue="1" operator="lessThanOrEqual">
      <formula>0</formula>
    </cfRule>
    <cfRule type="cellIs" dxfId="2562" priority="21" stopIfTrue="1" operator="greaterThan">
      <formula>$F$73</formula>
    </cfRule>
    <cfRule type="cellIs" dxfId="2561" priority="22" stopIfTrue="1" operator="lessThanOrEqual">
      <formula>0</formula>
    </cfRule>
    <cfRule type="cellIs" dxfId="2560" priority="24" stopIfTrue="1" operator="lessThanOrEqual">
      <formula>0</formula>
    </cfRule>
    <cfRule type="cellIs" dxfId="2559" priority="23" stopIfTrue="1" operator="greaterThan">
      <formula>$F$71</formula>
    </cfRule>
  </conditionalFormatting>
  <conditionalFormatting sqref="I59:I60">
    <cfRule type="cellIs" dxfId="2558" priority="96" stopIfTrue="1" operator="greaterThan">
      <formula>$F$69</formula>
    </cfRule>
    <cfRule type="cellIs" dxfId="2557" priority="97" stopIfTrue="1" operator="lessThanOrEqual">
      <formula>0</formula>
    </cfRule>
    <cfRule type="cellIs" dxfId="2556" priority="92" stopIfTrue="1" operator="greaterThan">
      <formula>$F$69</formula>
    </cfRule>
    <cfRule type="cellIs" dxfId="2555" priority="93" stopIfTrue="1" operator="lessThanOrEqual">
      <formula>0</formula>
    </cfRule>
    <cfRule type="cellIs" dxfId="2554" priority="94" stopIfTrue="1" operator="greaterThan">
      <formula>$F$71</formula>
    </cfRule>
    <cfRule type="cellIs" dxfId="2553" priority="95" stopIfTrue="1" operator="lessThanOrEqual">
      <formula>0</formula>
    </cfRule>
  </conditionalFormatting>
  <conditionalFormatting sqref="I61:I62">
    <cfRule type="cellIs" dxfId="2552" priority="130" stopIfTrue="1" operator="greaterThan">
      <formula>#REF!</formula>
    </cfRule>
    <cfRule type="cellIs" dxfId="2551" priority="129" stopIfTrue="1" operator="lessThanOrEqual">
      <formula>0</formula>
    </cfRule>
    <cfRule type="cellIs" dxfId="2550" priority="128" stopIfTrue="1" operator="greaterThan">
      <formula>#REF!</formula>
    </cfRule>
    <cfRule type="cellIs" dxfId="2549" priority="131" stopIfTrue="1" operator="lessThanOrEqual">
      <formula>0</formula>
    </cfRule>
  </conditionalFormatting>
  <conditionalFormatting sqref="I63">
    <cfRule type="cellIs" dxfId="2548" priority="144" stopIfTrue="1" operator="greaterThan">
      <formula>$F$37</formula>
    </cfRule>
    <cfRule type="cellIs" dxfId="2547" priority="145" stopIfTrue="1" operator="lessThanOrEqual">
      <formula>0</formula>
    </cfRule>
    <cfRule type="cellIs" dxfId="2546" priority="143" stopIfTrue="1" operator="lessThanOrEqual">
      <formula>0</formula>
    </cfRule>
    <cfRule type="cellIs" dxfId="2545" priority="142" stopIfTrue="1" operator="greaterThan">
      <formula>$F$39</formula>
    </cfRule>
    <cfRule type="cellIs" dxfId="2544" priority="141" stopIfTrue="1" operator="lessThanOrEqual">
      <formula>0</formula>
    </cfRule>
    <cfRule type="cellIs" dxfId="2543" priority="140" stopIfTrue="1" operator="greaterThan">
      <formula>$F$37</formula>
    </cfRule>
  </conditionalFormatting>
  <conditionalFormatting sqref="I64:I65">
    <cfRule type="cellIs" dxfId="2542" priority="119" stopIfTrue="1" operator="lessThanOrEqual">
      <formula>0</formula>
    </cfRule>
    <cfRule type="cellIs" dxfId="2541" priority="116" stopIfTrue="1" operator="greaterThan">
      <formula>#REF!</formula>
    </cfRule>
    <cfRule type="cellIs" dxfId="2540" priority="117" stopIfTrue="1" operator="lessThanOrEqual">
      <formula>0</formula>
    </cfRule>
    <cfRule type="cellIs" dxfId="2539" priority="118" stopIfTrue="1" operator="greaterThan">
      <formula>#REF!</formula>
    </cfRule>
  </conditionalFormatting>
  <conditionalFormatting sqref="I80:I88">
    <cfRule type="cellIs" dxfId="2538" priority="169" stopIfTrue="1" operator="lessThanOrEqual">
      <formula>0</formula>
    </cfRule>
    <cfRule type="cellIs" dxfId="2537" priority="168" stopIfTrue="1" operator="greaterThan">
      <formula>4.5</formula>
    </cfRule>
  </conditionalFormatting>
  <conditionalFormatting sqref="I10:J24">
    <cfRule type="cellIs" dxfId="2536" priority="1" operator="lessThan">
      <formula>97.9</formula>
    </cfRule>
  </conditionalFormatting>
  <conditionalFormatting sqref="J27:J29">
    <cfRule type="cellIs" dxfId="2535" priority="14" operator="lessThan">
      <formula>97.95</formula>
    </cfRule>
  </conditionalFormatting>
  <conditionalFormatting sqref="J29:J31">
    <cfRule type="cellIs" dxfId="2534" priority="150" operator="lessThan">
      <formula>97.4</formula>
    </cfRule>
  </conditionalFormatting>
  <conditionalFormatting sqref="J32:J33">
    <cfRule type="cellIs" dxfId="2533" priority="151" operator="lessThan">
      <formula>98</formula>
    </cfRule>
  </conditionalFormatting>
  <conditionalFormatting sqref="J34:J35">
    <cfRule type="cellIs" dxfId="2532" priority="152" stopIfTrue="1" operator="lessThan">
      <formula>96.8</formula>
    </cfRule>
    <cfRule type="cellIs" dxfId="2531" priority="153" stopIfTrue="1" operator="greaterThan">
      <formula>100</formula>
    </cfRule>
  </conditionalFormatting>
  <conditionalFormatting sqref="J34:J36">
    <cfRule type="cellIs" dxfId="2530" priority="154" operator="lessThan">
      <formula>98</formula>
    </cfRule>
  </conditionalFormatting>
  <conditionalFormatting sqref="J65">
    <cfRule type="cellIs" dxfId="2529" priority="109" stopIfTrue="1" operator="lessThanOrEqual">
      <formula>0</formula>
    </cfRule>
    <cfRule type="cellIs" dxfId="2528" priority="110" stopIfTrue="1" operator="greaterThan">
      <formula>#REF!</formula>
    </cfRule>
    <cfRule type="cellIs" dxfId="2527" priority="111" stopIfTrue="1" operator="lessThanOrEqual">
      <formula>0</formula>
    </cfRule>
    <cfRule type="cellIs" dxfId="2526" priority="104" stopIfTrue="1" operator="greaterThan">
      <formula>#REF!</formula>
    </cfRule>
    <cfRule type="cellIs" dxfId="2525" priority="105" stopIfTrue="1" operator="lessThanOrEqual">
      <formula>0</formula>
    </cfRule>
    <cfRule type="cellIs" dxfId="2524" priority="106" stopIfTrue="1" operator="greaterThan">
      <formula>#REF!</formula>
    </cfRule>
    <cfRule type="cellIs" dxfId="2523" priority="107" stopIfTrue="1" operator="lessThanOrEqual">
      <formula>0</formula>
    </cfRule>
    <cfRule type="cellIs" dxfId="2522" priority="108" stopIfTrue="1" operator="greaterThan">
      <formula>#REF!</formula>
    </cfRule>
  </conditionalFormatting>
  <conditionalFormatting sqref="J78">
    <cfRule type="cellIs" dxfId="2521" priority="43" stopIfTrue="1" operator="lessThanOrEqual">
      <formula>0</formula>
    </cfRule>
    <cfRule type="cellIs" dxfId="2520" priority="42" stopIfTrue="1" operator="greaterThan">
      <formula>$F78</formula>
    </cfRule>
  </conditionalFormatting>
  <conditionalFormatting sqref="K10:K24">
    <cfRule type="cellIs" dxfId="2519" priority="2" operator="greaterThan">
      <formula>6</formula>
    </cfRule>
    <cfRule type="cellIs" dxfId="2518" priority="3" operator="lessThan">
      <formula>4</formula>
    </cfRule>
    <cfRule type="cellIs" dxfId="2517" priority="4" operator="greaterThan">
      <formula>6.4</formula>
    </cfRule>
  </conditionalFormatting>
  <conditionalFormatting sqref="K56:K65">
    <cfRule type="cellIs" dxfId="2516" priority="89" stopIfTrue="1" operator="lessThan">
      <formula>100%</formula>
    </cfRule>
  </conditionalFormatting>
  <conditionalFormatting sqref="K69:K77">
    <cfRule type="cellIs" dxfId="2515" priority="32" stopIfTrue="1" operator="lessThan">
      <formula>100%</formula>
    </cfRule>
  </conditionalFormatting>
  <conditionalFormatting sqref="K80:K85">
    <cfRule type="cellIs" dxfId="2514" priority="174" stopIfTrue="1" operator="lessThan">
      <formula>100%</formula>
    </cfRule>
  </conditionalFormatting>
  <conditionalFormatting sqref="K87:K88">
    <cfRule type="cellIs" dxfId="2513" priority="181" stopIfTrue="1" operator="lessThan">
      <formula>100%</formula>
    </cfRule>
  </conditionalFormatting>
  <conditionalFormatting sqref="L10:L24">
    <cfRule type="cellIs" dxfId="2512" priority="5" operator="between">
      <formula>61</formula>
      <formula>65</formula>
    </cfRule>
    <cfRule type="cellIs" dxfId="2511" priority="6" operator="greaterThan">
      <formula>65</formula>
    </cfRule>
  </conditionalFormatting>
  <conditionalFormatting sqref="L27:M38">
    <cfRule type="cellIs" dxfId="2510" priority="13" operator="lessThan">
      <formula>97.95</formula>
    </cfRule>
  </conditionalFormatting>
  <conditionalFormatting sqref="L42:N42">
    <cfRule type="cellIs" dxfId="2509" priority="68" operator="notEqual">
      <formula>#REF!</formula>
    </cfRule>
  </conditionalFormatting>
  <conditionalFormatting sqref="L69:N78">
    <cfRule type="cellIs" dxfId="2508" priority="29" stopIfTrue="1" operator="lessThan">
      <formula>100%</formula>
    </cfRule>
  </conditionalFormatting>
  <conditionalFormatting sqref="L80:N88">
    <cfRule type="cellIs" dxfId="2507" priority="159" stopIfTrue="1" operator="lessThan">
      <formula>100%</formula>
    </cfRule>
  </conditionalFormatting>
  <conditionalFormatting sqref="N10:N24">
    <cfRule type="expression" dxfId="2506" priority="10">
      <formula>IF(+(IF(N10&lt;W10,0,IF(N10&gt;X10,0,1)))=0,1)</formula>
    </cfRule>
  </conditionalFormatting>
  <conditionalFormatting sqref="P6">
    <cfRule type="cellIs" dxfId="2505" priority="155" operator="greaterThanOrEqual">
      <formula>19</formula>
    </cfRule>
  </conditionalFormatting>
  <dataValidations count="1">
    <dataValidation type="list" allowBlank="1" showInputMessage="1" showErrorMessage="1" sqref="R8" xr:uid="{A2BFABF6-F48F-4845-BF3F-17370B25FA71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7D71C-B391-41A2-84B0-6454E57DB1E2}">
  <sheetPr>
    <pageSetUpPr fitToPage="1"/>
  </sheetPr>
  <dimension ref="A1:BE78"/>
  <sheetViews>
    <sheetView zoomScale="60" zoomScaleNormal="60" workbookViewId="0">
      <selection activeCell="H43" sqref="H43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12" t="s">
        <v>0</v>
      </c>
      <c r="T1" s="512"/>
      <c r="U1" s="512" t="s">
        <v>1</v>
      </c>
      <c r="V1" s="512"/>
      <c r="W1" s="512" t="s">
        <v>2</v>
      </c>
      <c r="X1" s="512"/>
      <c r="Y1" s="512" t="s">
        <v>124</v>
      </c>
      <c r="Z1" s="512"/>
    </row>
    <row r="2" spans="2:29" ht="15">
      <c r="B2" s="513" t="s">
        <v>3</v>
      </c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46248</v>
      </c>
      <c r="J4" s="398" t="s">
        <v>184</v>
      </c>
      <c r="K4" s="398"/>
      <c r="L4" s="11"/>
      <c r="M4" s="510" t="s">
        <v>8</v>
      </c>
      <c r="N4" s="511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6"/>
      <c r="D5" s="516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19" t="s">
        <v>18</v>
      </c>
      <c r="D8" s="519" t="s">
        <v>19</v>
      </c>
      <c r="E8" s="356" t="s">
        <v>20</v>
      </c>
      <c r="F8" s="356" t="s">
        <v>21</v>
      </c>
      <c r="G8" s="519" t="s">
        <v>22</v>
      </c>
      <c r="H8" s="520" t="s">
        <v>144</v>
      </c>
      <c r="I8" s="519" t="s">
        <v>181</v>
      </c>
      <c r="J8" s="522" t="s">
        <v>23</v>
      </c>
      <c r="K8" s="524" t="s">
        <v>142</v>
      </c>
      <c r="L8" s="526" t="s">
        <v>24</v>
      </c>
      <c r="M8" s="359" t="s">
        <v>25</v>
      </c>
      <c r="N8" s="17" t="s">
        <v>168</v>
      </c>
      <c r="O8" s="519" t="s">
        <v>155</v>
      </c>
      <c r="P8" s="514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8"/>
      <c r="C9" s="515"/>
      <c r="D9" s="515"/>
      <c r="E9" s="357" t="s">
        <v>30</v>
      </c>
      <c r="F9" s="357" t="s">
        <v>31</v>
      </c>
      <c r="G9" s="515"/>
      <c r="H9" s="521"/>
      <c r="I9" s="515"/>
      <c r="J9" s="523"/>
      <c r="K9" s="525"/>
      <c r="L9" s="527"/>
      <c r="M9" s="20" t="s">
        <v>32</v>
      </c>
      <c r="N9" s="21" t="s">
        <v>41</v>
      </c>
      <c r="O9" s="515"/>
      <c r="P9" s="515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hidden="1" customHeight="1">
      <c r="B10" s="33"/>
      <c r="C10" s="366"/>
      <c r="D10" s="279"/>
      <c r="E10" s="279"/>
      <c r="F10" s="278"/>
      <c r="G10" s="279"/>
      <c r="H10" s="396"/>
      <c r="I10" s="368"/>
      <c r="J10" s="368"/>
      <c r="K10" s="281"/>
      <c r="L10" s="276"/>
      <c r="M10" s="374"/>
      <c r="N10" s="370"/>
      <c r="O10" s="420"/>
      <c r="P10" s="418"/>
      <c r="R10" s="277">
        <f t="shared" ref="R10:R38" si="0">B10</f>
        <v>0</v>
      </c>
      <c r="S10" s="472" t="e">
        <f t="shared" ref="S10:S38" si="1">VLOOKUP($B10,$R$3:$X$9,2,FALSE)</f>
        <v>#N/A</v>
      </c>
      <c r="T10" s="472" t="e">
        <f t="shared" ref="T10:T38" si="2">VLOOKUP($B10,$R$3:$X$9,3,FALSE)</f>
        <v>#N/A</v>
      </c>
      <c r="U10" s="297" t="e">
        <f t="shared" ref="U10:U38" si="3">VLOOKUP($B10,$R$3:$X$9,4,FALSE)</f>
        <v>#N/A</v>
      </c>
      <c r="V10" s="297" t="e">
        <f t="shared" ref="V10:V38" si="4">VLOOKUP($B10,$R$3:$X$9,5,FALSE)</f>
        <v>#N/A</v>
      </c>
      <c r="W10" s="297" t="e">
        <f t="shared" ref="W10:W38" si="5">VLOOKUP($B10,$R$3:$X$9,6,FALSE)</f>
        <v>#N/A</v>
      </c>
      <c r="X10" s="297" t="e">
        <f t="shared" ref="X10:X38" si="6">VLOOKUP($B10,$R$3:$X$9,7,FALSE)</f>
        <v>#N/A</v>
      </c>
      <c r="Y10" s="297" t="e">
        <f t="shared" ref="Y10:Y38" si="7">VLOOKUP($B10,$R$3:$Z$9,8,FALSE)</f>
        <v>#N/A</v>
      </c>
      <c r="Z10" s="472" t="e">
        <f t="shared" ref="Z10:Z38" si="8">VLOOKUP($B10,$R$3:$Z$9,9,FALSE)</f>
        <v>#N/A</v>
      </c>
    </row>
    <row r="11" spans="2:29" ht="17.25" hidden="1" customHeight="1">
      <c r="B11" s="33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420"/>
      <c r="P11" s="418"/>
      <c r="R11" s="277">
        <f t="shared" si="0"/>
        <v>0</v>
      </c>
      <c r="S11" s="472" t="e">
        <f t="shared" si="1"/>
        <v>#N/A</v>
      </c>
      <c r="T11" s="472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2" t="e">
        <f t="shared" si="8"/>
        <v>#N/A</v>
      </c>
    </row>
    <row r="12" spans="2:29" ht="17.25" hidden="1" customHeight="1">
      <c r="B12" s="33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420"/>
      <c r="P12" s="418"/>
      <c r="R12" s="277">
        <f t="shared" si="0"/>
        <v>0</v>
      </c>
      <c r="S12" s="472" t="e">
        <f t="shared" si="1"/>
        <v>#N/A</v>
      </c>
      <c r="T12" s="472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2" t="e">
        <f t="shared" si="8"/>
        <v>#N/A</v>
      </c>
    </row>
    <row r="13" spans="2:29" ht="17.25" customHeight="1">
      <c r="B13" s="33" t="s">
        <v>9</v>
      </c>
      <c r="C13" s="366" t="str">
        <f>[3]Brewhouse!$A339</f>
        <v>ST282</v>
      </c>
      <c r="D13" s="279">
        <f>[3]Brewhouse!$AB339</f>
        <v>53.1</v>
      </c>
      <c r="E13" s="279">
        <f>[3]Brewhouse!$AG339</f>
        <v>49.9</v>
      </c>
      <c r="F13" s="278">
        <f>[3]Brewhouse!$V339</f>
        <v>62</v>
      </c>
      <c r="G13" s="279">
        <f>[3]Brewhouse!$AE339</f>
        <v>11.8</v>
      </c>
      <c r="H13" s="396">
        <v>11.8</v>
      </c>
      <c r="I13" s="368">
        <f>[3]Brewhouse!$AS339</f>
        <v>100.05112865724453</v>
      </c>
      <c r="J13" s="368">
        <f>[3]Brewhouse!$AT339</f>
        <v>100.81980622928562</v>
      </c>
      <c r="K13" s="281">
        <f>[3]Brewhouse!$Q339</f>
        <v>11.629001883239166</v>
      </c>
      <c r="L13" s="276">
        <f>[3]Brewhouse!$P339</f>
        <v>64</v>
      </c>
      <c r="M13" s="374">
        <f>[3]Brewhouse!$U339-[3]Brewhouse!$T339</f>
        <v>0.11944444444444446</v>
      </c>
      <c r="N13" s="370">
        <f>[3]Brewhouse!$AW339</f>
        <v>0.27013888888888893</v>
      </c>
      <c r="O13" s="420" t="str">
        <f>[3]Brewhouse!$AV339</f>
        <v>P. Calliste</v>
      </c>
      <c r="P13" s="418"/>
      <c r="R13" s="277" t="str">
        <f t="shared" si="0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33" t="s">
        <v>9</v>
      </c>
      <c r="C14" s="366" t="str">
        <f>[3]Brewhouse!$A340</f>
        <v>ST283</v>
      </c>
      <c r="D14" s="279">
        <f>[3]Brewhouse!$AB340</f>
        <v>53.1</v>
      </c>
      <c r="E14" s="279">
        <f>[3]Brewhouse!$AG340</f>
        <v>49.8</v>
      </c>
      <c r="F14" s="278">
        <f>[3]Brewhouse!$V340</f>
        <v>60</v>
      </c>
      <c r="G14" s="279">
        <f>[3]Brewhouse!$AE340</f>
        <v>11.8</v>
      </c>
      <c r="H14" s="396">
        <v>11.9</v>
      </c>
      <c r="I14" s="368">
        <f>[3]Brewhouse!$AS340</f>
        <v>99.219837183704257</v>
      </c>
      <c r="J14" s="368">
        <f>[3]Brewhouse!$AT340</f>
        <v>99.983411264811977</v>
      </c>
      <c r="K14" s="281">
        <f>[3]Brewhouse!$Q340</f>
        <v>12.005649717514123</v>
      </c>
      <c r="L14" s="276">
        <f>[3]Brewhouse!$P340</f>
        <v>61</v>
      </c>
      <c r="M14" s="374">
        <f>[3]Brewhouse!$U340-[3]Brewhouse!$T340</f>
        <v>0.11736111111111114</v>
      </c>
      <c r="N14" s="370">
        <f>[3]Brewhouse!$AW340</f>
        <v>0.25624999999999998</v>
      </c>
      <c r="O14" s="420" t="str">
        <f>[3]Brewhouse!$AV340</f>
        <v>P. Calliste</v>
      </c>
      <c r="P14" s="418"/>
      <c r="R14" s="277" t="str">
        <f t="shared" si="0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33" t="s">
        <v>9</v>
      </c>
      <c r="C15" s="366" t="str">
        <f>[3]Brewhouse!$A341</f>
        <v>ST284</v>
      </c>
      <c r="D15" s="279">
        <f>[3]Brewhouse!$AB341</f>
        <v>53.1</v>
      </c>
      <c r="E15" s="279">
        <f>[3]Brewhouse!$AG341</f>
        <v>49.8</v>
      </c>
      <c r="F15" s="278">
        <f>[3]Brewhouse!$V341</f>
        <v>61</v>
      </c>
      <c r="G15" s="279">
        <f>[3]Brewhouse!$AE341</f>
        <v>11.8</v>
      </c>
      <c r="H15" s="396">
        <v>11.9</v>
      </c>
      <c r="I15" s="368">
        <f>[3]Brewhouse!$AS341</f>
        <v>99.219837183704257</v>
      </c>
      <c r="J15" s="368">
        <f>[3]Brewhouse!$AT341</f>
        <v>99.983411264811977</v>
      </c>
      <c r="K15" s="281">
        <f>[3]Brewhouse!$Q341</f>
        <v>13.512241054613931</v>
      </c>
      <c r="L15" s="276">
        <f>[3]Brewhouse!$P341</f>
        <v>60</v>
      </c>
      <c r="M15" s="374">
        <f>[3]Brewhouse!$U341-[3]Brewhouse!$T341</f>
        <v>0.1166666666666667</v>
      </c>
      <c r="N15" s="370">
        <f>[3]Brewhouse!$AW341</f>
        <v>0.25694444444444453</v>
      </c>
      <c r="O15" s="420" t="str">
        <f>[3]Brewhouse!$AV341</f>
        <v>P. Calliste</v>
      </c>
      <c r="P15" s="418"/>
      <c r="R15" s="277" t="str">
        <f t="shared" si="0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33" t="s">
        <v>9</v>
      </c>
      <c r="C16" s="366" t="str">
        <f>[3]Brewhouse!$A342</f>
        <v>ST285</v>
      </c>
      <c r="D16" s="279">
        <f>[3]Brewhouse!$AB342</f>
        <v>53.1</v>
      </c>
      <c r="E16" s="279">
        <f>[3]Brewhouse!$AG342</f>
        <v>49.6</v>
      </c>
      <c r="F16" s="278">
        <f>[3]Brewhouse!$V342</f>
        <v>63</v>
      </c>
      <c r="G16" s="279">
        <f>[3]Brewhouse!$AE342</f>
        <v>11.8</v>
      </c>
      <c r="H16" s="396">
        <v>11.8</v>
      </c>
      <c r="I16" s="368">
        <f>[3]Brewhouse!$AS342</f>
        <v>99.323329633525859</v>
      </c>
      <c r="J16" s="368">
        <f>[3]Brewhouse!$AT342</f>
        <v>100.08667384555388</v>
      </c>
      <c r="K16" s="281">
        <f>[3]Brewhouse!$Q342</f>
        <v>13.700564971751408</v>
      </c>
      <c r="L16" s="276">
        <f>[3]Brewhouse!$P342</f>
        <v>61</v>
      </c>
      <c r="M16" s="374">
        <f>[3]Brewhouse!$U342-[3]Brewhouse!$T342</f>
        <v>0.11319444444444438</v>
      </c>
      <c r="N16" s="370">
        <f>[3]Brewhouse!$AW342</f>
        <v>0.25069444444444444</v>
      </c>
      <c r="O16" s="420" t="str">
        <f>[3]Brewhouse!$AV342</f>
        <v>R. Regis</v>
      </c>
      <c r="P16" s="418"/>
      <c r="R16" s="277" t="str">
        <f t="shared" si="0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 customHeight="1">
      <c r="B17" s="33" t="s">
        <v>9</v>
      </c>
      <c r="C17" s="366" t="str">
        <f>[3]Brewhouse!$A343</f>
        <v>ST286</v>
      </c>
      <c r="D17" s="279">
        <f>[3]Brewhouse!$AB343</f>
        <v>53.1</v>
      </c>
      <c r="E17" s="279">
        <f>[3]Brewhouse!$AG343</f>
        <v>49.7</v>
      </c>
      <c r="F17" s="278">
        <f>[3]Brewhouse!$V343</f>
        <v>61</v>
      </c>
      <c r="G17" s="279">
        <f>[3]Brewhouse!$AE343</f>
        <v>11.8</v>
      </c>
      <c r="H17" s="396">
        <v>11.8</v>
      </c>
      <c r="I17" s="368">
        <f>[3]Brewhouse!$AS343</f>
        <v>99.650122129560188</v>
      </c>
      <c r="J17" s="368">
        <f>[3]Brewhouse!$AT343</f>
        <v>100.41571882956903</v>
      </c>
      <c r="K17" s="281">
        <f>[3]Brewhouse!$Q343</f>
        <v>15.018832391713749</v>
      </c>
      <c r="L17" s="276">
        <f>[3]Brewhouse!$P343</f>
        <v>59</v>
      </c>
      <c r="M17" s="374">
        <f>[3]Brewhouse!$U343-[3]Brewhouse!$T343</f>
        <v>0.11319444444444438</v>
      </c>
      <c r="N17" s="370">
        <f>[3]Brewhouse!$AW343</f>
        <v>0.25069444444444444</v>
      </c>
      <c r="O17" s="420" t="str">
        <f>[3]Brewhouse!$AV343</f>
        <v>R. Regis</v>
      </c>
      <c r="P17" s="418"/>
      <c r="R17" s="277" t="str">
        <f t="shared" si="0"/>
        <v>STAG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5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 customHeight="1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hidden="1" customHeight="1">
      <c r="B21" s="33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0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customHeight="1" thickBot="1">
      <c r="B25" s="358"/>
      <c r="C25" s="358"/>
      <c r="D25" s="358"/>
      <c r="E25" s="358"/>
      <c r="F25" s="294"/>
      <c r="G25" s="294"/>
      <c r="H25" s="348"/>
      <c r="I25" s="528"/>
      <c r="J25" s="528"/>
      <c r="K25" s="528"/>
      <c r="L25" s="528"/>
      <c r="M25" s="528"/>
      <c r="N25" s="528"/>
      <c r="O25" s="1"/>
      <c r="P25" s="12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customHeight="1" thickBot="1">
      <c r="B26" s="489" t="s">
        <v>162</v>
      </c>
      <c r="C26" s="388"/>
      <c r="D26" s="529" t="s">
        <v>35</v>
      </c>
      <c r="E26" s="530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0"/>
        <v xml:space="preserve">BRAND 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7.25" customHeight="1">
      <c r="A27" s="28"/>
      <c r="B27" s="610" t="str">
        <f>I28</f>
        <v>STAG</v>
      </c>
      <c r="C27" s="490">
        <f>[3]Process!D311</f>
        <v>11.7</v>
      </c>
      <c r="D27" s="534">
        <v>12.09</v>
      </c>
      <c r="E27" s="535"/>
      <c r="F27" s="294"/>
      <c r="G27" s="294"/>
      <c r="H27" s="348"/>
      <c r="I27" s="29" t="s">
        <v>6</v>
      </c>
      <c r="J27" s="323"/>
      <c r="K27" s="284">
        <f>COUNTA([4]Brewhouse!$A$595:$A$618)</f>
        <v>24</v>
      </c>
      <c r="L27" s="305">
        <f>AVERAGE([4]Brewhouse!$AU$595:$AU$618)</f>
        <v>99.555117027572393</v>
      </c>
      <c r="M27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AVERAGE([4]Brewhouse!$AU$42:$AU$123,[4]Brewhouse!$AU$125:$AU$188,[4]Brewhouse!$AU$198:$AU$290,[4]Brewhouse!$AU$292:$AU$370,[4]Brewhouse!$AU$372:$AU$439,[4]Brewhouse!$AU$441:$AU$497,[4]Brewhouse!$AU$499:$AU$519,[4]Brewhouse!$AU$521:$AU$593,[4]Brewhouse!$AU$595:$AU$618)</f>
        <v>98.227933625316709</v>
      </c>
      <c r="N27" s="30">
        <v>98</v>
      </c>
      <c r="O27" s="11"/>
      <c r="P27" s="31"/>
      <c r="R27" s="277" t="str">
        <f t="shared" si="0"/>
        <v>STAG</v>
      </c>
      <c r="S27" s="472">
        <f t="shared" si="1"/>
        <v>11.6</v>
      </c>
      <c r="T27" s="472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472">
        <f t="shared" si="8"/>
        <v>60</v>
      </c>
    </row>
    <row r="28" spans="1:26" ht="15" customHeight="1">
      <c r="A28" s="28"/>
      <c r="B28" s="611"/>
      <c r="C28" s="362">
        <f>[3]Process!D312</f>
        <v>12</v>
      </c>
      <c r="D28" s="536"/>
      <c r="E28" s="537"/>
      <c r="F28" s="294"/>
      <c r="G28" s="294"/>
      <c r="H28" s="348"/>
      <c r="I28" s="33" t="s">
        <v>9</v>
      </c>
      <c r="J28" s="323">
        <f>AVERAGE(I13:I17)</f>
        <v>99.49285095754783</v>
      </c>
      <c r="K28" s="284">
        <f>COUNTA([3]Brewhouse!$A$327:$A$338)</f>
        <v>12</v>
      </c>
      <c r="L28" s="302">
        <f>AVERAGE([3]Brewhouse!$AS$327:$AS$338)</f>
        <v>99.318300191325861</v>
      </c>
      <c r="M28" s="302">
        <f>AVERAGE([3]Brewhouse!$AS$52:$AS$81,[3]Brewhouse!$AS$83:$AS$124,[3]Brewhouse!$AS$134:$AS$177,[3]Brewhouse!$AS$22:$AS$179,[3]Brewhouse!$AS$214:$AS$249,[3]Brewhouse!$AS$252:$AS$293,[3]Brewhouse!$AS$295:$AS$325,[3]Brewhouse!$AS$327:$AS$338)</f>
        <v>98.18037568252457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611"/>
      <c r="C29" s="362">
        <f>[3]Process!D313</f>
        <v>12.1</v>
      </c>
      <c r="D29" s="538">
        <v>11.88</v>
      </c>
      <c r="E29" s="539"/>
      <c r="F29" s="294"/>
      <c r="G29" s="294"/>
      <c r="H29" s="348"/>
      <c r="I29" s="34" t="s">
        <v>12</v>
      </c>
      <c r="J29" s="323"/>
      <c r="K29" s="284"/>
      <c r="L29" s="302"/>
      <c r="M29" s="302">
        <f>AVERAGE([5]Brewhouse!$AU$16:$AU$23,[5]Brewhouse!$AU$25:$AU$32,[5]Brewhouse!$AU$34:$AU$41,[5]Brewhouse!$AU$43:$AU$60,[5]Brewhouse!$AU$62:$AU$69,[5]Brewhouse!$AU$71:$AU$88)</f>
        <v>96.520985666401089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611"/>
      <c r="C30" s="362">
        <f>[3]Process!D314</f>
        <v>11.7</v>
      </c>
      <c r="D30" s="540"/>
      <c r="E30" s="537"/>
      <c r="F30" s="294"/>
      <c r="G30" s="294"/>
      <c r="H30" s="348"/>
      <c r="I30" s="22" t="s">
        <v>33</v>
      </c>
      <c r="J30" s="280"/>
      <c r="K30" s="284"/>
      <c r="L30" s="302"/>
      <c r="M30" s="302">
        <f>AVERAGE([6]Brewhouse!$AV$23:$AV$34,[6]Brewhouse!$AV$36,[6]Brewhouse!$AV$38:$AV$52,[6]Brewhouse!$AV$54:$AV$60,[6]Brewhouse!$AV$62:$AV$69,[6]Brewhouse!$AV$71:$AV$78,[6]Brewhouse!$AV$80:$AV$87)</f>
        <v>97.513042763382714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611"/>
      <c r="C31" s="362">
        <f>[3]Process!D315</f>
        <v>12</v>
      </c>
      <c r="D31" s="538">
        <v>11.83</v>
      </c>
      <c r="E31" s="539"/>
      <c r="F31" s="294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611"/>
      <c r="C32" s="362">
        <f>[3]Process!D316</f>
        <v>12</v>
      </c>
      <c r="D32" s="540"/>
      <c r="E32" s="537"/>
      <c r="F32" s="417"/>
      <c r="G32" s="294"/>
      <c r="H32" s="348"/>
      <c r="I32" s="36" t="s">
        <v>15</v>
      </c>
      <c r="J32" s="323"/>
      <c r="K32" s="284"/>
      <c r="L32" s="302"/>
      <c r="M32" s="302">
        <f>AVERAGE([7]Brewhouse!$AT$4:$AT$11,[7]Brewhouse!$AT$13:$AT$16,[7]Brewhouse!$AT$18:$AT$21)</f>
        <v>91.832675391763644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611"/>
      <c r="C33" s="362">
        <f>[3]Process!D317</f>
        <v>11.9</v>
      </c>
      <c r="D33" s="538">
        <v>11.8</v>
      </c>
      <c r="E33" s="539"/>
      <c r="F33" s="417"/>
      <c r="G33" s="294"/>
      <c r="H33" s="348"/>
      <c r="I33" s="37" t="s">
        <v>16</v>
      </c>
      <c r="J33" s="323"/>
      <c r="K33" s="284">
        <f>COUNTA([8]Brewhouse!$A$84:$A$91)</f>
        <v>8</v>
      </c>
      <c r="L33" s="302">
        <f>AVERAGE([8]Brewhouse!$AY$84:$AY$91)</f>
        <v>97.517044199257398</v>
      </c>
      <c r="M33" s="302">
        <f>AVERAGE([8]Brewhouse!$AY$5:$AY$14,[8]Brewhouse!$AY$16:$AY$23,[8]Brewhouse!$AY$42,[8]Brewhouse!$AY$44:$AY$51,[8]Brewhouse!$AY$53:$AY$64,[8]Brewhouse!$AY$66:$AY$73,[8]Brewhouse!$AY$75:$AY$82,[8]Brewhouse!$AY$84:$AY$91)</f>
        <v>98.050826041639255</v>
      </c>
      <c r="N33" s="30">
        <v>98</v>
      </c>
      <c r="O33" s="11"/>
      <c r="P33" s="31" t="s">
        <v>41</v>
      </c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611"/>
      <c r="C34" s="362">
        <f>[3]Process!D318</f>
        <v>11.8</v>
      </c>
      <c r="D34" s="540"/>
      <c r="E34" s="537"/>
      <c r="F34" s="294"/>
      <c r="G34" s="294"/>
      <c r="H34" s="348"/>
      <c r="I34" s="411" t="s">
        <v>158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56" ht="14.65" customHeight="1">
      <c r="A35" s="28"/>
      <c r="B35" s="611"/>
      <c r="C35" s="362">
        <f>[3]Process!D319</f>
        <v>12</v>
      </c>
      <c r="D35" s="538">
        <v>11.98</v>
      </c>
      <c r="E35" s="539"/>
      <c r="F35" s="294"/>
      <c r="G35" s="294"/>
      <c r="H35" s="348"/>
      <c r="I35" s="410" t="s">
        <v>157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611"/>
      <c r="C36" s="362">
        <f>[3]Process!D320</f>
        <v>11.8</v>
      </c>
      <c r="D36" s="540"/>
      <c r="E36" s="537"/>
      <c r="F36" s="294"/>
      <c r="G36" s="294"/>
      <c r="H36" s="348"/>
      <c r="I36" s="406" t="s">
        <v>156</v>
      </c>
      <c r="J36" s="327"/>
      <c r="K36" s="407"/>
      <c r="L36" s="408"/>
      <c r="M36" s="408"/>
      <c r="N36" s="409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" customHeight="1" thickBot="1">
      <c r="A37" s="28"/>
      <c r="B37" s="611"/>
      <c r="C37" s="349">
        <f>[3]Process!D321</f>
        <v>12</v>
      </c>
      <c r="D37" s="534">
        <v>12</v>
      </c>
      <c r="E37" s="535"/>
      <c r="F37" s="294"/>
      <c r="G37" s="294"/>
      <c r="H37" s="348"/>
      <c r="I37" s="1"/>
      <c r="J37" s="39"/>
      <c r="K37" s="404">
        <f>SUM(K27:K36)</f>
        <v>44</v>
      </c>
      <c r="L37" s="405">
        <f>((L27*K27)+(L28*K28)+(L29*K29)+(L30*K30)+(L31*K31)+(K34*L34)+(L32*K32)+(L33*K33)+(L36*K36))/(K37)</f>
        <v>99.119971921629698</v>
      </c>
      <c r="M37" s="405">
        <f>AVERAGE('[9]Jan30th-31st'!$L$42,'[10]Feb 27th-28th'!$L$45,'[11]Mar 31st'!$L$42,'[12]Apr 30th'!$L$41,'[13]May 29th '!$L$35,'[14]June 30th'!$L$32,[15]July31st!$L$36,L37)</f>
        <v>98.049914032766424</v>
      </c>
      <c r="N37" s="4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.75" thickBot="1">
      <c r="B38" s="611"/>
      <c r="C38" s="350">
        <f>[3]Process!D322</f>
        <v>12</v>
      </c>
      <c r="D38" s="536"/>
      <c r="E38" s="537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.75" thickBot="1">
      <c r="B39" s="611"/>
      <c r="C39" s="362">
        <f>[3]Process!D323</f>
        <v>11.8</v>
      </c>
      <c r="D39" s="612"/>
      <c r="E39" s="613"/>
      <c r="F39" s="294"/>
      <c r="G39" s="42"/>
      <c r="H39" s="41"/>
      <c r="I39" s="42"/>
      <c r="J39" s="544" t="s">
        <v>129</v>
      </c>
      <c r="K39" s="544"/>
      <c r="L39" s="294"/>
      <c r="M39" s="294"/>
      <c r="N39" s="294"/>
      <c r="O39" s="294"/>
      <c r="P39" s="12"/>
    </row>
    <row r="40" spans="1:56" ht="15.75" thickBot="1">
      <c r="B40" s="611"/>
      <c r="C40" s="362">
        <f>[3]Process!D324</f>
        <v>11.7</v>
      </c>
      <c r="D40" s="614"/>
      <c r="E40" s="615"/>
      <c r="F40" s="294"/>
      <c r="G40" s="42"/>
      <c r="H40" s="42"/>
      <c r="I40" s="42"/>
      <c r="J40" s="292" t="s">
        <v>17</v>
      </c>
      <c r="K40" s="293"/>
      <c r="L40" s="545" t="s">
        <v>136</v>
      </c>
      <c r="M40" s="545"/>
      <c r="N40" s="546"/>
      <c r="O40" s="294"/>
      <c r="P40" s="12"/>
    </row>
    <row r="41" spans="1:56" ht="15" customHeight="1" thickBot="1">
      <c r="B41" s="608"/>
      <c r="C41" s="349"/>
      <c r="D41" s="538"/>
      <c r="E41" s="539"/>
      <c r="F41" s="294"/>
      <c r="G41" s="42"/>
      <c r="H41" s="42"/>
      <c r="I41" s="42"/>
      <c r="J41" s="287" t="s">
        <v>6</v>
      </c>
      <c r="K41" s="324"/>
      <c r="L41" s="473" t="s">
        <v>37</v>
      </c>
      <c r="M41" s="474" t="s">
        <v>38</v>
      </c>
      <c r="N41" s="474" t="s">
        <v>84</v>
      </c>
      <c r="O41" s="294"/>
      <c r="P41" s="12"/>
    </row>
    <row r="42" spans="1:56" ht="15.75" customHeight="1" thickBot="1">
      <c r="B42" s="608"/>
      <c r="C42" s="349"/>
      <c r="D42" s="540"/>
      <c r="E42" s="537"/>
      <c r="F42" s="294"/>
      <c r="G42" s="42"/>
      <c r="H42" s="42"/>
      <c r="I42" s="42"/>
      <c r="J42" s="345" t="s">
        <v>9</v>
      </c>
      <c r="K42" s="324">
        <v>5</v>
      </c>
      <c r="L42" s="494">
        <f>AVERAGE(K51,'Aug 3rd '!K47,'Aug 2nd'!K52,'Aug 4th'!K47,'Aug 5th'!K51,'Aug 6th'!K51,'Aug 7th'!K51,'Aug 12th'!K51)</f>
        <v>6.125</v>
      </c>
      <c r="M42" s="495">
        <f>AVERAGE('[9]Jan30th-31st'!$L$47,L42,'[10]Feb 26th '!$L$39,'[11]Mar 31st'!$L$47,'[12]Apr 30th'!$L$46,'[13]May 29th '!$L$40,'[14]June 30th'!$L$39,[15]July31st!$L$41)</f>
        <v>6.3115470127698385</v>
      </c>
      <c r="N42" s="416">
        <v>9.1999999999999993</v>
      </c>
      <c r="O42" s="294"/>
      <c r="P42" s="12"/>
    </row>
    <row r="43" spans="1:56" ht="15" customHeight="1">
      <c r="B43" s="608"/>
      <c r="C43" s="349"/>
      <c r="D43" s="538"/>
      <c r="E43" s="539"/>
      <c r="F43" s="294"/>
      <c r="G43" s="42"/>
      <c r="H43" s="42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608"/>
      <c r="C44" s="349"/>
      <c r="D44" s="540"/>
      <c r="E44" s="537"/>
      <c r="F44" s="294"/>
      <c r="G44" s="42"/>
      <c r="H44" s="42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608"/>
      <c r="C45" s="349"/>
      <c r="D45" s="538"/>
      <c r="E45" s="539"/>
      <c r="F45" s="294"/>
      <c r="G45" s="42"/>
      <c r="H45" s="42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608"/>
      <c r="C46" s="349"/>
      <c r="D46" s="540"/>
      <c r="E46" s="537"/>
      <c r="F46" s="294"/>
      <c r="G46" s="42"/>
      <c r="H46" s="42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608"/>
      <c r="C47" s="349"/>
      <c r="D47" s="538"/>
      <c r="E47" s="539"/>
      <c r="F47" s="294"/>
      <c r="G47" s="42"/>
      <c r="H47" s="42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609"/>
      <c r="C48" s="350"/>
      <c r="D48" s="547"/>
      <c r="E48" s="548"/>
      <c r="F48" s="294" t="s">
        <v>166</v>
      </c>
      <c r="G48" s="42"/>
      <c r="H48" s="42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49"/>
      <c r="E49" s="550"/>
      <c r="F49" s="294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2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2"/>
      <c r="I51" s="42"/>
      <c r="J51" s="346" t="s">
        <v>130</v>
      </c>
      <c r="K51" s="324">
        <f>SUM(K41:K50)</f>
        <v>5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42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551" t="s">
        <v>17</v>
      </c>
      <c r="C54" s="551" t="s">
        <v>44</v>
      </c>
      <c r="D54" s="554" t="s">
        <v>45</v>
      </c>
      <c r="E54" s="519" t="s">
        <v>46</v>
      </c>
      <c r="F54" s="568" t="s">
        <v>47</v>
      </c>
      <c r="G54" s="563" t="s">
        <v>48</v>
      </c>
      <c r="H54" s="551" t="s">
        <v>49</v>
      </c>
      <c r="I54" s="551" t="s">
        <v>50</v>
      </c>
      <c r="J54" s="557" t="s">
        <v>28</v>
      </c>
      <c r="K54" s="517" t="s">
        <v>51</v>
      </c>
      <c r="L54" s="566" t="s">
        <v>52</v>
      </c>
      <c r="M54" s="557" t="s">
        <v>53</v>
      </c>
      <c r="N54" s="13"/>
      <c r="O54" s="13"/>
      <c r="P54" s="50"/>
    </row>
    <row r="55" spans="2:57" ht="28.5" customHeight="1" thickTop="1" thickBot="1">
      <c r="B55" s="552"/>
      <c r="C55" s="553"/>
      <c r="D55" s="555"/>
      <c r="E55" s="556"/>
      <c r="F55" s="569"/>
      <c r="G55" s="564"/>
      <c r="H55" s="552"/>
      <c r="I55" s="552"/>
      <c r="J55" s="558"/>
      <c r="K55" s="565"/>
      <c r="L55" s="567"/>
      <c r="M55" s="558"/>
      <c r="N55" s="13"/>
      <c r="O55" s="13"/>
      <c r="P55" s="50"/>
      <c r="Q55" s="355"/>
      <c r="AB55" s="475">
        <v>43474</v>
      </c>
      <c r="AC55" s="475">
        <v>43475</v>
      </c>
      <c r="AD55" s="475">
        <v>43476</v>
      </c>
      <c r="AE55" s="475">
        <v>43477</v>
      </c>
      <c r="AF55" s="475">
        <v>43478</v>
      </c>
      <c r="AG55" s="475">
        <v>43479</v>
      </c>
      <c r="AH55" s="475">
        <v>43480</v>
      </c>
      <c r="AI55" s="475">
        <v>43481</v>
      </c>
      <c r="AJ55" s="475">
        <v>43482</v>
      </c>
      <c r="AK55" s="475">
        <v>43483</v>
      </c>
      <c r="AL55" s="475">
        <v>43484</v>
      </c>
      <c r="AM55" s="475">
        <v>43485</v>
      </c>
      <c r="AN55" s="475">
        <v>43486</v>
      </c>
      <c r="AO55" s="475">
        <v>43487</v>
      </c>
      <c r="AP55" s="475">
        <v>43488</v>
      </c>
      <c r="AQ55" s="475">
        <v>43489</v>
      </c>
      <c r="AR55" s="475">
        <v>43490</v>
      </c>
      <c r="AS55" s="475">
        <v>43491</v>
      </c>
      <c r="AT55" s="475">
        <v>43492</v>
      </c>
      <c r="AU55" s="475">
        <v>43493</v>
      </c>
      <c r="AV55" s="475">
        <v>43494</v>
      </c>
      <c r="AW55" s="475">
        <v>43495</v>
      </c>
      <c r="AX55" s="475">
        <v>43496</v>
      </c>
    </row>
    <row r="56" spans="2:57" s="54" customFormat="1" ht="36.75" hidden="1" customHeight="1" thickBot="1">
      <c r="B56" s="484" t="str">
        <f>J42</f>
        <v>STAG</v>
      </c>
      <c r="C56" s="479">
        <v>46218</v>
      </c>
      <c r="D56" s="445">
        <f>[35]July_2026!$R$13</f>
        <v>195.67999999999998</v>
      </c>
      <c r="E56" s="443"/>
      <c r="F56" s="444"/>
      <c r="G56" s="444">
        <f>[35]July_2026!$R$17</f>
        <v>184</v>
      </c>
      <c r="H56" s="458"/>
      <c r="I56" s="458"/>
      <c r="J56" s="448" t="s">
        <v>170</v>
      </c>
      <c r="K56" s="449">
        <f>[36]July_2026!$R$25</f>
        <v>0.32280701754385965</v>
      </c>
      <c r="L56" s="457">
        <f>(((D56+E56)-G56)/(D56+E56))*100</f>
        <v>5.9689288634505209</v>
      </c>
      <c r="M56" s="455" t="s">
        <v>171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[16]January_2019!L5</f>
        <v>0</v>
      </c>
      <c r="AC56" s="57">
        <f>[16]January_2019!M5</f>
        <v>0</v>
      </c>
      <c r="AD56" s="57">
        <f>[16]January_2019!N5</f>
        <v>0</v>
      </c>
      <c r="AE56" s="57">
        <f>[16]January_2019!O5</f>
        <v>0</v>
      </c>
      <c r="AF56" s="57">
        <f>[16]January_2019!P5</f>
        <v>0</v>
      </c>
      <c r="AG56" s="57">
        <f>[16]January_2019!Q5</f>
        <v>0</v>
      </c>
      <c r="AH56" s="57">
        <f>[16]January_2019!R5</f>
        <v>0</v>
      </c>
      <c r="AI56" s="57">
        <f>[16]January_2019!S5</f>
        <v>0</v>
      </c>
      <c r="AJ56" s="57">
        <f>[16]January_2019!T5</f>
        <v>0</v>
      </c>
      <c r="AK56" s="57">
        <f>[16]January_2019!U5</f>
        <v>0</v>
      </c>
      <c r="AL56" s="57">
        <f>[16]January_2019!V5</f>
        <v>0</v>
      </c>
      <c r="AM56" s="57">
        <f>[16]January_2019!W5</f>
        <v>0</v>
      </c>
      <c r="AN56" s="57">
        <f>[16]January_2019!X5</f>
        <v>0</v>
      </c>
      <c r="AO56" s="57">
        <f>[16]January_2019!Y5</f>
        <v>0</v>
      </c>
      <c r="AP56" s="57">
        <f>[16]January_2019!Z5</f>
        <v>0</v>
      </c>
      <c r="AQ56" s="57">
        <f>[16]January_2019!AA5</f>
        <v>0</v>
      </c>
      <c r="AR56" s="57">
        <f>[16]January_2019!AB5</f>
        <v>0</v>
      </c>
      <c r="AS56" s="57">
        <f>[16]January_2019!AC5</f>
        <v>0</v>
      </c>
      <c r="AT56" s="57">
        <f>[16]January_2019!AD5</f>
        <v>0</v>
      </c>
      <c r="AU56" s="57">
        <f>[16]January_2019!AE5</f>
        <v>0</v>
      </c>
      <c r="AV56" s="57">
        <f>[16]January_2019!AF5</f>
        <v>0</v>
      </c>
      <c r="AW56" s="57">
        <f>[16]January_2019!AG5</f>
        <v>0</v>
      </c>
      <c r="AX56" s="277">
        <f>[16]January_2019!AH5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4.25" hidden="1" customHeight="1" thickBot="1">
      <c r="B57" s="480"/>
      <c r="C57" s="479"/>
      <c r="D57" s="442"/>
      <c r="E57" s="443"/>
      <c r="F57" s="444"/>
      <c r="G57" s="445"/>
      <c r="H57" s="458"/>
      <c r="I57" s="458"/>
      <c r="J57" s="476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[16]January_2019!L6</f>
        <v>0</v>
      </c>
      <c r="AC57" s="57">
        <f>[16]January_2019!M6</f>
        <v>0</v>
      </c>
      <c r="AD57" s="57">
        <f>[16]January_2019!N6</f>
        <v>0</v>
      </c>
      <c r="AE57" s="57">
        <f>[16]January_2019!O6</f>
        <v>0</v>
      </c>
      <c r="AF57" s="57">
        <f>[16]January_2019!P6</f>
        <v>0</v>
      </c>
      <c r="AG57" s="57">
        <f>[16]January_2019!Q6</f>
        <v>0</v>
      </c>
      <c r="AH57" s="57">
        <f>[16]January_2019!R6</f>
        <v>0</v>
      </c>
      <c r="AI57" s="57">
        <f>[16]January_2019!S6</f>
        <v>0</v>
      </c>
      <c r="AJ57" s="57">
        <f>[16]January_2019!T6</f>
        <v>0</v>
      </c>
      <c r="AK57" s="57">
        <f>[16]January_2019!U6</f>
        <v>0</v>
      </c>
      <c r="AL57" s="57">
        <f>[16]January_2019!V6</f>
        <v>0</v>
      </c>
      <c r="AM57" s="57">
        <f>[16]January_2019!W6</f>
        <v>0</v>
      </c>
      <c r="AN57" s="57">
        <f>[16]January_2019!X6</f>
        <v>0</v>
      </c>
      <c r="AO57" s="57">
        <f>[16]January_2019!Y6</f>
        <v>0</v>
      </c>
      <c r="AP57" s="57">
        <f>[16]January_2019!Z6</f>
        <v>0</v>
      </c>
      <c r="AQ57" s="57">
        <f>[16]January_2019!AA6</f>
        <v>0</v>
      </c>
      <c r="AR57" s="57">
        <f>[16]January_2019!AB6</f>
        <v>0</v>
      </c>
      <c r="AS57" s="57">
        <f>[16]January_2019!AC6</f>
        <v>0</v>
      </c>
      <c r="AT57" s="57">
        <f>[16]January_2019!AD6</f>
        <v>0</v>
      </c>
      <c r="AU57" s="57">
        <f>[16]January_2019!AE6</f>
        <v>0</v>
      </c>
      <c r="AV57" s="57">
        <f>[16]January_2019!AF6</f>
        <v>0</v>
      </c>
      <c r="AW57" s="57">
        <f>[16]January_2019!AG6</f>
        <v>0</v>
      </c>
      <c r="AX57" s="277">
        <f>[16]January_2019!AH6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37.15" customHeight="1" thickBot="1">
      <c r="B58" s="499" t="str">
        <f>B70</f>
        <v>STAG</v>
      </c>
      <c r="C58" s="479">
        <v>46247</v>
      </c>
      <c r="D58" s="442">
        <f>[35]August_2026!$P$13</f>
        <v>684.50000000000011</v>
      </c>
      <c r="E58" s="443"/>
      <c r="F58" s="444"/>
      <c r="G58" s="444">
        <f>[35]August_2026!$P$17</f>
        <v>638.1</v>
      </c>
      <c r="H58" s="458"/>
      <c r="I58" s="458"/>
      <c r="J58" s="448" t="s">
        <v>185</v>
      </c>
      <c r="K58" s="449">
        <f>[36]August_2026!$P$25</f>
        <v>0.5597368421052632</v>
      </c>
      <c r="L58" s="457">
        <f>(((D58+E58)-G58)/(D58+E58))*100</f>
        <v>6.7786705624543586</v>
      </c>
      <c r="M58" s="455" t="s">
        <v>176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[16]January_2019!L7</f>
        <v>285.8</v>
      </c>
      <c r="AC58" s="57">
        <f>[16]January_2019!M7</f>
        <v>508.1</v>
      </c>
      <c r="AD58" s="57">
        <f>[16]January_2019!N7</f>
        <v>0</v>
      </c>
      <c r="AE58" s="57">
        <f>[16]January_2019!O7</f>
        <v>0</v>
      </c>
      <c r="AF58" s="57">
        <f>[16]January_2019!P7</f>
        <v>109.56666666666666</v>
      </c>
      <c r="AG58" s="57">
        <f>[16]January_2019!Q7</f>
        <v>297.64999999999998</v>
      </c>
      <c r="AH58" s="57">
        <f>[16]January_2019!R7</f>
        <v>122.3</v>
      </c>
      <c r="AI58" s="57">
        <f>[16]January_2019!S7</f>
        <v>0</v>
      </c>
      <c r="AJ58" s="57">
        <f>[16]January_2019!T7</f>
        <v>294.7</v>
      </c>
      <c r="AK58" s="57">
        <f>[16]January_2019!U7</f>
        <v>280.5</v>
      </c>
      <c r="AL58" s="57">
        <f>[16]January_2019!V7</f>
        <v>0</v>
      </c>
      <c r="AM58" s="57">
        <f>[16]January_2019!W7</f>
        <v>0</v>
      </c>
      <c r="AN58" s="57">
        <f>[16]January_2019!X7</f>
        <v>188.25</v>
      </c>
      <c r="AO58" s="57">
        <f>[16]January_2019!Y7</f>
        <v>295.7</v>
      </c>
      <c r="AP58" s="57">
        <f>[16]January_2019!Z7</f>
        <v>257.8</v>
      </c>
      <c r="AQ58" s="57">
        <f>[16]January_2019!AA7</f>
        <v>291.2</v>
      </c>
      <c r="AR58" s="57">
        <f>[16]January_2019!AB7</f>
        <v>187</v>
      </c>
      <c r="AS58" s="57">
        <f>[16]January_2019!AC7</f>
        <v>0</v>
      </c>
      <c r="AT58" s="57">
        <f>[16]January_2019!AD7</f>
        <v>0</v>
      </c>
      <c r="AU58" s="57">
        <f>[16]January_2019!AE7</f>
        <v>485.1</v>
      </c>
      <c r="AV58" s="57">
        <f>[16]January_2019!AF7</f>
        <v>171.55</v>
      </c>
      <c r="AW58" s="57">
        <f>[16]January_2019!AG7</f>
        <v>423.8</v>
      </c>
      <c r="AX58" s="277">
        <f>[16]January_2019!AH7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18.600000000000001" hidden="1" customHeight="1" thickBot="1">
      <c r="B59" s="478"/>
      <c r="C59" s="430"/>
      <c r="D59" s="431"/>
      <c r="E59" s="432"/>
      <c r="F59" s="433"/>
      <c r="G59" s="434"/>
      <c r="H59" s="458"/>
      <c r="I59" s="458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8.65" hidden="1" customHeight="1" thickBot="1">
      <c r="B60" s="498"/>
      <c r="C60" s="479"/>
      <c r="D60" s="442"/>
      <c r="E60" s="443"/>
      <c r="F60" s="444"/>
      <c r="G60" s="445"/>
      <c r="H60" s="458"/>
      <c r="I60" s="458"/>
      <c r="J60" s="448"/>
      <c r="K60" s="45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" hidden="1">
      <c r="B61" s="453"/>
      <c r="C61" s="430"/>
      <c r="D61" s="431"/>
      <c r="E61" s="432"/>
      <c r="F61" s="433"/>
      <c r="G61" s="434"/>
      <c r="H61" s="435"/>
      <c r="I61" s="450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hidden="1" customHeight="1" thickBot="1">
      <c r="B62" s="482"/>
      <c r="C62" s="479"/>
      <c r="D62" s="442"/>
      <c r="E62" s="443"/>
      <c r="F62" s="444"/>
      <c r="G62" s="445"/>
      <c r="H62" s="446"/>
      <c r="I62" s="447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hidden="1" customHeight="1" thickBot="1">
      <c r="B63" s="437"/>
      <c r="C63" s="423"/>
      <c r="D63" s="424"/>
      <c r="E63" s="425"/>
      <c r="F63" s="426"/>
      <c r="G63" s="427"/>
      <c r="H63" s="428"/>
      <c r="I63" s="438"/>
      <c r="J63" s="439"/>
      <c r="K63" s="429"/>
      <c r="L63" s="440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s="54" customFormat="1" ht="37.15" hidden="1" customHeight="1" thickBot="1">
      <c r="B64" s="456"/>
      <c r="C64" s="441"/>
      <c r="D64" s="442"/>
      <c r="E64" s="443"/>
      <c r="F64" s="444"/>
      <c r="G64" s="445"/>
      <c r="H64" s="446"/>
      <c r="I64" s="447"/>
      <c r="J64" s="448"/>
      <c r="K64" s="449"/>
      <c r="L64" s="457"/>
      <c r="M64" s="45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hidden="1" customHeight="1">
      <c r="B65" s="466"/>
      <c r="C65" s="430"/>
      <c r="D65" s="460"/>
      <c r="E65" s="461"/>
      <c r="F65" s="462"/>
      <c r="G65" s="460"/>
      <c r="H65" s="463"/>
      <c r="I65" s="463"/>
      <c r="J65" s="463"/>
      <c r="K65" s="464"/>
      <c r="L65" s="465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59" t="s">
        <v>55</v>
      </c>
      <c r="C67" s="560"/>
      <c r="D67" s="560"/>
      <c r="E67" s="560"/>
      <c r="F67" s="561"/>
      <c r="G67" s="559" t="s">
        <v>56</v>
      </c>
      <c r="H67" s="560"/>
      <c r="I67" s="560"/>
      <c r="J67" s="561"/>
      <c r="K67" s="559" t="s">
        <v>51</v>
      </c>
      <c r="L67" s="560"/>
      <c r="M67" s="560"/>
      <c r="N67" s="562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/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65"/>
      <c r="D69" s="76">
        <v>4.3915389773603719</v>
      </c>
      <c r="E69" s="76">
        <v>6.3506078581162004</v>
      </c>
      <c r="F69" s="66">
        <v>4.8</v>
      </c>
      <c r="G69" s="65"/>
      <c r="H69" s="477">
        <v>4.6175432482444858</v>
      </c>
      <c r="I69" s="477">
        <v>6.6408535188706264</v>
      </c>
      <c r="J69" s="66">
        <v>4.8</v>
      </c>
      <c r="K69" s="67"/>
      <c r="L69" s="194">
        <v>0.44353717627401829</v>
      </c>
      <c r="M69" s="194">
        <v>0.53205059826487233</v>
      </c>
      <c r="N69" s="68">
        <v>1</v>
      </c>
      <c r="O69" s="56"/>
      <c r="P69" s="69"/>
    </row>
    <row r="70" spans="2:57" ht="15">
      <c r="B70" s="33" t="s">
        <v>9</v>
      </c>
      <c r="C70" s="65">
        <f>L58</f>
        <v>6.7786705624543586</v>
      </c>
      <c r="D70" s="76">
        <v>9.1519813065913844</v>
      </c>
      <c r="E70" s="76">
        <v>6.0305779710387171</v>
      </c>
      <c r="F70" s="66">
        <v>4.8</v>
      </c>
      <c r="G70" s="65">
        <f>[35]August_2026!$P$21</f>
        <v>6.4039867624642071</v>
      </c>
      <c r="H70" s="76">
        <v>9.0512956283978756</v>
      </c>
      <c r="I70" s="76">
        <v>6.0517446408749818</v>
      </c>
      <c r="J70" s="66">
        <v>4.8</v>
      </c>
      <c r="K70" s="67">
        <f>K58</f>
        <v>0.5597368421052632</v>
      </c>
      <c r="L70" s="194">
        <v>0.79780701754385963</v>
      </c>
      <c r="M70" s="194">
        <v>0.70737346410149082</v>
      </c>
      <c r="N70" s="68">
        <v>1</v>
      </c>
      <c r="P70" s="69"/>
    </row>
    <row r="71" spans="2:57" ht="15">
      <c r="B71" s="34" t="s">
        <v>40</v>
      </c>
      <c r="C71" s="65"/>
      <c r="D71" s="76">
        <v>8.0132764343290681</v>
      </c>
      <c r="E71" s="76">
        <v>11.085360064780945</v>
      </c>
      <c r="F71" s="66">
        <v>5.5</v>
      </c>
      <c r="G71" s="65"/>
      <c r="H71" s="76">
        <v>7.261998133908862</v>
      </c>
      <c r="I71" s="76">
        <v>11.847386208595987</v>
      </c>
      <c r="J71" s="66">
        <v>5.5</v>
      </c>
      <c r="K71" s="67"/>
      <c r="L71" s="194">
        <v>0.68070175438596492</v>
      </c>
      <c r="M71" s="194">
        <v>0.37172629490392645</v>
      </c>
      <c r="N71" s="68">
        <v>1</v>
      </c>
      <c r="P71" s="69"/>
    </row>
    <row r="72" spans="2:57" ht="15">
      <c r="B72" s="22" t="s">
        <v>33</v>
      </c>
      <c r="C72" s="65"/>
      <c r="D72" s="76"/>
      <c r="E72" s="76">
        <v>4.8685538193023836</v>
      </c>
      <c r="F72" s="66">
        <v>3.3</v>
      </c>
      <c r="G72" s="65"/>
      <c r="H72" s="76"/>
      <c r="I72" s="76">
        <v>5.0921772905826597</v>
      </c>
      <c r="J72" s="66">
        <v>3.3</v>
      </c>
      <c r="K72" s="67"/>
      <c r="L72" s="194"/>
      <c r="M72" s="194">
        <v>0.79040935672514623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/>
      <c r="F73" s="66">
        <v>3.3</v>
      </c>
      <c r="G73" s="282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57" ht="15">
      <c r="B74" s="36" t="s">
        <v>15</v>
      </c>
      <c r="C74" s="65"/>
      <c r="D74" s="76"/>
      <c r="E74" s="76">
        <v>6.0400197628458603</v>
      </c>
      <c r="F74" s="70">
        <v>5.5</v>
      </c>
      <c r="G74" s="65"/>
      <c r="H74" s="76"/>
      <c r="I74" s="76">
        <v>8.2405787675951316</v>
      </c>
      <c r="J74" s="66">
        <v>5.5</v>
      </c>
      <c r="K74" s="67"/>
      <c r="L74" s="194"/>
      <c r="M74" s="194">
        <v>0.78491228070175445</v>
      </c>
      <c r="N74" s="68">
        <v>1</v>
      </c>
      <c r="P74" s="69"/>
    </row>
    <row r="75" spans="2:57" ht="15">
      <c r="B75" s="37" t="s">
        <v>16</v>
      </c>
      <c r="C75" s="483"/>
      <c r="D75" s="76">
        <v>2.3312883435582821</v>
      </c>
      <c r="E75" s="76">
        <v>3.4897129331795727</v>
      </c>
      <c r="F75" s="66">
        <v>3.3</v>
      </c>
      <c r="G75" s="282"/>
      <c r="H75" s="76">
        <v>2.9668764888279751</v>
      </c>
      <c r="I75" s="76">
        <v>4.7322074825777003</v>
      </c>
      <c r="J75" s="66">
        <v>3.3</v>
      </c>
      <c r="K75" s="67"/>
      <c r="L75" s="194">
        <v>1.3964912280701753</v>
      </c>
      <c r="M75" s="194">
        <v>0.9346464646464645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/>
      <c r="F76" s="66">
        <v>7.5</v>
      </c>
      <c r="G76" s="282"/>
      <c r="H76" s="76"/>
      <c r="I76" s="76"/>
      <c r="J76" s="66">
        <v>7.5</v>
      </c>
      <c r="K76" s="67"/>
      <c r="L76" s="194"/>
      <c r="M76" s="194"/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/>
      <c r="F77" s="66">
        <v>4.8</v>
      </c>
      <c r="G77" s="282"/>
      <c r="H77" s="76"/>
      <c r="I77" s="76"/>
      <c r="J77" s="66">
        <v>4.8</v>
      </c>
      <c r="K77" s="67"/>
      <c r="L77" s="194"/>
      <c r="M77" s="194"/>
      <c r="N77" s="71">
        <v>1</v>
      </c>
      <c r="O77" s="74"/>
      <c r="P77" s="75"/>
    </row>
    <row r="78" spans="2:57" ht="15">
      <c r="D78" s="76">
        <v>5.6458736681372015</v>
      </c>
      <c r="E78" s="76">
        <v>6.2754990789267966</v>
      </c>
      <c r="F78" s="341">
        <v>5.5</v>
      </c>
      <c r="H78" s="76">
        <v>5.6810267569058057</v>
      </c>
      <c r="I78" s="76">
        <v>6.6964985978227629</v>
      </c>
      <c r="J78" s="341">
        <v>5.5</v>
      </c>
      <c r="L78" s="194">
        <v>0.65449921099043906</v>
      </c>
      <c r="M78" s="194">
        <v>0.60917891778397659</v>
      </c>
      <c r="N78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5:N25"/>
    <mergeCell ref="D26:E26"/>
    <mergeCell ref="D27:E28"/>
    <mergeCell ref="D29:E30"/>
    <mergeCell ref="D31:E32"/>
    <mergeCell ref="D33:E34"/>
    <mergeCell ref="D35:E36"/>
    <mergeCell ref="D37:E38"/>
    <mergeCell ref="B27:B40"/>
    <mergeCell ref="D39:E40"/>
    <mergeCell ref="J39:K39"/>
    <mergeCell ref="L40:N40"/>
    <mergeCell ref="D41:E42"/>
    <mergeCell ref="D43:E44"/>
    <mergeCell ref="D45:E46"/>
    <mergeCell ref="B41:B48"/>
    <mergeCell ref="D47:E48"/>
    <mergeCell ref="D49:E49"/>
    <mergeCell ref="B54:B55"/>
    <mergeCell ref="C54:C55"/>
    <mergeCell ref="D54:D55"/>
    <mergeCell ref="E54:E55"/>
    <mergeCell ref="L54:L55"/>
    <mergeCell ref="M54:M55"/>
    <mergeCell ref="B67:F67"/>
    <mergeCell ref="G67:J67"/>
    <mergeCell ref="K67:N67"/>
    <mergeCell ref="F54:F55"/>
    <mergeCell ref="G54:G55"/>
    <mergeCell ref="H54:H55"/>
    <mergeCell ref="I54:I55"/>
    <mergeCell ref="J54:J55"/>
    <mergeCell ref="K54:K55"/>
  </mergeCells>
  <conditionalFormatting sqref="B49:B50">
    <cfRule type="cellIs" dxfId="2504" priority="111" operator="notBetween">
      <formula>#REF!</formula>
      <formula>#REF!</formula>
    </cfRule>
  </conditionalFormatting>
  <conditionalFormatting sqref="C53">
    <cfRule type="cellIs" dxfId="2503" priority="193" stopIfTrue="1" operator="lessThan">
      <formula>96</formula>
    </cfRule>
    <cfRule type="cellIs" dxfId="2502" priority="194" stopIfTrue="1" operator="greaterThan">
      <formula>100</formula>
    </cfRule>
  </conditionalFormatting>
  <conditionalFormatting sqref="C69:C70">
    <cfRule type="cellIs" dxfId="2501" priority="73" stopIfTrue="1" operator="greaterThan">
      <formula>$F69</formula>
    </cfRule>
    <cfRule type="cellIs" dxfId="2500" priority="74" stopIfTrue="1" operator="lessThanOrEqual">
      <formula>0</formula>
    </cfRule>
    <cfRule type="cellIs" dxfId="2499" priority="75" stopIfTrue="1" operator="greaterThan">
      <formula>$F69</formula>
    </cfRule>
    <cfRule type="cellIs" dxfId="2498" priority="76" stopIfTrue="1" operator="lessThanOrEqual">
      <formula>0</formula>
    </cfRule>
  </conditionalFormatting>
  <conditionalFormatting sqref="C71:C73 C75:C77">
    <cfRule type="cellIs" dxfId="2497" priority="83" stopIfTrue="1" operator="greaterThan">
      <formula>$F74</formula>
    </cfRule>
  </conditionalFormatting>
  <conditionalFormatting sqref="C71:C73">
    <cfRule type="cellIs" dxfId="2496" priority="84" stopIfTrue="1" operator="lessThanOrEqual">
      <formula>0</formula>
    </cfRule>
  </conditionalFormatting>
  <conditionalFormatting sqref="C74">
    <cfRule type="cellIs" dxfId="2495" priority="195" stopIfTrue="1" operator="greaterThan">
      <formula>$F69</formula>
    </cfRule>
    <cfRule type="cellIs" dxfId="2494" priority="198" stopIfTrue="1" operator="lessThanOrEqual">
      <formula>0</formula>
    </cfRule>
    <cfRule type="cellIs" dxfId="2493" priority="197" stopIfTrue="1" operator="greaterThan">
      <formula>$F69</formula>
    </cfRule>
    <cfRule type="cellIs" dxfId="2492" priority="196" stopIfTrue="1" operator="lessThanOrEqual">
      <formula>0</formula>
    </cfRule>
  </conditionalFormatting>
  <conditionalFormatting sqref="C75:C77">
    <cfRule type="cellIs" dxfId="2491" priority="85" stopIfTrue="1" operator="lessThanOrEqual">
      <formula>0</formula>
    </cfRule>
  </conditionalFormatting>
  <conditionalFormatting sqref="C80:C84">
    <cfRule type="cellIs" dxfId="2490" priority="185" stopIfTrue="1" operator="lessThanOrEqual">
      <formula>0</formula>
    </cfRule>
  </conditionalFormatting>
  <conditionalFormatting sqref="C81:C84">
    <cfRule type="cellIs" dxfId="2489" priority="184" stopIfTrue="1" operator="greaterThan">
      <formula>$F$80</formula>
    </cfRule>
  </conditionalFormatting>
  <conditionalFormatting sqref="C86">
    <cfRule type="cellIs" dxfId="2488" priority="186" stopIfTrue="1" operator="greaterThan">
      <formula>$F$80</formula>
    </cfRule>
    <cfRule type="cellIs" dxfId="2487" priority="187" stopIfTrue="1" operator="lessThanOrEqual">
      <formula>0</formula>
    </cfRule>
  </conditionalFormatting>
  <conditionalFormatting sqref="C74:D74">
    <cfRule type="cellIs" dxfId="2486" priority="71" stopIfTrue="1" operator="greaterThan">
      <formula>$J74</formula>
    </cfRule>
    <cfRule type="cellIs" dxfId="2485" priority="72" stopIfTrue="1" operator="lessThanOrEqual">
      <formula>0</formula>
    </cfRule>
  </conditionalFormatting>
  <conditionalFormatting sqref="C80:D80 D82:D88">
    <cfRule type="cellIs" dxfId="2484" priority="179" stopIfTrue="1" operator="greaterThan">
      <formula>4.5</formula>
    </cfRule>
  </conditionalFormatting>
  <conditionalFormatting sqref="D49:D50">
    <cfRule type="cellIs" dxfId="2483" priority="112" operator="notBetween">
      <formula>#REF!</formula>
      <formula>#REF!</formula>
    </cfRule>
  </conditionalFormatting>
  <conditionalFormatting sqref="D69:D73 D75:D76">
    <cfRule type="cellIs" dxfId="2482" priority="82" stopIfTrue="1" operator="lessThanOrEqual">
      <formula>0</formula>
    </cfRule>
  </conditionalFormatting>
  <conditionalFormatting sqref="D69:D73 D75:D78">
    <cfRule type="cellIs" dxfId="2481" priority="78" stopIfTrue="1" operator="lessThanOrEqual">
      <formula>0</formula>
    </cfRule>
    <cfRule type="cellIs" dxfId="2480" priority="79" stopIfTrue="1" operator="greaterThan">
      <formula>$F69</formula>
    </cfRule>
  </conditionalFormatting>
  <conditionalFormatting sqref="D77:D78">
    <cfRule type="cellIs" dxfId="2479" priority="80" stopIfTrue="1" operator="lessThanOrEqual">
      <formula>0</formula>
    </cfRule>
  </conditionalFormatting>
  <conditionalFormatting sqref="D78">
    <cfRule type="cellIs" dxfId="2478" priority="81" stopIfTrue="1" operator="lessThanOrEqual">
      <formula>0</formula>
    </cfRule>
  </conditionalFormatting>
  <conditionalFormatting sqref="D80 D82:D88">
    <cfRule type="cellIs" dxfId="2477" priority="180" stopIfTrue="1" operator="lessThanOrEqual">
      <formula>0</formula>
    </cfRule>
  </conditionalFormatting>
  <conditionalFormatting sqref="D81">
    <cfRule type="cellIs" dxfId="2476" priority="171" stopIfTrue="1" operator="greaterThan">
      <formula>$F$80</formula>
    </cfRule>
    <cfRule type="cellIs" dxfId="2475" priority="172" stopIfTrue="1" operator="lessThanOrEqual">
      <formula>0</formula>
    </cfRule>
  </conditionalFormatting>
  <conditionalFormatting sqref="E10:E24">
    <cfRule type="cellIs" dxfId="2474" priority="7" operator="lessThan">
      <formula>48</formula>
    </cfRule>
  </conditionalFormatting>
  <conditionalFormatting sqref="E52 E53:F53">
    <cfRule type="cellIs" dxfId="2473" priority="176" stopIfTrue="1" operator="greaterThan">
      <formula>100</formula>
    </cfRule>
  </conditionalFormatting>
  <conditionalFormatting sqref="E53">
    <cfRule type="cellIs" dxfId="2472" priority="174" stopIfTrue="1" operator="greaterThan">
      <formula>100</formula>
    </cfRule>
    <cfRule type="cellIs" dxfId="2471" priority="173" stopIfTrue="1" operator="lessThan">
      <formula>96.8</formula>
    </cfRule>
  </conditionalFormatting>
  <conditionalFormatting sqref="E69:E77">
    <cfRule type="cellIs" dxfId="2470" priority="44" stopIfTrue="1" operator="lessThanOrEqual">
      <formula>0</formula>
    </cfRule>
  </conditionalFormatting>
  <conditionalFormatting sqref="E69:E78">
    <cfRule type="cellIs" dxfId="2469" priority="45" stopIfTrue="1" operator="greaterThan">
      <formula>$F69</formula>
    </cfRule>
    <cfRule type="cellIs" dxfId="2468" priority="46" stopIfTrue="1" operator="lessThanOrEqual">
      <formula>0</formula>
    </cfRule>
  </conditionalFormatting>
  <conditionalFormatting sqref="E78">
    <cfRule type="cellIs" dxfId="2467" priority="47" stopIfTrue="1" operator="lessThanOrEqual">
      <formula>0</formula>
    </cfRule>
  </conditionalFormatting>
  <conditionalFormatting sqref="E80:E88">
    <cfRule type="cellIs" dxfId="2466" priority="165" stopIfTrue="1" operator="greaterThan">
      <formula>4.5</formula>
    </cfRule>
    <cfRule type="cellIs" dxfId="2465" priority="166" stopIfTrue="1" operator="lessThanOrEqual">
      <formula>0</formula>
    </cfRule>
  </conditionalFormatting>
  <conditionalFormatting sqref="E53:F53 E52">
    <cfRule type="cellIs" dxfId="2464" priority="175" stopIfTrue="1" operator="lessThan">
      <formula>96.5</formula>
    </cfRule>
  </conditionalFormatting>
  <conditionalFormatting sqref="F22:F24">
    <cfRule type="cellIs" dxfId="2463" priority="12" operator="greaterThan">
      <formula>60</formula>
    </cfRule>
  </conditionalFormatting>
  <conditionalFormatting sqref="F53">
    <cfRule type="cellIs" dxfId="2462" priority="191" stopIfTrue="1" operator="lessThan">
      <formula>96.8</formula>
    </cfRule>
    <cfRule type="cellIs" dxfId="2461" priority="192" stopIfTrue="1" operator="greaterThan">
      <formula>100</formula>
    </cfRule>
  </conditionalFormatting>
  <conditionalFormatting sqref="G10:G21">
    <cfRule type="expression" dxfId="2460" priority="9">
      <formula>IF(+(IF(G10&lt;S10,0,IF(G10&gt;T10,0,1)))=0,1)</formula>
    </cfRule>
  </conditionalFormatting>
  <conditionalFormatting sqref="G69:G72 F78">
    <cfRule type="cellIs" dxfId="2459" priority="53" stopIfTrue="1" operator="greaterThan">
      <formula>$F69</formula>
    </cfRule>
    <cfRule type="cellIs" dxfId="2458" priority="54" stopIfTrue="1" operator="lessThanOrEqual">
      <formula>0</formula>
    </cfRule>
  </conditionalFormatting>
  <conditionalFormatting sqref="G71:G72">
    <cfRule type="cellIs" dxfId="2457" priority="40" stopIfTrue="1" operator="lessThanOrEqual">
      <formula>0</formula>
    </cfRule>
    <cfRule type="cellIs" dxfId="2456" priority="39" stopIfTrue="1" operator="greaterThan">
      <formula>$F71</formula>
    </cfRule>
  </conditionalFormatting>
  <conditionalFormatting sqref="G73:G77">
    <cfRule type="cellIs" dxfId="2455" priority="56" stopIfTrue="1" operator="lessThanOrEqual">
      <formula>0</formula>
    </cfRule>
    <cfRule type="cellIs" dxfId="2454" priority="55" stopIfTrue="1" operator="greaterThan">
      <formula>$J73</formula>
    </cfRule>
  </conditionalFormatting>
  <conditionalFormatting sqref="G74">
    <cfRule type="cellIs" dxfId="2453" priority="199" stopIfTrue="1" operator="greaterThan">
      <formula>$F69</formula>
    </cfRule>
    <cfRule type="cellIs" dxfId="2452" priority="200" stopIfTrue="1" operator="lessThanOrEqual">
      <formula>0</formula>
    </cfRule>
  </conditionalFormatting>
  <conditionalFormatting sqref="G82:G87 C85 C87">
    <cfRule type="cellIs" dxfId="2451" priority="189" stopIfTrue="1" operator="lessThanOrEqual">
      <formula>0</formula>
    </cfRule>
    <cfRule type="cellIs" dxfId="2450" priority="188" stopIfTrue="1" operator="greaterThan">
      <formula>4.5</formula>
    </cfRule>
  </conditionalFormatting>
  <conditionalFormatting sqref="G22:H24">
    <cfRule type="expression" dxfId="2449" priority="11">
      <formula>IF(+(IF(G22&lt;#REF!,0,IF(G22&gt;#REF!,0,1)))=0,1)</formula>
    </cfRule>
  </conditionalFormatting>
  <conditionalFormatting sqref="G81:H81">
    <cfRule type="cellIs" dxfId="2448" priority="170" stopIfTrue="1" operator="lessThanOrEqual">
      <formula>0</formula>
    </cfRule>
    <cfRule type="cellIs" dxfId="2447" priority="169" stopIfTrue="1" operator="greaterThan">
      <formula>$F$80</formula>
    </cfRule>
  </conditionalFormatting>
  <conditionalFormatting sqref="H10:H21 M10:N24">
    <cfRule type="expression" dxfId="2446" priority="8">
      <formula>IF(+(IF(H10&lt;#REF!,0,IF(H10&gt;#REF!,0,1)))=0,1)</formula>
    </cfRule>
  </conditionalFormatting>
  <conditionalFormatting sqref="H38:H39 H52">
    <cfRule type="cellIs" dxfId="2445" priority="167" stopIfTrue="1" operator="greaterThan">
      <formula>0</formula>
    </cfRule>
  </conditionalFormatting>
  <conditionalFormatting sqref="H56">
    <cfRule type="cellIs" dxfId="2444" priority="67" stopIfTrue="1" operator="greaterThan">
      <formula>$F$72</formula>
    </cfRule>
    <cfRule type="cellIs" dxfId="2443" priority="58" stopIfTrue="1" operator="lessThanOrEqual">
      <formula>0</formula>
    </cfRule>
    <cfRule type="cellIs" dxfId="2442" priority="69" stopIfTrue="1" operator="greaterThan">
      <formula>$F$70</formula>
    </cfRule>
    <cfRule type="cellIs" dxfId="2441" priority="68" stopIfTrue="1" operator="lessThanOrEqual">
      <formula>0</formula>
    </cfRule>
    <cfRule type="cellIs" dxfId="2440" priority="59" stopIfTrue="1" operator="greaterThan">
      <formula>$F$69</formula>
    </cfRule>
  </conditionalFormatting>
  <conditionalFormatting sqref="H56:H57">
    <cfRule type="cellIs" dxfId="2439" priority="70" stopIfTrue="1" operator="lessThanOrEqual">
      <formula>0</formula>
    </cfRule>
  </conditionalFormatting>
  <conditionalFormatting sqref="H57 H59:H60">
    <cfRule type="cellIs" dxfId="2438" priority="97" stopIfTrue="1" operator="lessThanOrEqual">
      <formula>0</formula>
    </cfRule>
  </conditionalFormatting>
  <conditionalFormatting sqref="H57">
    <cfRule type="cellIs" dxfId="2437" priority="95" stopIfTrue="1" operator="lessThanOrEqual">
      <formula>0</formula>
    </cfRule>
    <cfRule type="cellIs" dxfId="2436" priority="96" stopIfTrue="1" operator="greaterThan">
      <formula>$F$70</formula>
    </cfRule>
    <cfRule type="cellIs" dxfId="2435" priority="94" stopIfTrue="1" operator="greaterThan">
      <formula>$F$72</formula>
    </cfRule>
    <cfRule type="cellIs" dxfId="2434" priority="86" stopIfTrue="1" operator="greaterThan">
      <formula>$F$69</formula>
    </cfRule>
  </conditionalFormatting>
  <conditionalFormatting sqref="H58">
    <cfRule type="cellIs" dxfId="2433" priority="36" stopIfTrue="1" operator="greaterThan">
      <formula>$F$72</formula>
    </cfRule>
    <cfRule type="cellIs" dxfId="2432" priority="37" stopIfTrue="1" operator="lessThanOrEqual">
      <formula>0</formula>
    </cfRule>
    <cfRule type="cellIs" dxfId="2431" priority="25" stopIfTrue="1" operator="lessThanOrEqual">
      <formula>0</formula>
    </cfRule>
    <cfRule type="cellIs" dxfId="2430" priority="26" stopIfTrue="1" operator="greaterThan">
      <formula>$F$71</formula>
    </cfRule>
    <cfRule type="cellIs" dxfId="2429" priority="35" stopIfTrue="1" operator="lessThanOrEqual">
      <formula>0</formula>
    </cfRule>
    <cfRule type="cellIs" dxfId="2428" priority="34" stopIfTrue="1" operator="greaterThan">
      <formula>$F$74</formula>
    </cfRule>
  </conditionalFormatting>
  <conditionalFormatting sqref="H59:H60">
    <cfRule type="cellIs" dxfId="2427" priority="108" stopIfTrue="1" operator="lessThanOrEqual">
      <formula>0</formula>
    </cfRule>
    <cfRule type="cellIs" dxfId="2426" priority="107" stopIfTrue="1" operator="greaterThan">
      <formula>$F$72</formula>
    </cfRule>
    <cfRule type="cellIs" dxfId="2425" priority="99" stopIfTrue="1" operator="greaterThan">
      <formula>$F$69</formula>
    </cfRule>
    <cfRule type="cellIs" dxfId="2424" priority="109" stopIfTrue="1" operator="greaterThan">
      <formula>$F$70</formula>
    </cfRule>
    <cfRule type="cellIs" dxfId="2423" priority="110" stopIfTrue="1" operator="lessThanOrEqual">
      <formula>0</formula>
    </cfRule>
  </conditionalFormatting>
  <conditionalFormatting sqref="H61:H62">
    <cfRule type="cellIs" dxfId="2422" priority="134" stopIfTrue="1" operator="lessThanOrEqual">
      <formula>0</formula>
    </cfRule>
    <cfRule type="cellIs" dxfId="2421" priority="135" stopIfTrue="1" operator="greaterThan">
      <formula>#REF!</formula>
    </cfRule>
    <cfRule type="cellIs" dxfId="2420" priority="144" stopIfTrue="1" operator="lessThanOrEqual">
      <formula>0</formula>
    </cfRule>
    <cfRule type="cellIs" dxfId="2419" priority="143" stopIfTrue="1" operator="greaterThan">
      <formula>#REF!</formula>
    </cfRule>
  </conditionalFormatting>
  <conditionalFormatting sqref="H63">
    <cfRule type="cellIs" dxfId="2418" priority="155" stopIfTrue="1" operator="greaterThan">
      <formula>$F$40</formula>
    </cfRule>
    <cfRule type="cellIs" dxfId="2417" priority="157" stopIfTrue="1" operator="greaterThan">
      <formula>$F$38</formula>
    </cfRule>
    <cfRule type="cellIs" dxfId="2416" priority="146" stopIfTrue="1" operator="lessThanOrEqual">
      <formula>0</formula>
    </cfRule>
    <cfRule type="cellIs" dxfId="2415" priority="147" stopIfTrue="1" operator="greaterThan">
      <formula>$F$37</formula>
    </cfRule>
    <cfRule type="cellIs" dxfId="2414" priority="158" stopIfTrue="1" operator="lessThanOrEqual">
      <formula>0</formula>
    </cfRule>
    <cfRule type="cellIs" dxfId="2413" priority="156" stopIfTrue="1" operator="lessThanOrEqual">
      <formula>0</formula>
    </cfRule>
  </conditionalFormatting>
  <conditionalFormatting sqref="H64:H65">
    <cfRule type="cellIs" dxfId="2412" priority="122" stopIfTrue="1" operator="lessThanOrEqual">
      <formula>0</formula>
    </cfRule>
    <cfRule type="cellIs" dxfId="2411" priority="123" stopIfTrue="1" operator="greaterThan">
      <formula>#REF!</formula>
    </cfRule>
    <cfRule type="cellIs" dxfId="2410" priority="131" stopIfTrue="1" operator="greaterThan">
      <formula>#REF!</formula>
    </cfRule>
    <cfRule type="cellIs" dxfId="2409" priority="132" stopIfTrue="1" operator="lessThanOrEqual">
      <formula>0</formula>
    </cfRule>
  </conditionalFormatting>
  <conditionalFormatting sqref="H80 H82:H88">
    <cfRule type="cellIs" dxfId="2408" priority="181" stopIfTrue="1" operator="greaterThan">
      <formula>4.5</formula>
    </cfRule>
    <cfRule type="cellIs" dxfId="2407" priority="182" stopIfTrue="1" operator="lessThanOrEqual">
      <formula>0</formula>
    </cfRule>
  </conditionalFormatting>
  <conditionalFormatting sqref="H56:I56">
    <cfRule type="cellIs" dxfId="2406" priority="60" stopIfTrue="1" operator="lessThanOrEqual">
      <formula>0</formula>
    </cfRule>
  </conditionalFormatting>
  <conditionalFormatting sqref="H56:I57 H59:I60">
    <cfRule type="cellIs" dxfId="2405" priority="57" stopIfTrue="1" operator="greaterThan">
      <formula>$F$71</formula>
    </cfRule>
  </conditionalFormatting>
  <conditionalFormatting sqref="H57:I57">
    <cfRule type="cellIs" dxfId="2404" priority="87" stopIfTrue="1" operator="lessThanOrEqual">
      <formula>0</formula>
    </cfRule>
  </conditionalFormatting>
  <conditionalFormatting sqref="H58:I58">
    <cfRule type="cellIs" dxfId="2403" priority="24" stopIfTrue="1" operator="greaterThan">
      <formula>$F$73</formula>
    </cfRule>
    <cfRule type="cellIs" dxfId="2402" priority="27" stopIfTrue="1" operator="lessThanOrEqual">
      <formula>0</formula>
    </cfRule>
  </conditionalFormatting>
  <conditionalFormatting sqref="H59:I60">
    <cfRule type="cellIs" dxfId="2401" priority="100" stopIfTrue="1" operator="lessThanOrEqual">
      <formula>0</formula>
    </cfRule>
  </conditionalFormatting>
  <conditionalFormatting sqref="H61:I62">
    <cfRule type="cellIs" dxfId="2400" priority="136" stopIfTrue="1" operator="lessThanOrEqual">
      <formula>0</formula>
    </cfRule>
    <cfRule type="cellIs" dxfId="2399" priority="142" stopIfTrue="1" operator="lessThanOrEqual">
      <formula>0</formula>
    </cfRule>
    <cfRule type="cellIs" dxfId="2398" priority="133" stopIfTrue="1" operator="greaterThan">
      <formula>#REF!</formula>
    </cfRule>
    <cfRule type="cellIs" dxfId="2397" priority="141" stopIfTrue="1" operator="greaterThan">
      <formula>#REF!</formula>
    </cfRule>
  </conditionalFormatting>
  <conditionalFormatting sqref="H63:I63">
    <cfRule type="cellIs" dxfId="2396" priority="145" stopIfTrue="1" operator="greaterThan">
      <formula>$F$39</formula>
    </cfRule>
    <cfRule type="cellIs" dxfId="2395" priority="148" stopIfTrue="1" operator="lessThanOrEqual">
      <formula>0</formula>
    </cfRule>
  </conditionalFormatting>
  <conditionalFormatting sqref="H64:I65">
    <cfRule type="cellIs" dxfId="2394" priority="129" stopIfTrue="1" operator="greaterThan">
      <formula>#REF!</formula>
    </cfRule>
    <cfRule type="cellIs" dxfId="2393" priority="130" stopIfTrue="1" operator="lessThanOrEqual">
      <formula>0</formula>
    </cfRule>
    <cfRule type="cellIs" dxfId="2392" priority="124" stopIfTrue="1" operator="lessThanOrEqual">
      <formula>0</formula>
    </cfRule>
    <cfRule type="cellIs" dxfId="2391" priority="121" stopIfTrue="1" operator="greaterThan">
      <formula>#REF!</formula>
    </cfRule>
  </conditionalFormatting>
  <conditionalFormatting sqref="H69:I76">
    <cfRule type="cellIs" dxfId="2390" priority="42" stopIfTrue="1" operator="greaterThan">
      <formula>$J69</formula>
    </cfRule>
    <cfRule type="cellIs" dxfId="2389" priority="43" stopIfTrue="1" operator="lessThanOrEqual">
      <formula>0</formula>
    </cfRule>
  </conditionalFormatting>
  <conditionalFormatting sqref="H77:I77">
    <cfRule type="cellIs" dxfId="2388" priority="50" operator="greaterThan">
      <formula>5.3</formula>
    </cfRule>
  </conditionalFormatting>
  <conditionalFormatting sqref="H78:I78">
    <cfRule type="cellIs" dxfId="2387" priority="48" stopIfTrue="1" operator="greaterThan">
      <formula>$J78</formula>
    </cfRule>
    <cfRule type="cellIs" dxfId="2386" priority="49" stopIfTrue="1" operator="lessThanOrEqual">
      <formula>0</formula>
    </cfRule>
  </conditionalFormatting>
  <conditionalFormatting sqref="I56">
    <cfRule type="cellIs" dxfId="2385" priority="66" stopIfTrue="1" operator="lessThanOrEqual">
      <formula>0</formula>
    </cfRule>
    <cfRule type="cellIs" dxfId="2384" priority="64" stopIfTrue="1" operator="lessThanOrEqual">
      <formula>0</formula>
    </cfRule>
    <cfRule type="cellIs" dxfId="2383" priority="61" stopIfTrue="1" operator="greaterThan">
      <formula>$F$69</formula>
    </cfRule>
    <cfRule type="cellIs" dxfId="2382" priority="63" stopIfTrue="1" operator="greaterThan">
      <formula>$F$71</formula>
    </cfRule>
    <cfRule type="cellIs" dxfId="2381" priority="62" stopIfTrue="1" operator="lessThanOrEqual">
      <formula>0</formula>
    </cfRule>
    <cfRule type="cellIs" dxfId="2380" priority="65" stopIfTrue="1" operator="greaterThan">
      <formula>$F$69</formula>
    </cfRule>
  </conditionalFormatting>
  <conditionalFormatting sqref="I57">
    <cfRule type="cellIs" dxfId="2379" priority="88" stopIfTrue="1" operator="greaterThan">
      <formula>$F$69</formula>
    </cfRule>
    <cfRule type="cellIs" dxfId="2378" priority="89" stopIfTrue="1" operator="lessThanOrEqual">
      <formula>0</formula>
    </cfRule>
    <cfRule type="cellIs" dxfId="2377" priority="90" stopIfTrue="1" operator="greaterThan">
      <formula>$F$71</formula>
    </cfRule>
    <cfRule type="cellIs" dxfId="2376" priority="91" stopIfTrue="1" operator="lessThanOrEqual">
      <formula>0</formula>
    </cfRule>
    <cfRule type="cellIs" dxfId="2375" priority="93" stopIfTrue="1" operator="lessThanOrEqual">
      <formula>0</formula>
    </cfRule>
    <cfRule type="cellIs" dxfId="2374" priority="92" stopIfTrue="1" operator="greaterThan">
      <formula>$F$69</formula>
    </cfRule>
  </conditionalFormatting>
  <conditionalFormatting sqref="I58">
    <cfRule type="cellIs" dxfId="2373" priority="28" stopIfTrue="1" operator="greaterThan">
      <formula>$F$71</formula>
    </cfRule>
    <cfRule type="cellIs" dxfId="2372" priority="29" stopIfTrue="1" operator="lessThanOrEqual">
      <formula>0</formula>
    </cfRule>
    <cfRule type="cellIs" dxfId="2371" priority="30" stopIfTrue="1" operator="greaterThan">
      <formula>$F$73</formula>
    </cfRule>
    <cfRule type="cellIs" dxfId="2370" priority="31" stopIfTrue="1" operator="lessThanOrEqual">
      <formula>0</formula>
    </cfRule>
    <cfRule type="cellIs" dxfId="2369" priority="33" stopIfTrue="1" operator="lessThanOrEqual">
      <formula>0</formula>
    </cfRule>
    <cfRule type="cellIs" dxfId="2368" priority="32" stopIfTrue="1" operator="greaterThan">
      <formula>$F$71</formula>
    </cfRule>
  </conditionalFormatting>
  <conditionalFormatting sqref="I59:I60">
    <cfRule type="cellIs" dxfId="2367" priority="105" stopIfTrue="1" operator="greaterThan">
      <formula>$F$69</formula>
    </cfRule>
    <cfRule type="cellIs" dxfId="2366" priority="106" stopIfTrue="1" operator="lessThanOrEqual">
      <formula>0</formula>
    </cfRule>
    <cfRule type="cellIs" dxfId="2365" priority="101" stopIfTrue="1" operator="greaterThan">
      <formula>$F$69</formula>
    </cfRule>
    <cfRule type="cellIs" dxfId="2364" priority="102" stopIfTrue="1" operator="lessThanOrEqual">
      <formula>0</formula>
    </cfRule>
    <cfRule type="cellIs" dxfId="2363" priority="103" stopIfTrue="1" operator="greaterThan">
      <formula>$F$71</formula>
    </cfRule>
    <cfRule type="cellIs" dxfId="2362" priority="104" stopIfTrue="1" operator="lessThanOrEqual">
      <formula>0</formula>
    </cfRule>
  </conditionalFormatting>
  <conditionalFormatting sqref="I61:I62">
    <cfRule type="cellIs" dxfId="2361" priority="139" stopIfTrue="1" operator="greaterThan">
      <formula>#REF!</formula>
    </cfRule>
    <cfRule type="cellIs" dxfId="2360" priority="138" stopIfTrue="1" operator="lessThanOrEqual">
      <formula>0</formula>
    </cfRule>
    <cfRule type="cellIs" dxfId="2359" priority="137" stopIfTrue="1" operator="greaterThan">
      <formula>#REF!</formula>
    </cfRule>
    <cfRule type="cellIs" dxfId="2358" priority="140" stopIfTrue="1" operator="lessThanOrEqual">
      <formula>0</formula>
    </cfRule>
  </conditionalFormatting>
  <conditionalFormatting sqref="I63">
    <cfRule type="cellIs" dxfId="2357" priority="153" stopIfTrue="1" operator="greaterThan">
      <formula>$F$37</formula>
    </cfRule>
    <cfRule type="cellIs" dxfId="2356" priority="154" stopIfTrue="1" operator="lessThanOrEqual">
      <formula>0</formula>
    </cfRule>
    <cfRule type="cellIs" dxfId="2355" priority="152" stopIfTrue="1" operator="lessThanOrEqual">
      <formula>0</formula>
    </cfRule>
    <cfRule type="cellIs" dxfId="2354" priority="151" stopIfTrue="1" operator="greaterThan">
      <formula>$F$39</formula>
    </cfRule>
    <cfRule type="cellIs" dxfId="2353" priority="150" stopIfTrue="1" operator="lessThanOrEqual">
      <formula>0</formula>
    </cfRule>
    <cfRule type="cellIs" dxfId="2352" priority="149" stopIfTrue="1" operator="greaterThan">
      <formula>$F$37</formula>
    </cfRule>
  </conditionalFormatting>
  <conditionalFormatting sqref="I64:I65">
    <cfRule type="cellIs" dxfId="2351" priority="128" stopIfTrue="1" operator="lessThanOrEqual">
      <formula>0</formula>
    </cfRule>
    <cfRule type="cellIs" dxfId="2350" priority="125" stopIfTrue="1" operator="greaterThan">
      <formula>#REF!</formula>
    </cfRule>
    <cfRule type="cellIs" dxfId="2349" priority="126" stopIfTrue="1" operator="lessThanOrEqual">
      <formula>0</formula>
    </cfRule>
    <cfRule type="cellIs" dxfId="2348" priority="127" stopIfTrue="1" operator="greaterThan">
      <formula>#REF!</formula>
    </cfRule>
  </conditionalFormatting>
  <conditionalFormatting sqref="I80:I88">
    <cfRule type="cellIs" dxfId="2347" priority="178" stopIfTrue="1" operator="lessThanOrEqual">
      <formula>0</formula>
    </cfRule>
    <cfRule type="cellIs" dxfId="2346" priority="177" stopIfTrue="1" operator="greaterThan">
      <formula>4.5</formula>
    </cfRule>
  </conditionalFormatting>
  <conditionalFormatting sqref="I10:J24">
    <cfRule type="cellIs" dxfId="2345" priority="1" operator="lessThan">
      <formula>97.9</formula>
    </cfRule>
  </conditionalFormatting>
  <conditionalFormatting sqref="J27:J29">
    <cfRule type="cellIs" dxfId="2344" priority="23" operator="lessThan">
      <formula>97.95</formula>
    </cfRule>
  </conditionalFormatting>
  <conditionalFormatting sqref="J29:J31">
    <cfRule type="cellIs" dxfId="2343" priority="159" operator="lessThan">
      <formula>97.4</formula>
    </cfRule>
  </conditionalFormatting>
  <conditionalFormatting sqref="J32:J33">
    <cfRule type="cellIs" dxfId="2342" priority="160" operator="lessThan">
      <formula>98</formula>
    </cfRule>
  </conditionalFormatting>
  <conditionalFormatting sqref="J34:J35">
    <cfRule type="cellIs" dxfId="2341" priority="161" stopIfTrue="1" operator="lessThan">
      <formula>96.8</formula>
    </cfRule>
    <cfRule type="cellIs" dxfId="2340" priority="162" stopIfTrue="1" operator="greaterThan">
      <formula>100</formula>
    </cfRule>
  </conditionalFormatting>
  <conditionalFormatting sqref="J34:J36">
    <cfRule type="cellIs" dxfId="2339" priority="163" operator="lessThan">
      <formula>98</formula>
    </cfRule>
  </conditionalFormatting>
  <conditionalFormatting sqref="J65">
    <cfRule type="cellIs" dxfId="2338" priority="118" stopIfTrue="1" operator="lessThanOrEqual">
      <formula>0</formula>
    </cfRule>
    <cfRule type="cellIs" dxfId="2337" priority="119" stopIfTrue="1" operator="greaterThan">
      <formula>#REF!</formula>
    </cfRule>
    <cfRule type="cellIs" dxfId="2336" priority="120" stopIfTrue="1" operator="lessThanOrEqual">
      <formula>0</formula>
    </cfRule>
    <cfRule type="cellIs" dxfId="2335" priority="113" stopIfTrue="1" operator="greaterThan">
      <formula>#REF!</formula>
    </cfRule>
    <cfRule type="cellIs" dxfId="2334" priority="114" stopIfTrue="1" operator="lessThanOrEqual">
      <formula>0</formula>
    </cfRule>
    <cfRule type="cellIs" dxfId="2333" priority="115" stopIfTrue="1" operator="greaterThan">
      <formula>#REF!</formula>
    </cfRule>
    <cfRule type="cellIs" dxfId="2332" priority="116" stopIfTrue="1" operator="lessThanOrEqual">
      <formula>0</formula>
    </cfRule>
    <cfRule type="cellIs" dxfId="2331" priority="117" stopIfTrue="1" operator="greaterThan">
      <formula>#REF!</formula>
    </cfRule>
  </conditionalFormatting>
  <conditionalFormatting sqref="J78">
    <cfRule type="cellIs" dxfId="2330" priority="52" stopIfTrue="1" operator="lessThanOrEqual">
      <formula>0</formula>
    </cfRule>
    <cfRule type="cellIs" dxfId="2329" priority="51" stopIfTrue="1" operator="greaterThan">
      <formula>$F78</formula>
    </cfRule>
  </conditionalFormatting>
  <conditionalFormatting sqref="K10:K24">
    <cfRule type="cellIs" dxfId="2328" priority="2" operator="greaterThan">
      <formula>6</formula>
    </cfRule>
    <cfRule type="cellIs" dxfId="2327" priority="3" operator="lessThan">
      <formula>4</formula>
    </cfRule>
    <cfRule type="cellIs" dxfId="2326" priority="4" operator="greaterThan">
      <formula>6.4</formula>
    </cfRule>
  </conditionalFormatting>
  <conditionalFormatting sqref="K56:K65">
    <cfRule type="cellIs" dxfId="2325" priority="98" stopIfTrue="1" operator="lessThan">
      <formula>100%</formula>
    </cfRule>
  </conditionalFormatting>
  <conditionalFormatting sqref="K69:K77">
    <cfRule type="cellIs" dxfId="2324" priority="41" stopIfTrue="1" operator="lessThan">
      <formula>100%</formula>
    </cfRule>
  </conditionalFormatting>
  <conditionalFormatting sqref="K80:K85">
    <cfRule type="cellIs" dxfId="2323" priority="183" stopIfTrue="1" operator="lessThan">
      <formula>100%</formula>
    </cfRule>
  </conditionalFormatting>
  <conditionalFormatting sqref="K87:K88">
    <cfRule type="cellIs" dxfId="2322" priority="190" stopIfTrue="1" operator="lessThan">
      <formula>100%</formula>
    </cfRule>
  </conditionalFormatting>
  <conditionalFormatting sqref="L10:L24">
    <cfRule type="cellIs" dxfId="2321" priority="5" operator="between">
      <formula>61</formula>
      <formula>65</formula>
    </cfRule>
    <cfRule type="cellIs" dxfId="2320" priority="6" operator="greaterThan">
      <formula>65</formula>
    </cfRule>
  </conditionalFormatting>
  <conditionalFormatting sqref="L27:M38">
    <cfRule type="cellIs" dxfId="2319" priority="22" operator="lessThan">
      <formula>97.95</formula>
    </cfRule>
  </conditionalFormatting>
  <conditionalFormatting sqref="L42:N42">
    <cfRule type="cellIs" dxfId="2318" priority="77" operator="notEqual">
      <formula>#REF!</formula>
    </cfRule>
  </conditionalFormatting>
  <conditionalFormatting sqref="L69:N78">
    <cfRule type="cellIs" dxfId="2317" priority="38" stopIfTrue="1" operator="lessThan">
      <formula>100%</formula>
    </cfRule>
  </conditionalFormatting>
  <conditionalFormatting sqref="L80:N88">
    <cfRule type="cellIs" dxfId="2316" priority="168" stopIfTrue="1" operator="lessThan">
      <formula>100%</formula>
    </cfRule>
  </conditionalFormatting>
  <conditionalFormatting sqref="N10:N24">
    <cfRule type="expression" dxfId="2315" priority="10">
      <formula>IF(+(IF(N10&lt;W10,0,IF(N10&gt;X10,0,1)))=0,1)</formula>
    </cfRule>
  </conditionalFormatting>
  <conditionalFormatting sqref="P6">
    <cfRule type="cellIs" dxfId="2314" priority="164" operator="greaterThanOrEqual">
      <formula>19</formula>
    </cfRule>
  </conditionalFormatting>
  <dataValidations count="1">
    <dataValidation type="list" allowBlank="1" showInputMessage="1" showErrorMessage="1" sqref="R8" xr:uid="{C5FB2C4F-F46F-4CF0-856B-4EC77FA131D7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7E58-E4D2-4B2A-AA6D-1FA617D48926}">
  <sheetPr>
    <pageSetUpPr fitToPage="1"/>
  </sheetPr>
  <dimension ref="A1:BE82"/>
  <sheetViews>
    <sheetView topLeftCell="A6" zoomScale="60" zoomScaleNormal="60" workbookViewId="0">
      <selection activeCell="B27" sqref="B27:O27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12" t="s">
        <v>0</v>
      </c>
      <c r="T1" s="512"/>
      <c r="U1" s="512" t="s">
        <v>1</v>
      </c>
      <c r="V1" s="512"/>
      <c r="W1" s="512" t="s">
        <v>2</v>
      </c>
      <c r="X1" s="512"/>
      <c r="Y1" s="512" t="s">
        <v>124</v>
      </c>
      <c r="Z1" s="512"/>
    </row>
    <row r="2" spans="2:29" ht="15">
      <c r="B2" s="513" t="s">
        <v>3</v>
      </c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46251</v>
      </c>
      <c r="J4" s="398" t="s">
        <v>184</v>
      </c>
      <c r="K4" s="398"/>
      <c r="L4" s="11"/>
      <c r="M4" s="510" t="s">
        <v>8</v>
      </c>
      <c r="N4" s="511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6"/>
      <c r="D5" s="516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19" t="s">
        <v>18</v>
      </c>
      <c r="D8" s="519" t="s">
        <v>19</v>
      </c>
      <c r="E8" s="356" t="s">
        <v>20</v>
      </c>
      <c r="F8" s="356" t="s">
        <v>21</v>
      </c>
      <c r="G8" s="519" t="s">
        <v>22</v>
      </c>
      <c r="H8" s="520" t="s">
        <v>144</v>
      </c>
      <c r="I8" s="519" t="s">
        <v>181</v>
      </c>
      <c r="J8" s="522" t="s">
        <v>23</v>
      </c>
      <c r="K8" s="524" t="s">
        <v>142</v>
      </c>
      <c r="L8" s="526" t="s">
        <v>24</v>
      </c>
      <c r="M8" s="359" t="s">
        <v>25</v>
      </c>
      <c r="N8" s="17" t="s">
        <v>168</v>
      </c>
      <c r="O8" s="519" t="s">
        <v>155</v>
      </c>
      <c r="P8" s="514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8"/>
      <c r="C9" s="515"/>
      <c r="D9" s="515"/>
      <c r="E9" s="357" t="s">
        <v>30</v>
      </c>
      <c r="F9" s="357" t="s">
        <v>31</v>
      </c>
      <c r="G9" s="515"/>
      <c r="H9" s="521"/>
      <c r="I9" s="515"/>
      <c r="J9" s="523"/>
      <c r="K9" s="525"/>
      <c r="L9" s="527"/>
      <c r="M9" s="20" t="s">
        <v>32</v>
      </c>
      <c r="N9" s="21" t="s">
        <v>41</v>
      </c>
      <c r="O9" s="515"/>
      <c r="P9" s="515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29" t="s">
        <v>6</v>
      </c>
      <c r="C10" s="366" t="str">
        <f>[4]Brewhouse!$A619</f>
        <v>CA571</v>
      </c>
      <c r="D10" s="279">
        <f>[4]Brewhouse!$AF619</f>
        <v>47.1</v>
      </c>
      <c r="E10" s="279">
        <f>[4]Brewhouse!$AI619</f>
        <v>48</v>
      </c>
      <c r="F10" s="278">
        <f>[4]Brewhouse!$V619</f>
        <v>54</v>
      </c>
      <c r="G10" s="279">
        <f>[4]Brewhouse!AG619</f>
        <v>12.1</v>
      </c>
      <c r="H10" s="396">
        <v>12</v>
      </c>
      <c r="I10" s="368">
        <f>[4]Brewhouse!$AU619</f>
        <v>96.630393194942471</v>
      </c>
      <c r="J10" s="368">
        <f>[4]Brewhouse!$AV619</f>
        <v>97.523493386465191</v>
      </c>
      <c r="K10" s="281">
        <f>[4]Brewhouse!$Q619</f>
        <v>14.824399260628471</v>
      </c>
      <c r="L10" s="276">
        <f>[4]Brewhouse!$P619</f>
        <v>57</v>
      </c>
      <c r="M10" s="397">
        <f>[4]Brewhouse!$U619-[4]Brewhouse!$T619</f>
        <v>0.10763888888888884</v>
      </c>
      <c r="N10" s="370">
        <f>[4]Brewhouse!$Z619</f>
        <v>0.24583333333333335</v>
      </c>
      <c r="O10" s="420" t="str">
        <f>[4]Brewhouse!$AX619</f>
        <v>R. Sookram</v>
      </c>
      <c r="P10" s="418"/>
      <c r="R10" s="277" t="str">
        <f t="shared" ref="R10:R42" si="0">B10</f>
        <v>CARIB</v>
      </c>
      <c r="S10" s="472">
        <f t="shared" ref="S10:S42" si="1">VLOOKUP($B10,$R$3:$X$9,2,FALSE)</f>
        <v>11.6</v>
      </c>
      <c r="T10" s="472">
        <f t="shared" ref="T10:T42" si="2">VLOOKUP($B10,$R$3:$X$9,3,FALSE)</f>
        <v>12</v>
      </c>
      <c r="U10" s="297">
        <f t="shared" ref="U10:U42" si="3">VLOOKUP($B10,$R$3:$X$9,4,FALSE)</f>
        <v>0</v>
      </c>
      <c r="V10" s="297">
        <f t="shared" ref="V10:V42" si="4">VLOOKUP($B10,$R$3:$X$9,5,FALSE)</f>
        <v>0.118055555555556</v>
      </c>
      <c r="W10" s="297">
        <f t="shared" ref="W10:W42" si="5">VLOOKUP($B10,$R$3:$X$9,6,FALSE)</f>
        <v>0.22569444444444445</v>
      </c>
      <c r="X10" s="297">
        <f t="shared" ref="X10:X42" si="6">VLOOKUP($B10,$R$3:$X$9,7,FALSE)</f>
        <v>0.2638888888888889</v>
      </c>
      <c r="Y10" s="297">
        <f t="shared" ref="Y10:Y42" si="7">VLOOKUP($B10,$R$3:$Z$9,8,FALSE)</f>
        <v>0</v>
      </c>
      <c r="Z10" s="472">
        <f t="shared" ref="Z10:Z42" si="8">VLOOKUP($B10,$R$3:$Z$9,9,FALSE)</f>
        <v>60</v>
      </c>
    </row>
    <row r="11" spans="2:29" ht="17.25" customHeight="1">
      <c r="B11" s="29" t="s">
        <v>6</v>
      </c>
      <c r="C11" s="366" t="str">
        <f>[4]Brewhouse!$A620</f>
        <v>CA572</v>
      </c>
      <c r="D11" s="279">
        <f>[4]Brewhouse!$AF620</f>
        <v>49.6</v>
      </c>
      <c r="E11" s="279">
        <f>[4]Brewhouse!$AI620</f>
        <v>51.4</v>
      </c>
      <c r="F11" s="278">
        <f>[4]Brewhouse!$V620</f>
        <v>62</v>
      </c>
      <c r="G11" s="279">
        <f>[4]Brewhouse!AG620</f>
        <v>11.7</v>
      </c>
      <c r="H11" s="396">
        <v>11.9</v>
      </c>
      <c r="I11" s="368">
        <f>[4]Brewhouse!$AU620</f>
        <v>99.633829486310873</v>
      </c>
      <c r="J11" s="368">
        <f>[4]Brewhouse!$AV620</f>
        <v>100.55481022404247</v>
      </c>
      <c r="K11" s="281">
        <f>[4]Brewhouse!$Q620</f>
        <v>11.866913123844734</v>
      </c>
      <c r="L11" s="276">
        <f>[4]Brewhouse!$P620</f>
        <v>60</v>
      </c>
      <c r="M11" s="397">
        <f>[4]Brewhouse!$U620-[4]Brewhouse!$T620</f>
        <v>0.11319444444444443</v>
      </c>
      <c r="N11" s="370">
        <f>[4]Brewhouse!$Z620</f>
        <v>0.25972222222222219</v>
      </c>
      <c r="O11" s="420" t="str">
        <f>[4]Brewhouse!$AX620</f>
        <v>R. Sookram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29" t="s">
        <v>6</v>
      </c>
      <c r="C12" s="366" t="str">
        <f>[4]Brewhouse!$A621</f>
        <v>CA573</v>
      </c>
      <c r="D12" s="279">
        <f>[4]Brewhouse!$AF621</f>
        <v>47.5</v>
      </c>
      <c r="E12" s="279">
        <f>[4]Brewhouse!$AI621</f>
        <v>50.3</v>
      </c>
      <c r="F12" s="278">
        <f>[4]Brewhouse!$V621</f>
        <v>134</v>
      </c>
      <c r="G12" s="279">
        <f>[4]Brewhouse!AG621</f>
        <v>11.8</v>
      </c>
      <c r="H12" s="396">
        <v>12.1</v>
      </c>
      <c r="I12" s="368">
        <f>[4]Brewhouse!$AU621</f>
        <v>98.745967480313396</v>
      </c>
      <c r="J12" s="368">
        <f>[4]Brewhouse!$AV621</f>
        <v>99.658560307822981</v>
      </c>
      <c r="K12" s="281">
        <f>[4]Brewhouse!$Q621</f>
        <v>13.530499075785581</v>
      </c>
      <c r="L12" s="276">
        <f>[4]Brewhouse!$P621</f>
        <v>60</v>
      </c>
      <c r="M12" s="397">
        <f>[4]Brewhouse!$U621-[4]Brewhouse!$T621</f>
        <v>0.15069444444444441</v>
      </c>
      <c r="N12" s="370">
        <f>[4]Brewhouse!$Z621</f>
        <v>0.3034722222222222</v>
      </c>
      <c r="O12" s="420" t="str">
        <f>[4]Brewhouse!$AX621</f>
        <v>R. 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29" t="s">
        <v>6</v>
      </c>
      <c r="C13" s="366" t="str">
        <f>[4]Brewhouse!$A622</f>
        <v>CA574</v>
      </c>
      <c r="D13" s="279">
        <f>[4]Brewhouse!$AF622</f>
        <v>48.8</v>
      </c>
      <c r="E13" s="279">
        <f>[4]Brewhouse!$AI622</f>
        <v>49.7</v>
      </c>
      <c r="F13" s="278">
        <f>[4]Brewhouse!$V622</f>
        <v>61</v>
      </c>
      <c r="G13" s="279">
        <f>[4]Brewhouse!AG622</f>
        <v>11.8</v>
      </c>
      <c r="H13" s="396">
        <v>12.2</v>
      </c>
      <c r="I13" s="368">
        <f>[4]Brewhouse!$AU622</f>
        <v>97.446768754393304</v>
      </c>
      <c r="J13" s="368">
        <f>[4]Brewhouse!$AV622</f>
        <v>98.347414244495411</v>
      </c>
      <c r="K13" s="281">
        <f>[4]Brewhouse!$Q622</f>
        <v>11.127541589648803</v>
      </c>
      <c r="L13" s="276">
        <f>[4]Brewhouse!$P622</f>
        <v>115</v>
      </c>
      <c r="M13" s="397">
        <f>[4]Brewhouse!$U622-[4]Brewhouse!$T622</f>
        <v>0.14583333333333331</v>
      </c>
      <c r="N13" s="370">
        <f>[4]Brewhouse!$Z622</f>
        <v>0.2902777777777778</v>
      </c>
      <c r="O13" s="420" t="str">
        <f>[4]Brewhouse!$AX622</f>
        <v>R. Sookram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29" t="s">
        <v>6</v>
      </c>
      <c r="C14" s="366" t="str">
        <f>[4]Brewhouse!$A623</f>
        <v>CA575</v>
      </c>
      <c r="D14" s="279">
        <f>[4]Brewhouse!$AF623</f>
        <v>49.9</v>
      </c>
      <c r="E14" s="279">
        <f>[4]Brewhouse!$AI623</f>
        <v>51.4</v>
      </c>
      <c r="F14" s="278">
        <f>[4]Brewhouse!$V623</f>
        <v>63</v>
      </c>
      <c r="G14" s="279">
        <f>[4]Brewhouse!AG623</f>
        <v>11.7</v>
      </c>
      <c r="H14" s="396">
        <v>12.4</v>
      </c>
      <c r="I14" s="368">
        <f>[4]Brewhouse!$AU623</f>
        <v>99.881595354826231</v>
      </c>
      <c r="J14" s="368">
        <f>[4]Brewhouse!$AV623</f>
        <v>100.80474457311648</v>
      </c>
      <c r="K14" s="281" t="e">
        <f>[4]Brewhouse!$Q623</f>
        <v>#DIV/0!</v>
      </c>
      <c r="L14" s="276">
        <f>[4]Brewhouse!$P623</f>
        <v>61</v>
      </c>
      <c r="M14" s="397">
        <f>[4]Brewhouse!$U623-[4]Brewhouse!$T623</f>
        <v>0.11250000000000004</v>
      </c>
      <c r="N14" s="370">
        <f>[4]Brewhouse!$Z623</f>
        <v>0.28611111111111115</v>
      </c>
      <c r="O14" s="420" t="str">
        <f>[4]Brewhouse!$AX623</f>
        <v xml:space="preserve">P. Calliste 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29" t="s">
        <v>6</v>
      </c>
      <c r="C15" s="366" t="str">
        <f>[4]Brewhouse!$A624</f>
        <v>CA576</v>
      </c>
      <c r="D15" s="279">
        <f>[4]Brewhouse!$AF624</f>
        <v>48.3</v>
      </c>
      <c r="E15" s="279">
        <f>[4]Brewhouse!$AI624</f>
        <v>49.2</v>
      </c>
      <c r="F15" s="278">
        <f>[4]Brewhouse!$V624</f>
        <v>59</v>
      </c>
      <c r="G15" s="279">
        <f>[4]Brewhouse!AG624</f>
        <v>12</v>
      </c>
      <c r="H15" s="396">
        <v>12.5</v>
      </c>
      <c r="I15" s="368">
        <f>[4]Brewhouse!$AU624</f>
        <v>98.064310250675931</v>
      </c>
      <c r="J15" s="368">
        <f>[4]Brewhouse!$AV624</f>
        <v>98.970723185470447</v>
      </c>
      <c r="K15" s="281">
        <f>[4]Brewhouse!$Q624</f>
        <v>12.05175600739372</v>
      </c>
      <c r="L15" s="276">
        <f>[4]Brewhouse!$P624</f>
        <v>62</v>
      </c>
      <c r="M15" s="397">
        <f>[4]Brewhouse!$U624-[4]Brewhouse!$T624</f>
        <v>0.10763888888888895</v>
      </c>
      <c r="N15" s="370">
        <f>[4]Brewhouse!$Z624</f>
        <v>0.24722222222222223</v>
      </c>
      <c r="O15" s="420" t="str">
        <f>[4]Brewhouse!$AX624</f>
        <v xml:space="preserve">P. Calliste 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[4]Brewhouse!$A625</f>
        <v>CA577</v>
      </c>
      <c r="D16" s="279">
        <f>[4]Brewhouse!$AF625</f>
        <v>48.3</v>
      </c>
      <c r="E16" s="279">
        <f>[4]Brewhouse!$AI625</f>
        <v>49.2</v>
      </c>
      <c r="F16" s="278">
        <f>[4]Brewhouse!$V625</f>
        <v>60</v>
      </c>
      <c r="G16" s="279">
        <f>[4]Brewhouse!AG625</f>
        <v>12</v>
      </c>
      <c r="H16" s="396">
        <v>12.2</v>
      </c>
      <c r="I16" s="368">
        <f>[4]Brewhouse!$AU625</f>
        <v>98.308476686710605</v>
      </c>
      <c r="J16" s="368">
        <f>[4]Brewhouse!$AV625</f>
        <v>99.217026301413298</v>
      </c>
      <c r="K16" s="281">
        <f>[4]Brewhouse!$Q625</f>
        <v>12.05175600739372</v>
      </c>
      <c r="L16" s="276">
        <f>[4]Brewhouse!$P625</f>
        <v>61</v>
      </c>
      <c r="M16" s="397">
        <f>[4]Brewhouse!$U625-[4]Brewhouse!$T625</f>
        <v>0.11111111111111116</v>
      </c>
      <c r="N16" s="370">
        <f>[4]Brewhouse!$Z625</f>
        <v>0.24791666666666667</v>
      </c>
      <c r="O16" s="420" t="str">
        <f>[4]Brewhouse!$AX625</f>
        <v xml:space="preserve">P. Calliste 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 customHeight="1">
      <c r="B17" s="29" t="s">
        <v>6</v>
      </c>
      <c r="C17" s="366" t="str">
        <f>[4]Brewhouse!$A626</f>
        <v>CA578</v>
      </c>
      <c r="D17" s="279">
        <f>[4]Brewhouse!$AF626</f>
        <v>49.6</v>
      </c>
      <c r="E17" s="279">
        <f>[4]Brewhouse!$AI626</f>
        <v>51.2</v>
      </c>
      <c r="F17" s="278">
        <f>[4]Brewhouse!$V626</f>
        <v>61</v>
      </c>
      <c r="G17" s="279">
        <f>[4]Brewhouse!AG626</f>
        <v>12</v>
      </c>
      <c r="H17" s="396">
        <v>11.8</v>
      </c>
      <c r="I17" s="368">
        <f>[4]Brewhouse!$AU626</f>
        <v>102.30475622682079</v>
      </c>
      <c r="J17" s="368">
        <f>[4]Brewhouse!$AV626</f>
        <v>103.25023875269027</v>
      </c>
      <c r="K17" s="281">
        <f>[4]Brewhouse!$Q626</f>
        <v>12.606284658040664</v>
      </c>
      <c r="L17" s="276">
        <f>[4]Brewhouse!$P626</f>
        <v>61</v>
      </c>
      <c r="M17" s="397">
        <f>[4]Brewhouse!$U626-[4]Brewhouse!$T626</f>
        <v>0.10833333333333339</v>
      </c>
      <c r="N17" s="370">
        <f>[4]Brewhouse!$Z626</f>
        <v>0.25277777777777777</v>
      </c>
      <c r="O17" s="420" t="str">
        <f>[4]Brewhouse!$AX626</f>
        <v>R. Regis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5" customHeight="1">
      <c r="B18" s="29" t="s">
        <v>6</v>
      </c>
      <c r="C18" s="366" t="str">
        <f>[4]Brewhouse!$A627</f>
        <v>CA579</v>
      </c>
      <c r="D18" s="279">
        <f>[4]Brewhouse!$AF627</f>
        <v>47.7</v>
      </c>
      <c r="E18" s="279">
        <f>[4]Brewhouse!$AI627</f>
        <v>48.2</v>
      </c>
      <c r="F18" s="278">
        <f>[4]Brewhouse!$V627</f>
        <v>60</v>
      </c>
      <c r="G18" s="279">
        <f>[4]Brewhouse!AG627</f>
        <v>11.8</v>
      </c>
      <c r="H18" s="396">
        <v>11.9</v>
      </c>
      <c r="I18" s="368">
        <f>[4]Brewhouse!$AU627</f>
        <v>94.623372416522983</v>
      </c>
      <c r="J18" s="368">
        <f>[4]Brewhouse!$AV627</f>
        <v>95.497864947059</v>
      </c>
      <c r="K18" s="281">
        <f>[4]Brewhouse!$Q627</f>
        <v>13.555555555555557</v>
      </c>
      <c r="L18" s="276">
        <f>[4]Brewhouse!$P627</f>
        <v>57</v>
      </c>
      <c r="M18" s="397">
        <f>[4]Brewhouse!$U627-[4]Brewhouse!$T627</f>
        <v>0.10555555555555562</v>
      </c>
      <c r="N18" s="370">
        <f>[4]Brewhouse!$Z627</f>
        <v>0.26111111111111118</v>
      </c>
      <c r="O18" s="420" t="str">
        <f>[4]Brewhouse!$AX627</f>
        <v>R. Regis</v>
      </c>
      <c r="P18" s="418"/>
      <c r="R18" s="277" t="str">
        <f t="shared" si="0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6" ht="15" customHeight="1">
      <c r="B19" s="29" t="s">
        <v>6</v>
      </c>
      <c r="C19" s="366" t="str">
        <f>[4]Brewhouse!$A628</f>
        <v>CA580</v>
      </c>
      <c r="D19" s="279">
        <f>[4]Brewhouse!$AF628</f>
        <v>50.5</v>
      </c>
      <c r="E19" s="279">
        <f>[4]Brewhouse!$AI628</f>
        <v>51.2</v>
      </c>
      <c r="F19" s="278">
        <f>[4]Brewhouse!$V628</f>
        <v>65</v>
      </c>
      <c r="G19" s="279">
        <f>[4]Brewhouse!AG628</f>
        <v>12</v>
      </c>
      <c r="H19" s="396">
        <v>12</v>
      </c>
      <c r="I19" s="368">
        <f>[4]Brewhouse!$AU628</f>
        <v>102.05066432590664</v>
      </c>
      <c r="J19" s="368">
        <f>[4]Brewhouse!$AV628</f>
        <v>102.99392331496111</v>
      </c>
      <c r="K19" s="281">
        <f>[4]Brewhouse!$Q628</f>
        <v>7.985212569316082</v>
      </c>
      <c r="L19" s="276">
        <f>[4]Brewhouse!$P628</f>
        <v>67</v>
      </c>
      <c r="M19" s="397">
        <f>[4]Brewhouse!$U628-[4]Brewhouse!$T628</f>
        <v>0.1368055555555554</v>
      </c>
      <c r="N19" s="370">
        <f>[4]Brewhouse!$Z628</f>
        <v>0.2895833333333333</v>
      </c>
      <c r="O19" s="420" t="str">
        <f>[4]Brewhouse!$AX628</f>
        <v>R. Sookram</v>
      </c>
      <c r="P19" s="418"/>
      <c r="R19" s="277" t="str">
        <f t="shared" si="0"/>
        <v>CARIB</v>
      </c>
      <c r="S19" s="472">
        <f t="shared" si="1"/>
        <v>11.6</v>
      </c>
      <c r="T19" s="472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2">
        <f t="shared" si="8"/>
        <v>60</v>
      </c>
    </row>
    <row r="20" spans="1:26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/>
      <c r="S20" s="472"/>
      <c r="T20" s="472"/>
      <c r="U20" s="297"/>
      <c r="V20" s="297"/>
      <c r="W20" s="297"/>
      <c r="X20" s="297"/>
      <c r="Y20" s="297"/>
      <c r="Z20" s="472"/>
    </row>
    <row r="21" spans="1:26" ht="15" customHeight="1">
      <c r="B21" s="500" t="s">
        <v>187</v>
      </c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/>
      <c r="S21" s="472"/>
      <c r="T21" s="472"/>
      <c r="U21" s="297"/>
      <c r="V21" s="297"/>
      <c r="W21" s="297"/>
      <c r="X21" s="297"/>
      <c r="Y21" s="297"/>
      <c r="Z21" s="472"/>
    </row>
    <row r="22" spans="1:26" ht="15" customHeight="1">
      <c r="B22" s="29" t="s">
        <v>6</v>
      </c>
      <c r="C22" s="366" t="str">
        <f>[4]Brewhouse!$A629</f>
        <v>CA581</v>
      </c>
      <c r="D22" s="279">
        <f>[4]Brewhouse!$AF629</f>
        <v>58.7</v>
      </c>
      <c r="E22" s="279">
        <f>[4]Brewhouse!$AI629</f>
        <v>49.4</v>
      </c>
      <c r="F22" s="278">
        <f>[4]Brewhouse!$V629</f>
        <v>56</v>
      </c>
      <c r="G22" s="279">
        <f>[4]Brewhouse!AG629</f>
        <v>12</v>
      </c>
      <c r="H22" s="396">
        <v>12</v>
      </c>
      <c r="I22" s="368">
        <f>[4]Brewhouse!$AU629</f>
        <v>98.46294565819899</v>
      </c>
      <c r="J22" s="368">
        <f>[4]Brewhouse!$AV629</f>
        <v>99.373043198419509</v>
      </c>
      <c r="K22" s="281">
        <f>[4]Brewhouse!$Q629</f>
        <v>12.999999999999993</v>
      </c>
      <c r="L22" s="276">
        <f>[4]Brewhouse!$P629</f>
        <v>58</v>
      </c>
      <c r="M22" s="397">
        <f>[4]Brewhouse!$U629-[4]Brewhouse!$T629</f>
        <v>0.10138888888888889</v>
      </c>
      <c r="N22" s="370">
        <f>[4]Brewhouse!$Z629</f>
        <v>0.27013888888888887</v>
      </c>
      <c r="O22" s="420" t="str">
        <f>[4]Brewhouse!$AX629</f>
        <v>R. Sookram</v>
      </c>
      <c r="P22" s="418"/>
      <c r="R22" s="277" t="str">
        <f t="shared" si="0"/>
        <v>CARIB</v>
      </c>
      <c r="S22" s="472">
        <f t="shared" si="1"/>
        <v>11.6</v>
      </c>
      <c r="T22" s="472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472">
        <f t="shared" si="8"/>
        <v>60</v>
      </c>
    </row>
    <row r="23" spans="1:26" ht="15" customHeight="1">
      <c r="B23" s="29" t="s">
        <v>6</v>
      </c>
      <c r="C23" s="366" t="str">
        <f>[4]Brewhouse!$A630</f>
        <v>CA582</v>
      </c>
      <c r="D23" s="279">
        <f>[4]Brewhouse!$AF630</f>
        <v>52.3</v>
      </c>
      <c r="E23" s="279">
        <f>[4]Brewhouse!$AI630</f>
        <v>53.2</v>
      </c>
      <c r="F23" s="278">
        <f>[4]Brewhouse!$V630</f>
        <v>64</v>
      </c>
      <c r="G23" s="279">
        <f>[4]Brewhouse!AG630</f>
        <v>11.6</v>
      </c>
      <c r="H23" s="396">
        <v>11.9</v>
      </c>
      <c r="I23" s="368">
        <f>[4]Brewhouse!$AU630</f>
        <v>102.5771141317837</v>
      </c>
      <c r="J23" s="368">
        <f>[4]Brewhouse!$AV630</f>
        <v>103.52511374140785</v>
      </c>
      <c r="K23" s="281">
        <f>[4]Brewhouse!$Q630</f>
        <v>8.5397412199630267</v>
      </c>
      <c r="L23" s="276">
        <f>[4]Brewhouse!$P630</f>
        <v>58</v>
      </c>
      <c r="M23" s="397">
        <f>[4]Brewhouse!$U630-[4]Brewhouse!$T630</f>
        <v>0.11111111111111116</v>
      </c>
      <c r="N23" s="370">
        <f>[4]Brewhouse!$Z630</f>
        <v>0.25763888888888892</v>
      </c>
      <c r="O23" s="420" t="str">
        <f>[4]Brewhouse!$AX630</f>
        <v>R. Sookram</v>
      </c>
      <c r="P23" s="418"/>
      <c r="R23" s="277" t="str">
        <f t="shared" si="0"/>
        <v>CARIB</v>
      </c>
      <c r="S23" s="472">
        <f t="shared" si="1"/>
        <v>11.6</v>
      </c>
      <c r="T23" s="472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472">
        <f t="shared" si="8"/>
        <v>60</v>
      </c>
    </row>
    <row r="24" spans="1:26" ht="15" customHeight="1">
      <c r="B24" s="29" t="s">
        <v>6</v>
      </c>
      <c r="C24" s="366" t="str">
        <f>[4]Brewhouse!$A631</f>
        <v>CA583</v>
      </c>
      <c r="D24" s="279">
        <f>[4]Brewhouse!$AF631</f>
        <v>49.5</v>
      </c>
      <c r="E24" s="279">
        <f>[4]Brewhouse!$AI631</f>
        <v>51.1</v>
      </c>
      <c r="F24" s="278">
        <f>[4]Brewhouse!$V631</f>
        <v>62</v>
      </c>
      <c r="G24" s="279">
        <f>[4]Brewhouse!AG631</f>
        <v>11.6</v>
      </c>
      <c r="H24" s="396">
        <v>11.8</v>
      </c>
      <c r="I24" s="368">
        <f>[4]Brewhouse!$AU631</f>
        <v>98.897378510792095</v>
      </c>
      <c r="J24" s="368">
        <f>[4]Brewhouse!$AV631</f>
        <v>99.811188197746162</v>
      </c>
      <c r="K24" s="281">
        <f>[4]Brewhouse!$Q631</f>
        <v>13.530499075785581</v>
      </c>
      <c r="L24" s="276">
        <f>[4]Brewhouse!$P631</f>
        <v>62</v>
      </c>
      <c r="M24" s="397">
        <f>[4]Brewhouse!$U631-[4]Brewhouse!$T631</f>
        <v>0.1118055555555556</v>
      </c>
      <c r="N24" s="370">
        <f>[4]Brewhouse!$Z631</f>
        <v>0.24652777777777785</v>
      </c>
      <c r="O24" s="420" t="str">
        <f>[4]Brewhouse!$AX631</f>
        <v>R. Sookram</v>
      </c>
      <c r="P24" s="418"/>
      <c r="R24" s="277" t="str">
        <f t="shared" si="0"/>
        <v>CARIB</v>
      </c>
      <c r="S24" s="472">
        <f t="shared" si="1"/>
        <v>11.6</v>
      </c>
      <c r="T24" s="472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472">
        <f t="shared" si="8"/>
        <v>60</v>
      </c>
    </row>
    <row r="25" spans="1:26" ht="15" customHeight="1">
      <c r="B25" s="29" t="s">
        <v>6</v>
      </c>
      <c r="C25" s="366" t="str">
        <f>[4]Brewhouse!$A632</f>
        <v>CA584</v>
      </c>
      <c r="D25" s="279">
        <f>[4]Brewhouse!$AF632</f>
        <v>48.6</v>
      </c>
      <c r="E25" s="279">
        <f>[4]Brewhouse!$AI632</f>
        <v>50</v>
      </c>
      <c r="F25" s="278">
        <f>[4]Brewhouse!$V632</f>
        <v>63</v>
      </c>
      <c r="G25" s="279">
        <f>[4]Brewhouse!AG632</f>
        <v>11.9</v>
      </c>
      <c r="H25" s="396">
        <v>12.2</v>
      </c>
      <c r="I25" s="368">
        <f>[4]Brewhouse!$AU632</f>
        <v>99.032006915549005</v>
      </c>
      <c r="J25" s="368">
        <f>[4]Brewhouse!$AV632</f>
        <v>99.947243269104675</v>
      </c>
      <c r="K25" s="281">
        <f>[4]Brewhouse!$Q632</f>
        <v>13.715341959334568</v>
      </c>
      <c r="L25" s="276">
        <f>[4]Brewhouse!$P632</f>
        <v>59</v>
      </c>
      <c r="M25" s="397">
        <f>[4]Brewhouse!$U632-[4]Brewhouse!$T632</f>
        <v>0.11111111111111105</v>
      </c>
      <c r="N25" s="370">
        <f>[4]Brewhouse!$Z632</f>
        <v>0.25138888888888883</v>
      </c>
      <c r="O25" s="420" t="str">
        <f>[4]Brewhouse!$AX632</f>
        <v xml:space="preserve">D. Gomaz </v>
      </c>
      <c r="P25" s="418"/>
      <c r="R25" s="277" t="str">
        <f t="shared" si="0"/>
        <v>CARIB</v>
      </c>
      <c r="S25" s="472">
        <f t="shared" si="1"/>
        <v>11.6</v>
      </c>
      <c r="T25" s="472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472">
        <f t="shared" si="8"/>
        <v>60</v>
      </c>
    </row>
    <row r="26" spans="1:26" ht="15" customHeight="1">
      <c r="B26" s="29" t="s">
        <v>6</v>
      </c>
      <c r="C26" s="366" t="str">
        <f>[4]Brewhouse!$A633</f>
        <v>CA585</v>
      </c>
      <c r="D26" s="279">
        <f>[4]Brewhouse!$AF633</f>
        <v>50.1</v>
      </c>
      <c r="E26" s="279">
        <f>[4]Brewhouse!$AI633</f>
        <v>51.6</v>
      </c>
      <c r="F26" s="278">
        <f>[4]Brewhouse!$V633</f>
        <v>64</v>
      </c>
      <c r="G26" s="279">
        <f>[4]Brewhouse!AG633</f>
        <v>11.7</v>
      </c>
      <c r="H26" s="396">
        <v>12</v>
      </c>
      <c r="I26" s="368">
        <f>[4]Brewhouse!$AU633</f>
        <v>100.3950691408541</v>
      </c>
      <c r="J26" s="368">
        <f>[4]Brewhouse!$AV633</f>
        <v>101.32290267525677</v>
      </c>
      <c r="K26" s="281">
        <f>[4]Brewhouse!$Q633</f>
        <v>13.900184842883553</v>
      </c>
      <c r="L26" s="276">
        <f>[4]Brewhouse!$P633</f>
        <v>60</v>
      </c>
      <c r="M26" s="397">
        <f>[4]Brewhouse!$U633-[4]Brewhouse!$T633</f>
        <v>0.11597222222222214</v>
      </c>
      <c r="N26" s="370">
        <f>[4]Brewhouse!$Z633</f>
        <v>0.24999999999999994</v>
      </c>
      <c r="O26" s="420" t="str">
        <f>[4]Brewhouse!$AX633</f>
        <v xml:space="preserve">D. Gomaz </v>
      </c>
      <c r="P26" s="418"/>
      <c r="R26" s="277"/>
      <c r="S26" s="472"/>
      <c r="T26" s="472"/>
      <c r="U26" s="297"/>
      <c r="V26" s="297"/>
      <c r="W26" s="297"/>
      <c r="X26" s="297"/>
      <c r="Y26" s="297"/>
      <c r="Z26" s="472"/>
    </row>
    <row r="27" spans="1:26" ht="15" customHeight="1">
      <c r="B27" s="29" t="s">
        <v>6</v>
      </c>
      <c r="C27" s="366" t="str">
        <f>[4]Brewhouse!$A634</f>
        <v>CA586</v>
      </c>
      <c r="D27" s="279">
        <f>[4]Brewhouse!$AF634</f>
        <v>49.3</v>
      </c>
      <c r="E27" s="279">
        <f>[4]Brewhouse!$AI634</f>
        <v>51</v>
      </c>
      <c r="F27" s="278">
        <f>[4]Brewhouse!$V634</f>
        <v>59</v>
      </c>
      <c r="G27" s="279">
        <f>[4]Brewhouse!AG634</f>
        <v>11.6</v>
      </c>
      <c r="H27" s="396">
        <v>12</v>
      </c>
      <c r="I27" s="368">
        <f>[4]Brewhouse!$AU634</f>
        <v>98.335203397010687</v>
      </c>
      <c r="J27" s="368">
        <f>[4]Brewhouse!$AV634</f>
        <v>99.244000015259402</v>
      </c>
      <c r="K27" s="281">
        <f>[4]Brewhouse!$Q634</f>
        <v>13.16081330868761</v>
      </c>
      <c r="L27" s="276">
        <f>[4]Brewhouse!$P634</f>
        <v>60</v>
      </c>
      <c r="M27" s="397">
        <f>[4]Brewhouse!$U634-[4]Brewhouse!$T634</f>
        <v>0.10972222222222228</v>
      </c>
      <c r="N27" s="370">
        <f>[4]Brewhouse!$Z634</f>
        <v>0.20694444444444449</v>
      </c>
      <c r="O27" s="420" t="str">
        <f>[4]Brewhouse!$AX634</f>
        <v xml:space="preserve">D. Gomaz </v>
      </c>
      <c r="P27" s="418"/>
      <c r="R27" s="277"/>
      <c r="S27" s="472"/>
      <c r="T27" s="472"/>
      <c r="U27" s="297"/>
      <c r="V27" s="297"/>
      <c r="W27" s="297"/>
      <c r="X27" s="297"/>
      <c r="Y27" s="297"/>
      <c r="Z27" s="472"/>
    </row>
    <row r="28" spans="1:26" ht="15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420"/>
      <c r="P28" s="418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7.25" customHeight="1" thickBot="1">
      <c r="B29" s="358"/>
      <c r="C29" s="358"/>
      <c r="D29" s="358"/>
      <c r="E29" s="358"/>
      <c r="F29" s="294"/>
      <c r="G29" s="294"/>
      <c r="H29" s="348"/>
      <c r="I29" s="528"/>
      <c r="J29" s="528"/>
      <c r="K29" s="528"/>
      <c r="L29" s="528"/>
      <c r="M29" s="528"/>
      <c r="N29" s="528"/>
      <c r="O29" s="1"/>
      <c r="P29" s="12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7.25" customHeight="1" thickBot="1">
      <c r="B30" s="489" t="s">
        <v>162</v>
      </c>
      <c r="C30" s="388"/>
      <c r="D30" s="529" t="s">
        <v>35</v>
      </c>
      <c r="E30" s="530"/>
      <c r="F30" s="294"/>
      <c r="G30" s="294"/>
      <c r="H30" s="348"/>
      <c r="I30" s="24" t="s">
        <v>17</v>
      </c>
      <c r="J30" s="25"/>
      <c r="K30" s="26" t="s">
        <v>138</v>
      </c>
      <c r="L30" s="25" t="s">
        <v>37</v>
      </c>
      <c r="M30" s="25" t="s">
        <v>38</v>
      </c>
      <c r="N30" s="27" t="s">
        <v>39</v>
      </c>
      <c r="O30" s="294"/>
      <c r="P30" s="12"/>
      <c r="R30" s="277" t="str">
        <f t="shared" si="0"/>
        <v xml:space="preserve">BRAND 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7.25" customHeight="1">
      <c r="A31" s="28"/>
      <c r="B31" s="541" t="str">
        <f>I31</f>
        <v>CARIB</v>
      </c>
      <c r="C31" s="490">
        <f>[4]Process!D581</f>
        <v>12</v>
      </c>
      <c r="D31" s="534">
        <v>11.87</v>
      </c>
      <c r="E31" s="535"/>
      <c r="F31" s="294"/>
      <c r="G31" s="294"/>
      <c r="H31" s="348"/>
      <c r="I31" s="29" t="s">
        <v>6</v>
      </c>
      <c r="J31" s="323">
        <f>AVERAGE(I10:I19,I22:I27)</f>
        <v>99.086865745725717</v>
      </c>
      <c r="K31" s="284">
        <f>COUNTA([4]Brewhouse!$A$595:$A$634)</f>
        <v>40</v>
      </c>
      <c r="L31" s="305">
        <f>AVERAGE([4]Brewhouse!$AU$595:$AU$634)</f>
        <v>99.367816514833734</v>
      </c>
      <c r="M31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AVERAGE([4]Brewhouse!$AU$42:$AU$123,[4]Brewhouse!$AU$125:$AU$188,[4]Brewhouse!$AU$198:$AU$290,[4]Brewhouse!$AU$292:$AU$370,[4]Brewhouse!$AU$372:$AU$439,[4]Brewhouse!$AU$441:$AU$497,[4]Brewhouse!$AU$499:$AU$519,[4]Brewhouse!$AU$521:$AU$593,[4]Brewhouse!$AU$595:$AU$634)</f>
        <v>98.251792850883604</v>
      </c>
      <c r="N31" s="30">
        <v>98</v>
      </c>
      <c r="O31" s="11"/>
      <c r="P31" s="31"/>
      <c r="R31" s="277" t="str">
        <f t="shared" si="0"/>
        <v>CARIB</v>
      </c>
      <c r="S31" s="472">
        <f t="shared" si="1"/>
        <v>11.6</v>
      </c>
      <c r="T31" s="472">
        <f t="shared" si="2"/>
        <v>12</v>
      </c>
      <c r="U31" s="297">
        <f t="shared" si="3"/>
        <v>0</v>
      </c>
      <c r="V31" s="297">
        <f t="shared" si="4"/>
        <v>0.118055555555556</v>
      </c>
      <c r="W31" s="297">
        <f t="shared" si="5"/>
        <v>0.22569444444444445</v>
      </c>
      <c r="X31" s="297">
        <f t="shared" si="6"/>
        <v>0.2638888888888889</v>
      </c>
      <c r="Y31" s="297">
        <f t="shared" si="7"/>
        <v>0</v>
      </c>
      <c r="Z31" s="472">
        <f t="shared" si="8"/>
        <v>60</v>
      </c>
    </row>
    <row r="32" spans="1:26" ht="15" customHeight="1">
      <c r="A32" s="28"/>
      <c r="B32" s="542"/>
      <c r="C32" s="362">
        <f>[4]Process!D582</f>
        <v>12</v>
      </c>
      <c r="D32" s="536"/>
      <c r="E32" s="537"/>
      <c r="F32" s="294"/>
      <c r="G32" s="294"/>
      <c r="H32" s="348"/>
      <c r="I32" s="33" t="s">
        <v>9</v>
      </c>
      <c r="J32" s="323"/>
      <c r="K32" s="284">
        <f>COUNTA([3]Brewhouse!$A$327:$A$338)</f>
        <v>12</v>
      </c>
      <c r="L32" s="302">
        <f>AVERAGE([3]Brewhouse!$AS$327:$AS$338)</f>
        <v>99.318300191325861</v>
      </c>
      <c r="M32" s="302">
        <f>AVERAGE([3]Brewhouse!$AS$52:$AS$81,[3]Brewhouse!$AS$83:$AS$124,[3]Brewhouse!$AS$134:$AS$177,[3]Brewhouse!$AS$22:$AS$179,[3]Brewhouse!$AS$214:$AS$249,[3]Brewhouse!$AS$252:$AS$293,[3]Brewhouse!$AS$295:$AS$325,[3]Brewhouse!$AS$327:$AS$338)</f>
        <v>98.18037568252457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7" ht="14.65" customHeight="1">
      <c r="A33" s="28"/>
      <c r="B33" s="542"/>
      <c r="C33" s="362">
        <f>[4]Process!D583</f>
        <v>11.7</v>
      </c>
      <c r="D33" s="538">
        <v>11.86</v>
      </c>
      <c r="E33" s="539"/>
      <c r="F33" s="294"/>
      <c r="G33" s="294"/>
      <c r="H33" s="348"/>
      <c r="I33" s="34" t="s">
        <v>12</v>
      </c>
      <c r="J33" s="323"/>
      <c r="K33" s="284"/>
      <c r="L33" s="302"/>
      <c r="M33" s="302">
        <f>AVERAGE([5]Brewhouse!$AU$16:$AU$23,[5]Brewhouse!$AU$25:$AU$32,[5]Brewhouse!$AU$34:$AU$41,[5]Brewhouse!$AU$43:$AU$60,[5]Brewhouse!$AU$62:$AU$69,[5]Brewhouse!$AU$71:$AU$88)</f>
        <v>96.520985666401089</v>
      </c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27" ht="14.65" customHeight="1">
      <c r="A34" s="28"/>
      <c r="B34" s="542"/>
      <c r="C34" s="362">
        <f>[4]Process!D584</f>
        <v>11.9</v>
      </c>
      <c r="D34" s="540"/>
      <c r="E34" s="537"/>
      <c r="F34" s="294"/>
      <c r="G34" s="294"/>
      <c r="H34" s="348"/>
      <c r="I34" s="22" t="s">
        <v>33</v>
      </c>
      <c r="J34" s="280"/>
      <c r="K34" s="284"/>
      <c r="L34" s="302"/>
      <c r="M34" s="302">
        <f>AVERAGE([6]Brewhouse!$AV$23:$AV$34,[6]Brewhouse!$AV$36,[6]Brewhouse!$AV$38:$AV$52,[6]Brewhouse!$AV$54:$AV$60,[6]Brewhouse!$AV$62:$AV$69,[6]Brewhouse!$AV$71:$AV$78,[6]Brewhouse!$AV$80:$AV$87)</f>
        <v>97.513042763382714</v>
      </c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27" ht="14.65" customHeight="1">
      <c r="A35" s="28"/>
      <c r="B35" s="542"/>
      <c r="C35" s="362">
        <f>[4]Process!D587</f>
        <v>11.7</v>
      </c>
      <c r="D35" s="538">
        <v>11.85</v>
      </c>
      <c r="E35" s="539"/>
      <c r="F35" s="294"/>
      <c r="G35" s="294"/>
      <c r="H35" s="348"/>
      <c r="I35" s="35" t="s">
        <v>29</v>
      </c>
      <c r="J35" s="280"/>
      <c r="K35" s="284"/>
      <c r="L35" s="302"/>
      <c r="M35" s="302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27" ht="14.65" customHeight="1">
      <c r="A36" s="28"/>
      <c r="B36" s="542"/>
      <c r="C36" s="362">
        <f>[4]Process!D588</f>
        <v>11.9</v>
      </c>
      <c r="D36" s="540"/>
      <c r="E36" s="537"/>
      <c r="F36" s="417"/>
      <c r="G36" s="294"/>
      <c r="H36" s="348"/>
      <c r="I36" s="36" t="s">
        <v>15</v>
      </c>
      <c r="J36" s="323"/>
      <c r="K36" s="284"/>
      <c r="L36" s="302"/>
      <c r="M36" s="302">
        <f>AVERAGE([7]Brewhouse!$AT$4:$AT$11,[7]Brewhouse!$AT$13:$AT$16,[7]Brewhouse!$AT$18:$AT$21)</f>
        <v>91.832675391763644</v>
      </c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27" ht="14.65" customHeight="1">
      <c r="A37" s="28"/>
      <c r="B37" s="542"/>
      <c r="C37" s="362"/>
      <c r="D37" s="538"/>
      <c r="E37" s="539"/>
      <c r="F37" s="417"/>
      <c r="G37" s="294"/>
      <c r="H37" s="348"/>
      <c r="I37" s="37" t="s">
        <v>16</v>
      </c>
      <c r="J37" s="323"/>
      <c r="K37" s="284">
        <f>COUNTA([8]Brewhouse!$A$84:$A$91)</f>
        <v>8</v>
      </c>
      <c r="L37" s="302">
        <f>AVERAGE([8]Brewhouse!$AY$84:$AY$91)</f>
        <v>97.517044199257398</v>
      </c>
      <c r="M37" s="302">
        <f>AVERAGE([8]Brewhouse!$AY$5:$AY$14,[8]Brewhouse!$AY$16:$AY$23,[8]Brewhouse!$AY$42,[8]Brewhouse!$AY$44:$AY$51,[8]Brewhouse!$AY$53:$AY$64,[8]Brewhouse!$AY$66:$AY$73,[8]Brewhouse!$AY$75:$AY$82,[8]Brewhouse!$AY$84:$AY$91)</f>
        <v>98.050826041639255</v>
      </c>
      <c r="N37" s="30">
        <v>98</v>
      </c>
      <c r="O37" s="11"/>
      <c r="P37" s="31" t="s">
        <v>41</v>
      </c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1:27" ht="14.65" customHeight="1">
      <c r="A38" s="28"/>
      <c r="B38" s="542"/>
      <c r="C38" s="362"/>
      <c r="D38" s="540"/>
      <c r="E38" s="537"/>
      <c r="F38" s="294"/>
      <c r="G38" s="294"/>
      <c r="H38" s="348"/>
      <c r="I38" s="411" t="s">
        <v>158</v>
      </c>
      <c r="J38" s="326"/>
      <c r="K38" s="284"/>
      <c r="L38" s="305"/>
      <c r="M38" s="305"/>
      <c r="N38" s="30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</row>
    <row r="39" spans="1:27" ht="14.65" customHeight="1">
      <c r="A39" s="28"/>
      <c r="B39" s="542"/>
      <c r="C39" s="362"/>
      <c r="D39" s="538"/>
      <c r="E39" s="539"/>
      <c r="F39" s="294"/>
      <c r="G39" s="294"/>
      <c r="H39" s="348"/>
      <c r="I39" s="410" t="s">
        <v>157</v>
      </c>
      <c r="J39" s="326"/>
      <c r="K39" s="284"/>
      <c r="L39" s="305"/>
      <c r="M39" s="305"/>
      <c r="N39" s="30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27" ht="15" customHeight="1" thickBot="1">
      <c r="A40" s="28"/>
      <c r="B40" s="542"/>
      <c r="C40" s="362"/>
      <c r="D40" s="540"/>
      <c r="E40" s="537"/>
      <c r="F40" s="294"/>
      <c r="G40" s="294"/>
      <c r="H40" s="348"/>
      <c r="I40" s="406" t="s">
        <v>156</v>
      </c>
      <c r="J40" s="327"/>
      <c r="K40" s="407"/>
      <c r="L40" s="408"/>
      <c r="M40" s="408"/>
      <c r="N40" s="409">
        <v>98</v>
      </c>
      <c r="O40" s="11"/>
      <c r="P40" s="31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27" ht="15" customHeight="1" thickBot="1">
      <c r="A41" s="28"/>
      <c r="B41" s="542"/>
      <c r="C41" s="349"/>
      <c r="D41" s="534"/>
      <c r="E41" s="535"/>
      <c r="F41" s="294"/>
      <c r="G41" s="294"/>
      <c r="H41" s="348"/>
      <c r="I41" s="1"/>
      <c r="J41" s="39"/>
      <c r="K41" s="404">
        <f>SUM(K31:K40)</f>
        <v>60</v>
      </c>
      <c r="L41" s="405">
        <f>((L31*K31)+(L32*K32)+(L33*K33)+(L34*K34)+(L35*K35)+(K38*L38)+(L36*K36)+(L37*K37)+(L40*K40))/(K41)</f>
        <v>99.111143608055315</v>
      </c>
      <c r="M41" s="405">
        <f>AVERAGE('[9]Jan30th-31st'!$L$42,'[10]Feb 27th-28th'!$L$45,'[11]Mar 31st'!$L$42,'[12]Apr 30th'!$L$41,'[13]May 29th '!$L$35,'[14]June 30th'!$L$32,[15]July31st!$L$36,L41)</f>
        <v>98.048652845112926</v>
      </c>
      <c r="N41" s="40">
        <v>98</v>
      </c>
      <c r="O41" s="11"/>
      <c r="P41" s="31"/>
      <c r="R41" s="277">
        <f t="shared" si="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  <c r="AA41" s="472"/>
    </row>
    <row r="42" spans="1:27" ht="15.75" thickBot="1">
      <c r="B42" s="606"/>
      <c r="C42" s="350"/>
      <c r="D42" s="536"/>
      <c r="E42" s="537"/>
      <c r="F42" s="294"/>
      <c r="G42" s="42"/>
      <c r="H42" s="41"/>
      <c r="I42" s="42"/>
      <c r="J42" s="42"/>
      <c r="K42" s="351"/>
      <c r="L42" s="348"/>
      <c r="M42" s="348"/>
      <c r="N42" s="11"/>
      <c r="O42" s="294"/>
      <c r="P42" s="12"/>
      <c r="R42" s="277">
        <f t="shared" si="0"/>
        <v>0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  <c r="AA42" s="472"/>
    </row>
    <row r="43" spans="1:27" ht="15.75" thickBot="1">
      <c r="B43" s="541"/>
      <c r="C43" s="362"/>
      <c r="D43" s="534"/>
      <c r="E43" s="535"/>
      <c r="F43" s="294"/>
      <c r="G43" s="42"/>
      <c r="H43" s="41"/>
      <c r="I43" s="42"/>
      <c r="J43" s="544" t="s">
        <v>129</v>
      </c>
      <c r="K43" s="544"/>
      <c r="L43" s="294"/>
      <c r="M43" s="294"/>
      <c r="N43" s="294"/>
      <c r="O43" s="294"/>
      <c r="P43" s="12"/>
    </row>
    <row r="44" spans="1:27" ht="15.75" thickBot="1">
      <c r="B44" s="542"/>
      <c r="C44" s="362"/>
      <c r="D44" s="536"/>
      <c r="E44" s="537"/>
      <c r="F44" s="294"/>
      <c r="G44" s="42"/>
      <c r="H44" s="42"/>
      <c r="I44" s="42" t="s">
        <v>189</v>
      </c>
      <c r="J44" s="292" t="s">
        <v>17</v>
      </c>
      <c r="K44" s="293" t="s">
        <v>188</v>
      </c>
      <c r="L44" s="545" t="s">
        <v>136</v>
      </c>
      <c r="M44" s="545"/>
      <c r="N44" s="546"/>
      <c r="O44" s="294"/>
      <c r="P44" s="12"/>
    </row>
    <row r="45" spans="1:27" ht="15" customHeight="1" thickBot="1">
      <c r="B45" s="542"/>
      <c r="C45" s="349"/>
      <c r="D45" s="538"/>
      <c r="E45" s="539"/>
      <c r="F45" s="294"/>
      <c r="G45" s="42"/>
      <c r="H45" s="42"/>
      <c r="I45" s="42">
        <v>6</v>
      </c>
      <c r="J45" s="287" t="s">
        <v>6</v>
      </c>
      <c r="K45" s="324">
        <v>10</v>
      </c>
      <c r="L45" s="473" t="s">
        <v>37</v>
      </c>
      <c r="M45" s="474" t="s">
        <v>38</v>
      </c>
      <c r="N45" s="474" t="s">
        <v>84</v>
      </c>
      <c r="O45" s="294"/>
      <c r="P45" s="12"/>
    </row>
    <row r="46" spans="1:27" ht="15.75" customHeight="1" thickBot="1">
      <c r="B46" s="542"/>
      <c r="C46" s="349"/>
      <c r="D46" s="540"/>
      <c r="E46" s="537"/>
      <c r="F46" s="294"/>
      <c r="G46" s="42"/>
      <c r="H46" s="42"/>
      <c r="I46" s="42"/>
      <c r="J46" s="345" t="s">
        <v>9</v>
      </c>
      <c r="K46" s="324"/>
      <c r="L46" s="494">
        <f>AVERAGE(K55,'Aug 3rd '!K47,'Aug 2nd'!K52,'Aug 4th'!K47,'Aug 5th'!K51,'Aug 6th'!K51,'Aug 7th'!K51,'Aug 12th'!K51,I55,'Aug 13th '!K51)</f>
        <v>6.5</v>
      </c>
      <c r="M46" s="495">
        <f>AVERAGE('[9]Jan30th-31st'!$L$47,L46,'[10]Feb 26th '!$L$39,'[11]Mar 31st'!$L$47,'[12]Apr 30th'!$L$46,'[13]May 29th '!$L$40,'[14]June 30th'!$L$39,[15]July31st!$L$41)</f>
        <v>6.3584220127698385</v>
      </c>
      <c r="N46" s="416">
        <v>9.1999999999999993</v>
      </c>
      <c r="O46" s="294"/>
      <c r="P46" s="12"/>
    </row>
    <row r="47" spans="1:27" ht="15" customHeight="1">
      <c r="B47" s="542"/>
      <c r="C47" s="349"/>
      <c r="D47" s="538"/>
      <c r="E47" s="539"/>
      <c r="F47" s="294"/>
      <c r="G47" s="42"/>
      <c r="H47" s="42"/>
      <c r="I47" s="42"/>
      <c r="J47" s="288" t="s">
        <v>40</v>
      </c>
      <c r="K47" s="324"/>
      <c r="L47" s="294"/>
      <c r="M47" s="294"/>
      <c r="N47" s="294"/>
      <c r="O47" s="294"/>
      <c r="P47" s="12"/>
    </row>
    <row r="48" spans="1:27" ht="15" customHeight="1">
      <c r="B48" s="542"/>
      <c r="C48" s="349"/>
      <c r="D48" s="540"/>
      <c r="E48" s="537"/>
      <c r="F48" s="294"/>
      <c r="G48" s="42"/>
      <c r="H48" s="42"/>
      <c r="I48" s="42"/>
      <c r="J48" s="289" t="s">
        <v>33</v>
      </c>
      <c r="K48" s="324"/>
      <c r="L48" s="294"/>
      <c r="M48" s="294"/>
      <c r="N48" s="294"/>
      <c r="O48" s="294"/>
      <c r="P48" s="12"/>
    </row>
    <row r="49" spans="2:57" ht="15">
      <c r="B49" s="542"/>
      <c r="C49" s="349"/>
      <c r="D49" s="538"/>
      <c r="E49" s="539"/>
      <c r="F49" s="294"/>
      <c r="G49" s="42"/>
      <c r="H49" s="42"/>
      <c r="I49" s="42"/>
      <c r="J49" s="290" t="s">
        <v>16</v>
      </c>
      <c r="K49" s="324"/>
      <c r="L49" s="294"/>
      <c r="M49" s="294"/>
      <c r="N49" s="294"/>
      <c r="O49" s="294"/>
      <c r="P49" s="12"/>
      <c r="BC49" s="44"/>
      <c r="BD49" s="44"/>
    </row>
    <row r="50" spans="2:57" ht="15">
      <c r="B50" s="542"/>
      <c r="C50" s="349"/>
      <c r="D50" s="540"/>
      <c r="E50" s="537"/>
      <c r="F50" s="294"/>
      <c r="G50" s="42"/>
      <c r="H50" s="42"/>
      <c r="I50" s="42"/>
      <c r="J50" s="291" t="s">
        <v>15</v>
      </c>
      <c r="K50" s="324"/>
      <c r="L50" s="294"/>
      <c r="M50" s="294"/>
      <c r="N50" s="294"/>
      <c r="O50" s="294"/>
      <c r="P50" s="12"/>
      <c r="BC50" s="44"/>
      <c r="BD50" s="44"/>
    </row>
    <row r="51" spans="2:57" ht="15">
      <c r="B51" s="542"/>
      <c r="C51" s="349"/>
      <c r="D51" s="538"/>
      <c r="E51" s="539"/>
      <c r="F51" s="294"/>
      <c r="G51" s="42"/>
      <c r="H51" s="42"/>
      <c r="I51" s="42"/>
      <c r="J51" s="291" t="s">
        <v>149</v>
      </c>
      <c r="K51" s="324"/>
      <c r="L51" s="294"/>
      <c r="M51" s="294"/>
      <c r="N51" s="294"/>
      <c r="O51" s="294"/>
      <c r="P51" s="12"/>
      <c r="BC51" s="44"/>
      <c r="BD51" s="44"/>
    </row>
    <row r="52" spans="2:57" ht="15.75" thickBot="1">
      <c r="B52" s="543"/>
      <c r="C52" s="350"/>
      <c r="D52" s="547"/>
      <c r="E52" s="548"/>
      <c r="F52" s="294" t="s">
        <v>166</v>
      </c>
      <c r="G52" s="42"/>
      <c r="H52" s="42"/>
      <c r="I52" s="42"/>
      <c r="J52" s="291" t="s">
        <v>148</v>
      </c>
      <c r="K52" s="324"/>
      <c r="L52" s="294"/>
      <c r="M52" s="294"/>
      <c r="N52" s="294" t="s">
        <v>41</v>
      </c>
      <c r="O52" s="294"/>
      <c r="P52" s="12"/>
      <c r="BC52" s="44"/>
      <c r="BD52" s="44"/>
    </row>
    <row r="53" spans="2:57" ht="17.649999999999999" customHeight="1" thickBot="1">
      <c r="B53" s="312" t="s">
        <v>139</v>
      </c>
      <c r="C53" s="313"/>
      <c r="D53" s="549"/>
      <c r="E53" s="550"/>
      <c r="F53" s="294"/>
      <c r="J53" s="295" t="s">
        <v>134</v>
      </c>
      <c r="K53" s="324"/>
      <c r="L53" s="294"/>
      <c r="M53" s="294"/>
      <c r="N53" s="294"/>
      <c r="O53" s="294"/>
      <c r="P53" s="12"/>
      <c r="BC53" s="44"/>
      <c r="BD53" s="44"/>
    </row>
    <row r="54" spans="2:57" ht="17.649999999999999" customHeight="1">
      <c r="B54" s="363"/>
      <c r="C54" s="364"/>
      <c r="D54" s="365"/>
      <c r="E54" s="365"/>
      <c r="F54" s="294"/>
      <c r="G54" s="42"/>
      <c r="H54" s="42"/>
      <c r="I54" s="42"/>
      <c r="J54" s="295" t="s">
        <v>131</v>
      </c>
      <c r="K54" s="324"/>
      <c r="L54" s="294"/>
      <c r="M54" s="294"/>
      <c r="N54" s="294"/>
      <c r="O54" s="294"/>
      <c r="P54" s="12"/>
      <c r="BC54" s="44"/>
      <c r="BD54" s="44"/>
    </row>
    <row r="55" spans="2:57" ht="15.6" customHeight="1">
      <c r="B55" s="45"/>
      <c r="C55" s="11"/>
      <c r="D55" s="11"/>
      <c r="E55" s="46"/>
      <c r="F55" s="294"/>
      <c r="G55" s="42"/>
      <c r="H55" s="42"/>
      <c r="I55" s="42">
        <f>I45</f>
        <v>6</v>
      </c>
      <c r="J55" s="346" t="s">
        <v>130</v>
      </c>
      <c r="K55" s="324">
        <f>SUM(K45:K54)</f>
        <v>10</v>
      </c>
      <c r="L55" s="294"/>
      <c r="M55" s="294"/>
      <c r="N55" s="294"/>
      <c r="O55" s="294"/>
      <c r="P55" s="12"/>
    </row>
    <row r="56" spans="2:57" ht="20.25" customHeight="1">
      <c r="B56" s="15" t="s">
        <v>42</v>
      </c>
      <c r="C56" s="1" t="s">
        <v>43</v>
      </c>
      <c r="D56" s="1"/>
      <c r="E56" s="1"/>
      <c r="F56" s="294"/>
      <c r="G56" s="42"/>
      <c r="H56" s="41"/>
      <c r="I56" s="42"/>
      <c r="L56" s="42"/>
      <c r="N56" s="315"/>
      <c r="P56" s="334"/>
    </row>
    <row r="57" spans="2:57" ht="15" customHeight="1" thickBot="1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1"/>
      <c r="O57" s="48"/>
      <c r="P57" s="49"/>
    </row>
    <row r="58" spans="2:57" ht="15" customHeight="1" thickBot="1">
      <c r="B58" s="551" t="s">
        <v>17</v>
      </c>
      <c r="C58" s="551" t="s">
        <v>44</v>
      </c>
      <c r="D58" s="554" t="s">
        <v>45</v>
      </c>
      <c r="E58" s="519" t="s">
        <v>46</v>
      </c>
      <c r="F58" s="568" t="s">
        <v>47</v>
      </c>
      <c r="G58" s="563" t="s">
        <v>48</v>
      </c>
      <c r="H58" s="551" t="s">
        <v>49</v>
      </c>
      <c r="I58" s="551" t="s">
        <v>50</v>
      </c>
      <c r="J58" s="557" t="s">
        <v>28</v>
      </c>
      <c r="K58" s="517" t="s">
        <v>51</v>
      </c>
      <c r="L58" s="566" t="s">
        <v>52</v>
      </c>
      <c r="M58" s="557" t="s">
        <v>53</v>
      </c>
      <c r="N58" s="13"/>
      <c r="O58" s="13"/>
      <c r="P58" s="50"/>
    </row>
    <row r="59" spans="2:57" ht="28.5" customHeight="1" thickTop="1" thickBot="1">
      <c r="B59" s="552"/>
      <c r="C59" s="553"/>
      <c r="D59" s="555"/>
      <c r="E59" s="556"/>
      <c r="F59" s="569"/>
      <c r="G59" s="564"/>
      <c r="H59" s="552"/>
      <c r="I59" s="552"/>
      <c r="J59" s="558"/>
      <c r="K59" s="565"/>
      <c r="L59" s="567"/>
      <c r="M59" s="558"/>
      <c r="N59" s="13"/>
      <c r="O59" s="13"/>
      <c r="P59" s="50"/>
      <c r="Q59" s="355"/>
      <c r="AB59" s="475">
        <v>43474</v>
      </c>
      <c r="AC59" s="475">
        <v>43475</v>
      </c>
      <c r="AD59" s="475">
        <v>43476</v>
      </c>
      <c r="AE59" s="475">
        <v>43477</v>
      </c>
      <c r="AF59" s="475">
        <v>43478</v>
      </c>
      <c r="AG59" s="475">
        <v>43479</v>
      </c>
      <c r="AH59" s="475">
        <v>43480</v>
      </c>
      <c r="AI59" s="475">
        <v>43481</v>
      </c>
      <c r="AJ59" s="475">
        <v>43482</v>
      </c>
      <c r="AK59" s="475">
        <v>43483</v>
      </c>
      <c r="AL59" s="475">
        <v>43484</v>
      </c>
      <c r="AM59" s="475">
        <v>43485</v>
      </c>
      <c r="AN59" s="475">
        <v>43486</v>
      </c>
      <c r="AO59" s="475">
        <v>43487</v>
      </c>
      <c r="AP59" s="475">
        <v>43488</v>
      </c>
      <c r="AQ59" s="475">
        <v>43489</v>
      </c>
      <c r="AR59" s="475">
        <v>43490</v>
      </c>
      <c r="AS59" s="475">
        <v>43491</v>
      </c>
      <c r="AT59" s="475">
        <v>43492</v>
      </c>
      <c r="AU59" s="475">
        <v>43493</v>
      </c>
      <c r="AV59" s="475">
        <v>43494</v>
      </c>
      <c r="AW59" s="475">
        <v>43495</v>
      </c>
      <c r="AX59" s="475">
        <v>43496</v>
      </c>
    </row>
    <row r="60" spans="2:57" s="54" customFormat="1" ht="36.75" hidden="1" customHeight="1" thickBot="1">
      <c r="B60" s="484" t="str">
        <f>J46</f>
        <v>STAG</v>
      </c>
      <c r="C60" s="479">
        <v>46218</v>
      </c>
      <c r="D60" s="445">
        <f>[35]July_2026!$R$13</f>
        <v>195.67999999999998</v>
      </c>
      <c r="E60" s="443"/>
      <c r="F60" s="444"/>
      <c r="G60" s="444">
        <f>[35]July_2026!$R$17</f>
        <v>184</v>
      </c>
      <c r="H60" s="458"/>
      <c r="I60" s="458"/>
      <c r="J60" s="448" t="s">
        <v>170</v>
      </c>
      <c r="K60" s="449">
        <f>[36]July_2026!$R$25</f>
        <v>0.32280701754385965</v>
      </c>
      <c r="L60" s="457">
        <f>(((D60+E60)-G60)/(D60+E60))*100</f>
        <v>5.9689288634505209</v>
      </c>
      <c r="M60" s="455" t="s">
        <v>171</v>
      </c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[16]January_2019!L5</f>
        <v>0</v>
      </c>
      <c r="AC60" s="57">
        <f>[16]January_2019!M5</f>
        <v>0</v>
      </c>
      <c r="AD60" s="57">
        <f>[16]January_2019!N5</f>
        <v>0</v>
      </c>
      <c r="AE60" s="57">
        <f>[16]January_2019!O5</f>
        <v>0</v>
      </c>
      <c r="AF60" s="57">
        <f>[16]January_2019!P5</f>
        <v>0</v>
      </c>
      <c r="AG60" s="57">
        <f>[16]January_2019!Q5</f>
        <v>0</v>
      </c>
      <c r="AH60" s="57">
        <f>[16]January_2019!R5</f>
        <v>0</v>
      </c>
      <c r="AI60" s="57">
        <f>[16]January_2019!S5</f>
        <v>0</v>
      </c>
      <c r="AJ60" s="57">
        <f>[16]January_2019!T5</f>
        <v>0</v>
      </c>
      <c r="AK60" s="57">
        <f>[16]January_2019!U5</f>
        <v>0</v>
      </c>
      <c r="AL60" s="57">
        <f>[16]January_2019!V5</f>
        <v>0</v>
      </c>
      <c r="AM60" s="57">
        <f>[16]January_2019!W5</f>
        <v>0</v>
      </c>
      <c r="AN60" s="57">
        <f>[16]January_2019!X5</f>
        <v>0</v>
      </c>
      <c r="AO60" s="57">
        <f>[16]January_2019!Y5</f>
        <v>0</v>
      </c>
      <c r="AP60" s="57">
        <f>[16]January_2019!Z5</f>
        <v>0</v>
      </c>
      <c r="AQ60" s="57">
        <f>[16]January_2019!AA5</f>
        <v>0</v>
      </c>
      <c r="AR60" s="57">
        <f>[16]January_2019!AB5</f>
        <v>0</v>
      </c>
      <c r="AS60" s="57">
        <f>[16]January_2019!AC5</f>
        <v>0</v>
      </c>
      <c r="AT60" s="57">
        <f>[16]January_2019!AD5</f>
        <v>0</v>
      </c>
      <c r="AU60" s="57">
        <f>[16]January_2019!AE5</f>
        <v>0</v>
      </c>
      <c r="AV60" s="57">
        <f>[16]January_2019!AF5</f>
        <v>0</v>
      </c>
      <c r="AW60" s="57">
        <f>[16]January_2019!AG5</f>
        <v>0</v>
      </c>
      <c r="AX60" s="277">
        <f>[16]January_2019!AH5</f>
        <v>0</v>
      </c>
      <c r="AY60" s="277"/>
      <c r="AZ60" s="277"/>
      <c r="BA60" s="277"/>
      <c r="BB60" s="277"/>
      <c r="BC60" s="277"/>
      <c r="BD60" s="277"/>
      <c r="BE60" s="277"/>
    </row>
    <row r="61" spans="2:57" s="54" customFormat="1" ht="14.25" hidden="1" customHeight="1" thickBot="1">
      <c r="B61" s="480"/>
      <c r="C61" s="479"/>
      <c r="D61" s="442"/>
      <c r="E61" s="443"/>
      <c r="F61" s="444"/>
      <c r="G61" s="445"/>
      <c r="H61" s="458"/>
      <c r="I61" s="458"/>
      <c r="J61" s="476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>
        <f>[16]January_2019!L6</f>
        <v>0</v>
      </c>
      <c r="AC61" s="57">
        <f>[16]January_2019!M6</f>
        <v>0</v>
      </c>
      <c r="AD61" s="57">
        <f>[16]January_2019!N6</f>
        <v>0</v>
      </c>
      <c r="AE61" s="57">
        <f>[16]January_2019!O6</f>
        <v>0</v>
      </c>
      <c r="AF61" s="57">
        <f>[16]January_2019!P6</f>
        <v>0</v>
      </c>
      <c r="AG61" s="57">
        <f>[16]January_2019!Q6</f>
        <v>0</v>
      </c>
      <c r="AH61" s="57">
        <f>[16]January_2019!R6</f>
        <v>0</v>
      </c>
      <c r="AI61" s="57">
        <f>[16]January_2019!S6</f>
        <v>0</v>
      </c>
      <c r="AJ61" s="57">
        <f>[16]January_2019!T6</f>
        <v>0</v>
      </c>
      <c r="AK61" s="57">
        <f>[16]January_2019!U6</f>
        <v>0</v>
      </c>
      <c r="AL61" s="57">
        <f>[16]January_2019!V6</f>
        <v>0</v>
      </c>
      <c r="AM61" s="57">
        <f>[16]January_2019!W6</f>
        <v>0</v>
      </c>
      <c r="AN61" s="57">
        <f>[16]January_2019!X6</f>
        <v>0</v>
      </c>
      <c r="AO61" s="57">
        <f>[16]January_2019!Y6</f>
        <v>0</v>
      </c>
      <c r="AP61" s="57">
        <f>[16]January_2019!Z6</f>
        <v>0</v>
      </c>
      <c r="AQ61" s="57">
        <f>[16]January_2019!AA6</f>
        <v>0</v>
      </c>
      <c r="AR61" s="57">
        <f>[16]January_2019!AB6</f>
        <v>0</v>
      </c>
      <c r="AS61" s="57">
        <f>[16]January_2019!AC6</f>
        <v>0</v>
      </c>
      <c r="AT61" s="57">
        <f>[16]January_2019!AD6</f>
        <v>0</v>
      </c>
      <c r="AU61" s="57">
        <f>[16]January_2019!AE6</f>
        <v>0</v>
      </c>
      <c r="AV61" s="57">
        <f>[16]January_2019!AF6</f>
        <v>0</v>
      </c>
      <c r="AW61" s="57">
        <f>[16]January_2019!AG6</f>
        <v>0</v>
      </c>
      <c r="AX61" s="277">
        <f>[16]January_2019!AH6</f>
        <v>0</v>
      </c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 thickBot="1">
      <c r="B62" s="456" t="str">
        <f>B73</f>
        <v>CARIB</v>
      </c>
      <c r="C62" s="479">
        <v>46248</v>
      </c>
      <c r="D62" s="442">
        <f>[35]August_2026!$Q$3</f>
        <v>295.7</v>
      </c>
      <c r="E62" s="443"/>
      <c r="F62" s="444"/>
      <c r="G62" s="444">
        <f>[35]August_2026!$Q$7</f>
        <v>276.60000000000002</v>
      </c>
      <c r="H62" s="458"/>
      <c r="I62" s="458"/>
      <c r="J62" s="448" t="s">
        <v>180</v>
      </c>
      <c r="K62" s="449">
        <f>[36]August_2026!$Q$18</f>
        <v>0.4852631578947369</v>
      </c>
      <c r="L62" s="457">
        <f>(((D62+E62)-G62)/(D62+E62))*100</f>
        <v>6.4592492390936647</v>
      </c>
      <c r="M62" s="455" t="s">
        <v>186</v>
      </c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[16]January_2019!L7</f>
        <v>285.8</v>
      </c>
      <c r="AC62" s="57">
        <f>[16]January_2019!M7</f>
        <v>508.1</v>
      </c>
      <c r="AD62" s="57">
        <f>[16]January_2019!N7</f>
        <v>0</v>
      </c>
      <c r="AE62" s="57">
        <f>[16]January_2019!O7</f>
        <v>0</v>
      </c>
      <c r="AF62" s="57">
        <f>[16]January_2019!P7</f>
        <v>109.56666666666666</v>
      </c>
      <c r="AG62" s="57">
        <f>[16]January_2019!Q7</f>
        <v>297.64999999999998</v>
      </c>
      <c r="AH62" s="57">
        <f>[16]January_2019!R7</f>
        <v>122.3</v>
      </c>
      <c r="AI62" s="57">
        <f>[16]January_2019!S7</f>
        <v>0</v>
      </c>
      <c r="AJ62" s="57">
        <f>[16]January_2019!T7</f>
        <v>294.7</v>
      </c>
      <c r="AK62" s="57">
        <f>[16]January_2019!U7</f>
        <v>280.5</v>
      </c>
      <c r="AL62" s="57">
        <f>[16]January_2019!V7</f>
        <v>0</v>
      </c>
      <c r="AM62" s="57">
        <f>[16]January_2019!W7</f>
        <v>0</v>
      </c>
      <c r="AN62" s="57">
        <f>[16]January_2019!X7</f>
        <v>188.25</v>
      </c>
      <c r="AO62" s="57">
        <f>[16]January_2019!Y7</f>
        <v>295.7</v>
      </c>
      <c r="AP62" s="57">
        <f>[16]January_2019!Z7</f>
        <v>257.8</v>
      </c>
      <c r="AQ62" s="57">
        <f>[16]January_2019!AA7</f>
        <v>291.2</v>
      </c>
      <c r="AR62" s="57">
        <f>[16]January_2019!AB7</f>
        <v>187</v>
      </c>
      <c r="AS62" s="57">
        <f>[16]January_2019!AC7</f>
        <v>0</v>
      </c>
      <c r="AT62" s="57">
        <f>[16]January_2019!AD7</f>
        <v>0</v>
      </c>
      <c r="AU62" s="57">
        <f>[16]January_2019!AE7</f>
        <v>485.1</v>
      </c>
      <c r="AV62" s="57">
        <f>[16]January_2019!AF7</f>
        <v>171.55</v>
      </c>
      <c r="AW62" s="57">
        <f>[16]January_2019!AG7</f>
        <v>423.8</v>
      </c>
      <c r="AX62" s="277">
        <f>[16]January_2019!AH7</f>
        <v>0</v>
      </c>
      <c r="AY62" s="277"/>
      <c r="AZ62" s="277"/>
      <c r="BA62" s="277"/>
      <c r="BB62" s="277"/>
      <c r="BC62" s="277"/>
      <c r="BD62" s="277"/>
      <c r="BE62" s="277"/>
    </row>
    <row r="63" spans="2:57" s="54" customFormat="1" ht="18.600000000000001" hidden="1" customHeight="1" thickBot="1">
      <c r="B63" s="478"/>
      <c r="C63" s="430"/>
      <c r="D63" s="431"/>
      <c r="E63" s="432"/>
      <c r="F63" s="433"/>
      <c r="G63" s="434"/>
      <c r="H63" s="458"/>
      <c r="I63" s="458"/>
      <c r="J63" s="451"/>
      <c r="K63" s="436"/>
      <c r="L63" s="452"/>
      <c r="M63" s="421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8.65" hidden="1" customHeight="1" thickBot="1">
      <c r="B64" s="498"/>
      <c r="C64" s="479"/>
      <c r="D64" s="442"/>
      <c r="E64" s="443"/>
      <c r="F64" s="444"/>
      <c r="G64" s="445"/>
      <c r="H64" s="458"/>
      <c r="I64" s="458"/>
      <c r="J64" s="448"/>
      <c r="K64" s="459"/>
      <c r="L64" s="457"/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15" hidden="1">
      <c r="B65" s="453"/>
      <c r="C65" s="430"/>
      <c r="D65" s="431"/>
      <c r="E65" s="432"/>
      <c r="F65" s="433"/>
      <c r="G65" s="434"/>
      <c r="H65" s="435"/>
      <c r="I65" s="450"/>
      <c r="J65" s="451"/>
      <c r="K65" s="436"/>
      <c r="L65" s="452"/>
      <c r="M65" s="421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hidden="1" customHeight="1" thickBot="1">
      <c r="B66" s="482"/>
      <c r="C66" s="479"/>
      <c r="D66" s="442"/>
      <c r="E66" s="443"/>
      <c r="F66" s="444"/>
      <c r="G66" s="445"/>
      <c r="H66" s="446"/>
      <c r="I66" s="447"/>
      <c r="J66" s="448"/>
      <c r="K66" s="449"/>
      <c r="L66" s="457"/>
      <c r="M66" s="45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16.5" hidden="1" customHeight="1" thickBot="1">
      <c r="B67" s="437"/>
      <c r="C67" s="423"/>
      <c r="D67" s="424"/>
      <c r="E67" s="425"/>
      <c r="F67" s="426"/>
      <c r="G67" s="427"/>
      <c r="H67" s="428"/>
      <c r="I67" s="438"/>
      <c r="J67" s="439"/>
      <c r="K67" s="429"/>
      <c r="L67" s="440"/>
      <c r="M67" s="422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415"/>
      <c r="AC67" s="415"/>
      <c r="AD67" s="415"/>
      <c r="AE67" s="415"/>
      <c r="AF67" s="415"/>
      <c r="AG67" s="415"/>
      <c r="AH67" s="415"/>
      <c r="AI67" s="415"/>
      <c r="AJ67" s="415"/>
      <c r="AK67" s="415"/>
      <c r="AL67" s="415"/>
      <c r="AM67" s="415"/>
      <c r="AN67" s="415"/>
      <c r="AO67" s="415"/>
      <c r="AP67" s="415"/>
      <c r="AQ67" s="415"/>
      <c r="AR67" s="415"/>
      <c r="AS67" s="415"/>
      <c r="AT67" s="415"/>
      <c r="AU67" s="415"/>
      <c r="AV67" s="415"/>
      <c r="AW67" s="415"/>
    </row>
    <row r="68" spans="2:57" s="54" customFormat="1" ht="37.15" hidden="1" customHeight="1" thickBot="1">
      <c r="B68" s="456"/>
      <c r="C68" s="441"/>
      <c r="D68" s="442"/>
      <c r="E68" s="443"/>
      <c r="F68" s="444"/>
      <c r="G68" s="445"/>
      <c r="H68" s="446"/>
      <c r="I68" s="447"/>
      <c r="J68" s="448"/>
      <c r="K68" s="449"/>
      <c r="L68" s="457"/>
      <c r="M68" s="454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37.15" hidden="1" customHeight="1">
      <c r="B69" s="466"/>
      <c r="C69" s="430"/>
      <c r="D69" s="460"/>
      <c r="E69" s="461"/>
      <c r="F69" s="462"/>
      <c r="G69" s="460"/>
      <c r="H69" s="463"/>
      <c r="I69" s="463"/>
      <c r="J69" s="463"/>
      <c r="K69" s="464"/>
      <c r="L69" s="465"/>
      <c r="M69" s="50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ht="18" customHeight="1" thickBot="1">
      <c r="B70" s="59"/>
      <c r="C70" s="30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 t="s">
        <v>41</v>
      </c>
      <c r="O70" s="56"/>
      <c r="P70" s="60"/>
    </row>
    <row r="71" spans="2:57" ht="15.75" thickBot="1">
      <c r="B71" s="559" t="s">
        <v>55</v>
      </c>
      <c r="C71" s="560"/>
      <c r="D71" s="560"/>
      <c r="E71" s="560"/>
      <c r="F71" s="561"/>
      <c r="G71" s="559" t="s">
        <v>56</v>
      </c>
      <c r="H71" s="560"/>
      <c r="I71" s="560"/>
      <c r="J71" s="561"/>
      <c r="K71" s="559" t="s">
        <v>51</v>
      </c>
      <c r="L71" s="560"/>
      <c r="M71" s="560"/>
      <c r="N71" s="562"/>
      <c r="O71" s="56"/>
      <c r="P71" s="50"/>
    </row>
    <row r="72" spans="2:57" ht="15">
      <c r="B72" s="61" t="s">
        <v>17</v>
      </c>
      <c r="C72" s="62" t="s">
        <v>36</v>
      </c>
      <c r="D72" s="62" t="s">
        <v>37</v>
      </c>
      <c r="E72" s="62" t="s">
        <v>38</v>
      </c>
      <c r="F72" s="63" t="s">
        <v>39</v>
      </c>
      <c r="G72" s="62" t="s">
        <v>36</v>
      </c>
      <c r="H72" s="62" t="s">
        <v>37</v>
      </c>
      <c r="I72" s="62" t="s">
        <v>38</v>
      </c>
      <c r="J72" s="63" t="s">
        <v>39</v>
      </c>
      <c r="K72" s="62"/>
      <c r="L72" s="62" t="s">
        <v>37</v>
      </c>
      <c r="M72" s="62" t="s">
        <v>38</v>
      </c>
      <c r="N72" s="63" t="s">
        <v>39</v>
      </c>
      <c r="O72" s="56"/>
      <c r="P72" s="64"/>
    </row>
    <row r="73" spans="2:57" ht="15">
      <c r="B73" s="29" t="s">
        <v>6</v>
      </c>
      <c r="C73" s="65">
        <f>L62</f>
        <v>6.4592492390936647</v>
      </c>
      <c r="D73" s="76">
        <v>4.637300180475699</v>
      </c>
      <c r="E73" s="76">
        <v>6.3517543321204535</v>
      </c>
      <c r="F73" s="66">
        <v>4.8</v>
      </c>
      <c r="G73" s="65">
        <f>[35]August_2026!$Q$11</f>
        <v>6.2333053966760277</v>
      </c>
      <c r="H73" s="477">
        <v>4.8106876006449912</v>
      </c>
      <c r="I73" s="477">
        <v>6.6365331145872952</v>
      </c>
      <c r="J73" s="66">
        <v>4.8</v>
      </c>
      <c r="K73" s="67">
        <f>K62</f>
        <v>0.4852631578947369</v>
      </c>
      <c r="L73" s="194">
        <v>0.450491506544138</v>
      </c>
      <c r="M73" s="194">
        <v>0.53149795172017522</v>
      </c>
      <c r="N73" s="68">
        <v>1</v>
      </c>
      <c r="O73" s="56"/>
      <c r="P73" s="69"/>
    </row>
    <row r="74" spans="2:57" ht="15">
      <c r="B74" s="33" t="s">
        <v>9</v>
      </c>
      <c r="C74" s="65"/>
      <c r="D74" s="76">
        <v>9.1519813065913844</v>
      </c>
      <c r="E74" s="76">
        <v>6.0305779710387171</v>
      </c>
      <c r="F74" s="66">
        <v>4.8</v>
      </c>
      <c r="G74" s="65"/>
      <c r="H74" s="76">
        <v>9.0012036832109299</v>
      </c>
      <c r="I74" s="76">
        <v>6.0481573784339933</v>
      </c>
      <c r="J74" s="66">
        <v>4.8</v>
      </c>
      <c r="K74" s="67"/>
      <c r="L74" s="194">
        <v>0.79780701754385963</v>
      </c>
      <c r="M74" s="194">
        <v>0.70737346410149082</v>
      </c>
      <c r="N74" s="68">
        <v>1</v>
      </c>
      <c r="P74" s="69"/>
    </row>
    <row r="75" spans="2:57" ht="15">
      <c r="B75" s="34" t="s">
        <v>40</v>
      </c>
      <c r="C75" s="65"/>
      <c r="D75" s="76">
        <v>8.0132764343290681</v>
      </c>
      <c r="E75" s="76">
        <v>11.085360064780945</v>
      </c>
      <c r="F75" s="66">
        <v>5.5</v>
      </c>
      <c r="G75" s="65"/>
      <c r="H75" s="76">
        <v>7.261998133908862</v>
      </c>
      <c r="I75" s="76">
        <v>11.847386208595987</v>
      </c>
      <c r="J75" s="66">
        <v>5.5</v>
      </c>
      <c r="K75" s="67"/>
      <c r="L75" s="194">
        <v>0.68070175438596492</v>
      </c>
      <c r="M75" s="194">
        <v>0.37172629490392645</v>
      </c>
      <c r="N75" s="68">
        <v>1</v>
      </c>
      <c r="P75" s="69"/>
    </row>
    <row r="76" spans="2:57" ht="15">
      <c r="B76" s="22" t="s">
        <v>33</v>
      </c>
      <c r="C76" s="65"/>
      <c r="D76" s="76"/>
      <c r="E76" s="76">
        <v>4.8685538193023836</v>
      </c>
      <c r="F76" s="66">
        <v>3.3</v>
      </c>
      <c r="G76" s="65"/>
      <c r="H76" s="76"/>
      <c r="I76" s="76">
        <v>5.0921772905826597</v>
      </c>
      <c r="J76" s="66">
        <v>3.3</v>
      </c>
      <c r="K76" s="67"/>
      <c r="L76" s="194"/>
      <c r="M76" s="194">
        <v>0.79040935672514623</v>
      </c>
      <c r="N76" s="68">
        <v>1</v>
      </c>
      <c r="P76" s="69"/>
    </row>
    <row r="77" spans="2:57" ht="15">
      <c r="B77" s="35" t="s">
        <v>164</v>
      </c>
      <c r="C77" s="65"/>
      <c r="D77" s="76"/>
      <c r="E77" s="76"/>
      <c r="F77" s="66">
        <v>3.3</v>
      </c>
      <c r="G77" s="282"/>
      <c r="H77" s="76"/>
      <c r="I77" s="76"/>
      <c r="J77" s="66">
        <v>3</v>
      </c>
      <c r="K77" s="67"/>
      <c r="L77" s="194"/>
      <c r="M77" s="194"/>
      <c r="N77" s="68">
        <v>1</v>
      </c>
      <c r="P77" s="69"/>
    </row>
    <row r="78" spans="2:57" ht="15">
      <c r="B78" s="36" t="s">
        <v>15</v>
      </c>
      <c r="C78" s="65"/>
      <c r="D78" s="76"/>
      <c r="E78" s="76">
        <v>6.0400197628458603</v>
      </c>
      <c r="F78" s="70">
        <v>5.5</v>
      </c>
      <c r="G78" s="65"/>
      <c r="H78" s="76"/>
      <c r="I78" s="76">
        <v>8.2405787675951316</v>
      </c>
      <c r="J78" s="66">
        <v>5.5</v>
      </c>
      <c r="K78" s="67"/>
      <c r="L78" s="194"/>
      <c r="M78" s="194">
        <v>0.78491228070175445</v>
      </c>
      <c r="N78" s="68">
        <v>1</v>
      </c>
      <c r="P78" s="69"/>
    </row>
    <row r="79" spans="2:57" ht="15">
      <c r="B79" s="37" t="s">
        <v>16</v>
      </c>
      <c r="C79" s="483"/>
      <c r="D79" s="76">
        <v>2.3312883435582821</v>
      </c>
      <c r="E79" s="76">
        <v>3.4897129331795727</v>
      </c>
      <c r="F79" s="66">
        <v>3.3</v>
      </c>
      <c r="G79" s="282"/>
      <c r="H79" s="76">
        <v>2.9668764888279751</v>
      </c>
      <c r="I79" s="76">
        <v>4.7322074825777003</v>
      </c>
      <c r="J79" s="66">
        <v>3.3</v>
      </c>
      <c r="K79" s="67"/>
      <c r="L79" s="194">
        <v>1.3964912280701753</v>
      </c>
      <c r="M79" s="194">
        <v>0.9346464646464645</v>
      </c>
      <c r="N79" s="71">
        <v>1</v>
      </c>
      <c r="P79" s="69"/>
    </row>
    <row r="80" spans="2:57" ht="15.75" thickBot="1">
      <c r="B80" s="38" t="s">
        <v>163</v>
      </c>
      <c r="C80" s="65"/>
      <c r="D80" s="76"/>
      <c r="E80" s="76"/>
      <c r="F80" s="66">
        <v>7.5</v>
      </c>
      <c r="G80" s="282"/>
      <c r="H80" s="76"/>
      <c r="I80" s="76"/>
      <c r="J80" s="66">
        <v>7.5</v>
      </c>
      <c r="K80" s="67"/>
      <c r="L80" s="194"/>
      <c r="M80" s="194"/>
      <c r="N80" s="71">
        <v>1</v>
      </c>
      <c r="P80" s="69"/>
    </row>
    <row r="81" spans="2:16" ht="15.75" thickBot="1">
      <c r="B81" s="414" t="s">
        <v>161</v>
      </c>
      <c r="C81" s="65"/>
      <c r="D81" s="76"/>
      <c r="E81" s="76"/>
      <c r="F81" s="66">
        <v>4.8</v>
      </c>
      <c r="G81" s="282"/>
      <c r="H81" s="76"/>
      <c r="I81" s="76"/>
      <c r="J81" s="66">
        <v>4.8</v>
      </c>
      <c r="K81" s="67"/>
      <c r="L81" s="194">
        <v>0</v>
      </c>
      <c r="M81" s="194"/>
      <c r="N81" s="71">
        <v>1</v>
      </c>
      <c r="O81" s="74"/>
      <c r="P81" s="75"/>
    </row>
    <row r="82" spans="2:16" ht="15">
      <c r="D82" s="76">
        <v>5.7040623026731421</v>
      </c>
      <c r="E82" s="76">
        <v>6.2765087441575105</v>
      </c>
      <c r="F82" s="341">
        <v>5.5</v>
      </c>
      <c r="H82" s="76">
        <v>5.7063434995537632</v>
      </c>
      <c r="I82" s="76">
        <v>6.693301619345192</v>
      </c>
      <c r="J82" s="341">
        <v>5.5</v>
      </c>
      <c r="L82" s="194">
        <v>0.6375756056808688</v>
      </c>
      <c r="M82" s="194">
        <v>0.60838434228019889</v>
      </c>
      <c r="N82" s="386">
        <v>1</v>
      </c>
    </row>
  </sheetData>
  <mergeCells count="51">
    <mergeCell ref="B71:F71"/>
    <mergeCell ref="G71:J71"/>
    <mergeCell ref="K71:N71"/>
    <mergeCell ref="B31:B42"/>
    <mergeCell ref="B43:B52"/>
    <mergeCell ref="G58:G59"/>
    <mergeCell ref="H58:H59"/>
    <mergeCell ref="I58:I59"/>
    <mergeCell ref="J58:J59"/>
    <mergeCell ref="K58:K59"/>
    <mergeCell ref="L58:L59"/>
    <mergeCell ref="D53:E53"/>
    <mergeCell ref="B58:B59"/>
    <mergeCell ref="C58:C59"/>
    <mergeCell ref="D58:D59"/>
    <mergeCell ref="E58:E59"/>
    <mergeCell ref="F58:F59"/>
    <mergeCell ref="J43:K43"/>
    <mergeCell ref="L44:N44"/>
    <mergeCell ref="D45:E46"/>
    <mergeCell ref="D47:E48"/>
    <mergeCell ref="D49:E50"/>
    <mergeCell ref="D51:E52"/>
    <mergeCell ref="M58:M59"/>
    <mergeCell ref="D37:E38"/>
    <mergeCell ref="D39:E40"/>
    <mergeCell ref="D41:E42"/>
    <mergeCell ref="D43:E44"/>
    <mergeCell ref="I8:I9"/>
    <mergeCell ref="H8:H9"/>
    <mergeCell ref="I29:N29"/>
    <mergeCell ref="D30:E30"/>
    <mergeCell ref="D31:E32"/>
    <mergeCell ref="D33:E34"/>
    <mergeCell ref="D35:E36"/>
    <mergeCell ref="J8:J9"/>
    <mergeCell ref="K8:K9"/>
    <mergeCell ref="L8:L9"/>
    <mergeCell ref="O8:O9"/>
    <mergeCell ref="P8:P9"/>
    <mergeCell ref="C5:D5"/>
    <mergeCell ref="B8:B9"/>
    <mergeCell ref="C8:C9"/>
    <mergeCell ref="D8:D9"/>
    <mergeCell ref="G8:G9"/>
    <mergeCell ref="M4:N4"/>
    <mergeCell ref="S1:T1"/>
    <mergeCell ref="U1:V1"/>
    <mergeCell ref="W1:X1"/>
    <mergeCell ref="Y1:Z1"/>
    <mergeCell ref="B2:O2"/>
  </mergeCells>
  <conditionalFormatting sqref="B53:B54">
    <cfRule type="cellIs" dxfId="2313" priority="113" operator="notBetween">
      <formula>#REF!</formula>
      <formula>#REF!</formula>
    </cfRule>
  </conditionalFormatting>
  <conditionalFormatting sqref="C57">
    <cfRule type="cellIs" dxfId="2312" priority="196" stopIfTrue="1" operator="greaterThan">
      <formula>100</formula>
    </cfRule>
    <cfRule type="cellIs" dxfId="2311" priority="195" stopIfTrue="1" operator="lessThan">
      <formula>96</formula>
    </cfRule>
  </conditionalFormatting>
  <conditionalFormatting sqref="C73:C74">
    <cfRule type="cellIs" dxfId="2310" priority="78" stopIfTrue="1" operator="lessThanOrEqual">
      <formula>0</formula>
    </cfRule>
    <cfRule type="cellIs" dxfId="2309" priority="75" stopIfTrue="1" operator="greaterThan">
      <formula>$F73</formula>
    </cfRule>
    <cfRule type="cellIs" dxfId="2308" priority="76" stopIfTrue="1" operator="lessThanOrEqual">
      <formula>0</formula>
    </cfRule>
    <cfRule type="cellIs" dxfId="2307" priority="77" stopIfTrue="1" operator="greaterThan">
      <formula>$F73</formula>
    </cfRule>
  </conditionalFormatting>
  <conditionalFormatting sqref="C75:C77 C79:C81">
    <cfRule type="cellIs" dxfId="2306" priority="85" stopIfTrue="1" operator="greaterThan">
      <formula>$F78</formula>
    </cfRule>
  </conditionalFormatting>
  <conditionalFormatting sqref="C75:C77">
    <cfRule type="cellIs" dxfId="2305" priority="86" stopIfTrue="1" operator="lessThanOrEqual">
      <formula>0</formula>
    </cfRule>
  </conditionalFormatting>
  <conditionalFormatting sqref="C78">
    <cfRule type="cellIs" dxfId="2304" priority="199" stopIfTrue="1" operator="greaterThan">
      <formula>$F73</formula>
    </cfRule>
    <cfRule type="cellIs" dxfId="2303" priority="198" stopIfTrue="1" operator="lessThanOrEqual">
      <formula>0</formula>
    </cfRule>
    <cfRule type="cellIs" dxfId="2302" priority="197" stopIfTrue="1" operator="greaterThan">
      <formula>$F73</formula>
    </cfRule>
    <cfRule type="cellIs" dxfId="2301" priority="200" stopIfTrue="1" operator="lessThanOrEqual">
      <formula>0</formula>
    </cfRule>
  </conditionalFormatting>
  <conditionalFormatting sqref="C79:C81">
    <cfRule type="cellIs" dxfId="2300" priority="87" stopIfTrue="1" operator="lessThanOrEqual">
      <formula>0</formula>
    </cfRule>
  </conditionalFormatting>
  <conditionalFormatting sqref="C84:C88">
    <cfRule type="cellIs" dxfId="2299" priority="187" stopIfTrue="1" operator="lessThanOrEqual">
      <formula>0</formula>
    </cfRule>
  </conditionalFormatting>
  <conditionalFormatting sqref="C85:C88">
    <cfRule type="cellIs" dxfId="2298" priority="186" stopIfTrue="1" operator="greaterThan">
      <formula>$F$84</formula>
    </cfRule>
  </conditionalFormatting>
  <conditionalFormatting sqref="C90">
    <cfRule type="cellIs" dxfId="2297" priority="189" stopIfTrue="1" operator="lessThanOrEqual">
      <formula>0</formula>
    </cfRule>
    <cfRule type="cellIs" dxfId="2296" priority="188" stopIfTrue="1" operator="greaterThan">
      <formula>$F$84</formula>
    </cfRule>
  </conditionalFormatting>
  <conditionalFormatting sqref="C78:D78">
    <cfRule type="cellIs" dxfId="2295" priority="74" stopIfTrue="1" operator="lessThanOrEqual">
      <formula>0</formula>
    </cfRule>
    <cfRule type="cellIs" dxfId="2294" priority="73" stopIfTrue="1" operator="greaterThan">
      <formula>$J78</formula>
    </cfRule>
  </conditionalFormatting>
  <conditionalFormatting sqref="C84:D84 D86:D92">
    <cfRule type="cellIs" dxfId="2293" priority="181" stopIfTrue="1" operator="greaterThan">
      <formula>4.5</formula>
    </cfRule>
  </conditionalFormatting>
  <conditionalFormatting sqref="D53:D54">
    <cfRule type="cellIs" dxfId="2292" priority="114" operator="notBetween">
      <formula>#REF!</formula>
      <formula>#REF!</formula>
    </cfRule>
  </conditionalFormatting>
  <conditionalFormatting sqref="D73:D77 D79:D80">
    <cfRule type="cellIs" dxfId="2291" priority="84" stopIfTrue="1" operator="lessThanOrEqual">
      <formula>0</formula>
    </cfRule>
  </conditionalFormatting>
  <conditionalFormatting sqref="D73:D77 D79:D82">
    <cfRule type="cellIs" dxfId="2290" priority="81" stopIfTrue="1" operator="greaterThan">
      <formula>$F73</formula>
    </cfRule>
    <cfRule type="cellIs" dxfId="2289" priority="80" stopIfTrue="1" operator="lessThanOrEqual">
      <formula>0</formula>
    </cfRule>
  </conditionalFormatting>
  <conditionalFormatting sqref="D81:D82">
    <cfRule type="cellIs" dxfId="2288" priority="82" stopIfTrue="1" operator="lessThanOrEqual">
      <formula>0</formula>
    </cfRule>
  </conditionalFormatting>
  <conditionalFormatting sqref="D82">
    <cfRule type="cellIs" dxfId="2287" priority="83" stopIfTrue="1" operator="lessThanOrEqual">
      <formula>0</formula>
    </cfRule>
  </conditionalFormatting>
  <conditionalFormatting sqref="D84 D86:D92">
    <cfRule type="cellIs" dxfId="2286" priority="182" stopIfTrue="1" operator="lessThanOrEqual">
      <formula>0</formula>
    </cfRule>
  </conditionalFormatting>
  <conditionalFormatting sqref="D85">
    <cfRule type="cellIs" dxfId="2285" priority="173" stopIfTrue="1" operator="greaterThan">
      <formula>$F$84</formula>
    </cfRule>
    <cfRule type="cellIs" dxfId="2284" priority="174" stopIfTrue="1" operator="lessThanOrEqual">
      <formula>0</formula>
    </cfRule>
  </conditionalFormatting>
  <conditionalFormatting sqref="E10:E28">
    <cfRule type="cellIs" dxfId="2283" priority="9" operator="lessThan">
      <formula>48</formula>
    </cfRule>
  </conditionalFormatting>
  <conditionalFormatting sqref="E56 E57:F57">
    <cfRule type="cellIs" dxfId="2282" priority="178" stopIfTrue="1" operator="greaterThan">
      <formula>100</formula>
    </cfRule>
  </conditionalFormatting>
  <conditionalFormatting sqref="E57">
    <cfRule type="cellIs" dxfId="2281" priority="176" stopIfTrue="1" operator="greaterThan">
      <formula>100</formula>
    </cfRule>
    <cfRule type="cellIs" dxfId="2280" priority="175" stopIfTrue="1" operator="lessThan">
      <formula>96.8</formula>
    </cfRule>
  </conditionalFormatting>
  <conditionalFormatting sqref="E73:E81">
    <cfRule type="cellIs" dxfId="2279" priority="46" stopIfTrue="1" operator="lessThanOrEqual">
      <formula>0</formula>
    </cfRule>
  </conditionalFormatting>
  <conditionalFormatting sqref="E73:E82">
    <cfRule type="cellIs" dxfId="2278" priority="48" stopIfTrue="1" operator="lessThanOrEqual">
      <formula>0</formula>
    </cfRule>
    <cfRule type="cellIs" dxfId="2277" priority="47" stopIfTrue="1" operator="greaterThan">
      <formula>$F73</formula>
    </cfRule>
  </conditionalFormatting>
  <conditionalFormatting sqref="E82">
    <cfRule type="cellIs" dxfId="2276" priority="49" stopIfTrue="1" operator="lessThanOrEqual">
      <formula>0</formula>
    </cfRule>
  </conditionalFormatting>
  <conditionalFormatting sqref="E84:E92">
    <cfRule type="cellIs" dxfId="2275" priority="168" stopIfTrue="1" operator="lessThanOrEqual">
      <formula>0</formula>
    </cfRule>
    <cfRule type="cellIs" dxfId="2274" priority="167" stopIfTrue="1" operator="greaterThan">
      <formula>4.5</formula>
    </cfRule>
  </conditionalFormatting>
  <conditionalFormatting sqref="E57:F57 E56">
    <cfRule type="cellIs" dxfId="2273" priority="177" stopIfTrue="1" operator="lessThan">
      <formula>96.5</formula>
    </cfRule>
  </conditionalFormatting>
  <conditionalFormatting sqref="F10:F28">
    <cfRule type="cellIs" dxfId="2272" priority="2" operator="greaterThan">
      <formula>60</formula>
    </cfRule>
  </conditionalFormatting>
  <conditionalFormatting sqref="F57">
    <cfRule type="cellIs" dxfId="2271" priority="194" stopIfTrue="1" operator="greaterThan">
      <formula>100</formula>
    </cfRule>
    <cfRule type="cellIs" dxfId="2270" priority="193" stopIfTrue="1" operator="lessThan">
      <formula>96.8</formula>
    </cfRule>
  </conditionalFormatting>
  <conditionalFormatting sqref="G73:G76 F82">
    <cfRule type="cellIs" dxfId="2269" priority="55" stopIfTrue="1" operator="greaterThan">
      <formula>$F73</formula>
    </cfRule>
    <cfRule type="cellIs" dxfId="2268" priority="56" stopIfTrue="1" operator="lessThanOrEqual">
      <formula>0</formula>
    </cfRule>
  </conditionalFormatting>
  <conditionalFormatting sqref="G75:G76">
    <cfRule type="cellIs" dxfId="2267" priority="42" stopIfTrue="1" operator="lessThanOrEqual">
      <formula>0</formula>
    </cfRule>
    <cfRule type="cellIs" dxfId="2266" priority="41" stopIfTrue="1" operator="greaterThan">
      <formula>$F75</formula>
    </cfRule>
  </conditionalFormatting>
  <conditionalFormatting sqref="G77:G81">
    <cfRule type="cellIs" dxfId="2265" priority="57" stopIfTrue="1" operator="greaterThan">
      <formula>$J77</formula>
    </cfRule>
    <cfRule type="cellIs" dxfId="2264" priority="58" stopIfTrue="1" operator="lessThanOrEqual">
      <formula>0</formula>
    </cfRule>
  </conditionalFormatting>
  <conditionalFormatting sqref="G78">
    <cfRule type="cellIs" dxfId="2263" priority="202" stopIfTrue="1" operator="lessThanOrEqual">
      <formula>0</formula>
    </cfRule>
    <cfRule type="cellIs" dxfId="2262" priority="201" stopIfTrue="1" operator="greaterThan">
      <formula>$F73</formula>
    </cfRule>
  </conditionalFormatting>
  <conditionalFormatting sqref="G86:G91 C89 C91">
    <cfRule type="cellIs" dxfId="2261" priority="191" stopIfTrue="1" operator="lessThanOrEqual">
      <formula>0</formula>
    </cfRule>
    <cfRule type="cellIs" dxfId="2260" priority="190" stopIfTrue="1" operator="greaterThan">
      <formula>4.5</formula>
    </cfRule>
  </conditionalFormatting>
  <conditionalFormatting sqref="G10:H28">
    <cfRule type="expression" dxfId="2259" priority="1">
      <formula>IF(+(IF(G10&lt;#REF!,0,IF(G10&gt;#REF!,0,1)))=0,1)</formula>
    </cfRule>
  </conditionalFormatting>
  <conditionalFormatting sqref="G85:H85">
    <cfRule type="cellIs" dxfId="2258" priority="171" stopIfTrue="1" operator="greaterThan">
      <formula>$F$84</formula>
    </cfRule>
    <cfRule type="cellIs" dxfId="2257" priority="172" stopIfTrue="1" operator="lessThanOrEqual">
      <formula>0</formula>
    </cfRule>
  </conditionalFormatting>
  <conditionalFormatting sqref="H42:H43 H56">
    <cfRule type="cellIs" dxfId="2256" priority="169" stopIfTrue="1" operator="greaterThan">
      <formula>0</formula>
    </cfRule>
  </conditionalFormatting>
  <conditionalFormatting sqref="H60">
    <cfRule type="cellIs" dxfId="2255" priority="71" stopIfTrue="1" operator="greaterThan">
      <formula>$F$74</formula>
    </cfRule>
    <cfRule type="cellIs" dxfId="2254" priority="61" stopIfTrue="1" operator="greaterThan">
      <formula>$F$73</formula>
    </cfRule>
    <cfRule type="cellIs" dxfId="2253" priority="70" stopIfTrue="1" operator="lessThanOrEqual">
      <formula>0</formula>
    </cfRule>
    <cfRule type="cellIs" dxfId="2252" priority="60" stopIfTrue="1" operator="lessThanOrEqual">
      <formula>0</formula>
    </cfRule>
    <cfRule type="cellIs" dxfId="2251" priority="69" stopIfTrue="1" operator="greaterThan">
      <formula>$F$76</formula>
    </cfRule>
  </conditionalFormatting>
  <conditionalFormatting sqref="H60:H61">
    <cfRule type="cellIs" dxfId="2250" priority="72" stopIfTrue="1" operator="lessThanOrEqual">
      <formula>0</formula>
    </cfRule>
  </conditionalFormatting>
  <conditionalFormatting sqref="H61 H63:H64">
    <cfRule type="cellIs" dxfId="2249" priority="99" stopIfTrue="1" operator="lessThanOrEqual">
      <formula>0</formula>
    </cfRule>
  </conditionalFormatting>
  <conditionalFormatting sqref="H61">
    <cfRule type="cellIs" dxfId="2248" priority="88" stopIfTrue="1" operator="greaterThan">
      <formula>$F$73</formula>
    </cfRule>
    <cfRule type="cellIs" dxfId="2247" priority="96" stopIfTrue="1" operator="greaterThan">
      <formula>$F$76</formula>
    </cfRule>
    <cfRule type="cellIs" dxfId="2246" priority="97" stopIfTrue="1" operator="lessThanOrEqual">
      <formula>0</formula>
    </cfRule>
    <cfRule type="cellIs" dxfId="2245" priority="98" stopIfTrue="1" operator="greaterThan">
      <formula>$F$74</formula>
    </cfRule>
  </conditionalFormatting>
  <conditionalFormatting sqref="H62">
    <cfRule type="cellIs" dxfId="2244" priority="39" stopIfTrue="1" operator="lessThanOrEqual">
      <formula>0</formula>
    </cfRule>
    <cfRule type="cellIs" dxfId="2243" priority="38" stopIfTrue="1" operator="greaterThan">
      <formula>$F$76</formula>
    </cfRule>
    <cfRule type="cellIs" dxfId="2242" priority="37" stopIfTrue="1" operator="lessThanOrEqual">
      <formula>0</formula>
    </cfRule>
    <cfRule type="cellIs" dxfId="2241" priority="36" stopIfTrue="1" operator="greaterThan">
      <formula>$F$78</formula>
    </cfRule>
    <cfRule type="cellIs" dxfId="2240" priority="27" stopIfTrue="1" operator="lessThanOrEqual">
      <formula>0</formula>
    </cfRule>
    <cfRule type="cellIs" dxfId="2239" priority="28" stopIfTrue="1" operator="greaterThan">
      <formula>$F$75</formula>
    </cfRule>
  </conditionalFormatting>
  <conditionalFormatting sqref="H63:H64">
    <cfRule type="cellIs" dxfId="2238" priority="112" stopIfTrue="1" operator="lessThanOrEqual">
      <formula>0</formula>
    </cfRule>
    <cfRule type="cellIs" dxfId="2237" priority="111" stopIfTrue="1" operator="greaterThan">
      <formula>$F$74</formula>
    </cfRule>
    <cfRule type="cellIs" dxfId="2236" priority="110" stopIfTrue="1" operator="lessThanOrEqual">
      <formula>0</formula>
    </cfRule>
    <cfRule type="cellIs" dxfId="2235" priority="101" stopIfTrue="1" operator="greaterThan">
      <formula>$F$73</formula>
    </cfRule>
    <cfRule type="cellIs" dxfId="2234" priority="109" stopIfTrue="1" operator="greaterThan">
      <formula>$F$76</formula>
    </cfRule>
  </conditionalFormatting>
  <conditionalFormatting sqref="H65:H66">
    <cfRule type="cellIs" dxfId="2233" priority="145" stopIfTrue="1" operator="greaterThan">
      <formula>#REF!</formula>
    </cfRule>
    <cfRule type="cellIs" dxfId="2232" priority="146" stopIfTrue="1" operator="lessThanOrEqual">
      <formula>0</formula>
    </cfRule>
    <cfRule type="cellIs" dxfId="2231" priority="137" stopIfTrue="1" operator="greaterThan">
      <formula>#REF!</formula>
    </cfRule>
    <cfRule type="cellIs" dxfId="2230" priority="136" stopIfTrue="1" operator="lessThanOrEqual">
      <formula>0</formula>
    </cfRule>
  </conditionalFormatting>
  <conditionalFormatting sqref="H67">
    <cfRule type="cellIs" dxfId="2229" priority="149" stopIfTrue="1" operator="greaterThan">
      <formula>$F$41</formula>
    </cfRule>
    <cfRule type="cellIs" dxfId="2228" priority="157" stopIfTrue="1" operator="greaterThan">
      <formula>$F$44</formula>
    </cfRule>
    <cfRule type="cellIs" dxfId="2227" priority="158" stopIfTrue="1" operator="lessThanOrEqual">
      <formula>0</formula>
    </cfRule>
    <cfRule type="cellIs" dxfId="2226" priority="148" stopIfTrue="1" operator="lessThanOrEqual">
      <formula>0</formula>
    </cfRule>
    <cfRule type="cellIs" dxfId="2225" priority="159" stopIfTrue="1" operator="greaterThan">
      <formula>$F$42</formula>
    </cfRule>
    <cfRule type="cellIs" dxfId="2224" priority="160" stopIfTrue="1" operator="lessThanOrEqual">
      <formula>0</formula>
    </cfRule>
  </conditionalFormatting>
  <conditionalFormatting sqref="H68:H69">
    <cfRule type="cellIs" dxfId="2223" priority="133" stopIfTrue="1" operator="greaterThan">
      <formula>#REF!</formula>
    </cfRule>
    <cfRule type="cellIs" dxfId="2222" priority="124" stopIfTrue="1" operator="lessThanOrEqual">
      <formula>0</formula>
    </cfRule>
    <cfRule type="cellIs" dxfId="2221" priority="134" stopIfTrue="1" operator="lessThanOrEqual">
      <formula>0</formula>
    </cfRule>
    <cfRule type="cellIs" dxfId="2220" priority="125" stopIfTrue="1" operator="greaterThan">
      <formula>#REF!</formula>
    </cfRule>
  </conditionalFormatting>
  <conditionalFormatting sqref="H84 H86:H92">
    <cfRule type="cellIs" dxfId="2219" priority="183" stopIfTrue="1" operator="greaterThan">
      <formula>4.5</formula>
    </cfRule>
    <cfRule type="cellIs" dxfId="2218" priority="184" stopIfTrue="1" operator="lessThanOrEqual">
      <formula>0</formula>
    </cfRule>
  </conditionalFormatting>
  <conditionalFormatting sqref="H60:I60">
    <cfRule type="cellIs" dxfId="2217" priority="62" stopIfTrue="1" operator="lessThanOrEqual">
      <formula>0</formula>
    </cfRule>
  </conditionalFormatting>
  <conditionalFormatting sqref="H60:I61 H63:I64">
    <cfRule type="cellIs" dxfId="2216" priority="59" stopIfTrue="1" operator="greaterThan">
      <formula>$F$75</formula>
    </cfRule>
  </conditionalFormatting>
  <conditionalFormatting sqref="H61:I61">
    <cfRule type="cellIs" dxfId="2215" priority="89" stopIfTrue="1" operator="lessThanOrEqual">
      <formula>0</formula>
    </cfRule>
  </conditionalFormatting>
  <conditionalFormatting sqref="H62:I62">
    <cfRule type="cellIs" dxfId="2214" priority="26" stopIfTrue="1" operator="greaterThan">
      <formula>$F$77</formula>
    </cfRule>
    <cfRule type="cellIs" dxfId="2213" priority="29" stopIfTrue="1" operator="lessThanOrEqual">
      <formula>0</formula>
    </cfRule>
  </conditionalFormatting>
  <conditionalFormatting sqref="H63:I64">
    <cfRule type="cellIs" dxfId="2212" priority="102" stopIfTrue="1" operator="lessThanOrEqual">
      <formula>0</formula>
    </cfRule>
  </conditionalFormatting>
  <conditionalFormatting sqref="H65:I66">
    <cfRule type="cellIs" dxfId="2211" priority="143" stopIfTrue="1" operator="greaterThan">
      <formula>#REF!</formula>
    </cfRule>
    <cfRule type="cellIs" dxfId="2210" priority="138" stopIfTrue="1" operator="lessThanOrEqual">
      <formula>0</formula>
    </cfRule>
    <cfRule type="cellIs" dxfId="2209" priority="144" stopIfTrue="1" operator="lessThanOrEqual">
      <formula>0</formula>
    </cfRule>
    <cfRule type="cellIs" dxfId="2208" priority="135" stopIfTrue="1" operator="greaterThan">
      <formula>#REF!</formula>
    </cfRule>
  </conditionalFormatting>
  <conditionalFormatting sqref="H67:I67">
    <cfRule type="cellIs" dxfId="2207" priority="147" stopIfTrue="1" operator="greaterThan">
      <formula>$F$43</formula>
    </cfRule>
    <cfRule type="cellIs" dxfId="2206" priority="150" stopIfTrue="1" operator="lessThanOrEqual">
      <formula>0</formula>
    </cfRule>
  </conditionalFormatting>
  <conditionalFormatting sqref="H68:I69">
    <cfRule type="cellIs" dxfId="2205" priority="123" stopIfTrue="1" operator="greaterThan">
      <formula>#REF!</formula>
    </cfRule>
    <cfRule type="cellIs" dxfId="2204" priority="126" stopIfTrue="1" operator="lessThanOrEqual">
      <formula>0</formula>
    </cfRule>
    <cfRule type="cellIs" dxfId="2203" priority="132" stopIfTrue="1" operator="lessThanOrEqual">
      <formula>0</formula>
    </cfRule>
    <cfRule type="cellIs" dxfId="2202" priority="131" stopIfTrue="1" operator="greaterThan">
      <formula>#REF!</formula>
    </cfRule>
  </conditionalFormatting>
  <conditionalFormatting sqref="H73:I80">
    <cfRule type="cellIs" dxfId="2201" priority="45" stopIfTrue="1" operator="lessThanOrEqual">
      <formula>0</formula>
    </cfRule>
    <cfRule type="cellIs" dxfId="2200" priority="44" stopIfTrue="1" operator="greaterThan">
      <formula>$J73</formula>
    </cfRule>
  </conditionalFormatting>
  <conditionalFormatting sqref="H81:I81">
    <cfRule type="cellIs" dxfId="2199" priority="52" operator="greaterThan">
      <formula>5.3</formula>
    </cfRule>
  </conditionalFormatting>
  <conditionalFormatting sqref="H82:I82">
    <cfRule type="cellIs" dxfId="2198" priority="50" stopIfTrue="1" operator="greaterThan">
      <formula>$J82</formula>
    </cfRule>
    <cfRule type="cellIs" dxfId="2197" priority="51" stopIfTrue="1" operator="lessThanOrEqual">
      <formula>0</formula>
    </cfRule>
  </conditionalFormatting>
  <conditionalFormatting sqref="I60">
    <cfRule type="cellIs" dxfId="2196" priority="66" stopIfTrue="1" operator="lessThanOrEqual">
      <formula>0</formula>
    </cfRule>
    <cfRule type="cellIs" dxfId="2195" priority="65" stopIfTrue="1" operator="greaterThan">
      <formula>$F$75</formula>
    </cfRule>
    <cfRule type="cellIs" dxfId="2194" priority="64" stopIfTrue="1" operator="lessThanOrEqual">
      <formula>0</formula>
    </cfRule>
    <cfRule type="cellIs" dxfId="2193" priority="63" stopIfTrue="1" operator="greaterThan">
      <formula>$F$73</formula>
    </cfRule>
    <cfRule type="cellIs" dxfId="2192" priority="68" stopIfTrue="1" operator="lessThanOrEqual">
      <formula>0</formula>
    </cfRule>
    <cfRule type="cellIs" dxfId="2191" priority="67" stopIfTrue="1" operator="greaterThan">
      <formula>$F$73</formula>
    </cfRule>
  </conditionalFormatting>
  <conditionalFormatting sqref="I61">
    <cfRule type="cellIs" dxfId="2190" priority="95" stopIfTrue="1" operator="lessThanOrEqual">
      <formula>0</formula>
    </cfRule>
    <cfRule type="cellIs" dxfId="2189" priority="93" stopIfTrue="1" operator="lessThanOrEqual">
      <formula>0</formula>
    </cfRule>
    <cfRule type="cellIs" dxfId="2188" priority="94" stopIfTrue="1" operator="greaterThan">
      <formula>$F$73</formula>
    </cfRule>
    <cfRule type="cellIs" dxfId="2187" priority="91" stopIfTrue="1" operator="lessThanOrEqual">
      <formula>0</formula>
    </cfRule>
    <cfRule type="cellIs" dxfId="2186" priority="90" stopIfTrue="1" operator="greaterThan">
      <formula>$F$73</formula>
    </cfRule>
    <cfRule type="cellIs" dxfId="2185" priority="92" stopIfTrue="1" operator="greaterThan">
      <formula>$F$75</formula>
    </cfRule>
  </conditionalFormatting>
  <conditionalFormatting sqref="I62">
    <cfRule type="cellIs" dxfId="2184" priority="30" stopIfTrue="1" operator="greaterThan">
      <formula>$F$75</formula>
    </cfRule>
    <cfRule type="cellIs" dxfId="2183" priority="32" stopIfTrue="1" operator="greaterThan">
      <formula>$F$77</formula>
    </cfRule>
    <cfRule type="cellIs" dxfId="2182" priority="33" stopIfTrue="1" operator="lessThanOrEqual">
      <formula>0</formula>
    </cfRule>
    <cfRule type="cellIs" dxfId="2181" priority="34" stopIfTrue="1" operator="greaterThan">
      <formula>$F$75</formula>
    </cfRule>
    <cfRule type="cellIs" dxfId="2180" priority="35" stopIfTrue="1" operator="lessThanOrEqual">
      <formula>0</formula>
    </cfRule>
    <cfRule type="cellIs" dxfId="2179" priority="31" stopIfTrue="1" operator="lessThanOrEqual">
      <formula>0</formula>
    </cfRule>
  </conditionalFormatting>
  <conditionalFormatting sqref="I63:I64">
    <cfRule type="cellIs" dxfId="2178" priority="106" stopIfTrue="1" operator="lessThanOrEqual">
      <formula>0</formula>
    </cfRule>
    <cfRule type="cellIs" dxfId="2177" priority="107" stopIfTrue="1" operator="greaterThan">
      <formula>$F$73</formula>
    </cfRule>
    <cfRule type="cellIs" dxfId="2176" priority="108" stopIfTrue="1" operator="lessThanOrEqual">
      <formula>0</formula>
    </cfRule>
    <cfRule type="cellIs" dxfId="2175" priority="105" stopIfTrue="1" operator="greaterThan">
      <formula>$F$75</formula>
    </cfRule>
    <cfRule type="cellIs" dxfId="2174" priority="103" stopIfTrue="1" operator="greaterThan">
      <formula>$F$73</formula>
    </cfRule>
    <cfRule type="cellIs" dxfId="2173" priority="104" stopIfTrue="1" operator="lessThanOrEqual">
      <formula>0</formula>
    </cfRule>
  </conditionalFormatting>
  <conditionalFormatting sqref="I65:I66">
    <cfRule type="cellIs" dxfId="2172" priority="142" stopIfTrue="1" operator="lessThanOrEqual">
      <formula>0</formula>
    </cfRule>
    <cfRule type="cellIs" dxfId="2171" priority="140" stopIfTrue="1" operator="lessThanOrEqual">
      <formula>0</formula>
    </cfRule>
    <cfRule type="cellIs" dxfId="2170" priority="139" stopIfTrue="1" operator="greaterThan">
      <formula>#REF!</formula>
    </cfRule>
    <cfRule type="cellIs" dxfId="2169" priority="141" stopIfTrue="1" operator="greaterThan">
      <formula>#REF!</formula>
    </cfRule>
  </conditionalFormatting>
  <conditionalFormatting sqref="I67">
    <cfRule type="cellIs" dxfId="2168" priority="155" stopIfTrue="1" operator="greaterThan">
      <formula>$F$41</formula>
    </cfRule>
    <cfRule type="cellIs" dxfId="2167" priority="156" stopIfTrue="1" operator="lessThanOrEqual">
      <formula>0</formula>
    </cfRule>
    <cfRule type="cellIs" dxfId="2166" priority="151" stopIfTrue="1" operator="greaterThan">
      <formula>$F$41</formula>
    </cfRule>
    <cfRule type="cellIs" dxfId="2165" priority="152" stopIfTrue="1" operator="lessThanOrEqual">
      <formula>0</formula>
    </cfRule>
    <cfRule type="cellIs" dxfId="2164" priority="153" stopIfTrue="1" operator="greaterThan">
      <formula>$F$43</formula>
    </cfRule>
    <cfRule type="cellIs" dxfId="2163" priority="154" stopIfTrue="1" operator="lessThanOrEqual">
      <formula>0</formula>
    </cfRule>
  </conditionalFormatting>
  <conditionalFormatting sqref="I68:I69">
    <cfRule type="cellIs" dxfId="2162" priority="127" stopIfTrue="1" operator="greaterThan">
      <formula>#REF!</formula>
    </cfRule>
    <cfRule type="cellIs" dxfId="2161" priority="128" stopIfTrue="1" operator="lessThanOrEqual">
      <formula>0</formula>
    </cfRule>
    <cfRule type="cellIs" dxfId="2160" priority="130" stopIfTrue="1" operator="lessThanOrEqual">
      <formula>0</formula>
    </cfRule>
    <cfRule type="cellIs" dxfId="2159" priority="129" stopIfTrue="1" operator="greaterThan">
      <formula>#REF!</formula>
    </cfRule>
  </conditionalFormatting>
  <conditionalFormatting sqref="I84:I92">
    <cfRule type="cellIs" dxfId="2158" priority="180" stopIfTrue="1" operator="lessThanOrEqual">
      <formula>0</formula>
    </cfRule>
    <cfRule type="cellIs" dxfId="2157" priority="179" stopIfTrue="1" operator="greaterThan">
      <formula>4.5</formula>
    </cfRule>
  </conditionalFormatting>
  <conditionalFormatting sqref="I10:J28">
    <cfRule type="cellIs" dxfId="2156" priority="3" operator="lessThan">
      <formula>97.9</formula>
    </cfRule>
  </conditionalFormatting>
  <conditionalFormatting sqref="J31:J33">
    <cfRule type="cellIs" dxfId="2155" priority="25" operator="lessThan">
      <formula>97.95</formula>
    </cfRule>
  </conditionalFormatting>
  <conditionalFormatting sqref="J33:J35">
    <cfRule type="cellIs" dxfId="2154" priority="161" operator="lessThan">
      <formula>97.4</formula>
    </cfRule>
  </conditionalFormatting>
  <conditionalFormatting sqref="J36:J37">
    <cfRule type="cellIs" dxfId="2153" priority="162" operator="lessThan">
      <formula>98</formula>
    </cfRule>
  </conditionalFormatting>
  <conditionalFormatting sqref="J38:J39">
    <cfRule type="cellIs" dxfId="2152" priority="163" stopIfTrue="1" operator="lessThan">
      <formula>96.8</formula>
    </cfRule>
    <cfRule type="cellIs" dxfId="2151" priority="164" stopIfTrue="1" operator="greaterThan">
      <formula>100</formula>
    </cfRule>
  </conditionalFormatting>
  <conditionalFormatting sqref="J38:J40">
    <cfRule type="cellIs" dxfId="2150" priority="165" operator="lessThan">
      <formula>98</formula>
    </cfRule>
  </conditionalFormatting>
  <conditionalFormatting sqref="J69">
    <cfRule type="cellIs" dxfId="2149" priority="120" stopIfTrue="1" operator="lessThanOrEqual">
      <formula>0</formula>
    </cfRule>
    <cfRule type="cellIs" dxfId="2148" priority="119" stopIfTrue="1" operator="greaterThan">
      <formula>#REF!</formula>
    </cfRule>
    <cfRule type="cellIs" dxfId="2147" priority="118" stopIfTrue="1" operator="lessThanOrEqual">
      <formula>0</formula>
    </cfRule>
    <cfRule type="cellIs" dxfId="2146" priority="117" stopIfTrue="1" operator="greaterThan">
      <formula>#REF!</formula>
    </cfRule>
    <cfRule type="cellIs" dxfId="2145" priority="116" stopIfTrue="1" operator="lessThanOrEqual">
      <formula>0</formula>
    </cfRule>
    <cfRule type="cellIs" dxfId="2144" priority="115" stopIfTrue="1" operator="greaterThan">
      <formula>#REF!</formula>
    </cfRule>
    <cfRule type="cellIs" dxfId="2143" priority="121" stopIfTrue="1" operator="greaterThan">
      <formula>#REF!</formula>
    </cfRule>
    <cfRule type="cellIs" dxfId="2142" priority="122" stopIfTrue="1" operator="lessThanOrEqual">
      <formula>0</formula>
    </cfRule>
  </conditionalFormatting>
  <conditionalFormatting sqref="J82">
    <cfRule type="cellIs" dxfId="2141" priority="53" stopIfTrue="1" operator="greaterThan">
      <formula>$F82</formula>
    </cfRule>
    <cfRule type="cellIs" dxfId="2140" priority="54" stopIfTrue="1" operator="lessThanOrEqual">
      <formula>0</formula>
    </cfRule>
  </conditionalFormatting>
  <conditionalFormatting sqref="K10:K28">
    <cfRule type="cellIs" dxfId="2139" priority="6" operator="greaterThan">
      <formula>6.4</formula>
    </cfRule>
    <cfRule type="cellIs" dxfId="2138" priority="4" operator="greaterThan">
      <formula>6</formula>
    </cfRule>
    <cfRule type="cellIs" dxfId="2137" priority="5" operator="lessThan">
      <formula>4</formula>
    </cfRule>
  </conditionalFormatting>
  <conditionalFormatting sqref="K60:K69">
    <cfRule type="cellIs" dxfId="2136" priority="100" stopIfTrue="1" operator="lessThan">
      <formula>100%</formula>
    </cfRule>
  </conditionalFormatting>
  <conditionalFormatting sqref="K73:K81">
    <cfRule type="cellIs" dxfId="2135" priority="43" stopIfTrue="1" operator="lessThan">
      <formula>100%</formula>
    </cfRule>
  </conditionalFormatting>
  <conditionalFormatting sqref="K84:K89">
    <cfRule type="cellIs" dxfId="2134" priority="185" stopIfTrue="1" operator="lessThan">
      <formula>100%</formula>
    </cfRule>
  </conditionalFormatting>
  <conditionalFormatting sqref="K91:K92">
    <cfRule type="cellIs" dxfId="2133" priority="192" stopIfTrue="1" operator="lessThan">
      <formula>100%</formula>
    </cfRule>
  </conditionalFormatting>
  <conditionalFormatting sqref="L10:L28">
    <cfRule type="cellIs" dxfId="2132" priority="7" operator="between">
      <formula>61</formula>
      <formula>65</formula>
    </cfRule>
    <cfRule type="cellIs" dxfId="2131" priority="8" operator="greaterThan">
      <formula>65</formula>
    </cfRule>
  </conditionalFormatting>
  <conditionalFormatting sqref="L31:M42">
    <cfRule type="cellIs" dxfId="2130" priority="24" operator="lessThan">
      <formula>97.95</formula>
    </cfRule>
  </conditionalFormatting>
  <conditionalFormatting sqref="L46:N46">
    <cfRule type="cellIs" dxfId="2129" priority="79" operator="notEqual">
      <formula>#REF!</formula>
    </cfRule>
  </conditionalFormatting>
  <conditionalFormatting sqref="L73:N82">
    <cfRule type="cellIs" dxfId="2128" priority="40" stopIfTrue="1" operator="lessThan">
      <formula>100%</formula>
    </cfRule>
  </conditionalFormatting>
  <conditionalFormatting sqref="L84:N92">
    <cfRule type="cellIs" dxfId="2127" priority="170" stopIfTrue="1" operator="lessThan">
      <formula>100%</formula>
    </cfRule>
  </conditionalFormatting>
  <conditionalFormatting sqref="M10:N28">
    <cfRule type="expression" dxfId="2126" priority="10">
      <formula>IF(+(IF(M10&lt;#REF!,0,IF(M10&gt;#REF!,0,1)))=0,1)</formula>
    </cfRule>
  </conditionalFormatting>
  <conditionalFormatting sqref="N10:N28">
    <cfRule type="expression" dxfId="2125" priority="11">
      <formula>IF(+(IF(N10&lt;W10,0,IF(N10&gt;X10,0,1)))=0,1)</formula>
    </cfRule>
  </conditionalFormatting>
  <conditionalFormatting sqref="P6">
    <cfRule type="cellIs" dxfId="2124" priority="166" operator="greaterThanOrEqual">
      <formula>19</formula>
    </cfRule>
  </conditionalFormatting>
  <dataValidations count="1">
    <dataValidation type="list" allowBlank="1" showInputMessage="1" showErrorMessage="1" sqref="R8" xr:uid="{AD7A8DC7-361A-47E8-AB24-0FBF62177D47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6" max="16383" man="1"/>
  </rowBreaks>
  <colBreaks count="1" manualBreakCount="1">
    <brk id="15" max="89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6D665-3FD9-410A-9E9E-A05EAAE6F4A2}">
  <sheetPr>
    <pageSetUpPr fitToPage="1"/>
  </sheetPr>
  <dimension ref="A1:BE82"/>
  <sheetViews>
    <sheetView zoomScale="60" zoomScaleNormal="60" workbookViewId="0">
      <selection activeCell="G31" sqref="G31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12" t="s">
        <v>0</v>
      </c>
      <c r="T1" s="512"/>
      <c r="U1" s="512" t="s">
        <v>1</v>
      </c>
      <c r="V1" s="512"/>
      <c r="W1" s="512" t="s">
        <v>2</v>
      </c>
      <c r="X1" s="512"/>
      <c r="Y1" s="512" t="s">
        <v>124</v>
      </c>
      <c r="Z1" s="512"/>
    </row>
    <row r="2" spans="2:29" ht="15">
      <c r="B2" s="513" t="s">
        <v>3</v>
      </c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46252</v>
      </c>
      <c r="J4" s="398" t="s">
        <v>184</v>
      </c>
      <c r="K4" s="398"/>
      <c r="L4" s="11"/>
      <c r="M4" s="510" t="s">
        <v>8</v>
      </c>
      <c r="N4" s="511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6"/>
      <c r="D5" s="516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19" t="s">
        <v>18</v>
      </c>
      <c r="D8" s="519" t="s">
        <v>19</v>
      </c>
      <c r="E8" s="356" t="s">
        <v>20</v>
      </c>
      <c r="F8" s="356" t="s">
        <v>21</v>
      </c>
      <c r="G8" s="519" t="s">
        <v>22</v>
      </c>
      <c r="H8" s="520" t="s">
        <v>144</v>
      </c>
      <c r="I8" s="519" t="s">
        <v>181</v>
      </c>
      <c r="J8" s="522" t="s">
        <v>23</v>
      </c>
      <c r="K8" s="524" t="s">
        <v>142</v>
      </c>
      <c r="L8" s="526" t="s">
        <v>24</v>
      </c>
      <c r="M8" s="359" t="s">
        <v>25</v>
      </c>
      <c r="N8" s="17" t="s">
        <v>168</v>
      </c>
      <c r="O8" s="519" t="s">
        <v>155</v>
      </c>
      <c r="P8" s="514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8"/>
      <c r="C9" s="515"/>
      <c r="D9" s="515"/>
      <c r="E9" s="357" t="s">
        <v>30</v>
      </c>
      <c r="F9" s="357" t="s">
        <v>31</v>
      </c>
      <c r="G9" s="515"/>
      <c r="H9" s="521"/>
      <c r="I9" s="515"/>
      <c r="J9" s="523"/>
      <c r="K9" s="525"/>
      <c r="L9" s="527"/>
      <c r="M9" s="20" t="s">
        <v>32</v>
      </c>
      <c r="N9" s="21" t="s">
        <v>41</v>
      </c>
      <c r="O9" s="515"/>
      <c r="P9" s="515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34" t="s">
        <v>12</v>
      </c>
      <c r="C10" s="366" t="str">
        <f>[5]Brewhouse!$A90</f>
        <v>GU069</v>
      </c>
      <c r="D10" s="279">
        <f>[5]Brewhouse!$AF90</f>
        <v>51.3</v>
      </c>
      <c r="E10" s="279">
        <f>[5]Brewhouse!$AI90</f>
        <v>50.5</v>
      </c>
      <c r="F10" s="278">
        <f>[5]Brewhouse!$V90</f>
        <v>62</v>
      </c>
      <c r="G10" s="279">
        <f>[5]Brewhouse!$AG90</f>
        <v>17.399999999999999</v>
      </c>
      <c r="H10" s="396">
        <v>17.399999999999999</v>
      </c>
      <c r="I10" s="501">
        <f>[5]Brewhouse!$AU90</f>
        <v>96.199574054545806</v>
      </c>
      <c r="J10" s="501">
        <f>[5]Brewhouse!$AV90</f>
        <v>96.967086256706551</v>
      </c>
      <c r="K10" s="502">
        <f>[5]Brewhouse!$R90</f>
        <v>12.085561497326205</v>
      </c>
      <c r="L10" s="276">
        <f>[5]Brewhouse!$O90</f>
        <v>55</v>
      </c>
      <c r="M10" s="374">
        <f>[5]Brewhouse!$U90-[5]Brewhouse!$T90</f>
        <v>0.11736111111111108</v>
      </c>
      <c r="N10" s="370">
        <f>[5]Brewhouse!$Z90</f>
        <v>0.29027777777777775</v>
      </c>
      <c r="O10" s="420" t="str">
        <f>[5]Brewhouse!$AW90</f>
        <v>R. Regis</v>
      </c>
      <c r="P10" s="418"/>
      <c r="R10" s="277" t="str">
        <f t="shared" ref="R10:R42" si="0">B10</f>
        <v>GUINNESS</v>
      </c>
      <c r="S10" s="472">
        <f t="shared" ref="S10:S42" si="1">VLOOKUP($B10,$R$3:$X$9,2,FALSE)</f>
        <v>17</v>
      </c>
      <c r="T10" s="472">
        <f t="shared" ref="T10:T42" si="2">VLOOKUP($B10,$R$3:$X$9,3,FALSE)</f>
        <v>17.5</v>
      </c>
      <c r="U10" s="297">
        <f t="shared" ref="U10:U42" si="3">VLOOKUP($B10,$R$3:$X$9,4,FALSE)</f>
        <v>0</v>
      </c>
      <c r="V10" s="297">
        <f t="shared" ref="V10:V42" si="4">VLOOKUP($B10,$R$3:$X$9,5,FALSE)</f>
        <v>0.1076388888888889</v>
      </c>
      <c r="W10" s="297">
        <f t="shared" ref="W10:W42" si="5">VLOOKUP($B10,$R$3:$X$9,6,FALSE)</f>
        <v>0.24652777777777779</v>
      </c>
      <c r="X10" s="297">
        <f t="shared" ref="X10:X42" si="6">VLOOKUP($B10,$R$3:$X$9,7,FALSE)</f>
        <v>0.28472222222222221</v>
      </c>
      <c r="Y10" s="297">
        <f t="shared" ref="Y10:Y42" si="7">VLOOKUP($B10,$R$3:$Z$9,8,FALSE)</f>
        <v>0</v>
      </c>
      <c r="Z10" s="472">
        <f t="shared" ref="Z10:Z42" si="8">VLOOKUP($B10,$R$3:$Z$9,9,FALSE)</f>
        <v>60</v>
      </c>
    </row>
    <row r="11" spans="2:29" ht="17.25" customHeight="1">
      <c r="B11" s="34" t="s">
        <v>12</v>
      </c>
      <c r="C11" s="366" t="str">
        <f>[5]Brewhouse!$A91</f>
        <v>GU070</v>
      </c>
      <c r="D11" s="279">
        <f>[5]Brewhouse!$AF91</f>
        <v>51.9</v>
      </c>
      <c r="E11" s="279">
        <f>[5]Brewhouse!$AI91</f>
        <v>51.3</v>
      </c>
      <c r="F11" s="278">
        <f>[5]Brewhouse!$V91</f>
        <v>61</v>
      </c>
      <c r="G11" s="279">
        <f>[5]Brewhouse!$AG91</f>
        <v>17.3</v>
      </c>
      <c r="H11" s="396">
        <v>17.600000000000001</v>
      </c>
      <c r="I11" s="501">
        <f>[5]Brewhouse!$AU91</f>
        <v>96.990520431357425</v>
      </c>
      <c r="J11" s="501">
        <f>[5]Brewhouse!$AV91</f>
        <v>97.764614988411012</v>
      </c>
      <c r="K11" s="502">
        <f>[5]Brewhouse!$R91</f>
        <v>9.411764705882355</v>
      </c>
      <c r="L11" s="276">
        <f>[5]Brewhouse!$O91</f>
        <v>55</v>
      </c>
      <c r="M11" s="374">
        <f>[5]Brewhouse!$U91-[5]Brewhouse!$T91</f>
        <v>0.11250000000000004</v>
      </c>
      <c r="N11" s="370">
        <f>[5]Brewhouse!$Z91</f>
        <v>0.28958333333333336</v>
      </c>
      <c r="O11" s="420" t="str">
        <f>[5]Brewhouse!$AW91</f>
        <v>R. Sookram</v>
      </c>
      <c r="P11" s="418"/>
      <c r="R11" s="277" t="str">
        <f t="shared" si="0"/>
        <v>GUINNESS</v>
      </c>
      <c r="S11" s="472">
        <f t="shared" si="1"/>
        <v>17</v>
      </c>
      <c r="T11" s="472">
        <f t="shared" si="2"/>
        <v>17.5</v>
      </c>
      <c r="U11" s="297">
        <f t="shared" si="3"/>
        <v>0</v>
      </c>
      <c r="V11" s="297">
        <f t="shared" si="4"/>
        <v>0.1076388888888889</v>
      </c>
      <c r="W11" s="297">
        <f t="shared" si="5"/>
        <v>0.24652777777777779</v>
      </c>
      <c r="X11" s="297">
        <f t="shared" si="6"/>
        <v>0.28472222222222221</v>
      </c>
      <c r="Y11" s="297">
        <f t="shared" si="7"/>
        <v>0</v>
      </c>
      <c r="Z11" s="472">
        <f t="shared" si="8"/>
        <v>60</v>
      </c>
    </row>
    <row r="12" spans="2:29" ht="17.25" customHeight="1">
      <c r="B12" s="34" t="s">
        <v>12</v>
      </c>
      <c r="C12" s="366" t="str">
        <f>[5]Brewhouse!$A92</f>
        <v>GU071</v>
      </c>
      <c r="D12" s="279">
        <f>[5]Brewhouse!$AF92</f>
        <v>51.8</v>
      </c>
      <c r="E12" s="279">
        <f>[5]Brewhouse!$AI92</f>
        <v>50.4</v>
      </c>
      <c r="F12" s="278">
        <f>[5]Brewhouse!$V92</f>
        <v>62</v>
      </c>
      <c r="G12" s="279">
        <f>[5]Brewhouse!$AG92</f>
        <v>17.5</v>
      </c>
      <c r="H12" s="396">
        <v>17.5</v>
      </c>
      <c r="I12" s="501">
        <f>[5]Brewhouse!$AU92</f>
        <v>96.576570379573766</v>
      </c>
      <c r="J12" s="501">
        <f>[5]Brewhouse!$AV92</f>
        <v>97.347090383821694</v>
      </c>
      <c r="K12" s="502">
        <f>[5]Brewhouse!$R92</f>
        <v>9.5900178253119464</v>
      </c>
      <c r="L12" s="276">
        <f>[5]Brewhouse!$O92</f>
        <v>55</v>
      </c>
      <c r="M12" s="374">
        <f>[5]Brewhouse!$U92-[5]Brewhouse!$T92</f>
        <v>0.1152777777777777</v>
      </c>
      <c r="N12" s="370">
        <f>[5]Brewhouse!$Z92</f>
        <v>0.28194444444444439</v>
      </c>
      <c r="O12" s="420" t="str">
        <f>[5]Brewhouse!$AW92</f>
        <v>R. Sookram</v>
      </c>
      <c r="P12" s="418"/>
      <c r="R12" s="277" t="str">
        <f t="shared" si="0"/>
        <v>GUINNESS</v>
      </c>
      <c r="S12" s="472">
        <f t="shared" si="1"/>
        <v>17</v>
      </c>
      <c r="T12" s="472">
        <f t="shared" si="2"/>
        <v>17.5</v>
      </c>
      <c r="U12" s="297">
        <f t="shared" si="3"/>
        <v>0</v>
      </c>
      <c r="V12" s="297">
        <f t="shared" si="4"/>
        <v>0.1076388888888889</v>
      </c>
      <c r="W12" s="297">
        <f t="shared" si="5"/>
        <v>0.24652777777777779</v>
      </c>
      <c r="X12" s="297">
        <f t="shared" si="6"/>
        <v>0.28472222222222221</v>
      </c>
      <c r="Y12" s="297">
        <f t="shared" si="7"/>
        <v>0</v>
      </c>
      <c r="Z12" s="472">
        <f t="shared" si="8"/>
        <v>60</v>
      </c>
    </row>
    <row r="13" spans="2:29" ht="17.25" customHeight="1">
      <c r="B13" s="34" t="s">
        <v>12</v>
      </c>
      <c r="C13" s="366" t="str">
        <f>[5]Brewhouse!$A93</f>
        <v>GU072</v>
      </c>
      <c r="D13" s="279">
        <f>[5]Brewhouse!$AF93</f>
        <v>52.9</v>
      </c>
      <c r="E13" s="279">
        <f>[5]Brewhouse!$AI93</f>
        <v>51.3</v>
      </c>
      <c r="F13" s="278">
        <f>[5]Brewhouse!$V93</f>
        <v>58</v>
      </c>
      <c r="G13" s="279">
        <f>[5]Brewhouse!$AG93</f>
        <v>17.399999999999999</v>
      </c>
      <c r="H13" s="396">
        <v>17.600000000000001</v>
      </c>
      <c r="I13" s="501">
        <f>[5]Brewhouse!$AU93</f>
        <v>97.958929323440969</v>
      </c>
      <c r="J13" s="501">
        <f>[5]Brewhouse!$AV93</f>
        <v>98.740064641241105</v>
      </c>
      <c r="K13" s="502">
        <f>[5]Brewhouse!$R93</f>
        <v>7.4642857142857135</v>
      </c>
      <c r="L13" s="276">
        <f>[5]Brewhouse!$O93</f>
        <v>59</v>
      </c>
      <c r="M13" s="374">
        <f>[5]Brewhouse!$U93-[5]Brewhouse!$T93</f>
        <v>0.12083333333333335</v>
      </c>
      <c r="N13" s="370">
        <f>[5]Brewhouse!$Z93</f>
        <v>0.26250000000000007</v>
      </c>
      <c r="O13" s="420" t="str">
        <f>[5]Brewhouse!$AW93</f>
        <v>R. Sookram</v>
      </c>
      <c r="P13" s="418"/>
      <c r="R13" s="277" t="str">
        <f t="shared" si="0"/>
        <v>GUINNESS</v>
      </c>
      <c r="S13" s="472">
        <f t="shared" si="1"/>
        <v>17</v>
      </c>
      <c r="T13" s="472">
        <f t="shared" si="2"/>
        <v>17.5</v>
      </c>
      <c r="U13" s="297">
        <f t="shared" si="3"/>
        <v>0</v>
      </c>
      <c r="V13" s="297">
        <f t="shared" si="4"/>
        <v>0.1076388888888889</v>
      </c>
      <c r="W13" s="297">
        <f t="shared" si="5"/>
        <v>0.24652777777777779</v>
      </c>
      <c r="X13" s="297">
        <f t="shared" si="6"/>
        <v>0.28472222222222221</v>
      </c>
      <c r="Y13" s="297">
        <f t="shared" si="7"/>
        <v>0</v>
      </c>
      <c r="Z13" s="472">
        <f t="shared" si="8"/>
        <v>60</v>
      </c>
    </row>
    <row r="14" spans="2:29" ht="17.25" customHeight="1">
      <c r="B14" s="34" t="s">
        <v>12</v>
      </c>
      <c r="C14" s="366" t="str">
        <f>[5]Brewhouse!$A94</f>
        <v>GU073</v>
      </c>
      <c r="D14" s="279">
        <f>[5]Brewhouse!$AF94</f>
        <v>51.3</v>
      </c>
      <c r="E14" s="279">
        <f>[5]Brewhouse!$AI94</f>
        <v>50.7</v>
      </c>
      <c r="F14" s="278">
        <f>[5]Brewhouse!$V94</f>
        <v>63</v>
      </c>
      <c r="G14" s="279">
        <f>[5]Brewhouse!$AG94</f>
        <v>17.100000000000001</v>
      </c>
      <c r="H14" s="396">
        <v>17.399999999999999</v>
      </c>
      <c r="I14" s="501">
        <f>[5]Brewhouse!$AU94</f>
        <v>94.968203123829284</v>
      </c>
      <c r="J14" s="501">
        <f>[5]Brewhouse!$AV94</f>
        <v>95.725623934273742</v>
      </c>
      <c r="K14" s="502">
        <f>[5]Brewhouse!$R94</f>
        <v>10.321428571428573</v>
      </c>
      <c r="L14" s="276">
        <f>[5]Brewhouse!$O94</f>
        <v>58</v>
      </c>
      <c r="M14" s="374">
        <f>[5]Brewhouse!$U94-[5]Brewhouse!$T94</f>
        <v>0.11388888888888893</v>
      </c>
      <c r="N14" s="370">
        <f>[5]Brewhouse!$Z94</f>
        <v>0.26458333333333339</v>
      </c>
      <c r="O14" s="420" t="str">
        <f>[5]Brewhouse!$AW94</f>
        <v>R. Sookram</v>
      </c>
      <c r="P14" s="418"/>
      <c r="R14" s="277" t="str">
        <f t="shared" si="0"/>
        <v>GUINNESS</v>
      </c>
      <c r="S14" s="472">
        <f t="shared" si="1"/>
        <v>17</v>
      </c>
      <c r="T14" s="472">
        <f t="shared" si="2"/>
        <v>17.5</v>
      </c>
      <c r="U14" s="297">
        <f t="shared" si="3"/>
        <v>0</v>
      </c>
      <c r="V14" s="297">
        <f t="shared" si="4"/>
        <v>0.1076388888888889</v>
      </c>
      <c r="W14" s="297">
        <f t="shared" si="5"/>
        <v>0.24652777777777779</v>
      </c>
      <c r="X14" s="297">
        <f t="shared" si="6"/>
        <v>0.28472222222222221</v>
      </c>
      <c r="Y14" s="297">
        <f t="shared" si="7"/>
        <v>0</v>
      </c>
      <c r="Z14" s="472">
        <f t="shared" si="8"/>
        <v>60</v>
      </c>
    </row>
    <row r="15" spans="2:29" ht="17.25" customHeight="1">
      <c r="B15" s="34" t="s">
        <v>12</v>
      </c>
      <c r="C15" s="366" t="str">
        <f>[5]Brewhouse!$A95</f>
        <v>GU074</v>
      </c>
      <c r="D15" s="279">
        <f>[5]Brewhouse!$AF95</f>
        <v>52.4</v>
      </c>
      <c r="E15" s="279">
        <f>[5]Brewhouse!$AI95</f>
        <v>51.1</v>
      </c>
      <c r="F15" s="278">
        <f>[5]Brewhouse!$V95</f>
        <v>58</v>
      </c>
      <c r="G15" s="279">
        <f>[5]Brewhouse!$AG95</f>
        <v>17.2</v>
      </c>
      <c r="H15" s="396">
        <v>17.3</v>
      </c>
      <c r="I15" s="501">
        <f>[5]Brewhouse!$AU95</f>
        <v>96.13948802609309</v>
      </c>
      <c r="J15" s="501">
        <f>[5]Brewhouse!$AV95</f>
        <v>96.906520841931481</v>
      </c>
      <c r="K15" s="502">
        <f>[5]Brewhouse!$R95</f>
        <v>8.3571428571428559</v>
      </c>
      <c r="L15" s="276">
        <f>[5]Brewhouse!$O95</f>
        <v>58</v>
      </c>
      <c r="M15" s="374">
        <f>[5]Brewhouse!$U95-[5]Brewhouse!$T95</f>
        <v>0.12152777777777768</v>
      </c>
      <c r="N15" s="370">
        <f>[5]Brewhouse!$Z95</f>
        <v>0.27361111111111103</v>
      </c>
      <c r="O15" s="420" t="str">
        <f>[5]Brewhouse!$AW95</f>
        <v>K. Benjamin</v>
      </c>
      <c r="P15" s="418"/>
      <c r="R15" s="277" t="str">
        <f t="shared" si="0"/>
        <v>GUINNESS</v>
      </c>
      <c r="S15" s="472">
        <f t="shared" si="1"/>
        <v>17</v>
      </c>
      <c r="T15" s="472">
        <f t="shared" si="2"/>
        <v>17.5</v>
      </c>
      <c r="U15" s="297">
        <f t="shared" si="3"/>
        <v>0</v>
      </c>
      <c r="V15" s="297">
        <f t="shared" si="4"/>
        <v>0.1076388888888889</v>
      </c>
      <c r="W15" s="297">
        <f t="shared" si="5"/>
        <v>0.24652777777777779</v>
      </c>
      <c r="X15" s="297">
        <f t="shared" si="6"/>
        <v>0.28472222222222221</v>
      </c>
      <c r="Y15" s="297">
        <f t="shared" si="7"/>
        <v>0</v>
      </c>
      <c r="Z15" s="472">
        <f t="shared" si="8"/>
        <v>60</v>
      </c>
    </row>
    <row r="16" spans="2:29" ht="15" customHeight="1">
      <c r="B16" s="34" t="s">
        <v>12</v>
      </c>
      <c r="C16" s="366" t="str">
        <f>[5]Brewhouse!$A96</f>
        <v>GU075</v>
      </c>
      <c r="D16" s="279">
        <f>[5]Brewhouse!$AF96</f>
        <v>51.4</v>
      </c>
      <c r="E16" s="279">
        <f>[5]Brewhouse!$AI96</f>
        <v>51</v>
      </c>
      <c r="F16" s="278">
        <f>[5]Brewhouse!$V96</f>
        <v>60</v>
      </c>
      <c r="G16" s="279">
        <f>[5]Brewhouse!$AG96</f>
        <v>17.3</v>
      </c>
      <c r="H16" s="396">
        <v>17.3</v>
      </c>
      <c r="I16" s="501">
        <f>[5]Brewhouse!$AU96</f>
        <v>96.966158594827462</v>
      </c>
      <c r="J16" s="501">
        <f>[5]Brewhouse!$AV96</f>
        <v>97.739103410768394</v>
      </c>
      <c r="K16" s="502">
        <f>[5]Brewhouse!$R96</f>
        <v>10.303030303030305</v>
      </c>
      <c r="L16" s="276">
        <f>[5]Brewhouse!$O96</f>
        <v>59</v>
      </c>
      <c r="M16" s="374">
        <f>[5]Brewhouse!$U96-[5]Brewhouse!$T96</f>
        <v>0.11597222222222214</v>
      </c>
      <c r="N16" s="370">
        <f>[5]Brewhouse!$Z96</f>
        <v>0.25833333333333319</v>
      </c>
      <c r="O16" s="420" t="str">
        <f>[5]Brewhouse!$AW96</f>
        <v>K. Benjamin</v>
      </c>
      <c r="P16" s="418"/>
      <c r="R16" s="277" t="str">
        <f t="shared" si="0"/>
        <v>GUINNESS</v>
      </c>
      <c r="S16" s="472">
        <f t="shared" si="1"/>
        <v>17</v>
      </c>
      <c r="T16" s="472">
        <f t="shared" si="2"/>
        <v>17.5</v>
      </c>
      <c r="U16" s="297">
        <f t="shared" si="3"/>
        <v>0</v>
      </c>
      <c r="V16" s="297">
        <f t="shared" si="4"/>
        <v>0.1076388888888889</v>
      </c>
      <c r="W16" s="297">
        <f t="shared" si="5"/>
        <v>0.24652777777777779</v>
      </c>
      <c r="X16" s="297">
        <f t="shared" si="6"/>
        <v>0.28472222222222221</v>
      </c>
      <c r="Y16" s="297">
        <f t="shared" si="7"/>
        <v>0</v>
      </c>
      <c r="Z16" s="472">
        <f t="shared" si="8"/>
        <v>60</v>
      </c>
    </row>
    <row r="17" spans="1:26" ht="15" customHeight="1">
      <c r="B17" s="34"/>
      <c r="C17" s="366"/>
      <c r="D17" s="279"/>
      <c r="E17" s="279"/>
      <c r="F17" s="278"/>
      <c r="G17" s="279"/>
      <c r="H17" s="396"/>
      <c r="I17" s="501"/>
      <c r="J17" s="501"/>
      <c r="K17" s="502"/>
      <c r="L17" s="276"/>
      <c r="M17" s="374"/>
      <c r="N17" s="370"/>
      <c r="O17" s="420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5" customHeight="1">
      <c r="B18" s="34"/>
      <c r="C18" s="366"/>
      <c r="D18" s="279"/>
      <c r="E18" s="279"/>
      <c r="F18" s="278"/>
      <c r="G18" s="279"/>
      <c r="H18" s="396"/>
      <c r="I18" s="501"/>
      <c r="J18" s="501"/>
      <c r="K18" s="502"/>
      <c r="L18" s="276"/>
      <c r="M18" s="374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customHeight="1">
      <c r="B19" s="34"/>
      <c r="C19" s="366"/>
      <c r="D19" s="279"/>
      <c r="E19" s="279"/>
      <c r="F19" s="278"/>
      <c r="G19" s="279"/>
      <c r="H19" s="396"/>
      <c r="I19" s="501"/>
      <c r="J19" s="501"/>
      <c r="K19" s="502"/>
      <c r="L19" s="276"/>
      <c r="M19" s="374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 customHeight="1">
      <c r="B20" s="34"/>
      <c r="C20" s="366"/>
      <c r="D20" s="279"/>
      <c r="E20" s="279"/>
      <c r="F20" s="278"/>
      <c r="G20" s="279"/>
      <c r="H20" s="396"/>
      <c r="I20" s="501"/>
      <c r="J20" s="501"/>
      <c r="K20" s="502"/>
      <c r="L20" s="276"/>
      <c r="M20" s="374"/>
      <c r="N20" s="370"/>
      <c r="O20" s="420"/>
      <c r="P20" s="418"/>
      <c r="R20" s="277"/>
      <c r="S20" s="472"/>
      <c r="T20" s="472"/>
      <c r="U20" s="297"/>
      <c r="V20" s="297"/>
      <c r="W20" s="297"/>
      <c r="X20" s="297"/>
      <c r="Y20" s="297"/>
      <c r="Z20" s="472"/>
    </row>
    <row r="21" spans="1:26" ht="15" hidden="1" customHeight="1">
      <c r="B21" s="34"/>
      <c r="C21" s="366"/>
      <c r="D21" s="279"/>
      <c r="E21" s="279"/>
      <c r="F21" s="278"/>
      <c r="G21" s="279"/>
      <c r="H21" s="396"/>
      <c r="I21" s="501"/>
      <c r="J21" s="501"/>
      <c r="K21" s="502"/>
      <c r="L21" s="276"/>
      <c r="M21" s="374"/>
      <c r="N21" s="370"/>
      <c r="O21" s="420"/>
      <c r="P21" s="418"/>
      <c r="R21" s="277"/>
      <c r="S21" s="472"/>
      <c r="T21" s="472"/>
      <c r="U21" s="297"/>
      <c r="V21" s="297"/>
      <c r="W21" s="297"/>
      <c r="X21" s="297"/>
      <c r="Y21" s="297"/>
      <c r="Z21" s="472"/>
    </row>
    <row r="22" spans="1:26" ht="15" hidden="1" customHeight="1">
      <c r="B22" s="34"/>
      <c r="C22" s="366"/>
      <c r="D22" s="279"/>
      <c r="E22" s="279"/>
      <c r="F22" s="278"/>
      <c r="G22" s="279"/>
      <c r="H22" s="396"/>
      <c r="I22" s="501"/>
      <c r="J22" s="501"/>
      <c r="K22" s="502"/>
      <c r="L22" s="276"/>
      <c r="M22" s="374"/>
      <c r="N22" s="370"/>
      <c r="O22" s="420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" hidden="1" customHeight="1">
      <c r="B23" s="34"/>
      <c r="C23" s="366"/>
      <c r="D23" s="279"/>
      <c r="E23" s="279"/>
      <c r="F23" s="278"/>
      <c r="G23" s="279"/>
      <c r="H23" s="396"/>
      <c r="I23" s="501"/>
      <c r="J23" s="501"/>
      <c r="K23" s="502"/>
      <c r="L23" s="276"/>
      <c r="M23" s="374"/>
      <c r="N23" s="370"/>
      <c r="O23" s="420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0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420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420"/>
      <c r="P26" s="418"/>
      <c r="R26" s="277"/>
      <c r="S26" s="472"/>
      <c r="T26" s="472"/>
      <c r="U26" s="297"/>
      <c r="V26" s="297"/>
      <c r="W26" s="297"/>
      <c r="X26" s="297"/>
      <c r="Y26" s="297"/>
      <c r="Z26" s="472"/>
    </row>
    <row r="27" spans="1:26" ht="1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420"/>
      <c r="P27" s="418"/>
      <c r="R27" s="277"/>
      <c r="S27" s="472"/>
      <c r="T27" s="472"/>
      <c r="U27" s="297"/>
      <c r="V27" s="297"/>
      <c r="W27" s="297"/>
      <c r="X27" s="297"/>
      <c r="Y27" s="297"/>
      <c r="Z27" s="472"/>
    </row>
    <row r="28" spans="1:26" ht="1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420"/>
      <c r="P28" s="418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7.25" customHeight="1" thickBot="1">
      <c r="B29" s="358"/>
      <c r="C29" s="358"/>
      <c r="D29" s="358"/>
      <c r="E29" s="358"/>
      <c r="F29" s="294"/>
      <c r="G29" s="294"/>
      <c r="H29" s="348"/>
      <c r="I29" s="528"/>
      <c r="J29" s="528"/>
      <c r="K29" s="528"/>
      <c r="L29" s="528"/>
      <c r="M29" s="528"/>
      <c r="N29" s="528"/>
      <c r="O29" s="1"/>
      <c r="P29" s="12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7.25" customHeight="1" thickBot="1">
      <c r="B30" s="489" t="s">
        <v>162</v>
      </c>
      <c r="C30" s="388"/>
      <c r="D30" s="529" t="s">
        <v>35</v>
      </c>
      <c r="E30" s="530"/>
      <c r="F30" s="294"/>
      <c r="G30" s="294"/>
      <c r="H30" s="348"/>
      <c r="I30" s="24" t="s">
        <v>17</v>
      </c>
      <c r="J30" s="25"/>
      <c r="K30" s="26" t="s">
        <v>138</v>
      </c>
      <c r="L30" s="25" t="s">
        <v>37</v>
      </c>
      <c r="M30" s="25" t="s">
        <v>38</v>
      </c>
      <c r="N30" s="27" t="s">
        <v>39</v>
      </c>
      <c r="O30" s="294"/>
      <c r="P30" s="12"/>
      <c r="R30" s="277" t="str">
        <f t="shared" si="0"/>
        <v xml:space="preserve">BRAND 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7.25" customHeight="1">
      <c r="A31" s="28"/>
      <c r="B31" s="541" t="str">
        <f>J45</f>
        <v>CARIB</v>
      </c>
      <c r="C31" s="490">
        <f>[4]Process!D573</f>
        <v>11.3</v>
      </c>
      <c r="D31" s="534">
        <v>11.8</v>
      </c>
      <c r="E31" s="535"/>
      <c r="F31" s="294"/>
      <c r="G31" s="294"/>
      <c r="H31" s="348"/>
      <c r="I31" s="29" t="s">
        <v>6</v>
      </c>
      <c r="J31" s="323"/>
      <c r="K31" s="284">
        <f>COUNTA([4]Brewhouse!$A$595:$A$634)</f>
        <v>40</v>
      </c>
      <c r="L31" s="305">
        <f>AVERAGE([4]Brewhouse!$AU$595:$AU$634)</f>
        <v>99.367816514833734</v>
      </c>
      <c r="M31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AVERAGE([4]Brewhouse!$AU$42:$AU$123,[4]Brewhouse!$AU$125:$AU$188,[4]Brewhouse!$AU$198:$AU$290,[4]Brewhouse!$AU$292:$AU$370,[4]Brewhouse!$AU$372:$AU$439,[4]Brewhouse!$AU$441:$AU$497,[4]Brewhouse!$AU$499:$AU$519,[4]Brewhouse!$AU$521:$AU$593,[4]Brewhouse!$AU$595:$AU$634)</f>
        <v>98.251792850883604</v>
      </c>
      <c r="N31" s="30">
        <v>98</v>
      </c>
      <c r="O31" s="11"/>
      <c r="P31" s="31"/>
      <c r="R31" s="277" t="str">
        <f t="shared" si="0"/>
        <v>CARIB</v>
      </c>
      <c r="S31" s="472">
        <f t="shared" si="1"/>
        <v>11.6</v>
      </c>
      <c r="T31" s="472">
        <f t="shared" si="2"/>
        <v>12</v>
      </c>
      <c r="U31" s="297">
        <f t="shared" si="3"/>
        <v>0</v>
      </c>
      <c r="V31" s="297">
        <f t="shared" si="4"/>
        <v>0.118055555555556</v>
      </c>
      <c r="W31" s="297">
        <f t="shared" si="5"/>
        <v>0.22569444444444445</v>
      </c>
      <c r="X31" s="297">
        <f t="shared" si="6"/>
        <v>0.2638888888888889</v>
      </c>
      <c r="Y31" s="297">
        <f t="shared" si="7"/>
        <v>0</v>
      </c>
      <c r="Z31" s="472">
        <f t="shared" si="8"/>
        <v>60</v>
      </c>
    </row>
    <row r="32" spans="1:26" ht="15" customHeight="1">
      <c r="A32" s="28"/>
      <c r="B32" s="542"/>
      <c r="C32" s="362">
        <f>[4]Process!D574</f>
        <v>12.4</v>
      </c>
      <c r="D32" s="536"/>
      <c r="E32" s="537"/>
      <c r="F32" s="294"/>
      <c r="G32" s="294"/>
      <c r="H32" s="348"/>
      <c r="I32" s="33" t="s">
        <v>9</v>
      </c>
      <c r="J32" s="323"/>
      <c r="K32" s="284">
        <f>COUNTA([3]Brewhouse!$A$327:$A$338)</f>
        <v>12</v>
      </c>
      <c r="L32" s="302">
        <f>AVERAGE([3]Brewhouse!$AS$327:$AS$338)</f>
        <v>99.318300191325861</v>
      </c>
      <c r="M32" s="302">
        <f>AVERAGE([3]Brewhouse!$AS$52:$AS$81,[3]Brewhouse!$AS$83:$AS$124,[3]Brewhouse!$AS$134:$AS$177,[3]Brewhouse!$AS$22:$AS$179,[3]Brewhouse!$AS$214:$AS$249,[3]Brewhouse!$AS$252:$AS$293,[3]Brewhouse!$AS$295:$AS$325,[3]Brewhouse!$AS$327:$AS$338)</f>
        <v>98.18037568252457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7" ht="14.65" customHeight="1">
      <c r="A33" s="28"/>
      <c r="B33" s="542"/>
      <c r="C33" s="362">
        <f>[4]Process!D575</f>
        <v>11.7</v>
      </c>
      <c r="D33" s="538">
        <v>11.78</v>
      </c>
      <c r="E33" s="539"/>
      <c r="F33" s="294"/>
      <c r="G33" s="294"/>
      <c r="H33" s="348"/>
      <c r="I33" s="34" t="s">
        <v>12</v>
      </c>
      <c r="J33" s="323">
        <f>AVERAGE(I10:I16)</f>
        <v>96.542777704809694</v>
      </c>
      <c r="K33" s="284">
        <f>COUNTA([5]Brewhouse!$A$90:$A$96)</f>
        <v>7</v>
      </c>
      <c r="L33" s="302">
        <f>AVERAGE([5]Brewhouse!$AU$90:$AU$96)</f>
        <v>96.542777704809694</v>
      </c>
      <c r="M33" s="302">
        <f>AVERAGE([5]Brewhouse!$AU$16:$AU$23,[5]Brewhouse!$AU$25:$AU$32,[5]Brewhouse!$AU$34:$AU$41,[5]Brewhouse!$AU$43:$AU$60,[5]Brewhouse!$AU$62:$AU$69,[5]Brewhouse!$AU$71:$AU$88,[5]Brewhouse!$AU$90:$AU$96)</f>
        <v>96.523019589985907</v>
      </c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27" ht="14.65" customHeight="1">
      <c r="A34" s="28"/>
      <c r="B34" s="542"/>
      <c r="C34" s="362">
        <f>[4]Process!D576</f>
        <v>11.8</v>
      </c>
      <c r="D34" s="540"/>
      <c r="E34" s="537"/>
      <c r="F34" s="294"/>
      <c r="G34" s="294"/>
      <c r="H34" s="348"/>
      <c r="I34" s="22" t="s">
        <v>33</v>
      </c>
      <c r="J34" s="280"/>
      <c r="K34" s="284"/>
      <c r="L34" s="302"/>
      <c r="M34" s="302">
        <f>AVERAGE([6]Brewhouse!$AV$23:$AV$34,[6]Brewhouse!$AV$36,[6]Brewhouse!$AV$38:$AV$52,[6]Brewhouse!$AV$54:$AV$60,[6]Brewhouse!$AV$62:$AV$69,[6]Brewhouse!$AV$71:$AV$78,[6]Brewhouse!$AV$80:$AV$87)</f>
        <v>97.513042763382714</v>
      </c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27" ht="14.65" customHeight="1">
      <c r="A35" s="28"/>
      <c r="B35" s="542"/>
      <c r="C35" s="362">
        <f>[4]Process!D577</f>
        <v>11.7</v>
      </c>
      <c r="D35" s="538">
        <v>11.78</v>
      </c>
      <c r="E35" s="539"/>
      <c r="F35" s="294"/>
      <c r="G35" s="294"/>
      <c r="H35" s="348"/>
      <c r="I35" s="35" t="s">
        <v>29</v>
      </c>
      <c r="J35" s="280"/>
      <c r="K35" s="284"/>
      <c r="L35" s="302"/>
      <c r="M35" s="302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27" ht="14.65" customHeight="1">
      <c r="A36" s="28"/>
      <c r="B36" s="542"/>
      <c r="C36" s="362">
        <f>[4]Process!D578</f>
        <v>11.8</v>
      </c>
      <c r="D36" s="540"/>
      <c r="E36" s="537"/>
      <c r="F36" s="417"/>
      <c r="G36" s="294"/>
      <c r="H36" s="348"/>
      <c r="I36" s="36" t="s">
        <v>15</v>
      </c>
      <c r="J36" s="323"/>
      <c r="K36" s="284"/>
      <c r="L36" s="302"/>
      <c r="M36" s="302">
        <f>AVERAGE([7]Brewhouse!$AT$4:$AT$11,[7]Brewhouse!$AT$13:$AT$16,[7]Brewhouse!$AT$18:$AT$21)</f>
        <v>91.832675391763644</v>
      </c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27" ht="14.65" customHeight="1">
      <c r="A37" s="28"/>
      <c r="B37" s="542"/>
      <c r="C37" s="362">
        <f>[4]Process!D579</f>
        <v>11.7</v>
      </c>
      <c r="D37" s="538">
        <v>11.91</v>
      </c>
      <c r="E37" s="539"/>
      <c r="F37" s="417"/>
      <c r="G37" s="294"/>
      <c r="H37" s="348"/>
      <c r="I37" s="37" t="s">
        <v>16</v>
      </c>
      <c r="J37" s="323"/>
      <c r="K37" s="284">
        <f>COUNTA([8]Brewhouse!$A$84:$A$91)</f>
        <v>8</v>
      </c>
      <c r="L37" s="302">
        <f>AVERAGE([8]Brewhouse!$AY$84:$AY$91)</f>
        <v>97.517044199257398</v>
      </c>
      <c r="M37" s="302">
        <f>AVERAGE([8]Brewhouse!$AY$5:$AY$14,[8]Brewhouse!$AY$16:$AY$23,[8]Brewhouse!$AY$42,[8]Brewhouse!$AY$44:$AY$51,[8]Brewhouse!$AY$53:$AY$64,[8]Brewhouse!$AY$66:$AY$73,[8]Brewhouse!$AY$75:$AY$82,[8]Brewhouse!$AY$84:$AY$91)</f>
        <v>98.050826041639255</v>
      </c>
      <c r="N37" s="30">
        <v>98</v>
      </c>
      <c r="O37" s="11"/>
      <c r="P37" s="31" t="s">
        <v>41</v>
      </c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1:27" ht="14.65" customHeight="1">
      <c r="A38" s="28"/>
      <c r="B38" s="542"/>
      <c r="C38" s="362">
        <f>[4]Process!D580</f>
        <v>11.9</v>
      </c>
      <c r="D38" s="540"/>
      <c r="E38" s="537"/>
      <c r="F38" s="294"/>
      <c r="G38" s="294"/>
      <c r="H38" s="348"/>
      <c r="I38" s="411" t="s">
        <v>158</v>
      </c>
      <c r="J38" s="326"/>
      <c r="K38" s="284"/>
      <c r="L38" s="305"/>
      <c r="M38" s="305"/>
      <c r="N38" s="30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</row>
    <row r="39" spans="1:27" ht="14.65" customHeight="1">
      <c r="A39" s="28"/>
      <c r="B39" s="542"/>
      <c r="C39" s="362">
        <f>[4]Process!D585</f>
        <v>11.9</v>
      </c>
      <c r="D39" s="538">
        <v>11.79</v>
      </c>
      <c r="E39" s="539"/>
      <c r="F39" s="294"/>
      <c r="G39" s="294"/>
      <c r="H39" s="348"/>
      <c r="I39" s="410" t="s">
        <v>157</v>
      </c>
      <c r="J39" s="326"/>
      <c r="K39" s="284"/>
      <c r="L39" s="305"/>
      <c r="M39" s="305"/>
      <c r="N39" s="30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27" ht="15" customHeight="1" thickBot="1">
      <c r="A40" s="28"/>
      <c r="B40" s="542"/>
      <c r="C40" s="362">
        <f>[4]Process!D586</f>
        <v>12</v>
      </c>
      <c r="D40" s="540"/>
      <c r="E40" s="537"/>
      <c r="F40" s="294"/>
      <c r="G40" s="294"/>
      <c r="H40" s="348"/>
      <c r="I40" s="406" t="s">
        <v>156</v>
      </c>
      <c r="J40" s="327"/>
      <c r="K40" s="407"/>
      <c r="L40" s="408"/>
      <c r="M40" s="408"/>
      <c r="N40" s="409">
        <v>98</v>
      </c>
      <c r="O40" s="11"/>
      <c r="P40" s="31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27" ht="15" customHeight="1" thickBot="1">
      <c r="A41" s="28"/>
      <c r="B41" s="542"/>
      <c r="C41" s="349"/>
      <c r="D41" s="534"/>
      <c r="E41" s="535"/>
      <c r="F41" s="294"/>
      <c r="G41" s="294"/>
      <c r="H41" s="348"/>
      <c r="I41" s="1"/>
      <c r="J41" s="39"/>
      <c r="K41" s="404">
        <f>SUM(K31:K40)</f>
        <v>67</v>
      </c>
      <c r="L41" s="405">
        <f>((L31*K31)+(L32*K32)+(L33*K33)+(L34*K34)+(L35*K35)+(K38*L38)+(L36*K36)+(L37*K37)+(L40*K40))/(K41)</f>
        <v>98.842806871895334</v>
      </c>
      <c r="M41" s="405">
        <f>AVERAGE('[9]Jan30th-31st'!$L$42,'[10]Feb 27th-28th'!$L$45,'[11]Mar 31st'!$L$42,'[12]Apr 30th'!$L$41,'[13]May 29th '!$L$35,'[14]June 30th'!$L$32,[15]July31st!$L$36,L41)</f>
        <v>98.010319025661502</v>
      </c>
      <c r="N41" s="40">
        <v>98</v>
      </c>
      <c r="O41" s="11"/>
      <c r="P41" s="31"/>
      <c r="R41" s="277">
        <f t="shared" si="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  <c r="AA41" s="472"/>
    </row>
    <row r="42" spans="1:27" ht="15.75" thickBot="1">
      <c r="B42" s="606"/>
      <c r="C42" s="350"/>
      <c r="D42" s="536"/>
      <c r="E42" s="537"/>
      <c r="F42" s="294"/>
      <c r="G42" s="42"/>
      <c r="H42" s="41"/>
      <c r="I42" s="42"/>
      <c r="J42" s="42"/>
      <c r="K42" s="351"/>
      <c r="L42" s="348"/>
      <c r="M42" s="348"/>
      <c r="N42" s="11"/>
      <c r="O42" s="294"/>
      <c r="P42" s="12"/>
      <c r="R42" s="277">
        <f t="shared" si="0"/>
        <v>0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  <c r="AA42" s="472"/>
    </row>
    <row r="43" spans="1:27" ht="15.75" thickBot="1">
      <c r="B43" s="541"/>
      <c r="C43" s="362"/>
      <c r="D43" s="534"/>
      <c r="E43" s="535"/>
      <c r="F43" s="294"/>
      <c r="G43" s="42"/>
      <c r="H43" s="41"/>
      <c r="I43" s="42"/>
      <c r="J43" s="544" t="s">
        <v>129</v>
      </c>
      <c r="K43" s="544"/>
      <c r="L43" s="294"/>
      <c r="M43" s="294"/>
      <c r="N43" s="294"/>
      <c r="O43" s="294"/>
      <c r="P43" s="12"/>
    </row>
    <row r="44" spans="1:27" ht="15.75" thickBot="1">
      <c r="B44" s="542"/>
      <c r="C44" s="362"/>
      <c r="D44" s="536"/>
      <c r="E44" s="537"/>
      <c r="F44" s="294"/>
      <c r="G44" s="42"/>
      <c r="H44" s="42"/>
      <c r="I44" s="42"/>
      <c r="J44" s="292" t="s">
        <v>17</v>
      </c>
      <c r="K44" s="293" t="s">
        <v>188</v>
      </c>
      <c r="L44" s="545" t="s">
        <v>136</v>
      </c>
      <c r="M44" s="545"/>
      <c r="N44" s="546"/>
      <c r="O44" s="294"/>
      <c r="P44" s="12"/>
    </row>
    <row r="45" spans="1:27" ht="15" customHeight="1" thickBot="1">
      <c r="B45" s="542"/>
      <c r="C45" s="349"/>
      <c r="D45" s="538"/>
      <c r="E45" s="539"/>
      <c r="F45" s="294"/>
      <c r="G45" s="42"/>
      <c r="H45" s="42"/>
      <c r="I45" s="42"/>
      <c r="J45" s="287" t="s">
        <v>6</v>
      </c>
      <c r="K45" s="324"/>
      <c r="L45" s="473" t="s">
        <v>37</v>
      </c>
      <c r="M45" s="474" t="s">
        <v>38</v>
      </c>
      <c r="N45" s="474" t="s">
        <v>84</v>
      </c>
      <c r="O45" s="294"/>
      <c r="P45" s="12"/>
    </row>
    <row r="46" spans="1:27" ht="15.75" customHeight="1" thickBot="1">
      <c r="B46" s="542"/>
      <c r="C46" s="349"/>
      <c r="D46" s="540"/>
      <c r="E46" s="537"/>
      <c r="F46" s="294"/>
      <c r="G46" s="42"/>
      <c r="H46" s="42"/>
      <c r="I46" s="42"/>
      <c r="J46" s="345" t="s">
        <v>9</v>
      </c>
      <c r="K46" s="324"/>
      <c r="L46" s="494">
        <f>AVERAGE(K55,'Aug 3rd '!K47,'Aug 2nd'!K52,'Aug 4th'!K47,'Aug 5th'!K51,'Aug 6th'!K51,'Aug 7th'!K51,'Aug 12th'!K51,I55,'Aug 13th '!K51,'Aug 14th&amp;15th'!I55,'Aug 14th&amp;15th'!K55)</f>
        <v>6.5454545454545459</v>
      </c>
      <c r="M46" s="495">
        <f>AVERAGE('[9]Jan30th-31st'!$L$47,L46,'[10]Feb 26th '!$L$39,'[11]Mar 31st'!$L$47,'[12]Apr 30th'!$L$46,'[13]May 29th '!$L$40,'[14]June 30th'!$L$39,[15]July31st!$L$41)</f>
        <v>6.3641038309516569</v>
      </c>
      <c r="N46" s="416">
        <v>9.1999999999999993</v>
      </c>
      <c r="O46" s="294"/>
      <c r="P46" s="12"/>
    </row>
    <row r="47" spans="1:27" ht="15" customHeight="1">
      <c r="B47" s="542"/>
      <c r="C47" s="349"/>
      <c r="D47" s="538"/>
      <c r="E47" s="539"/>
      <c r="F47" s="294"/>
      <c r="G47" s="42"/>
      <c r="H47" s="42"/>
      <c r="I47" s="42"/>
      <c r="J47" s="288" t="s">
        <v>40</v>
      </c>
      <c r="K47" s="324">
        <v>7</v>
      </c>
      <c r="L47" s="294"/>
      <c r="M47" s="294"/>
      <c r="N47" s="294"/>
      <c r="O47" s="294"/>
      <c r="P47" s="12"/>
    </row>
    <row r="48" spans="1:27" ht="15" customHeight="1">
      <c r="B48" s="542"/>
      <c r="C48" s="349"/>
      <c r="D48" s="540"/>
      <c r="E48" s="537"/>
      <c r="F48" s="294"/>
      <c r="G48" s="42"/>
      <c r="H48" s="42"/>
      <c r="I48" s="42"/>
      <c r="J48" s="289" t="s">
        <v>33</v>
      </c>
      <c r="K48" s="324"/>
      <c r="L48" s="294"/>
      <c r="M48" s="294"/>
      <c r="N48" s="294"/>
      <c r="O48" s="294"/>
      <c r="P48" s="12"/>
    </row>
    <row r="49" spans="2:57" ht="15">
      <c r="B49" s="542"/>
      <c r="C49" s="349"/>
      <c r="D49" s="538"/>
      <c r="E49" s="539"/>
      <c r="F49" s="294"/>
      <c r="G49" s="42"/>
      <c r="H49" s="42"/>
      <c r="I49" s="42"/>
      <c r="J49" s="290" t="s">
        <v>16</v>
      </c>
      <c r="K49" s="324"/>
      <c r="L49" s="294"/>
      <c r="M49" s="294"/>
      <c r="N49" s="294"/>
      <c r="O49" s="294"/>
      <c r="P49" s="12"/>
      <c r="BC49" s="44"/>
      <c r="BD49" s="44"/>
    </row>
    <row r="50" spans="2:57" ht="15">
      <c r="B50" s="542"/>
      <c r="C50" s="349"/>
      <c r="D50" s="540"/>
      <c r="E50" s="537"/>
      <c r="F50" s="294"/>
      <c r="G50" s="42"/>
      <c r="H50" s="42"/>
      <c r="I50" s="42"/>
      <c r="J50" s="291" t="s">
        <v>15</v>
      </c>
      <c r="K50" s="324"/>
      <c r="L50" s="294"/>
      <c r="M50" s="294"/>
      <c r="N50" s="294"/>
      <c r="O50" s="294"/>
      <c r="P50" s="12"/>
      <c r="BC50" s="44"/>
      <c r="BD50" s="44"/>
    </row>
    <row r="51" spans="2:57" ht="15">
      <c r="B51" s="542"/>
      <c r="C51" s="349"/>
      <c r="D51" s="538"/>
      <c r="E51" s="539"/>
      <c r="F51" s="294"/>
      <c r="G51" s="42"/>
      <c r="H51" s="42"/>
      <c r="I51" s="42"/>
      <c r="J51" s="291" t="s">
        <v>149</v>
      </c>
      <c r="K51" s="324"/>
      <c r="L51" s="294"/>
      <c r="M51" s="294"/>
      <c r="N51" s="294"/>
      <c r="O51" s="294"/>
      <c r="P51" s="12"/>
      <c r="BC51" s="44"/>
      <c r="BD51" s="44"/>
    </row>
    <row r="52" spans="2:57" ht="15.75" thickBot="1">
      <c r="B52" s="543"/>
      <c r="C52" s="350"/>
      <c r="D52" s="547"/>
      <c r="E52" s="548"/>
      <c r="F52" s="294" t="s">
        <v>166</v>
      </c>
      <c r="G52" s="42"/>
      <c r="H52" s="42"/>
      <c r="I52" s="42"/>
      <c r="J52" s="291" t="s">
        <v>148</v>
      </c>
      <c r="K52" s="324"/>
      <c r="L52" s="294"/>
      <c r="M52" s="294"/>
      <c r="N52" s="294" t="s">
        <v>41</v>
      </c>
      <c r="O52" s="294"/>
      <c r="P52" s="12"/>
      <c r="BC52" s="44"/>
      <c r="BD52" s="44"/>
    </row>
    <row r="53" spans="2:57" ht="17.649999999999999" customHeight="1" thickBot="1">
      <c r="B53" s="312" t="s">
        <v>139</v>
      </c>
      <c r="C53" s="313"/>
      <c r="D53" s="549"/>
      <c r="E53" s="550"/>
      <c r="F53" s="294"/>
      <c r="J53" s="295" t="s">
        <v>134</v>
      </c>
      <c r="K53" s="324"/>
      <c r="L53" s="294"/>
      <c r="M53" s="294"/>
      <c r="N53" s="294"/>
      <c r="O53" s="294"/>
      <c r="P53" s="12"/>
      <c r="BC53" s="44"/>
      <c r="BD53" s="44"/>
    </row>
    <row r="54" spans="2:57" ht="17.649999999999999" customHeight="1">
      <c r="B54" s="363"/>
      <c r="C54" s="364"/>
      <c r="D54" s="365"/>
      <c r="E54" s="365"/>
      <c r="F54" s="294"/>
      <c r="G54" s="42"/>
      <c r="H54" s="42"/>
      <c r="I54" s="42"/>
      <c r="J54" s="295" t="s">
        <v>131</v>
      </c>
      <c r="K54" s="324"/>
      <c r="L54" s="294"/>
      <c r="M54" s="294"/>
      <c r="N54" s="294"/>
      <c r="O54" s="294"/>
      <c r="P54" s="12"/>
      <c r="BC54" s="44"/>
      <c r="BD54" s="44"/>
    </row>
    <row r="55" spans="2:57" ht="15.6" customHeight="1">
      <c r="B55" s="45"/>
      <c r="C55" s="11"/>
      <c r="D55" s="11"/>
      <c r="E55" s="46"/>
      <c r="F55" s="294"/>
      <c r="G55" s="42"/>
      <c r="H55" s="42"/>
      <c r="I55" s="42"/>
      <c r="J55" s="346" t="s">
        <v>130</v>
      </c>
      <c r="K55" s="324">
        <f>SUM(K45:K54)</f>
        <v>7</v>
      </c>
      <c r="L55" s="294"/>
      <c r="M55" s="294"/>
      <c r="N55" s="294"/>
      <c r="O55" s="294"/>
      <c r="P55" s="12"/>
    </row>
    <row r="56" spans="2:57" ht="20.25" customHeight="1">
      <c r="B56" s="15" t="s">
        <v>42</v>
      </c>
      <c r="C56" s="1" t="s">
        <v>43</v>
      </c>
      <c r="D56" s="1"/>
      <c r="E56" s="1"/>
      <c r="F56" s="294"/>
      <c r="G56" s="42"/>
      <c r="H56" s="41"/>
      <c r="I56" s="42"/>
      <c r="L56" s="42"/>
      <c r="N56" s="315"/>
      <c r="P56" s="334"/>
    </row>
    <row r="57" spans="2:57" ht="15" customHeight="1" thickBot="1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1"/>
      <c r="O57" s="48"/>
      <c r="P57" s="49"/>
    </row>
    <row r="58" spans="2:57" ht="15" customHeight="1" thickBot="1">
      <c r="B58" s="551" t="s">
        <v>17</v>
      </c>
      <c r="C58" s="551" t="s">
        <v>44</v>
      </c>
      <c r="D58" s="554" t="s">
        <v>45</v>
      </c>
      <c r="E58" s="519" t="s">
        <v>46</v>
      </c>
      <c r="F58" s="568" t="s">
        <v>47</v>
      </c>
      <c r="G58" s="563" t="s">
        <v>48</v>
      </c>
      <c r="H58" s="551" t="s">
        <v>49</v>
      </c>
      <c r="I58" s="551" t="s">
        <v>50</v>
      </c>
      <c r="J58" s="557" t="s">
        <v>28</v>
      </c>
      <c r="K58" s="517" t="s">
        <v>51</v>
      </c>
      <c r="L58" s="566" t="s">
        <v>52</v>
      </c>
      <c r="M58" s="557" t="s">
        <v>53</v>
      </c>
      <c r="N58" s="13"/>
      <c r="O58" s="13"/>
      <c r="P58" s="50"/>
    </row>
    <row r="59" spans="2:57" ht="28.5" customHeight="1" thickTop="1" thickBot="1">
      <c r="B59" s="552"/>
      <c r="C59" s="553"/>
      <c r="D59" s="555"/>
      <c r="E59" s="556"/>
      <c r="F59" s="569"/>
      <c r="G59" s="564"/>
      <c r="H59" s="552"/>
      <c r="I59" s="552"/>
      <c r="J59" s="558"/>
      <c r="K59" s="565"/>
      <c r="L59" s="567"/>
      <c r="M59" s="558"/>
      <c r="N59" s="13"/>
      <c r="O59" s="13"/>
      <c r="P59" s="50"/>
      <c r="Q59" s="355"/>
      <c r="AB59" s="475">
        <v>43474</v>
      </c>
      <c r="AC59" s="475">
        <v>43475</v>
      </c>
      <c r="AD59" s="475">
        <v>43476</v>
      </c>
      <c r="AE59" s="475">
        <v>43477</v>
      </c>
      <c r="AF59" s="475">
        <v>43478</v>
      </c>
      <c r="AG59" s="475">
        <v>43479</v>
      </c>
      <c r="AH59" s="475">
        <v>43480</v>
      </c>
      <c r="AI59" s="475">
        <v>43481</v>
      </c>
      <c r="AJ59" s="475">
        <v>43482</v>
      </c>
      <c r="AK59" s="475">
        <v>43483</v>
      </c>
      <c r="AL59" s="475">
        <v>43484</v>
      </c>
      <c r="AM59" s="475">
        <v>43485</v>
      </c>
      <c r="AN59" s="475">
        <v>43486</v>
      </c>
      <c r="AO59" s="475">
        <v>43487</v>
      </c>
      <c r="AP59" s="475">
        <v>43488</v>
      </c>
      <c r="AQ59" s="475">
        <v>43489</v>
      </c>
      <c r="AR59" s="475">
        <v>43490</v>
      </c>
      <c r="AS59" s="475">
        <v>43491</v>
      </c>
      <c r="AT59" s="475">
        <v>43492</v>
      </c>
      <c r="AU59" s="475">
        <v>43493</v>
      </c>
      <c r="AV59" s="475">
        <v>43494</v>
      </c>
      <c r="AW59" s="475">
        <v>43495</v>
      </c>
      <c r="AX59" s="475">
        <v>43496</v>
      </c>
    </row>
    <row r="60" spans="2:57" s="54" customFormat="1" ht="36.75" hidden="1" customHeight="1" thickBot="1">
      <c r="B60" s="484" t="str">
        <f>J46</f>
        <v>STAG</v>
      </c>
      <c r="C60" s="479">
        <v>46218</v>
      </c>
      <c r="D60" s="445">
        <f>[35]July_2026!$R$13</f>
        <v>195.67999999999998</v>
      </c>
      <c r="E60" s="443"/>
      <c r="F60" s="444"/>
      <c r="G60" s="444">
        <f>[35]July_2026!$R$17</f>
        <v>184</v>
      </c>
      <c r="H60" s="458"/>
      <c r="I60" s="458"/>
      <c r="J60" s="448" t="s">
        <v>170</v>
      </c>
      <c r="K60" s="449">
        <f>[36]July_2026!$R$25</f>
        <v>0.32280701754385965</v>
      </c>
      <c r="L60" s="457">
        <f>(((D60+E60)-G60)/(D60+E60))*100</f>
        <v>5.9689288634505209</v>
      </c>
      <c r="M60" s="455" t="s">
        <v>171</v>
      </c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[16]January_2019!L5</f>
        <v>0</v>
      </c>
      <c r="AC60" s="57">
        <f>[16]January_2019!M5</f>
        <v>0</v>
      </c>
      <c r="AD60" s="57">
        <f>[16]January_2019!N5</f>
        <v>0</v>
      </c>
      <c r="AE60" s="57">
        <f>[16]January_2019!O5</f>
        <v>0</v>
      </c>
      <c r="AF60" s="57">
        <f>[16]January_2019!P5</f>
        <v>0</v>
      </c>
      <c r="AG60" s="57">
        <f>[16]January_2019!Q5</f>
        <v>0</v>
      </c>
      <c r="AH60" s="57">
        <f>[16]January_2019!R5</f>
        <v>0</v>
      </c>
      <c r="AI60" s="57">
        <f>[16]January_2019!S5</f>
        <v>0</v>
      </c>
      <c r="AJ60" s="57">
        <f>[16]January_2019!T5</f>
        <v>0</v>
      </c>
      <c r="AK60" s="57">
        <f>[16]January_2019!U5</f>
        <v>0</v>
      </c>
      <c r="AL60" s="57">
        <f>[16]January_2019!V5</f>
        <v>0</v>
      </c>
      <c r="AM60" s="57">
        <f>[16]January_2019!W5</f>
        <v>0</v>
      </c>
      <c r="AN60" s="57">
        <f>[16]January_2019!X5</f>
        <v>0</v>
      </c>
      <c r="AO60" s="57">
        <f>[16]January_2019!Y5</f>
        <v>0</v>
      </c>
      <c r="AP60" s="57">
        <f>[16]January_2019!Z5</f>
        <v>0</v>
      </c>
      <c r="AQ60" s="57">
        <f>[16]January_2019!AA5</f>
        <v>0</v>
      </c>
      <c r="AR60" s="57">
        <f>[16]January_2019!AB5</f>
        <v>0</v>
      </c>
      <c r="AS60" s="57">
        <f>[16]January_2019!AC5</f>
        <v>0</v>
      </c>
      <c r="AT60" s="57">
        <f>[16]January_2019!AD5</f>
        <v>0</v>
      </c>
      <c r="AU60" s="57">
        <f>[16]January_2019!AE5</f>
        <v>0</v>
      </c>
      <c r="AV60" s="57">
        <f>[16]January_2019!AF5</f>
        <v>0</v>
      </c>
      <c r="AW60" s="57">
        <f>[16]January_2019!AG5</f>
        <v>0</v>
      </c>
      <c r="AX60" s="277">
        <f>[16]January_2019!AH5</f>
        <v>0</v>
      </c>
      <c r="AY60" s="277"/>
      <c r="AZ60" s="277"/>
      <c r="BA60" s="277"/>
      <c r="BB60" s="277"/>
      <c r="BC60" s="277"/>
      <c r="BD60" s="277"/>
      <c r="BE60" s="277"/>
    </row>
    <row r="61" spans="2:57" s="54" customFormat="1" ht="14.25" hidden="1" customHeight="1" thickBot="1">
      <c r="B61" s="480"/>
      <c r="C61" s="479"/>
      <c r="D61" s="442"/>
      <c r="E61" s="443"/>
      <c r="F61" s="444"/>
      <c r="G61" s="445"/>
      <c r="H61" s="458"/>
      <c r="I61" s="458"/>
      <c r="J61" s="476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>
        <f>[16]January_2019!L6</f>
        <v>0</v>
      </c>
      <c r="AC61" s="57">
        <f>[16]January_2019!M6</f>
        <v>0</v>
      </c>
      <c r="AD61" s="57">
        <f>[16]January_2019!N6</f>
        <v>0</v>
      </c>
      <c r="AE61" s="57">
        <f>[16]January_2019!O6</f>
        <v>0</v>
      </c>
      <c r="AF61" s="57">
        <f>[16]January_2019!P6</f>
        <v>0</v>
      </c>
      <c r="AG61" s="57">
        <f>[16]January_2019!Q6</f>
        <v>0</v>
      </c>
      <c r="AH61" s="57">
        <f>[16]January_2019!R6</f>
        <v>0</v>
      </c>
      <c r="AI61" s="57">
        <f>[16]January_2019!S6</f>
        <v>0</v>
      </c>
      <c r="AJ61" s="57">
        <f>[16]January_2019!T6</f>
        <v>0</v>
      </c>
      <c r="AK61" s="57">
        <f>[16]January_2019!U6</f>
        <v>0</v>
      </c>
      <c r="AL61" s="57">
        <f>[16]January_2019!V6</f>
        <v>0</v>
      </c>
      <c r="AM61" s="57">
        <f>[16]January_2019!W6</f>
        <v>0</v>
      </c>
      <c r="AN61" s="57">
        <f>[16]January_2019!X6</f>
        <v>0</v>
      </c>
      <c r="AO61" s="57">
        <f>[16]January_2019!Y6</f>
        <v>0</v>
      </c>
      <c r="AP61" s="57">
        <f>[16]January_2019!Z6</f>
        <v>0</v>
      </c>
      <c r="AQ61" s="57">
        <f>[16]January_2019!AA6</f>
        <v>0</v>
      </c>
      <c r="AR61" s="57">
        <f>[16]January_2019!AB6</f>
        <v>0</v>
      </c>
      <c r="AS61" s="57">
        <f>[16]January_2019!AC6</f>
        <v>0</v>
      </c>
      <c r="AT61" s="57">
        <f>[16]January_2019!AD6</f>
        <v>0</v>
      </c>
      <c r="AU61" s="57">
        <f>[16]January_2019!AE6</f>
        <v>0</v>
      </c>
      <c r="AV61" s="57">
        <f>[16]January_2019!AF6</f>
        <v>0</v>
      </c>
      <c r="AW61" s="57">
        <f>[16]January_2019!AG6</f>
        <v>0</v>
      </c>
      <c r="AX61" s="277">
        <f>[16]January_2019!AH6</f>
        <v>0</v>
      </c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 thickBot="1">
      <c r="B62" s="456" t="str">
        <f>B73</f>
        <v>CARIB</v>
      </c>
      <c r="C62" s="479">
        <v>46251</v>
      </c>
      <c r="D62" s="442">
        <f>[35]August_2026!$T$3</f>
        <v>506.8</v>
      </c>
      <c r="E62" s="443"/>
      <c r="F62" s="444"/>
      <c r="G62" s="444">
        <f>[35]August_2026!$T$7</f>
        <v>476.2</v>
      </c>
      <c r="H62" s="458"/>
      <c r="I62" s="458"/>
      <c r="J62" s="448" t="s">
        <v>185</v>
      </c>
      <c r="K62" s="449">
        <f>[36]August_2026!$T$18</f>
        <v>0.41771929824561405</v>
      </c>
      <c r="L62" s="457">
        <f>(((D62+E62)-G62)/(D62+E62))*100</f>
        <v>6.0378847671665392</v>
      </c>
      <c r="M62" s="455" t="s">
        <v>173</v>
      </c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[16]January_2019!L7</f>
        <v>285.8</v>
      </c>
      <c r="AC62" s="57">
        <f>[16]January_2019!M7</f>
        <v>508.1</v>
      </c>
      <c r="AD62" s="57">
        <f>[16]January_2019!N7</f>
        <v>0</v>
      </c>
      <c r="AE62" s="57">
        <f>[16]January_2019!O7</f>
        <v>0</v>
      </c>
      <c r="AF62" s="57">
        <f>[16]January_2019!P7</f>
        <v>109.56666666666666</v>
      </c>
      <c r="AG62" s="57">
        <f>[16]January_2019!Q7</f>
        <v>297.64999999999998</v>
      </c>
      <c r="AH62" s="57">
        <f>[16]January_2019!R7</f>
        <v>122.3</v>
      </c>
      <c r="AI62" s="57">
        <f>[16]January_2019!S7</f>
        <v>0</v>
      </c>
      <c r="AJ62" s="57">
        <f>[16]January_2019!T7</f>
        <v>294.7</v>
      </c>
      <c r="AK62" s="57">
        <f>[16]January_2019!U7</f>
        <v>280.5</v>
      </c>
      <c r="AL62" s="57">
        <f>[16]January_2019!V7</f>
        <v>0</v>
      </c>
      <c r="AM62" s="57">
        <f>[16]January_2019!W7</f>
        <v>0</v>
      </c>
      <c r="AN62" s="57">
        <f>[16]January_2019!X7</f>
        <v>188.25</v>
      </c>
      <c r="AO62" s="57">
        <f>[16]January_2019!Y7</f>
        <v>295.7</v>
      </c>
      <c r="AP62" s="57">
        <f>[16]January_2019!Z7</f>
        <v>257.8</v>
      </c>
      <c r="AQ62" s="57">
        <f>[16]January_2019!AA7</f>
        <v>291.2</v>
      </c>
      <c r="AR62" s="57">
        <f>[16]January_2019!AB7</f>
        <v>187</v>
      </c>
      <c r="AS62" s="57">
        <f>[16]January_2019!AC7</f>
        <v>0</v>
      </c>
      <c r="AT62" s="57">
        <f>[16]January_2019!AD7</f>
        <v>0</v>
      </c>
      <c r="AU62" s="57">
        <f>[16]January_2019!AE7</f>
        <v>485.1</v>
      </c>
      <c r="AV62" s="57">
        <f>[16]January_2019!AF7</f>
        <v>171.55</v>
      </c>
      <c r="AW62" s="57">
        <f>[16]January_2019!AG7</f>
        <v>423.8</v>
      </c>
      <c r="AX62" s="277">
        <f>[16]January_2019!AH7</f>
        <v>0</v>
      </c>
      <c r="AY62" s="277"/>
      <c r="AZ62" s="277"/>
      <c r="BA62" s="277"/>
      <c r="BB62" s="277"/>
      <c r="BC62" s="277"/>
      <c r="BD62" s="277"/>
      <c r="BE62" s="277"/>
    </row>
    <row r="63" spans="2:57" s="54" customFormat="1" ht="18.600000000000001" hidden="1" customHeight="1" thickBot="1">
      <c r="B63" s="478"/>
      <c r="C63" s="430"/>
      <c r="D63" s="431"/>
      <c r="E63" s="432"/>
      <c r="F63" s="433"/>
      <c r="G63" s="434"/>
      <c r="H63" s="458"/>
      <c r="I63" s="458"/>
      <c r="J63" s="451"/>
      <c r="K63" s="436"/>
      <c r="L63" s="452"/>
      <c r="M63" s="421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8.65" hidden="1" customHeight="1" thickBot="1">
      <c r="B64" s="498"/>
      <c r="C64" s="479"/>
      <c r="D64" s="442"/>
      <c r="E64" s="443"/>
      <c r="F64" s="444"/>
      <c r="G64" s="445"/>
      <c r="H64" s="458"/>
      <c r="I64" s="458"/>
      <c r="J64" s="448"/>
      <c r="K64" s="459"/>
      <c r="L64" s="457"/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15" hidden="1">
      <c r="B65" s="453"/>
      <c r="C65" s="430"/>
      <c r="D65" s="431"/>
      <c r="E65" s="432"/>
      <c r="F65" s="433"/>
      <c r="G65" s="434"/>
      <c r="H65" s="435"/>
      <c r="I65" s="450"/>
      <c r="J65" s="451"/>
      <c r="K65" s="436"/>
      <c r="L65" s="452"/>
      <c r="M65" s="421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hidden="1" customHeight="1" thickBot="1">
      <c r="B66" s="482"/>
      <c r="C66" s="479"/>
      <c r="D66" s="442"/>
      <c r="E66" s="443"/>
      <c r="F66" s="444"/>
      <c r="G66" s="445"/>
      <c r="H66" s="446"/>
      <c r="I66" s="447"/>
      <c r="J66" s="448"/>
      <c r="K66" s="449"/>
      <c r="L66" s="457"/>
      <c r="M66" s="45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16.5" hidden="1" customHeight="1" thickBot="1">
      <c r="B67" s="437"/>
      <c r="C67" s="423"/>
      <c r="D67" s="424"/>
      <c r="E67" s="425"/>
      <c r="F67" s="426"/>
      <c r="G67" s="427"/>
      <c r="H67" s="428"/>
      <c r="I67" s="438"/>
      <c r="J67" s="439"/>
      <c r="K67" s="429"/>
      <c r="L67" s="440"/>
      <c r="M67" s="422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415"/>
      <c r="AC67" s="415"/>
      <c r="AD67" s="415"/>
      <c r="AE67" s="415"/>
      <c r="AF67" s="415"/>
      <c r="AG67" s="415"/>
      <c r="AH67" s="415"/>
      <c r="AI67" s="415"/>
      <c r="AJ67" s="415"/>
      <c r="AK67" s="415"/>
      <c r="AL67" s="415"/>
      <c r="AM67" s="415"/>
      <c r="AN67" s="415"/>
      <c r="AO67" s="415"/>
      <c r="AP67" s="415"/>
      <c r="AQ67" s="415"/>
      <c r="AR67" s="415"/>
      <c r="AS67" s="415"/>
      <c r="AT67" s="415"/>
      <c r="AU67" s="415"/>
      <c r="AV67" s="415"/>
      <c r="AW67" s="415"/>
    </row>
    <row r="68" spans="2:57" s="54" customFormat="1" ht="37.15" hidden="1" customHeight="1" thickBot="1">
      <c r="B68" s="456"/>
      <c r="C68" s="441"/>
      <c r="D68" s="442"/>
      <c r="E68" s="443"/>
      <c r="F68" s="444"/>
      <c r="G68" s="445"/>
      <c r="H68" s="446"/>
      <c r="I68" s="447"/>
      <c r="J68" s="448"/>
      <c r="K68" s="449"/>
      <c r="L68" s="457"/>
      <c r="M68" s="454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37.15" hidden="1" customHeight="1">
      <c r="B69" s="466"/>
      <c r="C69" s="430"/>
      <c r="D69" s="460"/>
      <c r="E69" s="461"/>
      <c r="F69" s="462"/>
      <c r="G69" s="460"/>
      <c r="H69" s="463"/>
      <c r="I69" s="463"/>
      <c r="J69" s="463"/>
      <c r="K69" s="464"/>
      <c r="L69" s="465"/>
      <c r="M69" s="50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ht="18" customHeight="1" thickBot="1">
      <c r="B70" s="59"/>
      <c r="C70" s="30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 t="s">
        <v>41</v>
      </c>
      <c r="O70" s="56"/>
      <c r="P70" s="60"/>
    </row>
    <row r="71" spans="2:57" ht="15.75" thickBot="1">
      <c r="B71" s="559" t="s">
        <v>55</v>
      </c>
      <c r="C71" s="560"/>
      <c r="D71" s="560"/>
      <c r="E71" s="560"/>
      <c r="F71" s="561"/>
      <c r="G71" s="559" t="s">
        <v>56</v>
      </c>
      <c r="H71" s="560"/>
      <c r="I71" s="560"/>
      <c r="J71" s="561"/>
      <c r="K71" s="559" t="s">
        <v>51</v>
      </c>
      <c r="L71" s="560"/>
      <c r="M71" s="560"/>
      <c r="N71" s="562"/>
      <c r="O71" s="56"/>
      <c r="P71" s="50"/>
    </row>
    <row r="72" spans="2:57" ht="15">
      <c r="B72" s="61" t="s">
        <v>17</v>
      </c>
      <c r="C72" s="62" t="s">
        <v>36</v>
      </c>
      <c r="D72" s="62" t="s">
        <v>37</v>
      </c>
      <c r="E72" s="62" t="s">
        <v>38</v>
      </c>
      <c r="F72" s="63" t="s">
        <v>39</v>
      </c>
      <c r="G72" s="62" t="s">
        <v>36</v>
      </c>
      <c r="H72" s="62" t="s">
        <v>37</v>
      </c>
      <c r="I72" s="62" t="s">
        <v>38</v>
      </c>
      <c r="J72" s="63" t="s">
        <v>39</v>
      </c>
      <c r="K72" s="62"/>
      <c r="L72" s="62" t="s">
        <v>37</v>
      </c>
      <c r="M72" s="62" t="s">
        <v>38</v>
      </c>
      <c r="N72" s="63" t="s">
        <v>39</v>
      </c>
      <c r="O72" s="56"/>
      <c r="P72" s="64"/>
    </row>
    <row r="73" spans="2:57" ht="15">
      <c r="B73" s="29" t="s">
        <v>6</v>
      </c>
      <c r="C73" s="65">
        <f>L62</f>
        <v>6.0378847671665392</v>
      </c>
      <c r="D73" s="76">
        <v>4.8743267204733973</v>
      </c>
      <c r="E73" s="76">
        <v>6.3461783836914014</v>
      </c>
      <c r="F73" s="66">
        <v>4.8</v>
      </c>
      <c r="G73" s="65">
        <f>[35]August_2026!$T$11</f>
        <v>6.037884767166541</v>
      </c>
      <c r="H73" s="477">
        <v>5.0185212353609714</v>
      </c>
      <c r="I73" s="477">
        <v>6.6259010645649177</v>
      </c>
      <c r="J73" s="66">
        <v>4.8</v>
      </c>
      <c r="K73" s="67">
        <f>K62</f>
        <v>0.41771929824561405</v>
      </c>
      <c r="L73" s="194">
        <v>0.44580976250149174</v>
      </c>
      <c r="M73" s="194">
        <v>0.53016970363697813</v>
      </c>
      <c r="N73" s="68">
        <v>1</v>
      </c>
      <c r="O73" s="56"/>
      <c r="P73" s="69"/>
    </row>
    <row r="74" spans="2:57" ht="15">
      <c r="B74" s="33" t="s">
        <v>9</v>
      </c>
      <c r="C74" s="65"/>
      <c r="D74" s="76">
        <v>8.149157822996802</v>
      </c>
      <c r="E74" s="76">
        <v>5.9588019679168145</v>
      </c>
      <c r="F74" s="66">
        <v>4.8</v>
      </c>
      <c r="G74" s="65"/>
      <c r="H74" s="76">
        <v>7.9908276292027418</v>
      </c>
      <c r="I74" s="76">
        <v>5.9758007539049789</v>
      </c>
      <c r="J74" s="66">
        <v>4.8</v>
      </c>
      <c r="K74" s="67"/>
      <c r="L74" s="194">
        <v>0.80232456140350883</v>
      </c>
      <c r="M74" s="194">
        <v>0.7076224231770567</v>
      </c>
      <c r="N74" s="68">
        <v>1</v>
      </c>
      <c r="P74" s="69"/>
    </row>
    <row r="75" spans="2:57" ht="15">
      <c r="B75" s="34" t="s">
        <v>40</v>
      </c>
      <c r="C75" s="65"/>
      <c r="D75" s="76">
        <v>8.0132764343290681</v>
      </c>
      <c r="E75" s="76">
        <v>11.085360064780945</v>
      </c>
      <c r="F75" s="66">
        <v>5.5</v>
      </c>
      <c r="G75" s="65"/>
      <c r="H75" s="76">
        <v>7.261998133908862</v>
      </c>
      <c r="I75" s="76">
        <v>11.847386208595987</v>
      </c>
      <c r="J75" s="66">
        <v>5.5</v>
      </c>
      <c r="K75" s="67"/>
      <c r="L75" s="194">
        <v>0.68070175438596492</v>
      </c>
      <c r="M75" s="194">
        <v>0.37172629490392645</v>
      </c>
      <c r="N75" s="68">
        <v>1</v>
      </c>
      <c r="P75" s="69"/>
    </row>
    <row r="76" spans="2:57" ht="15">
      <c r="B76" s="22" t="s">
        <v>33</v>
      </c>
      <c r="C76" s="65"/>
      <c r="D76" s="76"/>
      <c r="E76" s="76">
        <v>4.8685538193023836</v>
      </c>
      <c r="F76" s="66">
        <v>3.3</v>
      </c>
      <c r="G76" s="65"/>
      <c r="H76" s="76"/>
      <c r="I76" s="76">
        <v>5.0921772905826597</v>
      </c>
      <c r="J76" s="66">
        <v>3.3</v>
      </c>
      <c r="K76" s="67"/>
      <c r="L76" s="194"/>
      <c r="M76" s="194">
        <v>0.79040935672514623</v>
      </c>
      <c r="N76" s="68">
        <v>1</v>
      </c>
      <c r="P76" s="69"/>
    </row>
    <row r="77" spans="2:57" ht="15">
      <c r="B77" s="35" t="s">
        <v>164</v>
      </c>
      <c r="C77" s="65"/>
      <c r="D77" s="76"/>
      <c r="E77" s="76"/>
      <c r="F77" s="66">
        <v>3.3</v>
      </c>
      <c r="G77" s="282"/>
      <c r="H77" s="76"/>
      <c r="I77" s="76"/>
      <c r="J77" s="66">
        <v>3</v>
      </c>
      <c r="K77" s="67"/>
      <c r="L77" s="194"/>
      <c r="M77" s="194"/>
      <c r="N77" s="68">
        <v>1</v>
      </c>
      <c r="P77" s="69"/>
    </row>
    <row r="78" spans="2:57" ht="15">
      <c r="B78" s="36" t="s">
        <v>15</v>
      </c>
      <c r="C78" s="65"/>
      <c r="D78" s="76"/>
      <c r="E78" s="76">
        <v>6.0400197628458603</v>
      </c>
      <c r="F78" s="70">
        <v>5.5</v>
      </c>
      <c r="G78" s="65"/>
      <c r="H78" s="76"/>
      <c r="I78" s="76">
        <v>8.2405787675951316</v>
      </c>
      <c r="J78" s="66">
        <v>5.5</v>
      </c>
      <c r="K78" s="67"/>
      <c r="L78" s="194"/>
      <c r="M78" s="194">
        <v>0.78491228070175445</v>
      </c>
      <c r="N78" s="68">
        <v>1</v>
      </c>
      <c r="P78" s="69"/>
    </row>
    <row r="79" spans="2:57" ht="15">
      <c r="B79" s="37" t="s">
        <v>16</v>
      </c>
      <c r="C79" s="483"/>
      <c r="D79" s="76">
        <v>2.3312883435582821</v>
      </c>
      <c r="E79" s="76">
        <v>3.4897129331795727</v>
      </c>
      <c r="F79" s="66">
        <v>3.3</v>
      </c>
      <c r="G79" s="282"/>
      <c r="H79" s="76">
        <v>2.9668764888279751</v>
      </c>
      <c r="I79" s="76">
        <v>4.7322074825777003</v>
      </c>
      <c r="J79" s="66">
        <v>3.3</v>
      </c>
      <c r="K79" s="67"/>
      <c r="L79" s="194">
        <v>1.3964912280701753</v>
      </c>
      <c r="M79" s="194">
        <v>0.9346464646464645</v>
      </c>
      <c r="N79" s="71">
        <v>1</v>
      </c>
      <c r="P79" s="69"/>
    </row>
    <row r="80" spans="2:57" ht="15.75" thickBot="1">
      <c r="B80" s="38" t="s">
        <v>163</v>
      </c>
      <c r="C80" s="65"/>
      <c r="D80" s="76"/>
      <c r="E80" s="76"/>
      <c r="F80" s="66">
        <v>7.5</v>
      </c>
      <c r="G80" s="282"/>
      <c r="H80" s="76"/>
      <c r="I80" s="76"/>
      <c r="J80" s="66">
        <v>7.5</v>
      </c>
      <c r="K80" s="67"/>
      <c r="L80" s="194"/>
      <c r="M80" s="194"/>
      <c r="N80" s="71">
        <v>1</v>
      </c>
      <c r="P80" s="69"/>
    </row>
    <row r="81" spans="2:16" ht="15.75" thickBot="1">
      <c r="B81" s="414" t="s">
        <v>161</v>
      </c>
      <c r="C81" s="65"/>
      <c r="D81" s="76"/>
      <c r="E81" s="76"/>
      <c r="F81" s="66">
        <v>4.8</v>
      </c>
      <c r="G81" s="282"/>
      <c r="H81" s="76"/>
      <c r="I81" s="76"/>
      <c r="J81" s="66">
        <v>4.8</v>
      </c>
      <c r="K81" s="67"/>
      <c r="L81" s="194"/>
      <c r="M81" s="194"/>
      <c r="N81" s="71">
        <v>1</v>
      </c>
      <c r="O81" s="74"/>
      <c r="P81" s="75"/>
    </row>
    <row r="82" spans="2:16" ht="15">
      <c r="D82" s="76">
        <v>5.5185478118258535</v>
      </c>
      <c r="E82" s="76">
        <v>6.2553213188347474</v>
      </c>
      <c r="F82" s="341">
        <v>5.5</v>
      </c>
      <c r="H82" s="76">
        <v>5.5300358583787688</v>
      </c>
      <c r="I82" s="76">
        <v>6.6703025550987265</v>
      </c>
      <c r="J82" s="341">
        <v>5.5</v>
      </c>
      <c r="L82" s="194">
        <v>0.61841004025214541</v>
      </c>
      <c r="M82" s="194">
        <v>0.60722711089608372</v>
      </c>
      <c r="N82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9:N29"/>
    <mergeCell ref="D30:E30"/>
    <mergeCell ref="B31:B42"/>
    <mergeCell ref="D31:E32"/>
    <mergeCell ref="D33:E34"/>
    <mergeCell ref="D35:E36"/>
    <mergeCell ref="D37:E38"/>
    <mergeCell ref="D39:E40"/>
    <mergeCell ref="D41:E42"/>
    <mergeCell ref="B43:B52"/>
    <mergeCell ref="D43:E44"/>
    <mergeCell ref="J43:K43"/>
    <mergeCell ref="L44:N44"/>
    <mergeCell ref="D45:E46"/>
    <mergeCell ref="D47:E48"/>
    <mergeCell ref="D49:E50"/>
    <mergeCell ref="D51:E52"/>
    <mergeCell ref="D53:E53"/>
    <mergeCell ref="B58:B59"/>
    <mergeCell ref="C58:C59"/>
    <mergeCell ref="D58:D59"/>
    <mergeCell ref="E58:E59"/>
    <mergeCell ref="M58:M59"/>
    <mergeCell ref="B71:F71"/>
    <mergeCell ref="G71:J71"/>
    <mergeCell ref="K71:N71"/>
    <mergeCell ref="G58:G59"/>
    <mergeCell ref="H58:H59"/>
    <mergeCell ref="I58:I59"/>
    <mergeCell ref="J58:J59"/>
    <mergeCell ref="K58:K59"/>
    <mergeCell ref="L58:L59"/>
    <mergeCell ref="F58:F59"/>
  </mergeCells>
  <conditionalFormatting sqref="B53:B54">
    <cfRule type="cellIs" dxfId="2123" priority="113" operator="notBetween">
      <formula>#REF!</formula>
      <formula>#REF!</formula>
    </cfRule>
  </conditionalFormatting>
  <conditionalFormatting sqref="C57">
    <cfRule type="cellIs" dxfId="2122" priority="196" stopIfTrue="1" operator="greaterThan">
      <formula>100</formula>
    </cfRule>
    <cfRule type="cellIs" dxfId="2121" priority="195" stopIfTrue="1" operator="lessThan">
      <formula>96</formula>
    </cfRule>
  </conditionalFormatting>
  <conditionalFormatting sqref="C73:C74">
    <cfRule type="cellIs" dxfId="2120" priority="76" stopIfTrue="1" operator="lessThanOrEqual">
      <formula>0</formula>
    </cfRule>
    <cfRule type="cellIs" dxfId="2119" priority="77" stopIfTrue="1" operator="greaterThan">
      <formula>$F73</formula>
    </cfRule>
    <cfRule type="cellIs" dxfId="2118" priority="78" stopIfTrue="1" operator="lessThanOrEqual">
      <formula>0</formula>
    </cfRule>
    <cfRule type="cellIs" dxfId="2117" priority="75" stopIfTrue="1" operator="greaterThan">
      <formula>$F73</formula>
    </cfRule>
  </conditionalFormatting>
  <conditionalFormatting sqref="C75:C77 C79:C81">
    <cfRule type="cellIs" dxfId="2116" priority="85" stopIfTrue="1" operator="greaterThan">
      <formula>$F78</formula>
    </cfRule>
  </conditionalFormatting>
  <conditionalFormatting sqref="C75:C77">
    <cfRule type="cellIs" dxfId="2115" priority="86" stopIfTrue="1" operator="lessThanOrEqual">
      <formula>0</formula>
    </cfRule>
  </conditionalFormatting>
  <conditionalFormatting sqref="C78">
    <cfRule type="cellIs" dxfId="2114" priority="197" stopIfTrue="1" operator="greaterThan">
      <formula>$F73</formula>
    </cfRule>
    <cfRule type="cellIs" dxfId="2113" priority="200" stopIfTrue="1" operator="lessThanOrEqual">
      <formula>0</formula>
    </cfRule>
    <cfRule type="cellIs" dxfId="2112" priority="199" stopIfTrue="1" operator="greaterThan">
      <formula>$F73</formula>
    </cfRule>
    <cfRule type="cellIs" dxfId="2111" priority="198" stopIfTrue="1" operator="lessThanOrEqual">
      <formula>0</formula>
    </cfRule>
  </conditionalFormatting>
  <conditionalFormatting sqref="C79:C81">
    <cfRule type="cellIs" dxfId="2110" priority="87" stopIfTrue="1" operator="lessThanOrEqual">
      <formula>0</formula>
    </cfRule>
  </conditionalFormatting>
  <conditionalFormatting sqref="C84:C88">
    <cfRule type="cellIs" dxfId="2109" priority="187" stopIfTrue="1" operator="lessThanOrEqual">
      <formula>0</formula>
    </cfRule>
  </conditionalFormatting>
  <conditionalFormatting sqref="C85:C88">
    <cfRule type="cellIs" dxfId="2108" priority="186" stopIfTrue="1" operator="greaterThan">
      <formula>$F$84</formula>
    </cfRule>
  </conditionalFormatting>
  <conditionalFormatting sqref="C90">
    <cfRule type="cellIs" dxfId="2107" priority="188" stopIfTrue="1" operator="greaterThan">
      <formula>$F$84</formula>
    </cfRule>
    <cfRule type="cellIs" dxfId="2106" priority="189" stopIfTrue="1" operator="lessThanOrEqual">
      <formula>0</formula>
    </cfRule>
  </conditionalFormatting>
  <conditionalFormatting sqref="C78:D78">
    <cfRule type="cellIs" dxfId="2105" priority="74" stopIfTrue="1" operator="lessThanOrEqual">
      <formula>0</formula>
    </cfRule>
    <cfRule type="cellIs" dxfId="2104" priority="73" stopIfTrue="1" operator="greaterThan">
      <formula>$J78</formula>
    </cfRule>
  </conditionalFormatting>
  <conditionalFormatting sqref="C84:D84 D86:D92">
    <cfRule type="cellIs" dxfId="2103" priority="181" stopIfTrue="1" operator="greaterThan">
      <formula>4.5</formula>
    </cfRule>
  </conditionalFormatting>
  <conditionalFormatting sqref="D53:D54">
    <cfRule type="cellIs" dxfId="2102" priority="114" operator="notBetween">
      <formula>#REF!</formula>
      <formula>#REF!</formula>
    </cfRule>
  </conditionalFormatting>
  <conditionalFormatting sqref="D73:D77 D79:D80">
    <cfRule type="cellIs" dxfId="2101" priority="84" stopIfTrue="1" operator="lessThanOrEqual">
      <formula>0</formula>
    </cfRule>
  </conditionalFormatting>
  <conditionalFormatting sqref="D73:D77 D79:D82">
    <cfRule type="cellIs" dxfId="2100" priority="81" stopIfTrue="1" operator="greaterThan">
      <formula>$F73</formula>
    </cfRule>
    <cfRule type="cellIs" dxfId="2099" priority="80" stopIfTrue="1" operator="lessThanOrEqual">
      <formula>0</formula>
    </cfRule>
  </conditionalFormatting>
  <conditionalFormatting sqref="D81:D82">
    <cfRule type="cellIs" dxfId="2098" priority="82" stopIfTrue="1" operator="lessThanOrEqual">
      <formula>0</formula>
    </cfRule>
  </conditionalFormatting>
  <conditionalFormatting sqref="D82">
    <cfRule type="cellIs" dxfId="2097" priority="83" stopIfTrue="1" operator="lessThanOrEqual">
      <formula>0</formula>
    </cfRule>
  </conditionalFormatting>
  <conditionalFormatting sqref="D84 D86:D92">
    <cfRule type="cellIs" dxfId="2096" priority="182" stopIfTrue="1" operator="lessThanOrEqual">
      <formula>0</formula>
    </cfRule>
  </conditionalFormatting>
  <conditionalFormatting sqref="D85">
    <cfRule type="cellIs" dxfId="2095" priority="174" stopIfTrue="1" operator="lessThanOrEqual">
      <formula>0</formula>
    </cfRule>
    <cfRule type="cellIs" dxfId="2094" priority="173" stopIfTrue="1" operator="greaterThan">
      <formula>$F$84</formula>
    </cfRule>
  </conditionalFormatting>
  <conditionalFormatting sqref="E10:E28">
    <cfRule type="cellIs" dxfId="2093" priority="7" operator="lessThan">
      <formula>48</formula>
    </cfRule>
  </conditionalFormatting>
  <conditionalFormatting sqref="E56 E57:F57">
    <cfRule type="cellIs" dxfId="2092" priority="178" stopIfTrue="1" operator="greaterThan">
      <formula>100</formula>
    </cfRule>
  </conditionalFormatting>
  <conditionalFormatting sqref="E57">
    <cfRule type="cellIs" dxfId="2091" priority="176" stopIfTrue="1" operator="greaterThan">
      <formula>100</formula>
    </cfRule>
    <cfRule type="cellIs" dxfId="2090" priority="175" stopIfTrue="1" operator="lessThan">
      <formula>96.8</formula>
    </cfRule>
  </conditionalFormatting>
  <conditionalFormatting sqref="E73:E81">
    <cfRule type="cellIs" dxfId="2089" priority="46" stopIfTrue="1" operator="lessThanOrEqual">
      <formula>0</formula>
    </cfRule>
  </conditionalFormatting>
  <conditionalFormatting sqref="E73:E82">
    <cfRule type="cellIs" dxfId="2088" priority="47" stopIfTrue="1" operator="greaterThan">
      <formula>$F73</formula>
    </cfRule>
    <cfRule type="cellIs" dxfId="2087" priority="48" stopIfTrue="1" operator="lessThanOrEqual">
      <formula>0</formula>
    </cfRule>
  </conditionalFormatting>
  <conditionalFormatting sqref="E82">
    <cfRule type="cellIs" dxfId="2086" priority="49" stopIfTrue="1" operator="lessThanOrEqual">
      <formula>0</formula>
    </cfRule>
  </conditionalFormatting>
  <conditionalFormatting sqref="E84:E92">
    <cfRule type="cellIs" dxfId="2085" priority="168" stopIfTrue="1" operator="lessThanOrEqual">
      <formula>0</formula>
    </cfRule>
    <cfRule type="cellIs" dxfId="2084" priority="167" stopIfTrue="1" operator="greaterThan">
      <formula>4.5</formula>
    </cfRule>
  </conditionalFormatting>
  <conditionalFormatting sqref="E57:F57 E56">
    <cfRule type="cellIs" dxfId="2083" priority="177" stopIfTrue="1" operator="lessThan">
      <formula>96.5</formula>
    </cfRule>
  </conditionalFormatting>
  <conditionalFormatting sqref="F10:F28">
    <cfRule type="cellIs" dxfId="2082" priority="10" operator="greaterThan">
      <formula>60</formula>
    </cfRule>
  </conditionalFormatting>
  <conditionalFormatting sqref="F57">
    <cfRule type="cellIs" dxfId="2081" priority="193" stopIfTrue="1" operator="lessThan">
      <formula>96.8</formula>
    </cfRule>
    <cfRule type="cellIs" dxfId="2080" priority="194" stopIfTrue="1" operator="greaterThan">
      <formula>100</formula>
    </cfRule>
  </conditionalFormatting>
  <conditionalFormatting sqref="G10:G23">
    <cfRule type="expression" dxfId="2079" priority="9">
      <formula>IF(+(IF(G10&lt;S10,0,IF(G10&gt;T10,0,1)))=0,1)</formula>
    </cfRule>
  </conditionalFormatting>
  <conditionalFormatting sqref="G73:G76 F82">
    <cfRule type="cellIs" dxfId="2078" priority="56" stopIfTrue="1" operator="lessThanOrEqual">
      <formula>0</formula>
    </cfRule>
    <cfRule type="cellIs" dxfId="2077" priority="55" stopIfTrue="1" operator="greaterThan">
      <formula>$F73</formula>
    </cfRule>
  </conditionalFormatting>
  <conditionalFormatting sqref="G75:G76">
    <cfRule type="cellIs" dxfId="2076" priority="42" stopIfTrue="1" operator="lessThanOrEqual">
      <formula>0</formula>
    </cfRule>
    <cfRule type="cellIs" dxfId="2075" priority="41" stopIfTrue="1" operator="greaterThan">
      <formula>$F75</formula>
    </cfRule>
  </conditionalFormatting>
  <conditionalFormatting sqref="G77:G81">
    <cfRule type="cellIs" dxfId="2074" priority="58" stopIfTrue="1" operator="lessThanOrEqual">
      <formula>0</formula>
    </cfRule>
    <cfRule type="cellIs" dxfId="2073" priority="57" stopIfTrue="1" operator="greaterThan">
      <formula>$J77</formula>
    </cfRule>
  </conditionalFormatting>
  <conditionalFormatting sqref="G78">
    <cfRule type="cellIs" dxfId="2072" priority="201" stopIfTrue="1" operator="greaterThan">
      <formula>$F73</formula>
    </cfRule>
    <cfRule type="cellIs" dxfId="2071" priority="202" stopIfTrue="1" operator="lessThanOrEqual">
      <formula>0</formula>
    </cfRule>
  </conditionalFormatting>
  <conditionalFormatting sqref="G86:G91 C89 C91">
    <cfRule type="cellIs" dxfId="2070" priority="191" stopIfTrue="1" operator="lessThanOrEqual">
      <formula>0</formula>
    </cfRule>
    <cfRule type="cellIs" dxfId="2069" priority="190" stopIfTrue="1" operator="greaterThan">
      <formula>4.5</formula>
    </cfRule>
  </conditionalFormatting>
  <conditionalFormatting sqref="G24:H28">
    <cfRule type="expression" dxfId="2068" priority="13">
      <formula>IF(+(IF(G24&lt;#REF!,0,IF(G24&gt;#REF!,0,1)))=0,1)</formula>
    </cfRule>
  </conditionalFormatting>
  <conditionalFormatting sqref="G85:H85">
    <cfRule type="cellIs" dxfId="2067" priority="172" stopIfTrue="1" operator="lessThanOrEqual">
      <formula>0</formula>
    </cfRule>
    <cfRule type="cellIs" dxfId="2066" priority="171" stopIfTrue="1" operator="greaterThan">
      <formula>$F$84</formula>
    </cfRule>
  </conditionalFormatting>
  <conditionalFormatting sqref="H10:H23">
    <cfRule type="expression" dxfId="2065" priority="8">
      <formula>IF(+(IF(H10&lt;#REF!,0,IF(H10&gt;#REF!,0,1)))=0,1)</formula>
    </cfRule>
  </conditionalFormatting>
  <conditionalFormatting sqref="H42:H43 H56">
    <cfRule type="cellIs" dxfId="2064" priority="169" stopIfTrue="1" operator="greaterThan">
      <formula>0</formula>
    </cfRule>
  </conditionalFormatting>
  <conditionalFormatting sqref="H60">
    <cfRule type="cellIs" dxfId="2063" priority="70" stopIfTrue="1" operator="lessThanOrEqual">
      <formula>0</formula>
    </cfRule>
    <cfRule type="cellIs" dxfId="2062" priority="71" stopIfTrue="1" operator="greaterThan">
      <formula>$F$74</formula>
    </cfRule>
    <cfRule type="cellIs" dxfId="2061" priority="60" stopIfTrue="1" operator="lessThanOrEqual">
      <formula>0</formula>
    </cfRule>
    <cfRule type="cellIs" dxfId="2060" priority="69" stopIfTrue="1" operator="greaterThan">
      <formula>$F$76</formula>
    </cfRule>
    <cfRule type="cellIs" dxfId="2059" priority="61" stopIfTrue="1" operator="greaterThan">
      <formula>$F$73</formula>
    </cfRule>
  </conditionalFormatting>
  <conditionalFormatting sqref="H60:H61">
    <cfRule type="cellIs" dxfId="2058" priority="72" stopIfTrue="1" operator="lessThanOrEqual">
      <formula>0</formula>
    </cfRule>
  </conditionalFormatting>
  <conditionalFormatting sqref="H61 H63:H64">
    <cfRule type="cellIs" dxfId="2057" priority="99" stopIfTrue="1" operator="lessThanOrEqual">
      <formula>0</formula>
    </cfRule>
  </conditionalFormatting>
  <conditionalFormatting sqref="H61">
    <cfRule type="cellIs" dxfId="2056" priority="96" stopIfTrue="1" operator="greaterThan">
      <formula>$F$76</formula>
    </cfRule>
    <cfRule type="cellIs" dxfId="2055" priority="97" stopIfTrue="1" operator="lessThanOrEqual">
      <formula>0</formula>
    </cfRule>
    <cfRule type="cellIs" dxfId="2054" priority="88" stopIfTrue="1" operator="greaterThan">
      <formula>$F$73</formula>
    </cfRule>
    <cfRule type="cellIs" dxfId="2053" priority="98" stopIfTrue="1" operator="greaterThan">
      <formula>$F$74</formula>
    </cfRule>
  </conditionalFormatting>
  <conditionalFormatting sqref="H62">
    <cfRule type="cellIs" dxfId="2052" priority="39" stopIfTrue="1" operator="lessThanOrEqual">
      <formula>0</formula>
    </cfRule>
    <cfRule type="cellIs" dxfId="2051" priority="38" stopIfTrue="1" operator="greaterThan">
      <formula>$F$76</formula>
    </cfRule>
    <cfRule type="cellIs" dxfId="2050" priority="36" stopIfTrue="1" operator="greaterThan">
      <formula>$F$78</formula>
    </cfRule>
    <cfRule type="cellIs" dxfId="2049" priority="28" stopIfTrue="1" operator="greaterThan">
      <formula>$F$75</formula>
    </cfRule>
    <cfRule type="cellIs" dxfId="2048" priority="27" stopIfTrue="1" operator="lessThanOrEqual">
      <formula>0</formula>
    </cfRule>
    <cfRule type="cellIs" dxfId="2047" priority="37" stopIfTrue="1" operator="lessThanOrEqual">
      <formula>0</formula>
    </cfRule>
  </conditionalFormatting>
  <conditionalFormatting sqref="H63:H64">
    <cfRule type="cellIs" dxfId="2046" priority="101" stopIfTrue="1" operator="greaterThan">
      <formula>$F$73</formula>
    </cfRule>
    <cfRule type="cellIs" dxfId="2045" priority="109" stopIfTrue="1" operator="greaterThan">
      <formula>$F$76</formula>
    </cfRule>
    <cfRule type="cellIs" dxfId="2044" priority="110" stopIfTrue="1" operator="lessThanOrEqual">
      <formula>0</formula>
    </cfRule>
    <cfRule type="cellIs" dxfId="2043" priority="111" stopIfTrue="1" operator="greaterThan">
      <formula>$F$74</formula>
    </cfRule>
    <cfRule type="cellIs" dxfId="2042" priority="112" stopIfTrue="1" operator="lessThanOrEqual">
      <formula>0</formula>
    </cfRule>
  </conditionalFormatting>
  <conditionalFormatting sqref="H65:H66">
    <cfRule type="cellIs" dxfId="2041" priority="145" stopIfTrue="1" operator="greaterThan">
      <formula>#REF!</formula>
    </cfRule>
    <cfRule type="cellIs" dxfId="2040" priority="146" stopIfTrue="1" operator="lessThanOrEqual">
      <formula>0</formula>
    </cfRule>
    <cfRule type="cellIs" dxfId="2039" priority="136" stopIfTrue="1" operator="lessThanOrEqual">
      <formula>0</formula>
    </cfRule>
    <cfRule type="cellIs" dxfId="2038" priority="137" stopIfTrue="1" operator="greaterThan">
      <formula>#REF!</formula>
    </cfRule>
  </conditionalFormatting>
  <conditionalFormatting sqref="H67">
    <cfRule type="cellIs" dxfId="2037" priority="158" stopIfTrue="1" operator="lessThanOrEqual">
      <formula>0</formula>
    </cfRule>
    <cfRule type="cellIs" dxfId="2036" priority="159" stopIfTrue="1" operator="greaterThan">
      <formula>$F$42</formula>
    </cfRule>
    <cfRule type="cellIs" dxfId="2035" priority="160" stopIfTrue="1" operator="lessThanOrEqual">
      <formula>0</formula>
    </cfRule>
    <cfRule type="cellIs" dxfId="2034" priority="157" stopIfTrue="1" operator="greaterThan">
      <formula>$F$44</formula>
    </cfRule>
    <cfRule type="cellIs" dxfId="2033" priority="148" stopIfTrue="1" operator="lessThanOrEqual">
      <formula>0</formula>
    </cfRule>
    <cfRule type="cellIs" dxfId="2032" priority="149" stopIfTrue="1" operator="greaterThan">
      <formula>$F$41</formula>
    </cfRule>
  </conditionalFormatting>
  <conditionalFormatting sqref="H68:H69">
    <cfRule type="cellIs" dxfId="2031" priority="124" stopIfTrue="1" operator="lessThanOrEqual">
      <formula>0</formula>
    </cfRule>
    <cfRule type="cellIs" dxfId="2030" priority="133" stopIfTrue="1" operator="greaterThan">
      <formula>#REF!</formula>
    </cfRule>
    <cfRule type="cellIs" dxfId="2029" priority="125" stopIfTrue="1" operator="greaterThan">
      <formula>#REF!</formula>
    </cfRule>
    <cfRule type="cellIs" dxfId="2028" priority="134" stopIfTrue="1" operator="lessThanOrEqual">
      <formula>0</formula>
    </cfRule>
  </conditionalFormatting>
  <conditionalFormatting sqref="H84 H86:H92">
    <cfRule type="cellIs" dxfId="2027" priority="183" stopIfTrue="1" operator="greaterThan">
      <formula>4.5</formula>
    </cfRule>
    <cfRule type="cellIs" dxfId="2026" priority="184" stopIfTrue="1" operator="lessThanOrEqual">
      <formula>0</formula>
    </cfRule>
  </conditionalFormatting>
  <conditionalFormatting sqref="H60:I60">
    <cfRule type="cellIs" dxfId="2025" priority="62" stopIfTrue="1" operator="lessThanOrEqual">
      <formula>0</formula>
    </cfRule>
  </conditionalFormatting>
  <conditionalFormatting sqref="H60:I61 H63:I64">
    <cfRule type="cellIs" dxfId="2024" priority="59" stopIfTrue="1" operator="greaterThan">
      <formula>$F$75</formula>
    </cfRule>
  </conditionalFormatting>
  <conditionalFormatting sqref="H61:I61">
    <cfRule type="cellIs" dxfId="2023" priority="89" stopIfTrue="1" operator="lessThanOrEqual">
      <formula>0</formula>
    </cfRule>
  </conditionalFormatting>
  <conditionalFormatting sqref="H62:I62">
    <cfRule type="cellIs" dxfId="2022" priority="26" stopIfTrue="1" operator="greaterThan">
      <formula>$F$77</formula>
    </cfRule>
    <cfRule type="cellIs" dxfId="2021" priority="29" stopIfTrue="1" operator="lessThanOrEqual">
      <formula>0</formula>
    </cfRule>
  </conditionalFormatting>
  <conditionalFormatting sqref="H63:I64">
    <cfRule type="cellIs" dxfId="2020" priority="102" stopIfTrue="1" operator="lessThanOrEqual">
      <formula>0</formula>
    </cfRule>
  </conditionalFormatting>
  <conditionalFormatting sqref="H65:I66">
    <cfRule type="cellIs" dxfId="2019" priority="135" stopIfTrue="1" operator="greaterThan">
      <formula>#REF!</formula>
    </cfRule>
    <cfRule type="cellIs" dxfId="2018" priority="138" stopIfTrue="1" operator="lessThanOrEqual">
      <formula>0</formula>
    </cfRule>
    <cfRule type="cellIs" dxfId="2017" priority="143" stopIfTrue="1" operator="greaterThan">
      <formula>#REF!</formula>
    </cfRule>
    <cfRule type="cellIs" dxfId="2016" priority="144" stopIfTrue="1" operator="lessThanOrEqual">
      <formula>0</formula>
    </cfRule>
  </conditionalFormatting>
  <conditionalFormatting sqref="H67:I67">
    <cfRule type="cellIs" dxfId="2015" priority="147" stopIfTrue="1" operator="greaterThan">
      <formula>$F$43</formula>
    </cfRule>
    <cfRule type="cellIs" dxfId="2014" priority="150" stopIfTrue="1" operator="lessThanOrEqual">
      <formula>0</formula>
    </cfRule>
  </conditionalFormatting>
  <conditionalFormatting sqref="H68:I69">
    <cfRule type="cellIs" dxfId="2013" priority="123" stopIfTrue="1" operator="greaterThan">
      <formula>#REF!</formula>
    </cfRule>
    <cfRule type="cellIs" dxfId="2012" priority="131" stopIfTrue="1" operator="greaterThan">
      <formula>#REF!</formula>
    </cfRule>
    <cfRule type="cellIs" dxfId="2011" priority="126" stopIfTrue="1" operator="lessThanOrEqual">
      <formula>0</formula>
    </cfRule>
    <cfRule type="cellIs" dxfId="2010" priority="132" stopIfTrue="1" operator="lessThanOrEqual">
      <formula>0</formula>
    </cfRule>
  </conditionalFormatting>
  <conditionalFormatting sqref="H73:I80">
    <cfRule type="cellIs" dxfId="2009" priority="45" stopIfTrue="1" operator="lessThanOrEqual">
      <formula>0</formula>
    </cfRule>
    <cfRule type="cellIs" dxfId="2008" priority="44" stopIfTrue="1" operator="greaterThan">
      <formula>$J73</formula>
    </cfRule>
  </conditionalFormatting>
  <conditionalFormatting sqref="H81:I81">
    <cfRule type="cellIs" dxfId="2007" priority="52" operator="greaterThan">
      <formula>5.3</formula>
    </cfRule>
  </conditionalFormatting>
  <conditionalFormatting sqref="H82:I82">
    <cfRule type="cellIs" dxfId="2006" priority="51" stopIfTrue="1" operator="lessThanOrEqual">
      <formula>0</formula>
    </cfRule>
    <cfRule type="cellIs" dxfId="2005" priority="50" stopIfTrue="1" operator="greaterThan">
      <formula>$J82</formula>
    </cfRule>
  </conditionalFormatting>
  <conditionalFormatting sqref="I60">
    <cfRule type="cellIs" dxfId="2004" priority="63" stopIfTrue="1" operator="greaterThan">
      <formula>$F$73</formula>
    </cfRule>
    <cfRule type="cellIs" dxfId="2003" priority="64" stopIfTrue="1" operator="lessThanOrEqual">
      <formula>0</formula>
    </cfRule>
    <cfRule type="cellIs" dxfId="2002" priority="65" stopIfTrue="1" operator="greaterThan">
      <formula>$F$75</formula>
    </cfRule>
    <cfRule type="cellIs" dxfId="2001" priority="66" stopIfTrue="1" operator="lessThanOrEqual">
      <formula>0</formula>
    </cfRule>
    <cfRule type="cellIs" dxfId="2000" priority="67" stopIfTrue="1" operator="greaterThan">
      <formula>$F$73</formula>
    </cfRule>
    <cfRule type="cellIs" dxfId="1999" priority="68" stopIfTrue="1" operator="lessThanOrEqual">
      <formula>0</formula>
    </cfRule>
  </conditionalFormatting>
  <conditionalFormatting sqref="I61">
    <cfRule type="cellIs" dxfId="1998" priority="90" stopIfTrue="1" operator="greaterThan">
      <formula>$F$73</formula>
    </cfRule>
    <cfRule type="cellIs" dxfId="1997" priority="91" stopIfTrue="1" operator="lessThanOrEqual">
      <formula>0</formula>
    </cfRule>
    <cfRule type="cellIs" dxfId="1996" priority="92" stopIfTrue="1" operator="greaterThan">
      <formula>$F$75</formula>
    </cfRule>
    <cfRule type="cellIs" dxfId="1995" priority="93" stopIfTrue="1" operator="lessThanOrEqual">
      <formula>0</formula>
    </cfRule>
    <cfRule type="cellIs" dxfId="1994" priority="94" stopIfTrue="1" operator="greaterThan">
      <formula>$F$73</formula>
    </cfRule>
    <cfRule type="cellIs" dxfId="1993" priority="95" stopIfTrue="1" operator="lessThanOrEqual">
      <formula>0</formula>
    </cfRule>
  </conditionalFormatting>
  <conditionalFormatting sqref="I62">
    <cfRule type="cellIs" dxfId="1992" priority="35" stopIfTrue="1" operator="lessThanOrEqual">
      <formula>0</formula>
    </cfRule>
    <cfRule type="cellIs" dxfId="1991" priority="34" stopIfTrue="1" operator="greaterThan">
      <formula>$F$75</formula>
    </cfRule>
    <cfRule type="cellIs" dxfId="1990" priority="30" stopIfTrue="1" operator="greaterThan">
      <formula>$F$75</formula>
    </cfRule>
    <cfRule type="cellIs" dxfId="1989" priority="31" stopIfTrue="1" operator="lessThanOrEqual">
      <formula>0</formula>
    </cfRule>
    <cfRule type="cellIs" dxfId="1988" priority="32" stopIfTrue="1" operator="greaterThan">
      <formula>$F$77</formula>
    </cfRule>
    <cfRule type="cellIs" dxfId="1987" priority="33" stopIfTrue="1" operator="lessThanOrEqual">
      <formula>0</formula>
    </cfRule>
  </conditionalFormatting>
  <conditionalFormatting sqref="I63:I64">
    <cfRule type="cellIs" dxfId="1986" priority="105" stopIfTrue="1" operator="greaterThan">
      <formula>$F$75</formula>
    </cfRule>
    <cfRule type="cellIs" dxfId="1985" priority="104" stopIfTrue="1" operator="lessThanOrEqual">
      <formula>0</formula>
    </cfRule>
    <cfRule type="cellIs" dxfId="1984" priority="103" stopIfTrue="1" operator="greaterThan">
      <formula>$F$73</formula>
    </cfRule>
    <cfRule type="cellIs" dxfId="1983" priority="106" stopIfTrue="1" operator="lessThanOrEqual">
      <formula>0</formula>
    </cfRule>
    <cfRule type="cellIs" dxfId="1982" priority="108" stopIfTrue="1" operator="lessThanOrEqual">
      <formula>0</formula>
    </cfRule>
    <cfRule type="cellIs" dxfId="1981" priority="107" stopIfTrue="1" operator="greaterThan">
      <formula>$F$73</formula>
    </cfRule>
  </conditionalFormatting>
  <conditionalFormatting sqref="I65:I66">
    <cfRule type="cellIs" dxfId="1980" priority="142" stopIfTrue="1" operator="lessThanOrEqual">
      <formula>0</formula>
    </cfRule>
    <cfRule type="cellIs" dxfId="1979" priority="141" stopIfTrue="1" operator="greaterThan">
      <formula>#REF!</formula>
    </cfRule>
    <cfRule type="cellIs" dxfId="1978" priority="139" stopIfTrue="1" operator="greaterThan">
      <formula>#REF!</formula>
    </cfRule>
    <cfRule type="cellIs" dxfId="1977" priority="140" stopIfTrue="1" operator="lessThanOrEqual">
      <formula>0</formula>
    </cfRule>
  </conditionalFormatting>
  <conditionalFormatting sqref="I67">
    <cfRule type="cellIs" dxfId="1976" priority="151" stopIfTrue="1" operator="greaterThan">
      <formula>$F$41</formula>
    </cfRule>
    <cfRule type="cellIs" dxfId="1975" priority="152" stopIfTrue="1" operator="lessThanOrEqual">
      <formula>0</formula>
    </cfRule>
    <cfRule type="cellIs" dxfId="1974" priority="153" stopIfTrue="1" operator="greaterThan">
      <formula>$F$43</formula>
    </cfRule>
    <cfRule type="cellIs" dxfId="1973" priority="154" stopIfTrue="1" operator="lessThanOrEqual">
      <formula>0</formula>
    </cfRule>
    <cfRule type="cellIs" dxfId="1972" priority="155" stopIfTrue="1" operator="greaterThan">
      <formula>$F$41</formula>
    </cfRule>
    <cfRule type="cellIs" dxfId="1971" priority="156" stopIfTrue="1" operator="lessThanOrEqual">
      <formula>0</formula>
    </cfRule>
  </conditionalFormatting>
  <conditionalFormatting sqref="I68:I69">
    <cfRule type="cellIs" dxfId="1970" priority="127" stopIfTrue="1" operator="greaterThan">
      <formula>#REF!</formula>
    </cfRule>
    <cfRule type="cellIs" dxfId="1969" priority="129" stopIfTrue="1" operator="greaterThan">
      <formula>#REF!</formula>
    </cfRule>
    <cfRule type="cellIs" dxfId="1968" priority="130" stopIfTrue="1" operator="lessThanOrEqual">
      <formula>0</formula>
    </cfRule>
    <cfRule type="cellIs" dxfId="1967" priority="128" stopIfTrue="1" operator="lessThanOrEqual">
      <formula>0</formula>
    </cfRule>
  </conditionalFormatting>
  <conditionalFormatting sqref="I84:I92">
    <cfRule type="cellIs" dxfId="1966" priority="180" stopIfTrue="1" operator="lessThanOrEqual">
      <formula>0</formula>
    </cfRule>
    <cfRule type="cellIs" dxfId="1965" priority="179" stopIfTrue="1" operator="greaterThan">
      <formula>4.5</formula>
    </cfRule>
  </conditionalFormatting>
  <conditionalFormatting sqref="I10:J28">
    <cfRule type="cellIs" dxfId="1964" priority="1" operator="lessThan">
      <formula>97.9</formula>
    </cfRule>
  </conditionalFormatting>
  <conditionalFormatting sqref="J31:J33">
    <cfRule type="cellIs" dxfId="1963" priority="25" operator="lessThan">
      <formula>97.95</formula>
    </cfRule>
  </conditionalFormatting>
  <conditionalFormatting sqref="J33:J35">
    <cfRule type="cellIs" dxfId="1962" priority="161" operator="lessThan">
      <formula>97.4</formula>
    </cfRule>
  </conditionalFormatting>
  <conditionalFormatting sqref="J36:J37">
    <cfRule type="cellIs" dxfId="1961" priority="162" operator="lessThan">
      <formula>98</formula>
    </cfRule>
  </conditionalFormatting>
  <conditionalFormatting sqref="J38:J39">
    <cfRule type="cellIs" dxfId="1960" priority="164" stopIfTrue="1" operator="greaterThan">
      <formula>100</formula>
    </cfRule>
    <cfRule type="cellIs" dxfId="1959" priority="163" stopIfTrue="1" operator="lessThan">
      <formula>96.8</formula>
    </cfRule>
  </conditionalFormatting>
  <conditionalFormatting sqref="J38:J40">
    <cfRule type="cellIs" dxfId="1958" priority="165" operator="lessThan">
      <formula>98</formula>
    </cfRule>
  </conditionalFormatting>
  <conditionalFormatting sqref="J69">
    <cfRule type="cellIs" dxfId="1957" priority="115" stopIfTrue="1" operator="greaterThan">
      <formula>#REF!</formula>
    </cfRule>
    <cfRule type="cellIs" dxfId="1956" priority="116" stopIfTrue="1" operator="lessThanOrEqual">
      <formula>0</formula>
    </cfRule>
    <cfRule type="cellIs" dxfId="1955" priority="117" stopIfTrue="1" operator="greaterThan">
      <formula>#REF!</formula>
    </cfRule>
    <cfRule type="cellIs" dxfId="1954" priority="122" stopIfTrue="1" operator="lessThanOrEqual">
      <formula>0</formula>
    </cfRule>
    <cfRule type="cellIs" dxfId="1953" priority="121" stopIfTrue="1" operator="greaterThan">
      <formula>#REF!</formula>
    </cfRule>
    <cfRule type="cellIs" dxfId="1952" priority="120" stopIfTrue="1" operator="lessThanOrEqual">
      <formula>0</formula>
    </cfRule>
    <cfRule type="cellIs" dxfId="1951" priority="118" stopIfTrue="1" operator="lessThanOrEqual">
      <formula>0</formula>
    </cfRule>
    <cfRule type="cellIs" dxfId="1950" priority="119" stopIfTrue="1" operator="greaterThan">
      <formula>#REF!</formula>
    </cfRule>
  </conditionalFormatting>
  <conditionalFormatting sqref="J82">
    <cfRule type="cellIs" dxfId="1949" priority="53" stopIfTrue="1" operator="greaterThan">
      <formula>$F82</formula>
    </cfRule>
    <cfRule type="cellIs" dxfId="1948" priority="54" stopIfTrue="1" operator="lessThanOrEqual">
      <formula>0</formula>
    </cfRule>
  </conditionalFormatting>
  <conditionalFormatting sqref="K10:K28">
    <cfRule type="cellIs" dxfId="1947" priority="4" operator="greaterThan">
      <formula>6.4</formula>
    </cfRule>
    <cfRule type="cellIs" dxfId="1946" priority="3" operator="lessThan">
      <formula>4</formula>
    </cfRule>
    <cfRule type="cellIs" dxfId="1945" priority="2" operator="greaterThan">
      <formula>6</formula>
    </cfRule>
  </conditionalFormatting>
  <conditionalFormatting sqref="K60:K69">
    <cfRule type="cellIs" dxfId="1944" priority="100" stopIfTrue="1" operator="lessThan">
      <formula>100%</formula>
    </cfRule>
  </conditionalFormatting>
  <conditionalFormatting sqref="K73:K81">
    <cfRule type="cellIs" dxfId="1943" priority="43" stopIfTrue="1" operator="lessThan">
      <formula>100%</formula>
    </cfRule>
  </conditionalFormatting>
  <conditionalFormatting sqref="K84:K89">
    <cfRule type="cellIs" dxfId="1942" priority="185" stopIfTrue="1" operator="lessThan">
      <formula>100%</formula>
    </cfRule>
  </conditionalFormatting>
  <conditionalFormatting sqref="K91:K92">
    <cfRule type="cellIs" dxfId="1941" priority="192" stopIfTrue="1" operator="lessThan">
      <formula>100%</formula>
    </cfRule>
  </conditionalFormatting>
  <conditionalFormatting sqref="L10:L28">
    <cfRule type="cellIs" dxfId="1940" priority="6" operator="greaterThan">
      <formula>65</formula>
    </cfRule>
    <cfRule type="cellIs" dxfId="1939" priority="5" operator="between">
      <formula>61</formula>
      <formula>65</formula>
    </cfRule>
  </conditionalFormatting>
  <conditionalFormatting sqref="L31:M42">
    <cfRule type="cellIs" dxfId="1938" priority="24" operator="lessThan">
      <formula>97.95</formula>
    </cfRule>
  </conditionalFormatting>
  <conditionalFormatting sqref="L46:N46">
    <cfRule type="cellIs" dxfId="1937" priority="79" operator="notEqual">
      <formula>#REF!</formula>
    </cfRule>
  </conditionalFormatting>
  <conditionalFormatting sqref="L73:N82">
    <cfRule type="cellIs" dxfId="1936" priority="40" stopIfTrue="1" operator="lessThan">
      <formula>100%</formula>
    </cfRule>
  </conditionalFormatting>
  <conditionalFormatting sqref="L84:N92">
    <cfRule type="cellIs" dxfId="1935" priority="170" stopIfTrue="1" operator="lessThan">
      <formula>100%</formula>
    </cfRule>
  </conditionalFormatting>
  <conditionalFormatting sqref="M10:M23">
    <cfRule type="expression" dxfId="1934" priority="11">
      <formula>IF(+(IF(M10&lt;U10,0,IF(M10&gt;V10,0,1)))=0,1)</formula>
    </cfRule>
  </conditionalFormatting>
  <conditionalFormatting sqref="M24:N28">
    <cfRule type="expression" dxfId="1933" priority="22">
      <formula>IF(+(IF(M24&lt;#REF!,0,IF(M24&gt;#REF!,0,1)))=0,1)</formula>
    </cfRule>
  </conditionalFormatting>
  <conditionalFormatting sqref="N10:N28">
    <cfRule type="expression" dxfId="1932" priority="12">
      <formula>IF(+(IF(N10&lt;W10,0,IF(N10&gt;X10,0,1)))=0,1)</formula>
    </cfRule>
  </conditionalFormatting>
  <conditionalFormatting sqref="P6">
    <cfRule type="cellIs" dxfId="1931" priority="166" operator="greaterThanOrEqual">
      <formula>19</formula>
    </cfRule>
  </conditionalFormatting>
  <dataValidations count="1">
    <dataValidation type="list" allowBlank="1" showInputMessage="1" showErrorMessage="1" sqref="R8" xr:uid="{A945E42F-3AD2-4308-AE20-10FFD18C71A8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6" max="16383" man="1"/>
  </rowBreaks>
  <colBreaks count="1" manualBreakCount="1">
    <brk id="15" max="89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66AAC-FF43-441F-81C0-34C920FA2622}">
  <sheetPr>
    <pageSetUpPr fitToPage="1"/>
  </sheetPr>
  <dimension ref="A1:BE82"/>
  <sheetViews>
    <sheetView topLeftCell="A8" zoomScale="60" zoomScaleNormal="60" workbookViewId="0">
      <selection activeCell="H50" sqref="H50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12" t="s">
        <v>0</v>
      </c>
      <c r="T1" s="512"/>
      <c r="U1" s="512" t="s">
        <v>1</v>
      </c>
      <c r="V1" s="512"/>
      <c r="W1" s="512" t="s">
        <v>2</v>
      </c>
      <c r="X1" s="512"/>
      <c r="Y1" s="512" t="s">
        <v>124</v>
      </c>
      <c r="Z1" s="512"/>
    </row>
    <row r="2" spans="2:29" ht="15">
      <c r="B2" s="513" t="s">
        <v>3</v>
      </c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46253</v>
      </c>
      <c r="J4" s="398" t="s">
        <v>184</v>
      </c>
      <c r="K4" s="398"/>
      <c r="L4" s="11"/>
      <c r="M4" s="510" t="s">
        <v>8</v>
      </c>
      <c r="N4" s="511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6"/>
      <c r="D5" s="516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19" t="s">
        <v>18</v>
      </c>
      <c r="D8" s="519" t="s">
        <v>19</v>
      </c>
      <c r="E8" s="356" t="s">
        <v>20</v>
      </c>
      <c r="F8" s="356" t="s">
        <v>21</v>
      </c>
      <c r="G8" s="519" t="s">
        <v>22</v>
      </c>
      <c r="H8" s="520" t="s">
        <v>144</v>
      </c>
      <c r="I8" s="519" t="s">
        <v>181</v>
      </c>
      <c r="J8" s="522" t="s">
        <v>23</v>
      </c>
      <c r="K8" s="524" t="s">
        <v>142</v>
      </c>
      <c r="L8" s="526" t="s">
        <v>24</v>
      </c>
      <c r="M8" s="359" t="s">
        <v>25</v>
      </c>
      <c r="N8" s="17" t="s">
        <v>168</v>
      </c>
      <c r="O8" s="519" t="s">
        <v>155</v>
      </c>
      <c r="P8" s="514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8"/>
      <c r="C9" s="515"/>
      <c r="D9" s="515"/>
      <c r="E9" s="357" t="s">
        <v>30</v>
      </c>
      <c r="F9" s="357" t="s">
        <v>31</v>
      </c>
      <c r="G9" s="515"/>
      <c r="H9" s="521"/>
      <c r="I9" s="515"/>
      <c r="J9" s="523"/>
      <c r="K9" s="525"/>
      <c r="L9" s="527"/>
      <c r="M9" s="20" t="s">
        <v>32</v>
      </c>
      <c r="N9" s="21" t="s">
        <v>41</v>
      </c>
      <c r="O9" s="515"/>
      <c r="P9" s="515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34" t="s">
        <v>12</v>
      </c>
      <c r="C10" s="366" t="str">
        <f>[5]Brewhouse!$A97</f>
        <v>GU076</v>
      </c>
      <c r="D10" s="279">
        <f>[5]Brewhouse!$AF97</f>
        <v>50.3</v>
      </c>
      <c r="E10" s="279">
        <f>[5]Brewhouse!$AI97</f>
        <v>50.3</v>
      </c>
      <c r="F10" s="278">
        <f>[5]Brewhouse!$V97</f>
        <v>64</v>
      </c>
      <c r="G10" s="279">
        <f>[5]Brewhouse!$AG97</f>
        <v>17</v>
      </c>
      <c r="H10" s="396">
        <v>17.2</v>
      </c>
      <c r="I10" s="501">
        <f>[5]Brewhouse!$AU97</f>
        <v>94.938560144721919</v>
      </c>
      <c r="J10" s="501">
        <f>[5]Brewhouse!$AV97</f>
        <v>95.695476658730982</v>
      </c>
      <c r="K10" s="502">
        <f>[5]Brewhouse!$R97</f>
        <v>12.464285714285708</v>
      </c>
      <c r="L10" s="276">
        <f>[5]Brewhouse!$O97</f>
        <v>55</v>
      </c>
      <c r="M10" s="374">
        <f>[5]Brewhouse!$U97-[5]Brewhouse!$T97</f>
        <v>0.11041666666666672</v>
      </c>
      <c r="N10" s="370">
        <f>[5]Brewhouse!$Z97</f>
        <v>0.31597222222222227</v>
      </c>
      <c r="O10" s="420" t="str">
        <f>[5]Brewhouse!$AW97</f>
        <v>R. Regis</v>
      </c>
      <c r="P10" s="418"/>
      <c r="R10" s="277" t="str">
        <f t="shared" ref="R10:R42" si="0">B10</f>
        <v>GUINNESS</v>
      </c>
      <c r="S10" s="472">
        <f t="shared" ref="S10:S42" si="1">VLOOKUP($B10,$R$3:$X$9,2,FALSE)</f>
        <v>17</v>
      </c>
      <c r="T10" s="472">
        <f t="shared" ref="T10:T42" si="2">VLOOKUP($B10,$R$3:$X$9,3,FALSE)</f>
        <v>17.5</v>
      </c>
      <c r="U10" s="297">
        <f t="shared" ref="U10:U42" si="3">VLOOKUP($B10,$R$3:$X$9,4,FALSE)</f>
        <v>0</v>
      </c>
      <c r="V10" s="297">
        <f t="shared" ref="V10:V42" si="4">VLOOKUP($B10,$R$3:$X$9,5,FALSE)</f>
        <v>0.1076388888888889</v>
      </c>
      <c r="W10" s="297">
        <f t="shared" ref="W10:W42" si="5">VLOOKUP($B10,$R$3:$X$9,6,FALSE)</f>
        <v>0.24652777777777779</v>
      </c>
      <c r="X10" s="297">
        <f t="shared" ref="X10:X42" si="6">VLOOKUP($B10,$R$3:$X$9,7,FALSE)</f>
        <v>0.28472222222222221</v>
      </c>
      <c r="Y10" s="297">
        <f t="shared" ref="Y10:Y42" si="7">VLOOKUP($B10,$R$3:$Z$9,8,FALSE)</f>
        <v>0</v>
      </c>
      <c r="Z10" s="472">
        <f t="shared" ref="Z10:Z42" si="8">VLOOKUP($B10,$R$3:$Z$9,9,FALSE)</f>
        <v>60</v>
      </c>
    </row>
    <row r="11" spans="2:29" ht="17.25" customHeight="1">
      <c r="B11" s="34"/>
      <c r="C11" s="366"/>
      <c r="D11" s="279"/>
      <c r="E11" s="279"/>
      <c r="F11" s="278"/>
      <c r="G11" s="279"/>
      <c r="H11" s="396"/>
      <c r="I11" s="501"/>
      <c r="J11" s="501"/>
      <c r="K11" s="502"/>
      <c r="L11" s="276"/>
      <c r="M11" s="374"/>
      <c r="N11" s="370"/>
      <c r="O11" s="420"/>
      <c r="P11" s="418"/>
      <c r="R11" s="277">
        <f t="shared" si="0"/>
        <v>0</v>
      </c>
      <c r="S11" s="472" t="e">
        <f t="shared" si="1"/>
        <v>#N/A</v>
      </c>
      <c r="T11" s="472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2" t="e">
        <f t="shared" si="8"/>
        <v>#N/A</v>
      </c>
    </row>
    <row r="12" spans="2:29" ht="17.25" customHeight="1">
      <c r="B12" s="33" t="s">
        <v>9</v>
      </c>
      <c r="C12" s="366" t="str">
        <f>[3]Brewhouse!$A344</f>
        <v>ST287</v>
      </c>
      <c r="D12" s="279">
        <f>[3]Brewhouse!$AB344</f>
        <v>53</v>
      </c>
      <c r="E12" s="279">
        <f>[3]Brewhouse!$AG344</f>
        <v>47.4</v>
      </c>
      <c r="F12" s="278">
        <f>[3]Brewhouse!$V344</f>
        <v>55</v>
      </c>
      <c r="G12" s="279">
        <f>[3]Brewhouse!$AE344</f>
        <v>11.9</v>
      </c>
      <c r="H12" s="396">
        <v>11.9</v>
      </c>
      <c r="I12" s="368">
        <f>[3]Brewhouse!$AS344</f>
        <v>96.130188550895028</v>
      </c>
      <c r="J12" s="368">
        <f>[3]Brewhouse!$AT344</f>
        <v>96.868240414586154</v>
      </c>
      <c r="K12" s="281">
        <f>[3]Brewhouse!$Q344</f>
        <v>13.72641509433962</v>
      </c>
      <c r="L12" s="276">
        <f>[3]Brewhouse!$P344</f>
        <v>62</v>
      </c>
      <c r="M12" s="374">
        <f>[3]Brewhouse!$U344-[3]Brewhouse!$T344</f>
        <v>0.10833333333333339</v>
      </c>
      <c r="N12" s="370">
        <f>[3]Brewhouse!$AW344</f>
        <v>0.24652777777777779</v>
      </c>
      <c r="O12" s="420" t="str">
        <f>[3]Brewhouse!$AV344</f>
        <v>R.Sookram</v>
      </c>
      <c r="P12" s="418"/>
      <c r="R12" s="277" t="str">
        <f t="shared" si="0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33" t="s">
        <v>9</v>
      </c>
      <c r="C13" s="366" t="str">
        <f>[3]Brewhouse!$A345</f>
        <v>ST288</v>
      </c>
      <c r="D13" s="279">
        <f>[3]Brewhouse!$AB345</f>
        <v>53</v>
      </c>
      <c r="E13" s="279">
        <f>[3]Brewhouse!$AG345</f>
        <v>49.9</v>
      </c>
      <c r="F13" s="278">
        <f>[3]Brewhouse!$V345</f>
        <v>54</v>
      </c>
      <c r="G13" s="279">
        <f>[3]Brewhouse!$AE345</f>
        <v>11.6</v>
      </c>
      <c r="H13" s="396">
        <v>11.7</v>
      </c>
      <c r="I13" s="368">
        <f>[3]Brewhouse!$AS345</f>
        <v>98.643672179069668</v>
      </c>
      <c r="J13" s="368">
        <f>[3]Brewhouse!$AT345</f>
        <v>99.400763231559225</v>
      </c>
      <c r="K13" s="281">
        <f>[3]Brewhouse!$Q345</f>
        <v>7.8773584905660314</v>
      </c>
      <c r="L13" s="276">
        <f>[3]Brewhouse!$P345</f>
        <v>61</v>
      </c>
      <c r="M13" s="374">
        <f>[3]Brewhouse!$U345-[3]Brewhouse!$T345</f>
        <v>0.11388888888888893</v>
      </c>
      <c r="N13" s="370">
        <f>[3]Brewhouse!$AW345</f>
        <v>0.25763888888888886</v>
      </c>
      <c r="O13" s="420" t="str">
        <f>[3]Brewhouse!$AV345</f>
        <v>R.Sookram</v>
      </c>
      <c r="P13" s="418"/>
      <c r="R13" s="277" t="str">
        <f t="shared" si="0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33" t="s">
        <v>9</v>
      </c>
      <c r="C14" s="366" t="str">
        <f>[3]Brewhouse!$A346</f>
        <v>ST289</v>
      </c>
      <c r="D14" s="279">
        <f>[3]Brewhouse!$AB346</f>
        <v>53</v>
      </c>
      <c r="E14" s="279">
        <f>[3]Brewhouse!$AG346</f>
        <v>48.9</v>
      </c>
      <c r="F14" s="278">
        <f>[3]Brewhouse!$V346</f>
        <v>57</v>
      </c>
      <c r="G14" s="279">
        <f>[3]Brewhouse!$AE346</f>
        <v>11.7</v>
      </c>
      <c r="H14" s="396">
        <v>11.8</v>
      </c>
      <c r="I14" s="368">
        <f>[3]Brewhouse!$AS346</f>
        <v>97.544184434340778</v>
      </c>
      <c r="J14" s="368">
        <f>[3]Brewhouse!$AT346</f>
        <v>98.292836908709035</v>
      </c>
      <c r="K14" s="281">
        <f>[3]Brewhouse!$Q346</f>
        <v>12.405660377358481</v>
      </c>
      <c r="L14" s="276">
        <f>[3]Brewhouse!$P346</f>
        <v>58</v>
      </c>
      <c r="M14" s="374">
        <f>[3]Brewhouse!$U346-[3]Brewhouse!$T346</f>
        <v>0.10486111111111118</v>
      </c>
      <c r="N14" s="370">
        <f>[3]Brewhouse!$AW346</f>
        <v>0.25069444444444444</v>
      </c>
      <c r="O14" s="420" t="str">
        <f>[3]Brewhouse!$AV346</f>
        <v>K. Benjamin</v>
      </c>
      <c r="P14" s="418"/>
      <c r="R14" s="277" t="str">
        <f t="shared" si="0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33" t="s">
        <v>9</v>
      </c>
      <c r="C15" s="366" t="str">
        <f>[3]Brewhouse!$A347</f>
        <v>ST290</v>
      </c>
      <c r="D15" s="279">
        <f>[3]Brewhouse!$AB347</f>
        <v>53</v>
      </c>
      <c r="E15" s="279">
        <f>[3]Brewhouse!$AG347</f>
        <v>49.3</v>
      </c>
      <c r="F15" s="278">
        <f>[3]Brewhouse!$V347</f>
        <v>61</v>
      </c>
      <c r="G15" s="279">
        <f>[3]Brewhouse!$AE347</f>
        <v>12</v>
      </c>
      <c r="H15" s="396">
        <v>12</v>
      </c>
      <c r="I15" s="368">
        <f>[3]Brewhouse!$AS347</f>
        <v>99.527904357748554</v>
      </c>
      <c r="J15" s="368">
        <f>[3]Brewhouse!$AT347</f>
        <v>100.36453640287515</v>
      </c>
      <c r="K15" s="281">
        <f>[3]Brewhouse!$Q347</f>
        <v>13.349056603773576</v>
      </c>
      <c r="L15" s="276">
        <f>[3]Brewhouse!$P347</f>
        <v>59</v>
      </c>
      <c r="M15" s="374">
        <f>[3]Brewhouse!$U347-[3]Brewhouse!$T347</f>
        <v>0.10972222222222217</v>
      </c>
      <c r="N15" s="370">
        <f>[3]Brewhouse!$AW347</f>
        <v>0.24861111111111112</v>
      </c>
      <c r="O15" s="420" t="str">
        <f>[3]Brewhouse!$AV347</f>
        <v>K. Benjamin</v>
      </c>
      <c r="P15" s="418" t="s">
        <v>195</v>
      </c>
      <c r="R15" s="277" t="str">
        <f t="shared" si="0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33" t="s">
        <v>9</v>
      </c>
      <c r="C16" s="366" t="str">
        <f>[3]Brewhouse!$A348</f>
        <v>ST291</v>
      </c>
      <c r="D16" s="279">
        <f>[3]Brewhouse!$AB348</f>
        <v>53.1</v>
      </c>
      <c r="E16" s="279">
        <f>[3]Brewhouse!$AG348</f>
        <v>50.2</v>
      </c>
      <c r="F16" s="278">
        <f>[3]Brewhouse!$V348</f>
        <v>62</v>
      </c>
      <c r="G16" s="279">
        <f>[3]Brewhouse!$AE348</f>
        <v>11.8</v>
      </c>
      <c r="H16" s="396">
        <v>11.8</v>
      </c>
      <c r="I16" s="368">
        <f>[3]Brewhouse!$AS348</f>
        <v>100.13077318075212</v>
      </c>
      <c r="J16" s="368">
        <f>[3]Brewhouse!$AT348</f>
        <v>101.04129946573713</v>
      </c>
      <c r="K16" s="281">
        <f>[3]Brewhouse!$Q348</f>
        <v>13.135593220338984</v>
      </c>
      <c r="L16" s="276">
        <f>[3]Brewhouse!$P348</f>
        <v>61</v>
      </c>
      <c r="M16" s="374">
        <f>[3]Brewhouse!$U348-[3]Brewhouse!$T348</f>
        <v>0.11666666666666659</v>
      </c>
      <c r="N16" s="370">
        <f>[3]Brewhouse!$AW348</f>
        <v>0.25347222222222221</v>
      </c>
      <c r="O16" s="420" t="str">
        <f>[3]Brewhouse!$AV348</f>
        <v>K. Benjamin</v>
      </c>
      <c r="P16" s="418" t="s">
        <v>194</v>
      </c>
      <c r="R16" s="277" t="str">
        <f t="shared" si="0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 customHeight="1">
      <c r="B17" s="33" t="s">
        <v>9</v>
      </c>
      <c r="C17" s="366" t="str">
        <f>[3]Brewhouse!$A349</f>
        <v>ST292</v>
      </c>
      <c r="D17" s="279">
        <f>[3]Brewhouse!$AB349</f>
        <v>53.1</v>
      </c>
      <c r="E17" s="279">
        <f>[3]Brewhouse!$AG349</f>
        <v>49</v>
      </c>
      <c r="F17" s="278">
        <f>[3]Brewhouse!$V349</f>
        <v>63</v>
      </c>
      <c r="G17" s="279">
        <f>[3]Brewhouse!$AE349</f>
        <v>11.8</v>
      </c>
      <c r="H17" s="396">
        <v>11.9</v>
      </c>
      <c r="I17" s="368">
        <f>[3]Brewhouse!$AS349</f>
        <v>97.985529268351812</v>
      </c>
      <c r="J17" s="368">
        <f>[3]Brewhouse!$AT349</f>
        <v>98.875947952260873</v>
      </c>
      <c r="K17" s="281">
        <f>[3]Brewhouse!$Q349</f>
        <v>13.512241054613931</v>
      </c>
      <c r="L17" s="276">
        <f>[3]Brewhouse!$P349</f>
        <v>61</v>
      </c>
      <c r="M17" s="374">
        <f>[3]Brewhouse!$U349-[3]Brewhouse!$T349</f>
        <v>0.11250000000000004</v>
      </c>
      <c r="N17" s="370">
        <f>[3]Brewhouse!$AW349</f>
        <v>0.25208333333333344</v>
      </c>
      <c r="O17" s="420" t="str">
        <f>[3]Brewhouse!$AV349</f>
        <v>K. Benjamin</v>
      </c>
      <c r="P17" s="418"/>
      <c r="R17" s="277" t="str">
        <f t="shared" si="0"/>
        <v>STAG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5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customHeight="1">
      <c r="B20" s="34"/>
      <c r="C20" s="366"/>
      <c r="D20" s="279"/>
      <c r="E20" s="279"/>
      <c r="F20" s="278"/>
      <c r="G20" s="279"/>
      <c r="H20" s="396"/>
      <c r="I20" s="501"/>
      <c r="J20" s="501"/>
      <c r="K20" s="502"/>
      <c r="L20" s="276"/>
      <c r="M20" s="374"/>
      <c r="N20" s="370"/>
      <c r="O20" s="420"/>
      <c r="P20" s="418"/>
      <c r="R20" s="277"/>
      <c r="S20" s="472"/>
      <c r="T20" s="472"/>
      <c r="U20" s="297"/>
      <c r="V20" s="297"/>
      <c r="W20" s="297"/>
      <c r="X20" s="297"/>
      <c r="Y20" s="297"/>
      <c r="Z20" s="472"/>
    </row>
    <row r="21" spans="1:26" ht="15" customHeight="1">
      <c r="B21" s="34"/>
      <c r="C21" s="366"/>
      <c r="D21" s="279"/>
      <c r="E21" s="279"/>
      <c r="F21" s="278"/>
      <c r="G21" s="279"/>
      <c r="H21" s="396"/>
      <c r="I21" s="501"/>
      <c r="J21" s="501"/>
      <c r="K21" s="502"/>
      <c r="L21" s="276"/>
      <c r="M21" s="374"/>
      <c r="N21" s="370"/>
      <c r="O21" s="420"/>
      <c r="P21" s="418"/>
      <c r="R21" s="277"/>
      <c r="S21" s="472"/>
      <c r="T21" s="472"/>
      <c r="U21" s="297"/>
      <c r="V21" s="297"/>
      <c r="W21" s="297"/>
      <c r="X21" s="297"/>
      <c r="Y21" s="297"/>
      <c r="Z21" s="472"/>
    </row>
    <row r="22" spans="1:26" ht="15" customHeight="1">
      <c r="B22" s="34"/>
      <c r="C22" s="366"/>
      <c r="D22" s="279"/>
      <c r="E22" s="279"/>
      <c r="F22" s="278"/>
      <c r="G22" s="279"/>
      <c r="H22" s="396"/>
      <c r="I22" s="501"/>
      <c r="J22" s="501"/>
      <c r="K22" s="502"/>
      <c r="L22" s="276"/>
      <c r="M22" s="374"/>
      <c r="N22" s="370"/>
      <c r="O22" s="420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" hidden="1" customHeight="1">
      <c r="B23" s="34"/>
      <c r="C23" s="366"/>
      <c r="D23" s="279"/>
      <c r="E23" s="279"/>
      <c r="F23" s="278"/>
      <c r="G23" s="279"/>
      <c r="H23" s="396"/>
      <c r="I23" s="501"/>
      <c r="J23" s="501"/>
      <c r="K23" s="502"/>
      <c r="L23" s="276"/>
      <c r="M23" s="374"/>
      <c r="N23" s="370"/>
      <c r="O23" s="420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0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420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420"/>
      <c r="P26" s="418"/>
      <c r="R26" s="277"/>
      <c r="S26" s="472"/>
      <c r="T26" s="472"/>
      <c r="U26" s="297"/>
      <c r="V26" s="297"/>
      <c r="W26" s="297"/>
      <c r="X26" s="297"/>
      <c r="Y26" s="297"/>
      <c r="Z26" s="472"/>
    </row>
    <row r="27" spans="1:26" ht="1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420"/>
      <c r="P27" s="418"/>
      <c r="R27" s="277"/>
      <c r="S27" s="472"/>
      <c r="T27" s="472"/>
      <c r="U27" s="297"/>
      <c r="V27" s="297"/>
      <c r="W27" s="297"/>
      <c r="X27" s="297"/>
      <c r="Y27" s="297"/>
      <c r="Z27" s="472"/>
    </row>
    <row r="28" spans="1:26" ht="1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420"/>
      <c r="P28" s="418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7.25" customHeight="1" thickBot="1">
      <c r="B29" s="358"/>
      <c r="C29" s="358"/>
      <c r="D29" s="358"/>
      <c r="E29" s="358"/>
      <c r="F29" s="294"/>
      <c r="G29" s="294"/>
      <c r="H29" s="348"/>
      <c r="I29" s="528"/>
      <c r="J29" s="528"/>
      <c r="K29" s="528"/>
      <c r="L29" s="528"/>
      <c r="M29" s="528"/>
      <c r="N29" s="528"/>
      <c r="O29" s="1"/>
      <c r="P29" s="12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7.25" customHeight="1" thickBot="1">
      <c r="B30" s="489" t="s">
        <v>162</v>
      </c>
      <c r="C30" s="388"/>
      <c r="D30" s="529" t="s">
        <v>35</v>
      </c>
      <c r="E30" s="530"/>
      <c r="F30" s="294"/>
      <c r="G30" s="294"/>
      <c r="H30" s="348"/>
      <c r="I30" s="24" t="s">
        <v>17</v>
      </c>
      <c r="J30" s="25"/>
      <c r="K30" s="26" t="s">
        <v>138</v>
      </c>
      <c r="L30" s="25" t="s">
        <v>37</v>
      </c>
      <c r="M30" s="25" t="s">
        <v>38</v>
      </c>
      <c r="N30" s="27" t="s">
        <v>39</v>
      </c>
      <c r="O30" s="294"/>
      <c r="P30" s="12"/>
      <c r="R30" s="277" t="str">
        <f t="shared" si="0"/>
        <v xml:space="preserve">BRAND 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7.25" customHeight="1">
      <c r="A31" s="28"/>
      <c r="B31" s="541" t="str">
        <f>I31</f>
        <v>CARIB</v>
      </c>
      <c r="C31" s="490">
        <f>[4]Process!D589</f>
        <v>11.9</v>
      </c>
      <c r="D31" s="534">
        <v>11.8</v>
      </c>
      <c r="E31" s="535"/>
      <c r="F31" s="294"/>
      <c r="G31" s="294"/>
      <c r="H31" s="348"/>
      <c r="I31" s="29" t="s">
        <v>6</v>
      </c>
      <c r="J31" s="323"/>
      <c r="K31" s="284">
        <f>COUNTA([4]Brewhouse!$A$595:$A$634)</f>
        <v>40</v>
      </c>
      <c r="L31" s="305">
        <f>AVERAGE([4]Brewhouse!$AU$595:$AU$634)</f>
        <v>99.367816514833734</v>
      </c>
      <c r="M31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AVERAGE([4]Brewhouse!$AU$42:$AU$123,[4]Brewhouse!$AU$125:$AU$188,[4]Brewhouse!$AU$198:$AU$290,[4]Brewhouse!$AU$292:$AU$370,[4]Brewhouse!$AU$372:$AU$439,[4]Brewhouse!$AU$441:$AU$497,[4]Brewhouse!$AU$499:$AU$519,[4]Brewhouse!$AU$521:$AU$593,[4]Brewhouse!$AU$595:$AU$634)</f>
        <v>98.251792850883604</v>
      </c>
      <c r="N31" s="30">
        <v>98</v>
      </c>
      <c r="O31" s="11"/>
      <c r="P31" s="31"/>
      <c r="R31" s="277" t="str">
        <f t="shared" si="0"/>
        <v>CARIB</v>
      </c>
      <c r="S31" s="472">
        <f t="shared" si="1"/>
        <v>11.6</v>
      </c>
      <c r="T31" s="472">
        <f t="shared" si="2"/>
        <v>12</v>
      </c>
      <c r="U31" s="297">
        <f t="shared" si="3"/>
        <v>0</v>
      </c>
      <c r="V31" s="297">
        <f t="shared" si="4"/>
        <v>0.118055555555556</v>
      </c>
      <c r="W31" s="297">
        <f t="shared" si="5"/>
        <v>0.22569444444444445</v>
      </c>
      <c r="X31" s="297">
        <f t="shared" si="6"/>
        <v>0.2638888888888889</v>
      </c>
      <c r="Y31" s="297">
        <f t="shared" si="7"/>
        <v>0</v>
      </c>
      <c r="Z31" s="472">
        <f t="shared" si="8"/>
        <v>60</v>
      </c>
    </row>
    <row r="32" spans="1:26" ht="15" customHeight="1">
      <c r="A32" s="28"/>
      <c r="B32" s="542"/>
      <c r="C32" s="362">
        <f>[4]Process!D590</f>
        <v>11.7</v>
      </c>
      <c r="D32" s="536"/>
      <c r="E32" s="537"/>
      <c r="F32" s="294"/>
      <c r="G32" s="294"/>
      <c r="H32" s="348"/>
      <c r="I32" s="33" t="s">
        <v>9</v>
      </c>
      <c r="J32" s="323">
        <f>AVERAGE(I12:I18)</f>
        <v>98.327041995192999</v>
      </c>
      <c r="K32" s="284">
        <f>COUNTA([3]Brewhouse!$A$327:$A$350)</f>
        <v>24</v>
      </c>
      <c r="L32" s="302">
        <f>AVERAGE([3]Brewhouse!$AS$327:$AS$350)</f>
        <v>99.179036915173228</v>
      </c>
      <c r="M32" s="302">
        <f>AVERAGE([3]Brewhouse!$AS$52:$AS$81,[3]Brewhouse!$AS$83:$AS$124,[3]Brewhouse!$AS$134:$AS$177,[3]Brewhouse!$AS$22:$AS$179,[3]Brewhouse!$AS$214:$AS$249,[3]Brewhouse!$AS$252:$AS$293,[3]Brewhouse!$AS$295:$AS$325,[3]Brewhouse!$AS$327:$AS$350)</f>
        <v>98.20571419721243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7" ht="14.65" customHeight="1">
      <c r="A33" s="28"/>
      <c r="B33" s="542"/>
      <c r="C33" s="362">
        <f>[4]Process!D591</f>
        <v>12.1</v>
      </c>
      <c r="D33" s="538">
        <v>11.79</v>
      </c>
      <c r="E33" s="539"/>
      <c r="F33" s="294"/>
      <c r="G33" s="294"/>
      <c r="H33" s="348"/>
      <c r="I33" s="34" t="s">
        <v>12</v>
      </c>
      <c r="J33" s="323">
        <f>I10</f>
        <v>94.938560144721919</v>
      </c>
      <c r="K33" s="284">
        <f>COUNTA([5]Brewhouse!$A$90:$A$97)</f>
        <v>8</v>
      </c>
      <c r="L33" s="302">
        <f>AVERAGE([5]Brewhouse!$AU$90:$AU$97)</f>
        <v>96.342250509798717</v>
      </c>
      <c r="M33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27" ht="14.65" customHeight="1">
      <c r="A34" s="28"/>
      <c r="B34" s="542"/>
      <c r="C34" s="362">
        <f>[4]Process!D592</f>
        <v>12</v>
      </c>
      <c r="D34" s="540"/>
      <c r="E34" s="537"/>
      <c r="F34" s="294"/>
      <c r="G34" s="294"/>
      <c r="H34" s="348"/>
      <c r="I34" s="22" t="s">
        <v>33</v>
      </c>
      <c r="J34" s="280"/>
      <c r="K34" s="284"/>
      <c r="L34" s="302"/>
      <c r="M34" s="302">
        <f>AVERAGE([6]Brewhouse!$AV$23:$AV$34,[6]Brewhouse!$AV$36,[6]Brewhouse!$AV$38:$AV$52,[6]Brewhouse!$AV$54:$AV$60,[6]Brewhouse!$AV$62:$AV$69,[6]Brewhouse!$AV$71:$AV$78,[6]Brewhouse!$AV$80:$AV$87)</f>
        <v>97.513042763382714</v>
      </c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27" ht="14.65" customHeight="1">
      <c r="A35" s="28"/>
      <c r="B35" s="542"/>
      <c r="C35" s="362">
        <f>[4]Process!D593</f>
        <v>11.6</v>
      </c>
      <c r="D35" s="538">
        <v>11.83</v>
      </c>
      <c r="E35" s="539"/>
      <c r="F35" s="294"/>
      <c r="G35" s="294"/>
      <c r="H35" s="348"/>
      <c r="I35" s="35" t="s">
        <v>29</v>
      </c>
      <c r="J35" s="280"/>
      <c r="K35" s="284"/>
      <c r="L35" s="302"/>
      <c r="M35" s="302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27" ht="14.65" customHeight="1">
      <c r="A36" s="28"/>
      <c r="B36" s="542"/>
      <c r="C36" s="362">
        <f>[4]Process!D594</f>
        <v>11.8</v>
      </c>
      <c r="D36" s="540"/>
      <c r="E36" s="537"/>
      <c r="F36" s="417"/>
      <c r="G36" s="294"/>
      <c r="H36" s="348"/>
      <c r="I36" s="36" t="s">
        <v>15</v>
      </c>
      <c r="J36" s="323"/>
      <c r="K36" s="284"/>
      <c r="L36" s="302"/>
      <c r="M36" s="302">
        <f>AVERAGE([7]Brewhouse!$AT$4:$AT$11,[7]Brewhouse!$AT$13:$AT$16,[7]Brewhouse!$AT$18:$AT$21)</f>
        <v>91.832675391763644</v>
      </c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27" ht="14.65" customHeight="1">
      <c r="A37" s="28"/>
      <c r="B37" s="542"/>
      <c r="C37" s="362">
        <f>[4]Process!D595</f>
        <v>11.7</v>
      </c>
      <c r="D37" s="538">
        <v>11.86</v>
      </c>
      <c r="E37" s="539"/>
      <c r="F37" s="417"/>
      <c r="G37" s="294"/>
      <c r="H37" s="348"/>
      <c r="I37" s="37" t="s">
        <v>16</v>
      </c>
      <c r="J37" s="323"/>
      <c r="K37" s="284">
        <f>COUNTA([8]Brewhouse!$A$84:$A$91)</f>
        <v>8</v>
      </c>
      <c r="L37" s="302">
        <f>AVERAGE([8]Brewhouse!$AY$84:$AY$91)</f>
        <v>97.517044199257398</v>
      </c>
      <c r="M37" s="302">
        <f>AVERAGE([8]Brewhouse!$AY$5:$AY$14,[8]Brewhouse!$AY$16:$AY$23,[8]Brewhouse!$AY$42,[8]Brewhouse!$AY$44:$AY$51,[8]Brewhouse!$AY$53:$AY$64,[8]Brewhouse!$AY$66:$AY$73,[8]Brewhouse!$AY$75:$AY$82,[8]Brewhouse!$AY$84:$AY$91)</f>
        <v>98.050826041639255</v>
      </c>
      <c r="N37" s="30">
        <v>98</v>
      </c>
      <c r="O37" s="11"/>
      <c r="P37" s="31" t="s">
        <v>41</v>
      </c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1:27" ht="14.65" customHeight="1">
      <c r="A38" s="28"/>
      <c r="B38" s="542"/>
      <c r="C38" s="362">
        <f>[4]Process!D596</f>
        <v>11.7</v>
      </c>
      <c r="D38" s="540"/>
      <c r="E38" s="537"/>
      <c r="F38" s="294"/>
      <c r="G38" s="294"/>
      <c r="H38" s="348"/>
      <c r="I38" s="411" t="s">
        <v>158</v>
      </c>
      <c r="J38" s="326"/>
      <c r="K38" s="284"/>
      <c r="L38" s="305"/>
      <c r="M38" s="305"/>
      <c r="N38" s="30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</row>
    <row r="39" spans="1:27" ht="14.65" customHeight="1">
      <c r="A39" s="28"/>
      <c r="B39" s="542"/>
      <c r="C39" s="362"/>
      <c r="D39" s="538"/>
      <c r="E39" s="539"/>
      <c r="F39" s="294"/>
      <c r="G39" s="294"/>
      <c r="H39" s="348"/>
      <c r="I39" s="410" t="s">
        <v>157</v>
      </c>
      <c r="J39" s="326"/>
      <c r="K39" s="284"/>
      <c r="L39" s="305"/>
      <c r="M39" s="305"/>
      <c r="N39" s="30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27" ht="15" customHeight="1" thickBot="1">
      <c r="A40" s="28"/>
      <c r="B40" s="542"/>
      <c r="C40" s="362"/>
      <c r="D40" s="540"/>
      <c r="E40" s="537"/>
      <c r="F40" s="294"/>
      <c r="G40" s="294"/>
      <c r="H40" s="348"/>
      <c r="I40" s="406" t="s">
        <v>156</v>
      </c>
      <c r="J40" s="327"/>
      <c r="K40" s="407"/>
      <c r="L40" s="408"/>
      <c r="M40" s="408"/>
      <c r="N40" s="409">
        <v>98</v>
      </c>
      <c r="O40" s="11"/>
      <c r="P40" s="31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27" ht="15" customHeight="1" thickBot="1">
      <c r="A41" s="28"/>
      <c r="B41" s="542"/>
      <c r="C41" s="349"/>
      <c r="D41" s="534"/>
      <c r="E41" s="535"/>
      <c r="F41" s="294"/>
      <c r="G41" s="294"/>
      <c r="H41" s="348"/>
      <c r="I41" s="1"/>
      <c r="J41" s="39"/>
      <c r="K41" s="404">
        <f>SUM(K31:K40)</f>
        <v>80</v>
      </c>
      <c r="L41" s="405">
        <f>((L31*K31)+(L32*K32)+(L33*K33)+(L34*K34)+(L35*K35)+(K38*L38)+(L36*K36)+(L37*K37)+(L40*K40))/(K41)</f>
        <v>98.823548802874456</v>
      </c>
      <c r="M41" s="405">
        <f>AVERAGE('[9]Jan30th-31st'!$L$42,'[10]Feb 27th-28th'!$L$45,'[11]Mar 31st'!$L$42,'[12]Apr 30th'!$L$41,'[13]May 29th '!$L$35,'[14]June 30th'!$L$32,[15]July31st!$L$36,L41)</f>
        <v>98.00756787294425</v>
      </c>
      <c r="N41" s="40">
        <v>98</v>
      </c>
      <c r="O41" s="11"/>
      <c r="P41" s="31"/>
      <c r="R41" s="277">
        <f t="shared" si="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  <c r="AA41" s="472"/>
    </row>
    <row r="42" spans="1:27" ht="15.75" thickBot="1">
      <c r="B42" s="606"/>
      <c r="C42" s="350"/>
      <c r="D42" s="536"/>
      <c r="E42" s="537"/>
      <c r="F42" s="294"/>
      <c r="G42" s="42"/>
      <c r="H42" s="41"/>
      <c r="I42" s="42"/>
      <c r="J42" s="42"/>
      <c r="K42" s="351"/>
      <c r="L42" s="348"/>
      <c r="M42" s="348"/>
      <c r="N42" s="11"/>
      <c r="O42" s="294"/>
      <c r="P42" s="12"/>
      <c r="R42" s="277">
        <f t="shared" si="0"/>
        <v>0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  <c r="AA42" s="472"/>
    </row>
    <row r="43" spans="1:27" ht="15.75" thickBot="1">
      <c r="B43" s="541" t="str">
        <f>I31</f>
        <v>CARIB</v>
      </c>
      <c r="C43" s="362">
        <f>[4]Process!D598</f>
        <v>12</v>
      </c>
      <c r="D43" s="534">
        <v>12.02</v>
      </c>
      <c r="E43" s="535"/>
      <c r="F43" s="294"/>
      <c r="G43" s="42"/>
      <c r="H43" s="41"/>
      <c r="I43" s="42"/>
      <c r="J43" s="544" t="s">
        <v>129</v>
      </c>
      <c r="K43" s="544"/>
      <c r="L43" s="294"/>
      <c r="M43" s="294"/>
      <c r="N43" s="294"/>
      <c r="O43" s="294"/>
      <c r="P43" s="12"/>
    </row>
    <row r="44" spans="1:27" ht="15.75" thickBot="1">
      <c r="B44" s="542"/>
      <c r="C44" s="362">
        <f>[4]Process!D599</f>
        <v>12</v>
      </c>
      <c r="D44" s="536"/>
      <c r="E44" s="537"/>
      <c r="F44" s="294"/>
      <c r="G44" s="42"/>
      <c r="H44" s="42"/>
      <c r="I44" s="42"/>
      <c r="J44" s="292" t="s">
        <v>17</v>
      </c>
      <c r="K44" s="293"/>
      <c r="L44" s="545" t="s">
        <v>136</v>
      </c>
      <c r="M44" s="545"/>
      <c r="N44" s="546"/>
      <c r="O44" s="294"/>
      <c r="P44" s="12"/>
    </row>
    <row r="45" spans="1:27" ht="15" customHeight="1" thickBot="1">
      <c r="B45" s="542"/>
      <c r="C45" s="349">
        <f>[4]Process!D600</f>
        <v>11.7</v>
      </c>
      <c r="D45" s="538">
        <v>12</v>
      </c>
      <c r="E45" s="539"/>
      <c r="F45" s="294"/>
      <c r="G45" s="42"/>
      <c r="H45" s="42"/>
      <c r="I45" s="42"/>
      <c r="J45" s="287" t="s">
        <v>6</v>
      </c>
      <c r="K45" s="324"/>
      <c r="L45" s="473" t="s">
        <v>37</v>
      </c>
      <c r="M45" s="474" t="s">
        <v>38</v>
      </c>
      <c r="N45" s="474" t="s">
        <v>84</v>
      </c>
      <c r="O45" s="294"/>
      <c r="P45" s="12"/>
    </row>
    <row r="46" spans="1:27" ht="15.75" customHeight="1" thickBot="1">
      <c r="B46" s="542"/>
      <c r="C46" s="349">
        <f>[4]Process!D601</f>
        <v>11.9</v>
      </c>
      <c r="D46" s="540"/>
      <c r="E46" s="537"/>
      <c r="F46" s="294"/>
      <c r="G46" s="42"/>
      <c r="H46" s="42"/>
      <c r="I46" s="42"/>
      <c r="J46" s="345" t="s">
        <v>9</v>
      </c>
      <c r="K46" s="324">
        <v>6</v>
      </c>
      <c r="L46" s="494">
        <f>AVERAGE(K55,'Aug 3rd '!K47,'Aug 2nd'!K52,'Aug 4th'!K47,'Aug 5th'!K51,'Aug 6th'!K51,'Aug 7th'!K51,'Aug 12th'!K51,I55,'Aug 13th '!K51,'Aug 14th&amp;15th'!I55,'Aug 17th '!K55)</f>
        <v>6.2727272727272725</v>
      </c>
      <c r="M46" s="495">
        <f>AVERAGE('[9]Jan30th-31st'!$L$47,L46,'[10]Feb 26th '!$L$39,'[11]Mar 31st'!$L$47,'[12]Apr 30th'!$L$46,'[13]May 29th '!$L$40,'[14]June 30th'!$L$39,[15]July31st!$L$41)</f>
        <v>6.3300129218607477</v>
      </c>
      <c r="N46" s="416">
        <v>9.1999999999999993</v>
      </c>
      <c r="O46" s="294"/>
      <c r="P46" s="12"/>
    </row>
    <row r="47" spans="1:27" ht="15" customHeight="1">
      <c r="B47" s="542"/>
      <c r="C47" s="349">
        <f>[4]Process!D602</f>
        <v>11.8</v>
      </c>
      <c r="D47" s="538">
        <v>12.13</v>
      </c>
      <c r="E47" s="539"/>
      <c r="F47" s="294"/>
      <c r="G47" s="42"/>
      <c r="H47" s="42"/>
      <c r="I47" s="42"/>
      <c r="J47" s="288" t="s">
        <v>40</v>
      </c>
      <c r="K47" s="324">
        <v>1</v>
      </c>
      <c r="L47" s="294"/>
      <c r="M47" s="294"/>
      <c r="N47" s="294"/>
      <c r="O47" s="294"/>
      <c r="P47" s="12"/>
    </row>
    <row r="48" spans="1:27" ht="15" customHeight="1">
      <c r="B48" s="542"/>
      <c r="C48" s="349">
        <f>[4]Process!D603</f>
        <v>11.7</v>
      </c>
      <c r="D48" s="540"/>
      <c r="E48" s="537"/>
      <c r="F48" s="294"/>
      <c r="G48" s="42"/>
      <c r="H48" s="42"/>
      <c r="I48" s="42"/>
      <c r="J48" s="289" t="s">
        <v>33</v>
      </c>
      <c r="K48" s="324"/>
      <c r="L48" s="294"/>
      <c r="M48" s="294"/>
      <c r="N48" s="294"/>
      <c r="O48" s="294"/>
      <c r="P48" s="12"/>
    </row>
    <row r="49" spans="2:57" ht="15">
      <c r="B49" s="542"/>
      <c r="C49" s="349">
        <f>[4]Process!D604</f>
        <v>11.8</v>
      </c>
      <c r="D49" s="538">
        <v>12</v>
      </c>
      <c r="E49" s="539"/>
      <c r="F49" s="294"/>
      <c r="G49" s="42"/>
      <c r="H49" s="42"/>
      <c r="I49" s="42"/>
      <c r="J49" s="290" t="s">
        <v>16</v>
      </c>
      <c r="K49" s="324"/>
      <c r="L49" s="294"/>
      <c r="M49" s="294"/>
      <c r="N49" s="294"/>
      <c r="O49" s="294"/>
      <c r="P49" s="12"/>
      <c r="BC49" s="44"/>
      <c r="BD49" s="44"/>
    </row>
    <row r="50" spans="2:57" ht="15">
      <c r="B50" s="542"/>
      <c r="C50" s="349">
        <f>[4]Process!D605</f>
        <v>12</v>
      </c>
      <c r="D50" s="540"/>
      <c r="E50" s="537"/>
      <c r="F50" s="294"/>
      <c r="G50" s="42"/>
      <c r="H50" s="42"/>
      <c r="I50" s="42"/>
      <c r="J50" s="291" t="s">
        <v>15</v>
      </c>
      <c r="K50" s="324"/>
      <c r="L50" s="294"/>
      <c r="M50" s="294"/>
      <c r="N50" s="294"/>
      <c r="O50" s="294"/>
      <c r="P50" s="12"/>
      <c r="BC50" s="44"/>
      <c r="BD50" s="44"/>
    </row>
    <row r="51" spans="2:57" ht="15">
      <c r="B51" s="542"/>
      <c r="C51" s="349"/>
      <c r="D51" s="538"/>
      <c r="E51" s="539"/>
      <c r="F51" s="294"/>
      <c r="G51" s="42"/>
      <c r="H51" s="42"/>
      <c r="I51" s="42"/>
      <c r="J51" s="291" t="s">
        <v>149</v>
      </c>
      <c r="K51" s="324"/>
      <c r="L51" s="294"/>
      <c r="M51" s="294"/>
      <c r="N51" s="294"/>
      <c r="O51" s="294"/>
      <c r="P51" s="12"/>
      <c r="BC51" s="44"/>
      <c r="BD51" s="44"/>
    </row>
    <row r="52" spans="2:57" ht="15.75" thickBot="1">
      <c r="B52" s="543"/>
      <c r="C52" s="350"/>
      <c r="D52" s="547"/>
      <c r="E52" s="548"/>
      <c r="F52" s="294" t="s">
        <v>166</v>
      </c>
      <c r="G52" s="42"/>
      <c r="H52" s="42"/>
      <c r="I52" s="42"/>
      <c r="J52" s="291" t="s">
        <v>148</v>
      </c>
      <c r="K52" s="324"/>
      <c r="L52" s="294"/>
      <c r="M52" s="294"/>
      <c r="N52" s="294" t="s">
        <v>41</v>
      </c>
      <c r="O52" s="294"/>
      <c r="P52" s="12"/>
      <c r="BC52" s="44"/>
      <c r="BD52" s="44"/>
    </row>
    <row r="53" spans="2:57" ht="17.649999999999999" customHeight="1" thickBot="1">
      <c r="B53" s="312" t="s">
        <v>139</v>
      </c>
      <c r="C53" s="313"/>
      <c r="D53" s="549"/>
      <c r="E53" s="550"/>
      <c r="F53" s="294"/>
      <c r="J53" s="295" t="s">
        <v>134</v>
      </c>
      <c r="K53" s="324"/>
      <c r="L53" s="294"/>
      <c r="M53" s="294"/>
      <c r="N53" s="294"/>
      <c r="O53" s="294"/>
      <c r="P53" s="12"/>
      <c r="BC53" s="44"/>
      <c r="BD53" s="44"/>
    </row>
    <row r="54" spans="2:57" ht="17.649999999999999" customHeight="1">
      <c r="B54" s="363"/>
      <c r="C54" s="364"/>
      <c r="D54" s="365"/>
      <c r="E54" s="365"/>
      <c r="F54" s="294"/>
      <c r="G54" s="42"/>
      <c r="H54" s="42"/>
      <c r="I54" s="42"/>
      <c r="J54" s="295" t="s">
        <v>131</v>
      </c>
      <c r="K54" s="324"/>
      <c r="L54" s="294"/>
      <c r="M54" s="294"/>
      <c r="N54" s="294"/>
      <c r="O54" s="294"/>
      <c r="P54" s="12"/>
      <c r="BC54" s="44"/>
      <c r="BD54" s="44"/>
    </row>
    <row r="55" spans="2:57" ht="15.6" customHeight="1">
      <c r="B55" s="45"/>
      <c r="C55" s="11"/>
      <c r="D55" s="11"/>
      <c r="E55" s="46"/>
      <c r="F55" s="294"/>
      <c r="G55" s="42"/>
      <c r="H55" s="42"/>
      <c r="I55" s="42"/>
      <c r="J55" s="346" t="s">
        <v>130</v>
      </c>
      <c r="K55" s="324">
        <f>SUM(K45:K54)</f>
        <v>7</v>
      </c>
      <c r="L55" s="294"/>
      <c r="M55" s="294"/>
      <c r="N55" s="294"/>
      <c r="O55" s="294"/>
      <c r="P55" s="12"/>
    </row>
    <row r="56" spans="2:57" ht="20.25" customHeight="1">
      <c r="B56" s="15" t="s">
        <v>42</v>
      </c>
      <c r="C56" s="1" t="s">
        <v>43</v>
      </c>
      <c r="D56" s="1"/>
      <c r="E56" s="1"/>
      <c r="F56" s="294"/>
      <c r="G56" s="42"/>
      <c r="H56" s="41"/>
      <c r="I56" s="42"/>
      <c r="L56" s="42"/>
      <c r="N56" s="315"/>
      <c r="P56" s="334"/>
    </row>
    <row r="57" spans="2:57" ht="15" customHeight="1" thickBot="1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1"/>
      <c r="O57" s="48"/>
      <c r="P57" s="49"/>
    </row>
    <row r="58" spans="2:57" ht="15" customHeight="1" thickBot="1">
      <c r="B58" s="551" t="s">
        <v>17</v>
      </c>
      <c r="C58" s="551" t="s">
        <v>44</v>
      </c>
      <c r="D58" s="554" t="s">
        <v>45</v>
      </c>
      <c r="E58" s="519" t="s">
        <v>46</v>
      </c>
      <c r="F58" s="568" t="s">
        <v>47</v>
      </c>
      <c r="G58" s="563" t="s">
        <v>48</v>
      </c>
      <c r="H58" s="551" t="s">
        <v>49</v>
      </c>
      <c r="I58" s="551" t="s">
        <v>50</v>
      </c>
      <c r="J58" s="557" t="s">
        <v>28</v>
      </c>
      <c r="K58" s="517" t="s">
        <v>51</v>
      </c>
      <c r="L58" s="566" t="s">
        <v>52</v>
      </c>
      <c r="M58" s="557" t="s">
        <v>53</v>
      </c>
      <c r="N58" s="13"/>
      <c r="O58" s="13"/>
      <c r="P58" s="50"/>
    </row>
    <row r="59" spans="2:57" ht="28.5" customHeight="1" thickTop="1" thickBot="1">
      <c r="B59" s="552"/>
      <c r="C59" s="553"/>
      <c r="D59" s="555"/>
      <c r="E59" s="556"/>
      <c r="F59" s="569"/>
      <c r="G59" s="564"/>
      <c r="H59" s="552"/>
      <c r="I59" s="552"/>
      <c r="J59" s="558"/>
      <c r="K59" s="565"/>
      <c r="L59" s="567"/>
      <c r="M59" s="558"/>
      <c r="N59" s="13"/>
      <c r="O59" s="13"/>
      <c r="P59" s="50"/>
      <c r="Q59" s="355"/>
      <c r="AB59" s="475">
        <v>43474</v>
      </c>
      <c r="AC59" s="475">
        <v>43475</v>
      </c>
      <c r="AD59" s="475">
        <v>43476</v>
      </c>
      <c r="AE59" s="475">
        <v>43477</v>
      </c>
      <c r="AF59" s="475">
        <v>43478</v>
      </c>
      <c r="AG59" s="475">
        <v>43479</v>
      </c>
      <c r="AH59" s="475">
        <v>43480</v>
      </c>
      <c r="AI59" s="475">
        <v>43481</v>
      </c>
      <c r="AJ59" s="475">
        <v>43482</v>
      </c>
      <c r="AK59" s="475">
        <v>43483</v>
      </c>
      <c r="AL59" s="475">
        <v>43484</v>
      </c>
      <c r="AM59" s="475">
        <v>43485</v>
      </c>
      <c r="AN59" s="475">
        <v>43486</v>
      </c>
      <c r="AO59" s="475">
        <v>43487</v>
      </c>
      <c r="AP59" s="475">
        <v>43488</v>
      </c>
      <c r="AQ59" s="475">
        <v>43489</v>
      </c>
      <c r="AR59" s="475">
        <v>43490</v>
      </c>
      <c r="AS59" s="475">
        <v>43491</v>
      </c>
      <c r="AT59" s="475">
        <v>43492</v>
      </c>
      <c r="AU59" s="475">
        <v>43493</v>
      </c>
      <c r="AV59" s="475">
        <v>43494</v>
      </c>
      <c r="AW59" s="475">
        <v>43495</v>
      </c>
      <c r="AX59" s="475">
        <v>43496</v>
      </c>
    </row>
    <row r="60" spans="2:57" s="54" customFormat="1" ht="36.75" hidden="1" customHeight="1" thickBot="1">
      <c r="B60" s="484" t="str">
        <f>J46</f>
        <v>STAG</v>
      </c>
      <c r="C60" s="479">
        <v>46218</v>
      </c>
      <c r="D60" s="445">
        <f>[35]July_2026!$R$13</f>
        <v>195.67999999999998</v>
      </c>
      <c r="E60" s="443"/>
      <c r="F60" s="444"/>
      <c r="G60" s="444">
        <f>[35]July_2026!$R$17</f>
        <v>184</v>
      </c>
      <c r="H60" s="458"/>
      <c r="I60" s="458"/>
      <c r="J60" s="448" t="s">
        <v>170</v>
      </c>
      <c r="K60" s="449">
        <f>[36]July_2026!$R$25</f>
        <v>0.32280701754385965</v>
      </c>
      <c r="L60" s="457">
        <f>(((D60+E60)-G60)/(D60+E60))*100</f>
        <v>5.9689288634505209</v>
      </c>
      <c r="M60" s="455" t="s">
        <v>171</v>
      </c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[16]January_2019!L5</f>
        <v>0</v>
      </c>
      <c r="AC60" s="57">
        <f>[16]January_2019!M5</f>
        <v>0</v>
      </c>
      <c r="AD60" s="57">
        <f>[16]January_2019!N5</f>
        <v>0</v>
      </c>
      <c r="AE60" s="57">
        <f>[16]January_2019!O5</f>
        <v>0</v>
      </c>
      <c r="AF60" s="57">
        <f>[16]January_2019!P5</f>
        <v>0</v>
      </c>
      <c r="AG60" s="57">
        <f>[16]January_2019!Q5</f>
        <v>0</v>
      </c>
      <c r="AH60" s="57">
        <f>[16]January_2019!R5</f>
        <v>0</v>
      </c>
      <c r="AI60" s="57">
        <f>[16]January_2019!S5</f>
        <v>0</v>
      </c>
      <c r="AJ60" s="57">
        <f>[16]January_2019!T5</f>
        <v>0</v>
      </c>
      <c r="AK60" s="57">
        <f>[16]January_2019!U5</f>
        <v>0</v>
      </c>
      <c r="AL60" s="57">
        <f>[16]January_2019!V5</f>
        <v>0</v>
      </c>
      <c r="AM60" s="57">
        <f>[16]January_2019!W5</f>
        <v>0</v>
      </c>
      <c r="AN60" s="57">
        <f>[16]January_2019!X5</f>
        <v>0</v>
      </c>
      <c r="AO60" s="57">
        <f>[16]January_2019!Y5</f>
        <v>0</v>
      </c>
      <c r="AP60" s="57">
        <f>[16]January_2019!Z5</f>
        <v>0</v>
      </c>
      <c r="AQ60" s="57">
        <f>[16]January_2019!AA5</f>
        <v>0</v>
      </c>
      <c r="AR60" s="57">
        <f>[16]January_2019!AB5</f>
        <v>0</v>
      </c>
      <c r="AS60" s="57">
        <f>[16]January_2019!AC5</f>
        <v>0</v>
      </c>
      <c r="AT60" s="57">
        <f>[16]January_2019!AD5</f>
        <v>0</v>
      </c>
      <c r="AU60" s="57">
        <f>[16]January_2019!AE5</f>
        <v>0</v>
      </c>
      <c r="AV60" s="57">
        <f>[16]January_2019!AF5</f>
        <v>0</v>
      </c>
      <c r="AW60" s="57">
        <f>[16]January_2019!AG5</f>
        <v>0</v>
      </c>
      <c r="AX60" s="277">
        <f>[16]January_2019!AH5</f>
        <v>0</v>
      </c>
      <c r="AY60" s="277"/>
      <c r="AZ60" s="277"/>
      <c r="BA60" s="277"/>
      <c r="BB60" s="277"/>
      <c r="BC60" s="277"/>
      <c r="BD60" s="277"/>
      <c r="BE60" s="277"/>
    </row>
    <row r="61" spans="2:57" s="54" customFormat="1" ht="14.25" hidden="1" customHeight="1" thickBot="1">
      <c r="B61" s="480"/>
      <c r="C61" s="479"/>
      <c r="D61" s="442"/>
      <c r="E61" s="443"/>
      <c r="F61" s="444"/>
      <c r="G61" s="445"/>
      <c r="H61" s="458"/>
      <c r="I61" s="458"/>
      <c r="J61" s="476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>
        <f>[16]January_2019!L6</f>
        <v>0</v>
      </c>
      <c r="AC61" s="57">
        <f>[16]January_2019!M6</f>
        <v>0</v>
      </c>
      <c r="AD61" s="57">
        <f>[16]January_2019!N6</f>
        <v>0</v>
      </c>
      <c r="AE61" s="57">
        <f>[16]January_2019!O6</f>
        <v>0</v>
      </c>
      <c r="AF61" s="57">
        <f>[16]January_2019!P6</f>
        <v>0</v>
      </c>
      <c r="AG61" s="57">
        <f>[16]January_2019!Q6</f>
        <v>0</v>
      </c>
      <c r="AH61" s="57">
        <f>[16]January_2019!R6</f>
        <v>0</v>
      </c>
      <c r="AI61" s="57">
        <f>[16]January_2019!S6</f>
        <v>0</v>
      </c>
      <c r="AJ61" s="57">
        <f>[16]January_2019!T6</f>
        <v>0</v>
      </c>
      <c r="AK61" s="57">
        <f>[16]January_2019!U6</f>
        <v>0</v>
      </c>
      <c r="AL61" s="57">
        <f>[16]January_2019!V6</f>
        <v>0</v>
      </c>
      <c r="AM61" s="57">
        <f>[16]January_2019!W6</f>
        <v>0</v>
      </c>
      <c r="AN61" s="57">
        <f>[16]January_2019!X6</f>
        <v>0</v>
      </c>
      <c r="AO61" s="57">
        <f>[16]January_2019!Y6</f>
        <v>0</v>
      </c>
      <c r="AP61" s="57">
        <f>[16]January_2019!Z6</f>
        <v>0</v>
      </c>
      <c r="AQ61" s="57">
        <f>[16]January_2019!AA6</f>
        <v>0</v>
      </c>
      <c r="AR61" s="57">
        <f>[16]January_2019!AB6</f>
        <v>0</v>
      </c>
      <c r="AS61" s="57">
        <f>[16]January_2019!AC6</f>
        <v>0</v>
      </c>
      <c r="AT61" s="57">
        <f>[16]January_2019!AD6</f>
        <v>0</v>
      </c>
      <c r="AU61" s="57">
        <f>[16]January_2019!AE6</f>
        <v>0</v>
      </c>
      <c r="AV61" s="57">
        <f>[16]January_2019!AF6</f>
        <v>0</v>
      </c>
      <c r="AW61" s="57">
        <f>[16]January_2019!AG6</f>
        <v>0</v>
      </c>
      <c r="AX61" s="277">
        <f>[16]January_2019!AH6</f>
        <v>0</v>
      </c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 thickBot="1">
      <c r="B62" s="456" t="str">
        <f>B73</f>
        <v>CARIB</v>
      </c>
      <c r="C62" s="479">
        <v>46252</v>
      </c>
      <c r="D62" s="442">
        <f>[35]August_2026!$U$3</f>
        <v>405.29999999999995</v>
      </c>
      <c r="E62" s="443"/>
      <c r="F62" s="444"/>
      <c r="G62" s="444">
        <f>[35]August_2026!$U$7</f>
        <v>377.29999999999995</v>
      </c>
      <c r="H62" s="458"/>
      <c r="I62" s="458"/>
      <c r="J62" s="448" t="s">
        <v>190</v>
      </c>
      <c r="K62" s="449">
        <f>[36]August_2026!$U$18</f>
        <v>0.33096491228070174</v>
      </c>
      <c r="L62" s="457">
        <f>(((D62+E62)-G62)/(D62+E62))*100</f>
        <v>6.9084628670120916</v>
      </c>
      <c r="M62" s="455" t="s">
        <v>176</v>
      </c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[16]January_2019!L7</f>
        <v>285.8</v>
      </c>
      <c r="AC62" s="57">
        <f>[16]January_2019!M7</f>
        <v>508.1</v>
      </c>
      <c r="AD62" s="57">
        <f>[16]January_2019!N7</f>
        <v>0</v>
      </c>
      <c r="AE62" s="57">
        <f>[16]January_2019!O7</f>
        <v>0</v>
      </c>
      <c r="AF62" s="57">
        <f>[16]January_2019!P7</f>
        <v>109.56666666666666</v>
      </c>
      <c r="AG62" s="57">
        <f>[16]January_2019!Q7</f>
        <v>297.64999999999998</v>
      </c>
      <c r="AH62" s="57">
        <f>[16]January_2019!R7</f>
        <v>122.3</v>
      </c>
      <c r="AI62" s="57">
        <f>[16]January_2019!S7</f>
        <v>0</v>
      </c>
      <c r="AJ62" s="57">
        <f>[16]January_2019!T7</f>
        <v>294.7</v>
      </c>
      <c r="AK62" s="57">
        <f>[16]January_2019!U7</f>
        <v>280.5</v>
      </c>
      <c r="AL62" s="57">
        <f>[16]January_2019!V7</f>
        <v>0</v>
      </c>
      <c r="AM62" s="57">
        <f>[16]January_2019!W7</f>
        <v>0</v>
      </c>
      <c r="AN62" s="57">
        <f>[16]January_2019!X7</f>
        <v>188.25</v>
      </c>
      <c r="AO62" s="57">
        <f>[16]January_2019!Y7</f>
        <v>295.7</v>
      </c>
      <c r="AP62" s="57">
        <f>[16]January_2019!Z7</f>
        <v>257.8</v>
      </c>
      <c r="AQ62" s="57">
        <f>[16]January_2019!AA7</f>
        <v>291.2</v>
      </c>
      <c r="AR62" s="57">
        <f>[16]January_2019!AB7</f>
        <v>187</v>
      </c>
      <c r="AS62" s="57">
        <f>[16]January_2019!AC7</f>
        <v>0</v>
      </c>
      <c r="AT62" s="57">
        <f>[16]January_2019!AD7</f>
        <v>0</v>
      </c>
      <c r="AU62" s="57">
        <f>[16]January_2019!AE7</f>
        <v>485.1</v>
      </c>
      <c r="AV62" s="57">
        <f>[16]January_2019!AF7</f>
        <v>171.55</v>
      </c>
      <c r="AW62" s="57">
        <f>[16]January_2019!AG7</f>
        <v>423.8</v>
      </c>
      <c r="AX62" s="277">
        <f>[16]January_2019!AH7</f>
        <v>0</v>
      </c>
      <c r="AY62" s="277"/>
      <c r="AZ62" s="277"/>
      <c r="BA62" s="277"/>
      <c r="BB62" s="277"/>
      <c r="BC62" s="277"/>
      <c r="BD62" s="277"/>
      <c r="BE62" s="277"/>
    </row>
    <row r="63" spans="2:57" s="54" customFormat="1" ht="18.600000000000001" customHeight="1" thickBot="1">
      <c r="B63" s="478"/>
      <c r="C63" s="430"/>
      <c r="D63" s="431"/>
      <c r="E63" s="432"/>
      <c r="F63" s="433"/>
      <c r="G63" s="434"/>
      <c r="H63" s="458"/>
      <c r="I63" s="458"/>
      <c r="J63" s="451"/>
      <c r="K63" s="436"/>
      <c r="L63" s="452"/>
      <c r="M63" s="421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8.65" customHeight="1" thickBot="1">
      <c r="B64" s="498" t="str">
        <f>J45</f>
        <v>CARIB</v>
      </c>
      <c r="C64" s="479">
        <v>46253</v>
      </c>
      <c r="D64" s="442">
        <f>[35]August_2026!$V$3</f>
        <v>405</v>
      </c>
      <c r="E64" s="443"/>
      <c r="F64" s="444"/>
      <c r="G64" s="445">
        <f>[35]August_2026!$V$7</f>
        <v>376.8</v>
      </c>
      <c r="H64" s="458"/>
      <c r="I64" s="458"/>
      <c r="J64" s="448" t="s">
        <v>191</v>
      </c>
      <c r="K64" s="459">
        <f>[36]August_2026!$V$18</f>
        <v>0.66105263157894734</v>
      </c>
      <c r="L64" s="457">
        <f>(((D64+E64)-G64)/(D64+E64))*100</f>
        <v>6.9629629629629601</v>
      </c>
      <c r="M64" s="455" t="s">
        <v>173</v>
      </c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15">
      <c r="B65" s="453"/>
      <c r="C65" s="430"/>
      <c r="D65" s="431"/>
      <c r="E65" s="432"/>
      <c r="F65" s="433"/>
      <c r="G65" s="434"/>
      <c r="H65" s="435"/>
      <c r="I65" s="450"/>
      <c r="J65" s="451"/>
      <c r="K65" s="436"/>
      <c r="L65" s="452"/>
      <c r="M65" s="421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hidden="1" customHeight="1" thickBot="1">
      <c r="B66" s="482"/>
      <c r="C66" s="479"/>
      <c r="D66" s="442"/>
      <c r="E66" s="443"/>
      <c r="F66" s="444"/>
      <c r="G66" s="445"/>
      <c r="H66" s="446"/>
      <c r="I66" s="447"/>
      <c r="J66" s="448"/>
      <c r="K66" s="449"/>
      <c r="L66" s="457"/>
      <c r="M66" s="45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16.5" hidden="1" customHeight="1" thickBot="1">
      <c r="B67" s="437"/>
      <c r="C67" s="423"/>
      <c r="D67" s="424"/>
      <c r="E67" s="425"/>
      <c r="F67" s="426"/>
      <c r="G67" s="427"/>
      <c r="H67" s="428"/>
      <c r="I67" s="438"/>
      <c r="J67" s="439"/>
      <c r="K67" s="429"/>
      <c r="L67" s="440"/>
      <c r="M67" s="422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415"/>
      <c r="AC67" s="415"/>
      <c r="AD67" s="415"/>
      <c r="AE67" s="415"/>
      <c r="AF67" s="415"/>
      <c r="AG67" s="415"/>
      <c r="AH67" s="415"/>
      <c r="AI67" s="415"/>
      <c r="AJ67" s="415"/>
      <c r="AK67" s="415"/>
      <c r="AL67" s="415"/>
      <c r="AM67" s="415"/>
      <c r="AN67" s="415"/>
      <c r="AO67" s="415"/>
      <c r="AP67" s="415"/>
      <c r="AQ67" s="415"/>
      <c r="AR67" s="415"/>
      <c r="AS67" s="415"/>
      <c r="AT67" s="415"/>
      <c r="AU67" s="415"/>
      <c r="AV67" s="415"/>
      <c r="AW67" s="415"/>
    </row>
    <row r="68" spans="2:57" s="54" customFormat="1" ht="37.15" hidden="1" customHeight="1" thickBot="1">
      <c r="B68" s="456"/>
      <c r="C68" s="441"/>
      <c r="D68" s="442"/>
      <c r="E68" s="443"/>
      <c r="F68" s="444"/>
      <c r="G68" s="445"/>
      <c r="H68" s="446"/>
      <c r="I68" s="447"/>
      <c r="J68" s="448"/>
      <c r="K68" s="449"/>
      <c r="L68" s="457"/>
      <c r="M68" s="454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37.15" customHeight="1">
      <c r="B69" s="466"/>
      <c r="C69" s="430"/>
      <c r="D69" s="460"/>
      <c r="E69" s="461"/>
      <c r="F69" s="462"/>
      <c r="G69" s="460"/>
      <c r="H69" s="463"/>
      <c r="I69" s="463"/>
      <c r="J69" s="463"/>
      <c r="K69" s="464"/>
      <c r="L69" s="465"/>
      <c r="M69" s="50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ht="18" customHeight="1" thickBot="1">
      <c r="B70" s="59"/>
      <c r="C70" s="30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 t="s">
        <v>41</v>
      </c>
      <c r="O70" s="56"/>
      <c r="P70" s="60"/>
    </row>
    <row r="71" spans="2:57" ht="15.75" thickBot="1">
      <c r="B71" s="559" t="s">
        <v>55</v>
      </c>
      <c r="C71" s="560"/>
      <c r="D71" s="560"/>
      <c r="E71" s="560"/>
      <c r="F71" s="561"/>
      <c r="G71" s="559" t="s">
        <v>56</v>
      </c>
      <c r="H71" s="560"/>
      <c r="I71" s="560"/>
      <c r="J71" s="561"/>
      <c r="K71" s="559" t="s">
        <v>51</v>
      </c>
      <c r="L71" s="560"/>
      <c r="M71" s="560"/>
      <c r="N71" s="562"/>
      <c r="O71" s="56"/>
      <c r="P71" s="50"/>
    </row>
    <row r="72" spans="2:57" ht="15">
      <c r="B72" s="61" t="s">
        <v>17</v>
      </c>
      <c r="C72" s="62" t="s">
        <v>36</v>
      </c>
      <c r="D72" s="62" t="s">
        <v>37</v>
      </c>
      <c r="E72" s="62" t="s">
        <v>38</v>
      </c>
      <c r="F72" s="63" t="s">
        <v>39</v>
      </c>
      <c r="G72" s="62" t="s">
        <v>36</v>
      </c>
      <c r="H72" s="62" t="s">
        <v>37</v>
      </c>
      <c r="I72" s="62" t="s">
        <v>38</v>
      </c>
      <c r="J72" s="63" t="s">
        <v>39</v>
      </c>
      <c r="K72" s="62"/>
      <c r="L72" s="62" t="s">
        <v>37</v>
      </c>
      <c r="M72" s="62" t="s">
        <v>38</v>
      </c>
      <c r="N72" s="63" t="s">
        <v>39</v>
      </c>
      <c r="O72" s="56"/>
      <c r="P72" s="64"/>
    </row>
    <row r="73" spans="2:57" ht="15">
      <c r="B73" s="29" t="s">
        <v>6</v>
      </c>
      <c r="C73" s="65">
        <f>AVERAGE(L62,L64)</f>
        <v>6.9357129149875263</v>
      </c>
      <c r="D73" s="76">
        <v>5.3133139026063532</v>
      </c>
      <c r="E73" s="76">
        <v>6.3624607250250778</v>
      </c>
      <c r="F73" s="66">
        <v>4.8</v>
      </c>
      <c r="G73" s="65">
        <f>AVERAGE([35]August_2026!$U$11,[35]August_2026!$V$11)</f>
        <v>6.1856104677325003</v>
      </c>
      <c r="H73" s="477">
        <v>5.2672697698460524</v>
      </c>
      <c r="I73" s="477">
        <v>6.6136922654103216</v>
      </c>
      <c r="J73" s="66">
        <v>4.8</v>
      </c>
      <c r="K73" s="67">
        <f>AVERAGE(K62,K64)</f>
        <v>0.49600877192982451</v>
      </c>
      <c r="L73" s="194">
        <v>0.45696509793001017</v>
      </c>
      <c r="M73" s="194">
        <v>0.52939031369845568</v>
      </c>
      <c r="N73" s="68">
        <v>1</v>
      </c>
      <c r="O73" s="56"/>
      <c r="P73" s="69"/>
    </row>
    <row r="74" spans="2:57" ht="15">
      <c r="B74" s="33" t="s">
        <v>9</v>
      </c>
      <c r="C74" s="65"/>
      <c r="D74" s="76">
        <v>8.149157822996802</v>
      </c>
      <c r="E74" s="76">
        <v>5.9588019679168145</v>
      </c>
      <c r="F74" s="66">
        <v>4.8</v>
      </c>
      <c r="G74" s="65"/>
      <c r="H74" s="76">
        <v>7.9908276292027418</v>
      </c>
      <c r="I74" s="76">
        <v>5.9758007539049789</v>
      </c>
      <c r="J74" s="66">
        <v>4.8</v>
      </c>
      <c r="K74" s="67"/>
      <c r="L74" s="194">
        <v>0.80232456140350883</v>
      </c>
      <c r="M74" s="194">
        <v>0.7076224231770567</v>
      </c>
      <c r="N74" s="68">
        <v>1</v>
      </c>
      <c r="P74" s="69"/>
    </row>
    <row r="75" spans="2:57" ht="15">
      <c r="B75" s="34" t="s">
        <v>40</v>
      </c>
      <c r="C75" s="65"/>
      <c r="D75" s="76">
        <v>8.0132764343290681</v>
      </c>
      <c r="E75" s="76">
        <v>11.085360064780945</v>
      </c>
      <c r="F75" s="66">
        <v>5.5</v>
      </c>
      <c r="G75" s="65"/>
      <c r="H75" s="76">
        <v>7.261998133908862</v>
      </c>
      <c r="I75" s="76">
        <v>11.847386208595987</v>
      </c>
      <c r="J75" s="66">
        <v>5.5</v>
      </c>
      <c r="K75" s="67"/>
      <c r="L75" s="194">
        <v>0.68070175438596492</v>
      </c>
      <c r="M75" s="194">
        <v>0.37172629490392645</v>
      </c>
      <c r="N75" s="68">
        <v>1</v>
      </c>
      <c r="P75" s="69"/>
    </row>
    <row r="76" spans="2:57" ht="15">
      <c r="B76" s="22" t="s">
        <v>33</v>
      </c>
      <c r="C76" s="65"/>
      <c r="D76" s="76"/>
      <c r="E76" s="76">
        <v>4.8685538193023836</v>
      </c>
      <c r="F76" s="66">
        <v>3.3</v>
      </c>
      <c r="G76" s="65"/>
      <c r="H76" s="76"/>
      <c r="I76" s="76">
        <v>5.0921772905826597</v>
      </c>
      <c r="J76" s="66">
        <v>3.3</v>
      </c>
      <c r="K76" s="67"/>
      <c r="L76" s="194"/>
      <c r="M76" s="194">
        <v>0.79040935672514623</v>
      </c>
      <c r="N76" s="68">
        <v>1</v>
      </c>
      <c r="P76" s="69"/>
    </row>
    <row r="77" spans="2:57" ht="15">
      <c r="B77" s="35" t="s">
        <v>164</v>
      </c>
      <c r="C77" s="65"/>
      <c r="D77" s="76"/>
      <c r="E77" s="76"/>
      <c r="F77" s="66">
        <v>3.3</v>
      </c>
      <c r="G77" s="282"/>
      <c r="H77" s="76"/>
      <c r="I77" s="76"/>
      <c r="J77" s="66">
        <v>3</v>
      </c>
      <c r="K77" s="67"/>
      <c r="L77" s="194"/>
      <c r="M77" s="194"/>
      <c r="N77" s="68">
        <v>1</v>
      </c>
      <c r="P77" s="69"/>
    </row>
    <row r="78" spans="2:57" ht="15">
      <c r="B78" s="36" t="s">
        <v>15</v>
      </c>
      <c r="C78" s="65"/>
      <c r="D78" s="76"/>
      <c r="E78" s="76">
        <v>6.0400197628458603</v>
      </c>
      <c r="F78" s="70">
        <v>5.5</v>
      </c>
      <c r="G78" s="65"/>
      <c r="H78" s="76"/>
      <c r="I78" s="76">
        <v>8.2405787675951316</v>
      </c>
      <c r="J78" s="66">
        <v>5.5</v>
      </c>
      <c r="K78" s="67"/>
      <c r="L78" s="194"/>
      <c r="M78" s="194">
        <v>0.78491228070175445</v>
      </c>
      <c r="N78" s="68">
        <v>1</v>
      </c>
      <c r="P78" s="69"/>
    </row>
    <row r="79" spans="2:57" ht="15">
      <c r="B79" s="37" t="s">
        <v>16</v>
      </c>
      <c r="C79" s="483"/>
      <c r="D79" s="76">
        <v>2.3312883435582821</v>
      </c>
      <c r="E79" s="76">
        <v>3.4897129331795727</v>
      </c>
      <c r="F79" s="66">
        <v>3.3</v>
      </c>
      <c r="G79" s="282"/>
      <c r="H79" s="76">
        <v>2.9668764888279751</v>
      </c>
      <c r="I79" s="76">
        <v>4.7322074825777003</v>
      </c>
      <c r="J79" s="66">
        <v>3.3</v>
      </c>
      <c r="K79" s="67"/>
      <c r="L79" s="194">
        <v>1.3964912280701753</v>
      </c>
      <c r="M79" s="194">
        <v>0.9346464646464645</v>
      </c>
      <c r="N79" s="71">
        <v>1</v>
      </c>
      <c r="P79" s="69"/>
    </row>
    <row r="80" spans="2:57" ht="15.75" thickBot="1">
      <c r="B80" s="38" t="s">
        <v>163</v>
      </c>
      <c r="C80" s="65"/>
      <c r="D80" s="76"/>
      <c r="E80" s="76"/>
      <c r="F80" s="66">
        <v>7.5</v>
      </c>
      <c r="G80" s="282"/>
      <c r="H80" s="76"/>
      <c r="I80" s="76"/>
      <c r="J80" s="66">
        <v>7.5</v>
      </c>
      <c r="K80" s="67"/>
      <c r="L80" s="194"/>
      <c r="M80" s="194"/>
      <c r="N80" s="71">
        <v>1</v>
      </c>
      <c r="P80" s="69"/>
    </row>
    <row r="81" spans="2:16" ht="15.75" thickBot="1">
      <c r="B81" s="414" t="s">
        <v>161</v>
      </c>
      <c r="C81" s="65"/>
      <c r="D81" s="76"/>
      <c r="E81" s="76"/>
      <c r="F81" s="66">
        <v>4.8</v>
      </c>
      <c r="G81" s="282"/>
      <c r="H81" s="76"/>
      <c r="I81" s="76"/>
      <c r="J81" s="66">
        <v>4.8</v>
      </c>
      <c r="K81" s="67"/>
      <c r="L81" s="194"/>
      <c r="M81" s="194"/>
      <c r="N81" s="71">
        <v>1</v>
      </c>
      <c r="O81" s="74"/>
      <c r="P81" s="75"/>
    </row>
    <row r="82" spans="2:16" ht="15">
      <c r="D82" s="76">
        <v>5.7292306901973671</v>
      </c>
      <c r="E82" s="76">
        <v>6.2653212142736416</v>
      </c>
      <c r="F82" s="341">
        <v>5.5</v>
      </c>
      <c r="H82" s="76">
        <v>5.6222103107515169</v>
      </c>
      <c r="I82" s="76">
        <v>6.6637856681462466</v>
      </c>
      <c r="J82" s="341">
        <v>5.5</v>
      </c>
      <c r="L82" s="194">
        <v>0.59957907589486537</v>
      </c>
      <c r="M82" s="194">
        <v>0.6058277169597831</v>
      </c>
      <c r="N82" s="386">
        <v>1</v>
      </c>
    </row>
  </sheetData>
  <mergeCells count="51">
    <mergeCell ref="M58:M59"/>
    <mergeCell ref="B71:F71"/>
    <mergeCell ref="G71:J71"/>
    <mergeCell ref="K71:N71"/>
    <mergeCell ref="G58:G59"/>
    <mergeCell ref="H58:H59"/>
    <mergeCell ref="I58:I59"/>
    <mergeCell ref="J58:J59"/>
    <mergeCell ref="K58:K59"/>
    <mergeCell ref="L58:L59"/>
    <mergeCell ref="F58:F59"/>
    <mergeCell ref="D53:E53"/>
    <mergeCell ref="B58:B59"/>
    <mergeCell ref="C58:C59"/>
    <mergeCell ref="D58:D59"/>
    <mergeCell ref="E58:E59"/>
    <mergeCell ref="B43:B52"/>
    <mergeCell ref="D43:E44"/>
    <mergeCell ref="J43:K43"/>
    <mergeCell ref="L44:N44"/>
    <mergeCell ref="D45:E46"/>
    <mergeCell ref="D47:E48"/>
    <mergeCell ref="D49:E50"/>
    <mergeCell ref="D51:E52"/>
    <mergeCell ref="I29:N29"/>
    <mergeCell ref="D30:E30"/>
    <mergeCell ref="B31:B42"/>
    <mergeCell ref="D31:E32"/>
    <mergeCell ref="D33:E34"/>
    <mergeCell ref="D35:E36"/>
    <mergeCell ref="D37:E38"/>
    <mergeCell ref="D39:E40"/>
    <mergeCell ref="D41:E4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3:B54">
    <cfRule type="cellIs" dxfId="1930" priority="114" operator="notBetween">
      <formula>#REF!</formula>
      <formula>#REF!</formula>
    </cfRule>
  </conditionalFormatting>
  <conditionalFormatting sqref="C57">
    <cfRule type="cellIs" dxfId="1929" priority="197" stopIfTrue="1" operator="greaterThan">
      <formula>100</formula>
    </cfRule>
    <cfRule type="cellIs" dxfId="1928" priority="196" stopIfTrue="1" operator="lessThan">
      <formula>96</formula>
    </cfRule>
  </conditionalFormatting>
  <conditionalFormatting sqref="C73:C74">
    <cfRule type="cellIs" dxfId="1927" priority="77" stopIfTrue="1" operator="lessThanOrEqual">
      <formula>0</formula>
    </cfRule>
    <cfRule type="cellIs" dxfId="1926" priority="78" stopIfTrue="1" operator="greaterThan">
      <formula>$F73</formula>
    </cfRule>
    <cfRule type="cellIs" dxfId="1925" priority="79" stopIfTrue="1" operator="lessThanOrEqual">
      <formula>0</formula>
    </cfRule>
    <cfRule type="cellIs" dxfId="1924" priority="76" stopIfTrue="1" operator="greaterThan">
      <formula>$F73</formula>
    </cfRule>
  </conditionalFormatting>
  <conditionalFormatting sqref="C75:C77 C79:C81">
    <cfRule type="cellIs" dxfId="1923" priority="86" stopIfTrue="1" operator="greaterThan">
      <formula>$F78</formula>
    </cfRule>
  </conditionalFormatting>
  <conditionalFormatting sqref="C75:C77">
    <cfRule type="cellIs" dxfId="1922" priority="87" stopIfTrue="1" operator="lessThanOrEqual">
      <formula>0</formula>
    </cfRule>
  </conditionalFormatting>
  <conditionalFormatting sqref="C78">
    <cfRule type="cellIs" dxfId="1921" priority="198" stopIfTrue="1" operator="greaterThan">
      <formula>$F73</formula>
    </cfRule>
    <cfRule type="cellIs" dxfId="1920" priority="201" stopIfTrue="1" operator="lessThanOrEqual">
      <formula>0</formula>
    </cfRule>
    <cfRule type="cellIs" dxfId="1919" priority="200" stopIfTrue="1" operator="greaterThan">
      <formula>$F73</formula>
    </cfRule>
    <cfRule type="cellIs" dxfId="1918" priority="199" stopIfTrue="1" operator="lessThanOrEqual">
      <formula>0</formula>
    </cfRule>
  </conditionalFormatting>
  <conditionalFormatting sqref="C79:C81">
    <cfRule type="cellIs" dxfId="1917" priority="88" stopIfTrue="1" operator="lessThanOrEqual">
      <formula>0</formula>
    </cfRule>
  </conditionalFormatting>
  <conditionalFormatting sqref="C84:C88">
    <cfRule type="cellIs" dxfId="1916" priority="188" stopIfTrue="1" operator="lessThanOrEqual">
      <formula>0</formula>
    </cfRule>
  </conditionalFormatting>
  <conditionalFormatting sqref="C85:C88">
    <cfRule type="cellIs" dxfId="1915" priority="187" stopIfTrue="1" operator="greaterThan">
      <formula>$F$84</formula>
    </cfRule>
  </conditionalFormatting>
  <conditionalFormatting sqref="C90">
    <cfRule type="cellIs" dxfId="1914" priority="189" stopIfTrue="1" operator="greaterThan">
      <formula>$F$84</formula>
    </cfRule>
    <cfRule type="cellIs" dxfId="1913" priority="190" stopIfTrue="1" operator="lessThanOrEqual">
      <formula>0</formula>
    </cfRule>
  </conditionalFormatting>
  <conditionalFormatting sqref="C78:D78">
    <cfRule type="cellIs" dxfId="1912" priority="75" stopIfTrue="1" operator="lessThanOrEqual">
      <formula>0</formula>
    </cfRule>
    <cfRule type="cellIs" dxfId="1911" priority="74" stopIfTrue="1" operator="greaterThan">
      <formula>$J78</formula>
    </cfRule>
  </conditionalFormatting>
  <conditionalFormatting sqref="C84:D84 D86:D92">
    <cfRule type="cellIs" dxfId="1910" priority="182" stopIfTrue="1" operator="greaterThan">
      <formula>4.5</formula>
    </cfRule>
  </conditionalFormatting>
  <conditionalFormatting sqref="D53:D54">
    <cfRule type="cellIs" dxfId="1909" priority="115" operator="notBetween">
      <formula>#REF!</formula>
      <formula>#REF!</formula>
    </cfRule>
  </conditionalFormatting>
  <conditionalFormatting sqref="D73:D77 D79:D80">
    <cfRule type="cellIs" dxfId="1908" priority="85" stopIfTrue="1" operator="lessThanOrEqual">
      <formula>0</formula>
    </cfRule>
  </conditionalFormatting>
  <conditionalFormatting sqref="D73:D77 D79:D82">
    <cfRule type="cellIs" dxfId="1907" priority="82" stopIfTrue="1" operator="greaterThan">
      <formula>$F73</formula>
    </cfRule>
    <cfRule type="cellIs" dxfId="1906" priority="81" stopIfTrue="1" operator="lessThanOrEqual">
      <formula>0</formula>
    </cfRule>
  </conditionalFormatting>
  <conditionalFormatting sqref="D81:D82">
    <cfRule type="cellIs" dxfId="1905" priority="83" stopIfTrue="1" operator="lessThanOrEqual">
      <formula>0</formula>
    </cfRule>
  </conditionalFormatting>
  <conditionalFormatting sqref="D82">
    <cfRule type="cellIs" dxfId="1904" priority="84" stopIfTrue="1" operator="lessThanOrEqual">
      <formula>0</formula>
    </cfRule>
  </conditionalFormatting>
  <conditionalFormatting sqref="D84 D86:D92">
    <cfRule type="cellIs" dxfId="1903" priority="183" stopIfTrue="1" operator="lessThanOrEqual">
      <formula>0</formula>
    </cfRule>
  </conditionalFormatting>
  <conditionalFormatting sqref="D85">
    <cfRule type="cellIs" dxfId="1902" priority="175" stopIfTrue="1" operator="lessThanOrEqual">
      <formula>0</formula>
    </cfRule>
    <cfRule type="cellIs" dxfId="1901" priority="174" stopIfTrue="1" operator="greaterThan">
      <formula>$F$84</formula>
    </cfRule>
  </conditionalFormatting>
  <conditionalFormatting sqref="E10:E28">
    <cfRule type="cellIs" dxfId="1900" priority="7" operator="lessThan">
      <formula>48</formula>
    </cfRule>
  </conditionalFormatting>
  <conditionalFormatting sqref="E56 E57:F57">
    <cfRule type="cellIs" dxfId="1899" priority="179" stopIfTrue="1" operator="greaterThan">
      <formula>100</formula>
    </cfRule>
  </conditionalFormatting>
  <conditionalFormatting sqref="E57">
    <cfRule type="cellIs" dxfId="1898" priority="177" stopIfTrue="1" operator="greaterThan">
      <formula>100</formula>
    </cfRule>
    <cfRule type="cellIs" dxfId="1897" priority="176" stopIfTrue="1" operator="lessThan">
      <formula>96.8</formula>
    </cfRule>
  </conditionalFormatting>
  <conditionalFormatting sqref="E73:E81">
    <cfRule type="cellIs" dxfId="1896" priority="47" stopIfTrue="1" operator="lessThanOrEqual">
      <formula>0</formula>
    </cfRule>
  </conditionalFormatting>
  <conditionalFormatting sqref="E73:E82">
    <cfRule type="cellIs" dxfId="1895" priority="48" stopIfTrue="1" operator="greaterThan">
      <formula>$F73</formula>
    </cfRule>
    <cfRule type="cellIs" dxfId="1894" priority="49" stopIfTrue="1" operator="lessThanOrEqual">
      <formula>0</formula>
    </cfRule>
  </conditionalFormatting>
  <conditionalFormatting sqref="E82">
    <cfRule type="cellIs" dxfId="1893" priority="50" stopIfTrue="1" operator="lessThanOrEqual">
      <formula>0</formula>
    </cfRule>
  </conditionalFormatting>
  <conditionalFormatting sqref="E84:E92">
    <cfRule type="cellIs" dxfId="1892" priority="169" stopIfTrue="1" operator="lessThanOrEqual">
      <formula>0</formula>
    </cfRule>
    <cfRule type="cellIs" dxfId="1891" priority="168" stopIfTrue="1" operator="greaterThan">
      <formula>4.5</formula>
    </cfRule>
  </conditionalFormatting>
  <conditionalFormatting sqref="E57:F57 E56">
    <cfRule type="cellIs" dxfId="1890" priority="178" stopIfTrue="1" operator="lessThan">
      <formula>96.5</formula>
    </cfRule>
  </conditionalFormatting>
  <conditionalFormatting sqref="F10:F11 F20:F28">
    <cfRule type="cellIs" dxfId="1889" priority="20" operator="greaterThan">
      <formula>60</formula>
    </cfRule>
  </conditionalFormatting>
  <conditionalFormatting sqref="F57">
    <cfRule type="cellIs" dxfId="1888" priority="194" stopIfTrue="1" operator="lessThan">
      <formula>96.8</formula>
    </cfRule>
    <cfRule type="cellIs" dxfId="1887" priority="195" stopIfTrue="1" operator="greaterThan">
      <formula>100</formula>
    </cfRule>
  </conditionalFormatting>
  <conditionalFormatting sqref="G10:G23">
    <cfRule type="expression" dxfId="1886" priority="9">
      <formula>IF(+(IF(G10&lt;S10,0,IF(G10&gt;T10,0,1)))=0,1)</formula>
    </cfRule>
  </conditionalFormatting>
  <conditionalFormatting sqref="G73:G76 F82">
    <cfRule type="cellIs" dxfId="1885" priority="57" stopIfTrue="1" operator="lessThanOrEqual">
      <formula>0</formula>
    </cfRule>
    <cfRule type="cellIs" dxfId="1884" priority="56" stopIfTrue="1" operator="greaterThan">
      <formula>$F73</formula>
    </cfRule>
  </conditionalFormatting>
  <conditionalFormatting sqref="G75:G76">
    <cfRule type="cellIs" dxfId="1883" priority="43" stopIfTrue="1" operator="lessThanOrEqual">
      <formula>0</formula>
    </cfRule>
    <cfRule type="cellIs" dxfId="1882" priority="42" stopIfTrue="1" operator="greaterThan">
      <formula>$F75</formula>
    </cfRule>
  </conditionalFormatting>
  <conditionalFormatting sqref="G77:G81">
    <cfRule type="cellIs" dxfId="1881" priority="59" stopIfTrue="1" operator="lessThanOrEqual">
      <formula>0</formula>
    </cfRule>
    <cfRule type="cellIs" dxfId="1880" priority="58" stopIfTrue="1" operator="greaterThan">
      <formula>$J77</formula>
    </cfRule>
  </conditionalFormatting>
  <conditionalFormatting sqref="G78">
    <cfRule type="cellIs" dxfId="1879" priority="202" stopIfTrue="1" operator="greaterThan">
      <formula>$F73</formula>
    </cfRule>
    <cfRule type="cellIs" dxfId="1878" priority="203" stopIfTrue="1" operator="lessThanOrEqual">
      <formula>0</formula>
    </cfRule>
  </conditionalFormatting>
  <conditionalFormatting sqref="G86:G91 C89 C91">
    <cfRule type="cellIs" dxfId="1877" priority="192" stopIfTrue="1" operator="lessThanOrEqual">
      <formula>0</formula>
    </cfRule>
    <cfRule type="cellIs" dxfId="1876" priority="191" stopIfTrue="1" operator="greaterThan">
      <formula>4.5</formula>
    </cfRule>
  </conditionalFormatting>
  <conditionalFormatting sqref="G24:H28">
    <cfRule type="expression" dxfId="1875" priority="23">
      <formula>IF(+(IF(G24&lt;#REF!,0,IF(G24&gt;#REF!,0,1)))=0,1)</formula>
    </cfRule>
  </conditionalFormatting>
  <conditionalFormatting sqref="G85:H85">
    <cfRule type="cellIs" dxfId="1874" priority="173" stopIfTrue="1" operator="lessThanOrEqual">
      <formula>0</formula>
    </cfRule>
    <cfRule type="cellIs" dxfId="1873" priority="172" stopIfTrue="1" operator="greaterThan">
      <formula>$F$84</formula>
    </cfRule>
  </conditionalFormatting>
  <conditionalFormatting sqref="H10:H23 M12:N19">
    <cfRule type="expression" dxfId="1872" priority="8">
      <formula>IF(+(IF(H10&lt;#REF!,0,IF(H10&gt;#REF!,0,1)))=0,1)</formula>
    </cfRule>
  </conditionalFormatting>
  <conditionalFormatting sqref="H42:H43 H56">
    <cfRule type="cellIs" dxfId="1871" priority="170" stopIfTrue="1" operator="greaterThan">
      <formula>0</formula>
    </cfRule>
  </conditionalFormatting>
  <conditionalFormatting sqref="H60">
    <cfRule type="cellIs" dxfId="1870" priority="71" stopIfTrue="1" operator="lessThanOrEqual">
      <formula>0</formula>
    </cfRule>
    <cfRule type="cellIs" dxfId="1869" priority="72" stopIfTrue="1" operator="greaterThan">
      <formula>$F$74</formula>
    </cfRule>
    <cfRule type="cellIs" dxfId="1868" priority="61" stopIfTrue="1" operator="lessThanOrEqual">
      <formula>0</formula>
    </cfRule>
    <cfRule type="cellIs" dxfId="1867" priority="70" stopIfTrue="1" operator="greaterThan">
      <formula>$F$76</formula>
    </cfRule>
    <cfRule type="cellIs" dxfId="1866" priority="62" stopIfTrue="1" operator="greaterThan">
      <formula>$F$73</formula>
    </cfRule>
  </conditionalFormatting>
  <conditionalFormatting sqref="H60:H61">
    <cfRule type="cellIs" dxfId="1865" priority="73" stopIfTrue="1" operator="lessThanOrEqual">
      <formula>0</formula>
    </cfRule>
  </conditionalFormatting>
  <conditionalFormatting sqref="H61 H63:H64">
    <cfRule type="cellIs" dxfId="1864" priority="100" stopIfTrue="1" operator="lessThanOrEqual">
      <formula>0</formula>
    </cfRule>
  </conditionalFormatting>
  <conditionalFormatting sqref="H61">
    <cfRule type="cellIs" dxfId="1863" priority="97" stopIfTrue="1" operator="greaterThan">
      <formula>$F$76</formula>
    </cfRule>
    <cfRule type="cellIs" dxfId="1862" priority="98" stopIfTrue="1" operator="lessThanOrEqual">
      <formula>0</formula>
    </cfRule>
    <cfRule type="cellIs" dxfId="1861" priority="89" stopIfTrue="1" operator="greaterThan">
      <formula>$F$73</formula>
    </cfRule>
    <cfRule type="cellIs" dxfId="1860" priority="99" stopIfTrue="1" operator="greaterThan">
      <formula>$F$74</formula>
    </cfRule>
  </conditionalFormatting>
  <conditionalFormatting sqref="H62">
    <cfRule type="cellIs" dxfId="1859" priority="40" stopIfTrue="1" operator="lessThanOrEqual">
      <formula>0</formula>
    </cfRule>
    <cfRule type="cellIs" dxfId="1858" priority="39" stopIfTrue="1" operator="greaterThan">
      <formula>$F$76</formula>
    </cfRule>
    <cfRule type="cellIs" dxfId="1857" priority="37" stopIfTrue="1" operator="greaterThan">
      <formula>$F$78</formula>
    </cfRule>
    <cfRule type="cellIs" dxfId="1856" priority="29" stopIfTrue="1" operator="greaterThan">
      <formula>$F$75</formula>
    </cfRule>
    <cfRule type="cellIs" dxfId="1855" priority="28" stopIfTrue="1" operator="lessThanOrEqual">
      <formula>0</formula>
    </cfRule>
    <cfRule type="cellIs" dxfId="1854" priority="38" stopIfTrue="1" operator="lessThanOrEqual">
      <formula>0</formula>
    </cfRule>
  </conditionalFormatting>
  <conditionalFormatting sqref="H63:H64">
    <cfRule type="cellIs" dxfId="1853" priority="102" stopIfTrue="1" operator="greaterThan">
      <formula>$F$73</formula>
    </cfRule>
    <cfRule type="cellIs" dxfId="1852" priority="110" stopIfTrue="1" operator="greaterThan">
      <formula>$F$76</formula>
    </cfRule>
    <cfRule type="cellIs" dxfId="1851" priority="111" stopIfTrue="1" operator="lessThanOrEqual">
      <formula>0</formula>
    </cfRule>
    <cfRule type="cellIs" dxfId="1850" priority="112" stopIfTrue="1" operator="greaterThan">
      <formula>$F$74</formula>
    </cfRule>
    <cfRule type="cellIs" dxfId="1849" priority="113" stopIfTrue="1" operator="lessThanOrEqual">
      <formula>0</formula>
    </cfRule>
  </conditionalFormatting>
  <conditionalFormatting sqref="H65:H66">
    <cfRule type="cellIs" dxfId="1848" priority="146" stopIfTrue="1" operator="greaterThan">
      <formula>#REF!</formula>
    </cfRule>
    <cfRule type="cellIs" dxfId="1847" priority="147" stopIfTrue="1" operator="lessThanOrEqual">
      <formula>0</formula>
    </cfRule>
    <cfRule type="cellIs" dxfId="1846" priority="137" stopIfTrue="1" operator="lessThanOrEqual">
      <formula>0</formula>
    </cfRule>
    <cfRule type="cellIs" dxfId="1845" priority="138" stopIfTrue="1" operator="greaterThan">
      <formula>#REF!</formula>
    </cfRule>
  </conditionalFormatting>
  <conditionalFormatting sqref="H67">
    <cfRule type="cellIs" dxfId="1844" priority="159" stopIfTrue="1" operator="lessThanOrEqual">
      <formula>0</formula>
    </cfRule>
    <cfRule type="cellIs" dxfId="1843" priority="160" stopIfTrue="1" operator="greaterThan">
      <formula>$F$42</formula>
    </cfRule>
    <cfRule type="cellIs" dxfId="1842" priority="161" stopIfTrue="1" operator="lessThanOrEqual">
      <formula>0</formula>
    </cfRule>
    <cfRule type="cellIs" dxfId="1841" priority="158" stopIfTrue="1" operator="greaterThan">
      <formula>$F$44</formula>
    </cfRule>
    <cfRule type="cellIs" dxfId="1840" priority="149" stopIfTrue="1" operator="lessThanOrEqual">
      <formula>0</formula>
    </cfRule>
    <cfRule type="cellIs" dxfId="1839" priority="150" stopIfTrue="1" operator="greaterThan">
      <formula>$F$41</formula>
    </cfRule>
  </conditionalFormatting>
  <conditionalFormatting sqref="H68:H69">
    <cfRule type="cellIs" dxfId="1838" priority="125" stopIfTrue="1" operator="lessThanOrEqual">
      <formula>0</formula>
    </cfRule>
    <cfRule type="cellIs" dxfId="1837" priority="134" stopIfTrue="1" operator="greaterThan">
      <formula>#REF!</formula>
    </cfRule>
    <cfRule type="cellIs" dxfId="1836" priority="126" stopIfTrue="1" operator="greaterThan">
      <formula>#REF!</formula>
    </cfRule>
    <cfRule type="cellIs" dxfId="1835" priority="135" stopIfTrue="1" operator="lessThanOrEqual">
      <formula>0</formula>
    </cfRule>
  </conditionalFormatting>
  <conditionalFormatting sqref="H84 H86:H92">
    <cfRule type="cellIs" dxfId="1834" priority="184" stopIfTrue="1" operator="greaterThan">
      <formula>4.5</formula>
    </cfRule>
    <cfRule type="cellIs" dxfId="1833" priority="185" stopIfTrue="1" operator="lessThanOrEqual">
      <formula>0</formula>
    </cfRule>
  </conditionalFormatting>
  <conditionalFormatting sqref="H60:I60">
    <cfRule type="cellIs" dxfId="1832" priority="63" stopIfTrue="1" operator="lessThanOrEqual">
      <formula>0</formula>
    </cfRule>
  </conditionalFormatting>
  <conditionalFormatting sqref="H60:I61 H63:I64">
    <cfRule type="cellIs" dxfId="1831" priority="60" stopIfTrue="1" operator="greaterThan">
      <formula>$F$75</formula>
    </cfRule>
  </conditionalFormatting>
  <conditionalFormatting sqref="H61:I61">
    <cfRule type="cellIs" dxfId="1830" priority="90" stopIfTrue="1" operator="lessThanOrEqual">
      <formula>0</formula>
    </cfRule>
  </conditionalFormatting>
  <conditionalFormatting sqref="H62:I62">
    <cfRule type="cellIs" dxfId="1829" priority="27" stopIfTrue="1" operator="greaterThan">
      <formula>$F$77</formula>
    </cfRule>
    <cfRule type="cellIs" dxfId="1828" priority="30" stopIfTrue="1" operator="lessThanOrEqual">
      <formula>0</formula>
    </cfRule>
  </conditionalFormatting>
  <conditionalFormatting sqref="H63:I64">
    <cfRule type="cellIs" dxfId="1827" priority="103" stopIfTrue="1" operator="lessThanOrEqual">
      <formula>0</formula>
    </cfRule>
  </conditionalFormatting>
  <conditionalFormatting sqref="H65:I66">
    <cfRule type="cellIs" dxfId="1826" priority="136" stopIfTrue="1" operator="greaterThan">
      <formula>#REF!</formula>
    </cfRule>
    <cfRule type="cellIs" dxfId="1825" priority="139" stopIfTrue="1" operator="lessThanOrEqual">
      <formula>0</formula>
    </cfRule>
    <cfRule type="cellIs" dxfId="1824" priority="144" stopIfTrue="1" operator="greaterThan">
      <formula>#REF!</formula>
    </cfRule>
    <cfRule type="cellIs" dxfId="1823" priority="145" stopIfTrue="1" operator="lessThanOrEqual">
      <formula>0</formula>
    </cfRule>
  </conditionalFormatting>
  <conditionalFormatting sqref="H67:I67">
    <cfRule type="cellIs" dxfId="1822" priority="148" stopIfTrue="1" operator="greaterThan">
      <formula>$F$43</formula>
    </cfRule>
    <cfRule type="cellIs" dxfId="1821" priority="151" stopIfTrue="1" operator="lessThanOrEqual">
      <formula>0</formula>
    </cfRule>
  </conditionalFormatting>
  <conditionalFormatting sqref="H68:I69">
    <cfRule type="cellIs" dxfId="1820" priority="124" stopIfTrue="1" operator="greaterThan">
      <formula>#REF!</formula>
    </cfRule>
    <cfRule type="cellIs" dxfId="1819" priority="132" stopIfTrue="1" operator="greaterThan">
      <formula>#REF!</formula>
    </cfRule>
    <cfRule type="cellIs" dxfId="1818" priority="127" stopIfTrue="1" operator="lessThanOrEqual">
      <formula>0</formula>
    </cfRule>
    <cfRule type="cellIs" dxfId="1817" priority="133" stopIfTrue="1" operator="lessThanOrEqual">
      <formula>0</formula>
    </cfRule>
  </conditionalFormatting>
  <conditionalFormatting sqref="H73:I80">
    <cfRule type="cellIs" dxfId="1816" priority="46" stopIfTrue="1" operator="lessThanOrEqual">
      <formula>0</formula>
    </cfRule>
    <cfRule type="cellIs" dxfId="1815" priority="45" stopIfTrue="1" operator="greaterThan">
      <formula>$J73</formula>
    </cfRule>
  </conditionalFormatting>
  <conditionalFormatting sqref="H81:I81">
    <cfRule type="cellIs" dxfId="1814" priority="53" operator="greaterThan">
      <formula>5.3</formula>
    </cfRule>
  </conditionalFormatting>
  <conditionalFormatting sqref="H82:I82">
    <cfRule type="cellIs" dxfId="1813" priority="52" stopIfTrue="1" operator="lessThanOrEqual">
      <formula>0</formula>
    </cfRule>
    <cfRule type="cellIs" dxfId="1812" priority="51" stopIfTrue="1" operator="greaterThan">
      <formula>$J82</formula>
    </cfRule>
  </conditionalFormatting>
  <conditionalFormatting sqref="I60">
    <cfRule type="cellIs" dxfId="1811" priority="64" stopIfTrue="1" operator="greaterThan">
      <formula>$F$73</formula>
    </cfRule>
    <cfRule type="cellIs" dxfId="1810" priority="65" stopIfTrue="1" operator="lessThanOrEqual">
      <formula>0</formula>
    </cfRule>
    <cfRule type="cellIs" dxfId="1809" priority="66" stopIfTrue="1" operator="greaterThan">
      <formula>$F$75</formula>
    </cfRule>
    <cfRule type="cellIs" dxfId="1808" priority="67" stopIfTrue="1" operator="lessThanOrEqual">
      <formula>0</formula>
    </cfRule>
    <cfRule type="cellIs" dxfId="1807" priority="68" stopIfTrue="1" operator="greaterThan">
      <formula>$F$73</formula>
    </cfRule>
    <cfRule type="cellIs" dxfId="1806" priority="69" stopIfTrue="1" operator="lessThanOrEqual">
      <formula>0</formula>
    </cfRule>
  </conditionalFormatting>
  <conditionalFormatting sqref="I61">
    <cfRule type="cellIs" dxfId="1805" priority="91" stopIfTrue="1" operator="greaterThan">
      <formula>$F$73</formula>
    </cfRule>
    <cfRule type="cellIs" dxfId="1804" priority="92" stopIfTrue="1" operator="lessThanOrEqual">
      <formula>0</formula>
    </cfRule>
    <cfRule type="cellIs" dxfId="1803" priority="93" stopIfTrue="1" operator="greaterThan">
      <formula>$F$75</formula>
    </cfRule>
    <cfRule type="cellIs" dxfId="1802" priority="94" stopIfTrue="1" operator="lessThanOrEqual">
      <formula>0</formula>
    </cfRule>
    <cfRule type="cellIs" dxfId="1801" priority="95" stopIfTrue="1" operator="greaterThan">
      <formula>$F$73</formula>
    </cfRule>
    <cfRule type="cellIs" dxfId="1800" priority="96" stopIfTrue="1" operator="lessThanOrEqual">
      <formula>0</formula>
    </cfRule>
  </conditionalFormatting>
  <conditionalFormatting sqref="I62">
    <cfRule type="cellIs" dxfId="1799" priority="36" stopIfTrue="1" operator="lessThanOrEqual">
      <formula>0</formula>
    </cfRule>
    <cfRule type="cellIs" dxfId="1798" priority="35" stopIfTrue="1" operator="greaterThan">
      <formula>$F$75</formula>
    </cfRule>
    <cfRule type="cellIs" dxfId="1797" priority="31" stopIfTrue="1" operator="greaterThan">
      <formula>$F$75</formula>
    </cfRule>
    <cfRule type="cellIs" dxfId="1796" priority="32" stopIfTrue="1" operator="lessThanOrEqual">
      <formula>0</formula>
    </cfRule>
    <cfRule type="cellIs" dxfId="1795" priority="33" stopIfTrue="1" operator="greaterThan">
      <formula>$F$77</formula>
    </cfRule>
    <cfRule type="cellIs" dxfId="1794" priority="34" stopIfTrue="1" operator="lessThanOrEqual">
      <formula>0</formula>
    </cfRule>
  </conditionalFormatting>
  <conditionalFormatting sqref="I63:I64">
    <cfRule type="cellIs" dxfId="1793" priority="106" stopIfTrue="1" operator="greaterThan">
      <formula>$F$75</formula>
    </cfRule>
    <cfRule type="cellIs" dxfId="1792" priority="105" stopIfTrue="1" operator="lessThanOrEqual">
      <formula>0</formula>
    </cfRule>
    <cfRule type="cellIs" dxfId="1791" priority="104" stopIfTrue="1" operator="greaterThan">
      <formula>$F$73</formula>
    </cfRule>
    <cfRule type="cellIs" dxfId="1790" priority="107" stopIfTrue="1" operator="lessThanOrEqual">
      <formula>0</formula>
    </cfRule>
    <cfRule type="cellIs" dxfId="1789" priority="109" stopIfTrue="1" operator="lessThanOrEqual">
      <formula>0</formula>
    </cfRule>
    <cfRule type="cellIs" dxfId="1788" priority="108" stopIfTrue="1" operator="greaterThan">
      <formula>$F$73</formula>
    </cfRule>
  </conditionalFormatting>
  <conditionalFormatting sqref="I65:I66">
    <cfRule type="cellIs" dxfId="1787" priority="143" stopIfTrue="1" operator="lessThanOrEqual">
      <formula>0</formula>
    </cfRule>
    <cfRule type="cellIs" dxfId="1786" priority="142" stopIfTrue="1" operator="greaterThan">
      <formula>#REF!</formula>
    </cfRule>
    <cfRule type="cellIs" dxfId="1785" priority="140" stopIfTrue="1" operator="greaterThan">
      <formula>#REF!</formula>
    </cfRule>
    <cfRule type="cellIs" dxfId="1784" priority="141" stopIfTrue="1" operator="lessThanOrEqual">
      <formula>0</formula>
    </cfRule>
  </conditionalFormatting>
  <conditionalFormatting sqref="I67">
    <cfRule type="cellIs" dxfId="1783" priority="152" stopIfTrue="1" operator="greaterThan">
      <formula>$F$41</formula>
    </cfRule>
    <cfRule type="cellIs" dxfId="1782" priority="153" stopIfTrue="1" operator="lessThanOrEqual">
      <formula>0</formula>
    </cfRule>
    <cfRule type="cellIs" dxfId="1781" priority="154" stopIfTrue="1" operator="greaterThan">
      <formula>$F$43</formula>
    </cfRule>
    <cfRule type="cellIs" dxfId="1780" priority="155" stopIfTrue="1" operator="lessThanOrEqual">
      <formula>0</formula>
    </cfRule>
    <cfRule type="cellIs" dxfId="1779" priority="156" stopIfTrue="1" operator="greaterThan">
      <formula>$F$41</formula>
    </cfRule>
    <cfRule type="cellIs" dxfId="1778" priority="157" stopIfTrue="1" operator="lessThanOrEqual">
      <formula>0</formula>
    </cfRule>
  </conditionalFormatting>
  <conditionalFormatting sqref="I68:I69">
    <cfRule type="cellIs" dxfId="1777" priority="128" stopIfTrue="1" operator="greaterThan">
      <formula>#REF!</formula>
    </cfRule>
    <cfRule type="cellIs" dxfId="1776" priority="130" stopIfTrue="1" operator="greaterThan">
      <formula>#REF!</formula>
    </cfRule>
    <cfRule type="cellIs" dxfId="1775" priority="131" stopIfTrue="1" operator="lessThanOrEqual">
      <formula>0</formula>
    </cfRule>
    <cfRule type="cellIs" dxfId="1774" priority="129" stopIfTrue="1" operator="lessThanOrEqual">
      <formula>0</formula>
    </cfRule>
  </conditionalFormatting>
  <conditionalFormatting sqref="I84:I92">
    <cfRule type="cellIs" dxfId="1773" priority="181" stopIfTrue="1" operator="lessThanOrEqual">
      <formula>0</formula>
    </cfRule>
    <cfRule type="cellIs" dxfId="1772" priority="180" stopIfTrue="1" operator="greaterThan">
      <formula>4.5</formula>
    </cfRule>
  </conditionalFormatting>
  <conditionalFormatting sqref="I10:J28">
    <cfRule type="cellIs" dxfId="1771" priority="1" operator="lessThan">
      <formula>97.9</formula>
    </cfRule>
  </conditionalFormatting>
  <conditionalFormatting sqref="J31:J33">
    <cfRule type="cellIs" dxfId="1770" priority="26" operator="lessThan">
      <formula>97.95</formula>
    </cfRule>
  </conditionalFormatting>
  <conditionalFormatting sqref="J33:J35">
    <cfRule type="cellIs" dxfId="1769" priority="162" operator="lessThan">
      <formula>97.4</formula>
    </cfRule>
  </conditionalFormatting>
  <conditionalFormatting sqref="J36:J37">
    <cfRule type="cellIs" dxfId="1768" priority="163" operator="lessThan">
      <formula>98</formula>
    </cfRule>
  </conditionalFormatting>
  <conditionalFormatting sqref="J38:J39">
    <cfRule type="cellIs" dxfId="1767" priority="165" stopIfTrue="1" operator="greaterThan">
      <formula>100</formula>
    </cfRule>
    <cfRule type="cellIs" dxfId="1766" priority="164" stopIfTrue="1" operator="lessThan">
      <formula>96.8</formula>
    </cfRule>
  </conditionalFormatting>
  <conditionalFormatting sqref="J38:J40">
    <cfRule type="cellIs" dxfId="1765" priority="166" operator="lessThan">
      <formula>98</formula>
    </cfRule>
  </conditionalFormatting>
  <conditionalFormatting sqref="J69">
    <cfRule type="cellIs" dxfId="1764" priority="116" stopIfTrue="1" operator="greaterThan">
      <formula>#REF!</formula>
    </cfRule>
    <cfRule type="cellIs" dxfId="1763" priority="117" stopIfTrue="1" operator="lessThanOrEqual">
      <formula>0</formula>
    </cfRule>
    <cfRule type="cellIs" dxfId="1762" priority="118" stopIfTrue="1" operator="greaterThan">
      <formula>#REF!</formula>
    </cfRule>
    <cfRule type="cellIs" dxfId="1761" priority="123" stopIfTrue="1" operator="lessThanOrEqual">
      <formula>0</formula>
    </cfRule>
    <cfRule type="cellIs" dxfId="1760" priority="122" stopIfTrue="1" operator="greaterThan">
      <formula>#REF!</formula>
    </cfRule>
    <cfRule type="cellIs" dxfId="1759" priority="121" stopIfTrue="1" operator="lessThanOrEqual">
      <formula>0</formula>
    </cfRule>
    <cfRule type="cellIs" dxfId="1758" priority="119" stopIfTrue="1" operator="lessThanOrEqual">
      <formula>0</formula>
    </cfRule>
    <cfRule type="cellIs" dxfId="1757" priority="120" stopIfTrue="1" operator="greaterThan">
      <formula>#REF!</formula>
    </cfRule>
  </conditionalFormatting>
  <conditionalFormatting sqref="J82">
    <cfRule type="cellIs" dxfId="1756" priority="54" stopIfTrue="1" operator="greaterThan">
      <formula>$F82</formula>
    </cfRule>
    <cfRule type="cellIs" dxfId="1755" priority="55" stopIfTrue="1" operator="lessThanOrEqual">
      <formula>0</formula>
    </cfRule>
  </conditionalFormatting>
  <conditionalFormatting sqref="K10:K28">
    <cfRule type="cellIs" dxfId="1754" priority="4" operator="greaterThan">
      <formula>6.4</formula>
    </cfRule>
    <cfRule type="cellIs" dxfId="1753" priority="3" operator="lessThan">
      <formula>4</formula>
    </cfRule>
    <cfRule type="cellIs" dxfId="1752" priority="2" operator="greaterThan">
      <formula>6</formula>
    </cfRule>
  </conditionalFormatting>
  <conditionalFormatting sqref="K60:K69">
    <cfRule type="cellIs" dxfId="1751" priority="101" stopIfTrue="1" operator="lessThan">
      <formula>100%</formula>
    </cfRule>
  </conditionalFormatting>
  <conditionalFormatting sqref="K73:K81">
    <cfRule type="cellIs" dxfId="1750" priority="44" stopIfTrue="1" operator="lessThan">
      <formula>100%</formula>
    </cfRule>
  </conditionalFormatting>
  <conditionalFormatting sqref="K84:K89">
    <cfRule type="cellIs" dxfId="1749" priority="186" stopIfTrue="1" operator="lessThan">
      <formula>100%</formula>
    </cfRule>
  </conditionalFormatting>
  <conditionalFormatting sqref="K91:K92">
    <cfRule type="cellIs" dxfId="1748" priority="193" stopIfTrue="1" operator="lessThan">
      <formula>100%</formula>
    </cfRule>
  </conditionalFormatting>
  <conditionalFormatting sqref="L10:L28">
    <cfRule type="cellIs" dxfId="1747" priority="6" operator="greaterThan">
      <formula>65</formula>
    </cfRule>
    <cfRule type="cellIs" dxfId="1746" priority="5" operator="between">
      <formula>61</formula>
      <formula>65</formula>
    </cfRule>
  </conditionalFormatting>
  <conditionalFormatting sqref="L31:M42">
    <cfRule type="cellIs" dxfId="1745" priority="25" operator="lessThan">
      <formula>97.95</formula>
    </cfRule>
  </conditionalFormatting>
  <conditionalFormatting sqref="L46:N46">
    <cfRule type="cellIs" dxfId="1744" priority="80" operator="notEqual">
      <formula>#REF!</formula>
    </cfRule>
  </conditionalFormatting>
  <conditionalFormatting sqref="L73:N82">
    <cfRule type="cellIs" dxfId="1743" priority="41" stopIfTrue="1" operator="lessThan">
      <formula>100%</formula>
    </cfRule>
  </conditionalFormatting>
  <conditionalFormatting sqref="L84:N92">
    <cfRule type="cellIs" dxfId="1742" priority="171" stopIfTrue="1" operator="lessThan">
      <formula>100%</formula>
    </cfRule>
  </conditionalFormatting>
  <conditionalFormatting sqref="M10:M11 M20:M23">
    <cfRule type="expression" dxfId="1741" priority="21">
      <formula>IF(+(IF(M10&lt;U10,0,IF(M10&gt;V10,0,1)))=0,1)</formula>
    </cfRule>
  </conditionalFormatting>
  <conditionalFormatting sqref="M24:N28">
    <cfRule type="expression" dxfId="1740" priority="24">
      <formula>IF(+(IF(M24&lt;#REF!,0,IF(M24&gt;#REF!,0,1)))=0,1)</formula>
    </cfRule>
  </conditionalFormatting>
  <conditionalFormatting sqref="N10:N28">
    <cfRule type="expression" dxfId="1739" priority="10">
      <formula>IF(+(IF(N10&lt;W10,0,IF(N10&gt;X10,0,1)))=0,1)</formula>
    </cfRule>
  </conditionalFormatting>
  <conditionalFormatting sqref="P6">
    <cfRule type="cellIs" dxfId="1738" priority="167" operator="greaterThanOrEqual">
      <formula>19</formula>
    </cfRule>
  </conditionalFormatting>
  <dataValidations count="1">
    <dataValidation type="list" allowBlank="1" showInputMessage="1" showErrorMessage="1" sqref="R8" xr:uid="{31CB0049-F756-4C29-8550-798AE9DE7D4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6" max="16383" man="1"/>
  </rowBreaks>
  <colBreaks count="1" manualBreakCount="1">
    <brk id="15" max="89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972EF-0442-4620-994E-F6EA2F8FBC0C}">
  <sheetPr>
    <pageSetUpPr fitToPage="1"/>
  </sheetPr>
  <dimension ref="A1:BE82"/>
  <sheetViews>
    <sheetView zoomScale="60" zoomScaleNormal="60" workbookViewId="0">
      <selection activeCell="B13" sqref="B13:O13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12" t="s">
        <v>0</v>
      </c>
      <c r="T1" s="512"/>
      <c r="U1" s="512" t="s">
        <v>1</v>
      </c>
      <c r="V1" s="512"/>
      <c r="W1" s="512" t="s">
        <v>2</v>
      </c>
      <c r="X1" s="512"/>
      <c r="Y1" s="512" t="s">
        <v>124</v>
      </c>
      <c r="Z1" s="512"/>
    </row>
    <row r="2" spans="2:29" ht="15">
      <c r="B2" s="513" t="s">
        <v>3</v>
      </c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46254</v>
      </c>
      <c r="J4" s="398" t="s">
        <v>193</v>
      </c>
      <c r="K4" s="398"/>
      <c r="L4" s="11"/>
      <c r="M4" s="510" t="s">
        <v>8</v>
      </c>
      <c r="N4" s="511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6"/>
      <c r="D5" s="516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192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19" t="s">
        <v>18</v>
      </c>
      <c r="D8" s="519" t="s">
        <v>19</v>
      </c>
      <c r="E8" s="356" t="s">
        <v>20</v>
      </c>
      <c r="F8" s="356" t="s">
        <v>21</v>
      </c>
      <c r="G8" s="519" t="s">
        <v>22</v>
      </c>
      <c r="H8" s="520" t="s">
        <v>144</v>
      </c>
      <c r="I8" s="519" t="s">
        <v>181</v>
      </c>
      <c r="J8" s="522" t="s">
        <v>23</v>
      </c>
      <c r="K8" s="524" t="s">
        <v>142</v>
      </c>
      <c r="L8" s="526" t="s">
        <v>24</v>
      </c>
      <c r="M8" s="359" t="s">
        <v>25</v>
      </c>
      <c r="N8" s="17" t="s">
        <v>168</v>
      </c>
      <c r="O8" s="519" t="s">
        <v>155</v>
      </c>
      <c r="P8" s="514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8"/>
      <c r="C9" s="515"/>
      <c r="D9" s="515"/>
      <c r="E9" s="357" t="s">
        <v>30</v>
      </c>
      <c r="F9" s="357" t="s">
        <v>31</v>
      </c>
      <c r="G9" s="515"/>
      <c r="H9" s="521"/>
      <c r="I9" s="515"/>
      <c r="J9" s="523"/>
      <c r="K9" s="525"/>
      <c r="L9" s="527"/>
      <c r="M9" s="20" t="s">
        <v>32</v>
      </c>
      <c r="N9" s="21" t="s">
        <v>41</v>
      </c>
      <c r="O9" s="515"/>
      <c r="P9" s="515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33" t="s">
        <v>9</v>
      </c>
      <c r="C10" s="366" t="str">
        <f>[3]Brewhouse!$A350</f>
        <v>ST293</v>
      </c>
      <c r="D10" s="279">
        <f>[3]Brewhouse!$AB350</f>
        <v>53.1</v>
      </c>
      <c r="E10" s="279">
        <f>[3]Brewhouse!$AG350</f>
        <v>49.9</v>
      </c>
      <c r="F10" s="278">
        <f>[3]Brewhouse!$V350</f>
        <v>61</v>
      </c>
      <c r="G10" s="279">
        <f>[3]Brewhouse!$AE350</f>
        <v>12</v>
      </c>
      <c r="H10" s="396">
        <v>11.8</v>
      </c>
      <c r="I10" s="368">
        <f>[3]Brewhouse!$AS350</f>
        <v>101.05077690934993</v>
      </c>
      <c r="J10" s="368">
        <f>[3]Brewhouse!$AT350</f>
        <v>101.97028488305462</v>
      </c>
      <c r="K10" s="281">
        <f>[3]Brewhouse!$Q350</f>
        <v>14.077212806026369</v>
      </c>
      <c r="L10" s="276">
        <f>[3]Brewhouse!$P350</f>
        <v>61</v>
      </c>
      <c r="M10" s="374">
        <f>[3]Brewhouse!$U350-[3]Brewhouse!$T350</f>
        <v>0.11805555555555558</v>
      </c>
      <c r="N10" s="370">
        <f>[3]Brewhouse!$AW350</f>
        <v>0.25694444444444442</v>
      </c>
      <c r="O10" s="420" t="str">
        <f>[3]Brewhouse!$AV350</f>
        <v>R. Regis</v>
      </c>
      <c r="P10" s="418"/>
      <c r="R10" s="277" t="str">
        <f t="shared" ref="R10:R42" si="0">B10</f>
        <v>STAG</v>
      </c>
      <c r="S10" s="472">
        <f t="shared" ref="S10:S42" si="1">VLOOKUP($B10,$R$3:$X$9,2,FALSE)</f>
        <v>11.6</v>
      </c>
      <c r="T10" s="472">
        <f t="shared" ref="T10:T42" si="2">VLOOKUP($B10,$R$3:$X$9,3,FALSE)</f>
        <v>12</v>
      </c>
      <c r="U10" s="297">
        <f t="shared" ref="U10:U42" si="3">VLOOKUP($B10,$R$3:$X$9,4,FALSE)</f>
        <v>0</v>
      </c>
      <c r="V10" s="297">
        <f t="shared" ref="V10:V42" si="4">VLOOKUP($B10,$R$3:$X$9,5,FALSE)</f>
        <v>0.118055555555556</v>
      </c>
      <c r="W10" s="297">
        <f t="shared" ref="W10:W42" si="5">VLOOKUP($B10,$R$3:$X$9,6,FALSE)</f>
        <v>0.22569444444444445</v>
      </c>
      <c r="X10" s="297">
        <f t="shared" ref="X10:X42" si="6">VLOOKUP($B10,$R$3:$X$9,7,FALSE)</f>
        <v>0.2638888888888889</v>
      </c>
      <c r="Y10" s="297">
        <f t="shared" ref="Y10:Y42" si="7">VLOOKUP($B10,$R$3:$Z$9,8,FALSE)</f>
        <v>0</v>
      </c>
      <c r="Z10" s="472">
        <f t="shared" ref="Z10:Z42" si="8">VLOOKUP($B10,$R$3:$Z$9,9,FALSE)</f>
        <v>60</v>
      </c>
    </row>
    <row r="11" spans="2:29" ht="17.25" customHeight="1">
      <c r="B11" s="33" t="s">
        <v>9</v>
      </c>
      <c r="C11" s="366" t="str">
        <f>[3]Brewhouse!$A351</f>
        <v>ST294</v>
      </c>
      <c r="D11" s="279">
        <f>[3]Brewhouse!$AB351</f>
        <v>53.1</v>
      </c>
      <c r="E11" s="279">
        <f>[3]Brewhouse!$AG351</f>
        <v>51.4</v>
      </c>
      <c r="F11" s="278">
        <f>[3]Brewhouse!$V351</f>
        <v>62</v>
      </c>
      <c r="G11" s="279">
        <f>[3]Brewhouse!$AE351</f>
        <v>11.5</v>
      </c>
      <c r="H11" s="396">
        <v>11.5</v>
      </c>
      <c r="I11" s="368">
        <f>[3]Brewhouse!$AS351</f>
        <v>99.656323436956768</v>
      </c>
      <c r="J11" s="368">
        <f>[3]Brewhouse!$AT351</f>
        <v>100.5628393857768</v>
      </c>
      <c r="K11" s="281">
        <f>[3]Brewhouse!$Q351</f>
        <v>10.875706214689263</v>
      </c>
      <c r="L11" s="276">
        <f>[3]Brewhouse!$P351</f>
        <v>62</v>
      </c>
      <c r="M11" s="374">
        <f>[3]Brewhouse!$U351-[3]Brewhouse!$T351</f>
        <v>0.11805555555555558</v>
      </c>
      <c r="N11" s="370">
        <f>[3]Brewhouse!$AW351</f>
        <v>0.26527777777777778</v>
      </c>
      <c r="O11" s="420" t="str">
        <f>[3]Brewhouse!$AV351</f>
        <v>P. Calliste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33" t="s">
        <v>9</v>
      </c>
      <c r="C12" s="366" t="str">
        <f>[3]Brewhouse!$A352</f>
        <v>ST295</v>
      </c>
      <c r="D12" s="279">
        <f>[3]Brewhouse!$AB352</f>
        <v>53.1</v>
      </c>
      <c r="E12" s="279">
        <f>[3]Brewhouse!$AG352</f>
        <v>51.4</v>
      </c>
      <c r="F12" s="278">
        <f>[3]Brewhouse!$V352</f>
        <v>55</v>
      </c>
      <c r="G12" s="279">
        <f>[3]Brewhouse!$AE352</f>
        <v>12.2</v>
      </c>
      <c r="H12" s="396">
        <v>12.2</v>
      </c>
      <c r="I12" s="368">
        <f>[3]Brewhouse!$AS352</f>
        <v>105.3788158697007</v>
      </c>
      <c r="J12" s="368">
        <f>[3]Brewhouse!$AT352</f>
        <v>106.33898126630432</v>
      </c>
      <c r="K12" s="281">
        <f>[3]Brewhouse!$Q352</f>
        <v>17.090395480225993</v>
      </c>
      <c r="L12" s="276">
        <f>[3]Brewhouse!$P352</f>
        <v>61</v>
      </c>
      <c r="M12" s="374">
        <f>[3]Brewhouse!$U352-[3]Brewhouse!$T352</f>
        <v>0.11041666666666666</v>
      </c>
      <c r="N12" s="370">
        <f>[3]Brewhouse!$AW352</f>
        <v>0.25069444444444444</v>
      </c>
      <c r="O12" s="420" t="str">
        <f>[3]Brewhouse!$AV352</f>
        <v>R. Regis</v>
      </c>
      <c r="P12" s="418"/>
      <c r="R12" s="277" t="str">
        <f t="shared" si="0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33" t="s">
        <v>9</v>
      </c>
      <c r="C13" s="366" t="str">
        <f>[3]Brewhouse!$A353</f>
        <v>ST296</v>
      </c>
      <c r="D13" s="279">
        <f>[3]Brewhouse!$AB353</f>
        <v>53.1</v>
      </c>
      <c r="E13" s="279">
        <f>[3]Brewhouse!$AG353</f>
        <v>50.2</v>
      </c>
      <c r="F13" s="278">
        <f>[3]Brewhouse!$V353</f>
        <v>62</v>
      </c>
      <c r="G13" s="279">
        <f>[3]Brewhouse!$AE353</f>
        <v>12.2</v>
      </c>
      <c r="H13" s="396">
        <v>12</v>
      </c>
      <c r="I13" s="368">
        <f>[3]Brewhouse!$AS353</f>
        <v>102.40349309246177</v>
      </c>
      <c r="J13" s="368">
        <f>[3]Brewhouse!$AT353</f>
        <v>103.33777488589702</v>
      </c>
      <c r="K13" s="281">
        <f>[3]Brewhouse!$Q353</f>
        <v>14.83050847457627</v>
      </c>
      <c r="L13" s="276">
        <f>[3]Brewhouse!$P353</f>
        <v>61</v>
      </c>
      <c r="M13" s="374">
        <f>[3]Brewhouse!$U353-[3]Brewhouse!$T353</f>
        <v>0.11736111111111108</v>
      </c>
      <c r="N13" s="370">
        <f>[3]Brewhouse!$AW353</f>
        <v>0.26527777777777778</v>
      </c>
      <c r="O13" s="420" t="str">
        <f>[3]Brewhouse!$AV353</f>
        <v>D. Gomaz</v>
      </c>
      <c r="P13" s="418"/>
      <c r="R13" s="277" t="str">
        <f t="shared" si="0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33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420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7.25" customHeight="1">
      <c r="B15" s="29" t="s">
        <v>6</v>
      </c>
      <c r="C15" s="366" t="str">
        <f>[4]Brewhouse!$A635</f>
        <v>CA587</v>
      </c>
      <c r="D15" s="279">
        <f>[4]Brewhouse!$AF635</f>
        <v>48.2</v>
      </c>
      <c r="E15" s="279">
        <f>[4]Brewhouse!$AI635</f>
        <v>48.3</v>
      </c>
      <c r="F15" s="278">
        <f>[4]Brewhouse!$V635</f>
        <v>52</v>
      </c>
      <c r="G15" s="279">
        <f>[4]Brewhouse!AG635</f>
        <v>11.7</v>
      </c>
      <c r="H15" s="396">
        <v>12</v>
      </c>
      <c r="I15" s="368">
        <f>[4]Brewhouse!$AU635</f>
        <v>92.210476129367706</v>
      </c>
      <c r="J15" s="368">
        <f>[4]Brewhouse!$AV635</f>
        <v>93.219025372648517</v>
      </c>
      <c r="K15" s="281">
        <f>[4]Brewhouse!$Q635</f>
        <v>12.074074074074066</v>
      </c>
      <c r="L15" s="276">
        <f>[4]Brewhouse!$P635</f>
        <v>59</v>
      </c>
      <c r="M15" s="374">
        <f>[4]Brewhouse!$U635-[4]Brewhouse!$T635</f>
        <v>0.10763888888888895</v>
      </c>
      <c r="N15" s="370">
        <f>[4]Brewhouse!$Z635</f>
        <v>0.24027777777777781</v>
      </c>
      <c r="O15" s="420" t="str">
        <f>[4]Brewhouse!$AX635</f>
        <v xml:space="preserve">D. Gomaz </v>
      </c>
      <c r="P15" s="418" t="s">
        <v>194</v>
      </c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[4]Brewhouse!$A636</f>
        <v>CA588</v>
      </c>
      <c r="D16" s="279">
        <f>[4]Brewhouse!$AF636</f>
        <v>48.6</v>
      </c>
      <c r="E16" s="279">
        <f>[4]Brewhouse!$AI636</f>
        <v>49.4</v>
      </c>
      <c r="F16" s="278">
        <f>[4]Brewhouse!$V636</f>
        <v>53</v>
      </c>
      <c r="G16" s="279">
        <f>[4]Brewhouse!AG636</f>
        <v>11.8</v>
      </c>
      <c r="H16" s="396">
        <v>11.9</v>
      </c>
      <c r="I16" s="368">
        <f>[4]Brewhouse!$AU636</f>
        <v>95.392227245105218</v>
      </c>
      <c r="J16" s="368">
        <f>[4]Brewhouse!$AV636</f>
        <v>96.43544295095505</v>
      </c>
      <c r="K16" s="281">
        <f>[4]Brewhouse!$Q636</f>
        <v>11.333333333333329</v>
      </c>
      <c r="L16" s="276">
        <f>[4]Brewhouse!$P636</f>
        <v>59</v>
      </c>
      <c r="M16" s="374">
        <f>[4]Brewhouse!$U636-[4]Brewhouse!$T636</f>
        <v>0.1020833333333333</v>
      </c>
      <c r="N16" s="370">
        <f>[4]Brewhouse!$Z636</f>
        <v>0.23819444444444438</v>
      </c>
      <c r="O16" s="420" t="str">
        <f>[4]Brewhouse!$AX636</f>
        <v xml:space="preserve">D. Gomaz 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 customHeight="1">
      <c r="B17" s="29" t="s">
        <v>6</v>
      </c>
      <c r="C17" s="366" t="str">
        <f>[4]Brewhouse!$A637</f>
        <v>CA589</v>
      </c>
      <c r="D17" s="279">
        <f>[4]Brewhouse!$AF637</f>
        <v>49.7</v>
      </c>
      <c r="E17" s="279">
        <f>[4]Brewhouse!$AI637</f>
        <v>50.5</v>
      </c>
      <c r="F17" s="278">
        <f>[4]Brewhouse!$V637</f>
        <v>58</v>
      </c>
      <c r="G17" s="279">
        <f>[4]Brewhouse!AG637</f>
        <v>11.8</v>
      </c>
      <c r="H17" s="396">
        <v>11.8</v>
      </c>
      <c r="I17" s="368">
        <f>[4]Brewhouse!$AU637</f>
        <v>97.63611706509802</v>
      </c>
      <c r="J17" s="368">
        <f>[4]Brewhouse!$AV637</f>
        <v>98.703803350865257</v>
      </c>
      <c r="K17" s="281">
        <f>[4]Brewhouse!$Q637</f>
        <v>10.777777777777779</v>
      </c>
      <c r="L17" s="276">
        <f>[4]Brewhouse!$P637</f>
        <v>60</v>
      </c>
      <c r="M17" s="374">
        <f>[4]Brewhouse!$U637-[4]Brewhouse!$T637</f>
        <v>0.1069444444444444</v>
      </c>
      <c r="N17" s="370">
        <f>[4]Brewhouse!$Z637</f>
        <v>0.24027777777777781</v>
      </c>
      <c r="O17" s="420" t="str">
        <f>[4]Brewhouse!$AX637</f>
        <v>K. Benjamin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5" customHeight="1">
      <c r="B18" s="29" t="s">
        <v>6</v>
      </c>
      <c r="C18" s="366" t="str">
        <f>[4]Brewhouse!$A638</f>
        <v>CA590</v>
      </c>
      <c r="D18" s="279">
        <f>[4]Brewhouse!$AF638</f>
        <v>49</v>
      </c>
      <c r="E18" s="279">
        <f>[4]Brewhouse!$AI638</f>
        <v>49.9</v>
      </c>
      <c r="F18" s="278">
        <f>[4]Brewhouse!$V638</f>
        <v>63</v>
      </c>
      <c r="G18" s="279">
        <f>[4]Brewhouse!AG638</f>
        <v>11.6</v>
      </c>
      <c r="H18" s="396">
        <v>11.9</v>
      </c>
      <c r="I18" s="368">
        <f>[4]Brewhouse!$AU638</f>
        <v>96.053814988905671</v>
      </c>
      <c r="J18" s="368">
        <f>[4]Brewhouse!$AV638</f>
        <v>97.103443152185164</v>
      </c>
      <c r="K18" s="281">
        <f>[4]Brewhouse!$Q638</f>
        <v>10.592592592592592</v>
      </c>
      <c r="L18" s="276">
        <f>[4]Brewhouse!$P638</f>
        <v>60</v>
      </c>
      <c r="M18" s="374">
        <f>[4]Brewhouse!$U638-[4]Brewhouse!$T638</f>
        <v>0.11111111111111105</v>
      </c>
      <c r="N18" s="370">
        <f>[4]Brewhouse!$Z638</f>
        <v>0.24791666666666667</v>
      </c>
      <c r="O18" s="420" t="str">
        <f>[4]Brewhouse!$AX638</f>
        <v>K. Benjamin</v>
      </c>
      <c r="P18" s="418"/>
      <c r="R18" s="277" t="str">
        <f t="shared" si="0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6" ht="15" customHeight="1">
      <c r="B19" s="29" t="s">
        <v>6</v>
      </c>
      <c r="C19" s="366" t="str">
        <f>[4]Brewhouse!$A639</f>
        <v>CA591</v>
      </c>
      <c r="D19" s="279">
        <f>[4]Brewhouse!$AF639</f>
        <v>50</v>
      </c>
      <c r="E19" s="279">
        <f>[4]Brewhouse!$AI639</f>
        <v>51.3</v>
      </c>
      <c r="F19" s="278">
        <f>[4]Brewhouse!$V639</f>
        <v>61</v>
      </c>
      <c r="G19" s="279">
        <f>[4]Brewhouse!AG639</f>
        <v>11.8</v>
      </c>
      <c r="H19" s="396">
        <v>11.9</v>
      </c>
      <c r="I19" s="368">
        <f>[4]Brewhouse!$AU639</f>
        <v>99.79568244859415</v>
      </c>
      <c r="J19" s="368">
        <f>[4]Brewhouse!$AV639</f>
        <v>100.88663041924629</v>
      </c>
      <c r="K19" s="281">
        <f>[4]Brewhouse!$Q639</f>
        <v>11.127541589648803</v>
      </c>
      <c r="L19" s="276">
        <f>[4]Brewhouse!$P639</f>
        <v>60</v>
      </c>
      <c r="M19" s="374">
        <f>[4]Brewhouse!$U639-[4]Brewhouse!$T639</f>
        <v>0.10763888888888884</v>
      </c>
      <c r="N19" s="370">
        <f>[4]Brewhouse!$Z639</f>
        <v>0.24444444444444446</v>
      </c>
      <c r="O19" s="420" t="str">
        <f>[4]Brewhouse!$AX639</f>
        <v>K. Benjamin</v>
      </c>
      <c r="P19" s="418"/>
      <c r="R19" s="277" t="str">
        <f t="shared" si="0"/>
        <v>CARIB</v>
      </c>
      <c r="S19" s="472">
        <f t="shared" si="1"/>
        <v>11.6</v>
      </c>
      <c r="T19" s="472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2">
        <f t="shared" si="8"/>
        <v>60</v>
      </c>
    </row>
    <row r="20" spans="1:26" ht="15" customHeight="1">
      <c r="B20" s="29" t="s">
        <v>6</v>
      </c>
      <c r="C20" s="366" t="str">
        <f>[4]Brewhouse!$A640</f>
        <v>CA592</v>
      </c>
      <c r="D20" s="279">
        <f>[4]Brewhouse!$AF640</f>
        <v>49.9</v>
      </c>
      <c r="E20" s="279">
        <f>[4]Brewhouse!$AI640</f>
        <v>51.3</v>
      </c>
      <c r="F20" s="278">
        <f>[4]Brewhouse!$V640</f>
        <v>60</v>
      </c>
      <c r="G20" s="279">
        <f>[4]Brewhouse!AG640</f>
        <v>11.6</v>
      </c>
      <c r="H20" s="396">
        <v>11.8</v>
      </c>
      <c r="I20" s="368">
        <f>[4]Brewhouse!$AU640</f>
        <v>96.232629291944676</v>
      </c>
      <c r="J20" s="368">
        <f>[4]Brewhouse!$AV640</f>
        <v>97.285638129045438</v>
      </c>
      <c r="K20" s="281">
        <f>[4]Brewhouse!$Q640</f>
        <v>13.530499075785581</v>
      </c>
      <c r="L20" s="276">
        <f>[4]Brewhouse!$P640</f>
        <v>61</v>
      </c>
      <c r="M20" s="374">
        <f>[4]Brewhouse!$U640-[4]Brewhouse!$T640</f>
        <v>0.11041666666666661</v>
      </c>
      <c r="N20" s="370">
        <f>[4]Brewhouse!$Z640</f>
        <v>0.25347222222222221</v>
      </c>
      <c r="O20" s="420" t="str">
        <f>[4]Brewhouse!$AX640</f>
        <v xml:space="preserve">P. Calliste </v>
      </c>
      <c r="P20" s="418"/>
      <c r="R20" s="277"/>
      <c r="S20" s="472"/>
      <c r="T20" s="472"/>
      <c r="U20" s="297"/>
      <c r="V20" s="297"/>
      <c r="W20" s="297"/>
      <c r="X20" s="297"/>
      <c r="Y20" s="297"/>
      <c r="Z20" s="472"/>
    </row>
    <row r="21" spans="1:26" ht="1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503"/>
      <c r="N21" s="370"/>
      <c r="O21" s="420"/>
      <c r="P21" s="418"/>
      <c r="R21" s="277"/>
      <c r="S21" s="472"/>
      <c r="T21" s="472"/>
      <c r="U21" s="297"/>
      <c r="V21" s="297"/>
      <c r="W21" s="297"/>
      <c r="X21" s="297"/>
      <c r="Y21" s="297"/>
      <c r="Z21" s="472"/>
    </row>
    <row r="22" spans="1:26" ht="1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503"/>
      <c r="N22" s="370"/>
      <c r="O22" s="420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503"/>
      <c r="N23" s="370"/>
      <c r="O23" s="420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503"/>
      <c r="N24" s="370"/>
      <c r="O24" s="420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503"/>
      <c r="N25" s="370"/>
      <c r="O25" s="420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503"/>
      <c r="N26" s="370"/>
      <c r="O26" s="420"/>
      <c r="P26" s="418"/>
      <c r="R26" s="277"/>
      <c r="S26" s="472"/>
      <c r="T26" s="472"/>
      <c r="U26" s="297"/>
      <c r="V26" s="297"/>
      <c r="W26" s="297"/>
      <c r="X26" s="297"/>
      <c r="Y26" s="297"/>
      <c r="Z26" s="472"/>
    </row>
    <row r="27" spans="1:26" ht="1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420"/>
      <c r="P27" s="418"/>
      <c r="R27" s="277"/>
      <c r="S27" s="472"/>
      <c r="T27" s="472"/>
      <c r="U27" s="297"/>
      <c r="V27" s="297"/>
      <c r="W27" s="297"/>
      <c r="X27" s="297"/>
      <c r="Y27" s="297"/>
      <c r="Z27" s="472"/>
    </row>
    <row r="28" spans="1:26" ht="1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420"/>
      <c r="P28" s="418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7.25" customHeight="1" thickBot="1">
      <c r="B29" s="358"/>
      <c r="C29" s="358"/>
      <c r="D29" s="358"/>
      <c r="E29" s="358"/>
      <c r="F29" s="294"/>
      <c r="G29" s="294"/>
      <c r="H29" s="348"/>
      <c r="I29" s="528"/>
      <c r="J29" s="528"/>
      <c r="K29" s="528"/>
      <c r="L29" s="528"/>
      <c r="M29" s="528"/>
      <c r="N29" s="528"/>
      <c r="O29" s="1"/>
      <c r="P29" s="12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7.25" customHeight="1" thickBot="1">
      <c r="B30" s="489" t="s">
        <v>162</v>
      </c>
      <c r="C30" s="388"/>
      <c r="D30" s="529" t="s">
        <v>35</v>
      </c>
      <c r="E30" s="530"/>
      <c r="F30" s="294"/>
      <c r="G30" s="294"/>
      <c r="H30" s="348"/>
      <c r="I30" s="24" t="s">
        <v>17</v>
      </c>
      <c r="J30" s="25"/>
      <c r="K30" s="26" t="s">
        <v>138</v>
      </c>
      <c r="L30" s="25" t="s">
        <v>37</v>
      </c>
      <c r="M30" s="25" t="s">
        <v>38</v>
      </c>
      <c r="N30" s="27" t="s">
        <v>39</v>
      </c>
      <c r="O30" s="294"/>
      <c r="P30" s="12"/>
      <c r="R30" s="277" t="str">
        <f t="shared" si="0"/>
        <v xml:space="preserve">BRAND 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7.25" customHeight="1">
      <c r="A31" s="28"/>
      <c r="B31" s="541"/>
      <c r="C31" s="490"/>
      <c r="D31" s="534"/>
      <c r="E31" s="535"/>
      <c r="F31" s="294"/>
      <c r="G31" s="294"/>
      <c r="H31" s="348"/>
      <c r="I31" s="29" t="s">
        <v>6</v>
      </c>
      <c r="J31" s="323">
        <f>AVERAGE(I15:I20)</f>
        <v>96.220157861502571</v>
      </c>
      <c r="K31" s="284">
        <f>COUNTA([4]Brewhouse!$A$595:$A$634)</f>
        <v>40</v>
      </c>
      <c r="L31" s="305">
        <f>AVERAGE([4]Brewhouse!$AU$595:$AU$634)</f>
        <v>99.367816514833734</v>
      </c>
      <c r="M31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AVERAGE([4]Brewhouse!$AU$42:$AU$123,[4]Brewhouse!$AU$125:$AU$188,[4]Brewhouse!$AU$198:$AU$290,[4]Brewhouse!$AU$292:$AU$370,[4]Brewhouse!$AU$372:$AU$439,[4]Brewhouse!$AU$441:$AU$497,[4]Brewhouse!$AU$499:$AU$519,[4]Brewhouse!$AU$521:$AU$593,[4]Brewhouse!$AU$595:$AU$634)</f>
        <v>98.251792850883604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5" customHeight="1">
      <c r="A32" s="28"/>
      <c r="B32" s="542"/>
      <c r="C32" s="362"/>
      <c r="D32" s="536"/>
      <c r="E32" s="537"/>
      <c r="F32" s="294"/>
      <c r="G32" s="294"/>
      <c r="H32" s="348"/>
      <c r="I32" s="33" t="s">
        <v>9</v>
      </c>
      <c r="J32" s="323">
        <f>AVERAGE(I10:I13)</f>
        <v>102.12235232711728</v>
      </c>
      <c r="K32" s="284">
        <f>COUNTA([3]Brewhouse!$A$327:$A$353)</f>
        <v>27</v>
      </c>
      <c r="L32" s="302">
        <f>AVERAGE([3]Brewhouse!$AS$327:$AS$353)</f>
        <v>99.545759939380616</v>
      </c>
      <c r="M32" s="302">
        <f>AVERAGE([3]Brewhouse!$AS$52:$AS$81,[3]Brewhouse!$AS$83:$AS$124,[3]Brewhouse!$AS$134:$AS$177,[3]Brewhouse!$AS$22:$AS$179,[3]Brewhouse!$AS$214:$AS$249,[3]Brewhouse!$AS$252:$AS$293,[3]Brewhouse!$AS$295:$AS$325,[3]Brewhouse!$AS$327:$AS$353)</f>
        <v>98.236986123572123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7" ht="14.65" customHeight="1">
      <c r="A33" s="28"/>
      <c r="B33" s="542"/>
      <c r="C33" s="362"/>
      <c r="D33" s="538"/>
      <c r="E33" s="539"/>
      <c r="F33" s="294"/>
      <c r="G33" s="294"/>
      <c r="H33" s="348"/>
      <c r="I33" s="34" t="s">
        <v>12</v>
      </c>
      <c r="J33" s="323"/>
      <c r="K33" s="284">
        <f>COUNTA([5]Brewhouse!$A$90:$A$97)</f>
        <v>8</v>
      </c>
      <c r="L33" s="302">
        <f>AVERAGE([5]Brewhouse!$AU$90:$AU$97)</f>
        <v>96.342250509798717</v>
      </c>
      <c r="M33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27" ht="14.65" customHeight="1">
      <c r="A34" s="28"/>
      <c r="B34" s="542"/>
      <c r="C34" s="362"/>
      <c r="D34" s="540"/>
      <c r="E34" s="537"/>
      <c r="F34" s="294"/>
      <c r="G34" s="294"/>
      <c r="H34" s="348"/>
      <c r="I34" s="22" t="s">
        <v>33</v>
      </c>
      <c r="J34" s="280"/>
      <c r="K34" s="284"/>
      <c r="L34" s="302"/>
      <c r="M34" s="302">
        <f>AVERAGE([6]Brewhouse!$AV$23:$AV$34,[6]Brewhouse!$AV$36,[6]Brewhouse!$AV$38:$AV$52,[6]Brewhouse!$AV$54:$AV$60,[6]Brewhouse!$AV$62:$AV$69,[6]Brewhouse!$AV$71:$AV$78,[6]Brewhouse!$AV$80:$AV$87)</f>
        <v>97.513042763382714</v>
      </c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27" ht="14.65" customHeight="1">
      <c r="A35" s="28"/>
      <c r="B35" s="542"/>
      <c r="C35" s="362"/>
      <c r="D35" s="538"/>
      <c r="E35" s="539"/>
      <c r="F35" s="294"/>
      <c r="G35" s="294"/>
      <c r="H35" s="348"/>
      <c r="I35" s="35" t="s">
        <v>29</v>
      </c>
      <c r="J35" s="280"/>
      <c r="K35" s="284"/>
      <c r="L35" s="302"/>
      <c r="M35" s="302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27" ht="14.65" customHeight="1">
      <c r="A36" s="28"/>
      <c r="B36" s="542"/>
      <c r="C36" s="362"/>
      <c r="D36" s="540"/>
      <c r="E36" s="537"/>
      <c r="F36" s="417"/>
      <c r="G36" s="294"/>
      <c r="H36" s="348"/>
      <c r="I36" s="36" t="s">
        <v>15</v>
      </c>
      <c r="J36" s="323"/>
      <c r="K36" s="284"/>
      <c r="L36" s="302"/>
      <c r="M36" s="302">
        <f>AVERAGE([7]Brewhouse!$AT$4:$AT$11,[7]Brewhouse!$AT$13:$AT$16,[7]Brewhouse!$AT$18:$AT$21)</f>
        <v>91.832675391763644</v>
      </c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27" ht="14.65" customHeight="1">
      <c r="A37" s="28"/>
      <c r="B37" s="542"/>
      <c r="C37" s="362"/>
      <c r="D37" s="538"/>
      <c r="E37" s="539"/>
      <c r="F37" s="417"/>
      <c r="G37" s="294"/>
      <c r="H37" s="348"/>
      <c r="I37" s="37" t="s">
        <v>16</v>
      </c>
      <c r="J37" s="323"/>
      <c r="K37" s="284">
        <f>COUNTA([8]Brewhouse!$A$84:$A$91)</f>
        <v>8</v>
      </c>
      <c r="L37" s="302">
        <f>AVERAGE([8]Brewhouse!$AY$84:$AY$91)</f>
        <v>97.517044199257398</v>
      </c>
      <c r="M37" s="302">
        <f>AVERAGE([8]Brewhouse!$AY$5:$AY$14,[8]Brewhouse!$AY$16:$AY$23,[8]Brewhouse!$AY$42,[8]Brewhouse!$AY$44:$AY$51,[8]Brewhouse!$AY$53:$AY$64,[8]Brewhouse!$AY$66:$AY$73,[8]Brewhouse!$AY$75:$AY$82,[8]Brewhouse!$AY$84:$AY$91)</f>
        <v>98.050826041639255</v>
      </c>
      <c r="N37" s="30">
        <v>98</v>
      </c>
      <c r="O37" s="11"/>
      <c r="P37" s="31" t="s">
        <v>41</v>
      </c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1:27" ht="14.65" customHeight="1">
      <c r="A38" s="28"/>
      <c r="B38" s="542"/>
      <c r="C38" s="362"/>
      <c r="D38" s="540"/>
      <c r="E38" s="537"/>
      <c r="F38" s="294"/>
      <c r="G38" s="294"/>
      <c r="H38" s="348"/>
      <c r="I38" s="411" t="s">
        <v>158</v>
      </c>
      <c r="J38" s="326"/>
      <c r="K38" s="284"/>
      <c r="L38" s="305"/>
      <c r="M38" s="305"/>
      <c r="N38" s="30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</row>
    <row r="39" spans="1:27" ht="14.65" customHeight="1">
      <c r="A39" s="28"/>
      <c r="B39" s="542"/>
      <c r="C39" s="362"/>
      <c r="D39" s="538"/>
      <c r="E39" s="539"/>
      <c r="F39" s="294"/>
      <c r="G39" s="294"/>
      <c r="H39" s="348"/>
      <c r="I39" s="410" t="s">
        <v>157</v>
      </c>
      <c r="J39" s="326"/>
      <c r="K39" s="284"/>
      <c r="L39" s="305"/>
      <c r="M39" s="305"/>
      <c r="N39" s="30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27" ht="15" customHeight="1" thickBot="1">
      <c r="A40" s="28"/>
      <c r="B40" s="542"/>
      <c r="C40" s="362"/>
      <c r="D40" s="540"/>
      <c r="E40" s="537"/>
      <c r="F40" s="294"/>
      <c r="G40" s="294"/>
      <c r="H40" s="348"/>
      <c r="I40" s="406" t="s">
        <v>156</v>
      </c>
      <c r="J40" s="327"/>
      <c r="K40" s="407"/>
      <c r="L40" s="408"/>
      <c r="M40" s="408"/>
      <c r="N40" s="409">
        <v>98</v>
      </c>
      <c r="O40" s="11"/>
      <c r="P40" s="31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27" ht="15" customHeight="1" thickBot="1">
      <c r="A41" s="28"/>
      <c r="B41" s="542"/>
      <c r="C41" s="349"/>
      <c r="D41" s="534"/>
      <c r="E41" s="535"/>
      <c r="F41" s="294"/>
      <c r="G41" s="294"/>
      <c r="H41" s="348"/>
      <c r="I41" s="1"/>
      <c r="J41" s="39"/>
      <c r="K41" s="404">
        <f>SUM(K31:K40)</f>
        <v>83</v>
      </c>
      <c r="L41" s="405">
        <f>((L31*K31)+(L32*K32)+(L33*K33)+(L34*K34)+(L35*K35)+(K38*L38)+(L36*K36)+(L37*K37)+(L40*K40))/(K41)</f>
        <v>98.955693212398501</v>
      </c>
      <c r="M41" s="405">
        <f>AVERAGE('[9]Jan30th-31st'!$L$42,'[10]Feb 27th-28th'!$L$45,'[11]Mar 31st'!$L$42,'[12]Apr 30th'!$L$41,'[13]May 29th '!$L$35,'[14]June 30th'!$L$32,[15]July31st!$L$36,L41)</f>
        <v>98.026445645733389</v>
      </c>
      <c r="N41" s="40">
        <v>98</v>
      </c>
      <c r="O41" s="11"/>
      <c r="P41" s="31"/>
      <c r="R41" s="277">
        <f t="shared" si="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  <c r="AA41" s="472"/>
    </row>
    <row r="42" spans="1:27" ht="15.75" thickBot="1">
      <c r="B42" s="606"/>
      <c r="C42" s="350"/>
      <c r="D42" s="536"/>
      <c r="E42" s="537"/>
      <c r="F42" s="294"/>
      <c r="G42" s="42"/>
      <c r="H42" s="41"/>
      <c r="I42" s="42"/>
      <c r="J42" s="42"/>
      <c r="K42" s="351"/>
      <c r="L42" s="348"/>
      <c r="M42" s="348"/>
      <c r="N42" s="11"/>
      <c r="O42" s="294"/>
      <c r="P42" s="12"/>
      <c r="R42" s="277">
        <f t="shared" si="0"/>
        <v>0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  <c r="AA42" s="472"/>
    </row>
    <row r="43" spans="1:27" ht="15.75" thickBot="1">
      <c r="B43" s="541"/>
      <c r="C43" s="362"/>
      <c r="D43" s="534"/>
      <c r="E43" s="535"/>
      <c r="F43" s="294"/>
      <c r="G43" s="42"/>
      <c r="H43" s="41"/>
      <c r="I43" s="42"/>
      <c r="J43" s="544" t="s">
        <v>129</v>
      </c>
      <c r="K43" s="544"/>
      <c r="L43" s="294"/>
      <c r="M43" s="294"/>
      <c r="N43" s="294"/>
      <c r="O43" s="294"/>
      <c r="P43" s="12"/>
    </row>
    <row r="44" spans="1:27" ht="15.75" thickBot="1">
      <c r="B44" s="542"/>
      <c r="C44" s="362"/>
      <c r="D44" s="536"/>
      <c r="E44" s="537"/>
      <c r="F44" s="294"/>
      <c r="G44" s="42"/>
      <c r="H44" s="42"/>
      <c r="I44" s="42"/>
      <c r="J44" s="292" t="s">
        <v>17</v>
      </c>
      <c r="K44" s="293"/>
      <c r="L44" s="545" t="s">
        <v>136</v>
      </c>
      <c r="M44" s="545"/>
      <c r="N44" s="546"/>
      <c r="O44" s="294"/>
      <c r="P44" s="12"/>
    </row>
    <row r="45" spans="1:27" ht="15" customHeight="1" thickBot="1">
      <c r="B45" s="542"/>
      <c r="C45" s="349"/>
      <c r="D45" s="538"/>
      <c r="E45" s="539"/>
      <c r="F45" s="294"/>
      <c r="G45" s="42"/>
      <c r="H45" s="42"/>
      <c r="I45" s="42"/>
      <c r="J45" s="287" t="s">
        <v>6</v>
      </c>
      <c r="K45" s="324">
        <v>6</v>
      </c>
      <c r="L45" s="473" t="s">
        <v>37</v>
      </c>
      <c r="M45" s="474" t="s">
        <v>38</v>
      </c>
      <c r="N45" s="474" t="s">
        <v>84</v>
      </c>
      <c r="O45" s="294"/>
      <c r="P45" s="12"/>
    </row>
    <row r="46" spans="1:27" ht="15.75" customHeight="1" thickBot="1">
      <c r="B46" s="542"/>
      <c r="C46" s="349"/>
      <c r="D46" s="540"/>
      <c r="E46" s="537"/>
      <c r="F46" s="294"/>
      <c r="G46" s="42"/>
      <c r="H46" s="42"/>
      <c r="I46" s="42"/>
      <c r="J46" s="345" t="s">
        <v>9</v>
      </c>
      <c r="K46" s="324">
        <v>4</v>
      </c>
      <c r="L46" s="494">
        <f>AVERAGE(K55,'Aug 3rd '!K47,'Aug 2nd'!K52,'Aug 4th'!K47,'Aug 5th'!K51,'Aug 6th'!K51,'Aug 7th'!K51,'Aug 12th'!K51,I55,'Aug 13th '!K51,'Aug 14th&amp;15th'!I55,'Aug 17th '!K55,'Aug 18th'!K55)</f>
        <v>6.583333333333333</v>
      </c>
      <c r="M46" s="495">
        <f>AVERAGE('[9]Jan30th-31st'!$L$47,L46,'[10]Feb 26th '!$L$39,'[11]Mar 31st'!$L$47,'[12]Apr 30th'!$L$46,'[13]May 29th '!$L$40,'[14]June 30th'!$L$39,[15]July31st!$L$41)</f>
        <v>6.3688386794365055</v>
      </c>
      <c r="N46" s="416">
        <v>9.1999999999999993</v>
      </c>
      <c r="O46" s="294"/>
      <c r="P46" s="12"/>
    </row>
    <row r="47" spans="1:27" ht="15" customHeight="1">
      <c r="B47" s="542"/>
      <c r="C47" s="349"/>
      <c r="D47" s="538"/>
      <c r="E47" s="539"/>
      <c r="F47" s="294"/>
      <c r="G47" s="42"/>
      <c r="H47" s="42"/>
      <c r="I47" s="42"/>
      <c r="J47" s="288" t="s">
        <v>40</v>
      </c>
      <c r="K47" s="324"/>
      <c r="L47" s="294"/>
      <c r="M47" s="294"/>
      <c r="N47" s="294"/>
      <c r="O47" s="294"/>
      <c r="P47" s="12"/>
    </row>
    <row r="48" spans="1:27" ht="15" customHeight="1">
      <c r="B48" s="542"/>
      <c r="C48" s="349"/>
      <c r="D48" s="540"/>
      <c r="E48" s="537"/>
      <c r="F48" s="294"/>
      <c r="G48" s="42"/>
      <c r="H48" s="42"/>
      <c r="I48" s="42"/>
      <c r="J48" s="289" t="s">
        <v>33</v>
      </c>
      <c r="K48" s="324"/>
      <c r="L48" s="294"/>
      <c r="M48" s="294"/>
      <c r="N48" s="294"/>
      <c r="O48" s="294"/>
      <c r="P48" s="12"/>
    </row>
    <row r="49" spans="2:57" ht="15">
      <c r="B49" s="542"/>
      <c r="C49" s="349"/>
      <c r="D49" s="538"/>
      <c r="E49" s="539"/>
      <c r="F49" s="294"/>
      <c r="G49" s="42"/>
      <c r="H49" s="42"/>
      <c r="I49" s="42"/>
      <c r="J49" s="290" t="s">
        <v>16</v>
      </c>
      <c r="K49" s="324"/>
      <c r="L49" s="294"/>
      <c r="M49" s="294"/>
      <c r="N49" s="294"/>
      <c r="O49" s="294"/>
      <c r="P49" s="12"/>
      <c r="BC49" s="44"/>
      <c r="BD49" s="44"/>
    </row>
    <row r="50" spans="2:57" ht="15">
      <c r="B50" s="542"/>
      <c r="C50" s="349"/>
      <c r="D50" s="540"/>
      <c r="E50" s="537"/>
      <c r="F50" s="294"/>
      <c r="G50" s="42"/>
      <c r="H50" s="42"/>
      <c r="I50" s="42"/>
      <c r="J50" s="291" t="s">
        <v>15</v>
      </c>
      <c r="K50" s="324"/>
      <c r="L50" s="294"/>
      <c r="M50" s="294"/>
      <c r="N50" s="294"/>
      <c r="O50" s="294"/>
      <c r="P50" s="12"/>
      <c r="BC50" s="44"/>
      <c r="BD50" s="44"/>
    </row>
    <row r="51" spans="2:57" ht="15">
      <c r="B51" s="542"/>
      <c r="C51" s="349"/>
      <c r="D51" s="538"/>
      <c r="E51" s="539"/>
      <c r="F51" s="294"/>
      <c r="G51" s="42"/>
      <c r="H51" s="42"/>
      <c r="I51" s="42"/>
      <c r="J51" s="291" t="s">
        <v>149</v>
      </c>
      <c r="K51" s="324"/>
      <c r="L51" s="294"/>
      <c r="M51" s="294"/>
      <c r="N51" s="294"/>
      <c r="O51" s="294"/>
      <c r="P51" s="12"/>
      <c r="BC51" s="44"/>
      <c r="BD51" s="44"/>
    </row>
    <row r="52" spans="2:57" ht="15.75" thickBot="1">
      <c r="B52" s="543"/>
      <c r="C52" s="350"/>
      <c r="D52" s="547"/>
      <c r="E52" s="548"/>
      <c r="F52" s="294" t="s">
        <v>166</v>
      </c>
      <c r="G52" s="42"/>
      <c r="H52" s="42"/>
      <c r="I52" s="42"/>
      <c r="J52" s="291" t="s">
        <v>148</v>
      </c>
      <c r="K52" s="324"/>
      <c r="L52" s="294"/>
      <c r="M52" s="294"/>
      <c r="N52" s="294" t="s">
        <v>41</v>
      </c>
      <c r="O52" s="294"/>
      <c r="P52" s="12"/>
      <c r="BC52" s="44"/>
      <c r="BD52" s="44"/>
    </row>
    <row r="53" spans="2:57" ht="17.649999999999999" customHeight="1" thickBot="1">
      <c r="B53" s="312" t="s">
        <v>139</v>
      </c>
      <c r="C53" s="313"/>
      <c r="D53" s="549"/>
      <c r="E53" s="550"/>
      <c r="F53" s="294"/>
      <c r="J53" s="295" t="s">
        <v>134</v>
      </c>
      <c r="K53" s="324"/>
      <c r="L53" s="294"/>
      <c r="M53" s="294"/>
      <c r="N53" s="294"/>
      <c r="O53" s="294"/>
      <c r="P53" s="12"/>
      <c r="BC53" s="44"/>
      <c r="BD53" s="44"/>
    </row>
    <row r="54" spans="2:57" ht="17.649999999999999" customHeight="1">
      <c r="B54" s="363"/>
      <c r="C54" s="364"/>
      <c r="D54" s="365"/>
      <c r="E54" s="365"/>
      <c r="F54" s="294"/>
      <c r="G54" s="42"/>
      <c r="H54" s="42"/>
      <c r="I54" s="42"/>
      <c r="J54" s="295" t="s">
        <v>131</v>
      </c>
      <c r="K54" s="324"/>
      <c r="L54" s="294"/>
      <c r="M54" s="294"/>
      <c r="N54" s="294"/>
      <c r="O54" s="294"/>
      <c r="P54" s="12"/>
      <c r="BC54" s="44"/>
      <c r="BD54" s="44"/>
    </row>
    <row r="55" spans="2:57" ht="15.6" customHeight="1">
      <c r="B55" s="45"/>
      <c r="C55" s="11"/>
      <c r="D55" s="11"/>
      <c r="E55" s="46"/>
      <c r="F55" s="294"/>
      <c r="G55" s="42"/>
      <c r="H55" s="42"/>
      <c r="I55" s="42"/>
      <c r="J55" s="346" t="s">
        <v>130</v>
      </c>
      <c r="K55" s="324">
        <f>SUM(K45:K54)</f>
        <v>10</v>
      </c>
      <c r="L55" s="294"/>
      <c r="M55" s="294"/>
      <c r="N55" s="294"/>
      <c r="O55" s="294"/>
      <c r="P55" s="12"/>
    </row>
    <row r="56" spans="2:57" ht="20.25" customHeight="1">
      <c r="B56" s="15" t="s">
        <v>42</v>
      </c>
      <c r="C56" s="1" t="s">
        <v>43</v>
      </c>
      <c r="D56" s="1"/>
      <c r="E56" s="1"/>
      <c r="F56" s="294"/>
      <c r="G56" s="42"/>
      <c r="H56" s="41"/>
      <c r="I56" s="42"/>
      <c r="L56" s="42"/>
      <c r="N56" s="315"/>
      <c r="P56" s="334"/>
    </row>
    <row r="57" spans="2:57" ht="15" customHeight="1" thickBot="1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1"/>
      <c r="O57" s="48"/>
      <c r="P57" s="49"/>
    </row>
    <row r="58" spans="2:57" ht="15" customHeight="1" thickBot="1">
      <c r="B58" s="551" t="s">
        <v>17</v>
      </c>
      <c r="C58" s="551" t="s">
        <v>44</v>
      </c>
      <c r="D58" s="554" t="s">
        <v>45</v>
      </c>
      <c r="E58" s="519" t="s">
        <v>46</v>
      </c>
      <c r="F58" s="568" t="s">
        <v>47</v>
      </c>
      <c r="G58" s="563" t="s">
        <v>48</v>
      </c>
      <c r="H58" s="551" t="s">
        <v>49</v>
      </c>
      <c r="I58" s="551" t="s">
        <v>50</v>
      </c>
      <c r="J58" s="557" t="s">
        <v>28</v>
      </c>
      <c r="K58" s="517" t="s">
        <v>51</v>
      </c>
      <c r="L58" s="566" t="s">
        <v>52</v>
      </c>
      <c r="M58" s="557" t="s">
        <v>53</v>
      </c>
      <c r="N58" s="13"/>
      <c r="O58" s="13"/>
      <c r="P58" s="50"/>
    </row>
    <row r="59" spans="2:57" ht="28.5" customHeight="1" thickTop="1" thickBot="1">
      <c r="B59" s="552"/>
      <c r="C59" s="553"/>
      <c r="D59" s="555"/>
      <c r="E59" s="556"/>
      <c r="F59" s="569"/>
      <c r="G59" s="564"/>
      <c r="H59" s="552"/>
      <c r="I59" s="552"/>
      <c r="J59" s="558"/>
      <c r="K59" s="565"/>
      <c r="L59" s="567"/>
      <c r="M59" s="558"/>
      <c r="N59" s="13"/>
      <c r="O59" s="13"/>
      <c r="P59" s="50"/>
      <c r="Q59" s="355"/>
      <c r="AB59" s="475">
        <v>43474</v>
      </c>
      <c r="AC59" s="475">
        <v>43475</v>
      </c>
      <c r="AD59" s="475">
        <v>43476</v>
      </c>
      <c r="AE59" s="475">
        <v>43477</v>
      </c>
      <c r="AF59" s="475">
        <v>43478</v>
      </c>
      <c r="AG59" s="475">
        <v>43479</v>
      </c>
      <c r="AH59" s="475">
        <v>43480</v>
      </c>
      <c r="AI59" s="475">
        <v>43481</v>
      </c>
      <c r="AJ59" s="475">
        <v>43482</v>
      </c>
      <c r="AK59" s="475">
        <v>43483</v>
      </c>
      <c r="AL59" s="475">
        <v>43484</v>
      </c>
      <c r="AM59" s="475">
        <v>43485</v>
      </c>
      <c r="AN59" s="475">
        <v>43486</v>
      </c>
      <c r="AO59" s="475">
        <v>43487</v>
      </c>
      <c r="AP59" s="475">
        <v>43488</v>
      </c>
      <c r="AQ59" s="475">
        <v>43489</v>
      </c>
      <c r="AR59" s="475">
        <v>43490</v>
      </c>
      <c r="AS59" s="475">
        <v>43491</v>
      </c>
      <c r="AT59" s="475">
        <v>43492</v>
      </c>
      <c r="AU59" s="475">
        <v>43493</v>
      </c>
      <c r="AV59" s="475">
        <v>43494</v>
      </c>
      <c r="AW59" s="475">
        <v>43495</v>
      </c>
      <c r="AX59" s="475">
        <v>43496</v>
      </c>
    </row>
    <row r="60" spans="2:57" s="54" customFormat="1" ht="36.75" customHeight="1" thickBot="1">
      <c r="B60" s="484"/>
      <c r="C60" s="479"/>
      <c r="D60" s="445"/>
      <c r="E60" s="443"/>
      <c r="F60" s="444"/>
      <c r="G60" s="444"/>
      <c r="H60" s="458"/>
      <c r="I60" s="458"/>
      <c r="J60" s="448"/>
      <c r="K60" s="449"/>
      <c r="L60" s="457" t="e">
        <f>(((D60+E60)-G60)/(D60+E60))*100</f>
        <v>#DIV/0!</v>
      </c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[16]January_2019!L5</f>
        <v>0</v>
      </c>
      <c r="AC60" s="57">
        <f>[16]January_2019!M5</f>
        <v>0</v>
      </c>
      <c r="AD60" s="57">
        <f>[16]January_2019!N5</f>
        <v>0</v>
      </c>
      <c r="AE60" s="57">
        <f>[16]January_2019!O5</f>
        <v>0</v>
      </c>
      <c r="AF60" s="57">
        <f>[16]January_2019!P5</f>
        <v>0</v>
      </c>
      <c r="AG60" s="57">
        <f>[16]January_2019!Q5</f>
        <v>0</v>
      </c>
      <c r="AH60" s="57">
        <f>[16]January_2019!R5</f>
        <v>0</v>
      </c>
      <c r="AI60" s="57">
        <f>[16]January_2019!S5</f>
        <v>0</v>
      </c>
      <c r="AJ60" s="57">
        <f>[16]January_2019!T5</f>
        <v>0</v>
      </c>
      <c r="AK60" s="57">
        <f>[16]January_2019!U5</f>
        <v>0</v>
      </c>
      <c r="AL60" s="57">
        <f>[16]January_2019!V5</f>
        <v>0</v>
      </c>
      <c r="AM60" s="57">
        <f>[16]January_2019!W5</f>
        <v>0</v>
      </c>
      <c r="AN60" s="57">
        <f>[16]January_2019!X5</f>
        <v>0</v>
      </c>
      <c r="AO60" s="57">
        <f>[16]January_2019!Y5</f>
        <v>0</v>
      </c>
      <c r="AP60" s="57">
        <f>[16]January_2019!Z5</f>
        <v>0</v>
      </c>
      <c r="AQ60" s="57">
        <f>[16]January_2019!AA5</f>
        <v>0</v>
      </c>
      <c r="AR60" s="57">
        <f>[16]January_2019!AB5</f>
        <v>0</v>
      </c>
      <c r="AS60" s="57">
        <f>[16]January_2019!AC5</f>
        <v>0</v>
      </c>
      <c r="AT60" s="57">
        <f>[16]January_2019!AD5</f>
        <v>0</v>
      </c>
      <c r="AU60" s="57">
        <f>[16]January_2019!AE5</f>
        <v>0</v>
      </c>
      <c r="AV60" s="57">
        <f>[16]January_2019!AF5</f>
        <v>0</v>
      </c>
      <c r="AW60" s="57">
        <f>[16]January_2019!AG5</f>
        <v>0</v>
      </c>
      <c r="AX60" s="277">
        <f>[16]January_2019!AH5</f>
        <v>0</v>
      </c>
      <c r="AY60" s="277"/>
      <c r="AZ60" s="277"/>
      <c r="BA60" s="277"/>
      <c r="BB60" s="277"/>
      <c r="BC60" s="277"/>
      <c r="BD60" s="277"/>
      <c r="BE60" s="277"/>
    </row>
    <row r="61" spans="2:57" s="54" customFormat="1" ht="14.25" customHeight="1" thickBot="1">
      <c r="B61" s="480"/>
      <c r="C61" s="479"/>
      <c r="D61" s="442"/>
      <c r="E61" s="443"/>
      <c r="F61" s="444"/>
      <c r="G61" s="445"/>
      <c r="H61" s="458"/>
      <c r="I61" s="458"/>
      <c r="J61" s="476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>
        <f>[16]January_2019!L6</f>
        <v>0</v>
      </c>
      <c r="AC61" s="57">
        <f>[16]January_2019!M6</f>
        <v>0</v>
      </c>
      <c r="AD61" s="57">
        <f>[16]January_2019!N6</f>
        <v>0</v>
      </c>
      <c r="AE61" s="57">
        <f>[16]January_2019!O6</f>
        <v>0</v>
      </c>
      <c r="AF61" s="57">
        <f>[16]January_2019!P6</f>
        <v>0</v>
      </c>
      <c r="AG61" s="57">
        <f>[16]January_2019!Q6</f>
        <v>0</v>
      </c>
      <c r="AH61" s="57">
        <f>[16]January_2019!R6</f>
        <v>0</v>
      </c>
      <c r="AI61" s="57">
        <f>[16]January_2019!S6</f>
        <v>0</v>
      </c>
      <c r="AJ61" s="57">
        <f>[16]January_2019!T6</f>
        <v>0</v>
      </c>
      <c r="AK61" s="57">
        <f>[16]January_2019!U6</f>
        <v>0</v>
      </c>
      <c r="AL61" s="57">
        <f>[16]January_2019!V6</f>
        <v>0</v>
      </c>
      <c r="AM61" s="57">
        <f>[16]January_2019!W6</f>
        <v>0</v>
      </c>
      <c r="AN61" s="57">
        <f>[16]January_2019!X6</f>
        <v>0</v>
      </c>
      <c r="AO61" s="57">
        <f>[16]January_2019!Y6</f>
        <v>0</v>
      </c>
      <c r="AP61" s="57">
        <f>[16]January_2019!Z6</f>
        <v>0</v>
      </c>
      <c r="AQ61" s="57">
        <f>[16]January_2019!AA6</f>
        <v>0</v>
      </c>
      <c r="AR61" s="57">
        <f>[16]January_2019!AB6</f>
        <v>0</v>
      </c>
      <c r="AS61" s="57">
        <f>[16]January_2019!AC6</f>
        <v>0</v>
      </c>
      <c r="AT61" s="57">
        <f>[16]January_2019!AD6</f>
        <v>0</v>
      </c>
      <c r="AU61" s="57">
        <f>[16]January_2019!AE6</f>
        <v>0</v>
      </c>
      <c r="AV61" s="57">
        <f>[16]January_2019!AF6</f>
        <v>0</v>
      </c>
      <c r="AW61" s="57">
        <f>[16]January_2019!AG6</f>
        <v>0</v>
      </c>
      <c r="AX61" s="277">
        <f>[16]January_2019!AH6</f>
        <v>0</v>
      </c>
      <c r="AY61" s="277"/>
      <c r="AZ61" s="277"/>
      <c r="BA61" s="277"/>
      <c r="BB61" s="277"/>
      <c r="BC61" s="277"/>
      <c r="BD61" s="277"/>
      <c r="BE61" s="277"/>
    </row>
    <row r="62" spans="2:57" s="54" customFormat="1" ht="37.15" hidden="1" customHeight="1" thickBot="1">
      <c r="B62" s="456"/>
      <c r="C62" s="479"/>
      <c r="D62" s="442"/>
      <c r="E62" s="443"/>
      <c r="F62" s="444"/>
      <c r="G62" s="444"/>
      <c r="H62" s="458"/>
      <c r="I62" s="458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[16]January_2019!L7</f>
        <v>285.8</v>
      </c>
      <c r="AC62" s="57">
        <f>[16]January_2019!M7</f>
        <v>508.1</v>
      </c>
      <c r="AD62" s="57">
        <f>[16]January_2019!N7</f>
        <v>0</v>
      </c>
      <c r="AE62" s="57">
        <f>[16]January_2019!O7</f>
        <v>0</v>
      </c>
      <c r="AF62" s="57">
        <f>[16]January_2019!P7</f>
        <v>109.56666666666666</v>
      </c>
      <c r="AG62" s="57">
        <f>[16]January_2019!Q7</f>
        <v>297.64999999999998</v>
      </c>
      <c r="AH62" s="57">
        <f>[16]January_2019!R7</f>
        <v>122.3</v>
      </c>
      <c r="AI62" s="57">
        <f>[16]January_2019!S7</f>
        <v>0</v>
      </c>
      <c r="AJ62" s="57">
        <f>[16]January_2019!T7</f>
        <v>294.7</v>
      </c>
      <c r="AK62" s="57">
        <f>[16]January_2019!U7</f>
        <v>280.5</v>
      </c>
      <c r="AL62" s="57">
        <f>[16]January_2019!V7</f>
        <v>0</v>
      </c>
      <c r="AM62" s="57">
        <f>[16]January_2019!W7</f>
        <v>0</v>
      </c>
      <c r="AN62" s="57">
        <f>[16]January_2019!X7</f>
        <v>188.25</v>
      </c>
      <c r="AO62" s="57">
        <f>[16]January_2019!Y7</f>
        <v>295.7</v>
      </c>
      <c r="AP62" s="57">
        <f>[16]January_2019!Z7</f>
        <v>257.8</v>
      </c>
      <c r="AQ62" s="57">
        <f>[16]January_2019!AA7</f>
        <v>291.2</v>
      </c>
      <c r="AR62" s="57">
        <f>[16]January_2019!AB7</f>
        <v>187</v>
      </c>
      <c r="AS62" s="57">
        <f>[16]January_2019!AC7</f>
        <v>0</v>
      </c>
      <c r="AT62" s="57">
        <f>[16]January_2019!AD7</f>
        <v>0</v>
      </c>
      <c r="AU62" s="57">
        <f>[16]January_2019!AE7</f>
        <v>485.1</v>
      </c>
      <c r="AV62" s="57">
        <f>[16]January_2019!AF7</f>
        <v>171.55</v>
      </c>
      <c r="AW62" s="57">
        <f>[16]January_2019!AG7</f>
        <v>423.8</v>
      </c>
      <c r="AX62" s="277">
        <f>[16]January_2019!AH7</f>
        <v>0</v>
      </c>
      <c r="AY62" s="277"/>
      <c r="AZ62" s="277"/>
      <c r="BA62" s="277"/>
      <c r="BB62" s="277"/>
      <c r="BC62" s="277"/>
      <c r="BD62" s="277"/>
      <c r="BE62" s="277"/>
    </row>
    <row r="63" spans="2:57" s="54" customFormat="1" ht="18.600000000000001" hidden="1" customHeight="1" thickBot="1">
      <c r="B63" s="478"/>
      <c r="C63" s="430"/>
      <c r="D63" s="431"/>
      <c r="E63" s="432"/>
      <c r="F63" s="433"/>
      <c r="G63" s="434"/>
      <c r="H63" s="458"/>
      <c r="I63" s="458"/>
      <c r="J63" s="451"/>
      <c r="K63" s="436"/>
      <c r="L63" s="452"/>
      <c r="M63" s="421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8.65" hidden="1" customHeight="1" thickBot="1">
      <c r="B64" s="498"/>
      <c r="C64" s="479"/>
      <c r="D64" s="442"/>
      <c r="E64" s="443"/>
      <c r="F64" s="444"/>
      <c r="G64" s="445"/>
      <c r="H64" s="458"/>
      <c r="I64" s="458"/>
      <c r="J64" s="448"/>
      <c r="K64" s="459"/>
      <c r="L64" s="457"/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15.75" hidden="1" thickBot="1">
      <c r="B65" s="453"/>
      <c r="C65" s="430"/>
      <c r="D65" s="431"/>
      <c r="E65" s="432"/>
      <c r="F65" s="433"/>
      <c r="G65" s="434"/>
      <c r="H65" s="435"/>
      <c r="I65" s="450"/>
      <c r="J65" s="451"/>
      <c r="K65" s="436"/>
      <c r="L65" s="452"/>
      <c r="M65" s="421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hidden="1" customHeight="1" thickBot="1">
      <c r="B66" s="482"/>
      <c r="C66" s="479"/>
      <c r="D66" s="442"/>
      <c r="E66" s="443"/>
      <c r="F66" s="444"/>
      <c r="G66" s="445"/>
      <c r="H66" s="446"/>
      <c r="I66" s="447"/>
      <c r="J66" s="448"/>
      <c r="K66" s="449"/>
      <c r="L66" s="457"/>
      <c r="M66" s="45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16.5" hidden="1" customHeight="1" thickBot="1">
      <c r="B67" s="437"/>
      <c r="C67" s="423"/>
      <c r="D67" s="424"/>
      <c r="E67" s="425"/>
      <c r="F67" s="426"/>
      <c r="G67" s="427"/>
      <c r="H67" s="428"/>
      <c r="I67" s="438"/>
      <c r="J67" s="439"/>
      <c r="K67" s="429"/>
      <c r="L67" s="440"/>
      <c r="M67" s="422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415"/>
      <c r="AC67" s="415"/>
      <c r="AD67" s="415"/>
      <c r="AE67" s="415"/>
      <c r="AF67" s="415"/>
      <c r="AG67" s="415"/>
      <c r="AH67" s="415"/>
      <c r="AI67" s="415"/>
      <c r="AJ67" s="415"/>
      <c r="AK67" s="415"/>
      <c r="AL67" s="415"/>
      <c r="AM67" s="415"/>
      <c r="AN67" s="415"/>
      <c r="AO67" s="415"/>
      <c r="AP67" s="415"/>
      <c r="AQ67" s="415"/>
      <c r="AR67" s="415"/>
      <c r="AS67" s="415"/>
      <c r="AT67" s="415"/>
      <c r="AU67" s="415"/>
      <c r="AV67" s="415"/>
      <c r="AW67" s="415"/>
    </row>
    <row r="68" spans="2:57" s="54" customFormat="1" ht="37.15" hidden="1" customHeight="1" thickBot="1">
      <c r="B68" s="456"/>
      <c r="C68" s="441"/>
      <c r="D68" s="442"/>
      <c r="E68" s="443"/>
      <c r="F68" s="444"/>
      <c r="G68" s="445"/>
      <c r="H68" s="446"/>
      <c r="I68" s="447"/>
      <c r="J68" s="448"/>
      <c r="K68" s="449"/>
      <c r="L68" s="457"/>
      <c r="M68" s="454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37.15" customHeight="1">
      <c r="B69" s="466"/>
      <c r="C69" s="430"/>
      <c r="D69" s="460"/>
      <c r="E69" s="461"/>
      <c r="F69" s="462"/>
      <c r="G69" s="460"/>
      <c r="H69" s="463"/>
      <c r="I69" s="463"/>
      <c r="J69" s="463"/>
      <c r="K69" s="464"/>
      <c r="L69" s="465"/>
      <c r="M69" s="50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ht="18" customHeight="1" thickBot="1">
      <c r="B70" s="59"/>
      <c r="C70" s="30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 t="s">
        <v>41</v>
      </c>
      <c r="O70" s="56"/>
      <c r="P70" s="60"/>
    </row>
    <row r="71" spans="2:57" ht="15.75" thickBot="1">
      <c r="B71" s="559" t="s">
        <v>55</v>
      </c>
      <c r="C71" s="560"/>
      <c r="D71" s="560"/>
      <c r="E71" s="560"/>
      <c r="F71" s="561"/>
      <c r="G71" s="559" t="s">
        <v>56</v>
      </c>
      <c r="H71" s="560"/>
      <c r="I71" s="560"/>
      <c r="J71" s="561"/>
      <c r="K71" s="559" t="s">
        <v>51</v>
      </c>
      <c r="L71" s="560"/>
      <c r="M71" s="560"/>
      <c r="N71" s="562"/>
      <c r="O71" s="56"/>
      <c r="P71" s="50"/>
    </row>
    <row r="72" spans="2:57" ht="15">
      <c r="B72" s="61" t="s">
        <v>17</v>
      </c>
      <c r="C72" s="62" t="s">
        <v>36</v>
      </c>
      <c r="D72" s="62" t="s">
        <v>37</v>
      </c>
      <c r="E72" s="62" t="s">
        <v>38</v>
      </c>
      <c r="F72" s="63" t="s">
        <v>39</v>
      </c>
      <c r="G72" s="62" t="s">
        <v>36</v>
      </c>
      <c r="H72" s="62" t="s">
        <v>37</v>
      </c>
      <c r="I72" s="62" t="s">
        <v>38</v>
      </c>
      <c r="J72" s="63" t="s">
        <v>39</v>
      </c>
      <c r="K72" s="62"/>
      <c r="L72" s="62" t="s">
        <v>37</v>
      </c>
      <c r="M72" s="62" t="s">
        <v>38</v>
      </c>
      <c r="N72" s="63" t="s">
        <v>39</v>
      </c>
      <c r="O72" s="56"/>
      <c r="P72" s="64"/>
    </row>
    <row r="73" spans="2:57" ht="15">
      <c r="B73" s="29" t="s">
        <v>6</v>
      </c>
      <c r="C73" s="65"/>
      <c r="D73" s="76">
        <v>5.3133139026063532</v>
      </c>
      <c r="E73" s="76">
        <v>6.3624607250250778</v>
      </c>
      <c r="F73" s="66">
        <v>4.8</v>
      </c>
      <c r="G73" s="65"/>
      <c r="H73" s="477">
        <v>5.2672697698460524</v>
      </c>
      <c r="I73" s="477">
        <v>6.6136922654103216</v>
      </c>
      <c r="J73" s="66">
        <v>4.8</v>
      </c>
      <c r="K73" s="67"/>
      <c r="L73" s="194">
        <v>0.45696509793001017</v>
      </c>
      <c r="M73" s="194">
        <v>0.52939031369845568</v>
      </c>
      <c r="N73" s="68">
        <v>1</v>
      </c>
      <c r="O73" s="56"/>
      <c r="P73" s="69"/>
    </row>
    <row r="74" spans="2:57" ht="15">
      <c r="B74" s="33" t="s">
        <v>9</v>
      </c>
      <c r="C74" s="65"/>
      <c r="D74" s="76">
        <v>8.149157822996802</v>
      </c>
      <c r="E74" s="76">
        <v>5.9588019679168145</v>
      </c>
      <c r="F74" s="66">
        <v>4.8</v>
      </c>
      <c r="G74" s="65"/>
      <c r="H74" s="76">
        <v>7.9908276292027418</v>
      </c>
      <c r="I74" s="76">
        <v>5.9758007539049789</v>
      </c>
      <c r="J74" s="66">
        <v>4.8</v>
      </c>
      <c r="K74" s="67"/>
      <c r="L74" s="194">
        <v>0.80232456140350883</v>
      </c>
      <c r="M74" s="194">
        <v>0.7076224231770567</v>
      </c>
      <c r="N74" s="68">
        <v>1</v>
      </c>
      <c r="P74" s="69"/>
    </row>
    <row r="75" spans="2:57" ht="15">
      <c r="B75" s="34" t="s">
        <v>40</v>
      </c>
      <c r="C75" s="65"/>
      <c r="D75" s="76">
        <v>8.0132764343290681</v>
      </c>
      <c r="E75" s="76">
        <v>11.085360064780945</v>
      </c>
      <c r="F75" s="66">
        <v>5.5</v>
      </c>
      <c r="G75" s="65"/>
      <c r="H75" s="76">
        <v>7.261998133908862</v>
      </c>
      <c r="I75" s="76">
        <v>11.847386208595987</v>
      </c>
      <c r="J75" s="66">
        <v>5.5</v>
      </c>
      <c r="K75" s="67"/>
      <c r="L75" s="194">
        <v>0.68070175438596492</v>
      </c>
      <c r="M75" s="194">
        <v>0.37172629490392645</v>
      </c>
      <c r="N75" s="68">
        <v>1</v>
      </c>
      <c r="P75" s="69"/>
    </row>
    <row r="76" spans="2:57" ht="15">
      <c r="B76" s="22" t="s">
        <v>33</v>
      </c>
      <c r="C76" s="65"/>
      <c r="D76" s="76"/>
      <c r="E76" s="76">
        <v>4.8685538193023836</v>
      </c>
      <c r="F76" s="66">
        <v>3.3</v>
      </c>
      <c r="G76" s="65"/>
      <c r="H76" s="76"/>
      <c r="I76" s="76">
        <v>5.0921772905826597</v>
      </c>
      <c r="J76" s="66">
        <v>3.3</v>
      </c>
      <c r="K76" s="67"/>
      <c r="L76" s="194"/>
      <c r="M76" s="194">
        <v>0.79040935672514623</v>
      </c>
      <c r="N76" s="68">
        <v>1</v>
      </c>
      <c r="P76" s="69"/>
    </row>
    <row r="77" spans="2:57" ht="15">
      <c r="B77" s="35" t="s">
        <v>164</v>
      </c>
      <c r="C77" s="65"/>
      <c r="D77" s="76"/>
      <c r="E77" s="76"/>
      <c r="F77" s="66">
        <v>3.3</v>
      </c>
      <c r="G77" s="282"/>
      <c r="H77" s="76"/>
      <c r="I77" s="76"/>
      <c r="J77" s="66">
        <v>3</v>
      </c>
      <c r="K77" s="67"/>
      <c r="L77" s="194"/>
      <c r="M77" s="194"/>
      <c r="N77" s="68">
        <v>1</v>
      </c>
      <c r="P77" s="69"/>
    </row>
    <row r="78" spans="2:57" ht="15">
      <c r="B78" s="36" t="s">
        <v>15</v>
      </c>
      <c r="C78" s="65"/>
      <c r="D78" s="76"/>
      <c r="E78" s="76">
        <v>6.0400197628458603</v>
      </c>
      <c r="F78" s="70">
        <v>5.5</v>
      </c>
      <c r="G78" s="65"/>
      <c r="H78" s="76"/>
      <c r="I78" s="76">
        <v>8.2405787675951316</v>
      </c>
      <c r="J78" s="66">
        <v>5.5</v>
      </c>
      <c r="K78" s="67"/>
      <c r="L78" s="194"/>
      <c r="M78" s="194">
        <v>0.78491228070175445</v>
      </c>
      <c r="N78" s="68">
        <v>1</v>
      </c>
      <c r="P78" s="69"/>
    </row>
    <row r="79" spans="2:57" ht="15">
      <c r="B79" s="37" t="s">
        <v>16</v>
      </c>
      <c r="C79" s="483"/>
      <c r="D79" s="76">
        <v>2.3312883435582821</v>
      </c>
      <c r="E79" s="76">
        <v>3.4897129331795727</v>
      </c>
      <c r="F79" s="66">
        <v>3.3</v>
      </c>
      <c r="G79" s="282"/>
      <c r="H79" s="76">
        <v>2.9668764888279751</v>
      </c>
      <c r="I79" s="76">
        <v>4.7322074825777003</v>
      </c>
      <c r="J79" s="66">
        <v>3.3</v>
      </c>
      <c r="K79" s="67"/>
      <c r="L79" s="194">
        <v>1.3964912280701753</v>
      </c>
      <c r="M79" s="194">
        <v>0.9346464646464645</v>
      </c>
      <c r="N79" s="71">
        <v>1</v>
      </c>
      <c r="P79" s="69"/>
    </row>
    <row r="80" spans="2:57" ht="15.75" thickBot="1">
      <c r="B80" s="38" t="s">
        <v>163</v>
      </c>
      <c r="C80" s="65"/>
      <c r="D80" s="76"/>
      <c r="E80" s="76"/>
      <c r="F80" s="66">
        <v>7.5</v>
      </c>
      <c r="G80" s="282"/>
      <c r="H80" s="76"/>
      <c r="I80" s="76"/>
      <c r="J80" s="66">
        <v>7.5</v>
      </c>
      <c r="K80" s="67"/>
      <c r="L80" s="194"/>
      <c r="M80" s="194"/>
      <c r="N80" s="71">
        <v>1</v>
      </c>
      <c r="P80" s="69"/>
    </row>
    <row r="81" spans="2:16" ht="15.75" thickBot="1">
      <c r="B81" s="414" t="s">
        <v>161</v>
      </c>
      <c r="C81" s="65"/>
      <c r="D81" s="76"/>
      <c r="E81" s="76"/>
      <c r="F81" s="66">
        <v>4.8</v>
      </c>
      <c r="G81" s="282"/>
      <c r="H81" s="76"/>
      <c r="I81" s="76"/>
      <c r="J81" s="66">
        <v>4.8</v>
      </c>
      <c r="K81" s="67"/>
      <c r="L81" s="194"/>
      <c r="M81" s="194"/>
      <c r="N81" s="71">
        <v>1</v>
      </c>
      <c r="O81" s="74"/>
      <c r="P81" s="75"/>
    </row>
    <row r="82" spans="2:16" ht="15">
      <c r="D82" s="76">
        <v>5.7292306901973671</v>
      </c>
      <c r="E82" s="76">
        <v>6.2653212142736416</v>
      </c>
      <c r="F82" s="341">
        <v>5.5</v>
      </c>
      <c r="H82" s="76">
        <v>5.6222103107515169</v>
      </c>
      <c r="I82" s="76">
        <v>6.6637856681462466</v>
      </c>
      <c r="J82" s="341">
        <v>5.5</v>
      </c>
      <c r="L82" s="194">
        <v>0.59957907589486537</v>
      </c>
      <c r="M82" s="194">
        <v>0.6058277169597831</v>
      </c>
      <c r="N82" s="386">
        <v>1</v>
      </c>
    </row>
  </sheetData>
  <mergeCells count="51">
    <mergeCell ref="M58:M59"/>
    <mergeCell ref="B71:F71"/>
    <mergeCell ref="G71:J71"/>
    <mergeCell ref="K71:N71"/>
    <mergeCell ref="G58:G59"/>
    <mergeCell ref="H58:H59"/>
    <mergeCell ref="I58:I59"/>
    <mergeCell ref="J58:J59"/>
    <mergeCell ref="K58:K59"/>
    <mergeCell ref="L58:L59"/>
    <mergeCell ref="F58:F59"/>
    <mergeCell ref="D53:E53"/>
    <mergeCell ref="B58:B59"/>
    <mergeCell ref="C58:C59"/>
    <mergeCell ref="D58:D59"/>
    <mergeCell ref="E58:E59"/>
    <mergeCell ref="B43:B52"/>
    <mergeCell ref="D43:E44"/>
    <mergeCell ref="J43:K43"/>
    <mergeCell ref="L44:N44"/>
    <mergeCell ref="D45:E46"/>
    <mergeCell ref="D47:E48"/>
    <mergeCell ref="D49:E50"/>
    <mergeCell ref="D51:E52"/>
    <mergeCell ref="I29:N29"/>
    <mergeCell ref="D30:E30"/>
    <mergeCell ref="B31:B42"/>
    <mergeCell ref="D31:E32"/>
    <mergeCell ref="D33:E34"/>
    <mergeCell ref="D35:E36"/>
    <mergeCell ref="D37:E38"/>
    <mergeCell ref="D39:E40"/>
    <mergeCell ref="D41:E4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3:B54">
    <cfRule type="cellIs" dxfId="1737" priority="115" operator="notBetween">
      <formula>#REF!</formula>
      <formula>#REF!</formula>
    </cfRule>
  </conditionalFormatting>
  <conditionalFormatting sqref="C57">
    <cfRule type="cellIs" dxfId="1736" priority="198" stopIfTrue="1" operator="greaterThan">
      <formula>100</formula>
    </cfRule>
    <cfRule type="cellIs" dxfId="1735" priority="197" stopIfTrue="1" operator="lessThan">
      <formula>96</formula>
    </cfRule>
  </conditionalFormatting>
  <conditionalFormatting sqref="C73:C74">
    <cfRule type="cellIs" dxfId="1734" priority="78" stopIfTrue="1" operator="lessThanOrEqual">
      <formula>0</formula>
    </cfRule>
    <cfRule type="cellIs" dxfId="1733" priority="80" stopIfTrue="1" operator="lessThanOrEqual">
      <formula>0</formula>
    </cfRule>
    <cfRule type="cellIs" dxfId="1732" priority="79" stopIfTrue="1" operator="greaterThan">
      <formula>$F73</formula>
    </cfRule>
    <cfRule type="cellIs" dxfId="1731" priority="77" stopIfTrue="1" operator="greaterThan">
      <formula>$F73</formula>
    </cfRule>
  </conditionalFormatting>
  <conditionalFormatting sqref="C75:C77 C79:C81">
    <cfRule type="cellIs" dxfId="1730" priority="87" stopIfTrue="1" operator="greaterThan">
      <formula>$F78</formula>
    </cfRule>
  </conditionalFormatting>
  <conditionalFormatting sqref="C75:C77">
    <cfRule type="cellIs" dxfId="1729" priority="88" stopIfTrue="1" operator="lessThanOrEqual">
      <formula>0</formula>
    </cfRule>
  </conditionalFormatting>
  <conditionalFormatting sqref="C78">
    <cfRule type="cellIs" dxfId="1728" priority="201" stopIfTrue="1" operator="greaterThan">
      <formula>$F73</formula>
    </cfRule>
    <cfRule type="cellIs" dxfId="1727" priority="200" stopIfTrue="1" operator="lessThanOrEqual">
      <formula>0</formula>
    </cfRule>
    <cfRule type="cellIs" dxfId="1726" priority="199" stopIfTrue="1" operator="greaterThan">
      <formula>$F73</formula>
    </cfRule>
    <cfRule type="cellIs" dxfId="1725" priority="202" stopIfTrue="1" operator="lessThanOrEqual">
      <formula>0</formula>
    </cfRule>
  </conditionalFormatting>
  <conditionalFormatting sqref="C79:C81">
    <cfRule type="cellIs" dxfId="1724" priority="89" stopIfTrue="1" operator="lessThanOrEqual">
      <formula>0</formula>
    </cfRule>
  </conditionalFormatting>
  <conditionalFormatting sqref="C84:C88">
    <cfRule type="cellIs" dxfId="1723" priority="189" stopIfTrue="1" operator="lessThanOrEqual">
      <formula>0</formula>
    </cfRule>
  </conditionalFormatting>
  <conditionalFormatting sqref="C85:C88">
    <cfRule type="cellIs" dxfId="1722" priority="188" stopIfTrue="1" operator="greaterThan">
      <formula>$F$84</formula>
    </cfRule>
  </conditionalFormatting>
  <conditionalFormatting sqref="C90">
    <cfRule type="cellIs" dxfId="1721" priority="190" stopIfTrue="1" operator="greaterThan">
      <formula>$F$84</formula>
    </cfRule>
    <cfRule type="cellIs" dxfId="1720" priority="191" stopIfTrue="1" operator="lessThanOrEqual">
      <formula>0</formula>
    </cfRule>
  </conditionalFormatting>
  <conditionalFormatting sqref="C78:D78">
    <cfRule type="cellIs" dxfId="1719" priority="76" stopIfTrue="1" operator="lessThanOrEqual">
      <formula>0</formula>
    </cfRule>
    <cfRule type="cellIs" dxfId="1718" priority="75" stopIfTrue="1" operator="greaterThan">
      <formula>$J78</formula>
    </cfRule>
  </conditionalFormatting>
  <conditionalFormatting sqref="C84:D84 D86:D92">
    <cfRule type="cellIs" dxfId="1717" priority="183" stopIfTrue="1" operator="greaterThan">
      <formula>4.5</formula>
    </cfRule>
  </conditionalFormatting>
  <conditionalFormatting sqref="D53:D54">
    <cfRule type="cellIs" dxfId="1716" priority="116" operator="notBetween">
      <formula>#REF!</formula>
      <formula>#REF!</formula>
    </cfRule>
  </conditionalFormatting>
  <conditionalFormatting sqref="D73:D77 D79:D80">
    <cfRule type="cellIs" dxfId="1715" priority="86" stopIfTrue="1" operator="lessThanOrEqual">
      <formula>0</formula>
    </cfRule>
  </conditionalFormatting>
  <conditionalFormatting sqref="D73:D77 D79:D82">
    <cfRule type="cellIs" dxfId="1714" priority="82" stopIfTrue="1" operator="lessThanOrEqual">
      <formula>0</formula>
    </cfRule>
    <cfRule type="cellIs" dxfId="1713" priority="83" stopIfTrue="1" operator="greaterThan">
      <formula>$F73</formula>
    </cfRule>
  </conditionalFormatting>
  <conditionalFormatting sqref="D81:D82">
    <cfRule type="cellIs" dxfId="1712" priority="84" stopIfTrue="1" operator="lessThanOrEqual">
      <formula>0</formula>
    </cfRule>
  </conditionalFormatting>
  <conditionalFormatting sqref="D82">
    <cfRule type="cellIs" dxfId="1711" priority="85" stopIfTrue="1" operator="lessThanOrEqual">
      <formula>0</formula>
    </cfRule>
  </conditionalFormatting>
  <conditionalFormatting sqref="D84 D86:D92">
    <cfRule type="cellIs" dxfId="1710" priority="184" stopIfTrue="1" operator="lessThanOrEqual">
      <formula>0</formula>
    </cfRule>
  </conditionalFormatting>
  <conditionalFormatting sqref="D85">
    <cfRule type="cellIs" dxfId="1709" priority="176" stopIfTrue="1" operator="lessThanOrEqual">
      <formula>0</formula>
    </cfRule>
    <cfRule type="cellIs" dxfId="1708" priority="175" stopIfTrue="1" operator="greaterThan">
      <formula>$F$84</formula>
    </cfRule>
  </conditionalFormatting>
  <conditionalFormatting sqref="E10:E28">
    <cfRule type="cellIs" dxfId="1707" priority="9" operator="lessThan">
      <formula>48</formula>
    </cfRule>
  </conditionalFormatting>
  <conditionalFormatting sqref="E56 E57:F57">
    <cfRule type="cellIs" dxfId="1706" priority="180" stopIfTrue="1" operator="greaterThan">
      <formula>100</formula>
    </cfRule>
  </conditionalFormatting>
  <conditionalFormatting sqref="E57">
    <cfRule type="cellIs" dxfId="1705" priority="178" stopIfTrue="1" operator="greaterThan">
      <formula>100</formula>
    </cfRule>
    <cfRule type="cellIs" dxfId="1704" priority="177" stopIfTrue="1" operator="lessThan">
      <formula>96.8</formula>
    </cfRule>
  </conditionalFormatting>
  <conditionalFormatting sqref="E73:E81">
    <cfRule type="cellIs" dxfId="1703" priority="48" stopIfTrue="1" operator="lessThanOrEqual">
      <formula>0</formula>
    </cfRule>
  </conditionalFormatting>
  <conditionalFormatting sqref="E73:E82">
    <cfRule type="cellIs" dxfId="1702" priority="49" stopIfTrue="1" operator="greaterThan">
      <formula>$F73</formula>
    </cfRule>
    <cfRule type="cellIs" dxfId="1701" priority="50" stopIfTrue="1" operator="lessThanOrEqual">
      <formula>0</formula>
    </cfRule>
  </conditionalFormatting>
  <conditionalFormatting sqref="E82">
    <cfRule type="cellIs" dxfId="1700" priority="51" stopIfTrue="1" operator="lessThanOrEqual">
      <formula>0</formula>
    </cfRule>
  </conditionalFormatting>
  <conditionalFormatting sqref="E84:E92">
    <cfRule type="cellIs" dxfId="1699" priority="170" stopIfTrue="1" operator="lessThanOrEqual">
      <formula>0</formula>
    </cfRule>
    <cfRule type="cellIs" dxfId="1698" priority="169" stopIfTrue="1" operator="greaterThan">
      <formula>4.5</formula>
    </cfRule>
  </conditionalFormatting>
  <conditionalFormatting sqref="E57:F57 E56">
    <cfRule type="cellIs" dxfId="1697" priority="179" stopIfTrue="1" operator="lessThan">
      <formula>96.5</formula>
    </cfRule>
  </conditionalFormatting>
  <conditionalFormatting sqref="F15:F28">
    <cfRule type="cellIs" dxfId="1696" priority="2" operator="greaterThan">
      <formula>60</formula>
    </cfRule>
  </conditionalFormatting>
  <conditionalFormatting sqref="F57">
    <cfRule type="cellIs" dxfId="1695" priority="195" stopIfTrue="1" operator="lessThan">
      <formula>96.8</formula>
    </cfRule>
    <cfRule type="cellIs" dxfId="1694" priority="196" stopIfTrue="1" operator="greaterThan">
      <formula>100</formula>
    </cfRule>
  </conditionalFormatting>
  <conditionalFormatting sqref="G10:G14">
    <cfRule type="expression" dxfId="1693" priority="20">
      <formula>IF(+(IF(G10&lt;S10,0,IF(G10&gt;T10,0,1)))=0,1)</formula>
    </cfRule>
  </conditionalFormatting>
  <conditionalFormatting sqref="G73:G76 F82">
    <cfRule type="cellIs" dxfId="1692" priority="58" stopIfTrue="1" operator="lessThanOrEqual">
      <formula>0</formula>
    </cfRule>
    <cfRule type="cellIs" dxfId="1691" priority="57" stopIfTrue="1" operator="greaterThan">
      <formula>$F73</formula>
    </cfRule>
  </conditionalFormatting>
  <conditionalFormatting sqref="G75:G76">
    <cfRule type="cellIs" dxfId="1690" priority="43" stopIfTrue="1" operator="greaterThan">
      <formula>$F75</formula>
    </cfRule>
    <cfRule type="cellIs" dxfId="1689" priority="44" stopIfTrue="1" operator="lessThanOrEqual">
      <formula>0</formula>
    </cfRule>
  </conditionalFormatting>
  <conditionalFormatting sqref="G77:G81">
    <cfRule type="cellIs" dxfId="1688" priority="59" stopIfTrue="1" operator="greaterThan">
      <formula>$J77</formula>
    </cfRule>
    <cfRule type="cellIs" dxfId="1687" priority="60" stopIfTrue="1" operator="lessThanOrEqual">
      <formula>0</formula>
    </cfRule>
  </conditionalFormatting>
  <conditionalFormatting sqref="G78">
    <cfRule type="cellIs" dxfId="1686" priority="203" stopIfTrue="1" operator="greaterThan">
      <formula>$F73</formula>
    </cfRule>
    <cfRule type="cellIs" dxfId="1685" priority="204" stopIfTrue="1" operator="lessThanOrEqual">
      <formula>0</formula>
    </cfRule>
  </conditionalFormatting>
  <conditionalFormatting sqref="G86:G91 C89 C91">
    <cfRule type="cellIs" dxfId="1684" priority="192" stopIfTrue="1" operator="greaterThan">
      <formula>4.5</formula>
    </cfRule>
    <cfRule type="cellIs" dxfId="1683" priority="193" stopIfTrue="1" operator="lessThanOrEqual">
      <formula>0</formula>
    </cfRule>
  </conditionalFormatting>
  <conditionalFormatting sqref="G15:H28">
    <cfRule type="expression" dxfId="1682" priority="1">
      <formula>IF(+(IF(G15&lt;#REF!,0,IF(G15&gt;#REF!,0,1)))=0,1)</formula>
    </cfRule>
  </conditionalFormatting>
  <conditionalFormatting sqref="G85:H85">
    <cfRule type="cellIs" dxfId="1681" priority="173" stopIfTrue="1" operator="greaterThan">
      <formula>$F$84</formula>
    </cfRule>
    <cfRule type="cellIs" dxfId="1680" priority="174" stopIfTrue="1" operator="lessThanOrEqual">
      <formula>0</formula>
    </cfRule>
  </conditionalFormatting>
  <conditionalFormatting sqref="H10:H14">
    <cfRule type="expression" dxfId="1679" priority="19">
      <formula>IF(+(IF(H10&lt;#REF!,0,IF(H10&gt;#REF!,0,1)))=0,1)</formula>
    </cfRule>
  </conditionalFormatting>
  <conditionalFormatting sqref="H42:H43 H56">
    <cfRule type="cellIs" dxfId="1678" priority="171" stopIfTrue="1" operator="greaterThan">
      <formula>0</formula>
    </cfRule>
  </conditionalFormatting>
  <conditionalFormatting sqref="H60">
    <cfRule type="cellIs" dxfId="1677" priority="62" stopIfTrue="1" operator="lessThanOrEqual">
      <formula>0</formula>
    </cfRule>
    <cfRule type="cellIs" dxfId="1676" priority="63" stopIfTrue="1" operator="greaterThan">
      <formula>$F$73</formula>
    </cfRule>
    <cfRule type="cellIs" dxfId="1675" priority="71" stopIfTrue="1" operator="greaterThan">
      <formula>$F$76</formula>
    </cfRule>
    <cfRule type="cellIs" dxfId="1674" priority="72" stopIfTrue="1" operator="lessThanOrEqual">
      <formula>0</formula>
    </cfRule>
    <cfRule type="cellIs" dxfId="1673" priority="73" stopIfTrue="1" operator="greaterThan">
      <formula>$F$74</formula>
    </cfRule>
  </conditionalFormatting>
  <conditionalFormatting sqref="H60:H61">
    <cfRule type="cellIs" dxfId="1672" priority="74" stopIfTrue="1" operator="lessThanOrEqual">
      <formula>0</formula>
    </cfRule>
  </conditionalFormatting>
  <conditionalFormatting sqref="H61 H63:H64">
    <cfRule type="cellIs" dxfId="1671" priority="101" stopIfTrue="1" operator="lessThanOrEqual">
      <formula>0</formula>
    </cfRule>
  </conditionalFormatting>
  <conditionalFormatting sqref="H61">
    <cfRule type="cellIs" dxfId="1670" priority="100" stopIfTrue="1" operator="greaterThan">
      <formula>$F$74</formula>
    </cfRule>
    <cfRule type="cellIs" dxfId="1669" priority="99" stopIfTrue="1" operator="lessThanOrEqual">
      <formula>0</formula>
    </cfRule>
    <cfRule type="cellIs" dxfId="1668" priority="90" stopIfTrue="1" operator="greaterThan">
      <formula>$F$73</formula>
    </cfRule>
    <cfRule type="cellIs" dxfId="1667" priority="98" stopIfTrue="1" operator="greaterThan">
      <formula>$F$76</formula>
    </cfRule>
  </conditionalFormatting>
  <conditionalFormatting sqref="H62">
    <cfRule type="cellIs" dxfId="1666" priority="41" stopIfTrue="1" operator="lessThanOrEqual">
      <formula>0</formula>
    </cfRule>
    <cfRule type="cellIs" dxfId="1665" priority="40" stopIfTrue="1" operator="greaterThan">
      <formula>$F$76</formula>
    </cfRule>
    <cfRule type="cellIs" dxfId="1664" priority="39" stopIfTrue="1" operator="lessThanOrEqual">
      <formula>0</formula>
    </cfRule>
    <cfRule type="cellIs" dxfId="1663" priority="29" stopIfTrue="1" operator="lessThanOrEqual">
      <formula>0</formula>
    </cfRule>
    <cfRule type="cellIs" dxfId="1662" priority="30" stopIfTrue="1" operator="greaterThan">
      <formula>$F$75</formula>
    </cfRule>
    <cfRule type="cellIs" dxfId="1661" priority="38" stopIfTrue="1" operator="greaterThan">
      <formula>$F$78</formula>
    </cfRule>
  </conditionalFormatting>
  <conditionalFormatting sqref="H63:H64">
    <cfRule type="cellIs" dxfId="1660" priority="103" stopIfTrue="1" operator="greaterThan">
      <formula>$F$73</formula>
    </cfRule>
    <cfRule type="cellIs" dxfId="1659" priority="114" stopIfTrue="1" operator="lessThanOrEqual">
      <formula>0</formula>
    </cfRule>
    <cfRule type="cellIs" dxfId="1658" priority="112" stopIfTrue="1" operator="lessThanOrEqual">
      <formula>0</formula>
    </cfRule>
    <cfRule type="cellIs" dxfId="1657" priority="111" stopIfTrue="1" operator="greaterThan">
      <formula>$F$76</formula>
    </cfRule>
    <cfRule type="cellIs" dxfId="1656" priority="113" stopIfTrue="1" operator="greaterThan">
      <formula>$F$74</formula>
    </cfRule>
  </conditionalFormatting>
  <conditionalFormatting sqref="H65:H66">
    <cfRule type="cellIs" dxfId="1655" priority="148" stopIfTrue="1" operator="lessThanOrEqual">
      <formula>0</formula>
    </cfRule>
    <cfRule type="cellIs" dxfId="1654" priority="138" stopIfTrue="1" operator="lessThanOrEqual">
      <formula>0</formula>
    </cfRule>
    <cfRule type="cellIs" dxfId="1653" priority="147" stopIfTrue="1" operator="greaterThan">
      <formula>#REF!</formula>
    </cfRule>
    <cfRule type="cellIs" dxfId="1652" priority="139" stopIfTrue="1" operator="greaterThan">
      <formula>#REF!</formula>
    </cfRule>
  </conditionalFormatting>
  <conditionalFormatting sqref="H67">
    <cfRule type="cellIs" dxfId="1651" priority="159" stopIfTrue="1" operator="greaterThan">
      <formula>$F$44</formula>
    </cfRule>
    <cfRule type="cellIs" dxfId="1650" priority="162" stopIfTrue="1" operator="lessThanOrEqual">
      <formula>0</formula>
    </cfRule>
    <cfRule type="cellIs" dxfId="1649" priority="151" stopIfTrue="1" operator="greaterThan">
      <formula>$F$41</formula>
    </cfRule>
    <cfRule type="cellIs" dxfId="1648" priority="150" stopIfTrue="1" operator="lessThanOrEqual">
      <formula>0</formula>
    </cfRule>
    <cfRule type="cellIs" dxfId="1647" priority="160" stopIfTrue="1" operator="lessThanOrEqual">
      <formula>0</formula>
    </cfRule>
    <cfRule type="cellIs" dxfId="1646" priority="161" stopIfTrue="1" operator="greaterThan">
      <formula>$F$42</formula>
    </cfRule>
  </conditionalFormatting>
  <conditionalFormatting sqref="H68:H69">
    <cfRule type="cellIs" dxfId="1645" priority="135" stopIfTrue="1" operator="greaterThan">
      <formula>#REF!</formula>
    </cfRule>
    <cfRule type="cellIs" dxfId="1644" priority="127" stopIfTrue="1" operator="greaterThan">
      <formula>#REF!</formula>
    </cfRule>
    <cfRule type="cellIs" dxfId="1643" priority="126" stopIfTrue="1" operator="lessThanOrEqual">
      <formula>0</formula>
    </cfRule>
    <cfRule type="cellIs" dxfId="1642" priority="136" stopIfTrue="1" operator="lessThanOrEqual">
      <formula>0</formula>
    </cfRule>
  </conditionalFormatting>
  <conditionalFormatting sqref="H84 H86:H92">
    <cfRule type="cellIs" dxfId="1641" priority="185" stopIfTrue="1" operator="greaterThan">
      <formula>4.5</formula>
    </cfRule>
    <cfRule type="cellIs" dxfId="1640" priority="186" stopIfTrue="1" operator="lessThanOrEqual">
      <formula>0</formula>
    </cfRule>
  </conditionalFormatting>
  <conditionalFormatting sqref="H60:I60">
    <cfRule type="cellIs" dxfId="1639" priority="64" stopIfTrue="1" operator="lessThanOrEqual">
      <formula>0</formula>
    </cfRule>
  </conditionalFormatting>
  <conditionalFormatting sqref="H60:I61 H63:I64">
    <cfRule type="cellIs" dxfId="1638" priority="61" stopIfTrue="1" operator="greaterThan">
      <formula>$F$75</formula>
    </cfRule>
  </conditionalFormatting>
  <conditionalFormatting sqref="H61:I61">
    <cfRule type="cellIs" dxfId="1637" priority="91" stopIfTrue="1" operator="lessThanOrEqual">
      <formula>0</formula>
    </cfRule>
  </conditionalFormatting>
  <conditionalFormatting sqref="H62:I62">
    <cfRule type="cellIs" dxfId="1636" priority="31" stopIfTrue="1" operator="lessThanOrEqual">
      <formula>0</formula>
    </cfRule>
    <cfRule type="cellIs" dxfId="1635" priority="28" stopIfTrue="1" operator="greaterThan">
      <formula>$F$77</formula>
    </cfRule>
  </conditionalFormatting>
  <conditionalFormatting sqref="H63:I64">
    <cfRule type="cellIs" dxfId="1634" priority="104" stopIfTrue="1" operator="lessThanOrEqual">
      <formula>0</formula>
    </cfRule>
  </conditionalFormatting>
  <conditionalFormatting sqref="H65:I66">
    <cfRule type="cellIs" dxfId="1633" priority="140" stopIfTrue="1" operator="lessThanOrEqual">
      <formula>0</formula>
    </cfRule>
    <cfRule type="cellIs" dxfId="1632" priority="137" stopIfTrue="1" operator="greaterThan">
      <formula>#REF!</formula>
    </cfRule>
    <cfRule type="cellIs" dxfId="1631" priority="146" stopIfTrue="1" operator="lessThanOrEqual">
      <formula>0</formula>
    </cfRule>
    <cfRule type="cellIs" dxfId="1630" priority="145" stopIfTrue="1" operator="greaterThan">
      <formula>#REF!</formula>
    </cfRule>
  </conditionalFormatting>
  <conditionalFormatting sqref="H67:I67">
    <cfRule type="cellIs" dxfId="1629" priority="152" stopIfTrue="1" operator="lessThanOrEqual">
      <formula>0</formula>
    </cfRule>
    <cfRule type="cellIs" dxfId="1628" priority="149" stopIfTrue="1" operator="greaterThan">
      <formula>$F$43</formula>
    </cfRule>
  </conditionalFormatting>
  <conditionalFormatting sqref="H68:I69">
    <cfRule type="cellIs" dxfId="1627" priority="133" stopIfTrue="1" operator="greaterThan">
      <formula>#REF!</formula>
    </cfRule>
    <cfRule type="cellIs" dxfId="1626" priority="125" stopIfTrue="1" operator="greaterThan">
      <formula>#REF!</formula>
    </cfRule>
    <cfRule type="cellIs" dxfId="1625" priority="128" stopIfTrue="1" operator="lessThanOrEqual">
      <formula>0</formula>
    </cfRule>
    <cfRule type="cellIs" dxfId="1624" priority="134" stopIfTrue="1" operator="lessThanOrEqual">
      <formula>0</formula>
    </cfRule>
  </conditionalFormatting>
  <conditionalFormatting sqref="H73:I80">
    <cfRule type="cellIs" dxfId="1623" priority="46" stopIfTrue="1" operator="greaterThan">
      <formula>$J73</formula>
    </cfRule>
    <cfRule type="cellIs" dxfId="1622" priority="47" stopIfTrue="1" operator="lessThanOrEqual">
      <formula>0</formula>
    </cfRule>
  </conditionalFormatting>
  <conditionalFormatting sqref="H81:I81">
    <cfRule type="cellIs" dxfId="1621" priority="54" operator="greaterThan">
      <formula>5.3</formula>
    </cfRule>
  </conditionalFormatting>
  <conditionalFormatting sqref="H82:I82">
    <cfRule type="cellIs" dxfId="1620" priority="53" stopIfTrue="1" operator="lessThanOrEqual">
      <formula>0</formula>
    </cfRule>
    <cfRule type="cellIs" dxfId="1619" priority="52" stopIfTrue="1" operator="greaterThan">
      <formula>$J82</formula>
    </cfRule>
  </conditionalFormatting>
  <conditionalFormatting sqref="I60">
    <cfRule type="cellIs" dxfId="1618" priority="68" stopIfTrue="1" operator="lessThanOrEqual">
      <formula>0</formula>
    </cfRule>
    <cfRule type="cellIs" dxfId="1617" priority="67" stopIfTrue="1" operator="greaterThan">
      <formula>$F$75</formula>
    </cfRule>
    <cfRule type="cellIs" dxfId="1616" priority="65" stopIfTrue="1" operator="greaterThan">
      <formula>$F$73</formula>
    </cfRule>
    <cfRule type="cellIs" dxfId="1615" priority="69" stopIfTrue="1" operator="greaterThan">
      <formula>$F$73</formula>
    </cfRule>
    <cfRule type="cellIs" dxfId="1614" priority="70" stopIfTrue="1" operator="lessThanOrEqual">
      <formula>0</formula>
    </cfRule>
    <cfRule type="cellIs" dxfId="1613" priority="66" stopIfTrue="1" operator="lessThanOrEqual">
      <formula>0</formula>
    </cfRule>
  </conditionalFormatting>
  <conditionalFormatting sqref="I61">
    <cfRule type="cellIs" dxfId="1612" priority="94" stopIfTrue="1" operator="greaterThan">
      <formula>$F$75</formula>
    </cfRule>
    <cfRule type="cellIs" dxfId="1611" priority="93" stopIfTrue="1" operator="lessThanOrEqual">
      <formula>0</formula>
    </cfRule>
    <cfRule type="cellIs" dxfId="1610" priority="92" stopIfTrue="1" operator="greaterThan">
      <formula>$F$73</formula>
    </cfRule>
    <cfRule type="cellIs" dxfId="1609" priority="95" stopIfTrue="1" operator="lessThanOrEqual">
      <formula>0</formula>
    </cfRule>
    <cfRule type="cellIs" dxfId="1608" priority="97" stopIfTrue="1" operator="lessThanOrEqual">
      <formula>0</formula>
    </cfRule>
    <cfRule type="cellIs" dxfId="1607" priority="96" stopIfTrue="1" operator="greaterThan">
      <formula>$F$73</formula>
    </cfRule>
  </conditionalFormatting>
  <conditionalFormatting sqref="I62">
    <cfRule type="cellIs" dxfId="1606" priority="37" stopIfTrue="1" operator="lessThanOrEqual">
      <formula>0</formula>
    </cfRule>
    <cfRule type="cellIs" dxfId="1605" priority="34" stopIfTrue="1" operator="greaterThan">
      <formula>$F$77</formula>
    </cfRule>
    <cfRule type="cellIs" dxfId="1604" priority="36" stopIfTrue="1" operator="greaterThan">
      <formula>$F$75</formula>
    </cfRule>
    <cfRule type="cellIs" dxfId="1603" priority="35" stopIfTrue="1" operator="lessThanOrEqual">
      <formula>0</formula>
    </cfRule>
    <cfRule type="cellIs" dxfId="1602" priority="33" stopIfTrue="1" operator="lessThanOrEqual">
      <formula>0</formula>
    </cfRule>
    <cfRule type="cellIs" dxfId="1601" priority="32" stopIfTrue="1" operator="greaterThan">
      <formula>$F$75</formula>
    </cfRule>
  </conditionalFormatting>
  <conditionalFormatting sqref="I63:I64">
    <cfRule type="cellIs" dxfId="1600" priority="109" stopIfTrue="1" operator="greaterThan">
      <formula>$F$73</formula>
    </cfRule>
    <cfRule type="cellIs" dxfId="1599" priority="106" stopIfTrue="1" operator="lessThanOrEqual">
      <formula>0</formula>
    </cfRule>
    <cfRule type="cellIs" dxfId="1598" priority="105" stopIfTrue="1" operator="greaterThan">
      <formula>$F$73</formula>
    </cfRule>
    <cfRule type="cellIs" dxfId="1597" priority="107" stopIfTrue="1" operator="greaterThan">
      <formula>$F$75</formula>
    </cfRule>
    <cfRule type="cellIs" dxfId="1596" priority="110" stopIfTrue="1" operator="lessThanOrEqual">
      <formula>0</formula>
    </cfRule>
    <cfRule type="cellIs" dxfId="1595" priority="108" stopIfTrue="1" operator="lessThanOrEqual">
      <formula>0</formula>
    </cfRule>
  </conditionalFormatting>
  <conditionalFormatting sqref="I65:I66">
    <cfRule type="cellIs" dxfId="1594" priority="144" stopIfTrue="1" operator="lessThanOrEqual">
      <formula>0</formula>
    </cfRule>
    <cfRule type="cellIs" dxfId="1593" priority="141" stopIfTrue="1" operator="greaterThan">
      <formula>#REF!</formula>
    </cfRule>
    <cfRule type="cellIs" dxfId="1592" priority="142" stopIfTrue="1" operator="lessThanOrEqual">
      <formula>0</formula>
    </cfRule>
    <cfRule type="cellIs" dxfId="1591" priority="143" stopIfTrue="1" operator="greaterThan">
      <formula>#REF!</formula>
    </cfRule>
  </conditionalFormatting>
  <conditionalFormatting sqref="I67">
    <cfRule type="cellIs" dxfId="1590" priority="153" stopIfTrue="1" operator="greaterThan">
      <formula>$F$41</formula>
    </cfRule>
    <cfRule type="cellIs" dxfId="1589" priority="154" stopIfTrue="1" operator="lessThanOrEqual">
      <formula>0</formula>
    </cfRule>
    <cfRule type="cellIs" dxfId="1588" priority="157" stopIfTrue="1" operator="greaterThan">
      <formula>$F$41</formula>
    </cfRule>
    <cfRule type="cellIs" dxfId="1587" priority="158" stopIfTrue="1" operator="lessThanOrEqual">
      <formula>0</formula>
    </cfRule>
    <cfRule type="cellIs" dxfId="1586" priority="156" stopIfTrue="1" operator="lessThanOrEqual">
      <formula>0</formula>
    </cfRule>
    <cfRule type="cellIs" dxfId="1585" priority="155" stopIfTrue="1" operator="greaterThan">
      <formula>$F$43</formula>
    </cfRule>
  </conditionalFormatting>
  <conditionalFormatting sqref="I68:I69">
    <cfRule type="cellIs" dxfId="1584" priority="132" stopIfTrue="1" operator="lessThanOrEqual">
      <formula>0</formula>
    </cfRule>
    <cfRule type="cellIs" dxfId="1583" priority="131" stopIfTrue="1" operator="greaterThan">
      <formula>#REF!</formula>
    </cfRule>
    <cfRule type="cellIs" dxfId="1582" priority="130" stopIfTrue="1" operator="lessThanOrEqual">
      <formula>0</formula>
    </cfRule>
    <cfRule type="cellIs" dxfId="1581" priority="129" stopIfTrue="1" operator="greaterThan">
      <formula>#REF!</formula>
    </cfRule>
  </conditionalFormatting>
  <conditionalFormatting sqref="I84:I92">
    <cfRule type="cellIs" dxfId="1580" priority="182" stopIfTrue="1" operator="lessThanOrEqual">
      <formula>0</formula>
    </cfRule>
    <cfRule type="cellIs" dxfId="1579" priority="181" stopIfTrue="1" operator="greaterThan">
      <formula>4.5</formula>
    </cfRule>
  </conditionalFormatting>
  <conditionalFormatting sqref="I10:J28">
    <cfRule type="cellIs" dxfId="1578" priority="3" operator="lessThan">
      <formula>97.9</formula>
    </cfRule>
  </conditionalFormatting>
  <conditionalFormatting sqref="J31:J33">
    <cfRule type="cellIs" dxfId="1577" priority="27" operator="lessThan">
      <formula>97.95</formula>
    </cfRule>
  </conditionalFormatting>
  <conditionalFormatting sqref="J33:J35">
    <cfRule type="cellIs" dxfId="1576" priority="163" operator="lessThan">
      <formula>97.4</formula>
    </cfRule>
  </conditionalFormatting>
  <conditionalFormatting sqref="J36:J37">
    <cfRule type="cellIs" dxfId="1575" priority="164" operator="lessThan">
      <formula>98</formula>
    </cfRule>
  </conditionalFormatting>
  <conditionalFormatting sqref="J38:J39">
    <cfRule type="cellIs" dxfId="1574" priority="165" stopIfTrue="1" operator="lessThan">
      <formula>96.8</formula>
    </cfRule>
    <cfRule type="cellIs" dxfId="1573" priority="166" stopIfTrue="1" operator="greaterThan">
      <formula>100</formula>
    </cfRule>
  </conditionalFormatting>
  <conditionalFormatting sqref="J38:J40">
    <cfRule type="cellIs" dxfId="1572" priority="167" operator="lessThan">
      <formula>98</formula>
    </cfRule>
  </conditionalFormatting>
  <conditionalFormatting sqref="J69">
    <cfRule type="cellIs" dxfId="1571" priority="120" stopIfTrue="1" operator="lessThanOrEqual">
      <formula>0</formula>
    </cfRule>
    <cfRule type="cellIs" dxfId="1570" priority="119" stopIfTrue="1" operator="greaterThan">
      <formula>#REF!</formula>
    </cfRule>
    <cfRule type="cellIs" dxfId="1569" priority="118" stopIfTrue="1" operator="lessThanOrEqual">
      <formula>0</formula>
    </cfRule>
    <cfRule type="cellIs" dxfId="1568" priority="117" stopIfTrue="1" operator="greaterThan">
      <formula>#REF!</formula>
    </cfRule>
    <cfRule type="cellIs" dxfId="1567" priority="124" stopIfTrue="1" operator="lessThanOrEqual">
      <formula>0</formula>
    </cfRule>
    <cfRule type="cellIs" dxfId="1566" priority="123" stopIfTrue="1" operator="greaterThan">
      <formula>#REF!</formula>
    </cfRule>
    <cfRule type="cellIs" dxfId="1565" priority="122" stopIfTrue="1" operator="lessThanOrEqual">
      <formula>0</formula>
    </cfRule>
    <cfRule type="cellIs" dxfId="1564" priority="121" stopIfTrue="1" operator="greaterThan">
      <formula>#REF!</formula>
    </cfRule>
  </conditionalFormatting>
  <conditionalFormatting sqref="J82">
    <cfRule type="cellIs" dxfId="1563" priority="55" stopIfTrue="1" operator="greaterThan">
      <formula>$F82</formula>
    </cfRule>
    <cfRule type="cellIs" dxfId="1562" priority="56" stopIfTrue="1" operator="lessThanOrEqual">
      <formula>0</formula>
    </cfRule>
  </conditionalFormatting>
  <conditionalFormatting sqref="K10:K28">
    <cfRule type="cellIs" dxfId="1561" priority="6" operator="greaterThan">
      <formula>6.4</formula>
    </cfRule>
    <cfRule type="cellIs" dxfId="1560" priority="5" operator="lessThan">
      <formula>4</formula>
    </cfRule>
    <cfRule type="cellIs" dxfId="1559" priority="4" operator="greaterThan">
      <formula>6</formula>
    </cfRule>
  </conditionalFormatting>
  <conditionalFormatting sqref="K60:K69">
    <cfRule type="cellIs" dxfId="1558" priority="102" stopIfTrue="1" operator="lessThan">
      <formula>100%</formula>
    </cfRule>
  </conditionalFormatting>
  <conditionalFormatting sqref="K73:K81">
    <cfRule type="cellIs" dxfId="1557" priority="45" stopIfTrue="1" operator="lessThan">
      <formula>100%</formula>
    </cfRule>
  </conditionalFormatting>
  <conditionalFormatting sqref="K84:K89">
    <cfRule type="cellIs" dxfId="1556" priority="187" stopIfTrue="1" operator="lessThan">
      <formula>100%</formula>
    </cfRule>
  </conditionalFormatting>
  <conditionalFormatting sqref="K91:K92">
    <cfRule type="cellIs" dxfId="1555" priority="194" stopIfTrue="1" operator="lessThan">
      <formula>100%</formula>
    </cfRule>
  </conditionalFormatting>
  <conditionalFormatting sqref="L10:L28">
    <cfRule type="cellIs" dxfId="1554" priority="8" operator="greaterThan">
      <formula>65</formula>
    </cfRule>
    <cfRule type="cellIs" dxfId="1553" priority="7" operator="between">
      <formula>61</formula>
      <formula>65</formula>
    </cfRule>
  </conditionalFormatting>
  <conditionalFormatting sqref="L31:M42">
    <cfRule type="cellIs" dxfId="1552" priority="26" operator="lessThan">
      <formula>97.95</formula>
    </cfRule>
  </conditionalFormatting>
  <conditionalFormatting sqref="L46:N46">
    <cfRule type="cellIs" dxfId="1551" priority="81" operator="notEqual">
      <formula>#REF!</formula>
    </cfRule>
  </conditionalFormatting>
  <conditionalFormatting sqref="L73:N82">
    <cfRule type="cellIs" dxfId="1550" priority="42" stopIfTrue="1" operator="lessThan">
      <formula>100%</formula>
    </cfRule>
  </conditionalFormatting>
  <conditionalFormatting sqref="L84:N92">
    <cfRule type="cellIs" dxfId="1549" priority="172" stopIfTrue="1" operator="lessThan">
      <formula>100%</formula>
    </cfRule>
  </conditionalFormatting>
  <conditionalFormatting sqref="M10:N28">
    <cfRule type="expression" dxfId="1548" priority="10">
      <formula>IF(+(IF(M10&lt;#REF!,0,IF(M10&gt;#REF!,0,1)))=0,1)</formula>
    </cfRule>
  </conditionalFormatting>
  <conditionalFormatting sqref="N10:N28">
    <cfRule type="expression" dxfId="1547" priority="11">
      <formula>IF(+(IF(N10&lt;W10,0,IF(N10&gt;X10,0,1)))=0,1)</formula>
    </cfRule>
  </conditionalFormatting>
  <conditionalFormatting sqref="P6">
    <cfRule type="cellIs" dxfId="1546" priority="168" operator="greaterThanOrEqual">
      <formula>19</formula>
    </cfRule>
  </conditionalFormatting>
  <dataValidations count="1">
    <dataValidation type="list" allowBlank="1" showInputMessage="1" showErrorMessage="1" sqref="R8" xr:uid="{144D9179-D6EC-4394-A775-DE96A5916D7C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6" max="16383" man="1"/>
  </rowBreaks>
  <colBreaks count="1" manualBreakCount="1">
    <brk id="15" max="89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8528F-95DE-498A-AA4D-EE11A09BA572}">
  <sheetPr>
    <pageSetUpPr fitToPage="1"/>
  </sheetPr>
  <dimension ref="A1:BE82"/>
  <sheetViews>
    <sheetView topLeftCell="B4" zoomScale="60" zoomScaleNormal="60" workbookViewId="0">
      <selection activeCell="E10" sqref="E10:E19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12" t="s">
        <v>0</v>
      </c>
      <c r="T1" s="512"/>
      <c r="U1" s="512" t="s">
        <v>1</v>
      </c>
      <c r="V1" s="512"/>
      <c r="W1" s="512" t="s">
        <v>2</v>
      </c>
      <c r="X1" s="512"/>
      <c r="Y1" s="512" t="s">
        <v>124</v>
      </c>
      <c r="Z1" s="512"/>
    </row>
    <row r="2" spans="2:29" ht="15">
      <c r="B2" s="513" t="s">
        <v>3</v>
      </c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46255</v>
      </c>
      <c r="J4" s="398" t="s">
        <v>153</v>
      </c>
      <c r="K4" s="398"/>
      <c r="L4" s="11"/>
      <c r="M4" s="510" t="s">
        <v>8</v>
      </c>
      <c r="N4" s="511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6"/>
      <c r="D5" s="516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196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19" t="s">
        <v>18</v>
      </c>
      <c r="D8" s="519" t="s">
        <v>19</v>
      </c>
      <c r="E8" s="356" t="s">
        <v>20</v>
      </c>
      <c r="F8" s="356" t="s">
        <v>21</v>
      </c>
      <c r="G8" s="519" t="s">
        <v>22</v>
      </c>
      <c r="H8" s="520" t="s">
        <v>144</v>
      </c>
      <c r="I8" s="519" t="s">
        <v>181</v>
      </c>
      <c r="J8" s="522" t="s">
        <v>23</v>
      </c>
      <c r="K8" s="524" t="s">
        <v>142</v>
      </c>
      <c r="L8" s="526" t="s">
        <v>24</v>
      </c>
      <c r="M8" s="359" t="s">
        <v>25</v>
      </c>
      <c r="N8" s="17" t="s">
        <v>168</v>
      </c>
      <c r="O8" s="519" t="s">
        <v>155</v>
      </c>
      <c r="P8" s="514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8"/>
      <c r="C9" s="515"/>
      <c r="D9" s="515"/>
      <c r="E9" s="357" t="s">
        <v>30</v>
      </c>
      <c r="F9" s="357" t="s">
        <v>31</v>
      </c>
      <c r="G9" s="515"/>
      <c r="H9" s="521"/>
      <c r="I9" s="515"/>
      <c r="J9" s="523"/>
      <c r="K9" s="525"/>
      <c r="L9" s="527"/>
      <c r="M9" s="20" t="s">
        <v>32</v>
      </c>
      <c r="N9" s="21" t="s">
        <v>41</v>
      </c>
      <c r="O9" s="515"/>
      <c r="P9" s="515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29" t="s">
        <v>6</v>
      </c>
      <c r="C10" s="366" t="str">
        <f>[4]Brewhouse!$A641</f>
        <v>CA593</v>
      </c>
      <c r="D10" s="279">
        <f>[4]Brewhouse!$AF641</f>
        <v>49.7</v>
      </c>
      <c r="E10" s="279">
        <f>[4]Brewhouse!$AI641</f>
        <v>51.3</v>
      </c>
      <c r="F10" s="278">
        <f>[4]Brewhouse!$V641</f>
        <v>62</v>
      </c>
      <c r="G10" s="279">
        <f>[4]Brewhouse!AG641</f>
        <v>11.9</v>
      </c>
      <c r="H10" s="396">
        <v>12.1</v>
      </c>
      <c r="I10" s="368">
        <f>[4]Brewhouse!$AU641</f>
        <v>101.43741414543481</v>
      </c>
      <c r="J10" s="368">
        <f>[4]Brewhouse!$AV641</f>
        <v>102.54587159410138</v>
      </c>
      <c r="K10" s="281">
        <f>[4]Brewhouse!$Q641</f>
        <v>9.4639556377079437</v>
      </c>
      <c r="L10" s="276">
        <f>[4]Brewhouse!$P641</f>
        <v>60</v>
      </c>
      <c r="M10" s="374">
        <f>[4]Brewhouse!$U641-[4]Brewhouse!$T641</f>
        <v>0.10625000000000001</v>
      </c>
      <c r="N10" s="370">
        <f>[4]Brewhouse!$Z641</f>
        <v>0.24097222222222223</v>
      </c>
      <c r="O10" s="420" t="str">
        <f>[4]Brewhouse!$AX641</f>
        <v xml:space="preserve">P. Calliste </v>
      </c>
      <c r="P10" s="418"/>
      <c r="R10" s="277" t="str">
        <f t="shared" ref="R10:R42" si="0">B10</f>
        <v>CARIB</v>
      </c>
      <c r="S10" s="472">
        <f t="shared" ref="S10:S42" si="1">VLOOKUP($B10,$R$3:$X$9,2,FALSE)</f>
        <v>11.6</v>
      </c>
      <c r="T10" s="472">
        <f t="shared" ref="T10:T42" si="2">VLOOKUP($B10,$R$3:$X$9,3,FALSE)</f>
        <v>12</v>
      </c>
      <c r="U10" s="297">
        <f t="shared" ref="U10:U42" si="3">VLOOKUP($B10,$R$3:$X$9,4,FALSE)</f>
        <v>0</v>
      </c>
      <c r="V10" s="297">
        <f t="shared" ref="V10:V42" si="4">VLOOKUP($B10,$R$3:$X$9,5,FALSE)</f>
        <v>0.118055555555556</v>
      </c>
      <c r="W10" s="297">
        <f t="shared" ref="W10:W42" si="5">VLOOKUP($B10,$R$3:$X$9,6,FALSE)</f>
        <v>0.22569444444444445</v>
      </c>
      <c r="X10" s="297">
        <f t="shared" ref="X10:X42" si="6">VLOOKUP($B10,$R$3:$X$9,7,FALSE)</f>
        <v>0.2638888888888889</v>
      </c>
      <c r="Y10" s="297">
        <f t="shared" ref="Y10:Y42" si="7">VLOOKUP($B10,$R$3:$Z$9,8,FALSE)</f>
        <v>0</v>
      </c>
      <c r="Z10" s="472">
        <f t="shared" ref="Z10:Z42" si="8">VLOOKUP($B10,$R$3:$Z$9,9,FALSE)</f>
        <v>60</v>
      </c>
    </row>
    <row r="11" spans="2:29" ht="17.25" customHeight="1">
      <c r="B11" s="29" t="s">
        <v>6</v>
      </c>
      <c r="C11" s="366" t="str">
        <f>[4]Brewhouse!$A642</f>
        <v>CA594</v>
      </c>
      <c r="D11" s="279">
        <f>[4]Brewhouse!$AF642</f>
        <v>52</v>
      </c>
      <c r="E11" s="279">
        <f>[4]Brewhouse!$AI642</f>
        <v>53.6</v>
      </c>
      <c r="F11" s="278">
        <f>[4]Brewhouse!$V642</f>
        <v>65</v>
      </c>
      <c r="G11" s="279">
        <f>[4]Brewhouse!AG642</f>
        <v>11.8</v>
      </c>
      <c r="H11" s="396">
        <v>11.8</v>
      </c>
      <c r="I11" s="368">
        <f>[4]Brewhouse!$AU642</f>
        <v>102.9971064188906</v>
      </c>
      <c r="J11" s="368">
        <f>[4]Brewhouse!$AV642</f>
        <v>104.12377790606475</v>
      </c>
      <c r="K11" s="281">
        <f>[4]Brewhouse!$Q642</f>
        <v>6.6913123844731928</v>
      </c>
      <c r="L11" s="276">
        <f>[4]Brewhouse!$P642</f>
        <v>57</v>
      </c>
      <c r="M11" s="374">
        <f>[4]Brewhouse!$U642-[4]Brewhouse!$T642</f>
        <v>0.11249999999999999</v>
      </c>
      <c r="N11" s="370">
        <f>[4]Brewhouse!$Z642</f>
        <v>0.25069444444444444</v>
      </c>
      <c r="O11" s="420" t="str">
        <f>[4]Brewhouse!$AX642</f>
        <v xml:space="preserve">P. Calliste 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29" t="s">
        <v>6</v>
      </c>
      <c r="C12" s="366" t="str">
        <f>[4]Brewhouse!$A643</f>
        <v>CA595</v>
      </c>
      <c r="D12" s="279">
        <f>[4]Brewhouse!$AF643</f>
        <v>47.9</v>
      </c>
      <c r="E12" s="279">
        <f>[4]Brewhouse!$AI643</f>
        <v>48.2</v>
      </c>
      <c r="F12" s="278">
        <f>[4]Brewhouse!$V643</f>
        <v>56</v>
      </c>
      <c r="G12" s="279">
        <f>[4]Brewhouse!AG643</f>
        <v>12</v>
      </c>
      <c r="H12" s="396">
        <v>12</v>
      </c>
      <c r="I12" s="368">
        <f>[4]Brewhouse!$AU643</f>
        <v>96.510220819323507</v>
      </c>
      <c r="J12" s="368">
        <f>[4]Brewhouse!$AV643</f>
        <v>97.564625831395674</v>
      </c>
      <c r="K12" s="281">
        <f>[4]Brewhouse!$Q643</f>
        <v>12.791127541589651</v>
      </c>
      <c r="L12" s="276">
        <f>[4]Brewhouse!$P643</f>
        <v>58</v>
      </c>
      <c r="M12" s="374">
        <f>[4]Brewhouse!$U643-[4]Brewhouse!$T643</f>
        <v>0.11111111111111116</v>
      </c>
      <c r="N12" s="370">
        <f>[4]Brewhouse!$Z643</f>
        <v>0.24930555555555561</v>
      </c>
      <c r="O12" s="420" t="str">
        <f>[4]Brewhouse!$AX643</f>
        <v>R. 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29" t="s">
        <v>6</v>
      </c>
      <c r="C13" s="366" t="str">
        <f>[4]Brewhouse!$A644</f>
        <v>CA596</v>
      </c>
      <c r="D13" s="279">
        <f>[4]Brewhouse!$AF644</f>
        <v>50.4</v>
      </c>
      <c r="E13" s="279">
        <f>[4]Brewhouse!$AI644</f>
        <v>53.7</v>
      </c>
      <c r="F13" s="278">
        <f>[4]Brewhouse!$V644</f>
        <v>63</v>
      </c>
      <c r="G13" s="279">
        <f>[4]Brewhouse!AG644</f>
        <v>11.6</v>
      </c>
      <c r="H13" s="396">
        <v>11.8</v>
      </c>
      <c r="I13" s="368">
        <f>[4]Brewhouse!$AU644</f>
        <v>103.75607566491097</v>
      </c>
      <c r="J13" s="368">
        <f>[4]Brewhouse!$AV644</f>
        <v>104.88964395731837</v>
      </c>
      <c r="K13" s="281">
        <f>[4]Brewhouse!$Q644</f>
        <v>8.9094269870609999</v>
      </c>
      <c r="L13" s="276">
        <f>[4]Brewhouse!$P644</f>
        <v>58</v>
      </c>
      <c r="M13" s="374">
        <f>[4]Brewhouse!$U644-[4]Brewhouse!$T644</f>
        <v>0.10833333333333339</v>
      </c>
      <c r="N13" s="370">
        <f>[4]Brewhouse!$Z644</f>
        <v>0.2597222222222223</v>
      </c>
      <c r="O13" s="420" t="str">
        <f>[4]Brewhouse!$AX644</f>
        <v>R. Sookram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29" t="s">
        <v>6</v>
      </c>
      <c r="C14" s="366" t="str">
        <f>[4]Brewhouse!$A645</f>
        <v>CA597</v>
      </c>
      <c r="D14" s="279">
        <f>[4]Brewhouse!$AF645</f>
        <v>49.9</v>
      </c>
      <c r="E14" s="279">
        <f>[4]Brewhouse!$AI645</f>
        <v>50.2</v>
      </c>
      <c r="F14" s="278">
        <f>[4]Brewhouse!$V645</f>
        <v>58</v>
      </c>
      <c r="G14" s="279">
        <f>[4]Brewhouse!AG645</f>
        <v>11.9</v>
      </c>
      <c r="H14" s="396">
        <v>11.9</v>
      </c>
      <c r="I14" s="368">
        <f>[4]Brewhouse!$AU645</f>
        <v>99.510131013090614</v>
      </c>
      <c r="J14" s="368">
        <f>[4]Brewhouse!$AV645</f>
        <v>100.59738354026379</v>
      </c>
      <c r="K14" s="281">
        <f>[4]Brewhouse!$Q645</f>
        <v>11.497227356746762</v>
      </c>
      <c r="L14" s="276">
        <f>[4]Brewhouse!$P645</f>
        <v>57</v>
      </c>
      <c r="M14" s="374">
        <f>[4]Brewhouse!$U645-[4]Brewhouse!$T645</f>
        <v>0.10555555555555551</v>
      </c>
      <c r="N14" s="370">
        <f>[4]Brewhouse!$Z645</f>
        <v>0.26111111111111107</v>
      </c>
      <c r="O14" s="420" t="str">
        <f>[4]Brewhouse!$AX645</f>
        <v>R. Sookram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29" t="s">
        <v>6</v>
      </c>
      <c r="C15" s="366" t="str">
        <f>[4]Brewhouse!$A646</f>
        <v>CA598</v>
      </c>
      <c r="D15" s="279">
        <f>[4]Brewhouse!$AF646</f>
        <v>49.5</v>
      </c>
      <c r="E15" s="279">
        <f>[4]Brewhouse!$AI646</f>
        <v>50.5</v>
      </c>
      <c r="F15" s="278">
        <f>[4]Brewhouse!$V646</f>
        <v>63</v>
      </c>
      <c r="G15" s="279">
        <f>[4]Brewhouse!AG646</f>
        <v>11.9</v>
      </c>
      <c r="H15" s="396">
        <v>11.8</v>
      </c>
      <c r="I15" s="368">
        <f>[4]Brewhouse!$AU646</f>
        <v>99.855544139268176</v>
      </c>
      <c r="J15" s="368">
        <f>[4]Brewhouse!$AV646</f>
        <v>100.9467157017957</v>
      </c>
      <c r="K15" s="281">
        <f>[4]Brewhouse!$Q646</f>
        <v>11.312384473197778</v>
      </c>
      <c r="L15" s="276">
        <f>[4]Brewhouse!$P646</f>
        <v>57</v>
      </c>
      <c r="M15" s="374">
        <f>[4]Brewhouse!$U646-[4]Brewhouse!$T646</f>
        <v>0.1069444444444444</v>
      </c>
      <c r="N15" s="370">
        <f>[4]Brewhouse!$Z646</f>
        <v>0.25486111111111109</v>
      </c>
      <c r="O15" s="420" t="str">
        <f>[4]Brewhouse!$AX646</f>
        <v>R. Sookram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[4]Brewhouse!$A647</f>
        <v>CA599</v>
      </c>
      <c r="D16" s="279">
        <f>[4]Brewhouse!$AF647</f>
        <v>49.3</v>
      </c>
      <c r="E16" s="279">
        <f>[4]Brewhouse!$AI647</f>
        <v>50.1</v>
      </c>
      <c r="F16" s="278">
        <f>[4]Brewhouse!$V647</f>
        <v>62</v>
      </c>
      <c r="G16" s="279">
        <f>[4]Brewhouse!AG647</f>
        <v>11.8</v>
      </c>
      <c r="H16" s="396">
        <v>1.8</v>
      </c>
      <c r="I16" s="368">
        <f>[4]Brewhouse!$AU647</f>
        <v>98.434449089980745</v>
      </c>
      <c r="J16" s="368">
        <f>[4]Brewhouse!$AV647</f>
        <v>99.509948664188954</v>
      </c>
      <c r="K16" s="281">
        <f>[4]Brewhouse!$Q647</f>
        <v>12.421441774491679</v>
      </c>
      <c r="L16" s="276">
        <f>[4]Brewhouse!$P647</f>
        <v>58</v>
      </c>
      <c r="M16" s="374">
        <f>[4]Brewhouse!$U647-[4]Brewhouse!$T647</f>
        <v>0.10763888888888884</v>
      </c>
      <c r="N16" s="370">
        <f>[4]Brewhouse!$Z647</f>
        <v>0.26180555555555551</v>
      </c>
      <c r="O16" s="420" t="str">
        <f>[4]Brewhouse!$AX647</f>
        <v>R. Sookram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 customHeight="1">
      <c r="B17" s="29" t="s">
        <v>6</v>
      </c>
      <c r="C17" s="366" t="str">
        <f>[4]Brewhouse!$A648</f>
        <v>CA600</v>
      </c>
      <c r="D17" s="279">
        <f>[4]Brewhouse!$AF648</f>
        <v>50.1</v>
      </c>
      <c r="E17" s="279">
        <f>[4]Brewhouse!$AI648</f>
        <v>50.8</v>
      </c>
      <c r="F17" s="278">
        <f>[4]Brewhouse!$V648</f>
        <v>63</v>
      </c>
      <c r="G17" s="279">
        <f>[4]Brewhouse!AG648</f>
        <v>11.8</v>
      </c>
      <c r="H17" s="396">
        <v>12</v>
      </c>
      <c r="I17" s="368">
        <f>[4]Brewhouse!$AU648</f>
        <v>100.05955892682989</v>
      </c>
      <c r="J17" s="368">
        <f>[4]Brewhouse!$AV648</f>
        <v>101.15266847204194</v>
      </c>
      <c r="K17" s="281">
        <f>[4]Brewhouse!$Q648</f>
        <v>10.203327171903888</v>
      </c>
      <c r="L17" s="276">
        <f>[4]Brewhouse!$P648</f>
        <v>58</v>
      </c>
      <c r="M17" s="374">
        <f>[4]Brewhouse!$U648-[4]Brewhouse!$T648</f>
        <v>0.10972222222222228</v>
      </c>
      <c r="N17" s="370">
        <f>[4]Brewhouse!$Z648</f>
        <v>0.25347222222222221</v>
      </c>
      <c r="O17" s="420" t="str">
        <f>[4]Brewhouse!$AX648</f>
        <v>R. Sookram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5" customHeight="1">
      <c r="B18" s="29" t="s">
        <v>6</v>
      </c>
      <c r="C18" s="366" t="str">
        <f>[4]Brewhouse!$A649</f>
        <v>CA601</v>
      </c>
      <c r="D18" s="279">
        <f>[4]Brewhouse!$AF649</f>
        <v>50.2</v>
      </c>
      <c r="E18" s="279">
        <f>[4]Brewhouse!$AI649</f>
        <v>49.9</v>
      </c>
      <c r="F18" s="278">
        <f>[4]Brewhouse!$V649</f>
        <v>60</v>
      </c>
      <c r="G18" s="279">
        <f>[4]Brewhouse!AG649</f>
        <v>11.6</v>
      </c>
      <c r="H18" s="396">
        <v>11.8</v>
      </c>
      <c r="I18" s="368">
        <f>[4]Brewhouse!$AU649</f>
        <v>95.934372886641839</v>
      </c>
      <c r="J18" s="368">
        <f>[4]Brewhouse!$AV649</f>
        <v>96.982765256204786</v>
      </c>
      <c r="K18" s="281">
        <f>[4]Brewhouse!$Q649</f>
        <v>11.497227356746762</v>
      </c>
      <c r="L18" s="276">
        <f>[4]Brewhouse!$P649</f>
        <v>60</v>
      </c>
      <c r="M18" s="374">
        <f>[4]Brewhouse!$U649-[4]Brewhouse!$T649</f>
        <v>0.11041666666666661</v>
      </c>
      <c r="N18" s="370">
        <f>[4]Brewhouse!$Z649</f>
        <v>0.2583333333333333</v>
      </c>
      <c r="O18" s="420" t="str">
        <f>[4]Brewhouse!$AX649</f>
        <v>R. Sookram</v>
      </c>
      <c r="P18" s="418"/>
      <c r="R18" s="277" t="str">
        <f t="shared" si="0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6" ht="15" customHeight="1">
      <c r="B19" s="29" t="s">
        <v>6</v>
      </c>
      <c r="C19" s="366" t="str">
        <f>[4]Brewhouse!$A650</f>
        <v>CA602</v>
      </c>
      <c r="D19" s="279">
        <f>[4]Brewhouse!$AF650</f>
        <v>49.5</v>
      </c>
      <c r="E19" s="279">
        <f>[4]Brewhouse!$AI650</f>
        <v>50.4</v>
      </c>
      <c r="F19" s="278">
        <f>[4]Brewhouse!$V650</f>
        <v>60</v>
      </c>
      <c r="G19" s="279">
        <f>[4]Brewhouse!AG650</f>
        <v>11.8</v>
      </c>
      <c r="H19" s="396">
        <v>11.8</v>
      </c>
      <c r="I19" s="368">
        <f>[4]Brewhouse!$AU650</f>
        <v>98.654470881741176</v>
      </c>
      <c r="J19" s="368">
        <f>[4]Brewhouse!$AV650</f>
        <v>99.732589093009423</v>
      </c>
      <c r="K19" s="281">
        <f>[4]Brewhouse!$Q650</f>
        <v>12.05175600739372</v>
      </c>
      <c r="L19" s="276">
        <f>[4]Brewhouse!$P650</f>
        <v>60</v>
      </c>
      <c r="M19" s="374">
        <f>[4]Brewhouse!$U650-[4]Brewhouse!$T650</f>
        <v>0.11805555555555558</v>
      </c>
      <c r="N19" s="370">
        <f>[4]Brewhouse!$Z650</f>
        <v>0.26736111111111116</v>
      </c>
      <c r="O19" s="420" t="str">
        <f>[4]Brewhouse!$AX650</f>
        <v>R. Sookram</v>
      </c>
      <c r="P19" s="418"/>
      <c r="R19" s="277" t="str">
        <f t="shared" si="0"/>
        <v>CARIB</v>
      </c>
      <c r="S19" s="472">
        <f t="shared" si="1"/>
        <v>11.6</v>
      </c>
      <c r="T19" s="472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2">
        <f t="shared" si="8"/>
        <v>60</v>
      </c>
    </row>
    <row r="20" spans="1:26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/>
      <c r="S20" s="472"/>
      <c r="T20" s="472"/>
      <c r="U20" s="297"/>
      <c r="V20" s="297"/>
      <c r="W20" s="297"/>
      <c r="X20" s="297"/>
      <c r="Y20" s="297"/>
      <c r="Z20" s="472"/>
    </row>
    <row r="21" spans="1:26" ht="1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503"/>
      <c r="N21" s="370"/>
      <c r="O21" s="420"/>
      <c r="P21" s="418"/>
      <c r="R21" s="277"/>
      <c r="S21" s="472"/>
      <c r="T21" s="472"/>
      <c r="U21" s="297"/>
      <c r="V21" s="297"/>
      <c r="W21" s="297"/>
      <c r="X21" s="297"/>
      <c r="Y21" s="297"/>
      <c r="Z21" s="472"/>
    </row>
    <row r="22" spans="1:26" ht="1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503"/>
      <c r="N22" s="370"/>
      <c r="O22" s="420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503"/>
      <c r="N23" s="370"/>
      <c r="O23" s="420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503"/>
      <c r="N24" s="370"/>
      <c r="O24" s="420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503"/>
      <c r="N25" s="370"/>
      <c r="O25" s="420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503"/>
      <c r="N26" s="370"/>
      <c r="O26" s="420"/>
      <c r="P26" s="418"/>
      <c r="R26" s="277"/>
      <c r="S26" s="472"/>
      <c r="T26" s="472"/>
      <c r="U26" s="297"/>
      <c r="V26" s="297"/>
      <c r="W26" s="297"/>
      <c r="X26" s="297"/>
      <c r="Y26" s="297"/>
      <c r="Z26" s="472"/>
    </row>
    <row r="27" spans="1:26" ht="1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420"/>
      <c r="P27" s="418"/>
      <c r="R27" s="277"/>
      <c r="S27" s="472"/>
      <c r="T27" s="472"/>
      <c r="U27" s="297"/>
      <c r="V27" s="297"/>
      <c r="W27" s="297"/>
      <c r="X27" s="297"/>
      <c r="Y27" s="297"/>
      <c r="Z27" s="472"/>
    </row>
    <row r="28" spans="1:26" ht="1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420"/>
      <c r="P28" s="418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7.25" customHeight="1" thickBot="1">
      <c r="B29" s="358"/>
      <c r="C29" s="358"/>
      <c r="D29" s="358"/>
      <c r="E29" s="358"/>
      <c r="F29" s="294"/>
      <c r="G29" s="294"/>
      <c r="H29" s="348"/>
      <c r="I29" s="528"/>
      <c r="J29" s="528"/>
      <c r="K29" s="528"/>
      <c r="L29" s="528"/>
      <c r="M29" s="528"/>
      <c r="N29" s="528"/>
      <c r="O29" s="1"/>
      <c r="P29" s="12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7.25" customHeight="1" thickBot="1">
      <c r="B30" s="489" t="s">
        <v>162</v>
      </c>
      <c r="C30" s="388"/>
      <c r="D30" s="529" t="s">
        <v>35</v>
      </c>
      <c r="E30" s="530"/>
      <c r="F30" s="294"/>
      <c r="G30" s="294"/>
      <c r="H30" s="348"/>
      <c r="I30" s="24" t="s">
        <v>17</v>
      </c>
      <c r="J30" s="25"/>
      <c r="K30" s="26" t="s">
        <v>138</v>
      </c>
      <c r="L30" s="25" t="s">
        <v>37</v>
      </c>
      <c r="M30" s="25" t="s">
        <v>38</v>
      </c>
      <c r="N30" s="27" t="s">
        <v>39</v>
      </c>
      <c r="O30" s="294"/>
      <c r="P30" s="12"/>
      <c r="R30" s="277" t="str">
        <f t="shared" si="0"/>
        <v xml:space="preserve">BRAND 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7.25" customHeight="1">
      <c r="A31" s="28"/>
      <c r="B31" s="616" t="str">
        <f>I32</f>
        <v>STAG</v>
      </c>
      <c r="C31" s="490">
        <f>[3]Process!$D$325</f>
        <v>12</v>
      </c>
      <c r="D31" s="534">
        <v>12.04</v>
      </c>
      <c r="E31" s="535"/>
      <c r="F31" s="294"/>
      <c r="G31" s="294"/>
      <c r="H31" s="348"/>
      <c r="I31" s="29" t="s">
        <v>6</v>
      </c>
      <c r="J31" s="323">
        <f>AVERAGE(I10:I19)</f>
        <v>99.714934398611234</v>
      </c>
      <c r="K31" s="284">
        <f>COUNTA([4]Brewhouse!$A$595:$A$650)</f>
        <v>56</v>
      </c>
      <c r="L31" s="305">
        <f>AVERAGE([4]Brewhouse!$AU$595:$AU$650)</f>
        <v>99.092552709794205</v>
      </c>
      <c r="M31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AVERAGE([4]Brewhouse!$AU$42:$AU$123,[4]Brewhouse!$AU$125:$AU$188,[4]Brewhouse!$AU$198:$AU$290,[4]Brewhouse!$AU$292:$AU$370,[4]Brewhouse!$AU$372:$AU$439,[4]Brewhouse!$AU$441:$AU$497,[4]Brewhouse!$AU$499:$AU$519,[4]Brewhouse!$AU$521:$AU$593,[4]Brewhouse!$AU$595:$AU$650)</f>
        <v>98.255917184567693</v>
      </c>
      <c r="N31" s="30">
        <v>98</v>
      </c>
      <c r="O31" s="11"/>
      <c r="P31" s="31"/>
      <c r="R31" s="277" t="str">
        <f t="shared" si="0"/>
        <v>STAG</v>
      </c>
      <c r="S31" s="472">
        <f t="shared" si="1"/>
        <v>11.6</v>
      </c>
      <c r="T31" s="472">
        <f t="shared" si="2"/>
        <v>12</v>
      </c>
      <c r="U31" s="297">
        <f t="shared" si="3"/>
        <v>0</v>
      </c>
      <c r="V31" s="297">
        <f t="shared" si="4"/>
        <v>0.118055555555556</v>
      </c>
      <c r="W31" s="297">
        <f t="shared" si="5"/>
        <v>0.22569444444444445</v>
      </c>
      <c r="X31" s="297">
        <f t="shared" si="6"/>
        <v>0.2638888888888889</v>
      </c>
      <c r="Y31" s="297">
        <f t="shared" si="7"/>
        <v>0</v>
      </c>
      <c r="Z31" s="472">
        <f t="shared" si="8"/>
        <v>60</v>
      </c>
    </row>
    <row r="32" spans="1:26" ht="15" customHeight="1">
      <c r="A32" s="28"/>
      <c r="B32" s="617"/>
      <c r="C32" s="362">
        <f>[3]Process!D327</f>
        <v>11.7</v>
      </c>
      <c r="D32" s="536"/>
      <c r="E32" s="537"/>
      <c r="F32" s="294"/>
      <c r="G32" s="294"/>
      <c r="H32" s="348"/>
      <c r="I32" s="33" t="s">
        <v>9</v>
      </c>
      <c r="J32" s="323"/>
      <c r="K32" s="284">
        <f>COUNTA([3]Brewhouse!$A$327:$A$353)</f>
        <v>27</v>
      </c>
      <c r="L32" s="302">
        <f>AVERAGE([3]Brewhouse!$AS$327:$AS$353)</f>
        <v>99.545759939380616</v>
      </c>
      <c r="M32" s="302">
        <f>AVERAGE([3]Brewhouse!$AS$52:$AS$81,[3]Brewhouse!$AS$83:$AS$124,[3]Brewhouse!$AS$134:$AS$177,[3]Brewhouse!$AS$22:$AS$179,[3]Brewhouse!$AS$214:$AS$249,[3]Brewhouse!$AS$252:$AS$293,[3]Brewhouse!$AS$295:$AS$325,[3]Brewhouse!$AS$327:$AS$353)</f>
        <v>98.236986123572123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7" ht="14.65" customHeight="1">
      <c r="A33" s="28"/>
      <c r="B33" s="617"/>
      <c r="C33" s="362">
        <f>[3]Process!D328</f>
        <v>11.7</v>
      </c>
      <c r="D33" s="538">
        <v>11.86</v>
      </c>
      <c r="E33" s="539"/>
      <c r="F33" s="294"/>
      <c r="G33" s="294"/>
      <c r="H33" s="348"/>
      <c r="I33" s="34" t="s">
        <v>12</v>
      </c>
      <c r="J33" s="323"/>
      <c r="K33" s="284">
        <f>COUNTA([5]Brewhouse!$A$90:$A$97)</f>
        <v>8</v>
      </c>
      <c r="L33" s="302">
        <f>AVERAGE([5]Brewhouse!$AU$90:$AU$97)</f>
        <v>96.342250509798717</v>
      </c>
      <c r="M33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27" ht="14.65" customHeight="1">
      <c r="A34" s="28"/>
      <c r="B34" s="617"/>
      <c r="C34" s="362">
        <f>[3]Process!D329</f>
        <v>12</v>
      </c>
      <c r="D34" s="540"/>
      <c r="E34" s="537"/>
      <c r="F34" s="294"/>
      <c r="G34" s="294"/>
      <c r="H34" s="348"/>
      <c r="I34" s="22" t="s">
        <v>33</v>
      </c>
      <c r="J34" s="280"/>
      <c r="K34" s="284"/>
      <c r="L34" s="302"/>
      <c r="M34" s="302">
        <f>AVERAGE([6]Brewhouse!$AV$23:$AV$34,[6]Brewhouse!$AV$36,[6]Brewhouse!$AV$38:$AV$52,[6]Brewhouse!$AV$54:$AV$60,[6]Brewhouse!$AV$62:$AV$69,[6]Brewhouse!$AV$71:$AV$78,[6]Brewhouse!$AV$80:$AV$87)</f>
        <v>97.513042763382714</v>
      </c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27" ht="14.65" customHeight="1">
      <c r="A35" s="28"/>
      <c r="B35" s="617"/>
      <c r="C35" s="362">
        <f>[3]Process!D330</f>
        <v>11.9</v>
      </c>
      <c r="D35" s="538">
        <v>11.82</v>
      </c>
      <c r="E35" s="539"/>
      <c r="F35" s="294"/>
      <c r="G35" s="294"/>
      <c r="H35" s="348"/>
      <c r="I35" s="35" t="s">
        <v>29</v>
      </c>
      <c r="J35" s="280"/>
      <c r="K35" s="284"/>
      <c r="L35" s="302"/>
      <c r="M35" s="302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27" ht="14.65" customHeight="1">
      <c r="A36" s="28"/>
      <c r="B36" s="617"/>
      <c r="C36" s="362">
        <f>[3]Process!D331</f>
        <v>12</v>
      </c>
      <c r="D36" s="540"/>
      <c r="E36" s="537"/>
      <c r="F36" s="417"/>
      <c r="G36" s="294"/>
      <c r="H36" s="348"/>
      <c r="I36" s="36" t="s">
        <v>15</v>
      </c>
      <c r="J36" s="323"/>
      <c r="K36" s="284"/>
      <c r="L36" s="302"/>
      <c r="M36" s="302">
        <f>AVERAGE([7]Brewhouse!$AT$4:$AT$11,[7]Brewhouse!$AT$13:$AT$16,[7]Brewhouse!$AT$18:$AT$21)</f>
        <v>91.832675391763644</v>
      </c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27" ht="14.65" customHeight="1">
      <c r="A37" s="28"/>
      <c r="B37" s="617"/>
      <c r="C37" s="362">
        <f>[3]Process!D332</f>
        <v>11.7</v>
      </c>
      <c r="D37" s="538">
        <v>11.91</v>
      </c>
      <c r="E37" s="539"/>
      <c r="F37" s="417"/>
      <c r="G37" s="294"/>
      <c r="H37" s="348"/>
      <c r="I37" s="37" t="s">
        <v>16</v>
      </c>
      <c r="J37" s="323"/>
      <c r="K37" s="284">
        <f>COUNTA([8]Brewhouse!$A$84:$A$91)</f>
        <v>8</v>
      </c>
      <c r="L37" s="302">
        <f>AVERAGE([8]Brewhouse!$AY$84:$AY$91)</f>
        <v>97.517044199257398</v>
      </c>
      <c r="M37" s="302">
        <f>AVERAGE([8]Brewhouse!$AY$5:$AY$14,[8]Brewhouse!$AY$16:$AY$23,[8]Brewhouse!$AY$42,[8]Brewhouse!$AY$44:$AY$51,[8]Brewhouse!$AY$53:$AY$64,[8]Brewhouse!$AY$66:$AY$73,[8]Brewhouse!$AY$75:$AY$82,[8]Brewhouse!$AY$84:$AY$91)</f>
        <v>98.050826041639255</v>
      </c>
      <c r="N37" s="30">
        <v>98</v>
      </c>
      <c r="O37" s="11"/>
      <c r="P37" s="31" t="s">
        <v>41</v>
      </c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1:27" ht="14.65" customHeight="1">
      <c r="A38" s="28"/>
      <c r="B38" s="617"/>
      <c r="C38" s="362">
        <f>[3]Process!D333</f>
        <v>11.8</v>
      </c>
      <c r="D38" s="540"/>
      <c r="E38" s="537"/>
      <c r="F38" s="294"/>
      <c r="G38" s="294"/>
      <c r="H38" s="348"/>
      <c r="I38" s="411" t="s">
        <v>158</v>
      </c>
      <c r="J38" s="326"/>
      <c r="K38" s="284"/>
      <c r="L38" s="305"/>
      <c r="M38" s="305"/>
      <c r="N38" s="30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</row>
    <row r="39" spans="1:27" ht="14.65" customHeight="1">
      <c r="A39" s="28"/>
      <c r="B39" s="617"/>
      <c r="C39" s="362">
        <f>[3]Process!D334</f>
        <v>11.9</v>
      </c>
      <c r="D39" s="538">
        <v>12.08</v>
      </c>
      <c r="E39" s="539"/>
      <c r="F39" s="294"/>
      <c r="G39" s="294"/>
      <c r="H39" s="348"/>
      <c r="I39" s="410" t="s">
        <v>157</v>
      </c>
      <c r="J39" s="326"/>
      <c r="K39" s="284"/>
      <c r="L39" s="305"/>
      <c r="M39" s="305"/>
      <c r="N39" s="30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27" ht="15" customHeight="1" thickBot="1">
      <c r="A40" s="28"/>
      <c r="B40" s="617"/>
      <c r="C40" s="362">
        <f>[3]Process!D335</f>
        <v>11.8</v>
      </c>
      <c r="D40" s="540"/>
      <c r="E40" s="537"/>
      <c r="F40" s="294"/>
      <c r="G40" s="294"/>
      <c r="H40" s="348"/>
      <c r="I40" s="406" t="s">
        <v>156</v>
      </c>
      <c r="J40" s="327"/>
      <c r="K40" s="407"/>
      <c r="L40" s="408"/>
      <c r="M40" s="408"/>
      <c r="N40" s="409">
        <v>98</v>
      </c>
      <c r="O40" s="11"/>
      <c r="P40" s="31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27" ht="15" customHeight="1" thickBot="1">
      <c r="A41" s="28"/>
      <c r="B41" s="617"/>
      <c r="C41" s="349"/>
      <c r="D41" s="534"/>
      <c r="E41" s="535"/>
      <c r="F41" s="294"/>
      <c r="G41" s="294"/>
      <c r="H41" s="348"/>
      <c r="I41" s="1"/>
      <c r="J41" s="39"/>
      <c r="K41" s="404">
        <f>SUM(K31:K40)</f>
        <v>99</v>
      </c>
      <c r="L41" s="405">
        <f>((L31*K31)+(L32*K32)+(L33*K33)+(L34*K34)+(L35*K35)+(K38*L38)+(L36*K36)+(L37*K37)+(L40*K40))/(K41)</f>
        <v>98.866594220042444</v>
      </c>
      <c r="M41" s="405">
        <f>AVERAGE('[9]Jan30th-31st'!$L$42,'[10]Feb 27th-28th'!$L$45,'[11]Mar 31st'!$L$42,'[12]Apr 30th'!$L$41,'[13]May 29th '!$L$35,'[14]June 30th'!$L$32,[15]July31st!$L$36,L41)</f>
        <v>98.013717218253959</v>
      </c>
      <c r="N41" s="40">
        <v>98</v>
      </c>
      <c r="O41" s="11"/>
      <c r="P41" s="31"/>
      <c r="R41" s="277">
        <f t="shared" si="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  <c r="AA41" s="472"/>
    </row>
    <row r="42" spans="1:27" ht="15.75" thickBot="1">
      <c r="B42" s="618"/>
      <c r="C42" s="350"/>
      <c r="D42" s="536"/>
      <c r="E42" s="537"/>
      <c r="F42" s="294"/>
      <c r="G42" s="42"/>
      <c r="H42" s="41"/>
      <c r="I42" s="42"/>
      <c r="J42" s="42"/>
      <c r="K42" s="351"/>
      <c r="L42" s="348"/>
      <c r="M42" s="348"/>
      <c r="N42" s="11"/>
      <c r="O42" s="294"/>
      <c r="P42" s="12"/>
      <c r="R42" s="277">
        <f t="shared" si="0"/>
        <v>0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  <c r="AA42" s="472"/>
    </row>
    <row r="43" spans="1:27" ht="15.75" thickBot="1">
      <c r="B43" s="541"/>
      <c r="C43" s="362"/>
      <c r="D43" s="534"/>
      <c r="E43" s="535"/>
      <c r="F43" s="294"/>
      <c r="G43" s="42"/>
      <c r="H43" s="41"/>
      <c r="I43" s="42"/>
      <c r="J43" s="544" t="s">
        <v>129</v>
      </c>
      <c r="K43" s="544"/>
      <c r="L43" s="294"/>
      <c r="M43" s="294"/>
      <c r="N43" s="294"/>
      <c r="O43" s="294"/>
      <c r="P43" s="12"/>
    </row>
    <row r="44" spans="1:27" ht="15.75" thickBot="1">
      <c r="B44" s="542"/>
      <c r="C44" s="362"/>
      <c r="D44" s="536"/>
      <c r="E44" s="537"/>
      <c r="F44" s="294"/>
      <c r="G44" s="42"/>
      <c r="H44" s="42"/>
      <c r="I44" s="42"/>
      <c r="J44" s="292" t="s">
        <v>17</v>
      </c>
      <c r="K44" s="293"/>
      <c r="L44" s="545" t="s">
        <v>136</v>
      </c>
      <c r="M44" s="545"/>
      <c r="N44" s="546"/>
      <c r="O44" s="294"/>
      <c r="P44" s="12"/>
    </row>
    <row r="45" spans="1:27" ht="15" customHeight="1" thickBot="1">
      <c r="B45" s="542"/>
      <c r="C45" s="349"/>
      <c r="D45" s="538"/>
      <c r="E45" s="539"/>
      <c r="F45" s="294"/>
      <c r="G45" s="42"/>
      <c r="H45" s="42"/>
      <c r="I45" s="42"/>
      <c r="J45" s="287" t="s">
        <v>6</v>
      </c>
      <c r="K45" s="324">
        <v>10</v>
      </c>
      <c r="L45" s="473" t="s">
        <v>37</v>
      </c>
      <c r="M45" s="474" t="s">
        <v>38</v>
      </c>
      <c r="N45" s="474" t="s">
        <v>84</v>
      </c>
      <c r="O45" s="294"/>
      <c r="P45" s="12"/>
    </row>
    <row r="46" spans="1:27" ht="15.75" customHeight="1" thickBot="1">
      <c r="B46" s="542"/>
      <c r="C46" s="349"/>
      <c r="D46" s="540"/>
      <c r="E46" s="537"/>
      <c r="F46" s="294"/>
      <c r="G46" s="42"/>
      <c r="H46" s="42"/>
      <c r="I46" s="42"/>
      <c r="J46" s="345" t="s">
        <v>9</v>
      </c>
      <c r="K46" s="324"/>
      <c r="L46" s="494">
        <f>AVERAGE(K55,'Aug 3rd '!K47,'Aug 2nd'!K52,'Aug 4th'!K47,'Aug 5th'!K51,'Aug 6th'!K51,'Aug 7th'!K51,'Aug 12th'!K51,I55,'Aug 13th '!K51,'Aug 14th&amp;15th'!I55,'Aug 17th '!K55,'Aug 18th'!K55,'Aug 19th '!K55)</f>
        <v>6.8461538461538458</v>
      </c>
      <c r="M46" s="495">
        <f>AVERAGE('[9]Jan30th-31st'!$L$47,L46,'[10]Feb 26th '!$L$39,'[11]Mar 31st'!$L$47,'[12]Apr 30th'!$L$46,'[13]May 29th '!$L$40,'[14]June 30th'!$L$39,[15]July31st!$L$41)</f>
        <v>6.4016912435390694</v>
      </c>
      <c r="N46" s="416">
        <v>9.1999999999999993</v>
      </c>
      <c r="O46" s="294"/>
      <c r="P46" s="12"/>
    </row>
    <row r="47" spans="1:27" ht="15" customHeight="1">
      <c r="B47" s="542"/>
      <c r="C47" s="349"/>
      <c r="D47" s="538"/>
      <c r="E47" s="539"/>
      <c r="F47" s="294"/>
      <c r="G47" s="42"/>
      <c r="H47" s="42"/>
      <c r="I47" s="42"/>
      <c r="J47" s="288" t="s">
        <v>40</v>
      </c>
      <c r="K47" s="324"/>
      <c r="L47" s="294"/>
      <c r="M47" s="294"/>
      <c r="N47" s="294"/>
      <c r="O47" s="294"/>
      <c r="P47" s="12"/>
    </row>
    <row r="48" spans="1:27" ht="15" customHeight="1">
      <c r="B48" s="542"/>
      <c r="C48" s="349"/>
      <c r="D48" s="540"/>
      <c r="E48" s="537"/>
      <c r="F48" s="294"/>
      <c r="G48" s="42"/>
      <c r="H48" s="42"/>
      <c r="I48" s="42"/>
      <c r="J48" s="289" t="s">
        <v>33</v>
      </c>
      <c r="K48" s="324"/>
      <c r="L48" s="294"/>
      <c r="M48" s="294"/>
      <c r="N48" s="294"/>
      <c r="O48" s="294"/>
      <c r="P48" s="12"/>
    </row>
    <row r="49" spans="2:57" ht="15">
      <c r="B49" s="542"/>
      <c r="C49" s="349"/>
      <c r="D49" s="538"/>
      <c r="E49" s="539"/>
      <c r="F49" s="294"/>
      <c r="G49" s="42"/>
      <c r="H49" s="42"/>
      <c r="I49" s="42"/>
      <c r="J49" s="290" t="s">
        <v>16</v>
      </c>
      <c r="K49" s="324"/>
      <c r="L49" s="294"/>
      <c r="M49" s="294"/>
      <c r="N49" s="294"/>
      <c r="O49" s="294"/>
      <c r="P49" s="12"/>
      <c r="BC49" s="44"/>
      <c r="BD49" s="44"/>
    </row>
    <row r="50" spans="2:57" ht="15">
      <c r="B50" s="542"/>
      <c r="C50" s="349"/>
      <c r="D50" s="540"/>
      <c r="E50" s="537"/>
      <c r="F50" s="294"/>
      <c r="G50" s="42"/>
      <c r="H50" s="42"/>
      <c r="I50" s="42"/>
      <c r="J50" s="291" t="s">
        <v>15</v>
      </c>
      <c r="K50" s="324"/>
      <c r="L50" s="294"/>
      <c r="M50" s="294"/>
      <c r="N50" s="294"/>
      <c r="O50" s="294"/>
      <c r="P50" s="12"/>
      <c r="BC50" s="44"/>
      <c r="BD50" s="44"/>
    </row>
    <row r="51" spans="2:57" ht="15">
      <c r="B51" s="542"/>
      <c r="C51" s="349"/>
      <c r="D51" s="538"/>
      <c r="E51" s="539"/>
      <c r="F51" s="294"/>
      <c r="G51" s="42"/>
      <c r="H51" s="42"/>
      <c r="I51" s="42"/>
      <c r="J51" s="291" t="s">
        <v>149</v>
      </c>
      <c r="K51" s="324"/>
      <c r="L51" s="294"/>
      <c r="M51" s="294"/>
      <c r="N51" s="294"/>
      <c r="O51" s="294"/>
      <c r="P51" s="12"/>
      <c r="BC51" s="44"/>
      <c r="BD51" s="44"/>
    </row>
    <row r="52" spans="2:57" ht="15.75" thickBot="1">
      <c r="B52" s="543"/>
      <c r="C52" s="350"/>
      <c r="D52" s="547"/>
      <c r="E52" s="548"/>
      <c r="F52" s="294" t="s">
        <v>166</v>
      </c>
      <c r="G52" s="42"/>
      <c r="H52" s="42"/>
      <c r="I52" s="42"/>
      <c r="J52" s="291" t="s">
        <v>148</v>
      </c>
      <c r="K52" s="324"/>
      <c r="L52" s="294"/>
      <c r="M52" s="294"/>
      <c r="N52" s="294" t="s">
        <v>41</v>
      </c>
      <c r="O52" s="294"/>
      <c r="P52" s="12"/>
      <c r="BC52" s="44"/>
      <c r="BD52" s="44"/>
    </row>
    <row r="53" spans="2:57" ht="17.649999999999999" customHeight="1" thickBot="1">
      <c r="B53" s="312" t="s">
        <v>139</v>
      </c>
      <c r="C53" s="313"/>
      <c r="D53" s="549"/>
      <c r="E53" s="550"/>
      <c r="F53" s="294"/>
      <c r="J53" s="295" t="s">
        <v>134</v>
      </c>
      <c r="K53" s="324"/>
      <c r="L53" s="294"/>
      <c r="M53" s="294"/>
      <c r="N53" s="294"/>
      <c r="O53" s="294"/>
      <c r="P53" s="12"/>
      <c r="BC53" s="44"/>
      <c r="BD53" s="44"/>
    </row>
    <row r="54" spans="2:57" ht="17.649999999999999" customHeight="1">
      <c r="B54" s="363"/>
      <c r="C54" s="364"/>
      <c r="D54" s="365"/>
      <c r="E54" s="365"/>
      <c r="F54" s="294"/>
      <c r="G54" s="42"/>
      <c r="H54" s="42"/>
      <c r="I54" s="42"/>
      <c r="J54" s="295" t="s">
        <v>131</v>
      </c>
      <c r="K54" s="324"/>
      <c r="L54" s="294"/>
      <c r="M54" s="294"/>
      <c r="N54" s="294"/>
      <c r="O54" s="294"/>
      <c r="P54" s="12"/>
      <c r="BC54" s="44"/>
      <c r="BD54" s="44"/>
    </row>
    <row r="55" spans="2:57" ht="15.6" customHeight="1">
      <c r="B55" s="45"/>
      <c r="C55" s="11"/>
      <c r="D55" s="11"/>
      <c r="E55" s="46"/>
      <c r="F55" s="294"/>
      <c r="G55" s="42"/>
      <c r="H55" s="42"/>
      <c r="I55" s="42"/>
      <c r="J55" s="346" t="s">
        <v>130</v>
      </c>
      <c r="K55" s="324">
        <f>SUM(K45:K54)</f>
        <v>10</v>
      </c>
      <c r="L55" s="294"/>
      <c r="M55" s="294"/>
      <c r="N55" s="294"/>
      <c r="O55" s="294"/>
      <c r="P55" s="12"/>
    </row>
    <row r="56" spans="2:57" ht="20.25" customHeight="1">
      <c r="B56" s="15" t="s">
        <v>42</v>
      </c>
      <c r="C56" s="1" t="s">
        <v>43</v>
      </c>
      <c r="D56" s="1"/>
      <c r="E56" s="1"/>
      <c r="F56" s="294"/>
      <c r="G56" s="42"/>
      <c r="H56" s="41"/>
      <c r="I56" s="42"/>
      <c r="L56" s="42"/>
      <c r="N56" s="315"/>
      <c r="P56" s="334"/>
    </row>
    <row r="57" spans="2:57" ht="15" customHeight="1" thickBot="1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1"/>
      <c r="O57" s="48"/>
      <c r="P57" s="49"/>
    </row>
    <row r="58" spans="2:57" ht="15" customHeight="1" thickBot="1">
      <c r="B58" s="551" t="s">
        <v>17</v>
      </c>
      <c r="C58" s="551" t="s">
        <v>44</v>
      </c>
      <c r="D58" s="554" t="s">
        <v>45</v>
      </c>
      <c r="E58" s="519" t="s">
        <v>46</v>
      </c>
      <c r="F58" s="568" t="s">
        <v>47</v>
      </c>
      <c r="G58" s="563" t="s">
        <v>48</v>
      </c>
      <c r="H58" s="551" t="s">
        <v>49</v>
      </c>
      <c r="I58" s="551" t="s">
        <v>50</v>
      </c>
      <c r="J58" s="557" t="s">
        <v>28</v>
      </c>
      <c r="K58" s="517" t="s">
        <v>51</v>
      </c>
      <c r="L58" s="566" t="s">
        <v>52</v>
      </c>
      <c r="M58" s="557" t="s">
        <v>53</v>
      </c>
      <c r="N58" s="13"/>
      <c r="O58" s="13"/>
      <c r="P58" s="50"/>
    </row>
    <row r="59" spans="2:57" ht="28.5" customHeight="1" thickTop="1" thickBot="1">
      <c r="B59" s="552"/>
      <c r="C59" s="553"/>
      <c r="D59" s="555"/>
      <c r="E59" s="556"/>
      <c r="F59" s="569"/>
      <c r="G59" s="564"/>
      <c r="H59" s="552"/>
      <c r="I59" s="552"/>
      <c r="J59" s="558"/>
      <c r="K59" s="565"/>
      <c r="L59" s="567"/>
      <c r="M59" s="558"/>
      <c r="N59" s="13"/>
      <c r="O59" s="13"/>
      <c r="P59" s="50"/>
      <c r="Q59" s="355"/>
      <c r="AB59" s="475">
        <v>43474</v>
      </c>
      <c r="AC59" s="475">
        <v>43475</v>
      </c>
      <c r="AD59" s="475">
        <v>43476</v>
      </c>
      <c r="AE59" s="475">
        <v>43477</v>
      </c>
      <c r="AF59" s="475">
        <v>43478</v>
      </c>
      <c r="AG59" s="475">
        <v>43479</v>
      </c>
      <c r="AH59" s="475">
        <v>43480</v>
      </c>
      <c r="AI59" s="475">
        <v>43481</v>
      </c>
      <c r="AJ59" s="475">
        <v>43482</v>
      </c>
      <c r="AK59" s="475">
        <v>43483</v>
      </c>
      <c r="AL59" s="475">
        <v>43484</v>
      </c>
      <c r="AM59" s="475">
        <v>43485</v>
      </c>
      <c r="AN59" s="475">
        <v>43486</v>
      </c>
      <c r="AO59" s="475">
        <v>43487</v>
      </c>
      <c r="AP59" s="475">
        <v>43488</v>
      </c>
      <c r="AQ59" s="475">
        <v>43489</v>
      </c>
      <c r="AR59" s="475">
        <v>43490</v>
      </c>
      <c r="AS59" s="475">
        <v>43491</v>
      </c>
      <c r="AT59" s="475">
        <v>43492</v>
      </c>
      <c r="AU59" s="475">
        <v>43493</v>
      </c>
      <c r="AV59" s="475">
        <v>43494</v>
      </c>
      <c r="AW59" s="475">
        <v>43495</v>
      </c>
      <c r="AX59" s="475">
        <v>43496</v>
      </c>
    </row>
    <row r="60" spans="2:57" s="54" customFormat="1" ht="36.75" customHeight="1" thickBot="1">
      <c r="B60" s="484" t="str">
        <f>B74</f>
        <v>STAG</v>
      </c>
      <c r="C60" s="479">
        <v>46254</v>
      </c>
      <c r="D60" s="445">
        <f>[35]August_2026!$W$13</f>
        <v>501.9</v>
      </c>
      <c r="E60" s="443"/>
      <c r="F60" s="444"/>
      <c r="G60" s="444">
        <f>[35]August_2026!$W$17</f>
        <v>479.8</v>
      </c>
      <c r="H60" s="458"/>
      <c r="I60" s="458"/>
      <c r="J60" s="448" t="s">
        <v>197</v>
      </c>
      <c r="K60" s="449">
        <f>[36]August_2026!$W$25</f>
        <v>0.42087719298245613</v>
      </c>
      <c r="L60" s="497">
        <f>(((D60+E60)-G60)/(D60+E60))*100</f>
        <v>4.4032675831838946</v>
      </c>
      <c r="M60" s="455" t="s">
        <v>179</v>
      </c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[16]January_2019!L5</f>
        <v>0</v>
      </c>
      <c r="AC60" s="57">
        <f>[16]January_2019!M5</f>
        <v>0</v>
      </c>
      <c r="AD60" s="57">
        <f>[16]January_2019!N5</f>
        <v>0</v>
      </c>
      <c r="AE60" s="57">
        <f>[16]January_2019!O5</f>
        <v>0</v>
      </c>
      <c r="AF60" s="57">
        <f>[16]January_2019!P5</f>
        <v>0</v>
      </c>
      <c r="AG60" s="57">
        <f>[16]January_2019!Q5</f>
        <v>0</v>
      </c>
      <c r="AH60" s="57">
        <f>[16]January_2019!R5</f>
        <v>0</v>
      </c>
      <c r="AI60" s="57">
        <f>[16]January_2019!S5</f>
        <v>0</v>
      </c>
      <c r="AJ60" s="57">
        <f>[16]January_2019!T5</f>
        <v>0</v>
      </c>
      <c r="AK60" s="57">
        <f>[16]January_2019!U5</f>
        <v>0</v>
      </c>
      <c r="AL60" s="57">
        <f>[16]January_2019!V5</f>
        <v>0</v>
      </c>
      <c r="AM60" s="57">
        <f>[16]January_2019!W5</f>
        <v>0</v>
      </c>
      <c r="AN60" s="57">
        <f>[16]January_2019!X5</f>
        <v>0</v>
      </c>
      <c r="AO60" s="57">
        <f>[16]January_2019!Y5</f>
        <v>0</v>
      </c>
      <c r="AP60" s="57">
        <f>[16]January_2019!Z5</f>
        <v>0</v>
      </c>
      <c r="AQ60" s="57">
        <f>[16]January_2019!AA5</f>
        <v>0</v>
      </c>
      <c r="AR60" s="57">
        <f>[16]January_2019!AB5</f>
        <v>0</v>
      </c>
      <c r="AS60" s="57">
        <f>[16]January_2019!AC5</f>
        <v>0</v>
      </c>
      <c r="AT60" s="57">
        <f>[16]January_2019!AD5</f>
        <v>0</v>
      </c>
      <c r="AU60" s="57">
        <f>[16]January_2019!AE5</f>
        <v>0</v>
      </c>
      <c r="AV60" s="57">
        <f>[16]January_2019!AF5</f>
        <v>0</v>
      </c>
      <c r="AW60" s="57">
        <f>[16]January_2019!AG5</f>
        <v>0</v>
      </c>
      <c r="AX60" s="277">
        <f>[16]January_2019!AH5</f>
        <v>0</v>
      </c>
      <c r="AY60" s="277"/>
      <c r="AZ60" s="277"/>
      <c r="BA60" s="277"/>
      <c r="BB60" s="277"/>
      <c r="BC60" s="277"/>
      <c r="BD60" s="277"/>
      <c r="BE60" s="277"/>
    </row>
    <row r="61" spans="2:57" s="54" customFormat="1" ht="14.25" customHeight="1" thickBot="1">
      <c r="B61" s="480"/>
      <c r="C61" s="479"/>
      <c r="D61" s="442"/>
      <c r="E61" s="443"/>
      <c r="F61" s="444"/>
      <c r="G61" s="445"/>
      <c r="H61" s="458"/>
      <c r="I61" s="458"/>
      <c r="J61" s="476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>
        <f>[16]January_2019!L6</f>
        <v>0</v>
      </c>
      <c r="AC61" s="57">
        <f>[16]January_2019!M6</f>
        <v>0</v>
      </c>
      <c r="AD61" s="57">
        <f>[16]January_2019!N6</f>
        <v>0</v>
      </c>
      <c r="AE61" s="57">
        <f>[16]January_2019!O6</f>
        <v>0</v>
      </c>
      <c r="AF61" s="57">
        <f>[16]January_2019!P6</f>
        <v>0</v>
      </c>
      <c r="AG61" s="57">
        <f>[16]January_2019!Q6</f>
        <v>0</v>
      </c>
      <c r="AH61" s="57">
        <f>[16]January_2019!R6</f>
        <v>0</v>
      </c>
      <c r="AI61" s="57">
        <f>[16]January_2019!S6</f>
        <v>0</v>
      </c>
      <c r="AJ61" s="57">
        <f>[16]January_2019!T6</f>
        <v>0</v>
      </c>
      <c r="AK61" s="57">
        <f>[16]January_2019!U6</f>
        <v>0</v>
      </c>
      <c r="AL61" s="57">
        <f>[16]January_2019!V6</f>
        <v>0</v>
      </c>
      <c r="AM61" s="57">
        <f>[16]January_2019!W6</f>
        <v>0</v>
      </c>
      <c r="AN61" s="57">
        <f>[16]January_2019!X6</f>
        <v>0</v>
      </c>
      <c r="AO61" s="57">
        <f>[16]January_2019!Y6</f>
        <v>0</v>
      </c>
      <c r="AP61" s="57">
        <f>[16]January_2019!Z6</f>
        <v>0</v>
      </c>
      <c r="AQ61" s="57">
        <f>[16]January_2019!AA6</f>
        <v>0</v>
      </c>
      <c r="AR61" s="57">
        <f>[16]January_2019!AB6</f>
        <v>0</v>
      </c>
      <c r="AS61" s="57">
        <f>[16]January_2019!AC6</f>
        <v>0</v>
      </c>
      <c r="AT61" s="57">
        <f>[16]January_2019!AD6</f>
        <v>0</v>
      </c>
      <c r="AU61" s="57">
        <f>[16]January_2019!AE6</f>
        <v>0</v>
      </c>
      <c r="AV61" s="57">
        <f>[16]January_2019!AF6</f>
        <v>0</v>
      </c>
      <c r="AW61" s="57">
        <f>[16]January_2019!AG6</f>
        <v>0</v>
      </c>
      <c r="AX61" s="277">
        <f>[16]January_2019!AH6</f>
        <v>0</v>
      </c>
      <c r="AY61" s="277"/>
      <c r="AZ61" s="277"/>
      <c r="BA61" s="277"/>
      <c r="BB61" s="277"/>
      <c r="BC61" s="277"/>
      <c r="BD61" s="277"/>
      <c r="BE61" s="277"/>
    </row>
    <row r="62" spans="2:57" s="54" customFormat="1" ht="37.15" hidden="1" customHeight="1" thickBot="1">
      <c r="B62" s="456"/>
      <c r="C62" s="479"/>
      <c r="D62" s="442"/>
      <c r="E62" s="443"/>
      <c r="F62" s="444"/>
      <c r="G62" s="444"/>
      <c r="H62" s="458"/>
      <c r="I62" s="458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[16]January_2019!L7</f>
        <v>285.8</v>
      </c>
      <c r="AC62" s="57">
        <f>[16]January_2019!M7</f>
        <v>508.1</v>
      </c>
      <c r="AD62" s="57">
        <f>[16]January_2019!N7</f>
        <v>0</v>
      </c>
      <c r="AE62" s="57">
        <f>[16]January_2019!O7</f>
        <v>0</v>
      </c>
      <c r="AF62" s="57">
        <f>[16]January_2019!P7</f>
        <v>109.56666666666666</v>
      </c>
      <c r="AG62" s="57">
        <f>[16]January_2019!Q7</f>
        <v>297.64999999999998</v>
      </c>
      <c r="AH62" s="57">
        <f>[16]January_2019!R7</f>
        <v>122.3</v>
      </c>
      <c r="AI62" s="57">
        <f>[16]January_2019!S7</f>
        <v>0</v>
      </c>
      <c r="AJ62" s="57">
        <f>[16]January_2019!T7</f>
        <v>294.7</v>
      </c>
      <c r="AK62" s="57">
        <f>[16]January_2019!U7</f>
        <v>280.5</v>
      </c>
      <c r="AL62" s="57">
        <f>[16]January_2019!V7</f>
        <v>0</v>
      </c>
      <c r="AM62" s="57">
        <f>[16]January_2019!W7</f>
        <v>0</v>
      </c>
      <c r="AN62" s="57">
        <f>[16]January_2019!X7</f>
        <v>188.25</v>
      </c>
      <c r="AO62" s="57">
        <f>[16]January_2019!Y7</f>
        <v>295.7</v>
      </c>
      <c r="AP62" s="57">
        <f>[16]January_2019!Z7</f>
        <v>257.8</v>
      </c>
      <c r="AQ62" s="57">
        <f>[16]January_2019!AA7</f>
        <v>291.2</v>
      </c>
      <c r="AR62" s="57">
        <f>[16]January_2019!AB7</f>
        <v>187</v>
      </c>
      <c r="AS62" s="57">
        <f>[16]January_2019!AC7</f>
        <v>0</v>
      </c>
      <c r="AT62" s="57">
        <f>[16]January_2019!AD7</f>
        <v>0</v>
      </c>
      <c r="AU62" s="57">
        <f>[16]January_2019!AE7</f>
        <v>485.1</v>
      </c>
      <c r="AV62" s="57">
        <f>[16]January_2019!AF7</f>
        <v>171.55</v>
      </c>
      <c r="AW62" s="57">
        <f>[16]January_2019!AG7</f>
        <v>423.8</v>
      </c>
      <c r="AX62" s="277">
        <f>[16]January_2019!AH7</f>
        <v>0</v>
      </c>
      <c r="AY62" s="277"/>
      <c r="AZ62" s="277"/>
      <c r="BA62" s="277"/>
      <c r="BB62" s="277"/>
      <c r="BC62" s="277"/>
      <c r="BD62" s="277"/>
      <c r="BE62" s="277"/>
    </row>
    <row r="63" spans="2:57" s="54" customFormat="1" ht="18.600000000000001" hidden="1" customHeight="1" thickBot="1">
      <c r="B63" s="478"/>
      <c r="C63" s="430"/>
      <c r="D63" s="431"/>
      <c r="E63" s="432"/>
      <c r="F63" s="433"/>
      <c r="G63" s="434"/>
      <c r="H63" s="458"/>
      <c r="I63" s="458"/>
      <c r="J63" s="451"/>
      <c r="K63" s="436"/>
      <c r="L63" s="452"/>
      <c r="M63" s="421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8.65" hidden="1" customHeight="1" thickBot="1">
      <c r="B64" s="498"/>
      <c r="C64" s="479"/>
      <c r="D64" s="442"/>
      <c r="E64" s="443"/>
      <c r="F64" s="444"/>
      <c r="G64" s="445"/>
      <c r="H64" s="458"/>
      <c r="I64" s="458"/>
      <c r="J64" s="448"/>
      <c r="K64" s="459"/>
      <c r="L64" s="457"/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15" hidden="1">
      <c r="B65" s="453"/>
      <c r="C65" s="430"/>
      <c r="D65" s="431"/>
      <c r="E65" s="432"/>
      <c r="F65" s="433"/>
      <c r="G65" s="434"/>
      <c r="H65" s="435"/>
      <c r="I65" s="450"/>
      <c r="J65" s="451"/>
      <c r="K65" s="436"/>
      <c r="L65" s="452"/>
      <c r="M65" s="421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hidden="1" customHeight="1" thickBot="1">
      <c r="B66" s="482"/>
      <c r="C66" s="479"/>
      <c r="D66" s="442"/>
      <c r="E66" s="443"/>
      <c r="F66" s="444"/>
      <c r="G66" s="445"/>
      <c r="H66" s="446"/>
      <c r="I66" s="447"/>
      <c r="J66" s="448"/>
      <c r="K66" s="449"/>
      <c r="L66" s="457"/>
      <c r="M66" s="45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16.5" hidden="1" customHeight="1" thickBot="1">
      <c r="B67" s="437"/>
      <c r="C67" s="423"/>
      <c r="D67" s="424"/>
      <c r="E67" s="425"/>
      <c r="F67" s="426"/>
      <c r="G67" s="427"/>
      <c r="H67" s="428"/>
      <c r="I67" s="438"/>
      <c r="J67" s="439"/>
      <c r="K67" s="429"/>
      <c r="L67" s="440"/>
      <c r="M67" s="422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415"/>
      <c r="AC67" s="415"/>
      <c r="AD67" s="415"/>
      <c r="AE67" s="415"/>
      <c r="AF67" s="415"/>
      <c r="AG67" s="415"/>
      <c r="AH67" s="415"/>
      <c r="AI67" s="415"/>
      <c r="AJ67" s="415"/>
      <c r="AK67" s="415"/>
      <c r="AL67" s="415"/>
      <c r="AM67" s="415"/>
      <c r="AN67" s="415"/>
      <c r="AO67" s="415"/>
      <c r="AP67" s="415"/>
      <c r="AQ67" s="415"/>
      <c r="AR67" s="415"/>
      <c r="AS67" s="415"/>
      <c r="AT67" s="415"/>
      <c r="AU67" s="415"/>
      <c r="AV67" s="415"/>
      <c r="AW67" s="415"/>
    </row>
    <row r="68" spans="2:57" s="54" customFormat="1" ht="37.15" hidden="1" customHeight="1" thickBot="1">
      <c r="B68" s="456"/>
      <c r="C68" s="441"/>
      <c r="D68" s="442"/>
      <c r="E68" s="443"/>
      <c r="F68" s="444"/>
      <c r="G68" s="445"/>
      <c r="H68" s="446"/>
      <c r="I68" s="447"/>
      <c r="J68" s="448"/>
      <c r="K68" s="449"/>
      <c r="L68" s="457"/>
      <c r="M68" s="454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37.15" customHeight="1">
      <c r="B69" s="466"/>
      <c r="C69" s="430"/>
      <c r="D69" s="460"/>
      <c r="E69" s="461"/>
      <c r="F69" s="462"/>
      <c r="G69" s="460"/>
      <c r="H69" s="463"/>
      <c r="I69" s="463"/>
      <c r="J69" s="463"/>
      <c r="K69" s="464"/>
      <c r="L69" s="465"/>
      <c r="M69" s="50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ht="18" customHeight="1" thickBot="1">
      <c r="B70" s="59"/>
      <c r="C70" s="30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 t="s">
        <v>41</v>
      </c>
      <c r="O70" s="56"/>
      <c r="P70" s="60"/>
    </row>
    <row r="71" spans="2:57" ht="15.75" thickBot="1">
      <c r="B71" s="559" t="s">
        <v>55</v>
      </c>
      <c r="C71" s="560"/>
      <c r="D71" s="560"/>
      <c r="E71" s="560"/>
      <c r="F71" s="561"/>
      <c r="G71" s="559" t="s">
        <v>56</v>
      </c>
      <c r="H71" s="560"/>
      <c r="I71" s="560"/>
      <c r="J71" s="561"/>
      <c r="K71" s="559" t="s">
        <v>51</v>
      </c>
      <c r="L71" s="560"/>
      <c r="M71" s="560"/>
      <c r="N71" s="562"/>
      <c r="O71" s="56"/>
      <c r="P71" s="50"/>
    </row>
    <row r="72" spans="2:57" ht="15">
      <c r="B72" s="61" t="s">
        <v>17</v>
      </c>
      <c r="C72" s="62" t="s">
        <v>36</v>
      </c>
      <c r="D72" s="62" t="s">
        <v>37</v>
      </c>
      <c r="E72" s="62" t="s">
        <v>38</v>
      </c>
      <c r="F72" s="63" t="s">
        <v>39</v>
      </c>
      <c r="G72" s="62" t="s">
        <v>36</v>
      </c>
      <c r="H72" s="62" t="s">
        <v>37</v>
      </c>
      <c r="I72" s="62" t="s">
        <v>38</v>
      </c>
      <c r="J72" s="63" t="s">
        <v>39</v>
      </c>
      <c r="K72" s="62"/>
      <c r="L72" s="62" t="s">
        <v>37</v>
      </c>
      <c r="M72" s="62" t="s">
        <v>38</v>
      </c>
      <c r="N72" s="63" t="s">
        <v>39</v>
      </c>
      <c r="O72" s="56"/>
      <c r="P72" s="64"/>
    </row>
    <row r="73" spans="2:57" ht="15">
      <c r="B73" s="29" t="s">
        <v>6</v>
      </c>
      <c r="C73" s="65"/>
      <c r="D73" s="76">
        <v>5.3133139026063532</v>
      </c>
      <c r="E73" s="76">
        <v>6.3624607250250778</v>
      </c>
      <c r="F73" s="66">
        <v>4.8</v>
      </c>
      <c r="G73" s="65"/>
      <c r="H73" s="477">
        <v>5.2672697698460524</v>
      </c>
      <c r="I73" s="477">
        <v>6.6136922654103216</v>
      </c>
      <c r="J73" s="66">
        <v>4.8</v>
      </c>
      <c r="K73" s="67"/>
      <c r="L73" s="194">
        <v>0.45696509793001017</v>
      </c>
      <c r="M73" s="194">
        <v>0.52939031369845568</v>
      </c>
      <c r="N73" s="68">
        <v>1</v>
      </c>
      <c r="O73" s="56"/>
      <c r="P73" s="69"/>
    </row>
    <row r="74" spans="2:57" ht="15">
      <c r="B74" s="33" t="s">
        <v>9</v>
      </c>
      <c r="C74" s="65">
        <f>L60</f>
        <v>4.4032675831838946</v>
      </c>
      <c r="D74" s="76">
        <v>6.9195552648790164</v>
      </c>
      <c r="E74" s="76">
        <v>5.9062354818510565</v>
      </c>
      <c r="F74" s="66">
        <v>4.8</v>
      </c>
      <c r="G74" s="65">
        <f>[35]August_2026!$W$21</f>
        <v>3.7860166878372188</v>
      </c>
      <c r="H74" s="76">
        <v>6.6110791194634473</v>
      </c>
      <c r="I74" s="76">
        <v>5.9017996409751454</v>
      </c>
      <c r="J74" s="66">
        <v>4.8</v>
      </c>
      <c r="K74" s="67">
        <f>K60</f>
        <v>0.42087719298245613</v>
      </c>
      <c r="L74" s="194">
        <v>0.67517543859649132</v>
      </c>
      <c r="M74" s="194">
        <v>0.6999331224863623</v>
      </c>
      <c r="N74" s="68">
        <v>1</v>
      </c>
      <c r="P74" s="69"/>
    </row>
    <row r="75" spans="2:57" ht="15">
      <c r="B75" s="34" t="s">
        <v>40</v>
      </c>
      <c r="C75" s="65"/>
      <c r="D75" s="76">
        <v>8.0132764343290681</v>
      </c>
      <c r="E75" s="76">
        <v>11.085360064780945</v>
      </c>
      <c r="F75" s="66">
        <v>5.5</v>
      </c>
      <c r="G75" s="65"/>
      <c r="H75" s="76">
        <v>7.261998133908862</v>
      </c>
      <c r="I75" s="76">
        <v>11.847386208595987</v>
      </c>
      <c r="J75" s="66">
        <v>5.5</v>
      </c>
      <c r="K75" s="67"/>
      <c r="L75" s="194">
        <v>0.68070175438596492</v>
      </c>
      <c r="M75" s="194">
        <v>0.37172629490392645</v>
      </c>
      <c r="N75" s="68">
        <v>1</v>
      </c>
      <c r="P75" s="69"/>
    </row>
    <row r="76" spans="2:57" ht="15">
      <c r="B76" s="22" t="s">
        <v>33</v>
      </c>
      <c r="C76" s="65"/>
      <c r="D76" s="76"/>
      <c r="E76" s="76">
        <v>4.8685538193023836</v>
      </c>
      <c r="F76" s="66">
        <v>3.3</v>
      </c>
      <c r="G76" s="65"/>
      <c r="H76" s="76"/>
      <c r="I76" s="76">
        <v>5.0921772905826597</v>
      </c>
      <c r="J76" s="66">
        <v>3.3</v>
      </c>
      <c r="K76" s="67"/>
      <c r="L76" s="194"/>
      <c r="M76" s="194">
        <v>0.79040935672514623</v>
      </c>
      <c r="N76" s="68">
        <v>1</v>
      </c>
      <c r="P76" s="69"/>
    </row>
    <row r="77" spans="2:57" ht="15">
      <c r="B77" s="35" t="s">
        <v>164</v>
      </c>
      <c r="C77" s="65"/>
      <c r="D77" s="76"/>
      <c r="E77" s="76"/>
      <c r="F77" s="66">
        <v>3.3</v>
      </c>
      <c r="G77" s="282"/>
      <c r="H77" s="76"/>
      <c r="I77" s="76"/>
      <c r="J77" s="66">
        <v>3</v>
      </c>
      <c r="K77" s="67"/>
      <c r="L77" s="194"/>
      <c r="M77" s="194"/>
      <c r="N77" s="68">
        <v>1</v>
      </c>
      <c r="P77" s="69"/>
    </row>
    <row r="78" spans="2:57" ht="15">
      <c r="B78" s="36" t="s">
        <v>15</v>
      </c>
      <c r="C78" s="65"/>
      <c r="D78" s="76"/>
      <c r="E78" s="76">
        <v>6.0400197628458603</v>
      </c>
      <c r="F78" s="70">
        <v>5.5</v>
      </c>
      <c r="G78" s="65"/>
      <c r="H78" s="76"/>
      <c r="I78" s="76">
        <v>8.2405787675951316</v>
      </c>
      <c r="J78" s="66">
        <v>5.5</v>
      </c>
      <c r="K78" s="67"/>
      <c r="L78" s="194"/>
      <c r="M78" s="194">
        <v>0.78491228070175445</v>
      </c>
      <c r="N78" s="68">
        <v>1</v>
      </c>
      <c r="P78" s="69"/>
    </row>
    <row r="79" spans="2:57" ht="15">
      <c r="B79" s="37" t="s">
        <v>16</v>
      </c>
      <c r="C79" s="483"/>
      <c r="D79" s="76">
        <v>2.3312883435582821</v>
      </c>
      <c r="E79" s="76">
        <v>3.4897129331795727</v>
      </c>
      <c r="F79" s="66">
        <v>3.3</v>
      </c>
      <c r="G79" s="282"/>
      <c r="H79" s="76">
        <v>2.9668764888279751</v>
      </c>
      <c r="I79" s="76">
        <v>4.7322074825777003</v>
      </c>
      <c r="J79" s="66">
        <v>3.3</v>
      </c>
      <c r="K79" s="67"/>
      <c r="L79" s="194">
        <v>1.3964912280701753</v>
      </c>
      <c r="M79" s="194">
        <v>0.9346464646464645</v>
      </c>
      <c r="N79" s="71">
        <v>1</v>
      </c>
      <c r="P79" s="69"/>
    </row>
    <row r="80" spans="2:57" ht="15.75" thickBot="1">
      <c r="B80" s="38" t="s">
        <v>163</v>
      </c>
      <c r="C80" s="65"/>
      <c r="D80" s="76"/>
      <c r="E80" s="76"/>
      <c r="F80" s="66">
        <v>7.5</v>
      </c>
      <c r="G80" s="282"/>
      <c r="H80" s="76"/>
      <c r="I80" s="76"/>
      <c r="J80" s="66">
        <v>7.5</v>
      </c>
      <c r="K80" s="67"/>
      <c r="L80" s="194"/>
      <c r="M80" s="194"/>
      <c r="N80" s="71">
        <v>1</v>
      </c>
      <c r="P80" s="69"/>
    </row>
    <row r="81" spans="2:16" ht="15.75" thickBot="1">
      <c r="B81" s="414" t="s">
        <v>161</v>
      </c>
      <c r="C81" s="65"/>
      <c r="D81" s="76"/>
      <c r="E81" s="76"/>
      <c r="F81" s="66">
        <v>4.8</v>
      </c>
      <c r="G81" s="282"/>
      <c r="H81" s="76"/>
      <c r="I81" s="76"/>
      <c r="J81" s="66">
        <v>4.8</v>
      </c>
      <c r="K81" s="67"/>
      <c r="L81" s="194"/>
      <c r="M81" s="194"/>
      <c r="N81" s="71">
        <v>1</v>
      </c>
      <c r="O81" s="74"/>
      <c r="P81" s="75"/>
    </row>
    <row r="82" spans="2:16" ht="15">
      <c r="D82" s="76">
        <v>5.6174263360644714</v>
      </c>
      <c r="E82" s="76">
        <v>6.2485227053558638</v>
      </c>
      <c r="F82" s="341">
        <v>5.5</v>
      </c>
      <c r="H82" s="76">
        <v>5.4747576322077087</v>
      </c>
      <c r="I82" s="76">
        <v>6.6400552512042799</v>
      </c>
      <c r="J82" s="341">
        <v>5.5</v>
      </c>
      <c r="L82" s="194">
        <v>0.58681465568683611</v>
      </c>
      <c r="M82" s="194">
        <v>0.60467143039878057</v>
      </c>
      <c r="N82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9:N29"/>
    <mergeCell ref="D30:E30"/>
    <mergeCell ref="B31:B42"/>
    <mergeCell ref="D31:E32"/>
    <mergeCell ref="D33:E34"/>
    <mergeCell ref="D35:E36"/>
    <mergeCell ref="D37:E38"/>
    <mergeCell ref="D39:E40"/>
    <mergeCell ref="D41:E42"/>
    <mergeCell ref="B43:B52"/>
    <mergeCell ref="D43:E44"/>
    <mergeCell ref="J43:K43"/>
    <mergeCell ref="L44:N44"/>
    <mergeCell ref="D45:E46"/>
    <mergeCell ref="D47:E48"/>
    <mergeCell ref="D49:E50"/>
    <mergeCell ref="D51:E52"/>
    <mergeCell ref="D53:E53"/>
    <mergeCell ref="B58:B59"/>
    <mergeCell ref="C58:C59"/>
    <mergeCell ref="D58:D59"/>
    <mergeCell ref="E58:E59"/>
    <mergeCell ref="M58:M59"/>
    <mergeCell ref="B71:F71"/>
    <mergeCell ref="G71:J71"/>
    <mergeCell ref="K71:N71"/>
    <mergeCell ref="G58:G59"/>
    <mergeCell ref="H58:H59"/>
    <mergeCell ref="I58:I59"/>
    <mergeCell ref="J58:J59"/>
    <mergeCell ref="K58:K59"/>
    <mergeCell ref="L58:L59"/>
    <mergeCell ref="F58:F59"/>
  </mergeCells>
  <conditionalFormatting sqref="B53:B54">
    <cfRule type="cellIs" dxfId="1545" priority="106" operator="notBetween">
      <formula>#REF!</formula>
      <formula>#REF!</formula>
    </cfRule>
  </conditionalFormatting>
  <conditionalFormatting sqref="C57">
    <cfRule type="cellIs" dxfId="1544" priority="189" stopIfTrue="1" operator="greaterThan">
      <formula>100</formula>
    </cfRule>
    <cfRule type="cellIs" dxfId="1543" priority="188" stopIfTrue="1" operator="lessThan">
      <formula>96</formula>
    </cfRule>
  </conditionalFormatting>
  <conditionalFormatting sqref="C73:C74">
    <cfRule type="cellIs" dxfId="1542" priority="71" stopIfTrue="1" operator="lessThanOrEqual">
      <formula>0</formula>
    </cfRule>
    <cfRule type="cellIs" dxfId="1541" priority="68" stopIfTrue="1" operator="greaterThan">
      <formula>$F73</formula>
    </cfRule>
    <cfRule type="cellIs" dxfId="1540" priority="69" stopIfTrue="1" operator="lessThanOrEqual">
      <formula>0</formula>
    </cfRule>
    <cfRule type="cellIs" dxfId="1539" priority="70" stopIfTrue="1" operator="greaterThan">
      <formula>$F73</formula>
    </cfRule>
  </conditionalFormatting>
  <conditionalFormatting sqref="C75:C77 C79:C81">
    <cfRule type="cellIs" dxfId="1538" priority="78" stopIfTrue="1" operator="greaterThan">
      <formula>$F78</formula>
    </cfRule>
  </conditionalFormatting>
  <conditionalFormatting sqref="C75:C77">
    <cfRule type="cellIs" dxfId="1537" priority="79" stopIfTrue="1" operator="lessThanOrEqual">
      <formula>0</formula>
    </cfRule>
  </conditionalFormatting>
  <conditionalFormatting sqref="C78">
    <cfRule type="cellIs" dxfId="1536" priority="192" stopIfTrue="1" operator="greaterThan">
      <formula>$F73</formula>
    </cfRule>
    <cfRule type="cellIs" dxfId="1535" priority="191" stopIfTrue="1" operator="lessThanOrEqual">
      <formula>0</formula>
    </cfRule>
    <cfRule type="cellIs" dxfId="1534" priority="190" stopIfTrue="1" operator="greaterThan">
      <formula>$F73</formula>
    </cfRule>
    <cfRule type="cellIs" dxfId="1533" priority="193" stopIfTrue="1" operator="lessThanOrEqual">
      <formula>0</formula>
    </cfRule>
  </conditionalFormatting>
  <conditionalFormatting sqref="C79:C81">
    <cfRule type="cellIs" dxfId="1532" priority="80" stopIfTrue="1" operator="lessThanOrEqual">
      <formula>0</formula>
    </cfRule>
  </conditionalFormatting>
  <conditionalFormatting sqref="C84:C88">
    <cfRule type="cellIs" dxfId="1531" priority="180" stopIfTrue="1" operator="lessThanOrEqual">
      <formula>0</formula>
    </cfRule>
  </conditionalFormatting>
  <conditionalFormatting sqref="C85:C88">
    <cfRule type="cellIs" dxfId="1530" priority="179" stopIfTrue="1" operator="greaterThan">
      <formula>$F$84</formula>
    </cfRule>
  </conditionalFormatting>
  <conditionalFormatting sqref="C90">
    <cfRule type="cellIs" dxfId="1529" priority="182" stopIfTrue="1" operator="lessThanOrEqual">
      <formula>0</formula>
    </cfRule>
    <cfRule type="cellIs" dxfId="1528" priority="181" stopIfTrue="1" operator="greaterThan">
      <formula>$F$84</formula>
    </cfRule>
  </conditionalFormatting>
  <conditionalFormatting sqref="C78:D78">
    <cfRule type="cellIs" dxfId="1527" priority="67" stopIfTrue="1" operator="lessThanOrEqual">
      <formula>0</formula>
    </cfRule>
    <cfRule type="cellIs" dxfId="1526" priority="66" stopIfTrue="1" operator="greaterThan">
      <formula>$J78</formula>
    </cfRule>
  </conditionalFormatting>
  <conditionalFormatting sqref="C84:D84 D86:D92">
    <cfRule type="cellIs" dxfId="1525" priority="174" stopIfTrue="1" operator="greaterThan">
      <formula>4.5</formula>
    </cfRule>
  </conditionalFormatting>
  <conditionalFormatting sqref="D53:D54">
    <cfRule type="cellIs" dxfId="1524" priority="107" operator="notBetween">
      <formula>#REF!</formula>
      <formula>#REF!</formula>
    </cfRule>
  </conditionalFormatting>
  <conditionalFormatting sqref="D73:D77 D79:D80">
    <cfRule type="cellIs" dxfId="1523" priority="77" stopIfTrue="1" operator="lessThanOrEqual">
      <formula>0</formula>
    </cfRule>
  </conditionalFormatting>
  <conditionalFormatting sqref="D73:D77 D79:D82">
    <cfRule type="cellIs" dxfId="1522" priority="74" stopIfTrue="1" operator="greaterThan">
      <formula>$F73</formula>
    </cfRule>
    <cfRule type="cellIs" dxfId="1521" priority="73" stopIfTrue="1" operator="lessThanOrEqual">
      <formula>0</formula>
    </cfRule>
  </conditionalFormatting>
  <conditionalFormatting sqref="D81:D82">
    <cfRule type="cellIs" dxfId="1520" priority="75" stopIfTrue="1" operator="lessThanOrEqual">
      <formula>0</formula>
    </cfRule>
  </conditionalFormatting>
  <conditionalFormatting sqref="D82">
    <cfRule type="cellIs" dxfId="1519" priority="76" stopIfTrue="1" operator="lessThanOrEqual">
      <formula>0</formula>
    </cfRule>
  </conditionalFormatting>
  <conditionalFormatting sqref="D84 D86:D92">
    <cfRule type="cellIs" dxfId="1518" priority="175" stopIfTrue="1" operator="lessThanOrEqual">
      <formula>0</formula>
    </cfRule>
  </conditionalFormatting>
  <conditionalFormatting sqref="D85">
    <cfRule type="cellIs" dxfId="1517" priority="167" stopIfTrue="1" operator="lessThanOrEqual">
      <formula>0</formula>
    </cfRule>
    <cfRule type="cellIs" dxfId="1516" priority="166" stopIfTrue="1" operator="greaterThan">
      <formula>$F$84</formula>
    </cfRule>
  </conditionalFormatting>
  <conditionalFormatting sqref="E10:E28">
    <cfRule type="cellIs" dxfId="1515" priority="12" operator="lessThan">
      <formula>48</formula>
    </cfRule>
  </conditionalFormatting>
  <conditionalFormatting sqref="E56 E57:F57">
    <cfRule type="cellIs" dxfId="1514" priority="171" stopIfTrue="1" operator="greaterThan">
      <formula>100</formula>
    </cfRule>
  </conditionalFormatting>
  <conditionalFormatting sqref="E57">
    <cfRule type="cellIs" dxfId="1513" priority="169" stopIfTrue="1" operator="greaterThan">
      <formula>100</formula>
    </cfRule>
    <cfRule type="cellIs" dxfId="1512" priority="168" stopIfTrue="1" operator="lessThan">
      <formula>96.8</formula>
    </cfRule>
  </conditionalFormatting>
  <conditionalFormatting sqref="E73:E81">
    <cfRule type="cellIs" dxfId="1511" priority="39" stopIfTrue="1" operator="lessThanOrEqual">
      <formula>0</formula>
    </cfRule>
  </conditionalFormatting>
  <conditionalFormatting sqref="E73:E82">
    <cfRule type="cellIs" dxfId="1510" priority="40" stopIfTrue="1" operator="greaterThan">
      <formula>$F73</formula>
    </cfRule>
    <cfRule type="cellIs" dxfId="1509" priority="41" stopIfTrue="1" operator="lessThanOrEqual">
      <formula>0</formula>
    </cfRule>
  </conditionalFormatting>
  <conditionalFormatting sqref="E82">
    <cfRule type="cellIs" dxfId="1508" priority="42" stopIfTrue="1" operator="lessThanOrEqual">
      <formula>0</formula>
    </cfRule>
  </conditionalFormatting>
  <conditionalFormatting sqref="E84:E92">
    <cfRule type="cellIs" dxfId="1507" priority="161" stopIfTrue="1" operator="lessThanOrEqual">
      <formula>0</formula>
    </cfRule>
    <cfRule type="cellIs" dxfId="1506" priority="160" stopIfTrue="1" operator="greaterThan">
      <formula>4.5</formula>
    </cfRule>
  </conditionalFormatting>
  <conditionalFormatting sqref="E57:F57 E56">
    <cfRule type="cellIs" dxfId="1505" priority="170" stopIfTrue="1" operator="lessThan">
      <formula>96.5</formula>
    </cfRule>
  </conditionalFormatting>
  <conditionalFormatting sqref="F10:F28">
    <cfRule type="cellIs" dxfId="1504" priority="3" operator="greaterThan">
      <formula>60</formula>
    </cfRule>
  </conditionalFormatting>
  <conditionalFormatting sqref="F57">
    <cfRule type="cellIs" dxfId="1503" priority="186" stopIfTrue="1" operator="lessThan">
      <formula>96.8</formula>
    </cfRule>
    <cfRule type="cellIs" dxfId="1502" priority="187" stopIfTrue="1" operator="greaterThan">
      <formula>100</formula>
    </cfRule>
  </conditionalFormatting>
  <conditionalFormatting sqref="G73:G76 F82">
    <cfRule type="cellIs" dxfId="1501" priority="48" stopIfTrue="1" operator="greaterThan">
      <formula>$F73</formula>
    </cfRule>
    <cfRule type="cellIs" dxfId="1500" priority="49" stopIfTrue="1" operator="lessThanOrEqual">
      <formula>0</formula>
    </cfRule>
  </conditionalFormatting>
  <conditionalFormatting sqref="G75:G76">
    <cfRule type="cellIs" dxfId="1499" priority="34" stopIfTrue="1" operator="greaterThan">
      <formula>$F75</formula>
    </cfRule>
    <cfRule type="cellIs" dxfId="1498" priority="35" stopIfTrue="1" operator="lessThanOrEqual">
      <formula>0</formula>
    </cfRule>
  </conditionalFormatting>
  <conditionalFormatting sqref="G77:G81">
    <cfRule type="cellIs" dxfId="1497" priority="50" stopIfTrue="1" operator="greaterThan">
      <formula>$J77</formula>
    </cfRule>
    <cfRule type="cellIs" dxfId="1496" priority="51" stopIfTrue="1" operator="lessThanOrEqual">
      <formula>0</formula>
    </cfRule>
  </conditionalFormatting>
  <conditionalFormatting sqref="G78">
    <cfRule type="cellIs" dxfId="1495" priority="195" stopIfTrue="1" operator="lessThanOrEqual">
      <formula>0</formula>
    </cfRule>
    <cfRule type="cellIs" dxfId="1494" priority="194" stopIfTrue="1" operator="greaterThan">
      <formula>$F73</formula>
    </cfRule>
  </conditionalFormatting>
  <conditionalFormatting sqref="G86:G91 C89 C91">
    <cfRule type="cellIs" dxfId="1493" priority="184" stopIfTrue="1" operator="lessThanOrEqual">
      <formula>0</formula>
    </cfRule>
    <cfRule type="cellIs" dxfId="1492" priority="183" stopIfTrue="1" operator="greaterThan">
      <formula>4.5</formula>
    </cfRule>
  </conditionalFormatting>
  <conditionalFormatting sqref="G10:H28">
    <cfRule type="expression" dxfId="1491" priority="2">
      <formula>IF(+(IF(G10&lt;#REF!,0,IF(G10&gt;#REF!,0,1)))=0,1)</formula>
    </cfRule>
  </conditionalFormatting>
  <conditionalFormatting sqref="G85:H85">
    <cfRule type="cellIs" dxfId="1490" priority="165" stopIfTrue="1" operator="lessThanOrEqual">
      <formula>0</formula>
    </cfRule>
    <cfRule type="cellIs" dxfId="1489" priority="164" stopIfTrue="1" operator="greaterThan">
      <formula>$F$84</formula>
    </cfRule>
  </conditionalFormatting>
  <conditionalFormatting sqref="H42:H43 H56">
    <cfRule type="cellIs" dxfId="1488" priority="162" stopIfTrue="1" operator="greaterThan">
      <formula>0</formula>
    </cfRule>
  </conditionalFormatting>
  <conditionalFormatting sqref="H60">
    <cfRule type="cellIs" dxfId="1487" priority="54" stopIfTrue="1" operator="greaterThan">
      <formula>$F$73</formula>
    </cfRule>
    <cfRule type="cellIs" dxfId="1486" priority="53" stopIfTrue="1" operator="lessThanOrEqual">
      <formula>0</formula>
    </cfRule>
    <cfRule type="cellIs" dxfId="1485" priority="63" stopIfTrue="1" operator="lessThanOrEqual">
      <formula>0</formula>
    </cfRule>
    <cfRule type="cellIs" dxfId="1484" priority="62" stopIfTrue="1" operator="greaterThan">
      <formula>$F$76</formula>
    </cfRule>
    <cfRule type="cellIs" dxfId="1483" priority="64" stopIfTrue="1" operator="greaterThan">
      <formula>$F$74</formula>
    </cfRule>
  </conditionalFormatting>
  <conditionalFormatting sqref="H60:H61">
    <cfRule type="cellIs" dxfId="1482" priority="65" stopIfTrue="1" operator="lessThanOrEqual">
      <formula>0</formula>
    </cfRule>
  </conditionalFormatting>
  <conditionalFormatting sqref="H61 H63:H64">
    <cfRule type="cellIs" dxfId="1481" priority="92" stopIfTrue="1" operator="lessThanOrEqual">
      <formula>0</formula>
    </cfRule>
  </conditionalFormatting>
  <conditionalFormatting sqref="H61">
    <cfRule type="cellIs" dxfId="1480" priority="89" stopIfTrue="1" operator="greaterThan">
      <formula>$F$76</formula>
    </cfRule>
    <cfRule type="cellIs" dxfId="1479" priority="90" stopIfTrue="1" operator="lessThanOrEqual">
      <formula>0</formula>
    </cfRule>
    <cfRule type="cellIs" dxfId="1478" priority="91" stopIfTrue="1" operator="greaterThan">
      <formula>$F$74</formula>
    </cfRule>
    <cfRule type="cellIs" dxfId="1477" priority="81" stopIfTrue="1" operator="greaterThan">
      <formula>$F$73</formula>
    </cfRule>
  </conditionalFormatting>
  <conditionalFormatting sqref="H62">
    <cfRule type="cellIs" dxfId="1476" priority="31" stopIfTrue="1" operator="greaterThan">
      <formula>$F$76</formula>
    </cfRule>
    <cfRule type="cellIs" dxfId="1475" priority="30" stopIfTrue="1" operator="lessThanOrEqual">
      <formula>0</formula>
    </cfRule>
    <cfRule type="cellIs" dxfId="1474" priority="32" stopIfTrue="1" operator="lessThanOrEqual">
      <formula>0</formula>
    </cfRule>
    <cfRule type="cellIs" dxfId="1473" priority="20" stopIfTrue="1" operator="lessThanOrEqual">
      <formula>0</formula>
    </cfRule>
    <cfRule type="cellIs" dxfId="1472" priority="29" stopIfTrue="1" operator="greaterThan">
      <formula>$F$78</formula>
    </cfRule>
    <cfRule type="cellIs" dxfId="1471" priority="21" stopIfTrue="1" operator="greaterThan">
      <formula>$F$75</formula>
    </cfRule>
  </conditionalFormatting>
  <conditionalFormatting sqref="H63:H64">
    <cfRule type="cellIs" dxfId="1470" priority="105" stopIfTrue="1" operator="lessThanOrEqual">
      <formula>0</formula>
    </cfRule>
    <cfRule type="cellIs" dxfId="1469" priority="104" stopIfTrue="1" operator="greaterThan">
      <formula>$F$74</formula>
    </cfRule>
    <cfRule type="cellIs" dxfId="1468" priority="103" stopIfTrue="1" operator="lessThanOrEqual">
      <formula>0</formula>
    </cfRule>
    <cfRule type="cellIs" dxfId="1467" priority="94" stopIfTrue="1" operator="greaterThan">
      <formula>$F$73</formula>
    </cfRule>
    <cfRule type="cellIs" dxfId="1466" priority="102" stopIfTrue="1" operator="greaterThan">
      <formula>$F$76</formula>
    </cfRule>
  </conditionalFormatting>
  <conditionalFormatting sqref="H65:H66">
    <cfRule type="cellIs" dxfId="1465" priority="138" stopIfTrue="1" operator="greaterThan">
      <formula>#REF!</formula>
    </cfRule>
    <cfRule type="cellIs" dxfId="1464" priority="139" stopIfTrue="1" operator="lessThanOrEqual">
      <formula>0</formula>
    </cfRule>
    <cfRule type="cellIs" dxfId="1463" priority="130" stopIfTrue="1" operator="greaterThan">
      <formula>#REF!</formula>
    </cfRule>
    <cfRule type="cellIs" dxfId="1462" priority="129" stopIfTrue="1" operator="lessThanOrEqual">
      <formula>0</formula>
    </cfRule>
  </conditionalFormatting>
  <conditionalFormatting sqref="H67">
    <cfRule type="cellIs" dxfId="1461" priority="141" stopIfTrue="1" operator="lessThanOrEqual">
      <formula>0</formula>
    </cfRule>
    <cfRule type="cellIs" dxfId="1460" priority="150" stopIfTrue="1" operator="greaterThan">
      <formula>$F$44</formula>
    </cfRule>
    <cfRule type="cellIs" dxfId="1459" priority="151" stopIfTrue="1" operator="lessThanOrEqual">
      <formula>0</formula>
    </cfRule>
    <cfRule type="cellIs" dxfId="1458" priority="152" stopIfTrue="1" operator="greaterThan">
      <formula>$F$42</formula>
    </cfRule>
    <cfRule type="cellIs" dxfId="1457" priority="142" stopIfTrue="1" operator="greaterThan">
      <formula>$F$41</formula>
    </cfRule>
    <cfRule type="cellIs" dxfId="1456" priority="153" stopIfTrue="1" operator="lessThanOrEqual">
      <formula>0</formula>
    </cfRule>
  </conditionalFormatting>
  <conditionalFormatting sqref="H68:H69">
    <cfRule type="cellIs" dxfId="1455" priority="126" stopIfTrue="1" operator="greaterThan">
      <formula>#REF!</formula>
    </cfRule>
    <cfRule type="cellIs" dxfId="1454" priority="117" stopIfTrue="1" operator="lessThanOrEqual">
      <formula>0</formula>
    </cfRule>
    <cfRule type="cellIs" dxfId="1453" priority="127" stopIfTrue="1" operator="lessThanOrEqual">
      <formula>0</formula>
    </cfRule>
    <cfRule type="cellIs" dxfId="1452" priority="118" stopIfTrue="1" operator="greaterThan">
      <formula>#REF!</formula>
    </cfRule>
  </conditionalFormatting>
  <conditionalFormatting sqref="H84 H86:H92">
    <cfRule type="cellIs" dxfId="1451" priority="176" stopIfTrue="1" operator="greaterThan">
      <formula>4.5</formula>
    </cfRule>
    <cfRule type="cellIs" dxfId="1450" priority="177" stopIfTrue="1" operator="lessThanOrEqual">
      <formula>0</formula>
    </cfRule>
  </conditionalFormatting>
  <conditionalFormatting sqref="H60:I60">
    <cfRule type="cellIs" dxfId="1449" priority="55" stopIfTrue="1" operator="lessThanOrEqual">
      <formula>0</formula>
    </cfRule>
  </conditionalFormatting>
  <conditionalFormatting sqref="H60:I61 H63:I64">
    <cfRule type="cellIs" dxfId="1448" priority="52" stopIfTrue="1" operator="greaterThan">
      <formula>$F$75</formula>
    </cfRule>
  </conditionalFormatting>
  <conditionalFormatting sqref="H61:I61">
    <cfRule type="cellIs" dxfId="1447" priority="82" stopIfTrue="1" operator="lessThanOrEqual">
      <formula>0</formula>
    </cfRule>
  </conditionalFormatting>
  <conditionalFormatting sqref="H62:I62">
    <cfRule type="cellIs" dxfId="1446" priority="19" stopIfTrue="1" operator="greaterThan">
      <formula>$F$77</formula>
    </cfRule>
    <cfRule type="cellIs" dxfId="1445" priority="22" stopIfTrue="1" operator="lessThanOrEqual">
      <formula>0</formula>
    </cfRule>
  </conditionalFormatting>
  <conditionalFormatting sqref="H63:I64">
    <cfRule type="cellIs" dxfId="1444" priority="95" stopIfTrue="1" operator="lessThanOrEqual">
      <formula>0</formula>
    </cfRule>
  </conditionalFormatting>
  <conditionalFormatting sqref="H65:I66">
    <cfRule type="cellIs" dxfId="1443" priority="136" stopIfTrue="1" operator="greaterThan">
      <formula>#REF!</formula>
    </cfRule>
    <cfRule type="cellIs" dxfId="1442" priority="131" stopIfTrue="1" operator="lessThanOrEqual">
      <formula>0</formula>
    </cfRule>
    <cfRule type="cellIs" dxfId="1441" priority="137" stopIfTrue="1" operator="lessThanOrEqual">
      <formula>0</formula>
    </cfRule>
    <cfRule type="cellIs" dxfId="1440" priority="128" stopIfTrue="1" operator="greaterThan">
      <formula>#REF!</formula>
    </cfRule>
  </conditionalFormatting>
  <conditionalFormatting sqref="H67:I67">
    <cfRule type="cellIs" dxfId="1439" priority="140" stopIfTrue="1" operator="greaterThan">
      <formula>$F$43</formula>
    </cfRule>
    <cfRule type="cellIs" dxfId="1438" priority="143" stopIfTrue="1" operator="lessThanOrEqual">
      <formula>0</formula>
    </cfRule>
  </conditionalFormatting>
  <conditionalFormatting sqref="H68:I69">
    <cfRule type="cellIs" dxfId="1437" priority="116" stopIfTrue="1" operator="greaterThan">
      <formula>#REF!</formula>
    </cfRule>
    <cfRule type="cellIs" dxfId="1436" priority="119" stopIfTrue="1" operator="lessThanOrEqual">
      <formula>0</formula>
    </cfRule>
    <cfRule type="cellIs" dxfId="1435" priority="125" stopIfTrue="1" operator="lessThanOrEqual">
      <formula>0</formula>
    </cfRule>
    <cfRule type="cellIs" dxfId="1434" priority="124" stopIfTrue="1" operator="greaterThan">
      <formula>#REF!</formula>
    </cfRule>
  </conditionalFormatting>
  <conditionalFormatting sqref="H73:I80">
    <cfRule type="cellIs" dxfId="1433" priority="37" stopIfTrue="1" operator="greaterThan">
      <formula>$J73</formula>
    </cfRule>
    <cfRule type="cellIs" dxfId="1432" priority="38" stopIfTrue="1" operator="lessThanOrEqual">
      <formula>0</formula>
    </cfRule>
  </conditionalFormatting>
  <conditionalFormatting sqref="H81:I81">
    <cfRule type="cellIs" dxfId="1431" priority="45" operator="greaterThan">
      <formula>5.3</formula>
    </cfRule>
  </conditionalFormatting>
  <conditionalFormatting sqref="H82:I82">
    <cfRule type="cellIs" dxfId="1430" priority="44" stopIfTrue="1" operator="lessThanOrEqual">
      <formula>0</formula>
    </cfRule>
    <cfRule type="cellIs" dxfId="1429" priority="43" stopIfTrue="1" operator="greaterThan">
      <formula>$J82</formula>
    </cfRule>
  </conditionalFormatting>
  <conditionalFormatting sqref="I60">
    <cfRule type="cellIs" dxfId="1428" priority="59" stopIfTrue="1" operator="lessThanOrEqual">
      <formula>0</formula>
    </cfRule>
    <cfRule type="cellIs" dxfId="1427" priority="58" stopIfTrue="1" operator="greaterThan">
      <formula>$F$75</formula>
    </cfRule>
    <cfRule type="cellIs" dxfId="1426" priority="57" stopIfTrue="1" operator="lessThanOrEqual">
      <formula>0</formula>
    </cfRule>
    <cfRule type="cellIs" dxfId="1425" priority="56" stopIfTrue="1" operator="greaterThan">
      <formula>$F$73</formula>
    </cfRule>
    <cfRule type="cellIs" dxfId="1424" priority="61" stopIfTrue="1" operator="lessThanOrEqual">
      <formula>0</formula>
    </cfRule>
    <cfRule type="cellIs" dxfId="1423" priority="60" stopIfTrue="1" operator="greaterThan">
      <formula>$F$73</formula>
    </cfRule>
  </conditionalFormatting>
  <conditionalFormatting sqref="I61">
    <cfRule type="cellIs" dxfId="1422" priority="88" stopIfTrue="1" operator="lessThanOrEqual">
      <formula>0</formula>
    </cfRule>
    <cfRule type="cellIs" dxfId="1421" priority="86" stopIfTrue="1" operator="lessThanOrEqual">
      <formula>0</formula>
    </cfRule>
    <cfRule type="cellIs" dxfId="1420" priority="87" stopIfTrue="1" operator="greaterThan">
      <formula>$F$73</formula>
    </cfRule>
    <cfRule type="cellIs" dxfId="1419" priority="84" stopIfTrue="1" operator="lessThanOrEqual">
      <formula>0</formula>
    </cfRule>
    <cfRule type="cellIs" dxfId="1418" priority="83" stopIfTrue="1" operator="greaterThan">
      <formula>$F$73</formula>
    </cfRule>
    <cfRule type="cellIs" dxfId="1417" priority="85" stopIfTrue="1" operator="greaterThan">
      <formula>$F$75</formula>
    </cfRule>
  </conditionalFormatting>
  <conditionalFormatting sqref="I62">
    <cfRule type="cellIs" dxfId="1416" priority="23" stopIfTrue="1" operator="greaterThan">
      <formula>$F$75</formula>
    </cfRule>
    <cfRule type="cellIs" dxfId="1415" priority="24" stopIfTrue="1" operator="lessThanOrEqual">
      <formula>0</formula>
    </cfRule>
    <cfRule type="cellIs" dxfId="1414" priority="26" stopIfTrue="1" operator="lessThanOrEqual">
      <formula>0</formula>
    </cfRule>
    <cfRule type="cellIs" dxfId="1413" priority="27" stopIfTrue="1" operator="greaterThan">
      <formula>$F$75</formula>
    </cfRule>
    <cfRule type="cellIs" dxfId="1412" priority="28" stopIfTrue="1" operator="lessThanOrEqual">
      <formula>0</formula>
    </cfRule>
    <cfRule type="cellIs" dxfId="1411" priority="25" stopIfTrue="1" operator="greaterThan">
      <formula>$F$77</formula>
    </cfRule>
  </conditionalFormatting>
  <conditionalFormatting sqref="I63:I64">
    <cfRule type="cellIs" dxfId="1410" priority="99" stopIfTrue="1" operator="lessThanOrEqual">
      <formula>0</formula>
    </cfRule>
    <cfRule type="cellIs" dxfId="1409" priority="100" stopIfTrue="1" operator="greaterThan">
      <formula>$F$73</formula>
    </cfRule>
    <cfRule type="cellIs" dxfId="1408" priority="101" stopIfTrue="1" operator="lessThanOrEqual">
      <formula>0</formula>
    </cfRule>
    <cfRule type="cellIs" dxfId="1407" priority="98" stopIfTrue="1" operator="greaterThan">
      <formula>$F$75</formula>
    </cfRule>
    <cfRule type="cellIs" dxfId="1406" priority="96" stopIfTrue="1" operator="greaterThan">
      <formula>$F$73</formula>
    </cfRule>
    <cfRule type="cellIs" dxfId="1405" priority="97" stopIfTrue="1" operator="lessThanOrEqual">
      <formula>0</formula>
    </cfRule>
  </conditionalFormatting>
  <conditionalFormatting sqref="I65:I66">
    <cfRule type="cellIs" dxfId="1404" priority="135" stopIfTrue="1" operator="lessThanOrEqual">
      <formula>0</formula>
    </cfRule>
    <cfRule type="cellIs" dxfId="1403" priority="133" stopIfTrue="1" operator="lessThanOrEqual">
      <formula>0</formula>
    </cfRule>
    <cfRule type="cellIs" dxfId="1402" priority="132" stopIfTrue="1" operator="greaterThan">
      <formula>#REF!</formula>
    </cfRule>
    <cfRule type="cellIs" dxfId="1401" priority="134" stopIfTrue="1" operator="greaterThan">
      <formula>#REF!</formula>
    </cfRule>
  </conditionalFormatting>
  <conditionalFormatting sqref="I67">
    <cfRule type="cellIs" dxfId="1400" priority="148" stopIfTrue="1" operator="greaterThan">
      <formula>$F$41</formula>
    </cfRule>
    <cfRule type="cellIs" dxfId="1399" priority="149" stopIfTrue="1" operator="lessThanOrEqual">
      <formula>0</formula>
    </cfRule>
    <cfRule type="cellIs" dxfId="1398" priority="144" stopIfTrue="1" operator="greaterThan">
      <formula>$F$41</formula>
    </cfRule>
    <cfRule type="cellIs" dxfId="1397" priority="145" stopIfTrue="1" operator="lessThanOrEqual">
      <formula>0</formula>
    </cfRule>
    <cfRule type="cellIs" dxfId="1396" priority="146" stopIfTrue="1" operator="greaterThan">
      <formula>$F$43</formula>
    </cfRule>
    <cfRule type="cellIs" dxfId="1395" priority="147" stopIfTrue="1" operator="lessThanOrEqual">
      <formula>0</formula>
    </cfRule>
  </conditionalFormatting>
  <conditionalFormatting sqref="I68:I69">
    <cfRule type="cellIs" dxfId="1394" priority="120" stopIfTrue="1" operator="greaterThan">
      <formula>#REF!</formula>
    </cfRule>
    <cfRule type="cellIs" dxfId="1393" priority="121" stopIfTrue="1" operator="lessThanOrEqual">
      <formula>0</formula>
    </cfRule>
    <cfRule type="cellIs" dxfId="1392" priority="123" stopIfTrue="1" operator="lessThanOrEqual">
      <formula>0</formula>
    </cfRule>
    <cfRule type="cellIs" dxfId="1391" priority="122" stopIfTrue="1" operator="greaterThan">
      <formula>#REF!</formula>
    </cfRule>
  </conditionalFormatting>
  <conditionalFormatting sqref="I84:I92">
    <cfRule type="cellIs" dxfId="1390" priority="173" stopIfTrue="1" operator="lessThanOrEqual">
      <formula>0</formula>
    </cfRule>
    <cfRule type="cellIs" dxfId="1389" priority="172" stopIfTrue="1" operator="greaterThan">
      <formula>4.5</formula>
    </cfRule>
  </conditionalFormatting>
  <conditionalFormatting sqref="I10:J28">
    <cfRule type="cellIs" dxfId="1388" priority="6" operator="lessThan">
      <formula>97.9</formula>
    </cfRule>
  </conditionalFormatting>
  <conditionalFormatting sqref="J31:J33">
    <cfRule type="cellIs" dxfId="1387" priority="18" operator="lessThan">
      <formula>97.95</formula>
    </cfRule>
  </conditionalFormatting>
  <conditionalFormatting sqref="J33:J35">
    <cfRule type="cellIs" dxfId="1386" priority="154" operator="lessThan">
      <formula>97.4</formula>
    </cfRule>
  </conditionalFormatting>
  <conditionalFormatting sqref="J36:J37">
    <cfRule type="cellIs" dxfId="1385" priority="155" operator="lessThan">
      <formula>98</formula>
    </cfRule>
  </conditionalFormatting>
  <conditionalFormatting sqref="J38:J39">
    <cfRule type="cellIs" dxfId="1384" priority="156" stopIfTrue="1" operator="lessThan">
      <formula>96.8</formula>
    </cfRule>
    <cfRule type="cellIs" dxfId="1383" priority="157" stopIfTrue="1" operator="greaterThan">
      <formula>100</formula>
    </cfRule>
  </conditionalFormatting>
  <conditionalFormatting sqref="J38:J40">
    <cfRule type="cellIs" dxfId="1382" priority="158" operator="lessThan">
      <formula>98</formula>
    </cfRule>
  </conditionalFormatting>
  <conditionalFormatting sqref="J69">
    <cfRule type="cellIs" dxfId="1381" priority="113" stopIfTrue="1" operator="lessThanOrEqual">
      <formula>0</formula>
    </cfRule>
    <cfRule type="cellIs" dxfId="1380" priority="112" stopIfTrue="1" operator="greaterThan">
      <formula>#REF!</formula>
    </cfRule>
    <cfRule type="cellIs" dxfId="1379" priority="111" stopIfTrue="1" operator="lessThanOrEqual">
      <formula>0</formula>
    </cfRule>
    <cfRule type="cellIs" dxfId="1378" priority="110" stopIfTrue="1" operator="greaterThan">
      <formula>#REF!</formula>
    </cfRule>
    <cfRule type="cellIs" dxfId="1377" priority="109" stopIfTrue="1" operator="lessThanOrEqual">
      <formula>0</formula>
    </cfRule>
    <cfRule type="cellIs" dxfId="1376" priority="108" stopIfTrue="1" operator="greaterThan">
      <formula>#REF!</formula>
    </cfRule>
    <cfRule type="cellIs" dxfId="1375" priority="114" stopIfTrue="1" operator="greaterThan">
      <formula>#REF!</formula>
    </cfRule>
    <cfRule type="cellIs" dxfId="1374" priority="115" stopIfTrue="1" operator="lessThanOrEqual">
      <formula>0</formula>
    </cfRule>
  </conditionalFormatting>
  <conditionalFormatting sqref="J82">
    <cfRule type="cellIs" dxfId="1373" priority="46" stopIfTrue="1" operator="greaterThan">
      <formula>$F82</formula>
    </cfRule>
    <cfRule type="cellIs" dxfId="1372" priority="47" stopIfTrue="1" operator="lessThanOrEqual">
      <formula>0</formula>
    </cfRule>
  </conditionalFormatting>
  <conditionalFormatting sqref="K10:K28">
    <cfRule type="cellIs" dxfId="1371" priority="9" operator="greaterThan">
      <formula>6.4</formula>
    </cfRule>
    <cfRule type="cellIs" dxfId="1370" priority="7" operator="greaterThan">
      <formula>6</formula>
    </cfRule>
    <cfRule type="cellIs" dxfId="1369" priority="8" operator="lessThan">
      <formula>4</formula>
    </cfRule>
  </conditionalFormatting>
  <conditionalFormatting sqref="K60:K69">
    <cfRule type="cellIs" dxfId="1368" priority="93" stopIfTrue="1" operator="lessThan">
      <formula>100%</formula>
    </cfRule>
  </conditionalFormatting>
  <conditionalFormatting sqref="K73:K81">
    <cfRule type="cellIs" dxfId="1367" priority="36" stopIfTrue="1" operator="lessThan">
      <formula>100%</formula>
    </cfRule>
  </conditionalFormatting>
  <conditionalFormatting sqref="K84:K89">
    <cfRule type="cellIs" dxfId="1366" priority="178" stopIfTrue="1" operator="lessThan">
      <formula>100%</formula>
    </cfRule>
  </conditionalFormatting>
  <conditionalFormatting sqref="K91:K92">
    <cfRule type="cellIs" dxfId="1365" priority="185" stopIfTrue="1" operator="lessThan">
      <formula>100%</formula>
    </cfRule>
  </conditionalFormatting>
  <conditionalFormatting sqref="L10:L28">
    <cfRule type="cellIs" dxfId="1364" priority="10" operator="between">
      <formula>61</formula>
      <formula>65</formula>
    </cfRule>
    <cfRule type="cellIs" dxfId="1363" priority="11" operator="greaterThan">
      <formula>65</formula>
    </cfRule>
  </conditionalFormatting>
  <conditionalFormatting sqref="L31:M42">
    <cfRule type="cellIs" dxfId="1362" priority="17" operator="lessThan">
      <formula>97.95</formula>
    </cfRule>
  </conditionalFormatting>
  <conditionalFormatting sqref="L46:N46">
    <cfRule type="cellIs" dxfId="1361" priority="72" operator="notEqual">
      <formula>#REF!</formula>
    </cfRule>
  </conditionalFormatting>
  <conditionalFormatting sqref="L73:N82">
    <cfRule type="cellIs" dxfId="1360" priority="33" stopIfTrue="1" operator="lessThan">
      <formula>100%</formula>
    </cfRule>
  </conditionalFormatting>
  <conditionalFormatting sqref="L84:N92">
    <cfRule type="cellIs" dxfId="1359" priority="163" stopIfTrue="1" operator="lessThan">
      <formula>100%</formula>
    </cfRule>
  </conditionalFormatting>
  <conditionalFormatting sqref="M10:N28">
    <cfRule type="expression" dxfId="1358" priority="1">
      <formula>IF(+(IF(M10&lt;#REF!,0,IF(M10&gt;#REF!,0,1)))=0,1)</formula>
    </cfRule>
  </conditionalFormatting>
  <conditionalFormatting sqref="N10:N28">
    <cfRule type="expression" dxfId="1357" priority="14">
      <formula>IF(+(IF(N10&lt;W10,0,IF(N10&gt;X10,0,1)))=0,1)</formula>
    </cfRule>
  </conditionalFormatting>
  <conditionalFormatting sqref="P6">
    <cfRule type="cellIs" dxfId="1356" priority="159" operator="greaterThanOrEqual">
      <formula>19</formula>
    </cfRule>
  </conditionalFormatting>
  <dataValidations count="1">
    <dataValidation type="list" allowBlank="1" showInputMessage="1" showErrorMessage="1" sqref="R8" xr:uid="{F96EB790-B1DB-4B56-8B68-B76F28F20852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6" max="16383" man="1"/>
  </rowBreaks>
  <colBreaks count="1" manualBreakCount="1">
    <brk id="15" max="89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9338B-0879-4E4D-8696-1A9FB58D3BED}">
  <sheetPr>
    <pageSetUpPr fitToPage="1"/>
  </sheetPr>
  <dimension ref="A1:BE92"/>
  <sheetViews>
    <sheetView topLeftCell="A15" zoomScaleNormal="100" workbookViewId="0">
      <selection activeCell="E20" sqref="E20:E29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12" t="s">
        <v>0</v>
      </c>
      <c r="T1" s="512"/>
      <c r="U1" s="512" t="s">
        <v>1</v>
      </c>
      <c r="V1" s="512"/>
      <c r="W1" s="512" t="s">
        <v>2</v>
      </c>
      <c r="X1" s="512"/>
      <c r="Y1" s="512" t="s">
        <v>124</v>
      </c>
      <c r="Z1" s="512"/>
    </row>
    <row r="2" spans="2:29" ht="15">
      <c r="B2" s="513" t="s">
        <v>3</v>
      </c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46258</v>
      </c>
      <c r="J4" s="398" t="s">
        <v>153</v>
      </c>
      <c r="K4" s="398"/>
      <c r="L4" s="11"/>
      <c r="M4" s="510" t="s">
        <v>8</v>
      </c>
      <c r="N4" s="511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6"/>
      <c r="D5" s="516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196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19" t="s">
        <v>18</v>
      </c>
      <c r="D8" s="519" t="s">
        <v>19</v>
      </c>
      <c r="E8" s="356" t="s">
        <v>20</v>
      </c>
      <c r="F8" s="356" t="s">
        <v>21</v>
      </c>
      <c r="G8" s="519" t="s">
        <v>22</v>
      </c>
      <c r="H8" s="520" t="s">
        <v>144</v>
      </c>
      <c r="I8" s="519" t="s">
        <v>181</v>
      </c>
      <c r="J8" s="522" t="s">
        <v>23</v>
      </c>
      <c r="K8" s="524" t="s">
        <v>142</v>
      </c>
      <c r="L8" s="526" t="s">
        <v>24</v>
      </c>
      <c r="M8" s="359" t="s">
        <v>25</v>
      </c>
      <c r="N8" s="17" t="s">
        <v>168</v>
      </c>
      <c r="O8" s="519" t="s">
        <v>155</v>
      </c>
      <c r="P8" s="514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8"/>
      <c r="C9" s="515"/>
      <c r="D9" s="515"/>
      <c r="E9" s="357" t="s">
        <v>30</v>
      </c>
      <c r="F9" s="357" t="s">
        <v>31</v>
      </c>
      <c r="G9" s="515"/>
      <c r="H9" s="521"/>
      <c r="I9" s="515"/>
      <c r="J9" s="523"/>
      <c r="K9" s="525"/>
      <c r="L9" s="527"/>
      <c r="M9" s="20" t="s">
        <v>32</v>
      </c>
      <c r="N9" s="21" t="s">
        <v>41</v>
      </c>
      <c r="O9" s="515"/>
      <c r="P9" s="515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[4]Brewhouse!$A651</f>
        <v>CA603</v>
      </c>
      <c r="D10" s="279">
        <f>[4]Brewhouse!$AF651</f>
        <v>48.8</v>
      </c>
      <c r="E10" s="279">
        <f>[4]Brewhouse!$AI651</f>
        <v>50.3</v>
      </c>
      <c r="F10" s="278">
        <f>[4]Brewhouse!$V651</f>
        <v>54</v>
      </c>
      <c r="G10" s="279">
        <f>[4]Brewhouse!AG651</f>
        <v>11.5</v>
      </c>
      <c r="H10" s="486">
        <v>11.5</v>
      </c>
      <c r="I10" s="368">
        <f>[4]Brewhouse!$AU651</f>
        <v>96.064625992960757</v>
      </c>
      <c r="J10" s="368">
        <f>[4]Brewhouse!$AV651</f>
        <v>97.114302616090995</v>
      </c>
      <c r="K10" s="281">
        <f>[4]Brewhouse!$Q651</f>
        <v>10.962962962962965</v>
      </c>
      <c r="L10" s="276">
        <f>[4]Brewhouse!$P651</f>
        <v>58</v>
      </c>
      <c r="M10" s="374">
        <f>[4]Brewhouse!$U651-[4]Brewhouse!$T651</f>
        <v>0.10902777777777778</v>
      </c>
      <c r="N10" s="370">
        <f>[4]Brewhouse!$Z651</f>
        <v>0.26041666666666669</v>
      </c>
      <c r="O10" s="420" t="str">
        <f>[4]Brewhouse!$AX651</f>
        <v>R. Regis</v>
      </c>
      <c r="P10" s="418"/>
      <c r="R10" s="277" t="str">
        <f t="shared" ref="R10:R40" si="0">B10</f>
        <v>CARIB</v>
      </c>
      <c r="S10" s="472">
        <f t="shared" ref="S10:S52" si="1">VLOOKUP($B10,$R$3:$X$9,2,FALSE)</f>
        <v>11.6</v>
      </c>
      <c r="T10" s="472">
        <f t="shared" ref="T10:T52" si="2">VLOOKUP($B10,$R$3:$X$9,3,FALSE)</f>
        <v>12</v>
      </c>
      <c r="U10" s="297">
        <f t="shared" ref="U10:U52" si="3">VLOOKUP($B10,$R$3:$X$9,4,FALSE)</f>
        <v>0</v>
      </c>
      <c r="V10" s="297">
        <f t="shared" ref="V10:V52" si="4">VLOOKUP($B10,$R$3:$X$9,5,FALSE)</f>
        <v>0.118055555555556</v>
      </c>
      <c r="W10" s="297">
        <f t="shared" ref="W10:W52" si="5">VLOOKUP($B10,$R$3:$X$9,6,FALSE)</f>
        <v>0.22569444444444445</v>
      </c>
      <c r="X10" s="297">
        <f t="shared" ref="X10:X52" si="6">VLOOKUP($B10,$R$3:$X$9,7,FALSE)</f>
        <v>0.2638888888888889</v>
      </c>
      <c r="Y10" s="297">
        <f t="shared" ref="Y10:Y52" si="7">VLOOKUP($B10,$R$3:$Z$9,8,FALSE)</f>
        <v>0</v>
      </c>
      <c r="Z10" s="472">
        <f t="shared" ref="Z10:Z52" si="8">VLOOKUP($B10,$R$3:$Z$9,9,FALSE)</f>
        <v>60</v>
      </c>
    </row>
    <row r="11" spans="2:29" ht="15" customHeight="1">
      <c r="B11" s="29" t="s">
        <v>6</v>
      </c>
      <c r="C11" s="366" t="str">
        <f>[4]Brewhouse!$A652</f>
        <v>CA604</v>
      </c>
      <c r="D11" s="279">
        <f>[4]Brewhouse!$AF652</f>
        <v>47.8</v>
      </c>
      <c r="E11" s="279">
        <f>[4]Brewhouse!$AI652</f>
        <v>50.2</v>
      </c>
      <c r="F11" s="278">
        <f>[4]Brewhouse!$V652</f>
        <v>65</v>
      </c>
      <c r="G11" s="279">
        <f>[4]Brewhouse!AG652</f>
        <v>11.7</v>
      </c>
      <c r="H11" s="396">
        <v>11.8</v>
      </c>
      <c r="I11" s="368">
        <f>[4]Brewhouse!$AU652</f>
        <v>97.26610918503755</v>
      </c>
      <c r="J11" s="368">
        <f>[4]Brewhouse!$AV652</f>
        <v>98.329125266730799</v>
      </c>
      <c r="K11" s="281">
        <f>[4]Brewhouse!$Q652</f>
        <v>12.814814814814818</v>
      </c>
      <c r="L11" s="276">
        <f>[4]Brewhouse!$P652</f>
        <v>61</v>
      </c>
      <c r="M11" s="374">
        <f>[4]Brewhouse!$U652-[4]Brewhouse!$T652</f>
        <v>0.12222222222222223</v>
      </c>
      <c r="N11" s="370">
        <f>[4]Brewhouse!$Z652</f>
        <v>0.27152777777777776</v>
      </c>
      <c r="O11" s="420" t="str">
        <f>[4]Brewhouse!$AX652</f>
        <v xml:space="preserve">P. Calliste </v>
      </c>
      <c r="P11" s="418" t="s">
        <v>202</v>
      </c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[4]Brewhouse!$A653</f>
        <v>CA605</v>
      </c>
      <c r="D12" s="279">
        <f>[4]Brewhouse!$AF653</f>
        <v>48.8</v>
      </c>
      <c r="E12" s="279">
        <f>[4]Brewhouse!$AI653</f>
        <v>49.6</v>
      </c>
      <c r="F12" s="278">
        <f>[4]Brewhouse!$V653</f>
        <v>58</v>
      </c>
      <c r="G12" s="279">
        <f>[4]Brewhouse!AG653</f>
        <v>12</v>
      </c>
      <c r="H12" s="396">
        <v>12</v>
      </c>
      <c r="I12" s="368">
        <f>[4]Brewhouse!$AU653</f>
        <v>98.696712146765265</v>
      </c>
      <c r="J12" s="368">
        <f>[4]Brewhouse!$AV653</f>
        <v>99.775363211368557</v>
      </c>
      <c r="K12" s="281">
        <f>[4]Brewhouse!$Q653</f>
        <v>10.962962962962965</v>
      </c>
      <c r="L12" s="276">
        <f>[4]Brewhouse!$P653</f>
        <v>61</v>
      </c>
      <c r="M12" s="374">
        <f>[4]Brewhouse!$U653-[4]Brewhouse!$T653</f>
        <v>0.10486111111111107</v>
      </c>
      <c r="N12" s="370">
        <f>[4]Brewhouse!$Z653</f>
        <v>0.24861111111111106</v>
      </c>
      <c r="O12" s="420" t="str">
        <f>[4]Brewhouse!$AX653</f>
        <v>K. Benjamin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[4]Brewhouse!$A654</f>
        <v>CA606</v>
      </c>
      <c r="D13" s="279">
        <f>[4]Brewhouse!$AF654</f>
        <v>49.8</v>
      </c>
      <c r="E13" s="279">
        <f>[4]Brewhouse!$AI654</f>
        <v>51</v>
      </c>
      <c r="F13" s="278">
        <f>[4]Brewhouse!$V654</f>
        <v>63</v>
      </c>
      <c r="G13" s="279">
        <f>[4]Brewhouse!AG654</f>
        <v>11.6</v>
      </c>
      <c r="H13" s="396">
        <v>11.9</v>
      </c>
      <c r="I13" s="368">
        <f>[4]Brewhouse!$AU654</f>
        <v>97.927386788830631</v>
      </c>
      <c r="J13" s="368">
        <f>[4]Brewhouse!$AV654</f>
        <v>98.997629937928806</v>
      </c>
      <c r="K13" s="281">
        <f>[4]Brewhouse!$Q654</f>
        <v>10.962962962962965</v>
      </c>
      <c r="L13" s="276">
        <f>[4]Brewhouse!$P654</f>
        <v>60</v>
      </c>
      <c r="M13" s="374">
        <f>[4]Brewhouse!$U654-[4]Brewhouse!$T654</f>
        <v>0.12013888888888891</v>
      </c>
      <c r="N13" s="370">
        <f>[4]Brewhouse!$Z654</f>
        <v>0.26111111111111113</v>
      </c>
      <c r="O13" s="420" t="str">
        <f>[4]Brewhouse!$AX654</f>
        <v>K. Benjamin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[4]Brewhouse!$A655</f>
        <v>CA607</v>
      </c>
      <c r="D14" s="279">
        <f>[4]Brewhouse!$AF655</f>
        <v>55.1</v>
      </c>
      <c r="E14" s="279">
        <f>[4]Brewhouse!$AI655</f>
        <v>55.5</v>
      </c>
      <c r="F14" s="278">
        <f>[4]Brewhouse!$V655</f>
        <v>66</v>
      </c>
      <c r="G14" s="279">
        <f>[4]Brewhouse!AG655</f>
        <v>12.1</v>
      </c>
      <c r="H14" s="486">
        <v>12.3</v>
      </c>
      <c r="I14" s="368">
        <f>[4]Brewhouse!$AU655</f>
        <v>111.54257690015881</v>
      </c>
      <c r="J14" s="368">
        <f>[4]Brewhouse!$AV655</f>
        <v>112.76153922810037</v>
      </c>
      <c r="K14" s="281">
        <f>[4]Brewhouse!$Q655</f>
        <v>0.96296296296295558</v>
      </c>
      <c r="L14" s="276">
        <f>[4]Brewhouse!$P655</f>
        <v>58</v>
      </c>
      <c r="M14" s="374">
        <f>[4]Brewhouse!$U655-[4]Brewhouse!$T655</f>
        <v>0.13541666666666663</v>
      </c>
      <c r="N14" s="370">
        <f>[4]Brewhouse!$Z655</f>
        <v>0.27013888888888893</v>
      </c>
      <c r="O14" s="420" t="str">
        <f>[4]Brewhouse!$AX655</f>
        <v>K. Benjamin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[4]Brewhouse!$A656</f>
        <v>CA608</v>
      </c>
      <c r="D15" s="279">
        <f>[4]Brewhouse!$AF656</f>
        <v>51</v>
      </c>
      <c r="E15" s="279">
        <f>[4]Brewhouse!$AI656</f>
        <v>51.17</v>
      </c>
      <c r="F15" s="278">
        <f>[4]Brewhouse!$V656</f>
        <v>66</v>
      </c>
      <c r="G15" s="279">
        <f>[4]Brewhouse!AG656</f>
        <v>11.8</v>
      </c>
      <c r="H15" s="396">
        <v>11.9</v>
      </c>
      <c r="I15" s="368">
        <f>[4]Brewhouse!$AU656</f>
        <v>100.80384590106561</v>
      </c>
      <c r="J15" s="368">
        <f>[4]Brewhouse!$AV656</f>
        <v>101.90559828894783</v>
      </c>
      <c r="K15" s="281">
        <f>[4]Brewhouse!$Q656</f>
        <v>6.8888888888888875</v>
      </c>
      <c r="L15" s="276">
        <f>[4]Brewhouse!$P656</f>
        <v>58</v>
      </c>
      <c r="M15" s="374">
        <f>[4]Brewhouse!$U656-[4]Brewhouse!$T656</f>
        <v>0.11041666666666661</v>
      </c>
      <c r="N15" s="370">
        <f>[4]Brewhouse!$Z656</f>
        <v>0.24444444444444446</v>
      </c>
      <c r="O15" s="420" t="str">
        <f>[4]Brewhouse!$AX656</f>
        <v>K. Benjamin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[4]Brewhouse!$A657</f>
        <v>CA609</v>
      </c>
      <c r="D16" s="279">
        <f>[4]Brewhouse!$AF657</f>
        <v>48.3</v>
      </c>
      <c r="E16" s="279">
        <f>[4]Brewhouse!$AI657</f>
        <v>49.1</v>
      </c>
      <c r="F16" s="278">
        <f>[4]Brewhouse!$V657</f>
        <v>57</v>
      </c>
      <c r="G16" s="279">
        <f>[4]Brewhouse!AG657</f>
        <v>12</v>
      </c>
      <c r="H16" s="396">
        <v>12</v>
      </c>
      <c r="I16" s="368">
        <f>[4]Brewhouse!$AU657</f>
        <v>97.823276952751186</v>
      </c>
      <c r="J16" s="368">
        <f>[4]Brewhouse!$AV657</f>
        <v>98.892311690113686</v>
      </c>
      <c r="K16" s="281">
        <f>[4]Brewhouse!$Q657</f>
        <v>11.888888888888891</v>
      </c>
      <c r="L16" s="276">
        <f>[4]Brewhouse!$P657</f>
        <v>69</v>
      </c>
      <c r="M16" s="374">
        <f>[4]Brewhouse!$U657-[4]Brewhouse!$T657</f>
        <v>0.12847222222222221</v>
      </c>
      <c r="N16" s="370">
        <f>[4]Brewhouse!$Z657</f>
        <v>0.2680555555555556</v>
      </c>
      <c r="O16" s="420" t="str">
        <f>[4]Brewhouse!$AX657</f>
        <v>K. Benjamin</v>
      </c>
      <c r="P16" s="418"/>
      <c r="R16" s="277" t="str">
        <f t="shared" ref="R16:R32" si="9">B16</f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2:26" ht="15" customHeight="1">
      <c r="B17" s="29" t="s">
        <v>6</v>
      </c>
      <c r="C17" s="366" t="str">
        <f>[4]Brewhouse!$A658</f>
        <v>CA610</v>
      </c>
      <c r="D17" s="279">
        <f>[4]Brewhouse!$AF658</f>
        <v>48.6</v>
      </c>
      <c r="E17" s="279">
        <f>[4]Brewhouse!$AI658</f>
        <v>50</v>
      </c>
      <c r="F17" s="278">
        <f>[4]Brewhouse!$V658</f>
        <v>62</v>
      </c>
      <c r="G17" s="279">
        <f>[4]Brewhouse!AG658</f>
        <v>11.9</v>
      </c>
      <c r="H17" s="396">
        <v>11.9</v>
      </c>
      <c r="I17" s="368">
        <f>[4]Brewhouse!$AU658</f>
        <v>98.621300517774969</v>
      </c>
      <c r="J17" s="368">
        <f>[4]Brewhouse!$AV658</f>
        <v>99.699127412736502</v>
      </c>
      <c r="K17" s="281">
        <f>[4]Brewhouse!$Q658</f>
        <v>12.236598890942693</v>
      </c>
      <c r="L17" s="276">
        <f>[4]Brewhouse!$P658</f>
        <v>57</v>
      </c>
      <c r="M17" s="374">
        <f>[4]Brewhouse!$U658-[4]Brewhouse!$T658</f>
        <v>0.10763888888888884</v>
      </c>
      <c r="N17" s="370">
        <f>[4]Brewhouse!$Z658</f>
        <v>0.26527777777777772</v>
      </c>
      <c r="O17" s="420" t="str">
        <f>[4]Brewhouse!$AX658</f>
        <v>K. Benjamin</v>
      </c>
      <c r="P17" s="418"/>
      <c r="R17" s="277" t="str">
        <f t="shared" si="9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2:26" ht="1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503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2:26" ht="15" customHeight="1">
      <c r="B19" s="488">
        <v>46256</v>
      </c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503"/>
      <c r="N19" s="370"/>
      <c r="O19" s="420"/>
      <c r="P19" s="418"/>
      <c r="R19" s="277">
        <f t="shared" si="9"/>
        <v>46256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2:26" ht="15" customHeight="1">
      <c r="B20" s="37" t="s">
        <v>16</v>
      </c>
      <c r="C20" s="366" t="str">
        <f>[8]Brewhouse!$A92</f>
        <v>SM081</v>
      </c>
      <c r="D20" s="279">
        <f>[8]Brewhouse!$AH92</f>
        <v>53.1</v>
      </c>
      <c r="E20" s="279">
        <f>[8]Brewhouse!$AM92</f>
        <v>49.8</v>
      </c>
      <c r="F20" s="278">
        <f>[8]Brewhouse!$Z92</f>
        <v>63</v>
      </c>
      <c r="G20" s="279">
        <f>[8]Brewhouse!$AK92</f>
        <v>17.399999999999999</v>
      </c>
      <c r="H20" s="367"/>
      <c r="I20" s="368">
        <f>[8]Brewhouse!$AY92</f>
        <v>96.193227678250963</v>
      </c>
      <c r="J20" s="368">
        <f>[8]Brewhouse!$AZ92</f>
        <v>96.699957366702066</v>
      </c>
      <c r="K20" s="281">
        <f>[8]Brewhouse!$U92</f>
        <v>11.073446327683619</v>
      </c>
      <c r="L20" s="276">
        <f>[8]Brewhouse!$T92</f>
        <v>66</v>
      </c>
      <c r="M20" s="374">
        <f>[8]Brewhouse!$Y92-[8]Brewhouse!$X92</f>
        <v>0.13819444444444451</v>
      </c>
      <c r="N20" s="370">
        <f>[8]Brewhouse!$AD92</f>
        <v>0.29583333333333339</v>
      </c>
      <c r="O20" s="371" t="str">
        <f>[8]Brewhouse!$BC92</f>
        <v>R.Sookram</v>
      </c>
      <c r="P20" s="418"/>
      <c r="R20" s="277" t="str">
        <f t="shared" si="9"/>
        <v>STARMALT</v>
      </c>
      <c r="S20" s="472">
        <f t="shared" si="1"/>
        <v>17</v>
      </c>
      <c r="T20" s="472">
        <f t="shared" si="2"/>
        <v>17.399999999999999</v>
      </c>
      <c r="U20" s="297">
        <f t="shared" si="3"/>
        <v>0</v>
      </c>
      <c r="V20" s="297">
        <f t="shared" si="4"/>
        <v>0.13605324074074074</v>
      </c>
      <c r="W20" s="297">
        <f t="shared" si="5"/>
        <v>0.27430555555555552</v>
      </c>
      <c r="X20" s="297">
        <f t="shared" si="6"/>
        <v>0.30902777777777779</v>
      </c>
      <c r="Y20" s="297">
        <f t="shared" si="7"/>
        <v>0</v>
      </c>
      <c r="Z20" s="472">
        <f t="shared" si="8"/>
        <v>85</v>
      </c>
    </row>
    <row r="21" spans="2:26" ht="15" customHeight="1">
      <c r="B21" s="37" t="s">
        <v>16</v>
      </c>
      <c r="C21" s="366" t="str">
        <f>[8]Brewhouse!$A93</f>
        <v>SM082</v>
      </c>
      <c r="D21" s="279">
        <f>[8]Brewhouse!$AH93</f>
        <v>53.1</v>
      </c>
      <c r="E21" s="279">
        <f>[8]Brewhouse!$AM93</f>
        <v>51.3</v>
      </c>
      <c r="F21" s="278">
        <f>[8]Brewhouse!$Z93</f>
        <v>64</v>
      </c>
      <c r="G21" s="279">
        <f>[8]Brewhouse!$AK93</f>
        <v>17.100000000000001</v>
      </c>
      <c r="H21" s="396">
        <v>17.399999999999999</v>
      </c>
      <c r="I21" s="368">
        <f>[8]Brewhouse!$AY93</f>
        <v>97.280253560904981</v>
      </c>
      <c r="J21" s="368">
        <f>[8]Brewhouse!$AZ93</f>
        <v>97.792709518243726</v>
      </c>
      <c r="K21" s="281">
        <f>[8]Brewhouse!$U93</f>
        <v>13.709981167608287</v>
      </c>
      <c r="L21" s="276">
        <f>[8]Brewhouse!$T93</f>
        <v>61</v>
      </c>
      <c r="M21" s="374">
        <f>[8]Brewhouse!$Y93-[8]Brewhouse!$X93</f>
        <v>0.1340277777777778</v>
      </c>
      <c r="N21" s="370">
        <f>[8]Brewhouse!$AD93</f>
        <v>0.32222222222222224</v>
      </c>
      <c r="O21" s="371" t="str">
        <f>[8]Brewhouse!$BC93</f>
        <v>R.Sookram</v>
      </c>
      <c r="P21" s="418" t="s">
        <v>199</v>
      </c>
      <c r="R21" s="277" t="str">
        <f t="shared" si="9"/>
        <v>STARMALT</v>
      </c>
      <c r="S21" s="472">
        <f t="shared" si="1"/>
        <v>17</v>
      </c>
      <c r="T21" s="472">
        <f t="shared" si="2"/>
        <v>17.399999999999999</v>
      </c>
      <c r="U21" s="297">
        <f t="shared" si="3"/>
        <v>0</v>
      </c>
      <c r="V21" s="297">
        <f t="shared" si="4"/>
        <v>0.13605324074074074</v>
      </c>
      <c r="W21" s="297">
        <f t="shared" si="5"/>
        <v>0.27430555555555552</v>
      </c>
      <c r="X21" s="297">
        <f t="shared" si="6"/>
        <v>0.30902777777777779</v>
      </c>
      <c r="Y21" s="297">
        <f t="shared" si="7"/>
        <v>0</v>
      </c>
      <c r="Z21" s="472">
        <f t="shared" si="8"/>
        <v>85</v>
      </c>
    </row>
    <row r="22" spans="2:26" ht="15" customHeight="1">
      <c r="B22" s="37" t="s">
        <v>16</v>
      </c>
      <c r="C22" s="366" t="str">
        <f>[8]Brewhouse!$A94</f>
        <v>SM083</v>
      </c>
      <c r="D22" s="279">
        <f>[8]Brewhouse!$AH94</f>
        <v>53.1</v>
      </c>
      <c r="E22" s="279">
        <f>[8]Brewhouse!$AM94</f>
        <v>53</v>
      </c>
      <c r="F22" s="278">
        <f>[8]Brewhouse!$Z94</f>
        <v>66</v>
      </c>
      <c r="G22" s="279">
        <f>[8]Brewhouse!$AK94</f>
        <v>16.899999999999999</v>
      </c>
      <c r="H22" s="396">
        <v>17.399999999999999</v>
      </c>
      <c r="I22" s="368">
        <f>[8]Brewhouse!$AY94</f>
        <v>99.077497022970533</v>
      </c>
      <c r="J22" s="368">
        <f>[8]Brewhouse!$AZ94</f>
        <v>99.600419102629516</v>
      </c>
      <c r="K22" s="281">
        <f>[8]Brewhouse!$U94</f>
        <v>4.2937853107344655</v>
      </c>
      <c r="L22" s="276">
        <f>[8]Brewhouse!$T94</f>
        <v>63</v>
      </c>
      <c r="M22" s="374">
        <f>[8]Brewhouse!$Y94-[8]Brewhouse!$X94</f>
        <v>0.14374999999999999</v>
      </c>
      <c r="N22" s="370">
        <f>[8]Brewhouse!$AD94</f>
        <v>0.3208333333333333</v>
      </c>
      <c r="O22" s="371" t="str">
        <f>[8]Brewhouse!$BC94</f>
        <v>R.Sookram</v>
      </c>
      <c r="P22" s="418"/>
      <c r="R22" s="277" t="str">
        <f t="shared" si="9"/>
        <v>STARMALT</v>
      </c>
      <c r="S22" s="472">
        <f t="shared" si="1"/>
        <v>17</v>
      </c>
      <c r="T22" s="472">
        <f t="shared" si="2"/>
        <v>17.399999999999999</v>
      </c>
      <c r="U22" s="297">
        <f t="shared" si="3"/>
        <v>0</v>
      </c>
      <c r="V22" s="297">
        <f t="shared" si="4"/>
        <v>0.13605324074074074</v>
      </c>
      <c r="W22" s="297">
        <f t="shared" si="5"/>
        <v>0.27430555555555552</v>
      </c>
      <c r="X22" s="297">
        <f t="shared" si="6"/>
        <v>0.30902777777777779</v>
      </c>
      <c r="Y22" s="297">
        <f t="shared" si="7"/>
        <v>0</v>
      </c>
      <c r="Z22" s="472">
        <f t="shared" si="8"/>
        <v>85</v>
      </c>
    </row>
    <row r="23" spans="2:26" ht="15" customHeight="1">
      <c r="B23" s="37" t="s">
        <v>16</v>
      </c>
      <c r="C23" s="366" t="str">
        <f>[8]Brewhouse!$A95</f>
        <v>SM084</v>
      </c>
      <c r="D23" s="279">
        <f>[8]Brewhouse!$AH95</f>
        <v>53.1</v>
      </c>
      <c r="E23" s="279">
        <f>[8]Brewhouse!$AM95</f>
        <v>50.01</v>
      </c>
      <c r="F23" s="278">
        <f>[8]Brewhouse!$Z95</f>
        <v>63</v>
      </c>
      <c r="G23" s="279">
        <f>[8]Brewhouse!$AK95</f>
        <v>17.3</v>
      </c>
      <c r="H23" s="396">
        <v>17.8</v>
      </c>
      <c r="I23" s="368">
        <f>[8]Brewhouse!$AY95</f>
        <v>95.794055097674445</v>
      </c>
      <c r="J23" s="368">
        <f>[8]Brewhouse!$AZ95</f>
        <v>96.300129026778365</v>
      </c>
      <c r="K23" s="281">
        <f>[8]Brewhouse!$U95</f>
        <v>11.826741996233524</v>
      </c>
      <c r="L23" s="276">
        <f>[8]Brewhouse!$T95</f>
        <v>60</v>
      </c>
      <c r="M23" s="374">
        <f>[8]Brewhouse!$Y95-[8]Brewhouse!$X95</f>
        <v>0.13958333333333339</v>
      </c>
      <c r="N23" s="370">
        <f>[8]Brewhouse!$AD95</f>
        <v>0.30069444444444449</v>
      </c>
      <c r="O23" s="371" t="str">
        <f>[8]Brewhouse!$BC95</f>
        <v>R. Regis</v>
      </c>
      <c r="P23" s="418"/>
      <c r="R23" s="277" t="str">
        <f t="shared" si="9"/>
        <v>STARMALT</v>
      </c>
      <c r="S23" s="472">
        <f t="shared" si="1"/>
        <v>17</v>
      </c>
      <c r="T23" s="472">
        <f t="shared" si="2"/>
        <v>17.399999999999999</v>
      </c>
      <c r="U23" s="297">
        <f t="shared" si="3"/>
        <v>0</v>
      </c>
      <c r="V23" s="297">
        <f t="shared" si="4"/>
        <v>0.13605324074074074</v>
      </c>
      <c r="W23" s="297">
        <f t="shared" si="5"/>
        <v>0.27430555555555552</v>
      </c>
      <c r="X23" s="297">
        <f t="shared" si="6"/>
        <v>0.30902777777777779</v>
      </c>
      <c r="Y23" s="297">
        <f t="shared" si="7"/>
        <v>0</v>
      </c>
      <c r="Z23" s="472">
        <f t="shared" si="8"/>
        <v>85</v>
      </c>
    </row>
    <row r="24" spans="2:26" ht="15" customHeight="1">
      <c r="B24" s="37" t="s">
        <v>16</v>
      </c>
      <c r="C24" s="366" t="str">
        <f>[8]Brewhouse!$A96</f>
        <v>SM085</v>
      </c>
      <c r="D24" s="279">
        <f>[8]Brewhouse!$AH96</f>
        <v>53.1</v>
      </c>
      <c r="E24" s="279">
        <f>[8]Brewhouse!$AM96</f>
        <v>52.4</v>
      </c>
      <c r="F24" s="278">
        <f>[8]Brewhouse!$Z96</f>
        <v>66</v>
      </c>
      <c r="G24" s="279">
        <f>[8]Brewhouse!$AK96</f>
        <v>17</v>
      </c>
      <c r="H24" s="396">
        <v>17.3</v>
      </c>
      <c r="I24" s="368">
        <f>[8]Brewhouse!$AY96</f>
        <v>98.473163790154686</v>
      </c>
      <c r="J24" s="368">
        <f>[8]Brewhouse!$AZ96</f>
        <v>98.993391280887408</v>
      </c>
      <c r="K24" s="281">
        <f>[8]Brewhouse!$U96</f>
        <v>9.7551789077212927</v>
      </c>
      <c r="L24" s="276">
        <f>[8]Brewhouse!$T96</f>
        <v>62</v>
      </c>
      <c r="M24" s="374">
        <f>[8]Brewhouse!$Y96-[8]Brewhouse!$X96</f>
        <v>0.13541666666666663</v>
      </c>
      <c r="N24" s="370">
        <f>[8]Brewhouse!$AD96</f>
        <v>0.30138888888888893</v>
      </c>
      <c r="O24" s="371" t="str">
        <f>[8]Brewhouse!$BC96</f>
        <v>R. Regis</v>
      </c>
      <c r="P24" s="418"/>
      <c r="R24" s="277" t="str">
        <f t="shared" si="9"/>
        <v>STARMALT</v>
      </c>
      <c r="S24" s="472">
        <f t="shared" si="1"/>
        <v>17</v>
      </c>
      <c r="T24" s="472">
        <f t="shared" si="2"/>
        <v>17.399999999999999</v>
      </c>
      <c r="U24" s="297">
        <f t="shared" si="3"/>
        <v>0</v>
      </c>
      <c r="V24" s="297">
        <f t="shared" si="4"/>
        <v>0.13605324074074074</v>
      </c>
      <c r="W24" s="297">
        <f t="shared" si="5"/>
        <v>0.27430555555555552</v>
      </c>
      <c r="X24" s="297">
        <f t="shared" si="6"/>
        <v>0.30902777777777779</v>
      </c>
      <c r="Y24" s="297">
        <f t="shared" si="7"/>
        <v>0</v>
      </c>
      <c r="Z24" s="472">
        <f t="shared" si="8"/>
        <v>85</v>
      </c>
    </row>
    <row r="25" spans="2:26" ht="15" customHeight="1">
      <c r="B25" s="37" t="s">
        <v>16</v>
      </c>
      <c r="C25" s="366" t="str">
        <f>[8]Brewhouse!$A97</f>
        <v>SM086</v>
      </c>
      <c r="D25" s="279">
        <f>[8]Brewhouse!$AH97</f>
        <v>53.1</v>
      </c>
      <c r="E25" s="279">
        <f>[8]Brewhouse!$AM97</f>
        <v>47.4</v>
      </c>
      <c r="F25" s="278">
        <f>[8]Brewhouse!$Z97</f>
        <v>64</v>
      </c>
      <c r="G25" s="279">
        <f>[8]Brewhouse!$AK97</f>
        <v>17.3</v>
      </c>
      <c r="H25" s="396">
        <v>17.3</v>
      </c>
      <c r="I25" s="368">
        <f>[8]Brewhouse!$AY97</f>
        <v>90.794605311533076</v>
      </c>
      <c r="J25" s="368">
        <f>[8]Brewhouse!$AZ97</f>
        <v>91.274267463893096</v>
      </c>
      <c r="K25" s="281">
        <f>[8]Brewhouse!$U97</f>
        <v>9.0018832391713772</v>
      </c>
      <c r="L25" s="276">
        <f>[8]Brewhouse!$T97</f>
        <v>60</v>
      </c>
      <c r="M25" s="374">
        <f>[8]Brewhouse!$Y97-[8]Brewhouse!$X97</f>
        <v>0.12708333333333333</v>
      </c>
      <c r="N25" s="370">
        <f>[8]Brewhouse!$AD97</f>
        <v>0.29097222222222219</v>
      </c>
      <c r="O25" s="371" t="str">
        <f>[8]Brewhouse!$BC97</f>
        <v>R. Regis</v>
      </c>
      <c r="P25" s="418"/>
      <c r="R25" s="277" t="str">
        <f t="shared" si="9"/>
        <v>STARMALT</v>
      </c>
      <c r="S25" s="472">
        <f t="shared" si="1"/>
        <v>17</v>
      </c>
      <c r="T25" s="472">
        <f t="shared" si="2"/>
        <v>17.399999999999999</v>
      </c>
      <c r="U25" s="297">
        <f t="shared" si="3"/>
        <v>0</v>
      </c>
      <c r="V25" s="297">
        <f t="shared" si="4"/>
        <v>0.13605324074074074</v>
      </c>
      <c r="W25" s="297">
        <f t="shared" si="5"/>
        <v>0.27430555555555552</v>
      </c>
      <c r="X25" s="297">
        <f t="shared" si="6"/>
        <v>0.30902777777777779</v>
      </c>
      <c r="Y25" s="297">
        <f t="shared" si="7"/>
        <v>0</v>
      </c>
      <c r="Z25" s="472">
        <f t="shared" si="8"/>
        <v>85</v>
      </c>
    </row>
    <row r="26" spans="2:26" ht="15" customHeight="1">
      <c r="B26" s="37" t="s">
        <v>16</v>
      </c>
      <c r="C26" s="366" t="str">
        <f>[8]Brewhouse!$A98</f>
        <v>SM087</v>
      </c>
      <c r="D26" s="279">
        <f>[8]Brewhouse!$AH98</f>
        <v>53</v>
      </c>
      <c r="E26" s="279">
        <f>[8]Brewhouse!$AM98</f>
        <v>52.3</v>
      </c>
      <c r="F26" s="278">
        <f>[8]Brewhouse!$Z98</f>
        <v>65</v>
      </c>
      <c r="G26" s="279">
        <f>[8]Brewhouse!$AK98</f>
        <v>17.100000000000001</v>
      </c>
      <c r="H26" s="396">
        <v>17.100000000000001</v>
      </c>
      <c r="I26" s="368">
        <f>[8]Brewhouse!$AY98</f>
        <v>98.854819757121476</v>
      </c>
      <c r="J26" s="368">
        <f>[8]Brewhouse!$AZ98</f>
        <v>99.377559656946417</v>
      </c>
      <c r="K26" s="281">
        <f>[8]Brewhouse!$U98</f>
        <v>9.2075471698113258</v>
      </c>
      <c r="L26" s="276">
        <f>[8]Brewhouse!$T98</f>
        <v>60</v>
      </c>
      <c r="M26" s="374">
        <f>[8]Brewhouse!$Y98-[8]Brewhouse!$X98</f>
        <v>0.13750000000000007</v>
      </c>
      <c r="N26" s="370">
        <f>[8]Brewhouse!$AD98</f>
        <v>0.29444444444444451</v>
      </c>
      <c r="O26" s="371" t="str">
        <f>[8]Brewhouse!$BC98</f>
        <v>R. Regis</v>
      </c>
      <c r="P26" s="418"/>
      <c r="R26" s="277" t="str">
        <f t="shared" si="9"/>
        <v>STARMALT</v>
      </c>
      <c r="S26" s="472">
        <f t="shared" si="1"/>
        <v>17</v>
      </c>
      <c r="T26" s="472">
        <f t="shared" si="2"/>
        <v>17.399999999999999</v>
      </c>
      <c r="U26" s="297">
        <f t="shared" si="3"/>
        <v>0</v>
      </c>
      <c r="V26" s="297">
        <f t="shared" si="4"/>
        <v>0.13605324074074074</v>
      </c>
      <c r="W26" s="297">
        <f t="shared" si="5"/>
        <v>0.27430555555555552</v>
      </c>
      <c r="X26" s="297">
        <f t="shared" si="6"/>
        <v>0.30902777777777779</v>
      </c>
      <c r="Y26" s="297">
        <f t="shared" si="7"/>
        <v>0</v>
      </c>
      <c r="Z26" s="472">
        <f t="shared" si="8"/>
        <v>85</v>
      </c>
    </row>
    <row r="27" spans="2:26" ht="15" customHeight="1">
      <c r="B27" s="37" t="s">
        <v>16</v>
      </c>
      <c r="C27" s="366" t="str">
        <f>[8]Brewhouse!$A99</f>
        <v>SM088</v>
      </c>
      <c r="D27" s="279">
        <f>[8]Brewhouse!$AH99</f>
        <v>53</v>
      </c>
      <c r="E27" s="279">
        <f>[8]Brewhouse!$AM99</f>
        <v>52.4</v>
      </c>
      <c r="F27" s="278">
        <f>[8]Brewhouse!$Z99</f>
        <v>62</v>
      </c>
      <c r="G27" s="279">
        <f>[8]Brewhouse!$AK99</f>
        <v>17.100000000000001</v>
      </c>
      <c r="H27" s="396">
        <v>17.2</v>
      </c>
      <c r="I27" s="368">
        <f>[8]Brewhouse!$AY99</f>
        <v>99.2047479604514</v>
      </c>
      <c r="J27" s="368">
        <f>[8]Brewhouse!$AZ99</f>
        <v>99.728341659063886</v>
      </c>
      <c r="K27" s="281">
        <f>[8]Brewhouse!$U99</f>
        <v>6.754716981132086</v>
      </c>
      <c r="L27" s="276">
        <f>[8]Brewhouse!$T99</f>
        <v>60</v>
      </c>
      <c r="M27" s="374">
        <f>[8]Brewhouse!$Y99-[8]Brewhouse!$X99</f>
        <v>0.12777777777777766</v>
      </c>
      <c r="N27" s="370">
        <f>[8]Brewhouse!$AD99</f>
        <v>0.2930555555555554</v>
      </c>
      <c r="O27" s="371" t="str">
        <f>[8]Brewhouse!$BC99</f>
        <v>R. Regis</v>
      </c>
      <c r="P27" s="418"/>
      <c r="R27" s="277" t="str">
        <f t="shared" si="9"/>
        <v>STARMALT</v>
      </c>
      <c r="S27" s="472">
        <f t="shared" si="1"/>
        <v>17</v>
      </c>
      <c r="T27" s="472">
        <f t="shared" si="2"/>
        <v>17.399999999999999</v>
      </c>
      <c r="U27" s="297">
        <f t="shared" si="3"/>
        <v>0</v>
      </c>
      <c r="V27" s="297">
        <f t="shared" si="4"/>
        <v>0.13605324074074074</v>
      </c>
      <c r="W27" s="297">
        <f t="shared" si="5"/>
        <v>0.27430555555555552</v>
      </c>
      <c r="X27" s="297">
        <f t="shared" si="6"/>
        <v>0.30902777777777779</v>
      </c>
      <c r="Y27" s="297">
        <f t="shared" si="7"/>
        <v>0</v>
      </c>
      <c r="Z27" s="472">
        <f t="shared" si="8"/>
        <v>85</v>
      </c>
    </row>
    <row r="28" spans="2:26" ht="15" customHeight="1">
      <c r="B28" s="37" t="s">
        <v>16</v>
      </c>
      <c r="C28" s="366" t="str">
        <f>[8]Brewhouse!$A100</f>
        <v>SM089</v>
      </c>
      <c r="D28" s="279">
        <f>[8]Brewhouse!$AH100</f>
        <v>53</v>
      </c>
      <c r="E28" s="279">
        <f>[8]Brewhouse!$AM100</f>
        <v>51.5</v>
      </c>
      <c r="F28" s="278">
        <f>[8]Brewhouse!$Z100</f>
        <v>104</v>
      </c>
      <c r="G28" s="279">
        <f>[8]Brewhouse!$AK100</f>
        <v>17.100000000000001</v>
      </c>
      <c r="H28" s="396">
        <v>17.100000000000001</v>
      </c>
      <c r="I28" s="368">
        <f>[8]Brewhouse!$AY100</f>
        <v>97.580117216650279</v>
      </c>
      <c r="J28" s="368">
        <f>[8]Brewhouse!$AZ100</f>
        <v>98.09464493034055</v>
      </c>
      <c r="K28" s="281">
        <f>[8]Brewhouse!$U100</f>
        <v>9.9622641509433976</v>
      </c>
      <c r="L28" s="276">
        <f>[8]Brewhouse!$T100</f>
        <v>60</v>
      </c>
      <c r="M28" s="374">
        <f>[8]Brewhouse!$Y100-[8]Brewhouse!$X100</f>
        <v>0.16736111111111107</v>
      </c>
      <c r="N28" s="370">
        <f>[8]Brewhouse!$AD100</f>
        <v>0.35277777777777763</v>
      </c>
      <c r="O28" s="371" t="str">
        <f>[8]Brewhouse!$BC100</f>
        <v>K. Benjamin</v>
      </c>
      <c r="P28" s="418" t="s">
        <v>198</v>
      </c>
      <c r="R28" s="277" t="str">
        <f t="shared" si="9"/>
        <v>STARMALT</v>
      </c>
      <c r="S28" s="472">
        <f t="shared" si="1"/>
        <v>17</v>
      </c>
      <c r="T28" s="472">
        <f t="shared" si="2"/>
        <v>17.399999999999999</v>
      </c>
      <c r="U28" s="297">
        <f t="shared" si="3"/>
        <v>0</v>
      </c>
      <c r="V28" s="297">
        <f t="shared" si="4"/>
        <v>0.13605324074074074</v>
      </c>
      <c r="W28" s="297">
        <f t="shared" si="5"/>
        <v>0.27430555555555552</v>
      </c>
      <c r="X28" s="297">
        <f t="shared" si="6"/>
        <v>0.30902777777777779</v>
      </c>
      <c r="Y28" s="297">
        <f t="shared" si="7"/>
        <v>0</v>
      </c>
      <c r="Z28" s="472">
        <f t="shared" si="8"/>
        <v>85</v>
      </c>
    </row>
    <row r="29" spans="2:26" ht="15" customHeight="1">
      <c r="B29" s="37" t="s">
        <v>16</v>
      </c>
      <c r="C29" s="366" t="str">
        <f>[8]Brewhouse!$A101</f>
        <v>SM090</v>
      </c>
      <c r="D29" s="279">
        <f>[8]Brewhouse!$AH101</f>
        <v>53</v>
      </c>
      <c r="E29" s="279">
        <f>[8]Brewhouse!$AM101</f>
        <v>52.8</v>
      </c>
      <c r="F29" s="278">
        <f>[8]Brewhouse!$Z101</f>
        <v>60</v>
      </c>
      <c r="G29" s="279">
        <f>[8]Brewhouse!$AK101</f>
        <v>17</v>
      </c>
      <c r="H29" s="396">
        <v>17</v>
      </c>
      <c r="I29" s="368">
        <f>[8]Brewhouse!$AY101</f>
        <v>99.629199564339515</v>
      </c>
      <c r="J29" s="368">
        <f>[8]Brewhouse!$AZ101</f>
        <v>100.15302201230318</v>
      </c>
      <c r="K29" s="281">
        <f>[8]Brewhouse!$U101</f>
        <v>6.5660377358490649</v>
      </c>
      <c r="L29" s="276">
        <f>[8]Brewhouse!$T101</f>
        <v>60</v>
      </c>
      <c r="M29" s="374">
        <f>[8]Brewhouse!$Y101-[8]Brewhouse!$X101</f>
        <v>0.14583333333333326</v>
      </c>
      <c r="N29" s="370">
        <f>[8]Brewhouse!$AD101</f>
        <v>0.31527777777777766</v>
      </c>
      <c r="O29" s="371" t="str">
        <f>[8]Brewhouse!$BC101</f>
        <v>K. Benjamin</v>
      </c>
      <c r="P29" s="418" t="s">
        <v>198</v>
      </c>
      <c r="R29" s="277" t="str">
        <f t="shared" si="9"/>
        <v>STARMALT</v>
      </c>
      <c r="S29" s="472">
        <f t="shared" si="1"/>
        <v>17</v>
      </c>
      <c r="T29" s="472">
        <f t="shared" si="2"/>
        <v>17.399999999999999</v>
      </c>
      <c r="U29" s="297">
        <f t="shared" si="3"/>
        <v>0</v>
      </c>
      <c r="V29" s="297">
        <f t="shared" si="4"/>
        <v>0.13605324074074074</v>
      </c>
      <c r="W29" s="297">
        <f t="shared" si="5"/>
        <v>0.27430555555555552</v>
      </c>
      <c r="X29" s="297">
        <f t="shared" si="6"/>
        <v>0.30902777777777779</v>
      </c>
      <c r="Y29" s="297">
        <f t="shared" si="7"/>
        <v>0</v>
      </c>
      <c r="Z29" s="472">
        <f t="shared" si="8"/>
        <v>85</v>
      </c>
    </row>
    <row r="30" spans="2:26" ht="15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503"/>
      <c r="N30" s="370"/>
      <c r="O30" s="420"/>
      <c r="P30" s="418"/>
      <c r="R30" s="277">
        <f t="shared" si="9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2:26" ht="15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503"/>
      <c r="N31" s="370"/>
      <c r="O31" s="420"/>
      <c r="P31" s="418"/>
      <c r="R31" s="277">
        <f t="shared" si="9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2:26" ht="15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503"/>
      <c r="N32" s="370"/>
      <c r="O32" s="420"/>
      <c r="P32" s="418"/>
      <c r="R32" s="277">
        <f t="shared" si="9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6" ht="1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503"/>
      <c r="N33" s="370"/>
      <c r="O33" s="420"/>
      <c r="P33" s="418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26" ht="1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503"/>
      <c r="N34" s="370"/>
      <c r="O34" s="420"/>
      <c r="P34" s="418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26" ht="1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503"/>
      <c r="N35" s="370"/>
      <c r="O35" s="420"/>
      <c r="P35" s="418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26" ht="1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503"/>
      <c r="N36" s="370"/>
      <c r="O36" s="420"/>
      <c r="P36" s="418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26" ht="1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420"/>
      <c r="P37" s="418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1:26" ht="1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420"/>
      <c r="P38" s="418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</row>
    <row r="39" spans="1:26" ht="17.25" customHeight="1" thickBot="1">
      <c r="B39" s="358"/>
      <c r="C39" s="358"/>
      <c r="D39" s="358"/>
      <c r="E39" s="358"/>
      <c r="F39" s="294"/>
      <c r="G39" s="294"/>
      <c r="H39" s="348"/>
      <c r="I39" s="528"/>
      <c r="J39" s="528"/>
      <c r="K39" s="528"/>
      <c r="L39" s="528"/>
      <c r="M39" s="528"/>
      <c r="N39" s="528"/>
      <c r="O39" s="1"/>
      <c r="P39" s="12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</row>
    <row r="40" spans="1:26" ht="17.25" customHeight="1" thickBot="1">
      <c r="B40" s="489" t="s">
        <v>162</v>
      </c>
      <c r="C40" s="388"/>
      <c r="D40" s="529" t="s">
        <v>35</v>
      </c>
      <c r="E40" s="530"/>
      <c r="F40" s="294"/>
      <c r="G40" s="294"/>
      <c r="H40" s="348"/>
      <c r="I40" s="24" t="s">
        <v>17</v>
      </c>
      <c r="J40" s="25"/>
      <c r="K40" s="26" t="s">
        <v>138</v>
      </c>
      <c r="L40" s="25" t="s">
        <v>37</v>
      </c>
      <c r="M40" s="25" t="s">
        <v>38</v>
      </c>
      <c r="N40" s="27" t="s">
        <v>39</v>
      </c>
      <c r="O40" s="294"/>
      <c r="P40" s="12"/>
      <c r="R40" s="277" t="str">
        <f t="shared" si="0"/>
        <v xml:space="preserve">BRAND 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</row>
    <row r="41" spans="1:26" ht="17.25" customHeight="1">
      <c r="A41" s="28"/>
      <c r="B41" s="605" t="str">
        <f>I55</f>
        <v>CARIB</v>
      </c>
      <c r="C41" s="490" cm="1">
        <f t="array" ref="C41:C42">[4]Process!$D$606:$D$607</f>
        <v>11.7</v>
      </c>
      <c r="D41" s="534">
        <v>11.86</v>
      </c>
      <c r="E41" s="535"/>
      <c r="F41" s="294"/>
      <c r="G41" s="294"/>
      <c r="H41" s="348"/>
      <c r="I41" s="29" t="s">
        <v>6</v>
      </c>
      <c r="J41" s="323">
        <f>AVERAGE(I10:I17)</f>
        <v>99.843229298168097</v>
      </c>
      <c r="K41" s="284">
        <f>COUNTA([4]Brewhouse!$A$595:$A$658)</f>
        <v>64</v>
      </c>
      <c r="L41" s="305">
        <f>AVERAGE([4]Brewhouse!$AU$595:$AU$658)</f>
        <v>99.186387283340949</v>
      </c>
      <c r="M41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AVERAGE([4]Brewhouse!$AU$42:$AU$123,[4]Brewhouse!$AU$125:$AU$188,[4]Brewhouse!$AU$198:$AU$290,[4]Brewhouse!$AU$292:$AU$370,[4]Brewhouse!$AU$372:$AU$439,[4]Brewhouse!$AU$441:$AU$497,[4]Brewhouse!$AU$499:$AU$519,[4]Brewhouse!$AU$521:$AU$593,[4]Brewhouse!$AU$595:$AU$658)</f>
        <v>98.277081346082383</v>
      </c>
      <c r="N41" s="30">
        <v>98</v>
      </c>
      <c r="O41" s="11"/>
      <c r="P41" s="31"/>
      <c r="R41" s="277" t="str">
        <f t="shared" ref="R41:R52" si="10">B41</f>
        <v>CARIB</v>
      </c>
      <c r="S41" s="472">
        <f t="shared" si="1"/>
        <v>11.6</v>
      </c>
      <c r="T41" s="472">
        <f t="shared" si="2"/>
        <v>12</v>
      </c>
      <c r="U41" s="297">
        <f t="shared" si="3"/>
        <v>0</v>
      </c>
      <c r="V41" s="297">
        <f t="shared" si="4"/>
        <v>0.118055555555556</v>
      </c>
      <c r="W41" s="297">
        <f t="shared" si="5"/>
        <v>0.22569444444444445</v>
      </c>
      <c r="X41" s="297">
        <f t="shared" si="6"/>
        <v>0.2638888888888889</v>
      </c>
      <c r="Y41" s="297">
        <f t="shared" si="7"/>
        <v>0</v>
      </c>
      <c r="Z41" s="472">
        <f t="shared" si="8"/>
        <v>60</v>
      </c>
    </row>
    <row r="42" spans="1:26" ht="15" customHeight="1">
      <c r="A42" s="28"/>
      <c r="B42" s="542"/>
      <c r="C42" s="362">
        <v>11.9</v>
      </c>
      <c r="D42" s="536"/>
      <c r="E42" s="537"/>
      <c r="F42" s="294"/>
      <c r="G42" s="294"/>
      <c r="H42" s="348"/>
      <c r="I42" s="33" t="s">
        <v>9</v>
      </c>
      <c r="J42" s="323"/>
      <c r="K42" s="284">
        <f>COUNTA([3]Brewhouse!$A$327:$A$353)</f>
        <v>27</v>
      </c>
      <c r="L42" s="302">
        <f>AVERAGE([3]Brewhouse!$AS$327:$AS$353)</f>
        <v>99.545759939380616</v>
      </c>
      <c r="M42" s="302">
        <f>AVERAGE([3]Brewhouse!$AS$52:$AS$81,[3]Brewhouse!$AS$83:$AS$124,[3]Brewhouse!$AS$134:$AS$177,[3]Brewhouse!$AS$22:$AS$179,[3]Brewhouse!$AS$214:$AS$249,[3]Brewhouse!$AS$252:$AS$293,[3]Brewhouse!$AS$295:$AS$325,[3]Brewhouse!$AS$327:$AS$353)</f>
        <v>98.236986123572123</v>
      </c>
      <c r="N42" s="30">
        <v>98</v>
      </c>
      <c r="O42" s="11"/>
      <c r="P42" s="31"/>
      <c r="R42" s="277">
        <f t="shared" si="10"/>
        <v>0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</row>
    <row r="43" spans="1:26" ht="14.65" customHeight="1">
      <c r="A43" s="28"/>
      <c r="B43" s="542"/>
      <c r="C43" s="362" cm="1">
        <f t="array" ref="C43:C46">[4]Process!$D$610:$D$613</f>
        <v>11.7</v>
      </c>
      <c r="D43" s="538">
        <v>11.94</v>
      </c>
      <c r="E43" s="539"/>
      <c r="F43" s="294"/>
      <c r="G43" s="294"/>
      <c r="H43" s="348"/>
      <c r="I43" s="34" t="s">
        <v>12</v>
      </c>
      <c r="J43" s="323"/>
      <c r="K43" s="284">
        <f>COUNTA([5]Brewhouse!$A$90:$A$97)</f>
        <v>8</v>
      </c>
      <c r="L43" s="302">
        <f>AVERAGE([5]Brewhouse!$AU$90:$AU$97)</f>
        <v>96.342250509798717</v>
      </c>
      <c r="M43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43" s="30">
        <v>98</v>
      </c>
      <c r="O43" s="11"/>
      <c r="P43" s="31"/>
      <c r="R43" s="277">
        <f t="shared" si="10"/>
        <v>0</v>
      </c>
      <c r="S43" s="472" t="e">
        <f t="shared" si="1"/>
        <v>#N/A</v>
      </c>
      <c r="T43" s="472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472" t="e">
        <f t="shared" si="8"/>
        <v>#N/A</v>
      </c>
    </row>
    <row r="44" spans="1:26" ht="14.65" customHeight="1">
      <c r="A44" s="28"/>
      <c r="B44" s="542"/>
      <c r="C44" s="362">
        <v>12</v>
      </c>
      <c r="D44" s="540"/>
      <c r="E44" s="537"/>
      <c r="F44" s="294"/>
      <c r="G44" s="294"/>
      <c r="H44" s="348"/>
      <c r="I44" s="22" t="s">
        <v>33</v>
      </c>
      <c r="J44" s="280"/>
      <c r="K44" s="284"/>
      <c r="L44" s="302"/>
      <c r="M44" s="302">
        <f>AVERAGE([6]Brewhouse!$AV$23:$AV$34,[6]Brewhouse!$AV$36,[6]Brewhouse!$AV$38:$AV$52,[6]Brewhouse!$AV$54:$AV$60,[6]Brewhouse!$AV$62:$AV$69,[6]Brewhouse!$AV$71:$AV$78,[6]Brewhouse!$AV$80:$AV$87)</f>
        <v>97.513042763382714</v>
      </c>
      <c r="N44" s="30">
        <v>98</v>
      </c>
      <c r="O44" s="11"/>
      <c r="P44" s="31"/>
      <c r="R44" s="277">
        <f t="shared" si="10"/>
        <v>0</v>
      </c>
      <c r="S44" s="472" t="e">
        <f t="shared" si="1"/>
        <v>#N/A</v>
      </c>
      <c r="T44" s="472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472" t="e">
        <f t="shared" si="8"/>
        <v>#N/A</v>
      </c>
    </row>
    <row r="45" spans="1:26" ht="14.65" customHeight="1">
      <c r="A45" s="28"/>
      <c r="B45" s="542"/>
      <c r="C45" s="362">
        <v>11.9</v>
      </c>
      <c r="D45" s="538">
        <v>12.03</v>
      </c>
      <c r="E45" s="539"/>
      <c r="F45" s="294"/>
      <c r="G45" s="294"/>
      <c r="H45" s="348"/>
      <c r="I45" s="35" t="s">
        <v>29</v>
      </c>
      <c r="J45" s="280"/>
      <c r="K45" s="284"/>
      <c r="L45" s="302"/>
      <c r="M45" s="302"/>
      <c r="N45" s="30">
        <v>98</v>
      </c>
      <c r="O45" s="11"/>
      <c r="P45" s="31"/>
      <c r="R45" s="277">
        <f t="shared" si="10"/>
        <v>0</v>
      </c>
      <c r="S45" s="472" t="e">
        <f t="shared" si="1"/>
        <v>#N/A</v>
      </c>
      <c r="T45" s="472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472" t="e">
        <f t="shared" si="8"/>
        <v>#N/A</v>
      </c>
    </row>
    <row r="46" spans="1:26" ht="14.65" customHeight="1">
      <c r="A46" s="28"/>
      <c r="B46" s="542"/>
      <c r="C46" s="362">
        <v>12</v>
      </c>
      <c r="D46" s="540"/>
      <c r="E46" s="537"/>
      <c r="F46" s="417"/>
      <c r="G46" s="294"/>
      <c r="H46" s="348"/>
      <c r="I46" s="36" t="s">
        <v>15</v>
      </c>
      <c r="J46" s="323"/>
      <c r="K46" s="284"/>
      <c r="L46" s="302"/>
      <c r="M46" s="302">
        <f>AVERAGE([7]Brewhouse!$AT$4:$AT$11,[7]Brewhouse!$AT$13:$AT$16,[7]Brewhouse!$AT$18:$AT$21)</f>
        <v>91.832675391763644</v>
      </c>
      <c r="N46" s="30">
        <v>98</v>
      </c>
      <c r="O46" s="11"/>
      <c r="P46" s="31"/>
      <c r="R46" s="277">
        <f t="shared" si="10"/>
        <v>0</v>
      </c>
      <c r="S46" s="472" t="e">
        <f t="shared" si="1"/>
        <v>#N/A</v>
      </c>
      <c r="T46" s="472" t="e">
        <f t="shared" si="2"/>
        <v>#N/A</v>
      </c>
      <c r="U46" s="297" t="e">
        <f t="shared" si="3"/>
        <v>#N/A</v>
      </c>
      <c r="V46" s="297" t="e">
        <f t="shared" si="4"/>
        <v>#N/A</v>
      </c>
      <c r="W46" s="297" t="e">
        <f t="shared" si="5"/>
        <v>#N/A</v>
      </c>
      <c r="X46" s="297" t="e">
        <f t="shared" si="6"/>
        <v>#N/A</v>
      </c>
      <c r="Y46" s="297" t="e">
        <f t="shared" si="7"/>
        <v>#N/A</v>
      </c>
      <c r="Z46" s="472" t="e">
        <f t="shared" si="8"/>
        <v>#N/A</v>
      </c>
    </row>
    <row r="47" spans="1:26" ht="14.65" customHeight="1">
      <c r="A47" s="28"/>
      <c r="B47" s="542"/>
      <c r="C47" s="362"/>
      <c r="D47" s="538"/>
      <c r="E47" s="539"/>
      <c r="F47" s="417"/>
      <c r="G47" s="294"/>
      <c r="H47" s="348"/>
      <c r="I47" s="37" t="s">
        <v>16</v>
      </c>
      <c r="J47" s="323">
        <f>AVERAGE(I20:I29)</f>
        <v>97.28816869600513</v>
      </c>
      <c r="K47" s="284">
        <f>COUNTA([8]Brewhouse!$A$84:$A$101)</f>
        <v>18</v>
      </c>
      <c r="L47" s="302">
        <f>AVERAGE([8]Brewhouse!$AY$84:$AY$101)</f>
        <v>97.389891141895035</v>
      </c>
      <c r="M47" s="302">
        <f>AVERAGE([8]Brewhouse!$AY$5:$AY$14,[8]Brewhouse!$AY$16:$AY$23,[8]Brewhouse!$AY$42,[8]Brewhouse!$AY$44:$AY$51,[8]Brewhouse!$AY$53:$AY$64,[8]Brewhouse!$AY$66:$AY$73,[8]Brewhouse!$AY$75:$AY$82,[8]Brewhouse!$AY$84:$AY$101)</f>
        <v>97.946352432648297</v>
      </c>
      <c r="N47" s="30">
        <v>98</v>
      </c>
      <c r="O47" s="11"/>
      <c r="P47" s="31" t="s">
        <v>41</v>
      </c>
      <c r="R47" s="277">
        <f t="shared" si="10"/>
        <v>0</v>
      </c>
      <c r="S47" s="472" t="e">
        <f t="shared" si="1"/>
        <v>#N/A</v>
      </c>
      <c r="T47" s="472" t="e">
        <f t="shared" si="2"/>
        <v>#N/A</v>
      </c>
      <c r="U47" s="297" t="e">
        <f t="shared" si="3"/>
        <v>#N/A</v>
      </c>
      <c r="V47" s="297" t="e">
        <f t="shared" si="4"/>
        <v>#N/A</v>
      </c>
      <c r="W47" s="297" t="e">
        <f t="shared" si="5"/>
        <v>#N/A</v>
      </c>
      <c r="X47" s="297" t="e">
        <f t="shared" si="6"/>
        <v>#N/A</v>
      </c>
      <c r="Y47" s="297" t="e">
        <f t="shared" si="7"/>
        <v>#N/A</v>
      </c>
      <c r="Z47" s="472" t="e">
        <f t="shared" si="8"/>
        <v>#N/A</v>
      </c>
    </row>
    <row r="48" spans="1:26" ht="14.65" customHeight="1">
      <c r="A48" s="28"/>
      <c r="B48" s="542"/>
      <c r="C48" s="362"/>
      <c r="D48" s="540"/>
      <c r="E48" s="537"/>
      <c r="F48" s="294"/>
      <c r="G48" s="294"/>
      <c r="H48" s="348"/>
      <c r="I48" s="411" t="s">
        <v>158</v>
      </c>
      <c r="J48" s="326"/>
      <c r="K48" s="284"/>
      <c r="L48" s="305"/>
      <c r="M48" s="305"/>
      <c r="N48" s="30">
        <v>98</v>
      </c>
      <c r="O48" s="11"/>
      <c r="P48" s="31"/>
      <c r="R48" s="277">
        <f t="shared" si="10"/>
        <v>0</v>
      </c>
      <c r="S48" s="472" t="e">
        <f t="shared" si="1"/>
        <v>#N/A</v>
      </c>
      <c r="T48" s="472" t="e">
        <f t="shared" si="2"/>
        <v>#N/A</v>
      </c>
      <c r="U48" s="297" t="e">
        <f t="shared" si="3"/>
        <v>#N/A</v>
      </c>
      <c r="V48" s="297" t="e">
        <f t="shared" si="4"/>
        <v>#N/A</v>
      </c>
      <c r="W48" s="297" t="e">
        <f t="shared" si="5"/>
        <v>#N/A</v>
      </c>
      <c r="X48" s="297" t="e">
        <f t="shared" si="6"/>
        <v>#N/A</v>
      </c>
      <c r="Y48" s="297" t="e">
        <f t="shared" si="7"/>
        <v>#N/A</v>
      </c>
      <c r="Z48" s="472" t="e">
        <f t="shared" si="8"/>
        <v>#N/A</v>
      </c>
    </row>
    <row r="49" spans="1:56" ht="14.65" customHeight="1">
      <c r="A49" s="28"/>
      <c r="B49" s="542"/>
      <c r="C49" s="362"/>
      <c r="D49" s="538"/>
      <c r="E49" s="539"/>
      <c r="F49" s="294"/>
      <c r="G49" s="294"/>
      <c r="H49" s="348"/>
      <c r="I49" s="410" t="s">
        <v>157</v>
      </c>
      <c r="J49" s="326"/>
      <c r="K49" s="284"/>
      <c r="L49" s="305"/>
      <c r="M49" s="305"/>
      <c r="N49" s="30">
        <v>98</v>
      </c>
      <c r="O49" s="11"/>
      <c r="P49" s="31"/>
      <c r="R49" s="277">
        <f t="shared" si="10"/>
        <v>0</v>
      </c>
      <c r="S49" s="472" t="e">
        <f t="shared" si="1"/>
        <v>#N/A</v>
      </c>
      <c r="T49" s="472" t="e">
        <f t="shared" si="2"/>
        <v>#N/A</v>
      </c>
      <c r="U49" s="297" t="e">
        <f t="shared" si="3"/>
        <v>#N/A</v>
      </c>
      <c r="V49" s="297" t="e">
        <f t="shared" si="4"/>
        <v>#N/A</v>
      </c>
      <c r="W49" s="297" t="e">
        <f t="shared" si="5"/>
        <v>#N/A</v>
      </c>
      <c r="X49" s="297" t="e">
        <f t="shared" si="6"/>
        <v>#N/A</v>
      </c>
      <c r="Y49" s="297" t="e">
        <f t="shared" si="7"/>
        <v>#N/A</v>
      </c>
      <c r="Z49" s="472" t="e">
        <f t="shared" si="8"/>
        <v>#N/A</v>
      </c>
      <c r="AA49" s="472"/>
    </row>
    <row r="50" spans="1:56" ht="15" customHeight="1" thickBot="1">
      <c r="A50" s="28"/>
      <c r="B50" s="542"/>
      <c r="C50" s="362"/>
      <c r="D50" s="540"/>
      <c r="E50" s="537"/>
      <c r="F50" s="294"/>
      <c r="G50" s="294"/>
      <c r="H50" s="348"/>
      <c r="I50" s="406" t="s">
        <v>156</v>
      </c>
      <c r="J50" s="327"/>
      <c r="K50" s="407"/>
      <c r="L50" s="408"/>
      <c r="M50" s="408"/>
      <c r="N50" s="409">
        <v>98</v>
      </c>
      <c r="O50" s="11"/>
      <c r="P50" s="31"/>
      <c r="R50" s="277">
        <f t="shared" si="10"/>
        <v>0</v>
      </c>
      <c r="S50" s="472" t="e">
        <f t="shared" si="1"/>
        <v>#N/A</v>
      </c>
      <c r="T50" s="472" t="e">
        <f t="shared" si="2"/>
        <v>#N/A</v>
      </c>
      <c r="U50" s="297" t="e">
        <f t="shared" si="3"/>
        <v>#N/A</v>
      </c>
      <c r="V50" s="297" t="e">
        <f t="shared" si="4"/>
        <v>#N/A</v>
      </c>
      <c r="W50" s="297" t="e">
        <f t="shared" si="5"/>
        <v>#N/A</v>
      </c>
      <c r="X50" s="297" t="e">
        <f t="shared" si="6"/>
        <v>#N/A</v>
      </c>
      <c r="Y50" s="297" t="e">
        <f t="shared" si="7"/>
        <v>#N/A</v>
      </c>
      <c r="Z50" s="472" t="e">
        <f t="shared" si="8"/>
        <v>#N/A</v>
      </c>
      <c r="AA50" s="472"/>
    </row>
    <row r="51" spans="1:56" ht="15" customHeight="1" thickBot="1">
      <c r="A51" s="28"/>
      <c r="B51" s="542"/>
      <c r="C51" s="349"/>
      <c r="D51" s="534"/>
      <c r="E51" s="535"/>
      <c r="F51" s="294"/>
      <c r="G51" s="294"/>
      <c r="H51" s="348"/>
      <c r="I51" s="1"/>
      <c r="J51" s="39"/>
      <c r="K51" s="404">
        <f>SUM(K41:K50)</f>
        <v>117</v>
      </c>
      <c r="L51" s="405">
        <f>((L41*K41)+(L42*K42)+(L43*K43)+(L44*K44)+(L45*K45)+(K48*L48)+(L46*K46)+(L47*K47)+(L50*K50))/(K51)</f>
        <v>98.798464522475186</v>
      </c>
      <c r="M51" s="405">
        <f>AVERAGE('[9]Jan30th-31st'!$L$42,'[10]Feb 27th-28th'!$L$45,'[11]Mar 31st'!$L$42,'[12]Apr 30th'!$L$41,'[13]May 29th '!$L$35,'[14]June 30th'!$L$32,[15]July31st!$L$36,L51)</f>
        <v>98.003984404315787</v>
      </c>
      <c r="N51" s="40">
        <v>98</v>
      </c>
      <c r="O51" s="11"/>
      <c r="P51" s="31"/>
      <c r="R51" s="277">
        <f t="shared" si="10"/>
        <v>0</v>
      </c>
      <c r="S51" s="472" t="e">
        <f t="shared" si="1"/>
        <v>#N/A</v>
      </c>
      <c r="T51" s="472" t="e">
        <f t="shared" si="2"/>
        <v>#N/A</v>
      </c>
      <c r="U51" s="297" t="e">
        <f t="shared" si="3"/>
        <v>#N/A</v>
      </c>
      <c r="V51" s="297" t="e">
        <f t="shared" si="4"/>
        <v>#N/A</v>
      </c>
      <c r="W51" s="297" t="e">
        <f t="shared" si="5"/>
        <v>#N/A</v>
      </c>
      <c r="X51" s="297" t="e">
        <f t="shared" si="6"/>
        <v>#N/A</v>
      </c>
      <c r="Y51" s="297" t="e">
        <f t="shared" si="7"/>
        <v>#N/A</v>
      </c>
      <c r="Z51" s="472" t="e">
        <f t="shared" si="8"/>
        <v>#N/A</v>
      </c>
      <c r="AA51" s="472"/>
    </row>
    <row r="52" spans="1:56" ht="15.75" thickBot="1">
      <c r="B52" s="606"/>
      <c r="C52" s="350"/>
      <c r="D52" s="536"/>
      <c r="E52" s="537"/>
      <c r="F52" s="294"/>
      <c r="G52" s="42"/>
      <c r="H52" s="41"/>
      <c r="I52" s="42"/>
      <c r="J52" s="42"/>
      <c r="K52" s="351"/>
      <c r="L52" s="348"/>
      <c r="M52" s="348"/>
      <c r="N52" s="11"/>
      <c r="O52" s="294"/>
      <c r="P52" s="12"/>
      <c r="R52" s="277">
        <f t="shared" si="10"/>
        <v>0</v>
      </c>
      <c r="S52" s="472" t="e">
        <f t="shared" si="1"/>
        <v>#N/A</v>
      </c>
      <c r="T52" s="472" t="e">
        <f t="shared" si="2"/>
        <v>#N/A</v>
      </c>
      <c r="U52" s="297" t="e">
        <f t="shared" si="3"/>
        <v>#N/A</v>
      </c>
      <c r="V52" s="297" t="e">
        <f t="shared" si="4"/>
        <v>#N/A</v>
      </c>
      <c r="W52" s="297" t="e">
        <f t="shared" si="5"/>
        <v>#N/A</v>
      </c>
      <c r="X52" s="297" t="e">
        <f t="shared" si="6"/>
        <v>#N/A</v>
      </c>
      <c r="Y52" s="297" t="e">
        <f t="shared" si="7"/>
        <v>#N/A</v>
      </c>
      <c r="Z52" s="472" t="e">
        <f t="shared" si="8"/>
        <v>#N/A</v>
      </c>
      <c r="AA52" s="472"/>
    </row>
    <row r="53" spans="1:56" ht="15.75" thickBot="1">
      <c r="B53" s="541"/>
      <c r="C53" s="362"/>
      <c r="D53" s="534"/>
      <c r="E53" s="535"/>
      <c r="F53" s="294"/>
      <c r="G53" s="42"/>
      <c r="H53" s="41"/>
      <c r="I53" s="42"/>
      <c r="J53" s="544" t="s">
        <v>129</v>
      </c>
      <c r="K53" s="544"/>
      <c r="L53" s="294"/>
      <c r="M53" s="294"/>
      <c r="N53" s="294"/>
      <c r="O53" s="294"/>
      <c r="P53" s="12"/>
    </row>
    <row r="54" spans="1:56" ht="15.75" thickBot="1">
      <c r="B54" s="542"/>
      <c r="C54" s="362"/>
      <c r="D54" s="536"/>
      <c r="E54" s="537"/>
      <c r="F54" s="294"/>
      <c r="G54" s="42"/>
      <c r="H54" s="42"/>
      <c r="I54" s="292" t="s">
        <v>17</v>
      </c>
      <c r="J54" s="504" t="s">
        <v>200</v>
      </c>
      <c r="K54" s="293" t="s">
        <v>201</v>
      </c>
      <c r="L54" s="545" t="s">
        <v>136</v>
      </c>
      <c r="M54" s="545"/>
      <c r="N54" s="546"/>
      <c r="O54" s="294"/>
      <c r="P54" s="12"/>
    </row>
    <row r="55" spans="1:56" ht="15" customHeight="1" thickBot="1">
      <c r="B55" s="542"/>
      <c r="C55" s="349"/>
      <c r="D55" s="538"/>
      <c r="E55" s="539"/>
      <c r="F55" s="294"/>
      <c r="G55" s="42"/>
      <c r="H55" s="42"/>
      <c r="I55" s="287" t="s">
        <v>6</v>
      </c>
      <c r="J55" s="324">
        <v>8</v>
      </c>
      <c r="K55" s="324"/>
      <c r="L55" s="473" t="s">
        <v>37</v>
      </c>
      <c r="M55" s="474" t="s">
        <v>38</v>
      </c>
      <c r="N55" s="474" t="s">
        <v>84</v>
      </c>
      <c r="O55" s="294"/>
      <c r="P55" s="12"/>
    </row>
    <row r="56" spans="1:56" ht="15.75" customHeight="1" thickBot="1">
      <c r="B56" s="542"/>
      <c r="C56" s="349"/>
      <c r="D56" s="540"/>
      <c r="E56" s="537"/>
      <c r="F56" s="294"/>
      <c r="G56" s="42"/>
      <c r="H56" s="42"/>
      <c r="I56" s="345" t="s">
        <v>9</v>
      </c>
      <c r="J56" s="324"/>
      <c r="K56" s="324"/>
      <c r="L56" s="494">
        <f>AVERAGE(K65,'Aug 3rd '!K47,'Aug 2nd'!K52,'Aug 4th'!K47,'Aug 5th'!K51,'Aug 6th'!K51,'Aug 7th'!K51,'Aug 12th'!K51,I65,'Aug 13th '!K51,'Aug 14th&amp;15th'!I55,'Aug 17th '!K55,'Aug 18th'!K55,'Aug 19th '!K55,J65,'Aug 20th '!K55)</f>
        <v>7.1333333333333337</v>
      </c>
      <c r="M56" s="495">
        <f>AVERAGE('[9]Jan30th-31st'!$L$47,L56,'[10]Feb 26th '!$L$39,'[11]Mar 31st'!$L$47,'[12]Apr 30th'!$L$46,'[13]May 29th '!$L$40,'[14]June 30th'!$L$39,[15]July31st!$L$41)</f>
        <v>6.437588679436506</v>
      </c>
      <c r="N56" s="416">
        <v>9.1999999999999993</v>
      </c>
      <c r="O56" s="294"/>
      <c r="P56" s="12"/>
    </row>
    <row r="57" spans="1:56" ht="15" customHeight="1">
      <c r="B57" s="542"/>
      <c r="C57" s="349"/>
      <c r="D57" s="538"/>
      <c r="E57" s="539"/>
      <c r="F57" s="294"/>
      <c r="G57" s="42"/>
      <c r="H57" s="42"/>
      <c r="I57" s="288" t="s">
        <v>40</v>
      </c>
      <c r="J57" s="324"/>
      <c r="K57" s="324"/>
      <c r="L57" s="294"/>
      <c r="M57" s="294"/>
      <c r="N57" s="294"/>
      <c r="O57" s="294"/>
      <c r="P57" s="12"/>
    </row>
    <row r="58" spans="1:56" ht="15" customHeight="1">
      <c r="B58" s="542"/>
      <c r="C58" s="349"/>
      <c r="D58" s="540"/>
      <c r="E58" s="537"/>
      <c r="F58" s="294"/>
      <c r="G58" s="42"/>
      <c r="H58" s="42"/>
      <c r="I58" s="289" t="s">
        <v>33</v>
      </c>
      <c r="J58" s="324"/>
      <c r="K58" s="324"/>
      <c r="L58" s="294"/>
      <c r="M58" s="294"/>
      <c r="N58" s="294"/>
      <c r="O58" s="294"/>
      <c r="P58" s="12"/>
    </row>
    <row r="59" spans="1:56" ht="15">
      <c r="B59" s="542"/>
      <c r="C59" s="349"/>
      <c r="D59" s="538"/>
      <c r="E59" s="539"/>
      <c r="F59" s="294"/>
      <c r="G59" s="42"/>
      <c r="H59" s="42"/>
      <c r="I59" s="290" t="s">
        <v>16</v>
      </c>
      <c r="J59" s="324"/>
      <c r="K59" s="324">
        <v>10</v>
      </c>
      <c r="L59" s="294"/>
      <c r="M59" s="294"/>
      <c r="N59" s="294"/>
      <c r="O59" s="294"/>
      <c r="P59" s="12"/>
      <c r="BC59" s="44"/>
      <c r="BD59" s="44"/>
    </row>
    <row r="60" spans="1:56" ht="15">
      <c r="B60" s="542"/>
      <c r="C60" s="349"/>
      <c r="D60" s="540"/>
      <c r="E60" s="537"/>
      <c r="F60" s="294"/>
      <c r="G60" s="42"/>
      <c r="H60" s="42"/>
      <c r="I60" s="291" t="s">
        <v>15</v>
      </c>
      <c r="J60" s="324"/>
      <c r="K60" s="324"/>
      <c r="L60" s="294"/>
      <c r="M60" s="294"/>
      <c r="N60" s="294"/>
      <c r="O60" s="294"/>
      <c r="P60" s="12"/>
      <c r="BC60" s="44"/>
      <c r="BD60" s="44"/>
    </row>
    <row r="61" spans="1:56" ht="15">
      <c r="B61" s="542"/>
      <c r="C61" s="349"/>
      <c r="D61" s="538"/>
      <c r="E61" s="539"/>
      <c r="F61" s="294"/>
      <c r="G61" s="42"/>
      <c r="H61" s="42"/>
      <c r="I61" s="291" t="s">
        <v>149</v>
      </c>
      <c r="J61" s="324"/>
      <c r="K61" s="324"/>
      <c r="L61" s="294"/>
      <c r="M61" s="294"/>
      <c r="N61" s="294"/>
      <c r="O61" s="294"/>
      <c r="P61" s="12"/>
      <c r="BC61" s="44"/>
      <c r="BD61" s="44"/>
    </row>
    <row r="62" spans="1:56" ht="15.75" thickBot="1">
      <c r="B62" s="543"/>
      <c r="C62" s="350"/>
      <c r="D62" s="547"/>
      <c r="E62" s="548"/>
      <c r="F62" s="294" t="s">
        <v>166</v>
      </c>
      <c r="G62" s="42"/>
      <c r="H62" s="42"/>
      <c r="I62" s="291" t="s">
        <v>148</v>
      </c>
      <c r="J62" s="324"/>
      <c r="K62" s="324"/>
      <c r="L62" s="294"/>
      <c r="M62" s="294"/>
      <c r="N62" s="294" t="s">
        <v>41</v>
      </c>
      <c r="O62" s="294"/>
      <c r="P62" s="12"/>
      <c r="BC62" s="44"/>
      <c r="BD62" s="44"/>
    </row>
    <row r="63" spans="1:56" ht="17.649999999999999" customHeight="1" thickBot="1">
      <c r="B63" s="312" t="s">
        <v>139</v>
      </c>
      <c r="C63" s="313"/>
      <c r="D63" s="549"/>
      <c r="E63" s="550"/>
      <c r="F63" s="294"/>
      <c r="I63" s="295" t="s">
        <v>134</v>
      </c>
      <c r="J63" s="324"/>
      <c r="K63" s="324"/>
      <c r="L63" s="294"/>
      <c r="M63" s="294"/>
      <c r="N63" s="294"/>
      <c r="O63" s="294"/>
      <c r="P63" s="12"/>
      <c r="BC63" s="44"/>
      <c r="BD63" s="44"/>
    </row>
    <row r="64" spans="1:56" ht="17.649999999999999" customHeight="1">
      <c r="B64" s="363"/>
      <c r="C64" s="364"/>
      <c r="D64" s="365"/>
      <c r="E64" s="365"/>
      <c r="F64" s="294"/>
      <c r="G64" s="42"/>
      <c r="H64" s="42"/>
      <c r="I64" s="295" t="s">
        <v>131</v>
      </c>
      <c r="J64" s="324"/>
      <c r="K64" s="324"/>
      <c r="L64" s="294"/>
      <c r="M64" s="294"/>
      <c r="N64" s="294"/>
      <c r="O64" s="294"/>
      <c r="P64" s="12"/>
      <c r="BC64" s="44"/>
      <c r="BD64" s="44"/>
    </row>
    <row r="65" spans="2:57" ht="15.6" customHeight="1">
      <c r="B65" s="45"/>
      <c r="C65" s="11"/>
      <c r="D65" s="11"/>
      <c r="E65" s="46"/>
      <c r="F65" s="294"/>
      <c r="G65" s="42"/>
      <c r="H65" s="42"/>
      <c r="I65" s="346" t="s">
        <v>130</v>
      </c>
      <c r="J65" s="324">
        <f>SUM(J55:J64)</f>
        <v>8</v>
      </c>
      <c r="K65" s="324">
        <f>SUM(K55:K64)</f>
        <v>10</v>
      </c>
      <c r="L65" s="294"/>
      <c r="M65" s="294"/>
      <c r="N65" s="294"/>
      <c r="O65" s="294"/>
      <c r="P65" s="12"/>
    </row>
    <row r="66" spans="2:57" ht="20.25" customHeight="1">
      <c r="B66" s="15" t="s">
        <v>42</v>
      </c>
      <c r="C66" s="1" t="s">
        <v>43</v>
      </c>
      <c r="D66" s="1"/>
      <c r="E66" s="1"/>
      <c r="F66" s="294"/>
      <c r="G66" s="42"/>
      <c r="H66" s="41"/>
      <c r="I66" s="42"/>
      <c r="L66" s="42"/>
      <c r="N66" s="315"/>
      <c r="P66" s="334"/>
    </row>
    <row r="67" spans="2:57" ht="15" customHeight="1" thickBot="1"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1"/>
      <c r="O67" s="48"/>
      <c r="P67" s="49"/>
    </row>
    <row r="68" spans="2:57" ht="15" customHeight="1" thickBot="1">
      <c r="B68" s="551" t="s">
        <v>17</v>
      </c>
      <c r="C68" s="551" t="s">
        <v>44</v>
      </c>
      <c r="D68" s="554" t="s">
        <v>45</v>
      </c>
      <c r="E68" s="519" t="s">
        <v>46</v>
      </c>
      <c r="F68" s="568" t="s">
        <v>47</v>
      </c>
      <c r="G68" s="563" t="s">
        <v>48</v>
      </c>
      <c r="H68" s="551" t="s">
        <v>49</v>
      </c>
      <c r="I68" s="551" t="s">
        <v>50</v>
      </c>
      <c r="J68" s="557" t="s">
        <v>28</v>
      </c>
      <c r="K68" s="517" t="s">
        <v>51</v>
      </c>
      <c r="L68" s="566" t="s">
        <v>52</v>
      </c>
      <c r="M68" s="557" t="s">
        <v>53</v>
      </c>
      <c r="N68" s="13"/>
      <c r="O68" s="13"/>
      <c r="P68" s="50"/>
    </row>
    <row r="69" spans="2:57" ht="28.5" customHeight="1" thickTop="1" thickBot="1">
      <c r="B69" s="552"/>
      <c r="C69" s="553"/>
      <c r="D69" s="555"/>
      <c r="E69" s="556"/>
      <c r="F69" s="569"/>
      <c r="G69" s="564"/>
      <c r="H69" s="552"/>
      <c r="I69" s="552"/>
      <c r="J69" s="558"/>
      <c r="K69" s="565"/>
      <c r="L69" s="567"/>
      <c r="M69" s="558"/>
      <c r="N69" s="13"/>
      <c r="O69" s="13"/>
      <c r="P69" s="50"/>
      <c r="Q69" s="355"/>
      <c r="AB69" s="475">
        <v>43474</v>
      </c>
      <c r="AC69" s="475">
        <v>43475</v>
      </c>
      <c r="AD69" s="475">
        <v>43476</v>
      </c>
      <c r="AE69" s="475">
        <v>43477</v>
      </c>
      <c r="AF69" s="475">
        <v>43478</v>
      </c>
      <c r="AG69" s="475">
        <v>43479</v>
      </c>
      <c r="AH69" s="475">
        <v>43480</v>
      </c>
      <c r="AI69" s="475">
        <v>43481</v>
      </c>
      <c r="AJ69" s="475">
        <v>43482</v>
      </c>
      <c r="AK69" s="475">
        <v>43483</v>
      </c>
      <c r="AL69" s="475">
        <v>43484</v>
      </c>
      <c r="AM69" s="475">
        <v>43485</v>
      </c>
      <c r="AN69" s="475">
        <v>43486</v>
      </c>
      <c r="AO69" s="475">
        <v>43487</v>
      </c>
      <c r="AP69" s="475">
        <v>43488</v>
      </c>
      <c r="AQ69" s="475">
        <v>43489</v>
      </c>
      <c r="AR69" s="475">
        <v>43490</v>
      </c>
      <c r="AS69" s="475">
        <v>43491</v>
      </c>
      <c r="AT69" s="475">
        <v>43492</v>
      </c>
      <c r="AU69" s="475">
        <v>43493</v>
      </c>
      <c r="AV69" s="475">
        <v>43494</v>
      </c>
      <c r="AW69" s="475">
        <v>43495</v>
      </c>
      <c r="AX69" s="475">
        <v>43496</v>
      </c>
    </row>
    <row r="70" spans="2:57" s="54" customFormat="1" ht="36.75" customHeight="1" thickBot="1">
      <c r="B70" s="480">
        <f>J55</f>
        <v>8</v>
      </c>
      <c r="C70" s="479">
        <v>46255</v>
      </c>
      <c r="D70" s="445">
        <f>[35]August_2026!$X$3</f>
        <v>297.70000000000005</v>
      </c>
      <c r="E70" s="443"/>
      <c r="F70" s="444"/>
      <c r="G70" s="444">
        <f>[35]August_2026!$X$7</f>
        <v>274.7</v>
      </c>
      <c r="H70" s="458"/>
      <c r="I70" s="458"/>
      <c r="J70" s="448" t="s">
        <v>180</v>
      </c>
      <c r="K70" s="449">
        <f>[36]August_2026!$X$18</f>
        <v>0.48192982456140349</v>
      </c>
      <c r="L70" s="457">
        <f>(((D70+E70)-G70)/(D70+E70))*100</f>
        <v>7.725898555592897</v>
      </c>
      <c r="M70" s="455" t="s">
        <v>176</v>
      </c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>
        <f>[16]January_2019!L5</f>
        <v>0</v>
      </c>
      <c r="AC70" s="57">
        <f>[16]January_2019!M5</f>
        <v>0</v>
      </c>
      <c r="AD70" s="57">
        <f>[16]January_2019!N5</f>
        <v>0</v>
      </c>
      <c r="AE70" s="57">
        <f>[16]January_2019!O5</f>
        <v>0</v>
      </c>
      <c r="AF70" s="57">
        <f>[16]January_2019!P5</f>
        <v>0</v>
      </c>
      <c r="AG70" s="57">
        <f>[16]January_2019!Q5</f>
        <v>0</v>
      </c>
      <c r="AH70" s="57">
        <f>[16]January_2019!R5</f>
        <v>0</v>
      </c>
      <c r="AI70" s="57">
        <f>[16]January_2019!S5</f>
        <v>0</v>
      </c>
      <c r="AJ70" s="57">
        <f>[16]January_2019!T5</f>
        <v>0</v>
      </c>
      <c r="AK70" s="57">
        <f>[16]January_2019!U5</f>
        <v>0</v>
      </c>
      <c r="AL70" s="57">
        <f>[16]January_2019!V5</f>
        <v>0</v>
      </c>
      <c r="AM70" s="57">
        <f>[16]January_2019!W5</f>
        <v>0</v>
      </c>
      <c r="AN70" s="57">
        <f>[16]January_2019!X5</f>
        <v>0</v>
      </c>
      <c r="AO70" s="57">
        <f>[16]January_2019!Y5</f>
        <v>0</v>
      </c>
      <c r="AP70" s="57">
        <f>[16]January_2019!Z5</f>
        <v>0</v>
      </c>
      <c r="AQ70" s="57">
        <f>[16]January_2019!AA5</f>
        <v>0</v>
      </c>
      <c r="AR70" s="57">
        <f>[16]January_2019!AB5</f>
        <v>0</v>
      </c>
      <c r="AS70" s="57">
        <f>[16]January_2019!AC5</f>
        <v>0</v>
      </c>
      <c r="AT70" s="57">
        <f>[16]January_2019!AD5</f>
        <v>0</v>
      </c>
      <c r="AU70" s="57">
        <f>[16]January_2019!AE5</f>
        <v>0</v>
      </c>
      <c r="AV70" s="57">
        <f>[16]January_2019!AF5</f>
        <v>0</v>
      </c>
      <c r="AW70" s="57">
        <f>[16]January_2019!AG5</f>
        <v>0</v>
      </c>
      <c r="AX70" s="277">
        <f>[16]January_2019!AH5</f>
        <v>0</v>
      </c>
      <c r="AY70" s="277"/>
      <c r="AZ70" s="277"/>
      <c r="BA70" s="277"/>
      <c r="BB70" s="277"/>
      <c r="BC70" s="277"/>
      <c r="BD70" s="277"/>
      <c r="BE70" s="277"/>
    </row>
    <row r="71" spans="2:57" s="54" customFormat="1" ht="14.25" customHeight="1" thickBot="1">
      <c r="B71" s="480"/>
      <c r="C71" s="479"/>
      <c r="D71" s="442"/>
      <c r="E71" s="443"/>
      <c r="F71" s="444"/>
      <c r="G71" s="445"/>
      <c r="H71" s="458"/>
      <c r="I71" s="458"/>
      <c r="J71" s="476"/>
      <c r="K71" s="449"/>
      <c r="L71" s="457"/>
      <c r="M71" s="455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57">
        <f>[16]January_2019!L6</f>
        <v>0</v>
      </c>
      <c r="AC71" s="57">
        <f>[16]January_2019!M6</f>
        <v>0</v>
      </c>
      <c r="AD71" s="57">
        <f>[16]January_2019!N6</f>
        <v>0</v>
      </c>
      <c r="AE71" s="57">
        <f>[16]January_2019!O6</f>
        <v>0</v>
      </c>
      <c r="AF71" s="57">
        <f>[16]January_2019!P6</f>
        <v>0</v>
      </c>
      <c r="AG71" s="57">
        <f>[16]January_2019!Q6</f>
        <v>0</v>
      </c>
      <c r="AH71" s="57">
        <f>[16]January_2019!R6</f>
        <v>0</v>
      </c>
      <c r="AI71" s="57">
        <f>[16]January_2019!S6</f>
        <v>0</v>
      </c>
      <c r="AJ71" s="57">
        <f>[16]January_2019!T6</f>
        <v>0</v>
      </c>
      <c r="AK71" s="57">
        <f>[16]January_2019!U6</f>
        <v>0</v>
      </c>
      <c r="AL71" s="57">
        <f>[16]January_2019!V6</f>
        <v>0</v>
      </c>
      <c r="AM71" s="57">
        <f>[16]January_2019!W6</f>
        <v>0</v>
      </c>
      <c r="AN71" s="57">
        <f>[16]January_2019!X6</f>
        <v>0</v>
      </c>
      <c r="AO71" s="57">
        <f>[16]January_2019!Y6</f>
        <v>0</v>
      </c>
      <c r="AP71" s="57">
        <f>[16]January_2019!Z6</f>
        <v>0</v>
      </c>
      <c r="AQ71" s="57">
        <f>[16]January_2019!AA6</f>
        <v>0</v>
      </c>
      <c r="AR71" s="57">
        <f>[16]January_2019!AB6</f>
        <v>0</v>
      </c>
      <c r="AS71" s="57">
        <f>[16]January_2019!AC6</f>
        <v>0</v>
      </c>
      <c r="AT71" s="57">
        <f>[16]January_2019!AD6</f>
        <v>0</v>
      </c>
      <c r="AU71" s="57">
        <f>[16]January_2019!AE6</f>
        <v>0</v>
      </c>
      <c r="AV71" s="57">
        <f>[16]January_2019!AF6</f>
        <v>0</v>
      </c>
      <c r="AW71" s="57">
        <f>[16]January_2019!AG6</f>
        <v>0</v>
      </c>
      <c r="AX71" s="277">
        <f>[16]January_2019!AH6</f>
        <v>0</v>
      </c>
      <c r="AY71" s="277"/>
      <c r="AZ71" s="277"/>
      <c r="BA71" s="277"/>
      <c r="BB71" s="277"/>
      <c r="BC71" s="277"/>
      <c r="BD71" s="277"/>
      <c r="BE71" s="277"/>
    </row>
    <row r="72" spans="2:57" s="54" customFormat="1" ht="37.15" hidden="1" customHeight="1" thickBot="1">
      <c r="B72" s="456"/>
      <c r="C72" s="479"/>
      <c r="D72" s="442"/>
      <c r="E72" s="443"/>
      <c r="F72" s="444"/>
      <c r="G72" s="444"/>
      <c r="H72" s="458"/>
      <c r="I72" s="458"/>
      <c r="J72" s="448"/>
      <c r="K72" s="449"/>
      <c r="L72" s="457"/>
      <c r="M72" s="455"/>
      <c r="N72" s="13"/>
      <c r="O72" s="13"/>
      <c r="P72" s="50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57">
        <f>[16]January_2019!L7</f>
        <v>285.8</v>
      </c>
      <c r="AC72" s="57">
        <f>[16]January_2019!M7</f>
        <v>508.1</v>
      </c>
      <c r="AD72" s="57">
        <f>[16]January_2019!N7</f>
        <v>0</v>
      </c>
      <c r="AE72" s="57">
        <f>[16]January_2019!O7</f>
        <v>0</v>
      </c>
      <c r="AF72" s="57">
        <f>[16]January_2019!P7</f>
        <v>109.56666666666666</v>
      </c>
      <c r="AG72" s="57">
        <f>[16]January_2019!Q7</f>
        <v>297.64999999999998</v>
      </c>
      <c r="AH72" s="57">
        <f>[16]January_2019!R7</f>
        <v>122.3</v>
      </c>
      <c r="AI72" s="57">
        <f>[16]January_2019!S7</f>
        <v>0</v>
      </c>
      <c r="AJ72" s="57">
        <f>[16]January_2019!T7</f>
        <v>294.7</v>
      </c>
      <c r="AK72" s="57">
        <f>[16]January_2019!U7</f>
        <v>280.5</v>
      </c>
      <c r="AL72" s="57">
        <f>[16]January_2019!V7</f>
        <v>0</v>
      </c>
      <c r="AM72" s="57">
        <f>[16]January_2019!W7</f>
        <v>0</v>
      </c>
      <c r="AN72" s="57">
        <f>[16]January_2019!X7</f>
        <v>188.25</v>
      </c>
      <c r="AO72" s="57">
        <f>[16]January_2019!Y7</f>
        <v>295.7</v>
      </c>
      <c r="AP72" s="57">
        <f>[16]January_2019!Z7</f>
        <v>257.8</v>
      </c>
      <c r="AQ72" s="57">
        <f>[16]January_2019!AA7</f>
        <v>291.2</v>
      </c>
      <c r="AR72" s="57">
        <f>[16]January_2019!AB7</f>
        <v>187</v>
      </c>
      <c r="AS72" s="57">
        <f>[16]January_2019!AC7</f>
        <v>0</v>
      </c>
      <c r="AT72" s="57">
        <f>[16]January_2019!AD7</f>
        <v>0</v>
      </c>
      <c r="AU72" s="57">
        <f>[16]January_2019!AE7</f>
        <v>485.1</v>
      </c>
      <c r="AV72" s="57">
        <f>[16]January_2019!AF7</f>
        <v>171.55</v>
      </c>
      <c r="AW72" s="57">
        <f>[16]January_2019!AG7</f>
        <v>423.8</v>
      </c>
      <c r="AX72" s="277">
        <f>[16]January_2019!AH7</f>
        <v>0</v>
      </c>
      <c r="AY72" s="277"/>
      <c r="AZ72" s="277"/>
      <c r="BA72" s="277"/>
      <c r="BB72" s="277"/>
      <c r="BC72" s="277"/>
      <c r="BD72" s="277"/>
      <c r="BE72" s="277"/>
    </row>
    <row r="73" spans="2:57" s="54" customFormat="1" ht="18.600000000000001" hidden="1" customHeight="1" thickBot="1">
      <c r="B73" s="478"/>
      <c r="C73" s="430"/>
      <c r="D73" s="431"/>
      <c r="E73" s="432"/>
      <c r="F73" s="433"/>
      <c r="G73" s="434"/>
      <c r="H73" s="458"/>
      <c r="I73" s="458"/>
      <c r="J73" s="451"/>
      <c r="K73" s="436"/>
      <c r="L73" s="452"/>
      <c r="M73" s="421"/>
      <c r="N73" s="13"/>
      <c r="O73" s="13"/>
      <c r="P73" s="50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277"/>
      <c r="AY73" s="277"/>
      <c r="AZ73" s="277"/>
      <c r="BA73" s="277"/>
      <c r="BB73" s="277"/>
      <c r="BC73" s="277"/>
      <c r="BD73" s="277"/>
      <c r="BE73" s="277"/>
    </row>
    <row r="74" spans="2:57" s="54" customFormat="1" ht="38.65" hidden="1" customHeight="1" thickBot="1">
      <c r="B74" s="498"/>
      <c r="C74" s="479"/>
      <c r="D74" s="442"/>
      <c r="E74" s="443"/>
      <c r="F74" s="444"/>
      <c r="G74" s="445"/>
      <c r="H74" s="458"/>
      <c r="I74" s="458"/>
      <c r="J74" s="448"/>
      <c r="K74" s="459"/>
      <c r="L74" s="457"/>
      <c r="M74" s="455"/>
      <c r="N74" s="13"/>
      <c r="O74" s="13"/>
      <c r="P74" s="50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277"/>
      <c r="AY74" s="277"/>
      <c r="AZ74" s="277"/>
      <c r="BA74" s="277"/>
      <c r="BB74" s="277"/>
      <c r="BC74" s="277"/>
      <c r="BD74" s="277"/>
      <c r="BE74" s="277"/>
    </row>
    <row r="75" spans="2:57" s="54" customFormat="1" ht="15" hidden="1">
      <c r="B75" s="453"/>
      <c r="C75" s="430"/>
      <c r="D75" s="431"/>
      <c r="E75" s="432"/>
      <c r="F75" s="433"/>
      <c r="G75" s="434"/>
      <c r="H75" s="435"/>
      <c r="I75" s="450"/>
      <c r="J75" s="451"/>
      <c r="K75" s="436"/>
      <c r="L75" s="452"/>
      <c r="M75" s="421"/>
      <c r="N75" s="13"/>
      <c r="O75" s="13"/>
      <c r="P75" s="50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277"/>
      <c r="AY75" s="277"/>
      <c r="AZ75" s="277"/>
      <c r="BA75" s="277"/>
      <c r="BB75" s="277"/>
      <c r="BC75" s="277"/>
      <c r="BD75" s="277"/>
      <c r="BE75" s="277"/>
    </row>
    <row r="76" spans="2:57" s="54" customFormat="1" ht="37.15" hidden="1" customHeight="1" thickBot="1">
      <c r="B76" s="482"/>
      <c r="C76" s="479"/>
      <c r="D76" s="442"/>
      <c r="E76" s="443"/>
      <c r="F76" s="444"/>
      <c r="G76" s="445"/>
      <c r="H76" s="446"/>
      <c r="I76" s="447"/>
      <c r="J76" s="448"/>
      <c r="K76" s="449"/>
      <c r="L76" s="457"/>
      <c r="M76" s="455"/>
      <c r="N76" s="13"/>
      <c r="O76" s="13"/>
      <c r="P76" s="50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277"/>
      <c r="AY76" s="277"/>
      <c r="AZ76" s="277"/>
      <c r="BA76" s="277"/>
      <c r="BB76" s="277"/>
      <c r="BC76" s="277"/>
      <c r="BD76" s="277"/>
      <c r="BE76" s="277"/>
    </row>
    <row r="77" spans="2:57" s="54" customFormat="1" ht="16.5" hidden="1" customHeight="1" thickBot="1">
      <c r="B77" s="437"/>
      <c r="C77" s="423"/>
      <c r="D77" s="424"/>
      <c r="E77" s="425"/>
      <c r="F77" s="426"/>
      <c r="G77" s="427"/>
      <c r="H77" s="428"/>
      <c r="I77" s="438"/>
      <c r="J77" s="439"/>
      <c r="K77" s="429"/>
      <c r="L77" s="440"/>
      <c r="M77" s="422"/>
      <c r="N77" s="13"/>
      <c r="O77" s="13"/>
      <c r="P77" s="50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415"/>
      <c r="AC77" s="415"/>
      <c r="AD77" s="415"/>
      <c r="AE77" s="415"/>
      <c r="AF77" s="415"/>
      <c r="AG77" s="415"/>
      <c r="AH77" s="415"/>
      <c r="AI77" s="415"/>
      <c r="AJ77" s="415"/>
      <c r="AK77" s="415"/>
      <c r="AL77" s="415"/>
      <c r="AM77" s="415"/>
      <c r="AN77" s="415"/>
      <c r="AO77" s="415"/>
      <c r="AP77" s="415"/>
      <c r="AQ77" s="415"/>
      <c r="AR77" s="415"/>
      <c r="AS77" s="415"/>
      <c r="AT77" s="415"/>
      <c r="AU77" s="415"/>
      <c r="AV77" s="415"/>
      <c r="AW77" s="415"/>
    </row>
    <row r="78" spans="2:57" s="54" customFormat="1" ht="37.15" hidden="1" customHeight="1" thickBot="1">
      <c r="B78" s="456"/>
      <c r="C78" s="441"/>
      <c r="D78" s="442"/>
      <c r="E78" s="443"/>
      <c r="F78" s="444"/>
      <c r="G78" s="445"/>
      <c r="H78" s="446"/>
      <c r="I78" s="447"/>
      <c r="J78" s="448"/>
      <c r="K78" s="449"/>
      <c r="L78" s="457"/>
      <c r="M78" s="454"/>
      <c r="N78" s="13"/>
      <c r="O78" s="13"/>
      <c r="P78" s="50"/>
      <c r="R78" s="275"/>
      <c r="S78" s="275"/>
      <c r="T78" s="275"/>
      <c r="U78" s="275"/>
      <c r="V78" s="275"/>
      <c r="W78" s="275"/>
      <c r="X78" s="275"/>
      <c r="Y78" s="275"/>
      <c r="Z78" s="275"/>
      <c r="AA78" s="275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277"/>
      <c r="AY78" s="277"/>
      <c r="AZ78" s="277"/>
      <c r="BA78" s="277"/>
      <c r="BB78" s="277"/>
      <c r="BC78" s="277"/>
      <c r="BD78" s="277"/>
      <c r="BE78" s="277"/>
    </row>
    <row r="79" spans="2:57" s="54" customFormat="1" ht="37.15" customHeight="1">
      <c r="B79" s="466"/>
      <c r="C79" s="430"/>
      <c r="D79" s="460"/>
      <c r="E79" s="461"/>
      <c r="F79" s="462"/>
      <c r="G79" s="460"/>
      <c r="H79" s="463"/>
      <c r="I79" s="463"/>
      <c r="J79" s="463"/>
      <c r="K79" s="464"/>
      <c r="L79" s="465"/>
      <c r="M79" s="50"/>
      <c r="N79" s="13"/>
      <c r="O79" s="13"/>
      <c r="P79" s="50"/>
      <c r="R79" s="275"/>
      <c r="S79" s="275"/>
      <c r="T79" s="275"/>
      <c r="U79" s="275"/>
      <c r="V79" s="275"/>
      <c r="W79" s="275"/>
      <c r="X79" s="275"/>
      <c r="Y79" s="275"/>
      <c r="Z79" s="275"/>
      <c r="AA79" s="275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277"/>
      <c r="AY79" s="277"/>
      <c r="AZ79" s="277"/>
      <c r="BA79" s="277"/>
      <c r="BB79" s="277"/>
      <c r="BC79" s="277"/>
      <c r="BD79" s="277"/>
      <c r="BE79" s="277"/>
    </row>
    <row r="80" spans="2:57" ht="18" customHeight="1" thickBot="1">
      <c r="B80" s="59"/>
      <c r="C80" s="30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 t="s">
        <v>41</v>
      </c>
      <c r="O80" s="56"/>
      <c r="P80" s="60"/>
    </row>
    <row r="81" spans="2:16" ht="15.75" thickBot="1">
      <c r="B81" s="559" t="s">
        <v>55</v>
      </c>
      <c r="C81" s="560"/>
      <c r="D81" s="560"/>
      <c r="E81" s="560"/>
      <c r="F81" s="561"/>
      <c r="G81" s="559" t="s">
        <v>56</v>
      </c>
      <c r="H81" s="560"/>
      <c r="I81" s="560"/>
      <c r="J81" s="561"/>
      <c r="K81" s="559" t="s">
        <v>51</v>
      </c>
      <c r="L81" s="560"/>
      <c r="M81" s="560"/>
      <c r="N81" s="562"/>
      <c r="O81" s="56"/>
      <c r="P81" s="50"/>
    </row>
    <row r="82" spans="2:16" ht="15">
      <c r="B82" s="61" t="s">
        <v>17</v>
      </c>
      <c r="C82" s="62" t="s">
        <v>36</v>
      </c>
      <c r="D82" s="62" t="s">
        <v>37</v>
      </c>
      <c r="E82" s="62" t="s">
        <v>38</v>
      </c>
      <c r="F82" s="63" t="s">
        <v>39</v>
      </c>
      <c r="G82" s="62" t="s">
        <v>36</v>
      </c>
      <c r="H82" s="62" t="s">
        <v>37</v>
      </c>
      <c r="I82" s="62" t="s">
        <v>38</v>
      </c>
      <c r="J82" s="63" t="s">
        <v>39</v>
      </c>
      <c r="K82" s="62"/>
      <c r="L82" s="62" t="s">
        <v>37</v>
      </c>
      <c r="M82" s="62" t="s">
        <v>38</v>
      </c>
      <c r="N82" s="63" t="s">
        <v>39</v>
      </c>
      <c r="O82" s="56"/>
      <c r="P82" s="64"/>
    </row>
    <row r="83" spans="2:16" ht="15">
      <c r="B83" s="29" t="s">
        <v>6</v>
      </c>
      <c r="C83" s="65">
        <f>L70</f>
        <v>7.725898555592897</v>
      </c>
      <c r="D83" s="76">
        <v>5.4883770812666022</v>
      </c>
      <c r="E83" s="76">
        <v>6.3761568809531406</v>
      </c>
      <c r="F83" s="66">
        <v>4.8</v>
      </c>
      <c r="G83" s="65">
        <f>[35]August_2026!$X$11</f>
        <v>7.2054161139242083</v>
      </c>
      <c r="H83" s="477">
        <v>5.4084633457297757</v>
      </c>
      <c r="I83" s="477">
        <v>6.6196582101070449</v>
      </c>
      <c r="J83" s="66">
        <v>4.8</v>
      </c>
      <c r="K83" s="67">
        <f>K70</f>
        <v>0.48192982456140349</v>
      </c>
      <c r="L83" s="194">
        <v>0.45946157059314946</v>
      </c>
      <c r="M83" s="194">
        <v>0.52885500896929405</v>
      </c>
      <c r="N83" s="68">
        <v>1</v>
      </c>
      <c r="O83" s="56"/>
      <c r="P83" s="69"/>
    </row>
    <row r="84" spans="2:16" ht="15">
      <c r="B84" s="33" t="s">
        <v>9</v>
      </c>
      <c r="C84" s="65"/>
      <c r="D84" s="76">
        <v>6.9195552648790164</v>
      </c>
      <c r="E84" s="76">
        <v>5.9062354818510565</v>
      </c>
      <c r="F84" s="66">
        <v>4.8</v>
      </c>
      <c r="G84" s="65"/>
      <c r="H84" s="76">
        <v>6.6110791194634473</v>
      </c>
      <c r="I84" s="76">
        <v>5.9017996409751454</v>
      </c>
      <c r="J84" s="66">
        <v>4.8</v>
      </c>
      <c r="K84" s="67"/>
      <c r="L84" s="194">
        <v>0.67517543859649132</v>
      </c>
      <c r="M84" s="194">
        <v>0.6999331224863623</v>
      </c>
      <c r="N84" s="68">
        <v>1</v>
      </c>
      <c r="P84" s="69"/>
    </row>
    <row r="85" spans="2:16" ht="15">
      <c r="B85" s="34" t="s">
        <v>40</v>
      </c>
      <c r="C85" s="65"/>
      <c r="D85" s="76">
        <v>8.0132764343290681</v>
      </c>
      <c r="E85" s="76">
        <v>11.085360064780945</v>
      </c>
      <c r="F85" s="66">
        <v>5.5</v>
      </c>
      <c r="G85" s="65"/>
      <c r="H85" s="76">
        <v>7.261998133908862</v>
      </c>
      <c r="I85" s="76">
        <v>11.847386208595987</v>
      </c>
      <c r="J85" s="66">
        <v>5.5</v>
      </c>
      <c r="K85" s="67"/>
      <c r="L85" s="194">
        <v>0.68070175438596492</v>
      </c>
      <c r="M85" s="194">
        <v>0.37172629490392645</v>
      </c>
      <c r="N85" s="68">
        <v>1</v>
      </c>
      <c r="P85" s="69"/>
    </row>
    <row r="86" spans="2:16" ht="15">
      <c r="B86" s="22" t="s">
        <v>33</v>
      </c>
      <c r="C86" s="65"/>
      <c r="D86" s="76"/>
      <c r="E86" s="76">
        <v>4.8685538193023836</v>
      </c>
      <c r="F86" s="66">
        <v>3.3</v>
      </c>
      <c r="G86" s="65"/>
      <c r="H86" s="76"/>
      <c r="I86" s="76">
        <v>5.0921772905826597</v>
      </c>
      <c r="J86" s="66">
        <v>3.3</v>
      </c>
      <c r="K86" s="67"/>
      <c r="L86" s="194"/>
      <c r="M86" s="194">
        <v>0.79040935672514623</v>
      </c>
      <c r="N86" s="68">
        <v>1</v>
      </c>
      <c r="P86" s="69"/>
    </row>
    <row r="87" spans="2:16" ht="15">
      <c r="B87" s="35" t="s">
        <v>164</v>
      </c>
      <c r="C87" s="65"/>
      <c r="D87" s="76"/>
      <c r="E87" s="76"/>
      <c r="F87" s="66">
        <v>3.3</v>
      </c>
      <c r="G87" s="282"/>
      <c r="H87" s="76"/>
      <c r="I87" s="76"/>
      <c r="J87" s="66">
        <v>3</v>
      </c>
      <c r="K87" s="67"/>
      <c r="L87" s="194"/>
      <c r="M87" s="194"/>
      <c r="N87" s="68">
        <v>1</v>
      </c>
      <c r="P87" s="69"/>
    </row>
    <row r="88" spans="2:16" ht="15">
      <c r="B88" s="36" t="s">
        <v>15</v>
      </c>
      <c r="C88" s="65"/>
      <c r="D88" s="76"/>
      <c r="E88" s="76">
        <v>6.0400197628458603</v>
      </c>
      <c r="F88" s="70">
        <v>5.5</v>
      </c>
      <c r="G88" s="65"/>
      <c r="H88" s="76"/>
      <c r="I88" s="76">
        <v>8.2405787675951316</v>
      </c>
      <c r="J88" s="66">
        <v>5.5</v>
      </c>
      <c r="K88" s="67"/>
      <c r="L88" s="194"/>
      <c r="M88" s="194">
        <v>0.78491228070175445</v>
      </c>
      <c r="N88" s="68">
        <v>1</v>
      </c>
      <c r="P88" s="69"/>
    </row>
    <row r="89" spans="2:16" ht="15">
      <c r="B89" s="37" t="s">
        <v>16</v>
      </c>
      <c r="C89" s="483"/>
      <c r="D89" s="76">
        <v>2.3312883435582821</v>
      </c>
      <c r="E89" s="76">
        <v>3.4897129331795727</v>
      </c>
      <c r="F89" s="66">
        <v>3.3</v>
      </c>
      <c r="G89" s="282"/>
      <c r="H89" s="76">
        <v>2.9668764888279751</v>
      </c>
      <c r="I89" s="76">
        <v>4.7322074825777003</v>
      </c>
      <c r="J89" s="66">
        <v>3.3</v>
      </c>
      <c r="K89" s="67"/>
      <c r="L89" s="194">
        <v>1.3964912280701753</v>
      </c>
      <c r="M89" s="194">
        <v>0.9346464646464645</v>
      </c>
      <c r="N89" s="71">
        <v>1</v>
      </c>
      <c r="P89" s="69"/>
    </row>
    <row r="90" spans="2:16" ht="15.75" thickBot="1">
      <c r="B90" s="38" t="s">
        <v>163</v>
      </c>
      <c r="C90" s="65"/>
      <c r="D90" s="76"/>
      <c r="E90" s="76"/>
      <c r="F90" s="66">
        <v>7.5</v>
      </c>
      <c r="G90" s="282"/>
      <c r="H90" s="76"/>
      <c r="I90" s="76"/>
      <c r="J90" s="66">
        <v>7.5</v>
      </c>
      <c r="K90" s="67"/>
      <c r="L90" s="194"/>
      <c r="M90" s="194"/>
      <c r="N90" s="71">
        <v>1</v>
      </c>
      <c r="P90" s="69"/>
    </row>
    <row r="91" spans="2:16" ht="15.75" thickBot="1">
      <c r="B91" s="414" t="s">
        <v>161</v>
      </c>
      <c r="C91" s="65"/>
      <c r="D91" s="76"/>
      <c r="E91" s="76"/>
      <c r="F91" s="66">
        <v>4.8</v>
      </c>
      <c r="G91" s="282"/>
      <c r="H91" s="76"/>
      <c r="I91" s="76"/>
      <c r="J91" s="66">
        <v>4.8</v>
      </c>
      <c r="K91" s="67"/>
      <c r="L91" s="194"/>
      <c r="M91" s="194"/>
      <c r="N91" s="71">
        <v>1</v>
      </c>
      <c r="O91" s="74"/>
      <c r="P91" s="75"/>
    </row>
    <row r="92" spans="2:16" ht="15">
      <c r="D92" s="76">
        <v>5.7178559600132459</v>
      </c>
      <c r="E92" s="76">
        <v>6.2563861609980354</v>
      </c>
      <c r="F92" s="341">
        <v>5.5</v>
      </c>
      <c r="H92" s="76">
        <v>5.553565066490922</v>
      </c>
      <c r="I92" s="76">
        <v>6.642811477443157</v>
      </c>
      <c r="J92" s="341">
        <v>5.5</v>
      </c>
      <c r="L92" s="194">
        <v>0.57982233361180735</v>
      </c>
      <c r="M92" s="194">
        <v>0.6039088335389714</v>
      </c>
      <c r="N92" s="386">
        <v>1</v>
      </c>
    </row>
  </sheetData>
  <mergeCells count="51">
    <mergeCell ref="M68:M69"/>
    <mergeCell ref="B81:F81"/>
    <mergeCell ref="G81:J81"/>
    <mergeCell ref="K81:N81"/>
    <mergeCell ref="G68:G69"/>
    <mergeCell ref="H68:H69"/>
    <mergeCell ref="I68:I69"/>
    <mergeCell ref="J68:J69"/>
    <mergeCell ref="K68:K69"/>
    <mergeCell ref="L68:L69"/>
    <mergeCell ref="F68:F69"/>
    <mergeCell ref="D63:E63"/>
    <mergeCell ref="B68:B69"/>
    <mergeCell ref="C68:C69"/>
    <mergeCell ref="D68:D69"/>
    <mergeCell ref="E68:E69"/>
    <mergeCell ref="B53:B62"/>
    <mergeCell ref="D53:E54"/>
    <mergeCell ref="J53:K53"/>
    <mergeCell ref="L54:N54"/>
    <mergeCell ref="D55:E56"/>
    <mergeCell ref="D57:E58"/>
    <mergeCell ref="D59:E60"/>
    <mergeCell ref="D61:E62"/>
    <mergeCell ref="I39:N39"/>
    <mergeCell ref="D40:E40"/>
    <mergeCell ref="B41:B52"/>
    <mergeCell ref="D41:E42"/>
    <mergeCell ref="D43:E44"/>
    <mergeCell ref="D45:E46"/>
    <mergeCell ref="D47:E48"/>
    <mergeCell ref="D49:E50"/>
    <mergeCell ref="D51:E5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63:B64">
    <cfRule type="cellIs" dxfId="1355" priority="115" operator="notBetween">
      <formula>#REF!</formula>
      <formula>#REF!</formula>
    </cfRule>
  </conditionalFormatting>
  <conditionalFormatting sqref="C67">
    <cfRule type="cellIs" dxfId="1354" priority="198" stopIfTrue="1" operator="greaterThan">
      <formula>100</formula>
    </cfRule>
    <cfRule type="cellIs" dxfId="1353" priority="197" stopIfTrue="1" operator="lessThan">
      <formula>96</formula>
    </cfRule>
  </conditionalFormatting>
  <conditionalFormatting sqref="C83:C84">
    <cfRule type="cellIs" dxfId="1352" priority="78" stopIfTrue="1" operator="lessThanOrEqual">
      <formula>0</formula>
    </cfRule>
    <cfRule type="cellIs" dxfId="1351" priority="79" stopIfTrue="1" operator="greaterThan">
      <formula>$F83</formula>
    </cfRule>
    <cfRule type="cellIs" dxfId="1350" priority="80" stopIfTrue="1" operator="lessThanOrEqual">
      <formula>0</formula>
    </cfRule>
    <cfRule type="cellIs" dxfId="1349" priority="77" stopIfTrue="1" operator="greaterThan">
      <formula>$F83</formula>
    </cfRule>
  </conditionalFormatting>
  <conditionalFormatting sqref="C85:C87 C89:C91">
    <cfRule type="cellIs" dxfId="1348" priority="87" stopIfTrue="1" operator="greaterThan">
      <formula>$F88</formula>
    </cfRule>
  </conditionalFormatting>
  <conditionalFormatting sqref="C85:C87">
    <cfRule type="cellIs" dxfId="1347" priority="88" stopIfTrue="1" operator="lessThanOrEqual">
      <formula>0</formula>
    </cfRule>
  </conditionalFormatting>
  <conditionalFormatting sqref="C88">
    <cfRule type="cellIs" dxfId="1346" priority="202" stopIfTrue="1" operator="lessThanOrEqual">
      <formula>0</formula>
    </cfRule>
    <cfRule type="cellIs" dxfId="1345" priority="201" stopIfTrue="1" operator="greaterThan">
      <formula>$F83</formula>
    </cfRule>
    <cfRule type="cellIs" dxfId="1344" priority="200" stopIfTrue="1" operator="lessThanOrEqual">
      <formula>0</formula>
    </cfRule>
    <cfRule type="cellIs" dxfId="1343" priority="199" stopIfTrue="1" operator="greaterThan">
      <formula>$F83</formula>
    </cfRule>
  </conditionalFormatting>
  <conditionalFormatting sqref="C89:C91">
    <cfRule type="cellIs" dxfId="1342" priority="89" stopIfTrue="1" operator="lessThanOrEqual">
      <formula>0</formula>
    </cfRule>
  </conditionalFormatting>
  <conditionalFormatting sqref="C94:C98">
    <cfRule type="cellIs" dxfId="1341" priority="189" stopIfTrue="1" operator="lessThanOrEqual">
      <formula>0</formula>
    </cfRule>
  </conditionalFormatting>
  <conditionalFormatting sqref="C95:C98">
    <cfRule type="cellIs" dxfId="1340" priority="188" stopIfTrue="1" operator="greaterThan">
      <formula>$F$94</formula>
    </cfRule>
  </conditionalFormatting>
  <conditionalFormatting sqref="C100">
    <cfRule type="cellIs" dxfId="1339" priority="191" stopIfTrue="1" operator="lessThanOrEqual">
      <formula>0</formula>
    </cfRule>
    <cfRule type="cellIs" dxfId="1338" priority="190" stopIfTrue="1" operator="greaterThan">
      <formula>$F$94</formula>
    </cfRule>
  </conditionalFormatting>
  <conditionalFormatting sqref="C88:D88">
    <cfRule type="cellIs" dxfId="1337" priority="75" stopIfTrue="1" operator="greaterThan">
      <formula>$J88</formula>
    </cfRule>
    <cfRule type="cellIs" dxfId="1336" priority="76" stopIfTrue="1" operator="lessThanOrEqual">
      <formula>0</formula>
    </cfRule>
  </conditionalFormatting>
  <conditionalFormatting sqref="C94:D94 D96:D102">
    <cfRule type="cellIs" dxfId="1335" priority="183" stopIfTrue="1" operator="greaterThan">
      <formula>4.5</formula>
    </cfRule>
  </conditionalFormatting>
  <conditionalFormatting sqref="D63:D64">
    <cfRule type="cellIs" dxfId="1334" priority="116" operator="notBetween">
      <formula>#REF!</formula>
      <formula>#REF!</formula>
    </cfRule>
  </conditionalFormatting>
  <conditionalFormatting sqref="D83:D87 D89:D90">
    <cfRule type="cellIs" dxfId="1333" priority="86" stopIfTrue="1" operator="lessThanOrEqual">
      <formula>0</formula>
    </cfRule>
  </conditionalFormatting>
  <conditionalFormatting sqref="D83:D87 D89:D92">
    <cfRule type="cellIs" dxfId="1332" priority="82" stopIfTrue="1" operator="lessThanOrEqual">
      <formula>0</formula>
    </cfRule>
    <cfRule type="cellIs" dxfId="1331" priority="83" stopIfTrue="1" operator="greaterThan">
      <formula>$F83</formula>
    </cfRule>
  </conditionalFormatting>
  <conditionalFormatting sqref="D91:D92">
    <cfRule type="cellIs" dxfId="1330" priority="84" stopIfTrue="1" operator="lessThanOrEqual">
      <formula>0</formula>
    </cfRule>
  </conditionalFormatting>
  <conditionalFormatting sqref="D92">
    <cfRule type="cellIs" dxfId="1329" priority="85" stopIfTrue="1" operator="lessThanOrEqual">
      <formula>0</formula>
    </cfRule>
  </conditionalFormatting>
  <conditionalFormatting sqref="D94 D96:D102">
    <cfRule type="cellIs" dxfId="1328" priority="184" stopIfTrue="1" operator="lessThanOrEqual">
      <formula>0</formula>
    </cfRule>
  </conditionalFormatting>
  <conditionalFormatting sqref="D95">
    <cfRule type="cellIs" dxfId="1327" priority="175" stopIfTrue="1" operator="greaterThan">
      <formula>$F$94</formula>
    </cfRule>
    <cfRule type="cellIs" dxfId="1326" priority="176" stopIfTrue="1" operator="lessThanOrEqual">
      <formula>0</formula>
    </cfRule>
  </conditionalFormatting>
  <conditionalFormatting sqref="E10:E38">
    <cfRule type="cellIs" dxfId="1325" priority="10" operator="lessThan">
      <formula>48</formula>
    </cfRule>
  </conditionalFormatting>
  <conditionalFormatting sqref="E66 E67:F67">
    <cfRule type="cellIs" dxfId="1324" priority="180" stopIfTrue="1" operator="greaterThan">
      <formula>100</formula>
    </cfRule>
  </conditionalFormatting>
  <conditionalFormatting sqref="E67">
    <cfRule type="cellIs" dxfId="1323" priority="178" stopIfTrue="1" operator="greaterThan">
      <formula>100</formula>
    </cfRule>
    <cfRule type="cellIs" dxfId="1322" priority="177" stopIfTrue="1" operator="lessThan">
      <formula>96.8</formula>
    </cfRule>
  </conditionalFormatting>
  <conditionalFormatting sqref="E83:E91">
    <cfRule type="cellIs" dxfId="1321" priority="48" stopIfTrue="1" operator="lessThanOrEqual">
      <formula>0</formula>
    </cfRule>
  </conditionalFormatting>
  <conditionalFormatting sqref="E83:E92">
    <cfRule type="cellIs" dxfId="1320" priority="50" stopIfTrue="1" operator="lessThanOrEqual">
      <formula>0</formula>
    </cfRule>
    <cfRule type="cellIs" dxfId="1319" priority="49" stopIfTrue="1" operator="greaterThan">
      <formula>$F83</formula>
    </cfRule>
  </conditionalFormatting>
  <conditionalFormatting sqref="E92">
    <cfRule type="cellIs" dxfId="1318" priority="51" stopIfTrue="1" operator="lessThanOrEqual">
      <formula>0</formula>
    </cfRule>
  </conditionalFormatting>
  <conditionalFormatting sqref="E94:E102">
    <cfRule type="cellIs" dxfId="1317" priority="170" stopIfTrue="1" operator="lessThanOrEqual">
      <formula>0</formula>
    </cfRule>
    <cfRule type="cellIs" dxfId="1316" priority="169" stopIfTrue="1" operator="greaterThan">
      <formula>4.5</formula>
    </cfRule>
  </conditionalFormatting>
  <conditionalFormatting sqref="E67:F67 E66">
    <cfRule type="cellIs" dxfId="1315" priority="179" stopIfTrue="1" operator="lessThan">
      <formula>96.5</formula>
    </cfRule>
  </conditionalFormatting>
  <conditionalFormatting sqref="F10:F19 F30:F38">
    <cfRule type="cellIs" dxfId="1314" priority="16" operator="greaterThan">
      <formula>60</formula>
    </cfRule>
  </conditionalFormatting>
  <conditionalFormatting sqref="F67">
    <cfRule type="cellIs" dxfId="1313" priority="196" stopIfTrue="1" operator="greaterThan">
      <formula>100</formula>
    </cfRule>
    <cfRule type="cellIs" dxfId="1312" priority="195" stopIfTrue="1" operator="lessThan">
      <formula>96.8</formula>
    </cfRule>
  </conditionalFormatting>
  <conditionalFormatting sqref="G20:G29">
    <cfRule type="expression" dxfId="1311" priority="12">
      <formula>IF(+(IF(G20&lt;S20,0,IF(G20&gt;T20,0,1)))=0,1)</formula>
    </cfRule>
  </conditionalFormatting>
  <conditionalFormatting sqref="G83:G86 F92">
    <cfRule type="cellIs" dxfId="1310" priority="57" stopIfTrue="1" operator="greaterThan">
      <formula>$F83</formula>
    </cfRule>
    <cfRule type="cellIs" dxfId="1309" priority="58" stopIfTrue="1" operator="lessThanOrEqual">
      <formula>0</formula>
    </cfRule>
  </conditionalFormatting>
  <conditionalFormatting sqref="G85:G86">
    <cfRule type="cellIs" dxfId="1308" priority="43" stopIfTrue="1" operator="greaterThan">
      <formula>$F85</formula>
    </cfRule>
    <cfRule type="cellIs" dxfId="1307" priority="44" stopIfTrue="1" operator="lessThanOrEqual">
      <formula>0</formula>
    </cfRule>
  </conditionalFormatting>
  <conditionalFormatting sqref="G87:G91">
    <cfRule type="cellIs" dxfId="1306" priority="60" stopIfTrue="1" operator="lessThanOrEqual">
      <formula>0</formula>
    </cfRule>
    <cfRule type="cellIs" dxfId="1305" priority="59" stopIfTrue="1" operator="greaterThan">
      <formula>$J87</formula>
    </cfRule>
  </conditionalFormatting>
  <conditionalFormatting sqref="G88">
    <cfRule type="cellIs" dxfId="1304" priority="203" stopIfTrue="1" operator="greaterThan">
      <formula>$F83</formula>
    </cfRule>
    <cfRule type="cellIs" dxfId="1303" priority="204" stopIfTrue="1" operator="lessThanOrEqual">
      <formula>0</formula>
    </cfRule>
  </conditionalFormatting>
  <conditionalFormatting sqref="G96:G101 C99 C101">
    <cfRule type="cellIs" dxfId="1302" priority="192" stopIfTrue="1" operator="greaterThan">
      <formula>4.5</formula>
    </cfRule>
    <cfRule type="cellIs" dxfId="1301" priority="193" stopIfTrue="1" operator="lessThanOrEqual">
      <formula>0</formula>
    </cfRule>
  </conditionalFormatting>
  <conditionalFormatting sqref="G95:H95">
    <cfRule type="cellIs" dxfId="1300" priority="174" stopIfTrue="1" operator="lessThanOrEqual">
      <formula>0</formula>
    </cfRule>
    <cfRule type="cellIs" dxfId="1299" priority="173" stopIfTrue="1" operator="greaterThan">
      <formula>$F$94</formula>
    </cfRule>
  </conditionalFormatting>
  <conditionalFormatting sqref="H20:H29">
    <cfRule type="expression" dxfId="1298" priority="11">
      <formula>IF(+(IF(H20&lt;#REF!,0,IF(H20&gt;#REF!,0,1)))=0,1)</formula>
    </cfRule>
  </conditionalFormatting>
  <conditionalFormatting sqref="H52:H53 H66">
    <cfRule type="cellIs" dxfId="1297" priority="171" stopIfTrue="1" operator="greaterThan">
      <formula>0</formula>
    </cfRule>
  </conditionalFormatting>
  <conditionalFormatting sqref="H70">
    <cfRule type="cellIs" dxfId="1296" priority="63" stopIfTrue="1" operator="greaterThan">
      <formula>$F$83</formula>
    </cfRule>
    <cfRule type="cellIs" dxfId="1295" priority="71" stopIfTrue="1" operator="greaterThan">
      <formula>$F$86</formula>
    </cfRule>
    <cfRule type="cellIs" dxfId="1294" priority="72" stopIfTrue="1" operator="lessThanOrEqual">
      <formula>0</formula>
    </cfRule>
    <cfRule type="cellIs" dxfId="1293" priority="73" stopIfTrue="1" operator="greaterThan">
      <formula>$F$84</formula>
    </cfRule>
    <cfRule type="cellIs" dxfId="1292" priority="62" stopIfTrue="1" operator="lessThanOrEqual">
      <formula>0</formula>
    </cfRule>
  </conditionalFormatting>
  <conditionalFormatting sqref="H70:H71">
    <cfRule type="cellIs" dxfId="1291" priority="74" stopIfTrue="1" operator="lessThanOrEqual">
      <formula>0</formula>
    </cfRule>
  </conditionalFormatting>
  <conditionalFormatting sqref="H71 H73:H74">
    <cfRule type="cellIs" dxfId="1290" priority="101" stopIfTrue="1" operator="lessThanOrEqual">
      <formula>0</formula>
    </cfRule>
  </conditionalFormatting>
  <conditionalFormatting sqref="H71">
    <cfRule type="cellIs" dxfId="1289" priority="90" stopIfTrue="1" operator="greaterThan">
      <formula>$F$83</formula>
    </cfRule>
    <cfRule type="cellIs" dxfId="1288" priority="100" stopIfTrue="1" operator="greaterThan">
      <formula>$F$84</formula>
    </cfRule>
    <cfRule type="cellIs" dxfId="1287" priority="98" stopIfTrue="1" operator="greaterThan">
      <formula>$F$86</formula>
    </cfRule>
    <cfRule type="cellIs" dxfId="1286" priority="99" stopIfTrue="1" operator="lessThanOrEqual">
      <formula>0</formula>
    </cfRule>
  </conditionalFormatting>
  <conditionalFormatting sqref="H72">
    <cfRule type="cellIs" dxfId="1285" priority="40" stopIfTrue="1" operator="greaterThan">
      <formula>$F$86</formula>
    </cfRule>
    <cfRule type="cellIs" dxfId="1284" priority="30" stopIfTrue="1" operator="greaterThan">
      <formula>$F$85</formula>
    </cfRule>
    <cfRule type="cellIs" dxfId="1283" priority="29" stopIfTrue="1" operator="lessThanOrEqual">
      <formula>0</formula>
    </cfRule>
    <cfRule type="cellIs" dxfId="1282" priority="39" stopIfTrue="1" operator="lessThanOrEqual">
      <formula>0</formula>
    </cfRule>
    <cfRule type="cellIs" dxfId="1281" priority="41" stopIfTrue="1" operator="lessThanOrEqual">
      <formula>0</formula>
    </cfRule>
    <cfRule type="cellIs" dxfId="1280" priority="38" stopIfTrue="1" operator="greaterThan">
      <formula>$F$88</formula>
    </cfRule>
  </conditionalFormatting>
  <conditionalFormatting sqref="H73:H74">
    <cfRule type="cellIs" dxfId="1279" priority="111" stopIfTrue="1" operator="greaterThan">
      <formula>$F$86</formula>
    </cfRule>
    <cfRule type="cellIs" dxfId="1278" priority="112" stopIfTrue="1" operator="lessThanOrEqual">
      <formula>0</formula>
    </cfRule>
    <cfRule type="cellIs" dxfId="1277" priority="113" stopIfTrue="1" operator="greaterThan">
      <formula>$F$84</formula>
    </cfRule>
    <cfRule type="cellIs" dxfId="1276" priority="114" stopIfTrue="1" operator="lessThanOrEqual">
      <formula>0</formula>
    </cfRule>
    <cfRule type="cellIs" dxfId="1275" priority="103" stopIfTrue="1" operator="greaterThan">
      <formula>$F$83</formula>
    </cfRule>
  </conditionalFormatting>
  <conditionalFormatting sqref="H75:H76">
    <cfRule type="cellIs" dxfId="1274" priority="138" stopIfTrue="1" operator="lessThanOrEqual">
      <formula>0</formula>
    </cfRule>
    <cfRule type="cellIs" dxfId="1273" priority="139" stopIfTrue="1" operator="greaterThan">
      <formula>#REF!</formula>
    </cfRule>
    <cfRule type="cellIs" dxfId="1272" priority="148" stopIfTrue="1" operator="lessThanOrEqual">
      <formula>0</formula>
    </cfRule>
    <cfRule type="cellIs" dxfId="1271" priority="147" stopIfTrue="1" operator="greaterThan">
      <formula>#REF!</formula>
    </cfRule>
  </conditionalFormatting>
  <conditionalFormatting sqref="H77">
    <cfRule type="cellIs" dxfId="1270" priority="151" stopIfTrue="1" operator="greaterThan">
      <formula>$F$51</formula>
    </cfRule>
    <cfRule type="cellIs" dxfId="1269" priority="160" stopIfTrue="1" operator="lessThanOrEqual">
      <formula>0</formula>
    </cfRule>
    <cfRule type="cellIs" dxfId="1268" priority="161" stopIfTrue="1" operator="greaterThan">
      <formula>$F$52</formula>
    </cfRule>
    <cfRule type="cellIs" dxfId="1267" priority="162" stopIfTrue="1" operator="lessThanOrEqual">
      <formula>0</formula>
    </cfRule>
    <cfRule type="cellIs" dxfId="1266" priority="159" stopIfTrue="1" operator="greaterThan">
      <formula>$F$54</formula>
    </cfRule>
    <cfRule type="cellIs" dxfId="1265" priority="150" stopIfTrue="1" operator="lessThanOrEqual">
      <formula>0</formula>
    </cfRule>
  </conditionalFormatting>
  <conditionalFormatting sqref="H78:H79">
    <cfRule type="cellIs" dxfId="1264" priority="126" stopIfTrue="1" operator="lessThanOrEqual">
      <formula>0</formula>
    </cfRule>
    <cfRule type="cellIs" dxfId="1263" priority="135" stopIfTrue="1" operator="greaterThan">
      <formula>#REF!</formula>
    </cfRule>
    <cfRule type="cellIs" dxfId="1262" priority="136" stopIfTrue="1" operator="lessThanOrEqual">
      <formula>0</formula>
    </cfRule>
    <cfRule type="cellIs" dxfId="1261" priority="127" stopIfTrue="1" operator="greaterThan">
      <formula>#REF!</formula>
    </cfRule>
  </conditionalFormatting>
  <conditionalFormatting sqref="H94 H96:H102">
    <cfRule type="cellIs" dxfId="1260" priority="186" stopIfTrue="1" operator="lessThanOrEqual">
      <formula>0</formula>
    </cfRule>
    <cfRule type="cellIs" dxfId="1259" priority="185" stopIfTrue="1" operator="greaterThan">
      <formula>4.5</formula>
    </cfRule>
  </conditionalFormatting>
  <conditionalFormatting sqref="H70:I70">
    <cfRule type="cellIs" dxfId="1258" priority="64" stopIfTrue="1" operator="lessThanOrEqual">
      <formula>0</formula>
    </cfRule>
  </conditionalFormatting>
  <conditionalFormatting sqref="H70:I71 H73:I74">
    <cfRule type="cellIs" dxfId="1257" priority="61" stopIfTrue="1" operator="greaterThan">
      <formula>$F$85</formula>
    </cfRule>
  </conditionalFormatting>
  <conditionalFormatting sqref="H71:I71">
    <cfRule type="cellIs" dxfId="1256" priority="91" stopIfTrue="1" operator="lessThanOrEqual">
      <formula>0</formula>
    </cfRule>
  </conditionalFormatting>
  <conditionalFormatting sqref="H72:I72">
    <cfRule type="cellIs" dxfId="1255" priority="28" stopIfTrue="1" operator="greaterThan">
      <formula>$F$87</formula>
    </cfRule>
    <cfRule type="cellIs" dxfId="1254" priority="31" stopIfTrue="1" operator="lessThanOrEqual">
      <formula>0</formula>
    </cfRule>
  </conditionalFormatting>
  <conditionalFormatting sqref="H73:I74">
    <cfRule type="cellIs" dxfId="1253" priority="104" stopIfTrue="1" operator="lessThanOrEqual">
      <formula>0</formula>
    </cfRule>
  </conditionalFormatting>
  <conditionalFormatting sqref="H75:I76">
    <cfRule type="cellIs" dxfId="1252" priority="137" stopIfTrue="1" operator="greaterThan">
      <formula>#REF!</formula>
    </cfRule>
    <cfRule type="cellIs" dxfId="1251" priority="140" stopIfTrue="1" operator="lessThanOrEqual">
      <formula>0</formula>
    </cfRule>
    <cfRule type="cellIs" dxfId="1250" priority="145" stopIfTrue="1" operator="greaterThan">
      <formula>#REF!</formula>
    </cfRule>
    <cfRule type="cellIs" dxfId="1249" priority="146" stopIfTrue="1" operator="lessThanOrEqual">
      <formula>0</formula>
    </cfRule>
  </conditionalFormatting>
  <conditionalFormatting sqref="H77:I77">
    <cfRule type="cellIs" dxfId="1248" priority="152" stopIfTrue="1" operator="lessThanOrEqual">
      <formula>0</formula>
    </cfRule>
    <cfRule type="cellIs" dxfId="1247" priority="149" stopIfTrue="1" operator="greaterThan">
      <formula>$F$53</formula>
    </cfRule>
  </conditionalFormatting>
  <conditionalFormatting sqref="H78:I79">
    <cfRule type="cellIs" dxfId="1246" priority="133" stopIfTrue="1" operator="greaterThan">
      <formula>#REF!</formula>
    </cfRule>
    <cfRule type="cellIs" dxfId="1245" priority="134" stopIfTrue="1" operator="lessThanOrEqual">
      <formula>0</formula>
    </cfRule>
    <cfRule type="cellIs" dxfId="1244" priority="125" stopIfTrue="1" operator="greaterThan">
      <formula>#REF!</formula>
    </cfRule>
    <cfRule type="cellIs" dxfId="1243" priority="128" stopIfTrue="1" operator="lessThanOrEqual">
      <formula>0</formula>
    </cfRule>
  </conditionalFormatting>
  <conditionalFormatting sqref="H83:I90">
    <cfRule type="cellIs" dxfId="1242" priority="47" stopIfTrue="1" operator="lessThanOrEqual">
      <formula>0</formula>
    </cfRule>
    <cfRule type="cellIs" dxfId="1241" priority="46" stopIfTrue="1" operator="greaterThan">
      <formula>$J83</formula>
    </cfRule>
  </conditionalFormatting>
  <conditionalFormatting sqref="H91:I91">
    <cfRule type="cellIs" dxfId="1240" priority="54" operator="greaterThan">
      <formula>5.3</formula>
    </cfRule>
  </conditionalFormatting>
  <conditionalFormatting sqref="H92:I92">
    <cfRule type="cellIs" dxfId="1239" priority="52" stopIfTrue="1" operator="greaterThan">
      <formula>$J92</formula>
    </cfRule>
    <cfRule type="cellIs" dxfId="1238" priority="53" stopIfTrue="1" operator="lessThanOrEqual">
      <formula>0</formula>
    </cfRule>
  </conditionalFormatting>
  <conditionalFormatting sqref="I70">
    <cfRule type="cellIs" dxfId="1237" priority="70" stopIfTrue="1" operator="lessThanOrEqual">
      <formula>0</formula>
    </cfRule>
    <cfRule type="cellIs" dxfId="1236" priority="69" stopIfTrue="1" operator="greaterThan">
      <formula>$F$83</formula>
    </cfRule>
    <cfRule type="cellIs" dxfId="1235" priority="68" stopIfTrue="1" operator="lessThanOrEqual">
      <formula>0</formula>
    </cfRule>
    <cfRule type="cellIs" dxfId="1234" priority="67" stopIfTrue="1" operator="greaterThan">
      <formula>$F$85</formula>
    </cfRule>
    <cfRule type="cellIs" dxfId="1233" priority="66" stopIfTrue="1" operator="lessThanOrEqual">
      <formula>0</formula>
    </cfRule>
    <cfRule type="cellIs" dxfId="1232" priority="65" stopIfTrue="1" operator="greaterThan">
      <formula>$F$83</formula>
    </cfRule>
  </conditionalFormatting>
  <conditionalFormatting sqref="I71">
    <cfRule type="cellIs" dxfId="1231" priority="92" stopIfTrue="1" operator="greaterThan">
      <formula>$F$83</formula>
    </cfRule>
    <cfRule type="cellIs" dxfId="1230" priority="93" stopIfTrue="1" operator="lessThanOrEqual">
      <formula>0</formula>
    </cfRule>
    <cfRule type="cellIs" dxfId="1229" priority="94" stopIfTrue="1" operator="greaterThan">
      <formula>$F$85</formula>
    </cfRule>
    <cfRule type="cellIs" dxfId="1228" priority="95" stopIfTrue="1" operator="lessThanOrEqual">
      <formula>0</formula>
    </cfRule>
    <cfRule type="cellIs" dxfId="1227" priority="96" stopIfTrue="1" operator="greaterThan">
      <formula>$F$83</formula>
    </cfRule>
    <cfRule type="cellIs" dxfId="1226" priority="97" stopIfTrue="1" operator="lessThanOrEqual">
      <formula>0</formula>
    </cfRule>
  </conditionalFormatting>
  <conditionalFormatting sqref="I72">
    <cfRule type="cellIs" dxfId="1225" priority="35" stopIfTrue="1" operator="lessThanOrEqual">
      <formula>0</formula>
    </cfRule>
    <cfRule type="cellIs" dxfId="1224" priority="37" stopIfTrue="1" operator="lessThanOrEqual">
      <formula>0</formula>
    </cfRule>
    <cfRule type="cellIs" dxfId="1223" priority="36" stopIfTrue="1" operator="greaterThan">
      <formula>$F$85</formula>
    </cfRule>
    <cfRule type="cellIs" dxfId="1222" priority="32" stopIfTrue="1" operator="greaterThan">
      <formula>$F$85</formula>
    </cfRule>
    <cfRule type="cellIs" dxfId="1221" priority="33" stopIfTrue="1" operator="lessThanOrEqual">
      <formula>0</formula>
    </cfRule>
    <cfRule type="cellIs" dxfId="1220" priority="34" stopIfTrue="1" operator="greaterThan">
      <formula>$F$87</formula>
    </cfRule>
  </conditionalFormatting>
  <conditionalFormatting sqref="I73:I74">
    <cfRule type="cellIs" dxfId="1219" priority="109" stopIfTrue="1" operator="greaterThan">
      <formula>$F$83</formula>
    </cfRule>
    <cfRule type="cellIs" dxfId="1218" priority="110" stopIfTrue="1" operator="lessThanOrEqual">
      <formula>0</formula>
    </cfRule>
    <cfRule type="cellIs" dxfId="1217" priority="107" stopIfTrue="1" operator="greaterThan">
      <formula>$F$85</formula>
    </cfRule>
    <cfRule type="cellIs" dxfId="1216" priority="106" stopIfTrue="1" operator="lessThanOrEqual">
      <formula>0</formula>
    </cfRule>
    <cfRule type="cellIs" dxfId="1215" priority="105" stopIfTrue="1" operator="greaterThan">
      <formula>$F$83</formula>
    </cfRule>
    <cfRule type="cellIs" dxfId="1214" priority="108" stopIfTrue="1" operator="lessThanOrEqual">
      <formula>0</formula>
    </cfRule>
  </conditionalFormatting>
  <conditionalFormatting sqref="I75:I76">
    <cfRule type="cellIs" dxfId="1213" priority="142" stopIfTrue="1" operator="lessThanOrEqual">
      <formula>0</formula>
    </cfRule>
    <cfRule type="cellIs" dxfId="1212" priority="141" stopIfTrue="1" operator="greaterThan">
      <formula>#REF!</formula>
    </cfRule>
    <cfRule type="cellIs" dxfId="1211" priority="144" stopIfTrue="1" operator="lessThanOrEqual">
      <formula>0</formula>
    </cfRule>
    <cfRule type="cellIs" dxfId="1210" priority="143" stopIfTrue="1" operator="greaterThan">
      <formula>#REF!</formula>
    </cfRule>
  </conditionalFormatting>
  <conditionalFormatting sqref="I77">
    <cfRule type="cellIs" dxfId="1209" priority="153" stopIfTrue="1" operator="greaterThan">
      <formula>$F$51</formula>
    </cfRule>
    <cfRule type="cellIs" dxfId="1208" priority="154" stopIfTrue="1" operator="lessThanOrEqual">
      <formula>0</formula>
    </cfRule>
    <cfRule type="cellIs" dxfId="1207" priority="155" stopIfTrue="1" operator="greaterThan">
      <formula>$F$53</formula>
    </cfRule>
    <cfRule type="cellIs" dxfId="1206" priority="156" stopIfTrue="1" operator="lessThanOrEqual">
      <formula>0</formula>
    </cfRule>
    <cfRule type="cellIs" dxfId="1205" priority="157" stopIfTrue="1" operator="greaterThan">
      <formula>$F$51</formula>
    </cfRule>
    <cfRule type="cellIs" dxfId="1204" priority="158" stopIfTrue="1" operator="lessThanOrEqual">
      <formula>0</formula>
    </cfRule>
  </conditionalFormatting>
  <conditionalFormatting sqref="I78:I79">
    <cfRule type="cellIs" dxfId="1203" priority="130" stopIfTrue="1" operator="lessThanOrEqual">
      <formula>0</formula>
    </cfRule>
    <cfRule type="cellIs" dxfId="1202" priority="129" stopIfTrue="1" operator="greaterThan">
      <formula>#REF!</formula>
    </cfRule>
    <cfRule type="cellIs" dxfId="1201" priority="132" stopIfTrue="1" operator="lessThanOrEqual">
      <formula>0</formula>
    </cfRule>
    <cfRule type="cellIs" dxfId="1200" priority="131" stopIfTrue="1" operator="greaterThan">
      <formula>#REF!</formula>
    </cfRule>
  </conditionalFormatting>
  <conditionalFormatting sqref="I94:I102">
    <cfRule type="cellIs" dxfId="1199" priority="181" stopIfTrue="1" operator="greaterThan">
      <formula>4.5</formula>
    </cfRule>
    <cfRule type="cellIs" dxfId="1198" priority="182" stopIfTrue="1" operator="lessThanOrEqual">
      <formula>0</formula>
    </cfRule>
  </conditionalFormatting>
  <conditionalFormatting sqref="I10:J38">
    <cfRule type="cellIs" dxfId="1197" priority="4" operator="lessThan">
      <formula>97.9</formula>
    </cfRule>
  </conditionalFormatting>
  <conditionalFormatting sqref="J41:J43">
    <cfRule type="cellIs" dxfId="1196" priority="27" operator="lessThan">
      <formula>97.95</formula>
    </cfRule>
  </conditionalFormatting>
  <conditionalFormatting sqref="J43:J45">
    <cfRule type="cellIs" dxfId="1195" priority="163" operator="lessThan">
      <formula>97.4</formula>
    </cfRule>
  </conditionalFormatting>
  <conditionalFormatting sqref="J46:J47">
    <cfRule type="cellIs" dxfId="1194" priority="164" operator="lessThan">
      <formula>98</formula>
    </cfRule>
  </conditionalFormatting>
  <conditionalFormatting sqref="J48:J49">
    <cfRule type="cellIs" dxfId="1193" priority="165" stopIfTrue="1" operator="lessThan">
      <formula>96.8</formula>
    </cfRule>
    <cfRule type="cellIs" dxfId="1192" priority="166" stopIfTrue="1" operator="greaterThan">
      <formula>100</formula>
    </cfRule>
  </conditionalFormatting>
  <conditionalFormatting sqref="J48:J50">
    <cfRule type="cellIs" dxfId="1191" priority="167" operator="lessThan">
      <formula>98</formula>
    </cfRule>
  </conditionalFormatting>
  <conditionalFormatting sqref="J79">
    <cfRule type="cellIs" dxfId="1190" priority="123" stopIfTrue="1" operator="greaterThan">
      <formula>#REF!</formula>
    </cfRule>
    <cfRule type="cellIs" dxfId="1189" priority="117" stopIfTrue="1" operator="greaterThan">
      <formula>#REF!</formula>
    </cfRule>
    <cfRule type="cellIs" dxfId="1188" priority="118" stopIfTrue="1" operator="lessThanOrEqual">
      <formula>0</formula>
    </cfRule>
    <cfRule type="cellIs" dxfId="1187" priority="120" stopIfTrue="1" operator="lessThanOrEqual">
      <formula>0</formula>
    </cfRule>
    <cfRule type="cellIs" dxfId="1186" priority="124" stopIfTrue="1" operator="lessThanOrEqual">
      <formula>0</formula>
    </cfRule>
    <cfRule type="cellIs" dxfId="1185" priority="119" stopIfTrue="1" operator="greaterThan">
      <formula>#REF!</formula>
    </cfRule>
    <cfRule type="cellIs" dxfId="1184" priority="122" stopIfTrue="1" operator="lessThanOrEqual">
      <formula>0</formula>
    </cfRule>
    <cfRule type="cellIs" dxfId="1183" priority="121" stopIfTrue="1" operator="greaterThan">
      <formula>#REF!</formula>
    </cfRule>
  </conditionalFormatting>
  <conditionalFormatting sqref="J92">
    <cfRule type="cellIs" dxfId="1182" priority="55" stopIfTrue="1" operator="greaterThan">
      <formula>$F92</formula>
    </cfRule>
    <cfRule type="cellIs" dxfId="1181" priority="56" stopIfTrue="1" operator="lessThanOrEqual">
      <formula>0</formula>
    </cfRule>
  </conditionalFormatting>
  <conditionalFormatting sqref="K10:K38">
    <cfRule type="cellIs" dxfId="1180" priority="7" operator="greaterThan">
      <formula>6.4</formula>
    </cfRule>
    <cfRule type="cellIs" dxfId="1179" priority="6" operator="lessThan">
      <formula>4</formula>
    </cfRule>
    <cfRule type="cellIs" dxfId="1178" priority="5" operator="greaterThan">
      <formula>6</formula>
    </cfRule>
  </conditionalFormatting>
  <conditionalFormatting sqref="K70:K79">
    <cfRule type="cellIs" dxfId="1177" priority="102" stopIfTrue="1" operator="lessThan">
      <formula>100%</formula>
    </cfRule>
  </conditionalFormatting>
  <conditionalFormatting sqref="K83:K91">
    <cfRule type="cellIs" dxfId="1176" priority="45" stopIfTrue="1" operator="lessThan">
      <formula>100%</formula>
    </cfRule>
  </conditionalFormatting>
  <conditionalFormatting sqref="K94:K99">
    <cfRule type="cellIs" dxfId="1175" priority="187" stopIfTrue="1" operator="lessThan">
      <formula>100%</formula>
    </cfRule>
  </conditionalFormatting>
  <conditionalFormatting sqref="K101:K102">
    <cfRule type="cellIs" dxfId="1174" priority="194" stopIfTrue="1" operator="lessThan">
      <formula>100%</formula>
    </cfRule>
  </conditionalFormatting>
  <conditionalFormatting sqref="L10:L38">
    <cfRule type="cellIs" dxfId="1173" priority="9" operator="greaterThan">
      <formula>65</formula>
    </cfRule>
    <cfRule type="cellIs" dxfId="1172" priority="8" operator="between">
      <formula>61</formula>
      <formula>65</formula>
    </cfRule>
  </conditionalFormatting>
  <conditionalFormatting sqref="L41:M52">
    <cfRule type="cellIs" dxfId="1171" priority="26" operator="lessThan">
      <formula>97.95</formula>
    </cfRule>
  </conditionalFormatting>
  <conditionalFormatting sqref="L56:N56">
    <cfRule type="cellIs" dxfId="1170" priority="81" operator="notEqual">
      <formula>#REF!</formula>
    </cfRule>
  </conditionalFormatting>
  <conditionalFormatting sqref="L83:N92">
    <cfRule type="cellIs" dxfId="1169" priority="42" stopIfTrue="1" operator="lessThan">
      <formula>100%</formula>
    </cfRule>
  </conditionalFormatting>
  <conditionalFormatting sqref="L94:N102">
    <cfRule type="cellIs" dxfId="1168" priority="172" stopIfTrue="1" operator="lessThan">
      <formula>100%</formula>
    </cfRule>
  </conditionalFormatting>
  <conditionalFormatting sqref="M10:M17">
    <cfRule type="expression" dxfId="1167" priority="1">
      <formula>IF(+(IF(M10&lt;$U$10,0,IF(M10&gt;$V$10,0,1)))=0,1)</formula>
    </cfRule>
  </conditionalFormatting>
  <conditionalFormatting sqref="M20:M29">
    <cfRule type="expression" dxfId="1166" priority="14">
      <formula>IF(+(IF(M20&lt;V20,0,IF(M20&gt;W20,0,1)))=0,1)</formula>
    </cfRule>
  </conditionalFormatting>
  <conditionalFormatting sqref="N10:N17 G10:H19 M18:N19 M30 G30:H38 M31:N38">
    <cfRule type="expression" dxfId="1165" priority="15">
      <formula>IF(+(IF(G10&lt;#REF!,0,IF(G10&gt;#REF!,0,1)))=0,1)</formula>
    </cfRule>
  </conditionalFormatting>
  <conditionalFormatting sqref="N10:N38">
    <cfRule type="expression" dxfId="1164" priority="3">
      <formula>IF(+(IF(N10&lt;W10,0,IF(N10&gt;X10,0,1)))=0,1)</formula>
    </cfRule>
  </conditionalFormatting>
  <conditionalFormatting sqref="P6">
    <cfRule type="cellIs" dxfId="1163" priority="168" operator="greaterThanOrEqual">
      <formula>19</formula>
    </cfRule>
  </conditionalFormatting>
  <dataValidations count="1">
    <dataValidation type="list" allowBlank="1" showInputMessage="1" showErrorMessage="1" sqref="R8" xr:uid="{27331C9F-9744-4A1F-8056-A3FACFD7AF1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96" max="16383" man="1"/>
  </rowBreaks>
  <colBreaks count="1" manualBreakCount="1">
    <brk id="15" max="89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7633F-2840-4B6B-BCA5-D9B913175D98}">
  <sheetPr>
    <pageSetUpPr fitToPage="1"/>
  </sheetPr>
  <dimension ref="A1:BE84"/>
  <sheetViews>
    <sheetView topLeftCell="A8" zoomScaleNormal="100" workbookViewId="0">
      <selection activeCell="E10" sqref="E10:E19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12" t="s">
        <v>0</v>
      </c>
      <c r="T1" s="512"/>
      <c r="U1" s="512" t="s">
        <v>1</v>
      </c>
      <c r="V1" s="512"/>
      <c r="W1" s="512" t="s">
        <v>2</v>
      </c>
      <c r="X1" s="512"/>
      <c r="Y1" s="512" t="s">
        <v>124</v>
      </c>
      <c r="Z1" s="512"/>
    </row>
    <row r="2" spans="2:29" ht="15">
      <c r="B2" s="513" t="s">
        <v>3</v>
      </c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46259</v>
      </c>
      <c r="J4" s="398" t="s">
        <v>153</v>
      </c>
      <c r="K4" s="398"/>
      <c r="L4" s="11"/>
      <c r="M4" s="510" t="s">
        <v>8</v>
      </c>
      <c r="N4" s="511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6"/>
      <c r="D5" s="516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196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19" t="s">
        <v>18</v>
      </c>
      <c r="D8" s="519" t="s">
        <v>19</v>
      </c>
      <c r="E8" s="356" t="s">
        <v>20</v>
      </c>
      <c r="F8" s="356" t="s">
        <v>21</v>
      </c>
      <c r="G8" s="519" t="s">
        <v>22</v>
      </c>
      <c r="H8" s="520" t="s">
        <v>144</v>
      </c>
      <c r="I8" s="519" t="s">
        <v>181</v>
      </c>
      <c r="J8" s="522" t="s">
        <v>23</v>
      </c>
      <c r="K8" s="524" t="s">
        <v>142</v>
      </c>
      <c r="L8" s="526" t="s">
        <v>24</v>
      </c>
      <c r="M8" s="359" t="s">
        <v>25</v>
      </c>
      <c r="N8" s="17" t="s">
        <v>168</v>
      </c>
      <c r="O8" s="519" t="s">
        <v>155</v>
      </c>
      <c r="P8" s="514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8"/>
      <c r="C9" s="515"/>
      <c r="D9" s="515"/>
      <c r="E9" s="357" t="s">
        <v>30</v>
      </c>
      <c r="F9" s="357" t="s">
        <v>31</v>
      </c>
      <c r="G9" s="515"/>
      <c r="H9" s="521"/>
      <c r="I9" s="515"/>
      <c r="J9" s="523"/>
      <c r="K9" s="525"/>
      <c r="L9" s="527"/>
      <c r="M9" s="20" t="s">
        <v>32</v>
      </c>
      <c r="N9" s="21" t="s">
        <v>41</v>
      </c>
      <c r="O9" s="515"/>
      <c r="P9" s="515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[4]Brewhouse!$A659</f>
        <v>CA611</v>
      </c>
      <c r="D10" s="279">
        <f>[4]Brewhouse!$AF659</f>
        <v>47.6</v>
      </c>
      <c r="E10" s="279">
        <f>[4]Brewhouse!$AI659</f>
        <v>47.2</v>
      </c>
      <c r="F10" s="278">
        <f>[4]Brewhouse!$V659</f>
        <v>55</v>
      </c>
      <c r="G10" s="279">
        <f>[4]Brewhouse!AG659</f>
        <v>11.9</v>
      </c>
      <c r="H10" s="396">
        <v>12.3</v>
      </c>
      <c r="I10" s="368">
        <f>[4]Brewhouse!$AU659</f>
        <v>92.983027682827753</v>
      </c>
      <c r="J10" s="368">
        <f>[4]Brewhouse!$AV659</f>
        <v>93.999301138134399</v>
      </c>
      <c r="K10" s="281">
        <f>[4]Brewhouse!$Q659</f>
        <v>13.345656192236596</v>
      </c>
      <c r="L10" s="276">
        <f>[4]Brewhouse!$P659</f>
        <v>61</v>
      </c>
      <c r="M10" s="374">
        <f>[4]Brewhouse!$U659-[4]Brewhouse!$T659</f>
        <v>0.11597222222222223</v>
      </c>
      <c r="N10" s="370">
        <f>[4]Brewhouse!$Z659</f>
        <v>0.25624999999999998</v>
      </c>
      <c r="O10" s="420" t="str">
        <f>[4]Brewhouse!$AX659</f>
        <v>K. Benjamin</v>
      </c>
      <c r="P10" s="418"/>
      <c r="R10" s="277" t="str">
        <f t="shared" ref="R10:R44" si="0">B10</f>
        <v>CARIB</v>
      </c>
      <c r="S10" s="472">
        <f t="shared" ref="S10:S44" si="1">VLOOKUP($B10,$R$3:$X$9,2,FALSE)</f>
        <v>11.6</v>
      </c>
      <c r="T10" s="472">
        <f t="shared" ref="T10:T44" si="2">VLOOKUP($B10,$R$3:$X$9,3,FALSE)</f>
        <v>12</v>
      </c>
      <c r="U10" s="297">
        <f t="shared" ref="U10:U44" si="3">VLOOKUP($B10,$R$3:$X$9,4,FALSE)</f>
        <v>0</v>
      </c>
      <c r="V10" s="297">
        <f t="shared" ref="V10:V44" si="4">VLOOKUP($B10,$R$3:$X$9,5,FALSE)</f>
        <v>0.118055555555556</v>
      </c>
      <c r="W10" s="297">
        <f t="shared" ref="W10:W44" si="5">VLOOKUP($B10,$R$3:$X$9,6,FALSE)</f>
        <v>0.22569444444444445</v>
      </c>
      <c r="X10" s="297">
        <f t="shared" ref="X10:X44" si="6">VLOOKUP($B10,$R$3:$X$9,7,FALSE)</f>
        <v>0.2638888888888889</v>
      </c>
      <c r="Y10" s="297">
        <f t="shared" ref="Y10:Y44" si="7">VLOOKUP($B10,$R$3:$Z$9,8,FALSE)</f>
        <v>0</v>
      </c>
      <c r="Z10" s="472">
        <f t="shared" ref="Z10:Z44" si="8">VLOOKUP($B10,$R$3:$Z$9,9,FALSE)</f>
        <v>60</v>
      </c>
    </row>
    <row r="11" spans="2:29" ht="15" customHeight="1">
      <c r="B11" s="29" t="s">
        <v>6</v>
      </c>
      <c r="C11" s="366" t="str">
        <f>[4]Brewhouse!$A660</f>
        <v>CA612</v>
      </c>
      <c r="D11" s="279">
        <f>[4]Brewhouse!$AF660</f>
        <v>49.5</v>
      </c>
      <c r="E11" s="279">
        <f>[4]Brewhouse!$AI660</f>
        <v>50.3</v>
      </c>
      <c r="F11" s="278">
        <f>[4]Brewhouse!$V660</f>
        <v>62</v>
      </c>
      <c r="G11" s="279">
        <f>[4]Brewhouse!AG660</f>
        <v>11.6</v>
      </c>
      <c r="H11" s="396">
        <v>11.8</v>
      </c>
      <c r="I11" s="368">
        <f>[4]Brewhouse!$AU660</f>
        <v>96.583285401532947</v>
      </c>
      <c r="J11" s="368">
        <f>[4]Brewhouse!$AV660</f>
        <v>97.638838938780765</v>
      </c>
      <c r="K11" s="281">
        <f>[4]Brewhouse!$Q660</f>
        <v>11.312384473197778</v>
      </c>
      <c r="L11" s="276">
        <f>[4]Brewhouse!$P660</f>
        <v>60</v>
      </c>
      <c r="M11" s="374">
        <f>[4]Brewhouse!$U660-[4]Brewhouse!$T660</f>
        <v>0.11944444444444446</v>
      </c>
      <c r="N11" s="370">
        <f>[4]Brewhouse!$Z660</f>
        <v>0.2680555555555556</v>
      </c>
      <c r="O11" s="420" t="str">
        <f>[4]Brewhouse!$AX660</f>
        <v>K. Benjamin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[4]Brewhouse!$A661</f>
        <v>CA613</v>
      </c>
      <c r="D12" s="279">
        <f>[4]Brewhouse!$AF661</f>
        <v>48.4</v>
      </c>
      <c r="E12" s="279">
        <f>[4]Brewhouse!$AI661</f>
        <v>49.1</v>
      </c>
      <c r="F12" s="278">
        <f>[4]Brewhouse!$V661</f>
        <v>58</v>
      </c>
      <c r="G12" s="279">
        <f>[4]Brewhouse!AG661</f>
        <v>11.9</v>
      </c>
      <c r="H12" s="367">
        <v>12</v>
      </c>
      <c r="I12" s="368">
        <f>[4]Brewhouse!$AU661</f>
        <v>96.846117108455005</v>
      </c>
      <c r="J12" s="368">
        <f>[4]Brewhouse!$AV661</f>
        <v>97.904543119307235</v>
      </c>
      <c r="K12" s="281">
        <f>[4]Brewhouse!$Q661</f>
        <v>12.606284658040664</v>
      </c>
      <c r="L12" s="276">
        <f>[4]Brewhouse!$P661</f>
        <v>61</v>
      </c>
      <c r="M12" s="374">
        <f>[4]Brewhouse!$U661-[4]Brewhouse!$T661</f>
        <v>0.10555555555555557</v>
      </c>
      <c r="N12" s="370">
        <f>[4]Brewhouse!$Z661</f>
        <v>0.25833333333333336</v>
      </c>
      <c r="O12" s="420" t="str">
        <f>[4]Brewhouse!$AX661</f>
        <v>K. Benjamin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[4]Brewhouse!$A662</f>
        <v>CA614</v>
      </c>
      <c r="D13" s="279">
        <f>[4]Brewhouse!$AF662</f>
        <v>48.8</v>
      </c>
      <c r="E13" s="279">
        <f>[4]Brewhouse!$AI662</f>
        <v>49.7</v>
      </c>
      <c r="F13" s="278">
        <f>[4]Brewhouse!$V662</f>
        <v>61</v>
      </c>
      <c r="G13" s="279">
        <f>[4]Brewhouse!AG662</f>
        <v>11.9</v>
      </c>
      <c r="H13" s="396">
        <v>12.2</v>
      </c>
      <c r="I13" s="368">
        <f>[4]Brewhouse!$AU662</f>
        <v>97.786680935858953</v>
      </c>
      <c r="J13" s="368">
        <f>[4]Brewhouse!$AV662</f>
        <v>98.85552694299065</v>
      </c>
      <c r="K13" s="281">
        <f>[4]Brewhouse!$Q662</f>
        <v>11.866913123844734</v>
      </c>
      <c r="L13" s="276">
        <f>[4]Brewhouse!$P662</f>
        <v>61</v>
      </c>
      <c r="M13" s="374">
        <f>[4]Brewhouse!$U662-[4]Brewhouse!$T662</f>
        <v>0.11041666666666672</v>
      </c>
      <c r="N13" s="370">
        <f>[4]Brewhouse!$Z662</f>
        <v>0.25208333333333338</v>
      </c>
      <c r="O13" s="420" t="str">
        <f>[4]Brewhouse!$AX662</f>
        <v xml:space="preserve">P. Calliste 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[4]Brewhouse!$A663</f>
        <v>CA615</v>
      </c>
      <c r="D14" s="279">
        <f>[4]Brewhouse!$AF663</f>
        <v>49</v>
      </c>
      <c r="E14" s="279">
        <f>[4]Brewhouse!$AI663</f>
        <v>49.7</v>
      </c>
      <c r="F14" s="278">
        <f>[4]Brewhouse!$V663</f>
        <v>58</v>
      </c>
      <c r="G14" s="279">
        <f>[4]Brewhouse!AG663</f>
        <v>11.8</v>
      </c>
      <c r="H14" s="396">
        <v>11.8</v>
      </c>
      <c r="I14" s="368">
        <f>[4]Brewhouse!$AU663</f>
        <v>97.163447975823857</v>
      </c>
      <c r="J14" s="368">
        <f>[4]Brewhouse!$AV663</f>
        <v>98.225342078677059</v>
      </c>
      <c r="K14" s="281">
        <f>[4]Brewhouse!$Q663</f>
        <v>11.497227356746762</v>
      </c>
      <c r="L14" s="276">
        <f>[4]Brewhouse!$P663</f>
        <v>60</v>
      </c>
      <c r="M14" s="374">
        <f>[4]Brewhouse!$U663-[4]Brewhouse!$T663</f>
        <v>0.10486111111111107</v>
      </c>
      <c r="N14" s="370">
        <f>[4]Brewhouse!$Z663</f>
        <v>0.2409722222222222</v>
      </c>
      <c r="O14" s="420" t="str">
        <f>[4]Brewhouse!$AX663</f>
        <v xml:space="preserve">P. Calliste 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[4]Brewhouse!$A664</f>
        <v>CA616</v>
      </c>
      <c r="D15" s="279">
        <f>[4]Brewhouse!$AF664</f>
        <v>48.7</v>
      </c>
      <c r="E15" s="279">
        <f>[4]Brewhouse!$AI664</f>
        <v>49.5</v>
      </c>
      <c r="F15" s="278">
        <f>[4]Brewhouse!$V664</f>
        <v>59</v>
      </c>
      <c r="G15" s="279">
        <f>[4]Brewhouse!AG664</f>
        <v>11.8</v>
      </c>
      <c r="H15" s="396">
        <v>11.8</v>
      </c>
      <c r="I15" s="368">
        <f>[4]Brewhouse!$AU664</f>
        <v>96.892783901710104</v>
      </c>
      <c r="J15" s="368">
        <f>[4]Brewhouse!$AV664</f>
        <v>97.951650002062834</v>
      </c>
      <c r="K15" s="281">
        <f>[4]Brewhouse!$Q664</f>
        <v>12.05175600739372</v>
      </c>
      <c r="L15" s="276">
        <f>[4]Brewhouse!$P664</f>
        <v>57</v>
      </c>
      <c r="M15" s="374">
        <f>[4]Brewhouse!$U664-[4]Brewhouse!$T664</f>
        <v>0.10624999999999996</v>
      </c>
      <c r="N15" s="370">
        <f>[4]Brewhouse!$Z664</f>
        <v>0.2416666666666667</v>
      </c>
      <c r="O15" s="420" t="str">
        <f>[4]Brewhouse!$AX664</f>
        <v xml:space="preserve">P. Calliste 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[4]Brewhouse!$A665</f>
        <v>CA617</v>
      </c>
      <c r="D16" s="279">
        <f>[4]Brewhouse!$AF665</f>
        <v>51.1</v>
      </c>
      <c r="E16" s="279">
        <f>[4]Brewhouse!$AI665</f>
        <v>51.9</v>
      </c>
      <c r="F16" s="278">
        <f>[4]Brewhouse!$V665</f>
        <v>63</v>
      </c>
      <c r="G16" s="279">
        <f>[4]Brewhouse!AG665</f>
        <v>11.8</v>
      </c>
      <c r="H16" s="396">
        <v>11.8</v>
      </c>
      <c r="I16" s="368">
        <f>[4]Brewhouse!$AU665</f>
        <v>101.21304317252451</v>
      </c>
      <c r="J16" s="368">
        <f>[4]Brewhouse!$AV665</f>
        <v>102.31934063583201</v>
      </c>
      <c r="K16" s="281">
        <f>[4]Brewhouse!$Q665</f>
        <v>6.8761552680221785</v>
      </c>
      <c r="L16" s="276">
        <f>[4]Brewhouse!$P665</f>
        <v>58</v>
      </c>
      <c r="M16" s="374">
        <f>[4]Brewhouse!$U665-[4]Brewhouse!$T665</f>
        <v>0.12291666666666667</v>
      </c>
      <c r="N16" s="370">
        <f>[4]Brewhouse!$Z665</f>
        <v>0.2583333333333333</v>
      </c>
      <c r="O16" s="420" t="str">
        <f>[4]Brewhouse!$AX665</f>
        <v xml:space="preserve">P. Calliste 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2:26" ht="15" customHeight="1">
      <c r="B17" s="29" t="s">
        <v>6</v>
      </c>
      <c r="C17" s="366" t="str">
        <f>[4]Brewhouse!$A666</f>
        <v>CA618</v>
      </c>
      <c r="D17" s="279">
        <f>[4]Brewhouse!$AF666</f>
        <v>48.2</v>
      </c>
      <c r="E17" s="279">
        <f>[4]Brewhouse!$AI666</f>
        <v>49.1</v>
      </c>
      <c r="F17" s="278">
        <f>[4]Brewhouse!$V666</f>
        <v>60</v>
      </c>
      <c r="G17" s="279">
        <f>[4]Brewhouse!AG666</f>
        <v>11.8</v>
      </c>
      <c r="H17" s="396">
        <v>11.8</v>
      </c>
      <c r="I17" s="368">
        <f>[4]Brewhouse!$AU666</f>
        <v>96.229472441397689</v>
      </c>
      <c r="J17" s="368">
        <f>[4]Brewhouse!$AV666</f>
        <v>97.281020101672127</v>
      </c>
      <c r="K17" s="281">
        <f>[4]Brewhouse!$Q666</f>
        <v>12.236598890942693</v>
      </c>
      <c r="L17" s="276">
        <f>[4]Brewhouse!$P666</f>
        <v>57</v>
      </c>
      <c r="M17" s="374">
        <f>[4]Brewhouse!$U666-[4]Brewhouse!$T666</f>
        <v>0.10624999999999996</v>
      </c>
      <c r="N17" s="370">
        <f>[4]Brewhouse!$Z666</f>
        <v>0.2583333333333333</v>
      </c>
      <c r="O17" s="420" t="str">
        <f>[4]Brewhouse!$AX666</f>
        <v>R. Sookram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2:26" ht="15" customHeight="1">
      <c r="B18" s="29" t="s">
        <v>6</v>
      </c>
      <c r="C18" s="366" t="str">
        <f>[4]Brewhouse!$A667</f>
        <v>CA619</v>
      </c>
      <c r="D18" s="279">
        <f>[4]Brewhouse!$AF667</f>
        <v>49.2</v>
      </c>
      <c r="E18" s="279">
        <f>[4]Brewhouse!$AI667</f>
        <v>50.1</v>
      </c>
      <c r="F18" s="278">
        <f>[4]Brewhouse!$V667</f>
        <v>47</v>
      </c>
      <c r="G18" s="279">
        <f>[4]Brewhouse!AG667</f>
        <v>11.8</v>
      </c>
      <c r="H18" s="396">
        <v>11.8</v>
      </c>
      <c r="I18" s="368">
        <f>[4]Brewhouse!$AU667</f>
        <v>98.804416600284995</v>
      </c>
      <c r="J18" s="368">
        <f>[4]Brewhouse!$AV667</f>
        <v>99.883741847757022</v>
      </c>
      <c r="K18" s="281">
        <f>[4]Brewhouse!$Q667</f>
        <v>11.866913123844734</v>
      </c>
      <c r="L18" s="276">
        <f>[4]Brewhouse!$P667</f>
        <v>60</v>
      </c>
      <c r="M18" s="374">
        <f>[4]Brewhouse!$U667-[4]Brewhouse!$T667</f>
        <v>0.10624999999999996</v>
      </c>
      <c r="N18" s="370">
        <f>[4]Brewhouse!$Z667</f>
        <v>0.25902777777777775</v>
      </c>
      <c r="O18" s="420" t="str">
        <f>[4]Brewhouse!$AX667</f>
        <v>R. Sookram</v>
      </c>
      <c r="P18" s="418"/>
      <c r="R18" s="277" t="str">
        <f t="shared" si="0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2:26" ht="15" customHeight="1">
      <c r="B19" s="29" t="s">
        <v>6</v>
      </c>
      <c r="C19" s="366" t="str">
        <f>[4]Brewhouse!$A668</f>
        <v>CA620</v>
      </c>
      <c r="D19" s="279">
        <f>[4]Brewhouse!$AF668</f>
        <v>49.6</v>
      </c>
      <c r="E19" s="279">
        <f>[4]Brewhouse!$AI668</f>
        <v>50.2</v>
      </c>
      <c r="F19" s="278">
        <f>[4]Brewhouse!$V668</f>
        <v>53</v>
      </c>
      <c r="G19" s="279">
        <f>[4]Brewhouse!AG668</f>
        <v>11.7</v>
      </c>
      <c r="H19" s="396">
        <v>11.6</v>
      </c>
      <c r="I19" s="368">
        <f>[4]Brewhouse!$AU668</f>
        <v>98.607570442650825</v>
      </c>
      <c r="J19" s="368">
        <f>[4]Brewhouse!$AV668</f>
        <v>99.19095968915174</v>
      </c>
      <c r="K19" s="281">
        <f>[4]Brewhouse!$Q668</f>
        <v>9.4814814814814774</v>
      </c>
      <c r="L19" s="276">
        <f>[4]Brewhouse!$P668</f>
        <v>62</v>
      </c>
      <c r="M19" s="374">
        <f>[4]Brewhouse!$U668-[4]Brewhouse!$T668</f>
        <v>0.125</v>
      </c>
      <c r="N19" s="370">
        <f>[4]Brewhouse!$Z668</f>
        <v>0.27152777777777792</v>
      </c>
      <c r="O19" s="420" t="str">
        <f>[4]Brewhouse!$AX668</f>
        <v>K. Benjamin</v>
      </c>
      <c r="P19" s="418"/>
      <c r="R19" s="277" t="str">
        <f t="shared" si="0"/>
        <v>CARIB</v>
      </c>
      <c r="S19" s="472">
        <f t="shared" si="1"/>
        <v>11.6</v>
      </c>
      <c r="T19" s="472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2">
        <f t="shared" si="8"/>
        <v>60</v>
      </c>
    </row>
    <row r="20" spans="2:26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503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2:26" ht="15" customHeight="1">
      <c r="B21" s="37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2:26" ht="1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503"/>
      <c r="N22" s="370"/>
      <c r="O22" s="420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2:26" ht="15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503"/>
      <c r="N23" s="370"/>
      <c r="O23" s="420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2:26" ht="15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503"/>
      <c r="N24" s="370"/>
      <c r="O24" s="420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2:26" ht="1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503"/>
      <c r="N25" s="370"/>
      <c r="O25" s="420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2:26" ht="1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503"/>
      <c r="N26" s="370"/>
      <c r="O26" s="420"/>
      <c r="P26" s="418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2:26" ht="1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503"/>
      <c r="N27" s="370"/>
      <c r="O27" s="420"/>
      <c r="P27" s="418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2:26" ht="1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503"/>
      <c r="N28" s="370"/>
      <c r="O28" s="420"/>
      <c r="P28" s="418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2:26" ht="1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420"/>
      <c r="P29" s="418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2:26" ht="1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420"/>
      <c r="P30" s="418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2:26" ht="17.25" customHeight="1" thickBot="1">
      <c r="B31" s="358"/>
      <c r="C31" s="358"/>
      <c r="D31" s="358"/>
      <c r="E31" s="358"/>
      <c r="F31" s="294"/>
      <c r="G31" s="294"/>
      <c r="H31" s="348"/>
      <c r="I31" s="528"/>
      <c r="J31" s="528"/>
      <c r="K31" s="528"/>
      <c r="L31" s="528"/>
      <c r="M31" s="528"/>
      <c r="N31" s="528"/>
      <c r="O31" s="1"/>
      <c r="P31" s="12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2:26" ht="17.25" customHeight="1" thickBot="1">
      <c r="B32" s="489" t="s">
        <v>162</v>
      </c>
      <c r="C32" s="388"/>
      <c r="D32" s="529" t="s">
        <v>35</v>
      </c>
      <c r="E32" s="530"/>
      <c r="F32" s="294"/>
      <c r="G32" s="294"/>
      <c r="H32" s="348"/>
      <c r="I32" s="24" t="s">
        <v>17</v>
      </c>
      <c r="J32" s="25"/>
      <c r="K32" s="26" t="s">
        <v>138</v>
      </c>
      <c r="L32" s="25" t="s">
        <v>37</v>
      </c>
      <c r="M32" s="25" t="s">
        <v>38</v>
      </c>
      <c r="N32" s="27" t="s">
        <v>39</v>
      </c>
      <c r="O32" s="294"/>
      <c r="P32" s="12"/>
      <c r="R32" s="277" t="str">
        <f t="shared" si="0"/>
        <v xml:space="preserve">BRAND 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7" ht="17.25" customHeight="1">
      <c r="A33" s="28"/>
      <c r="B33" s="605" t="str">
        <f>J47</f>
        <v>CARIB</v>
      </c>
      <c r="C33" s="490" cm="1">
        <f t="array" ref="C33:C34">[4]Process!$D$608:$D$609</f>
        <v>11.9</v>
      </c>
      <c r="D33" s="534">
        <v>11.92</v>
      </c>
      <c r="E33" s="535"/>
      <c r="F33" s="294"/>
      <c r="G33" s="294"/>
      <c r="H33" s="348"/>
      <c r="I33" s="29" t="s">
        <v>6</v>
      </c>
      <c r="J33" s="323">
        <f>AVERAGE(J10:J19)</f>
        <v>98.325026449436592</v>
      </c>
      <c r="K33" s="284">
        <f>COUNTA([4]Brewhouse!$A$595:$A$658)</f>
        <v>64</v>
      </c>
      <c r="L33" s="305">
        <f>AVERAGE([4]Brewhouse!$AU$595:$AU$658)</f>
        <v>99.186387283340949</v>
      </c>
      <c r="M33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AVERAGE([4]Brewhouse!$AU$42:$AU$123,[4]Brewhouse!$AU$125:$AU$188,[4]Brewhouse!$AU$198:$AU$290,[4]Brewhouse!$AU$292:$AU$370,[4]Brewhouse!$AU$372:$AU$439,[4]Brewhouse!$AU$441:$AU$497,[4]Brewhouse!$AU$499:$AU$519,[4]Brewhouse!$AU$521:$AU$593,[4]Brewhouse!$AU$595:$AU$658)</f>
        <v>98.277081346082383</v>
      </c>
      <c r="N33" s="30">
        <v>98</v>
      </c>
      <c r="O33" s="11"/>
      <c r="P33" s="31"/>
      <c r="R33" s="277" t="str">
        <f t="shared" si="0"/>
        <v>CARIB</v>
      </c>
      <c r="S33" s="472">
        <f t="shared" si="1"/>
        <v>11.6</v>
      </c>
      <c r="T33" s="472">
        <f t="shared" si="2"/>
        <v>12</v>
      </c>
      <c r="U33" s="297">
        <f t="shared" si="3"/>
        <v>0</v>
      </c>
      <c r="V33" s="297">
        <f t="shared" si="4"/>
        <v>0.118055555555556</v>
      </c>
      <c r="W33" s="297">
        <f t="shared" si="5"/>
        <v>0.22569444444444445</v>
      </c>
      <c r="X33" s="297">
        <f t="shared" si="6"/>
        <v>0.2638888888888889</v>
      </c>
      <c r="Y33" s="297">
        <f t="shared" si="7"/>
        <v>0</v>
      </c>
      <c r="Z33" s="472">
        <f t="shared" si="8"/>
        <v>60</v>
      </c>
    </row>
    <row r="34" spans="1:27" ht="15" customHeight="1">
      <c r="A34" s="28"/>
      <c r="B34" s="542"/>
      <c r="C34" s="362">
        <v>12</v>
      </c>
      <c r="D34" s="536"/>
      <c r="E34" s="537"/>
      <c r="F34" s="294"/>
      <c r="G34" s="294"/>
      <c r="H34" s="348"/>
      <c r="I34" s="33" t="s">
        <v>9</v>
      </c>
      <c r="J34" s="323"/>
      <c r="K34" s="284">
        <f>COUNTA([3]Brewhouse!$A$327:$A$353)</f>
        <v>27</v>
      </c>
      <c r="L34" s="302">
        <f>AVERAGE([3]Brewhouse!$AS$327:$AS$353)</f>
        <v>99.545759939380616</v>
      </c>
      <c r="M34" s="302">
        <f>AVERAGE([3]Brewhouse!$AS$52:$AS$81,[3]Brewhouse!$AS$83:$AS$124,[3]Brewhouse!$AS$134:$AS$177,[3]Brewhouse!$AS$22:$AS$179,[3]Brewhouse!$AS$214:$AS$249,[3]Brewhouse!$AS$252:$AS$293,[3]Brewhouse!$AS$295:$AS$325,[3]Brewhouse!$AS$327:$AS$353)</f>
        <v>98.236986123572123</v>
      </c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27" ht="14.65" customHeight="1">
      <c r="A35" s="28"/>
      <c r="B35" s="542"/>
      <c r="C35" s="362"/>
      <c r="D35" s="538"/>
      <c r="E35" s="539"/>
      <c r="F35" s="294"/>
      <c r="G35" s="294"/>
      <c r="H35" s="348"/>
      <c r="I35" s="34" t="s">
        <v>12</v>
      </c>
      <c r="J35" s="323"/>
      <c r="K35" s="284">
        <f>COUNTA([5]Brewhouse!$A$90:$A$97)</f>
        <v>8</v>
      </c>
      <c r="L35" s="302">
        <f>AVERAGE([5]Brewhouse!$AU$90:$AU$97)</f>
        <v>96.342250509798717</v>
      </c>
      <c r="M35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27" ht="14.65" customHeight="1">
      <c r="A36" s="28"/>
      <c r="B36" s="542"/>
      <c r="C36" s="362"/>
      <c r="D36" s="540"/>
      <c r="E36" s="537"/>
      <c r="F36" s="294"/>
      <c r="G36" s="294"/>
      <c r="H36" s="348"/>
      <c r="I36" s="22" t="s">
        <v>33</v>
      </c>
      <c r="J36" s="280"/>
      <c r="K36" s="284"/>
      <c r="L36" s="302"/>
      <c r="M36" s="302">
        <f>AVERAGE([6]Brewhouse!$AV$23:$AV$34,[6]Brewhouse!$AV$36,[6]Brewhouse!$AV$38:$AV$52,[6]Brewhouse!$AV$54:$AV$60,[6]Brewhouse!$AV$62:$AV$69,[6]Brewhouse!$AV$71:$AV$78,[6]Brewhouse!$AV$80:$AV$87)</f>
        <v>97.513042763382714</v>
      </c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27" ht="14.65" customHeight="1">
      <c r="A37" s="28"/>
      <c r="B37" s="542"/>
      <c r="C37" s="362"/>
      <c r="D37" s="538"/>
      <c r="E37" s="539"/>
      <c r="F37" s="294"/>
      <c r="G37" s="294"/>
      <c r="H37" s="348"/>
      <c r="I37" s="35" t="s">
        <v>29</v>
      </c>
      <c r="J37" s="280"/>
      <c r="K37" s="284"/>
      <c r="L37" s="302"/>
      <c r="M37" s="302"/>
      <c r="N37" s="3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1:27" ht="14.65" customHeight="1">
      <c r="A38" s="28"/>
      <c r="B38" s="542"/>
      <c r="C38" s="362"/>
      <c r="D38" s="540"/>
      <c r="E38" s="537"/>
      <c r="F38" s="417"/>
      <c r="G38" s="294"/>
      <c r="H38" s="348"/>
      <c r="I38" s="36" t="s">
        <v>15</v>
      </c>
      <c r="J38" s="323"/>
      <c r="K38" s="284"/>
      <c r="L38" s="302"/>
      <c r="M38" s="302">
        <f>AVERAGE([7]Brewhouse!$AT$4:$AT$11,[7]Brewhouse!$AT$13:$AT$16,[7]Brewhouse!$AT$18:$AT$21)</f>
        <v>91.832675391763644</v>
      </c>
      <c r="N38" s="30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</row>
    <row r="39" spans="1:27" ht="14.65" customHeight="1">
      <c r="A39" s="28"/>
      <c r="B39" s="542"/>
      <c r="C39" s="362"/>
      <c r="D39" s="538"/>
      <c r="E39" s="539"/>
      <c r="F39" s="417"/>
      <c r="G39" s="294"/>
      <c r="H39" s="348"/>
      <c r="I39" s="37" t="s">
        <v>16</v>
      </c>
      <c r="J39" s="323"/>
      <c r="K39" s="284">
        <f>COUNTA([8]Brewhouse!$A$84:$A$101)</f>
        <v>18</v>
      </c>
      <c r="L39" s="302">
        <f>AVERAGE([8]Brewhouse!$AY$84:$AY$101)</f>
        <v>97.389891141895035</v>
      </c>
      <c r="M39" s="302">
        <f>AVERAGE([8]Brewhouse!$AY$5:$AY$14,[8]Brewhouse!$AY$16:$AY$23,[8]Brewhouse!$AY$42,[8]Brewhouse!$AY$44:$AY$51,[8]Brewhouse!$AY$53:$AY$64,[8]Brewhouse!$AY$66:$AY$73,[8]Brewhouse!$AY$75:$AY$82,[8]Brewhouse!$AY$84:$AY$101)</f>
        <v>97.946352432648297</v>
      </c>
      <c r="N39" s="30">
        <v>98</v>
      </c>
      <c r="O39" s="11"/>
      <c r="P39" s="31" t="s">
        <v>41</v>
      </c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</row>
    <row r="40" spans="1:27" ht="14.65" customHeight="1">
      <c r="A40" s="28"/>
      <c r="B40" s="542"/>
      <c r="C40" s="362"/>
      <c r="D40" s="540"/>
      <c r="E40" s="537"/>
      <c r="F40" s="294"/>
      <c r="G40" s="294"/>
      <c r="H40" s="348"/>
      <c r="I40" s="411" t="s">
        <v>158</v>
      </c>
      <c r="J40" s="326"/>
      <c r="K40" s="284"/>
      <c r="L40" s="305"/>
      <c r="M40" s="305"/>
      <c r="N40" s="30">
        <v>98</v>
      </c>
      <c r="O40" s="11"/>
      <c r="P40" s="31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</row>
    <row r="41" spans="1:27" ht="14.65" customHeight="1">
      <c r="A41" s="28"/>
      <c r="B41" s="542"/>
      <c r="C41" s="362"/>
      <c r="D41" s="538"/>
      <c r="E41" s="539"/>
      <c r="F41" s="294"/>
      <c r="G41" s="294"/>
      <c r="H41" s="348"/>
      <c r="I41" s="410" t="s">
        <v>157</v>
      </c>
      <c r="J41" s="326"/>
      <c r="K41" s="284"/>
      <c r="L41" s="305"/>
      <c r="M41" s="305"/>
      <c r="N41" s="30">
        <v>98</v>
      </c>
      <c r="O41" s="11"/>
      <c r="P41" s="31"/>
      <c r="R41" s="277">
        <f t="shared" si="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  <c r="AA41" s="472"/>
    </row>
    <row r="42" spans="1:27" ht="15" customHeight="1" thickBot="1">
      <c r="A42" s="28"/>
      <c r="B42" s="542"/>
      <c r="C42" s="362"/>
      <c r="D42" s="540"/>
      <c r="E42" s="537"/>
      <c r="F42" s="294"/>
      <c r="G42" s="294"/>
      <c r="H42" s="348"/>
      <c r="I42" s="406" t="s">
        <v>156</v>
      </c>
      <c r="J42" s="327"/>
      <c r="K42" s="407"/>
      <c r="L42" s="408"/>
      <c r="M42" s="408"/>
      <c r="N42" s="409">
        <v>98</v>
      </c>
      <c r="O42" s="11"/>
      <c r="P42" s="31"/>
      <c r="R42" s="277">
        <f t="shared" si="0"/>
        <v>0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  <c r="AA42" s="472"/>
    </row>
    <row r="43" spans="1:27" ht="15" customHeight="1" thickBot="1">
      <c r="A43" s="28"/>
      <c r="B43" s="542"/>
      <c r="C43" s="349"/>
      <c r="D43" s="534"/>
      <c r="E43" s="535"/>
      <c r="F43" s="294"/>
      <c r="G43" s="294"/>
      <c r="H43" s="348"/>
      <c r="I43" s="1"/>
      <c r="J43" s="39"/>
      <c r="K43" s="404">
        <f>SUM(K33:K42)</f>
        <v>117</v>
      </c>
      <c r="L43" s="405">
        <f>((L33*K33)+(L34*K34)+(L35*K35)+(L36*K36)+(L37*K37)+(K40*L40)+(L38*K38)+(L39*K39)+(L42*K42))/(K43)</f>
        <v>98.798464522475186</v>
      </c>
      <c r="M43" s="405">
        <f>AVERAGE('[9]Jan30th-31st'!$L$42,'[10]Feb 27th-28th'!$L$45,'[11]Mar 31st'!$L$42,'[12]Apr 30th'!$L$41,'[13]May 29th '!$L$35,'[14]June 30th'!$L$32,[15]July31st!$L$36,L43)</f>
        <v>98.003984404315787</v>
      </c>
      <c r="N43" s="40">
        <v>98</v>
      </c>
      <c r="O43" s="11"/>
      <c r="P43" s="31"/>
      <c r="R43" s="277">
        <f t="shared" si="0"/>
        <v>0</v>
      </c>
      <c r="S43" s="472" t="e">
        <f t="shared" si="1"/>
        <v>#N/A</v>
      </c>
      <c r="T43" s="472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472" t="e">
        <f t="shared" si="8"/>
        <v>#N/A</v>
      </c>
      <c r="AA43" s="472"/>
    </row>
    <row r="44" spans="1:27" ht="15.75" thickBot="1">
      <c r="B44" s="606"/>
      <c r="C44" s="350"/>
      <c r="D44" s="536"/>
      <c r="E44" s="537"/>
      <c r="F44" s="294"/>
      <c r="G44" s="42"/>
      <c r="H44" s="41"/>
      <c r="I44" s="42"/>
      <c r="J44" s="42"/>
      <c r="K44" s="351"/>
      <c r="L44" s="348"/>
      <c r="M44" s="348"/>
      <c r="N44" s="11"/>
      <c r="O44" s="294"/>
      <c r="P44" s="12"/>
      <c r="R44" s="277">
        <f t="shared" si="0"/>
        <v>0</v>
      </c>
      <c r="S44" s="472" t="e">
        <f t="shared" si="1"/>
        <v>#N/A</v>
      </c>
      <c r="T44" s="472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472" t="e">
        <f t="shared" si="8"/>
        <v>#N/A</v>
      </c>
      <c r="AA44" s="472"/>
    </row>
    <row r="45" spans="1:27" ht="15.75" thickBot="1">
      <c r="B45" s="541"/>
      <c r="C45" s="362"/>
      <c r="D45" s="534"/>
      <c r="E45" s="535"/>
      <c r="F45" s="294"/>
      <c r="G45" s="42"/>
      <c r="H45" s="41"/>
      <c r="I45" s="42"/>
      <c r="J45" s="544" t="s">
        <v>129</v>
      </c>
      <c r="K45" s="544"/>
      <c r="L45" s="294"/>
      <c r="M45" s="294"/>
      <c r="N45" s="294"/>
      <c r="O45" s="294"/>
      <c r="P45" s="12"/>
    </row>
    <row r="46" spans="1:27" ht="15.75" thickBot="1">
      <c r="B46" s="542"/>
      <c r="C46" s="362"/>
      <c r="D46" s="536"/>
      <c r="E46" s="537"/>
      <c r="F46" s="294"/>
      <c r="G46" s="42"/>
      <c r="H46" s="42"/>
      <c r="I46" s="42"/>
      <c r="J46" s="292" t="s">
        <v>17</v>
      </c>
      <c r="K46" s="293"/>
      <c r="L46" s="545" t="s">
        <v>136</v>
      </c>
      <c r="M46" s="545"/>
      <c r="N46" s="546"/>
      <c r="O46" s="294"/>
      <c r="P46" s="12"/>
    </row>
    <row r="47" spans="1:27" ht="15" customHeight="1" thickBot="1">
      <c r="B47" s="542"/>
      <c r="C47" s="349"/>
      <c r="D47" s="538"/>
      <c r="E47" s="539"/>
      <c r="F47" s="294"/>
      <c r="G47" s="42"/>
      <c r="H47" s="42"/>
      <c r="I47" s="42"/>
      <c r="J47" s="287" t="s">
        <v>6</v>
      </c>
      <c r="K47" s="324">
        <v>10</v>
      </c>
      <c r="L47" s="473" t="s">
        <v>37</v>
      </c>
      <c r="M47" s="474" t="s">
        <v>38</v>
      </c>
      <c r="N47" s="474" t="s">
        <v>84</v>
      </c>
      <c r="O47" s="294"/>
      <c r="P47" s="12"/>
    </row>
    <row r="48" spans="1:27" ht="15.75" customHeight="1" thickBot="1">
      <c r="B48" s="542"/>
      <c r="C48" s="349"/>
      <c r="D48" s="540"/>
      <c r="E48" s="537"/>
      <c r="F48" s="294"/>
      <c r="G48" s="42"/>
      <c r="H48" s="42"/>
      <c r="I48" s="42"/>
      <c r="J48" s="345" t="s">
        <v>9</v>
      </c>
      <c r="K48" s="324"/>
      <c r="L48" s="494">
        <f>AVERAGE(K57,'Aug 3rd '!K47,'Aug 2nd'!K52,'Aug 4th'!K47,'Aug 5th'!K51,'Aug 6th'!K51,'Aug 7th'!K51,'Aug 12th'!K51,,'Aug 13th '!K51,'Aug 14th&amp;15th'!I55,'Aug 17th '!K55,'Aug 18th'!K55,'Aug 19th '!K55,'Aug 20th '!K55,'Aug 21st-22nd'!K65,'Aug 21st-22nd'!J65)</f>
        <v>6.882352941176471</v>
      </c>
      <c r="M48" s="495">
        <f>AVERAGE('[9]Jan30th-31st'!$L$47,L48,'[10]Feb 26th '!$L$39,'[11]Mar 31st'!$L$47,'[12]Apr 30th'!$L$46,'[13]May 29th '!$L$40,'[14]June 30th'!$L$39,[15]July31st!$L$41)</f>
        <v>6.4062161304168974</v>
      </c>
      <c r="N48" s="416">
        <v>9.1999999999999993</v>
      </c>
      <c r="O48" s="294"/>
      <c r="P48" s="12"/>
    </row>
    <row r="49" spans="2:57" ht="15" customHeight="1">
      <c r="B49" s="542"/>
      <c r="C49" s="349"/>
      <c r="D49" s="538"/>
      <c r="E49" s="539"/>
      <c r="F49" s="294"/>
      <c r="G49" s="42"/>
      <c r="H49" s="42"/>
      <c r="I49" s="42"/>
      <c r="J49" s="288" t="s">
        <v>40</v>
      </c>
      <c r="K49" s="324"/>
      <c r="L49" s="294"/>
      <c r="M49" s="294"/>
      <c r="N49" s="294"/>
      <c r="O49" s="294"/>
      <c r="P49" s="12"/>
    </row>
    <row r="50" spans="2:57" ht="15" customHeight="1">
      <c r="B50" s="542"/>
      <c r="C50" s="349"/>
      <c r="D50" s="540"/>
      <c r="E50" s="537"/>
      <c r="F50" s="294"/>
      <c r="G50" s="42"/>
      <c r="H50" s="42"/>
      <c r="I50" s="42"/>
      <c r="J50" s="289" t="s">
        <v>33</v>
      </c>
      <c r="K50" s="324"/>
      <c r="L50" s="294"/>
      <c r="M50" s="294"/>
      <c r="N50" s="294"/>
      <c r="O50" s="294"/>
      <c r="P50" s="12"/>
    </row>
    <row r="51" spans="2:57" ht="15">
      <c r="B51" s="542"/>
      <c r="C51" s="349"/>
      <c r="D51" s="538"/>
      <c r="E51" s="539"/>
      <c r="F51" s="294"/>
      <c r="G51" s="42"/>
      <c r="H51" s="42"/>
      <c r="I51" s="42"/>
      <c r="J51" s="290" t="s">
        <v>16</v>
      </c>
      <c r="K51" s="324"/>
      <c r="L51" s="294"/>
      <c r="M51" s="294"/>
      <c r="N51" s="294"/>
      <c r="O51" s="294"/>
      <c r="P51" s="12"/>
      <c r="BC51" s="44"/>
      <c r="BD51" s="44"/>
    </row>
    <row r="52" spans="2:57" ht="15">
      <c r="B52" s="542"/>
      <c r="C52" s="349"/>
      <c r="D52" s="540"/>
      <c r="E52" s="537"/>
      <c r="F52" s="294"/>
      <c r="G52" s="42"/>
      <c r="H52" s="42"/>
      <c r="I52" s="42"/>
      <c r="J52" s="291" t="s">
        <v>15</v>
      </c>
      <c r="K52" s="324"/>
      <c r="L52" s="294"/>
      <c r="M52" s="294"/>
      <c r="N52" s="294"/>
      <c r="O52" s="294"/>
      <c r="P52" s="12"/>
      <c r="BC52" s="44"/>
      <c r="BD52" s="44"/>
    </row>
    <row r="53" spans="2:57" ht="15">
      <c r="B53" s="542"/>
      <c r="C53" s="349"/>
      <c r="D53" s="538"/>
      <c r="E53" s="539"/>
      <c r="F53" s="294"/>
      <c r="G53" s="42"/>
      <c r="H53" s="42"/>
      <c r="I53" s="42"/>
      <c r="J53" s="291" t="s">
        <v>149</v>
      </c>
      <c r="K53" s="324"/>
      <c r="L53" s="294"/>
      <c r="M53" s="294"/>
      <c r="N53" s="294"/>
      <c r="O53" s="294"/>
      <c r="P53" s="12"/>
      <c r="BC53" s="44"/>
      <c r="BD53" s="44"/>
    </row>
    <row r="54" spans="2:57" ht="15.75" thickBot="1">
      <c r="B54" s="543"/>
      <c r="C54" s="350"/>
      <c r="D54" s="547"/>
      <c r="E54" s="548"/>
      <c r="F54" s="294" t="s">
        <v>166</v>
      </c>
      <c r="G54" s="42"/>
      <c r="H54" s="42"/>
      <c r="I54" s="42"/>
      <c r="J54" s="291" t="s">
        <v>148</v>
      </c>
      <c r="K54" s="324"/>
      <c r="L54" s="294"/>
      <c r="M54" s="294"/>
      <c r="N54" s="294" t="s">
        <v>41</v>
      </c>
      <c r="O54" s="294"/>
      <c r="P54" s="12"/>
      <c r="BC54" s="44"/>
      <c r="BD54" s="44"/>
    </row>
    <row r="55" spans="2:57" ht="17.649999999999999" customHeight="1" thickBot="1">
      <c r="B55" s="312" t="s">
        <v>139</v>
      </c>
      <c r="C55" s="313"/>
      <c r="D55" s="549"/>
      <c r="E55" s="550"/>
      <c r="F55" s="294"/>
      <c r="J55" s="295" t="s">
        <v>134</v>
      </c>
      <c r="K55" s="324"/>
      <c r="L55" s="294"/>
      <c r="M55" s="294"/>
      <c r="N55" s="294"/>
      <c r="O55" s="294"/>
      <c r="P55" s="12"/>
      <c r="BC55" s="44"/>
      <c r="BD55" s="44"/>
    </row>
    <row r="56" spans="2:57" ht="17.649999999999999" customHeight="1">
      <c r="B56" s="363"/>
      <c r="C56" s="364"/>
      <c r="D56" s="365"/>
      <c r="E56" s="365"/>
      <c r="F56" s="294"/>
      <c r="G56" s="42"/>
      <c r="H56" s="42"/>
      <c r="I56" s="42"/>
      <c r="J56" s="295" t="s">
        <v>131</v>
      </c>
      <c r="K56" s="324"/>
      <c r="L56" s="294"/>
      <c r="M56" s="294"/>
      <c r="N56" s="294"/>
      <c r="O56" s="294"/>
      <c r="P56" s="12"/>
      <c r="BC56" s="44"/>
      <c r="BD56" s="44"/>
    </row>
    <row r="57" spans="2:57" ht="15.6" customHeight="1">
      <c r="B57" s="45"/>
      <c r="C57" s="11"/>
      <c r="D57" s="11"/>
      <c r="E57" s="46"/>
      <c r="F57" s="294"/>
      <c r="G57" s="42"/>
      <c r="H57" s="42"/>
      <c r="I57" s="42"/>
      <c r="J57" s="346" t="s">
        <v>130</v>
      </c>
      <c r="K57" s="324">
        <f>SUM(K47:K56)</f>
        <v>10</v>
      </c>
      <c r="L57" s="294"/>
      <c r="M57" s="294"/>
      <c r="N57" s="294"/>
      <c r="O57" s="294"/>
      <c r="P57" s="12"/>
    </row>
    <row r="58" spans="2:57" ht="20.25" customHeight="1">
      <c r="B58" s="15" t="s">
        <v>42</v>
      </c>
      <c r="C58" s="1" t="s">
        <v>43</v>
      </c>
      <c r="D58" s="1"/>
      <c r="E58" s="1"/>
      <c r="F58" s="294"/>
      <c r="G58" s="42"/>
      <c r="H58" s="41"/>
      <c r="I58" s="42"/>
      <c r="L58" s="42"/>
      <c r="N58" s="315"/>
      <c r="P58" s="334"/>
    </row>
    <row r="59" spans="2:57" ht="15" customHeight="1" thickBot="1"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1"/>
      <c r="O59" s="48"/>
      <c r="P59" s="49"/>
    </row>
    <row r="60" spans="2:57" ht="15" customHeight="1" thickBot="1">
      <c r="B60" s="551" t="s">
        <v>17</v>
      </c>
      <c r="C60" s="551" t="s">
        <v>44</v>
      </c>
      <c r="D60" s="554" t="s">
        <v>45</v>
      </c>
      <c r="E60" s="519" t="s">
        <v>46</v>
      </c>
      <c r="F60" s="568" t="s">
        <v>47</v>
      </c>
      <c r="G60" s="563" t="s">
        <v>48</v>
      </c>
      <c r="H60" s="551" t="s">
        <v>49</v>
      </c>
      <c r="I60" s="551" t="s">
        <v>50</v>
      </c>
      <c r="J60" s="557" t="s">
        <v>28</v>
      </c>
      <c r="K60" s="517" t="s">
        <v>51</v>
      </c>
      <c r="L60" s="566" t="s">
        <v>52</v>
      </c>
      <c r="M60" s="557" t="s">
        <v>53</v>
      </c>
      <c r="N60" s="13"/>
      <c r="O60" s="13"/>
      <c r="P60" s="50"/>
    </row>
    <row r="61" spans="2:57" ht="28.5" customHeight="1" thickTop="1" thickBot="1">
      <c r="B61" s="552"/>
      <c r="C61" s="553"/>
      <c r="D61" s="555"/>
      <c r="E61" s="556"/>
      <c r="F61" s="569"/>
      <c r="G61" s="564"/>
      <c r="H61" s="552"/>
      <c r="I61" s="552"/>
      <c r="J61" s="558"/>
      <c r="K61" s="565"/>
      <c r="L61" s="567"/>
      <c r="M61" s="558"/>
      <c r="N61" s="13"/>
      <c r="O61" s="13"/>
      <c r="P61" s="50"/>
      <c r="Q61" s="355"/>
      <c r="AB61" s="475">
        <v>43474</v>
      </c>
      <c r="AC61" s="475">
        <v>43475</v>
      </c>
      <c r="AD61" s="475">
        <v>43476</v>
      </c>
      <c r="AE61" s="475">
        <v>43477</v>
      </c>
      <c r="AF61" s="475">
        <v>43478</v>
      </c>
      <c r="AG61" s="475">
        <v>43479</v>
      </c>
      <c r="AH61" s="475">
        <v>43480</v>
      </c>
      <c r="AI61" s="475">
        <v>43481</v>
      </c>
      <c r="AJ61" s="475">
        <v>43482</v>
      </c>
      <c r="AK61" s="475">
        <v>43483</v>
      </c>
      <c r="AL61" s="475">
        <v>43484</v>
      </c>
      <c r="AM61" s="475">
        <v>43485</v>
      </c>
      <c r="AN61" s="475">
        <v>43486</v>
      </c>
      <c r="AO61" s="475">
        <v>43487</v>
      </c>
      <c r="AP61" s="475">
        <v>43488</v>
      </c>
      <c r="AQ61" s="475">
        <v>43489</v>
      </c>
      <c r="AR61" s="475">
        <v>43490</v>
      </c>
      <c r="AS61" s="475">
        <v>43491</v>
      </c>
      <c r="AT61" s="475">
        <v>43492</v>
      </c>
      <c r="AU61" s="475">
        <v>43493</v>
      </c>
      <c r="AV61" s="475">
        <v>43494</v>
      </c>
      <c r="AW61" s="475">
        <v>43495</v>
      </c>
      <c r="AX61" s="475">
        <v>43496</v>
      </c>
    </row>
    <row r="62" spans="2:57" s="54" customFormat="1" ht="36.75" customHeight="1" thickBot="1">
      <c r="B62" s="480" t="str">
        <f>J47</f>
        <v>CARIB</v>
      </c>
      <c r="C62" s="479">
        <v>46236</v>
      </c>
      <c r="D62" s="445">
        <f>[35]August_2026!$AA$3</f>
        <v>102</v>
      </c>
      <c r="E62" s="443"/>
      <c r="F62" s="444"/>
      <c r="G62" s="444">
        <f>[35]August_2026!$AA$7</f>
        <v>92.4</v>
      </c>
      <c r="H62" s="458"/>
      <c r="I62" s="458"/>
      <c r="J62" s="448" t="s">
        <v>172</v>
      </c>
      <c r="K62" s="449">
        <f>[36]August_2026!$AA$18</f>
        <v>0.3242105263157895</v>
      </c>
      <c r="L62" s="457">
        <f>(((D62+E62)-G62)/(D62+E62))*100</f>
        <v>9.4117647058823479</v>
      </c>
      <c r="M62" s="455" t="s">
        <v>186</v>
      </c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[16]January_2019!L5</f>
        <v>0</v>
      </c>
      <c r="AC62" s="57">
        <f>[16]January_2019!M5</f>
        <v>0</v>
      </c>
      <c r="AD62" s="57">
        <f>[16]January_2019!N5</f>
        <v>0</v>
      </c>
      <c r="AE62" s="57">
        <f>[16]January_2019!O5</f>
        <v>0</v>
      </c>
      <c r="AF62" s="57">
        <f>[16]January_2019!P5</f>
        <v>0</v>
      </c>
      <c r="AG62" s="57">
        <f>[16]January_2019!Q5</f>
        <v>0</v>
      </c>
      <c r="AH62" s="57">
        <f>[16]January_2019!R5</f>
        <v>0</v>
      </c>
      <c r="AI62" s="57">
        <f>[16]January_2019!S5</f>
        <v>0</v>
      </c>
      <c r="AJ62" s="57">
        <f>[16]January_2019!T5</f>
        <v>0</v>
      </c>
      <c r="AK62" s="57">
        <f>[16]January_2019!U5</f>
        <v>0</v>
      </c>
      <c r="AL62" s="57">
        <f>[16]January_2019!V5</f>
        <v>0</v>
      </c>
      <c r="AM62" s="57">
        <f>[16]January_2019!W5</f>
        <v>0</v>
      </c>
      <c r="AN62" s="57">
        <f>[16]January_2019!X5</f>
        <v>0</v>
      </c>
      <c r="AO62" s="57">
        <f>[16]January_2019!Y5</f>
        <v>0</v>
      </c>
      <c r="AP62" s="57">
        <f>[16]January_2019!Z5</f>
        <v>0</v>
      </c>
      <c r="AQ62" s="57">
        <f>[16]January_2019!AA5</f>
        <v>0</v>
      </c>
      <c r="AR62" s="57">
        <f>[16]January_2019!AB5</f>
        <v>0</v>
      </c>
      <c r="AS62" s="57">
        <f>[16]January_2019!AC5</f>
        <v>0</v>
      </c>
      <c r="AT62" s="57">
        <f>[16]January_2019!AD5</f>
        <v>0</v>
      </c>
      <c r="AU62" s="57">
        <f>[16]January_2019!AE5</f>
        <v>0</v>
      </c>
      <c r="AV62" s="57">
        <f>[16]January_2019!AF5</f>
        <v>0</v>
      </c>
      <c r="AW62" s="57">
        <f>[16]January_2019!AG5</f>
        <v>0</v>
      </c>
      <c r="AX62" s="277">
        <f>[16]January_2019!AH5</f>
        <v>0</v>
      </c>
      <c r="AY62" s="277"/>
      <c r="AZ62" s="277"/>
      <c r="BA62" s="277"/>
      <c r="BB62" s="277"/>
      <c r="BC62" s="277"/>
      <c r="BD62" s="277"/>
      <c r="BE62" s="277"/>
    </row>
    <row r="63" spans="2:57" s="54" customFormat="1" ht="14.25" customHeight="1" thickBot="1">
      <c r="B63" s="480"/>
      <c r="C63" s="479"/>
      <c r="D63" s="442"/>
      <c r="E63" s="443"/>
      <c r="F63" s="444"/>
      <c r="G63" s="445"/>
      <c r="H63" s="458"/>
      <c r="I63" s="458"/>
      <c r="J63" s="476"/>
      <c r="K63" s="449"/>
      <c r="L63" s="457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[16]January_2019!L6</f>
        <v>0</v>
      </c>
      <c r="AC63" s="57">
        <f>[16]January_2019!M6</f>
        <v>0</v>
      </c>
      <c r="AD63" s="57">
        <f>[16]January_2019!N6</f>
        <v>0</v>
      </c>
      <c r="AE63" s="57">
        <f>[16]January_2019!O6</f>
        <v>0</v>
      </c>
      <c r="AF63" s="57">
        <f>[16]January_2019!P6</f>
        <v>0</v>
      </c>
      <c r="AG63" s="57">
        <f>[16]January_2019!Q6</f>
        <v>0</v>
      </c>
      <c r="AH63" s="57">
        <f>[16]January_2019!R6</f>
        <v>0</v>
      </c>
      <c r="AI63" s="57">
        <f>[16]January_2019!S6</f>
        <v>0</v>
      </c>
      <c r="AJ63" s="57">
        <f>[16]January_2019!T6</f>
        <v>0</v>
      </c>
      <c r="AK63" s="57">
        <f>[16]January_2019!U6</f>
        <v>0</v>
      </c>
      <c r="AL63" s="57">
        <f>[16]January_2019!V6</f>
        <v>0</v>
      </c>
      <c r="AM63" s="57">
        <f>[16]January_2019!W6</f>
        <v>0</v>
      </c>
      <c r="AN63" s="57">
        <f>[16]January_2019!X6</f>
        <v>0</v>
      </c>
      <c r="AO63" s="57">
        <f>[16]January_2019!Y6</f>
        <v>0</v>
      </c>
      <c r="AP63" s="57">
        <f>[16]January_2019!Z6</f>
        <v>0</v>
      </c>
      <c r="AQ63" s="57">
        <f>[16]January_2019!AA6</f>
        <v>0</v>
      </c>
      <c r="AR63" s="57">
        <f>[16]January_2019!AB6</f>
        <v>0</v>
      </c>
      <c r="AS63" s="57">
        <f>[16]January_2019!AC6</f>
        <v>0</v>
      </c>
      <c r="AT63" s="57">
        <f>[16]January_2019!AD6</f>
        <v>0</v>
      </c>
      <c r="AU63" s="57">
        <f>[16]January_2019!AE6</f>
        <v>0</v>
      </c>
      <c r="AV63" s="57">
        <f>[16]January_2019!AF6</f>
        <v>0</v>
      </c>
      <c r="AW63" s="57">
        <f>[16]January_2019!AG6</f>
        <v>0</v>
      </c>
      <c r="AX63" s="277">
        <f>[16]January_2019!AH6</f>
        <v>0</v>
      </c>
      <c r="AY63" s="277"/>
      <c r="AZ63" s="277"/>
      <c r="BA63" s="277"/>
      <c r="BB63" s="277"/>
      <c r="BC63" s="277"/>
      <c r="BD63" s="277"/>
      <c r="BE63" s="277"/>
    </row>
    <row r="64" spans="2:57" s="54" customFormat="1" ht="37.15" hidden="1" customHeight="1" thickBot="1">
      <c r="B64" s="456"/>
      <c r="C64" s="479"/>
      <c r="D64" s="442"/>
      <c r="E64" s="443"/>
      <c r="F64" s="444"/>
      <c r="G64" s="444"/>
      <c r="H64" s="458"/>
      <c r="I64" s="458"/>
      <c r="J64" s="448"/>
      <c r="K64" s="449"/>
      <c r="L64" s="457"/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>
        <f>[16]January_2019!L7</f>
        <v>285.8</v>
      </c>
      <c r="AC64" s="57">
        <f>[16]January_2019!M7</f>
        <v>508.1</v>
      </c>
      <c r="AD64" s="57">
        <f>[16]January_2019!N7</f>
        <v>0</v>
      </c>
      <c r="AE64" s="57">
        <f>[16]January_2019!O7</f>
        <v>0</v>
      </c>
      <c r="AF64" s="57">
        <f>[16]January_2019!P7</f>
        <v>109.56666666666666</v>
      </c>
      <c r="AG64" s="57">
        <f>[16]January_2019!Q7</f>
        <v>297.64999999999998</v>
      </c>
      <c r="AH64" s="57">
        <f>[16]January_2019!R7</f>
        <v>122.3</v>
      </c>
      <c r="AI64" s="57">
        <f>[16]January_2019!S7</f>
        <v>0</v>
      </c>
      <c r="AJ64" s="57">
        <f>[16]January_2019!T7</f>
        <v>294.7</v>
      </c>
      <c r="AK64" s="57">
        <f>[16]January_2019!U7</f>
        <v>280.5</v>
      </c>
      <c r="AL64" s="57">
        <f>[16]January_2019!V7</f>
        <v>0</v>
      </c>
      <c r="AM64" s="57">
        <f>[16]January_2019!W7</f>
        <v>0</v>
      </c>
      <c r="AN64" s="57">
        <f>[16]January_2019!X7</f>
        <v>188.25</v>
      </c>
      <c r="AO64" s="57">
        <f>[16]January_2019!Y7</f>
        <v>295.7</v>
      </c>
      <c r="AP64" s="57">
        <f>[16]January_2019!Z7</f>
        <v>257.8</v>
      </c>
      <c r="AQ64" s="57">
        <f>[16]January_2019!AA7</f>
        <v>291.2</v>
      </c>
      <c r="AR64" s="57">
        <f>[16]January_2019!AB7</f>
        <v>187</v>
      </c>
      <c r="AS64" s="57">
        <f>[16]January_2019!AC7</f>
        <v>0</v>
      </c>
      <c r="AT64" s="57">
        <f>[16]January_2019!AD7</f>
        <v>0</v>
      </c>
      <c r="AU64" s="57">
        <f>[16]January_2019!AE7</f>
        <v>485.1</v>
      </c>
      <c r="AV64" s="57">
        <f>[16]January_2019!AF7</f>
        <v>171.55</v>
      </c>
      <c r="AW64" s="57">
        <f>[16]January_2019!AG7</f>
        <v>423.8</v>
      </c>
      <c r="AX64" s="277">
        <f>[16]January_2019!AH7</f>
        <v>0</v>
      </c>
      <c r="AY64" s="277"/>
      <c r="AZ64" s="277"/>
      <c r="BA64" s="277"/>
      <c r="BB64" s="277"/>
      <c r="BC64" s="277"/>
      <c r="BD64" s="277"/>
      <c r="BE64" s="277"/>
    </row>
    <row r="65" spans="2:57" s="54" customFormat="1" ht="18.600000000000001" hidden="1" customHeight="1" thickBot="1">
      <c r="B65" s="478"/>
      <c r="C65" s="430"/>
      <c r="D65" s="431"/>
      <c r="E65" s="432"/>
      <c r="F65" s="433"/>
      <c r="G65" s="434"/>
      <c r="H65" s="458"/>
      <c r="I65" s="458"/>
      <c r="J65" s="451"/>
      <c r="K65" s="436"/>
      <c r="L65" s="452"/>
      <c r="M65" s="421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8.65" hidden="1" customHeight="1" thickBot="1">
      <c r="B66" s="498"/>
      <c r="C66" s="479"/>
      <c r="D66" s="442"/>
      <c r="E66" s="443"/>
      <c r="F66" s="444"/>
      <c r="G66" s="445"/>
      <c r="H66" s="458"/>
      <c r="I66" s="458"/>
      <c r="J66" s="448"/>
      <c r="K66" s="459"/>
      <c r="L66" s="457"/>
      <c r="M66" s="45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15" hidden="1">
      <c r="B67" s="453"/>
      <c r="C67" s="430"/>
      <c r="D67" s="431"/>
      <c r="E67" s="432"/>
      <c r="F67" s="433"/>
      <c r="G67" s="434"/>
      <c r="H67" s="435"/>
      <c r="I67" s="450"/>
      <c r="J67" s="451"/>
      <c r="K67" s="436"/>
      <c r="L67" s="452"/>
      <c r="M67" s="421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37.15" hidden="1" customHeight="1" thickBot="1">
      <c r="B68" s="482"/>
      <c r="C68" s="479"/>
      <c r="D68" s="442"/>
      <c r="E68" s="443"/>
      <c r="F68" s="444"/>
      <c r="G68" s="445"/>
      <c r="H68" s="446"/>
      <c r="I68" s="447"/>
      <c r="J68" s="448"/>
      <c r="K68" s="449"/>
      <c r="L68" s="457"/>
      <c r="M68" s="455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16.5" hidden="1" customHeight="1" thickBot="1">
      <c r="B69" s="437"/>
      <c r="C69" s="423"/>
      <c r="D69" s="424"/>
      <c r="E69" s="425"/>
      <c r="F69" s="426"/>
      <c r="G69" s="427"/>
      <c r="H69" s="428"/>
      <c r="I69" s="438"/>
      <c r="J69" s="439"/>
      <c r="K69" s="429"/>
      <c r="L69" s="440"/>
      <c r="M69" s="422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415"/>
      <c r="AC69" s="415"/>
      <c r="AD69" s="415"/>
      <c r="AE69" s="415"/>
      <c r="AF69" s="415"/>
      <c r="AG69" s="415"/>
      <c r="AH69" s="415"/>
      <c r="AI69" s="415"/>
      <c r="AJ69" s="415"/>
      <c r="AK69" s="415"/>
      <c r="AL69" s="415"/>
      <c r="AM69" s="415"/>
      <c r="AN69" s="415"/>
      <c r="AO69" s="415"/>
      <c r="AP69" s="415"/>
      <c r="AQ69" s="415"/>
      <c r="AR69" s="415"/>
      <c r="AS69" s="415"/>
      <c r="AT69" s="415"/>
      <c r="AU69" s="415"/>
      <c r="AV69" s="415"/>
      <c r="AW69" s="415"/>
    </row>
    <row r="70" spans="2:57" s="54" customFormat="1" ht="37.15" hidden="1" customHeight="1" thickBot="1">
      <c r="B70" s="456"/>
      <c r="C70" s="441"/>
      <c r="D70" s="442"/>
      <c r="E70" s="443"/>
      <c r="F70" s="444"/>
      <c r="G70" s="445"/>
      <c r="H70" s="446"/>
      <c r="I70" s="447"/>
      <c r="J70" s="448"/>
      <c r="K70" s="449"/>
      <c r="L70" s="457"/>
      <c r="M70" s="454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277"/>
      <c r="AY70" s="277"/>
      <c r="AZ70" s="277"/>
      <c r="BA70" s="277"/>
      <c r="BB70" s="277"/>
      <c r="BC70" s="277"/>
      <c r="BD70" s="277"/>
      <c r="BE70" s="277"/>
    </row>
    <row r="71" spans="2:57" s="54" customFormat="1" ht="37.15" customHeight="1">
      <c r="B71" s="466"/>
      <c r="C71" s="430"/>
      <c r="D71" s="460"/>
      <c r="E71" s="461"/>
      <c r="F71" s="462"/>
      <c r="G71" s="460"/>
      <c r="H71" s="463"/>
      <c r="I71" s="463"/>
      <c r="J71" s="463"/>
      <c r="K71" s="464"/>
      <c r="L71" s="465"/>
      <c r="M71" s="50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277"/>
      <c r="AY71" s="277"/>
      <c r="AZ71" s="277"/>
      <c r="BA71" s="277"/>
      <c r="BB71" s="277"/>
      <c r="BC71" s="277"/>
      <c r="BD71" s="277"/>
      <c r="BE71" s="277"/>
    </row>
    <row r="72" spans="2:57" ht="18" customHeight="1" thickBot="1">
      <c r="B72" s="59"/>
      <c r="C72" s="30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 t="s">
        <v>41</v>
      </c>
      <c r="O72" s="56"/>
      <c r="P72" s="60"/>
    </row>
    <row r="73" spans="2:57" ht="15.75" thickBot="1">
      <c r="B73" s="559" t="s">
        <v>55</v>
      </c>
      <c r="C73" s="560"/>
      <c r="D73" s="560"/>
      <c r="E73" s="560"/>
      <c r="F73" s="561"/>
      <c r="G73" s="559" t="s">
        <v>56</v>
      </c>
      <c r="H73" s="560"/>
      <c r="I73" s="560"/>
      <c r="J73" s="561"/>
      <c r="K73" s="559" t="s">
        <v>51</v>
      </c>
      <c r="L73" s="560"/>
      <c r="M73" s="560"/>
      <c r="N73" s="562"/>
      <c r="O73" s="56"/>
      <c r="P73" s="50"/>
    </row>
    <row r="74" spans="2:57" ht="15">
      <c r="B74" s="61" t="s">
        <v>17</v>
      </c>
      <c r="C74" s="62" t="s">
        <v>36</v>
      </c>
      <c r="D74" s="62" t="s">
        <v>37</v>
      </c>
      <c r="E74" s="62" t="s">
        <v>38</v>
      </c>
      <c r="F74" s="63" t="s">
        <v>39</v>
      </c>
      <c r="G74" s="62" t="s">
        <v>36</v>
      </c>
      <c r="H74" s="62" t="s">
        <v>37</v>
      </c>
      <c r="I74" s="62" t="s">
        <v>38</v>
      </c>
      <c r="J74" s="63" t="s">
        <v>39</v>
      </c>
      <c r="K74" s="62"/>
      <c r="L74" s="62" t="s">
        <v>37</v>
      </c>
      <c r="M74" s="62" t="s">
        <v>38</v>
      </c>
      <c r="N74" s="63" t="s">
        <v>39</v>
      </c>
      <c r="O74" s="56"/>
      <c r="P74" s="64"/>
    </row>
    <row r="75" spans="2:57" ht="15">
      <c r="B75" s="29" t="s">
        <v>6</v>
      </c>
      <c r="C75" s="65">
        <f>L62</f>
        <v>9.4117647058823479</v>
      </c>
      <c r="D75" s="76">
        <v>5.5835535250091075</v>
      </c>
      <c r="E75" s="76">
        <v>6.3865689770433125</v>
      </c>
      <c r="F75" s="66">
        <v>4.8</v>
      </c>
      <c r="G75" s="65">
        <f>[35]August_2026!$AA$11</f>
        <v>9.7741176470588158</v>
      </c>
      <c r="H75" s="477">
        <v>5.5155298311908512</v>
      </c>
      <c r="I75" s="477">
        <v>6.6305961655808172</v>
      </c>
      <c r="J75" s="66">
        <v>4.8</v>
      </c>
      <c r="K75" s="67">
        <f>K62</f>
        <v>0.3242105263157895</v>
      </c>
      <c r="L75" s="194">
        <v>0.44716602111338949</v>
      </c>
      <c r="M75" s="194">
        <v>0.5265725764780923</v>
      </c>
      <c r="N75" s="68">
        <v>1</v>
      </c>
      <c r="O75" s="56"/>
      <c r="P75" s="69"/>
    </row>
    <row r="76" spans="2:57" ht="15">
      <c r="B76" s="33" t="s">
        <v>9</v>
      </c>
      <c r="C76" s="65"/>
      <c r="D76" s="76">
        <v>7.5735775016350662</v>
      </c>
      <c r="E76" s="76">
        <v>5.9735660276997917</v>
      </c>
      <c r="F76" s="66">
        <v>4.8</v>
      </c>
      <c r="G76" s="65"/>
      <c r="H76" s="76">
        <v>7.2701428258065999</v>
      </c>
      <c r="I76" s="76">
        <v>5.9696748056569886</v>
      </c>
      <c r="J76" s="66">
        <v>4.8</v>
      </c>
      <c r="K76" s="67"/>
      <c r="L76" s="194">
        <v>0.67225146198830421</v>
      </c>
      <c r="M76" s="194">
        <v>0.69969789623338174</v>
      </c>
      <c r="N76" s="68">
        <v>1</v>
      </c>
      <c r="P76" s="69"/>
    </row>
    <row r="77" spans="2:57" ht="15">
      <c r="B77" s="34" t="s">
        <v>40</v>
      </c>
      <c r="C77" s="65"/>
      <c r="D77" s="76">
        <v>8.0132764343290681</v>
      </c>
      <c r="E77" s="76">
        <v>11.085360064780945</v>
      </c>
      <c r="F77" s="66">
        <v>5.5</v>
      </c>
      <c r="G77" s="65"/>
      <c r="H77" s="76">
        <v>7.261998133908862</v>
      </c>
      <c r="I77" s="76">
        <v>11.847386208595987</v>
      </c>
      <c r="J77" s="66">
        <v>5.5</v>
      </c>
      <c r="K77" s="67"/>
      <c r="L77" s="194">
        <v>0.68070175438596492</v>
      </c>
      <c r="M77" s="194">
        <v>0.37172629490392645</v>
      </c>
      <c r="N77" s="68">
        <v>1</v>
      </c>
      <c r="P77" s="69"/>
    </row>
    <row r="78" spans="2:57" ht="15">
      <c r="B78" s="22" t="s">
        <v>33</v>
      </c>
      <c r="C78" s="65"/>
      <c r="D78" s="76"/>
      <c r="E78" s="76">
        <v>4.8685538193023836</v>
      </c>
      <c r="F78" s="66">
        <v>3.3</v>
      </c>
      <c r="G78" s="65"/>
      <c r="H78" s="76"/>
      <c r="I78" s="76">
        <v>5.0921772905826597</v>
      </c>
      <c r="J78" s="66">
        <v>3.3</v>
      </c>
      <c r="K78" s="67"/>
      <c r="L78" s="194"/>
      <c r="M78" s="194">
        <v>0.79040935672514623</v>
      </c>
      <c r="N78" s="68">
        <v>1</v>
      </c>
      <c r="P78" s="69"/>
    </row>
    <row r="79" spans="2:57" ht="15">
      <c r="B79" s="35" t="s">
        <v>164</v>
      </c>
      <c r="C79" s="65"/>
      <c r="D79" s="76"/>
      <c r="E79" s="76"/>
      <c r="F79" s="66">
        <v>3.3</v>
      </c>
      <c r="G79" s="282"/>
      <c r="H79" s="76"/>
      <c r="I79" s="76"/>
      <c r="J79" s="66">
        <v>3</v>
      </c>
      <c r="K79" s="67"/>
      <c r="L79" s="194"/>
      <c r="M79" s="194"/>
      <c r="N79" s="68">
        <v>1</v>
      </c>
      <c r="P79" s="69"/>
    </row>
    <row r="80" spans="2:57" ht="15">
      <c r="B80" s="36" t="s">
        <v>15</v>
      </c>
      <c r="C80" s="65"/>
      <c r="D80" s="76"/>
      <c r="E80" s="76">
        <v>6.0400197628458603</v>
      </c>
      <c r="F80" s="70">
        <v>5.5</v>
      </c>
      <c r="G80" s="65"/>
      <c r="H80" s="76"/>
      <c r="I80" s="76">
        <v>8.2405787675951316</v>
      </c>
      <c r="J80" s="66">
        <v>5.5</v>
      </c>
      <c r="K80" s="67"/>
      <c r="L80" s="194"/>
      <c r="M80" s="194">
        <v>0.78491228070175445</v>
      </c>
      <c r="N80" s="68">
        <v>1</v>
      </c>
      <c r="P80" s="69"/>
    </row>
    <row r="81" spans="2:16" ht="15">
      <c r="B81" s="37" t="s">
        <v>16</v>
      </c>
      <c r="C81" s="483"/>
      <c r="D81" s="76">
        <v>2.3312883435582821</v>
      </c>
      <c r="E81" s="76">
        <v>3.4897129331795727</v>
      </c>
      <c r="F81" s="66">
        <v>3.3</v>
      </c>
      <c r="G81" s="282"/>
      <c r="H81" s="76">
        <v>2.9668764888279751</v>
      </c>
      <c r="I81" s="76">
        <v>4.7322074825777003</v>
      </c>
      <c r="J81" s="66">
        <v>3.3</v>
      </c>
      <c r="K81" s="67"/>
      <c r="L81" s="194">
        <v>1.3964912280701753</v>
      </c>
      <c r="M81" s="194">
        <v>0.9346464646464645</v>
      </c>
      <c r="N81" s="71">
        <v>1</v>
      </c>
      <c r="P81" s="69"/>
    </row>
    <row r="82" spans="2:16" ht="15.75" thickBot="1">
      <c r="B82" s="38" t="s">
        <v>163</v>
      </c>
      <c r="C82" s="65"/>
      <c r="D82" s="76"/>
      <c r="E82" s="76"/>
      <c r="F82" s="66">
        <v>7.5</v>
      </c>
      <c r="G82" s="282"/>
      <c r="H82" s="76"/>
      <c r="I82" s="76"/>
      <c r="J82" s="66">
        <v>7.5</v>
      </c>
      <c r="K82" s="67"/>
      <c r="L82" s="194"/>
      <c r="M82" s="194"/>
      <c r="N82" s="71">
        <v>1</v>
      </c>
      <c r="P82" s="69"/>
    </row>
    <row r="83" spans="2:16" ht="15.75" thickBot="1">
      <c r="B83" s="414" t="s">
        <v>161</v>
      </c>
      <c r="C83" s="65"/>
      <c r="D83" s="76"/>
      <c r="E83" s="76"/>
      <c r="F83" s="66">
        <v>4.8</v>
      </c>
      <c r="G83" s="282"/>
      <c r="H83" s="76"/>
      <c r="I83" s="76"/>
      <c r="J83" s="66">
        <v>4.8</v>
      </c>
      <c r="K83" s="67"/>
      <c r="L83" s="194"/>
      <c r="M83" s="194"/>
      <c r="N83" s="71">
        <v>1</v>
      </c>
      <c r="O83" s="74"/>
      <c r="P83" s="75"/>
    </row>
    <row r="84" spans="2:16" ht="15">
      <c r="D84" s="76">
        <v>5.9346008466531419</v>
      </c>
      <c r="E84" s="76">
        <v>6.2799764926296744</v>
      </c>
      <c r="F84" s="341">
        <v>5.5</v>
      </c>
      <c r="H84" s="76">
        <v>5.7704289052872495</v>
      </c>
      <c r="I84" s="76">
        <v>6.6645249500090156</v>
      </c>
      <c r="J84" s="341">
        <v>5.5</v>
      </c>
      <c r="L84" s="194">
        <v>0.56329835004177109</v>
      </c>
      <c r="M84" s="194">
        <v>0.60212762697177147</v>
      </c>
      <c r="N84" s="386">
        <v>1</v>
      </c>
    </row>
  </sheetData>
  <mergeCells count="51">
    <mergeCell ref="M60:M61"/>
    <mergeCell ref="B73:F73"/>
    <mergeCell ref="G73:J73"/>
    <mergeCell ref="K73:N73"/>
    <mergeCell ref="G60:G61"/>
    <mergeCell ref="H60:H61"/>
    <mergeCell ref="I60:I61"/>
    <mergeCell ref="J60:J61"/>
    <mergeCell ref="K60:K61"/>
    <mergeCell ref="L60:L61"/>
    <mergeCell ref="F60:F61"/>
    <mergeCell ref="D55:E55"/>
    <mergeCell ref="B60:B61"/>
    <mergeCell ref="C60:C61"/>
    <mergeCell ref="D60:D61"/>
    <mergeCell ref="E60:E61"/>
    <mergeCell ref="B45:B54"/>
    <mergeCell ref="D45:E46"/>
    <mergeCell ref="J45:K45"/>
    <mergeCell ref="L46:N46"/>
    <mergeCell ref="D47:E48"/>
    <mergeCell ref="D49:E50"/>
    <mergeCell ref="D51:E52"/>
    <mergeCell ref="D53:E54"/>
    <mergeCell ref="I31:N31"/>
    <mergeCell ref="D32:E32"/>
    <mergeCell ref="B33:B44"/>
    <mergeCell ref="D33:E34"/>
    <mergeCell ref="D35:E36"/>
    <mergeCell ref="D37:E38"/>
    <mergeCell ref="D39:E40"/>
    <mergeCell ref="D41:E42"/>
    <mergeCell ref="D43:E44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5:B56">
    <cfRule type="cellIs" dxfId="1162" priority="104" operator="notBetween">
      <formula>#REF!</formula>
      <formula>#REF!</formula>
    </cfRule>
  </conditionalFormatting>
  <conditionalFormatting sqref="C59">
    <cfRule type="cellIs" dxfId="1161" priority="187" stopIfTrue="1" operator="greaterThan">
      <formula>100</formula>
    </cfRule>
    <cfRule type="cellIs" dxfId="1160" priority="186" stopIfTrue="1" operator="lessThan">
      <formula>96</formula>
    </cfRule>
  </conditionalFormatting>
  <conditionalFormatting sqref="C75:C76">
    <cfRule type="cellIs" dxfId="1159" priority="69" stopIfTrue="1" operator="lessThanOrEqual">
      <formula>0</formula>
    </cfRule>
    <cfRule type="cellIs" dxfId="1158" priority="66" stopIfTrue="1" operator="greaterThan">
      <formula>$F75</formula>
    </cfRule>
    <cfRule type="cellIs" dxfId="1157" priority="68" stopIfTrue="1" operator="greaterThan">
      <formula>$F75</formula>
    </cfRule>
    <cfRule type="cellIs" dxfId="1156" priority="67" stopIfTrue="1" operator="lessThanOrEqual">
      <formula>0</formula>
    </cfRule>
  </conditionalFormatting>
  <conditionalFormatting sqref="C77:C79 C81:C83">
    <cfRule type="cellIs" dxfId="1155" priority="76" stopIfTrue="1" operator="greaterThan">
      <formula>$F80</formula>
    </cfRule>
  </conditionalFormatting>
  <conditionalFormatting sqref="C77:C79">
    <cfRule type="cellIs" dxfId="1154" priority="77" stopIfTrue="1" operator="lessThanOrEqual">
      <formula>0</formula>
    </cfRule>
  </conditionalFormatting>
  <conditionalFormatting sqref="C80">
    <cfRule type="cellIs" dxfId="1153" priority="190" stopIfTrue="1" operator="greaterThan">
      <formula>$F75</formula>
    </cfRule>
    <cfRule type="cellIs" dxfId="1152" priority="189" stopIfTrue="1" operator="lessThanOrEqual">
      <formula>0</formula>
    </cfRule>
    <cfRule type="cellIs" dxfId="1151" priority="188" stopIfTrue="1" operator="greaterThan">
      <formula>$F75</formula>
    </cfRule>
    <cfRule type="cellIs" dxfId="1150" priority="191" stopIfTrue="1" operator="lessThanOrEqual">
      <formula>0</formula>
    </cfRule>
  </conditionalFormatting>
  <conditionalFormatting sqref="C81:C83">
    <cfRule type="cellIs" dxfId="1149" priority="78" stopIfTrue="1" operator="lessThanOrEqual">
      <formula>0</formula>
    </cfRule>
  </conditionalFormatting>
  <conditionalFormatting sqref="C86:C90">
    <cfRule type="cellIs" dxfId="1148" priority="178" stopIfTrue="1" operator="lessThanOrEqual">
      <formula>0</formula>
    </cfRule>
  </conditionalFormatting>
  <conditionalFormatting sqref="C87:C90">
    <cfRule type="cellIs" dxfId="1147" priority="177" stopIfTrue="1" operator="greaterThan">
      <formula>$F$86</formula>
    </cfRule>
  </conditionalFormatting>
  <conditionalFormatting sqref="C92">
    <cfRule type="cellIs" dxfId="1146" priority="180" stopIfTrue="1" operator="lessThanOrEqual">
      <formula>0</formula>
    </cfRule>
    <cfRule type="cellIs" dxfId="1145" priority="179" stopIfTrue="1" operator="greaterThan">
      <formula>$F$86</formula>
    </cfRule>
  </conditionalFormatting>
  <conditionalFormatting sqref="C80:D80">
    <cfRule type="cellIs" dxfId="1144" priority="64" stopIfTrue="1" operator="greaterThan">
      <formula>$J80</formula>
    </cfRule>
    <cfRule type="cellIs" dxfId="1143" priority="65" stopIfTrue="1" operator="lessThanOrEqual">
      <formula>0</formula>
    </cfRule>
  </conditionalFormatting>
  <conditionalFormatting sqref="C86:D86 D88:D94">
    <cfRule type="cellIs" dxfId="1142" priority="172" stopIfTrue="1" operator="greaterThan">
      <formula>4.5</formula>
    </cfRule>
  </conditionalFormatting>
  <conditionalFormatting sqref="D55:D56">
    <cfRule type="cellIs" dxfId="1141" priority="105" operator="notBetween">
      <formula>#REF!</formula>
      <formula>#REF!</formula>
    </cfRule>
  </conditionalFormatting>
  <conditionalFormatting sqref="D75:D79 D81:D82">
    <cfRule type="cellIs" dxfId="1140" priority="75" stopIfTrue="1" operator="lessThanOrEqual">
      <formula>0</formula>
    </cfRule>
  </conditionalFormatting>
  <conditionalFormatting sqref="D75:D79 D81:D84">
    <cfRule type="cellIs" dxfId="1139" priority="72" stopIfTrue="1" operator="greaterThan">
      <formula>$F75</formula>
    </cfRule>
    <cfRule type="cellIs" dxfId="1138" priority="71" stopIfTrue="1" operator="lessThanOrEqual">
      <formula>0</formula>
    </cfRule>
  </conditionalFormatting>
  <conditionalFormatting sqref="D83:D84">
    <cfRule type="cellIs" dxfId="1137" priority="73" stopIfTrue="1" operator="lessThanOrEqual">
      <formula>0</formula>
    </cfRule>
  </conditionalFormatting>
  <conditionalFormatting sqref="D84">
    <cfRule type="cellIs" dxfId="1136" priority="74" stopIfTrue="1" operator="lessThanOrEqual">
      <formula>0</formula>
    </cfRule>
  </conditionalFormatting>
  <conditionalFormatting sqref="D86 D88:D94">
    <cfRule type="cellIs" dxfId="1135" priority="173" stopIfTrue="1" operator="lessThanOrEqual">
      <formula>0</formula>
    </cfRule>
  </conditionalFormatting>
  <conditionalFormatting sqref="D87">
    <cfRule type="cellIs" dxfId="1134" priority="165" stopIfTrue="1" operator="lessThanOrEqual">
      <formula>0</formula>
    </cfRule>
    <cfRule type="cellIs" dxfId="1133" priority="164" stopIfTrue="1" operator="greaterThan">
      <formula>$F$86</formula>
    </cfRule>
  </conditionalFormatting>
  <conditionalFormatting sqref="E10:E30">
    <cfRule type="cellIs" dxfId="1132" priority="9" operator="lessThan">
      <formula>48</formula>
    </cfRule>
  </conditionalFormatting>
  <conditionalFormatting sqref="E58 E59:F59">
    <cfRule type="cellIs" dxfId="1131" priority="169" stopIfTrue="1" operator="greaterThan">
      <formula>100</formula>
    </cfRule>
  </conditionalFormatting>
  <conditionalFormatting sqref="E59">
    <cfRule type="cellIs" dxfId="1130" priority="167" stopIfTrue="1" operator="greaterThan">
      <formula>100</formula>
    </cfRule>
    <cfRule type="cellIs" dxfId="1129" priority="166" stopIfTrue="1" operator="lessThan">
      <formula>96.8</formula>
    </cfRule>
  </conditionalFormatting>
  <conditionalFormatting sqref="E75:E83">
    <cfRule type="cellIs" dxfId="1128" priority="37" stopIfTrue="1" operator="lessThanOrEqual">
      <formula>0</formula>
    </cfRule>
  </conditionalFormatting>
  <conditionalFormatting sqref="E75:E84">
    <cfRule type="cellIs" dxfId="1127" priority="39" stopIfTrue="1" operator="lessThanOrEqual">
      <formula>0</formula>
    </cfRule>
    <cfRule type="cellIs" dxfId="1126" priority="38" stopIfTrue="1" operator="greaterThan">
      <formula>$F75</formula>
    </cfRule>
  </conditionalFormatting>
  <conditionalFormatting sqref="E84">
    <cfRule type="cellIs" dxfId="1125" priority="40" stopIfTrue="1" operator="lessThanOrEqual">
      <formula>0</formula>
    </cfRule>
  </conditionalFormatting>
  <conditionalFormatting sqref="E86:E94">
    <cfRule type="cellIs" dxfId="1124" priority="158" stopIfTrue="1" operator="greaterThan">
      <formula>4.5</formula>
    </cfRule>
    <cfRule type="cellIs" dxfId="1123" priority="159" stopIfTrue="1" operator="lessThanOrEqual">
      <formula>0</formula>
    </cfRule>
  </conditionalFormatting>
  <conditionalFormatting sqref="E59:F59 E58">
    <cfRule type="cellIs" dxfId="1122" priority="168" stopIfTrue="1" operator="lessThan">
      <formula>96.5</formula>
    </cfRule>
  </conditionalFormatting>
  <conditionalFormatting sqref="F10:F20 F22:F30">
    <cfRule type="cellIs" dxfId="1121" priority="14" operator="greaterThan">
      <formula>60</formula>
    </cfRule>
  </conditionalFormatting>
  <conditionalFormatting sqref="F59">
    <cfRule type="cellIs" dxfId="1120" priority="185" stopIfTrue="1" operator="greaterThan">
      <formula>100</formula>
    </cfRule>
    <cfRule type="cellIs" dxfId="1119" priority="184" stopIfTrue="1" operator="lessThan">
      <formula>96.8</formula>
    </cfRule>
  </conditionalFormatting>
  <conditionalFormatting sqref="G21">
    <cfRule type="expression" dxfId="1118" priority="11">
      <formula>IF(+(IF(G21&lt;S21,0,IF(G21&gt;T21,0,1)))=0,1)</formula>
    </cfRule>
  </conditionalFormatting>
  <conditionalFormatting sqref="G75:G78 F84">
    <cfRule type="cellIs" dxfId="1117" priority="46" stopIfTrue="1" operator="greaterThan">
      <formula>$F75</formula>
    </cfRule>
    <cfRule type="cellIs" dxfId="1116" priority="47" stopIfTrue="1" operator="lessThanOrEqual">
      <formula>0</formula>
    </cfRule>
  </conditionalFormatting>
  <conditionalFormatting sqref="G77:G78">
    <cfRule type="cellIs" dxfId="1115" priority="32" stopIfTrue="1" operator="greaterThan">
      <formula>$F77</formula>
    </cfRule>
    <cfRule type="cellIs" dxfId="1114" priority="33" stopIfTrue="1" operator="lessThanOrEqual">
      <formula>0</formula>
    </cfRule>
  </conditionalFormatting>
  <conditionalFormatting sqref="G79:G83">
    <cfRule type="cellIs" dxfId="1113" priority="48" stopIfTrue="1" operator="greaterThan">
      <formula>$J79</formula>
    </cfRule>
    <cfRule type="cellIs" dxfId="1112" priority="49" stopIfTrue="1" operator="lessThanOrEqual">
      <formula>0</formula>
    </cfRule>
  </conditionalFormatting>
  <conditionalFormatting sqref="G80">
    <cfRule type="cellIs" dxfId="1111" priority="193" stopIfTrue="1" operator="lessThanOrEqual">
      <formula>0</formula>
    </cfRule>
    <cfRule type="cellIs" dxfId="1110" priority="192" stopIfTrue="1" operator="greaterThan">
      <formula>$F75</formula>
    </cfRule>
  </conditionalFormatting>
  <conditionalFormatting sqref="G88:G93 C91 C93">
    <cfRule type="cellIs" dxfId="1109" priority="182" stopIfTrue="1" operator="lessThanOrEqual">
      <formula>0</formula>
    </cfRule>
    <cfRule type="cellIs" dxfId="1108" priority="181" stopIfTrue="1" operator="greaterThan">
      <formula>4.5</formula>
    </cfRule>
  </conditionalFormatting>
  <conditionalFormatting sqref="G87:H87">
    <cfRule type="cellIs" dxfId="1107" priority="162" stopIfTrue="1" operator="greaterThan">
      <formula>$F$86</formula>
    </cfRule>
    <cfRule type="cellIs" dxfId="1106" priority="163" stopIfTrue="1" operator="lessThanOrEqual">
      <formula>0</formula>
    </cfRule>
  </conditionalFormatting>
  <conditionalFormatting sqref="H10:H21">
    <cfRule type="expression" dxfId="1105" priority="10">
      <formula>IF(+(IF(H10&lt;#REF!,0,IF(H10&gt;#REF!,0,1)))=0,1)</formula>
    </cfRule>
  </conditionalFormatting>
  <conditionalFormatting sqref="H44:H45 H58">
    <cfRule type="cellIs" dxfId="1104" priority="160" stopIfTrue="1" operator="greaterThan">
      <formula>0</formula>
    </cfRule>
  </conditionalFormatting>
  <conditionalFormatting sqref="H62">
    <cfRule type="cellIs" dxfId="1103" priority="51" stopIfTrue="1" operator="lessThanOrEqual">
      <formula>0</formula>
    </cfRule>
    <cfRule type="cellIs" dxfId="1102" priority="60" stopIfTrue="1" operator="greaterThan">
      <formula>$F$78</formula>
    </cfRule>
    <cfRule type="cellIs" dxfId="1101" priority="61" stopIfTrue="1" operator="lessThanOrEqual">
      <formula>0</formula>
    </cfRule>
    <cfRule type="cellIs" dxfId="1100" priority="62" stopIfTrue="1" operator="greaterThan">
      <formula>$F$76</formula>
    </cfRule>
    <cfRule type="cellIs" dxfId="1099" priority="52" stopIfTrue="1" operator="greaterThan">
      <formula>$F$75</formula>
    </cfRule>
  </conditionalFormatting>
  <conditionalFormatting sqref="H62:H63">
    <cfRule type="cellIs" dxfId="1098" priority="63" stopIfTrue="1" operator="lessThanOrEqual">
      <formula>0</formula>
    </cfRule>
  </conditionalFormatting>
  <conditionalFormatting sqref="H63 H65:H66">
    <cfRule type="cellIs" dxfId="1097" priority="90" stopIfTrue="1" operator="lessThanOrEqual">
      <formula>0</formula>
    </cfRule>
  </conditionalFormatting>
  <conditionalFormatting sqref="H63">
    <cfRule type="cellIs" dxfId="1096" priority="88" stopIfTrue="1" operator="lessThanOrEqual">
      <formula>0</formula>
    </cfRule>
    <cfRule type="cellIs" dxfId="1095" priority="89" stopIfTrue="1" operator="greaterThan">
      <formula>$F$76</formula>
    </cfRule>
    <cfRule type="cellIs" dxfId="1094" priority="79" stopIfTrue="1" operator="greaterThan">
      <formula>$F$75</formula>
    </cfRule>
    <cfRule type="cellIs" dxfId="1093" priority="87" stopIfTrue="1" operator="greaterThan">
      <formula>$F$78</formula>
    </cfRule>
  </conditionalFormatting>
  <conditionalFormatting sqref="H64">
    <cfRule type="cellIs" dxfId="1092" priority="30" stopIfTrue="1" operator="lessThanOrEqual">
      <formula>0</formula>
    </cfRule>
    <cfRule type="cellIs" dxfId="1091" priority="29" stopIfTrue="1" operator="greaterThan">
      <formula>$F$78</formula>
    </cfRule>
    <cfRule type="cellIs" dxfId="1090" priority="27" stopIfTrue="1" operator="greaterThan">
      <formula>$F$80</formula>
    </cfRule>
    <cfRule type="cellIs" dxfId="1089" priority="19" stopIfTrue="1" operator="greaterThan">
      <formula>$F$77</formula>
    </cfRule>
    <cfRule type="cellIs" dxfId="1088" priority="18" stopIfTrue="1" operator="lessThanOrEqual">
      <formula>0</formula>
    </cfRule>
    <cfRule type="cellIs" dxfId="1087" priority="28" stopIfTrue="1" operator="lessThanOrEqual">
      <formula>0</formula>
    </cfRule>
  </conditionalFormatting>
  <conditionalFormatting sqref="H65:H66">
    <cfRule type="cellIs" dxfId="1086" priority="103" stopIfTrue="1" operator="lessThanOrEqual">
      <formula>0</formula>
    </cfRule>
    <cfRule type="cellIs" dxfId="1085" priority="102" stopIfTrue="1" operator="greaterThan">
      <formula>$F$76</formula>
    </cfRule>
    <cfRule type="cellIs" dxfId="1084" priority="101" stopIfTrue="1" operator="lessThanOrEqual">
      <formula>0</formula>
    </cfRule>
    <cfRule type="cellIs" dxfId="1083" priority="100" stopIfTrue="1" operator="greaterThan">
      <formula>$F$78</formula>
    </cfRule>
    <cfRule type="cellIs" dxfId="1082" priority="92" stopIfTrue="1" operator="greaterThan">
      <formula>$F$75</formula>
    </cfRule>
  </conditionalFormatting>
  <conditionalFormatting sqref="H67:H68">
    <cfRule type="cellIs" dxfId="1081" priority="136" stopIfTrue="1" operator="greaterThan">
      <formula>#REF!</formula>
    </cfRule>
    <cfRule type="cellIs" dxfId="1080" priority="137" stopIfTrue="1" operator="lessThanOrEqual">
      <formula>0</formula>
    </cfRule>
    <cfRule type="cellIs" dxfId="1079" priority="127" stopIfTrue="1" operator="lessThanOrEqual">
      <formula>0</formula>
    </cfRule>
    <cfRule type="cellIs" dxfId="1078" priority="128" stopIfTrue="1" operator="greaterThan">
      <formula>#REF!</formula>
    </cfRule>
  </conditionalFormatting>
  <conditionalFormatting sqref="H69">
    <cfRule type="cellIs" dxfId="1077" priority="139" stopIfTrue="1" operator="lessThanOrEqual">
      <formula>0</formula>
    </cfRule>
    <cfRule type="cellIs" dxfId="1076" priority="140" stopIfTrue="1" operator="greaterThan">
      <formula>$F$43</formula>
    </cfRule>
    <cfRule type="cellIs" dxfId="1075" priority="148" stopIfTrue="1" operator="greaterThan">
      <formula>$F$46</formula>
    </cfRule>
    <cfRule type="cellIs" dxfId="1074" priority="149" stopIfTrue="1" operator="lessThanOrEqual">
      <formula>0</formula>
    </cfRule>
    <cfRule type="cellIs" dxfId="1073" priority="150" stopIfTrue="1" operator="greaterThan">
      <formula>$F$44</formula>
    </cfRule>
    <cfRule type="cellIs" dxfId="1072" priority="151" stopIfTrue="1" operator="lessThanOrEqual">
      <formula>0</formula>
    </cfRule>
  </conditionalFormatting>
  <conditionalFormatting sqref="H70:H71">
    <cfRule type="cellIs" dxfId="1071" priority="124" stopIfTrue="1" operator="greaterThan">
      <formula>#REF!</formula>
    </cfRule>
    <cfRule type="cellIs" dxfId="1070" priority="115" stopIfTrue="1" operator="lessThanOrEqual">
      <formula>0</formula>
    </cfRule>
    <cfRule type="cellIs" dxfId="1069" priority="125" stopIfTrue="1" operator="lessThanOrEqual">
      <formula>0</formula>
    </cfRule>
    <cfRule type="cellIs" dxfId="1068" priority="116" stopIfTrue="1" operator="greaterThan">
      <formula>#REF!</formula>
    </cfRule>
  </conditionalFormatting>
  <conditionalFormatting sqref="H86 H88:H94">
    <cfRule type="cellIs" dxfId="1067" priority="174" stopIfTrue="1" operator="greaterThan">
      <formula>4.5</formula>
    </cfRule>
    <cfRule type="cellIs" dxfId="1066" priority="175" stopIfTrue="1" operator="lessThanOrEqual">
      <formula>0</formula>
    </cfRule>
  </conditionalFormatting>
  <conditionalFormatting sqref="H62:I62">
    <cfRule type="cellIs" dxfId="1065" priority="53" stopIfTrue="1" operator="lessThanOrEqual">
      <formula>0</formula>
    </cfRule>
  </conditionalFormatting>
  <conditionalFormatting sqref="H62:I63 H65:I66">
    <cfRule type="cellIs" dxfId="1064" priority="50" stopIfTrue="1" operator="greaterThan">
      <formula>$F$77</formula>
    </cfRule>
  </conditionalFormatting>
  <conditionalFormatting sqref="H63:I63">
    <cfRule type="cellIs" dxfId="1063" priority="80" stopIfTrue="1" operator="lessThanOrEqual">
      <formula>0</formula>
    </cfRule>
  </conditionalFormatting>
  <conditionalFormatting sqref="H64:I64">
    <cfRule type="cellIs" dxfId="1062" priority="20" stopIfTrue="1" operator="lessThanOrEqual">
      <formula>0</formula>
    </cfRule>
    <cfRule type="cellIs" dxfId="1061" priority="17" stopIfTrue="1" operator="greaterThan">
      <formula>$F$79</formula>
    </cfRule>
  </conditionalFormatting>
  <conditionalFormatting sqref="H65:I66">
    <cfRule type="cellIs" dxfId="1060" priority="93" stopIfTrue="1" operator="lessThanOrEqual">
      <formula>0</formula>
    </cfRule>
  </conditionalFormatting>
  <conditionalFormatting sqref="H67:I68">
    <cfRule type="cellIs" dxfId="1059" priority="135" stopIfTrue="1" operator="lessThanOrEqual">
      <formula>0</formula>
    </cfRule>
    <cfRule type="cellIs" dxfId="1058" priority="134" stopIfTrue="1" operator="greaterThan">
      <formula>#REF!</formula>
    </cfRule>
    <cfRule type="cellIs" dxfId="1057" priority="129" stopIfTrue="1" operator="lessThanOrEqual">
      <formula>0</formula>
    </cfRule>
    <cfRule type="cellIs" dxfId="1056" priority="126" stopIfTrue="1" operator="greaterThan">
      <formula>#REF!</formula>
    </cfRule>
  </conditionalFormatting>
  <conditionalFormatting sqref="H69:I69">
    <cfRule type="cellIs" dxfId="1055" priority="138" stopIfTrue="1" operator="greaterThan">
      <formula>$F$45</formula>
    </cfRule>
    <cfRule type="cellIs" dxfId="1054" priority="141" stopIfTrue="1" operator="lessThanOrEqual">
      <formula>0</formula>
    </cfRule>
  </conditionalFormatting>
  <conditionalFormatting sqref="H70:I71">
    <cfRule type="cellIs" dxfId="1053" priority="114" stopIfTrue="1" operator="greaterThan">
      <formula>#REF!</formula>
    </cfRule>
    <cfRule type="cellIs" dxfId="1052" priority="117" stopIfTrue="1" operator="lessThanOrEqual">
      <formula>0</formula>
    </cfRule>
    <cfRule type="cellIs" dxfId="1051" priority="123" stopIfTrue="1" operator="lessThanOrEqual">
      <formula>0</formula>
    </cfRule>
    <cfRule type="cellIs" dxfId="1050" priority="122" stopIfTrue="1" operator="greaterThan">
      <formula>#REF!</formula>
    </cfRule>
  </conditionalFormatting>
  <conditionalFormatting sqref="H75:I82">
    <cfRule type="cellIs" dxfId="1049" priority="36" stopIfTrue="1" operator="lessThanOrEqual">
      <formula>0</formula>
    </cfRule>
    <cfRule type="cellIs" dxfId="1048" priority="35" stopIfTrue="1" operator="greaterThan">
      <formula>$J75</formula>
    </cfRule>
  </conditionalFormatting>
  <conditionalFormatting sqref="H83:I83">
    <cfRule type="cellIs" dxfId="1047" priority="43" operator="greaterThan">
      <formula>5.3</formula>
    </cfRule>
  </conditionalFormatting>
  <conditionalFormatting sqref="H84:I84">
    <cfRule type="cellIs" dxfId="1046" priority="41" stopIfTrue="1" operator="greaterThan">
      <formula>$J84</formula>
    </cfRule>
    <cfRule type="cellIs" dxfId="1045" priority="42" stopIfTrue="1" operator="lessThanOrEqual">
      <formula>0</formula>
    </cfRule>
  </conditionalFormatting>
  <conditionalFormatting sqref="I62">
    <cfRule type="cellIs" dxfId="1044" priority="57" stopIfTrue="1" operator="lessThanOrEqual">
      <formula>0</formula>
    </cfRule>
    <cfRule type="cellIs" dxfId="1043" priority="56" stopIfTrue="1" operator="greaterThan">
      <formula>$F$77</formula>
    </cfRule>
    <cfRule type="cellIs" dxfId="1042" priority="55" stopIfTrue="1" operator="lessThanOrEqual">
      <formula>0</formula>
    </cfRule>
    <cfRule type="cellIs" dxfId="1041" priority="54" stopIfTrue="1" operator="greaterThan">
      <formula>$F$75</formula>
    </cfRule>
    <cfRule type="cellIs" dxfId="1040" priority="59" stopIfTrue="1" operator="lessThanOrEqual">
      <formula>0</formula>
    </cfRule>
    <cfRule type="cellIs" dxfId="1039" priority="58" stopIfTrue="1" operator="greaterThan">
      <formula>$F$75</formula>
    </cfRule>
  </conditionalFormatting>
  <conditionalFormatting sqref="I63">
    <cfRule type="cellIs" dxfId="1038" priority="85" stopIfTrue="1" operator="greaterThan">
      <formula>$F$75</formula>
    </cfRule>
    <cfRule type="cellIs" dxfId="1037" priority="84" stopIfTrue="1" operator="lessThanOrEqual">
      <formula>0</formula>
    </cfRule>
    <cfRule type="cellIs" dxfId="1036" priority="86" stopIfTrue="1" operator="lessThanOrEqual">
      <formula>0</formula>
    </cfRule>
    <cfRule type="cellIs" dxfId="1035" priority="83" stopIfTrue="1" operator="greaterThan">
      <formula>$F$77</formula>
    </cfRule>
    <cfRule type="cellIs" dxfId="1034" priority="82" stopIfTrue="1" operator="lessThanOrEqual">
      <formula>0</formula>
    </cfRule>
    <cfRule type="cellIs" dxfId="1033" priority="81" stopIfTrue="1" operator="greaterThan">
      <formula>$F$75</formula>
    </cfRule>
  </conditionalFormatting>
  <conditionalFormatting sqref="I64">
    <cfRule type="cellIs" dxfId="1032" priority="24" stopIfTrue="1" operator="lessThanOrEqual">
      <formula>0</formula>
    </cfRule>
    <cfRule type="cellIs" dxfId="1031" priority="23" stopIfTrue="1" operator="greaterThan">
      <formula>$F$79</formula>
    </cfRule>
    <cfRule type="cellIs" dxfId="1030" priority="21" stopIfTrue="1" operator="greaterThan">
      <formula>$F$77</formula>
    </cfRule>
    <cfRule type="cellIs" dxfId="1029" priority="26" stopIfTrue="1" operator="lessThanOrEqual">
      <formula>0</formula>
    </cfRule>
    <cfRule type="cellIs" dxfId="1028" priority="22" stopIfTrue="1" operator="lessThanOrEqual">
      <formula>0</formula>
    </cfRule>
    <cfRule type="cellIs" dxfId="1027" priority="25" stopIfTrue="1" operator="greaterThan">
      <formula>$F$77</formula>
    </cfRule>
  </conditionalFormatting>
  <conditionalFormatting sqref="I65:I66">
    <cfRule type="cellIs" dxfId="1026" priority="97" stopIfTrue="1" operator="lessThanOrEqual">
      <formula>0</formula>
    </cfRule>
    <cfRule type="cellIs" dxfId="1025" priority="96" stopIfTrue="1" operator="greaterThan">
      <formula>$F$77</formula>
    </cfRule>
    <cfRule type="cellIs" dxfId="1024" priority="94" stopIfTrue="1" operator="greaterThan">
      <formula>$F$75</formula>
    </cfRule>
    <cfRule type="cellIs" dxfId="1023" priority="99" stopIfTrue="1" operator="lessThanOrEqual">
      <formula>0</formula>
    </cfRule>
    <cfRule type="cellIs" dxfId="1022" priority="95" stopIfTrue="1" operator="lessThanOrEqual">
      <formula>0</formula>
    </cfRule>
    <cfRule type="cellIs" dxfId="1021" priority="98" stopIfTrue="1" operator="greaterThan">
      <formula>$F$75</formula>
    </cfRule>
  </conditionalFormatting>
  <conditionalFormatting sqref="I67:I68">
    <cfRule type="cellIs" dxfId="1020" priority="130" stopIfTrue="1" operator="greaterThan">
      <formula>#REF!</formula>
    </cfRule>
    <cfRule type="cellIs" dxfId="1019" priority="131" stopIfTrue="1" operator="lessThanOrEqual">
      <formula>0</formula>
    </cfRule>
    <cfRule type="cellIs" dxfId="1018" priority="132" stopIfTrue="1" operator="greaterThan">
      <formula>#REF!</formula>
    </cfRule>
    <cfRule type="cellIs" dxfId="1017" priority="133" stopIfTrue="1" operator="lessThanOrEqual">
      <formula>0</formula>
    </cfRule>
  </conditionalFormatting>
  <conditionalFormatting sqref="I69">
    <cfRule type="cellIs" dxfId="1016" priority="142" stopIfTrue="1" operator="greaterThan">
      <formula>$F$43</formula>
    </cfRule>
    <cfRule type="cellIs" dxfId="1015" priority="143" stopIfTrue="1" operator="lessThanOrEqual">
      <formula>0</formula>
    </cfRule>
    <cfRule type="cellIs" dxfId="1014" priority="144" stopIfTrue="1" operator="greaterThan">
      <formula>$F$45</formula>
    </cfRule>
    <cfRule type="cellIs" dxfId="1013" priority="145" stopIfTrue="1" operator="lessThanOrEqual">
      <formula>0</formula>
    </cfRule>
    <cfRule type="cellIs" dxfId="1012" priority="147" stopIfTrue="1" operator="lessThanOrEqual">
      <formula>0</formula>
    </cfRule>
    <cfRule type="cellIs" dxfId="1011" priority="146" stopIfTrue="1" operator="greaterThan">
      <formula>$F$43</formula>
    </cfRule>
  </conditionalFormatting>
  <conditionalFormatting sqref="I70:I71">
    <cfRule type="cellIs" dxfId="1010" priority="118" stopIfTrue="1" operator="greaterThan">
      <formula>#REF!</formula>
    </cfRule>
    <cfRule type="cellIs" dxfId="1009" priority="119" stopIfTrue="1" operator="lessThanOrEqual">
      <formula>0</formula>
    </cfRule>
    <cfRule type="cellIs" dxfId="1008" priority="120" stopIfTrue="1" operator="greaterThan">
      <formula>#REF!</formula>
    </cfRule>
    <cfRule type="cellIs" dxfId="1007" priority="121" stopIfTrue="1" operator="lessThanOrEqual">
      <formula>0</formula>
    </cfRule>
  </conditionalFormatting>
  <conditionalFormatting sqref="I86:I94">
    <cfRule type="cellIs" dxfId="1006" priority="171" stopIfTrue="1" operator="lessThanOrEqual">
      <formula>0</formula>
    </cfRule>
    <cfRule type="cellIs" dxfId="1005" priority="170" stopIfTrue="1" operator="greaterThan">
      <formula>4.5</formula>
    </cfRule>
  </conditionalFormatting>
  <conditionalFormatting sqref="I10:J30">
    <cfRule type="cellIs" dxfId="1004" priority="3" operator="lessThan">
      <formula>97.9</formula>
    </cfRule>
  </conditionalFormatting>
  <conditionalFormatting sqref="J33:J35">
    <cfRule type="cellIs" dxfId="1003" priority="16" operator="lessThan">
      <formula>97.95</formula>
    </cfRule>
  </conditionalFormatting>
  <conditionalFormatting sqref="J35:J37">
    <cfRule type="cellIs" dxfId="1002" priority="152" operator="lessThan">
      <formula>97.4</formula>
    </cfRule>
  </conditionalFormatting>
  <conditionalFormatting sqref="J38:J39">
    <cfRule type="cellIs" dxfId="1001" priority="153" operator="lessThan">
      <formula>98</formula>
    </cfRule>
  </conditionalFormatting>
  <conditionalFormatting sqref="J40:J41">
    <cfRule type="cellIs" dxfId="1000" priority="154" stopIfTrue="1" operator="lessThan">
      <formula>96.8</formula>
    </cfRule>
    <cfRule type="cellIs" dxfId="999" priority="155" stopIfTrue="1" operator="greaterThan">
      <formula>100</formula>
    </cfRule>
  </conditionalFormatting>
  <conditionalFormatting sqref="J40:J42">
    <cfRule type="cellIs" dxfId="998" priority="156" operator="lessThan">
      <formula>98</formula>
    </cfRule>
  </conditionalFormatting>
  <conditionalFormatting sqref="J71">
    <cfRule type="cellIs" dxfId="997" priority="108" stopIfTrue="1" operator="greaterThan">
      <formula>#REF!</formula>
    </cfRule>
    <cfRule type="cellIs" dxfId="996" priority="106" stopIfTrue="1" operator="greaterThan">
      <formula>#REF!</formula>
    </cfRule>
    <cfRule type="cellIs" dxfId="995" priority="107" stopIfTrue="1" operator="lessThanOrEqual">
      <formula>0</formula>
    </cfRule>
    <cfRule type="cellIs" dxfId="994" priority="109" stopIfTrue="1" operator="lessThanOrEqual">
      <formula>0</formula>
    </cfRule>
    <cfRule type="cellIs" dxfId="993" priority="110" stopIfTrue="1" operator="greaterThan">
      <formula>#REF!</formula>
    </cfRule>
    <cfRule type="cellIs" dxfId="992" priority="111" stopIfTrue="1" operator="lessThanOrEqual">
      <formula>0</formula>
    </cfRule>
    <cfRule type="cellIs" dxfId="991" priority="112" stopIfTrue="1" operator="greaterThan">
      <formula>#REF!</formula>
    </cfRule>
    <cfRule type="cellIs" dxfId="990" priority="113" stopIfTrue="1" operator="lessThanOrEqual">
      <formula>0</formula>
    </cfRule>
  </conditionalFormatting>
  <conditionalFormatting sqref="J84">
    <cfRule type="cellIs" dxfId="989" priority="45" stopIfTrue="1" operator="lessThanOrEqual">
      <formula>0</formula>
    </cfRule>
    <cfRule type="cellIs" dxfId="988" priority="44" stopIfTrue="1" operator="greaterThan">
      <formula>$F84</formula>
    </cfRule>
  </conditionalFormatting>
  <conditionalFormatting sqref="K10:K30">
    <cfRule type="cellIs" dxfId="987" priority="4" operator="greaterThan">
      <formula>6</formula>
    </cfRule>
    <cfRule type="cellIs" dxfId="986" priority="6" operator="greaterThan">
      <formula>6.4</formula>
    </cfRule>
    <cfRule type="cellIs" dxfId="985" priority="5" operator="lessThan">
      <formula>4</formula>
    </cfRule>
  </conditionalFormatting>
  <conditionalFormatting sqref="K62:K71">
    <cfRule type="cellIs" dxfId="984" priority="91" stopIfTrue="1" operator="lessThan">
      <formula>100%</formula>
    </cfRule>
  </conditionalFormatting>
  <conditionalFormatting sqref="K75:K83">
    <cfRule type="cellIs" dxfId="983" priority="34" stopIfTrue="1" operator="lessThan">
      <formula>100%</formula>
    </cfRule>
  </conditionalFormatting>
  <conditionalFormatting sqref="K86:K91">
    <cfRule type="cellIs" dxfId="982" priority="176" stopIfTrue="1" operator="lessThan">
      <formula>100%</formula>
    </cfRule>
  </conditionalFormatting>
  <conditionalFormatting sqref="K93:K94">
    <cfRule type="cellIs" dxfId="981" priority="183" stopIfTrue="1" operator="lessThan">
      <formula>100%</formula>
    </cfRule>
  </conditionalFormatting>
  <conditionalFormatting sqref="L10:L30">
    <cfRule type="cellIs" dxfId="980" priority="7" operator="between">
      <formula>61</formula>
      <formula>65</formula>
    </cfRule>
    <cfRule type="cellIs" dxfId="979" priority="8" operator="greaterThan">
      <formula>65</formula>
    </cfRule>
  </conditionalFormatting>
  <conditionalFormatting sqref="L33:M44">
    <cfRule type="cellIs" dxfId="978" priority="15" operator="lessThan">
      <formula>97.95</formula>
    </cfRule>
  </conditionalFormatting>
  <conditionalFormatting sqref="L48:N48">
    <cfRule type="cellIs" dxfId="977" priority="70" operator="notEqual">
      <formula>#REF!</formula>
    </cfRule>
  </conditionalFormatting>
  <conditionalFormatting sqref="L75:N84">
    <cfRule type="cellIs" dxfId="976" priority="31" stopIfTrue="1" operator="lessThan">
      <formula>100%</formula>
    </cfRule>
  </conditionalFormatting>
  <conditionalFormatting sqref="L86:N94">
    <cfRule type="cellIs" dxfId="975" priority="161" stopIfTrue="1" operator="lessThan">
      <formula>100%</formula>
    </cfRule>
  </conditionalFormatting>
  <conditionalFormatting sqref="M10:M19">
    <cfRule type="expression" dxfId="974" priority="1">
      <formula>IF(+(IF(M10&lt;$U$10,0,IF(M10&gt;$V$10,0,1)))=0,1)</formula>
    </cfRule>
  </conditionalFormatting>
  <conditionalFormatting sqref="N10:N19 G10:G20 M20:N20 M22 G22:H30 M23:N30">
    <cfRule type="expression" dxfId="973" priority="13">
      <formula>IF(+(IF(G10&lt;#REF!,0,IF(G10&gt;#REF!,0,1)))=0,1)</formula>
    </cfRule>
  </conditionalFormatting>
  <conditionalFormatting sqref="N10:N30 M21">
    <cfRule type="expression" dxfId="972" priority="12">
      <formula>IF(+(IF(M10&lt;V10,0,IF(M10&gt;W10,0,1)))=0,1)</formula>
    </cfRule>
  </conditionalFormatting>
  <conditionalFormatting sqref="P6">
    <cfRule type="cellIs" dxfId="971" priority="157" operator="greaterThanOrEqual">
      <formula>19</formula>
    </cfRule>
  </conditionalFormatting>
  <dataValidations count="1">
    <dataValidation type="list" allowBlank="1" showInputMessage="1" showErrorMessage="1" sqref="R8" xr:uid="{4E62C746-F2E3-4F18-BF3D-02868C852850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8" max="16383" man="1"/>
  </rowBreaks>
  <colBreaks count="1" manualBreakCount="1">
    <brk id="15" max="89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FEAB-C6BE-440D-9D00-74F49BDA2CF0}">
  <sheetPr>
    <pageSetUpPr fitToPage="1"/>
  </sheetPr>
  <dimension ref="A1:BE85"/>
  <sheetViews>
    <sheetView topLeftCell="A8" zoomScale="85" zoomScaleNormal="85" workbookViewId="0">
      <selection activeCell="G10" sqref="G10:G18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12" t="s">
        <v>0</v>
      </c>
      <c r="T1" s="512"/>
      <c r="U1" s="512" t="s">
        <v>1</v>
      </c>
      <c r="V1" s="512"/>
      <c r="W1" s="512" t="s">
        <v>2</v>
      </c>
      <c r="X1" s="512"/>
      <c r="Y1" s="512" t="s">
        <v>124</v>
      </c>
      <c r="Z1" s="512"/>
    </row>
    <row r="2" spans="2:29" ht="15">
      <c r="B2" s="513" t="s">
        <v>3</v>
      </c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46260</v>
      </c>
      <c r="J4" s="398" t="s">
        <v>153</v>
      </c>
      <c r="K4" s="398"/>
      <c r="L4" s="11"/>
      <c r="M4" s="510" t="s">
        <v>8</v>
      </c>
      <c r="N4" s="511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6"/>
      <c r="D5" s="516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196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19" t="s">
        <v>18</v>
      </c>
      <c r="D8" s="519" t="s">
        <v>19</v>
      </c>
      <c r="E8" s="356" t="s">
        <v>20</v>
      </c>
      <c r="F8" s="356" t="s">
        <v>21</v>
      </c>
      <c r="G8" s="519" t="s">
        <v>22</v>
      </c>
      <c r="H8" s="520" t="s">
        <v>144</v>
      </c>
      <c r="I8" s="519" t="s">
        <v>181</v>
      </c>
      <c r="J8" s="522" t="s">
        <v>23</v>
      </c>
      <c r="K8" s="524" t="s">
        <v>142</v>
      </c>
      <c r="L8" s="526" t="s">
        <v>24</v>
      </c>
      <c r="M8" s="359" t="s">
        <v>25</v>
      </c>
      <c r="N8" s="17" t="s">
        <v>168</v>
      </c>
      <c r="O8" s="519" t="s">
        <v>155</v>
      </c>
      <c r="P8" s="514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8"/>
      <c r="C9" s="515"/>
      <c r="D9" s="515"/>
      <c r="E9" s="357" t="s">
        <v>30</v>
      </c>
      <c r="F9" s="357" t="s">
        <v>31</v>
      </c>
      <c r="G9" s="515"/>
      <c r="H9" s="521"/>
      <c r="I9" s="515"/>
      <c r="J9" s="523"/>
      <c r="K9" s="525"/>
      <c r="L9" s="527"/>
      <c r="M9" s="20" t="s">
        <v>32</v>
      </c>
      <c r="N9" s="21" t="s">
        <v>41</v>
      </c>
      <c r="O9" s="515"/>
      <c r="P9" s="515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[4]Brewhouse!$A669</f>
        <v>CA621</v>
      </c>
      <c r="D10" s="279">
        <f>[4]Brewhouse!$AF669</f>
        <v>51.7</v>
      </c>
      <c r="E10" s="279">
        <f>[4]Brewhouse!$AI669</f>
        <v>52.5</v>
      </c>
      <c r="F10" s="278">
        <f>[4]Brewhouse!$V669</f>
        <v>57</v>
      </c>
      <c r="G10" s="279">
        <f>[4]Brewhouse!AG669</f>
        <v>11.9</v>
      </c>
      <c r="H10" s="396">
        <v>12</v>
      </c>
      <c r="I10" s="368">
        <f>[4]Brewhouse!$AU669</f>
        <v>105.37379988612518</v>
      </c>
      <c r="J10" s="368">
        <f>[4]Brewhouse!$AV669</f>
        <v>105.46955826713973</v>
      </c>
      <c r="K10" s="281">
        <f>[4]Brewhouse!$Q669</f>
        <v>8</v>
      </c>
      <c r="L10" s="276">
        <f>[4]Brewhouse!$P669</f>
        <v>61</v>
      </c>
      <c r="M10" s="374">
        <f>[4]Brewhouse!$U669-[4]Brewhouse!$T669</f>
        <v>0.13333333333333336</v>
      </c>
      <c r="N10" s="370">
        <f>[4]Brewhouse!$Z669</f>
        <v>0.30208333333333337</v>
      </c>
      <c r="O10" s="420" t="str">
        <f>[4]Brewhouse!$AX669</f>
        <v>K. Benjamin</v>
      </c>
      <c r="P10" s="418"/>
      <c r="R10" s="277" t="str">
        <f t="shared" ref="R10:R24" si="0">B10</f>
        <v>CARIB</v>
      </c>
      <c r="S10" s="472">
        <f t="shared" ref="S10:S24" si="1">VLOOKUP($B10,$R$3:$X$9,2,FALSE)</f>
        <v>11.6</v>
      </c>
      <c r="T10" s="472">
        <f t="shared" ref="T10:T24" si="2">VLOOKUP($B10,$R$3:$X$9,3,FALSE)</f>
        <v>12</v>
      </c>
      <c r="U10" s="297">
        <f t="shared" ref="U10:U24" si="3">VLOOKUP($B10,$R$3:$X$9,4,FALSE)</f>
        <v>0</v>
      </c>
      <c r="V10" s="297">
        <f t="shared" ref="V10:V24" si="4">VLOOKUP($B10,$R$3:$X$9,5,FALSE)</f>
        <v>0.118055555555556</v>
      </c>
      <c r="W10" s="297">
        <f t="shared" ref="W10:W24" si="5">VLOOKUP($B10,$R$3:$X$9,6,FALSE)</f>
        <v>0.22569444444444445</v>
      </c>
      <c r="X10" s="297">
        <f t="shared" ref="X10:X24" si="6">VLOOKUP($B10,$R$3:$X$9,7,FALSE)</f>
        <v>0.2638888888888889</v>
      </c>
      <c r="Y10" s="297">
        <f t="shared" ref="Y10:Y24" si="7">VLOOKUP($B10,$R$3:$Z$9,8,FALSE)</f>
        <v>0</v>
      </c>
      <c r="Z10" s="472">
        <f t="shared" ref="Z10:Z24" si="8">VLOOKUP($B10,$R$3:$Z$9,9,FALSE)</f>
        <v>60</v>
      </c>
    </row>
    <row r="11" spans="2:29" ht="15" customHeight="1">
      <c r="B11" s="29" t="s">
        <v>6</v>
      </c>
      <c r="C11" s="366" t="str">
        <f>[4]Brewhouse!$A670</f>
        <v>CA622</v>
      </c>
      <c r="D11" s="279">
        <f>[4]Brewhouse!$AF670</f>
        <v>49.2</v>
      </c>
      <c r="E11" s="279">
        <f>[4]Brewhouse!$AI670</f>
        <v>49.9</v>
      </c>
      <c r="F11" s="278">
        <f>[4]Brewhouse!$V670</f>
        <v>58</v>
      </c>
      <c r="G11" s="279">
        <f>[4]Brewhouse!AG670</f>
        <v>11.8</v>
      </c>
      <c r="H11" s="396">
        <v>11.8</v>
      </c>
      <c r="I11" s="368">
        <f>[4]Brewhouse!$AU670</f>
        <v>98.77626010729989</v>
      </c>
      <c r="J11" s="368">
        <f>[4]Brewhouse!$AV670</f>
        <v>98.866046905772691</v>
      </c>
      <c r="K11" s="281">
        <f>[4]Brewhouse!$Q670</f>
        <v>10.962962962962965</v>
      </c>
      <c r="L11" s="276">
        <f>[4]Brewhouse!$P670</f>
        <v>60</v>
      </c>
      <c r="M11" s="374">
        <f>[4]Brewhouse!$U670-[4]Brewhouse!$T670</f>
        <v>0.11041666666666666</v>
      </c>
      <c r="N11" s="370">
        <f>[4]Brewhouse!$Z670</f>
        <v>0.30277777777777781</v>
      </c>
      <c r="O11" s="420" t="str">
        <f>[4]Brewhouse!$AX670</f>
        <v>K. Benjamin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[4]Brewhouse!$A671</f>
        <v>CA623</v>
      </c>
      <c r="D12" s="279">
        <f>[4]Brewhouse!$AF671</f>
        <v>48.8</v>
      </c>
      <c r="E12" s="279">
        <f>[4]Brewhouse!$AI671</f>
        <v>49.6</v>
      </c>
      <c r="F12" s="278">
        <f>[4]Brewhouse!$V671</f>
        <v>59</v>
      </c>
      <c r="G12" s="279">
        <f>[4]Brewhouse!AG671</f>
        <v>11.8</v>
      </c>
      <c r="H12" s="396">
        <v>11.9</v>
      </c>
      <c r="I12" s="368">
        <f>[4]Brewhouse!$AU671</f>
        <v>98.182414856153798</v>
      </c>
      <c r="J12" s="368">
        <f>[4]Brewhouse!$AV671</f>
        <v>98.271661854234978</v>
      </c>
      <c r="K12" s="281">
        <f>[4]Brewhouse!$Q671</f>
        <v>12.791127541589651</v>
      </c>
      <c r="L12" s="276">
        <f>[4]Brewhouse!$P671</f>
        <v>61</v>
      </c>
      <c r="M12" s="374">
        <f>[4]Brewhouse!$U671-[4]Brewhouse!$T671</f>
        <v>0.10972222222222222</v>
      </c>
      <c r="N12" s="370">
        <f>[4]Brewhouse!$Z671</f>
        <v>0.29305555555555557</v>
      </c>
      <c r="O12" s="420" t="str">
        <f>[4]Brewhouse!$AX671</f>
        <v>K. Benjamin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[4]Brewhouse!$A672</f>
        <v>CA624</v>
      </c>
      <c r="D13" s="279">
        <f>[4]Brewhouse!$AF672</f>
        <v>48.6</v>
      </c>
      <c r="E13" s="279">
        <f>[4]Brewhouse!$AI672</f>
        <v>49.2</v>
      </c>
      <c r="F13" s="278">
        <f>[4]Brewhouse!$V672</f>
        <v>60</v>
      </c>
      <c r="G13" s="279">
        <f>[4]Brewhouse!AG672</f>
        <v>11.8</v>
      </c>
      <c r="H13" s="396">
        <v>11.9</v>
      </c>
      <c r="I13" s="368">
        <f>[4]Brewhouse!$AU672</f>
        <v>97.511963448181888</v>
      </c>
      <c r="J13" s="368">
        <f>[4]Brewhouse!$AV672</f>
        <v>97.600595128152165</v>
      </c>
      <c r="K13" s="281">
        <f>[4]Brewhouse!$Q672</f>
        <v>11.497227356746762</v>
      </c>
      <c r="L13" s="276">
        <f>[4]Brewhouse!$P672</f>
        <v>61</v>
      </c>
      <c r="M13" s="374">
        <f>[4]Brewhouse!$U672-[4]Brewhouse!$T672</f>
        <v>0.10763888888888895</v>
      </c>
      <c r="N13" s="370">
        <f>[4]Brewhouse!$Z672</f>
        <v>0.24652777777777779</v>
      </c>
      <c r="O13" s="420" t="str">
        <f>[4]Brewhouse!$AX672</f>
        <v>R. Regis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[4]Brewhouse!$A673</f>
        <v>CA625</v>
      </c>
      <c r="D14" s="279">
        <f>[4]Brewhouse!$AF673</f>
        <v>49.3</v>
      </c>
      <c r="E14" s="279">
        <f>[4]Brewhouse!$AI673</f>
        <v>50</v>
      </c>
      <c r="F14" s="278">
        <f>[4]Brewhouse!$V673</f>
        <v>62</v>
      </c>
      <c r="G14" s="279">
        <f>[4]Brewhouse!AG673</f>
        <v>11.7</v>
      </c>
      <c r="H14" s="396">
        <v>11.7</v>
      </c>
      <c r="I14" s="368">
        <f>[4]Brewhouse!$AU673</f>
        <v>97.970030213156235</v>
      </c>
      <c r="J14" s="368">
        <f>[4]Brewhouse!$AV673</f>
        <v>98.059090051669742</v>
      </c>
      <c r="K14" s="281">
        <f>[4]Brewhouse!$Q673</f>
        <v>10.203327171903888</v>
      </c>
      <c r="L14" s="276">
        <f>[4]Brewhouse!$P673</f>
        <v>70</v>
      </c>
      <c r="M14" s="374">
        <f>[4]Brewhouse!$U673-[4]Brewhouse!$T673</f>
        <v>0.11250000000000004</v>
      </c>
      <c r="N14" s="370">
        <f>[4]Brewhouse!$Z673</f>
        <v>0.24444444444444446</v>
      </c>
      <c r="O14" s="420" t="str">
        <f>[4]Brewhouse!$AX673</f>
        <v xml:space="preserve">P. Calliste 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[4]Brewhouse!$A674</f>
        <v>CA626</v>
      </c>
      <c r="D15" s="279">
        <f>[4]Brewhouse!$AF674</f>
        <v>49.6</v>
      </c>
      <c r="E15" s="279">
        <f>[4]Brewhouse!$AI674</f>
        <v>53.3</v>
      </c>
      <c r="F15" s="278">
        <f>[4]Brewhouse!$V674</f>
        <v>62</v>
      </c>
      <c r="G15" s="279">
        <f>[4]Brewhouse!AG674</f>
        <v>11.7</v>
      </c>
      <c r="H15" s="367"/>
      <c r="I15" s="368">
        <f>[4]Brewhouse!$AU674</f>
        <v>104.5660106879633</v>
      </c>
      <c r="J15" s="368">
        <f>[4]Brewhouse!$AV674</f>
        <v>104.66106032153462</v>
      </c>
      <c r="K15" s="281">
        <f>[4]Brewhouse!$Q674</f>
        <v>9.6487985212569285</v>
      </c>
      <c r="L15" s="276">
        <f>[4]Brewhouse!$P674</f>
        <v>57</v>
      </c>
      <c r="M15" s="374">
        <f>[4]Brewhouse!$U674-[4]Brewhouse!$T674</f>
        <v>0.10624999999999996</v>
      </c>
      <c r="N15" s="370">
        <f>[4]Brewhouse!$Z674</f>
        <v>0.24374999999999991</v>
      </c>
      <c r="O15" s="420" t="str">
        <f>[4]Brewhouse!$AX674</f>
        <v>R. Regis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[4]Brewhouse!$A675</f>
        <v>CA627</v>
      </c>
      <c r="D16" s="279">
        <f>[4]Brewhouse!$AF675</f>
        <v>49.5</v>
      </c>
      <c r="E16" s="279">
        <f>[4]Brewhouse!$AI675</f>
        <v>50.8</v>
      </c>
      <c r="F16" s="278">
        <f>[4]Brewhouse!$V675</f>
        <v>68</v>
      </c>
      <c r="G16" s="279">
        <f>[4]Brewhouse!AG675</f>
        <v>11.7</v>
      </c>
      <c r="H16" s="396">
        <v>11.7</v>
      </c>
      <c r="I16" s="368">
        <f>[4]Brewhouse!$AU675</f>
        <v>99.53755069656674</v>
      </c>
      <c r="J16" s="368">
        <f>[4]Brewhouse!$AV675</f>
        <v>99.628035492496451</v>
      </c>
      <c r="K16" s="281">
        <f>[4]Brewhouse!$Q675</f>
        <v>11.312384473197778</v>
      </c>
      <c r="L16" s="276">
        <f>[4]Brewhouse!$P675</f>
        <v>57</v>
      </c>
      <c r="M16" s="374">
        <f>[4]Brewhouse!$U675-[4]Brewhouse!$T675</f>
        <v>0.11111111111111105</v>
      </c>
      <c r="N16" s="370">
        <f>[4]Brewhouse!$Z675</f>
        <v>0.24722222222222212</v>
      </c>
      <c r="O16" s="420" t="str">
        <f>[4]Brewhouse!$AX675</f>
        <v>R. Sookram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2:26" ht="15" customHeight="1">
      <c r="B17" s="29" t="s">
        <v>6</v>
      </c>
      <c r="C17" s="366" t="str">
        <f>[4]Brewhouse!$A676</f>
        <v>CA628</v>
      </c>
      <c r="D17" s="279">
        <f>[4]Brewhouse!$AF676</f>
        <v>48.5</v>
      </c>
      <c r="E17" s="279">
        <f>[4]Brewhouse!$AI676</f>
        <v>49.1</v>
      </c>
      <c r="F17" s="278">
        <f>[4]Brewhouse!$V676</f>
        <v>57</v>
      </c>
      <c r="G17" s="279">
        <f>[4]Brewhouse!AG676</f>
        <v>11.7</v>
      </c>
      <c r="H17" s="396">
        <v>11.9</v>
      </c>
      <c r="I17" s="368">
        <f>[4]Brewhouse!$AU676</f>
        <v>96.929373997463372</v>
      </c>
      <c r="J17" s="368">
        <f>[4]Brewhouse!$AV676</f>
        <v>97.017452604329691</v>
      </c>
      <c r="K17" s="281">
        <f>[4]Brewhouse!$Q676</f>
        <v>11.682070240295749</v>
      </c>
      <c r="L17" s="276">
        <f>[4]Brewhouse!$P676</f>
        <v>60</v>
      </c>
      <c r="M17" s="374">
        <f>[4]Brewhouse!$U676-[4]Brewhouse!$T676</f>
        <v>0.10833333333333339</v>
      </c>
      <c r="N17" s="370">
        <f>[4]Brewhouse!$Z676</f>
        <v>0.24375000000000002</v>
      </c>
      <c r="O17" s="420" t="str">
        <f>[4]Brewhouse!$AX676</f>
        <v>R. Sookram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2:26" ht="15" customHeight="1">
      <c r="B18" s="29" t="s">
        <v>6</v>
      </c>
      <c r="C18" s="366" t="str">
        <f>[4]Brewhouse!$A677</f>
        <v>CA629</v>
      </c>
      <c r="D18" s="279">
        <f>[4]Brewhouse!$AF677</f>
        <v>50.3</v>
      </c>
      <c r="E18" s="279">
        <f>[4]Brewhouse!$AI677</f>
        <v>51.2</v>
      </c>
      <c r="F18" s="278">
        <f>[4]Brewhouse!$V677</f>
        <v>58</v>
      </c>
      <c r="G18" s="279">
        <f>[4]Brewhouse!AG677</f>
        <v>11.8</v>
      </c>
      <c r="H18" s="396">
        <v>11.9</v>
      </c>
      <c r="I18" s="368">
        <f>[4]Brewhouse!$AU677</f>
        <v>101.60245432656833</v>
      </c>
      <c r="J18" s="368">
        <f>[4]Brewhouse!$AV677</f>
        <v>101.69479783645656</v>
      </c>
      <c r="K18" s="281">
        <f>[4]Brewhouse!$Q677</f>
        <v>8.1851851851851887</v>
      </c>
      <c r="L18" s="276">
        <f>[4]Brewhouse!$P677</f>
        <v>60</v>
      </c>
      <c r="M18" s="374">
        <f>[4]Brewhouse!$U677-[4]Brewhouse!$T677</f>
        <v>0.10902777777777772</v>
      </c>
      <c r="N18" s="370">
        <f>[4]Brewhouse!$Z677</f>
        <v>0.25555555555555554</v>
      </c>
      <c r="O18" s="420" t="str">
        <f>[4]Brewhouse!$AX677</f>
        <v>R. Sookram</v>
      </c>
      <c r="P18" s="418"/>
      <c r="R18" s="277" t="str">
        <f t="shared" si="0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2:26" ht="19.899999999999999" customHeight="1">
      <c r="B19" s="506" t="s">
        <v>203</v>
      </c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 t="str">
        <f t="shared" si="0"/>
        <v>26th August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2:26" ht="15" customHeight="1">
      <c r="B20" s="29" t="s">
        <v>6</v>
      </c>
      <c r="C20" s="366" t="str">
        <f>[4]Brewhouse!$A678</f>
        <v>CA630</v>
      </c>
      <c r="D20" s="279">
        <f>[4]Brewhouse!$AF678</f>
        <v>49.3</v>
      </c>
      <c r="E20" s="279">
        <f>[4]Brewhouse!$AI678</f>
        <v>50.1</v>
      </c>
      <c r="F20" s="278">
        <f>[4]Brewhouse!$V678</f>
        <v>52</v>
      </c>
      <c r="G20" s="279">
        <f>[4]Brewhouse!AG678</f>
        <v>11.7</v>
      </c>
      <c r="H20" s="396">
        <v>12.1</v>
      </c>
      <c r="I20" s="368">
        <f>[4]Brewhouse!$AU678</f>
        <v>98.410586861189657</v>
      </c>
      <c r="J20" s="368">
        <f>[4]Brewhouse!$AV678</f>
        <v>98.500035328146268</v>
      </c>
      <c r="K20" s="281">
        <f>[4]Brewhouse!$Q678</f>
        <v>10.777777777777779</v>
      </c>
      <c r="L20" s="276">
        <f>[4]Brewhouse!$P678</f>
        <v>60</v>
      </c>
      <c r="M20" s="374">
        <f>[4]Brewhouse!$U678-[4]Brewhouse!$T678</f>
        <v>0.10347222222222219</v>
      </c>
      <c r="N20" s="370">
        <f>[4]Brewhouse!$Z678</f>
        <v>0.25277777777777777</v>
      </c>
      <c r="O20" s="420" t="str">
        <f>[4]Brewhouse!$AX678</f>
        <v>K. Benjamin</v>
      </c>
      <c r="P20" s="418"/>
      <c r="R20" s="277" t="str">
        <f t="shared" si="0"/>
        <v>CARIB</v>
      </c>
      <c r="S20" s="472">
        <f t="shared" si="1"/>
        <v>11.6</v>
      </c>
      <c r="T20" s="472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472">
        <f t="shared" si="8"/>
        <v>60</v>
      </c>
    </row>
    <row r="21" spans="2:26" ht="1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2:26" ht="1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20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2:26" ht="15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420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2:26" ht="15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503"/>
      <c r="N24" s="370"/>
      <c r="O24" s="420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2:26" ht="15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503"/>
      <c r="N25" s="370"/>
      <c r="O25" s="420"/>
      <c r="P25" s="418"/>
      <c r="R25" s="277">
        <f t="shared" ref="R25:R45" si="9">B25</f>
        <v>0</v>
      </c>
      <c r="S25" s="472" t="e">
        <f t="shared" ref="S25:S45" si="10">VLOOKUP($B25,$R$3:$X$9,2,FALSE)</f>
        <v>#N/A</v>
      </c>
      <c r="T25" s="472" t="e">
        <f t="shared" ref="T25:T45" si="11">VLOOKUP($B25,$R$3:$X$9,3,FALSE)</f>
        <v>#N/A</v>
      </c>
      <c r="U25" s="297" t="e">
        <f t="shared" ref="U25:U45" si="12">VLOOKUP($B25,$R$3:$X$9,4,FALSE)</f>
        <v>#N/A</v>
      </c>
      <c r="V25" s="297" t="e">
        <f t="shared" ref="V25:V45" si="13">VLOOKUP($B25,$R$3:$X$9,5,FALSE)</f>
        <v>#N/A</v>
      </c>
      <c r="W25" s="297" t="e">
        <f t="shared" ref="W25:W45" si="14">VLOOKUP($B25,$R$3:$X$9,6,FALSE)</f>
        <v>#N/A</v>
      </c>
      <c r="X25" s="297" t="e">
        <f t="shared" ref="X25:X45" si="15">VLOOKUP($B25,$R$3:$X$9,7,FALSE)</f>
        <v>#N/A</v>
      </c>
      <c r="Y25" s="297" t="e">
        <f t="shared" ref="Y25:Y45" si="16">VLOOKUP($B25,$R$3:$Z$9,8,FALSE)</f>
        <v>#N/A</v>
      </c>
      <c r="Z25" s="472" t="e">
        <f t="shared" ref="Z25:Z45" si="17">VLOOKUP($B25,$R$3:$Z$9,9,FALSE)</f>
        <v>#N/A</v>
      </c>
    </row>
    <row r="26" spans="2:26" ht="1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503"/>
      <c r="N26" s="370"/>
      <c r="O26" s="420"/>
      <c r="P26" s="418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2:26" ht="1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503"/>
      <c r="N27" s="370"/>
      <c r="O27" s="420"/>
      <c r="P27" s="418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2:26" ht="1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503"/>
      <c r="N28" s="370"/>
      <c r="O28" s="420"/>
      <c r="P28" s="418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2:26" ht="1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503"/>
      <c r="N29" s="370"/>
      <c r="O29" s="420"/>
      <c r="P29" s="418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2:26" ht="1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420"/>
      <c r="P30" s="418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2:26" ht="1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420"/>
      <c r="P31" s="418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2:26" ht="17.25" customHeight="1" thickBot="1">
      <c r="B32" s="358"/>
      <c r="C32" s="358"/>
      <c r="D32" s="358"/>
      <c r="E32" s="358"/>
      <c r="F32" s="294"/>
      <c r="G32" s="294"/>
      <c r="H32" s="348"/>
      <c r="I32" s="528"/>
      <c r="J32" s="528"/>
      <c r="K32" s="528"/>
      <c r="L32" s="528"/>
      <c r="M32" s="528"/>
      <c r="N32" s="528"/>
      <c r="O32" s="1"/>
      <c r="P32" s="12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</row>
    <row r="33" spans="1:27" ht="17.25" customHeight="1" thickBot="1">
      <c r="B33" s="489" t="s">
        <v>162</v>
      </c>
      <c r="C33" s="388"/>
      <c r="D33" s="529" t="s">
        <v>35</v>
      </c>
      <c r="E33" s="530"/>
      <c r="F33" s="294"/>
      <c r="G33" s="294"/>
      <c r="H33" s="348"/>
      <c r="I33" s="24" t="s">
        <v>17</v>
      </c>
      <c r="J33" s="25"/>
      <c r="K33" s="26" t="s">
        <v>138</v>
      </c>
      <c r="L33" s="25" t="s">
        <v>37</v>
      </c>
      <c r="M33" s="25" t="s">
        <v>38</v>
      </c>
      <c r="N33" s="27" t="s">
        <v>39</v>
      </c>
      <c r="O33" s="294"/>
      <c r="P33" s="12"/>
      <c r="R33" s="277" t="str">
        <f t="shared" si="9"/>
        <v xml:space="preserve">BRAND 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</row>
    <row r="34" spans="1:27" ht="17.25" customHeight="1">
      <c r="A34" s="28"/>
      <c r="B34" s="605" t="str">
        <f>I34</f>
        <v>CARIB</v>
      </c>
      <c r="C34" s="490"/>
      <c r="D34" s="619" t="s">
        <v>204</v>
      </c>
      <c r="E34" s="620"/>
      <c r="F34" s="294"/>
      <c r="G34" s="294"/>
      <c r="H34" s="348"/>
      <c r="I34" s="29" t="s">
        <v>6</v>
      </c>
      <c r="J34" s="323">
        <f>AVERAGE(I10:I20)</f>
        <v>99.88604450806686</v>
      </c>
      <c r="K34" s="284">
        <f>COUNTA([4]Brewhouse!$A$595:$A$678)</f>
        <v>84</v>
      </c>
      <c r="L34" s="305">
        <f>AVERAGE([4]Brewhouse!$AU$595:$AU$678)</f>
        <v>99.046417581875659</v>
      </c>
      <c r="M34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AVERAGE([4]Brewhouse!$AU$42:$AU$123,[4]Brewhouse!$AU$125:$AU$188,[4]Brewhouse!$AU$198:$AU$290,[4]Brewhouse!$AU$292:$AU$370,[4]Brewhouse!$AU$372:$AU$439,[4]Brewhouse!$AU$441:$AU$497,[4]Brewhouse!$AU$499:$AU$519,[4]Brewhouse!$AU$521:$AU$593,[4]Brewhouse!$AU$595:$AU$678)</f>
        <v>98.287450158698647</v>
      </c>
      <c r="N34" s="30">
        <v>98</v>
      </c>
      <c r="O34" s="11"/>
      <c r="P34" s="31"/>
      <c r="R34" s="277" t="str">
        <f t="shared" si="9"/>
        <v>CARIB</v>
      </c>
      <c r="S34" s="472">
        <f t="shared" si="10"/>
        <v>11.6</v>
      </c>
      <c r="T34" s="472">
        <f t="shared" si="11"/>
        <v>12</v>
      </c>
      <c r="U34" s="297">
        <f t="shared" si="12"/>
        <v>0</v>
      </c>
      <c r="V34" s="297">
        <f t="shared" si="13"/>
        <v>0.118055555555556</v>
      </c>
      <c r="W34" s="297">
        <f t="shared" si="14"/>
        <v>0.22569444444444445</v>
      </c>
      <c r="X34" s="297">
        <f t="shared" si="15"/>
        <v>0.2638888888888889</v>
      </c>
      <c r="Y34" s="297">
        <f t="shared" si="16"/>
        <v>0</v>
      </c>
      <c r="Z34" s="472">
        <f t="shared" si="17"/>
        <v>60</v>
      </c>
    </row>
    <row r="35" spans="1:27" ht="15" customHeight="1">
      <c r="A35" s="28"/>
      <c r="B35" s="542"/>
      <c r="C35" s="362"/>
      <c r="D35" s="621"/>
      <c r="E35" s="622"/>
      <c r="F35" s="294"/>
      <c r="G35" s="294"/>
      <c r="H35" s="348"/>
      <c r="I35" s="33" t="s">
        <v>9</v>
      </c>
      <c r="J35" s="323"/>
      <c r="K35" s="284">
        <f>COUNTA([3]Brewhouse!$A$327:$A$353)</f>
        <v>27</v>
      </c>
      <c r="L35" s="302">
        <f>AVERAGE([3]Brewhouse!$AS$327:$AS$353)</f>
        <v>99.545759939380616</v>
      </c>
      <c r="M35" s="302">
        <f>AVERAGE([3]Brewhouse!$AS$52:$AS$81,[3]Brewhouse!$AS$83:$AS$124,[3]Brewhouse!$AS$134:$AS$177,[3]Brewhouse!$AS$22:$AS$179,[3]Brewhouse!$AS$214:$AS$249,[3]Brewhouse!$AS$252:$AS$293,[3]Brewhouse!$AS$295:$AS$325,[3]Brewhouse!$AS$327:$AS$353)</f>
        <v>98.236986123572123</v>
      </c>
      <c r="N35" s="30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</row>
    <row r="36" spans="1:27" ht="14.65" customHeight="1">
      <c r="A36" s="28"/>
      <c r="B36" s="542"/>
      <c r="C36" s="362"/>
      <c r="D36" s="538"/>
      <c r="E36" s="539"/>
      <c r="F36" s="294"/>
      <c r="G36" s="294"/>
      <c r="H36" s="348"/>
      <c r="I36" s="34" t="s">
        <v>12</v>
      </c>
      <c r="J36" s="323"/>
      <c r="K36" s="284">
        <f>COUNTA([5]Brewhouse!$A$90:$A$97)</f>
        <v>8</v>
      </c>
      <c r="L36" s="302">
        <f>AVERAGE([5]Brewhouse!$AU$90:$AU$97)</f>
        <v>96.342250509798717</v>
      </c>
      <c r="M36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36" s="30">
        <v>98</v>
      </c>
      <c r="O36" s="11"/>
      <c r="P36" s="31"/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</row>
    <row r="37" spans="1:27" ht="14.65" customHeight="1">
      <c r="A37" s="28"/>
      <c r="B37" s="542"/>
      <c r="C37" s="362"/>
      <c r="D37" s="540"/>
      <c r="E37" s="537"/>
      <c r="F37" s="294"/>
      <c r="G37" s="294"/>
      <c r="H37" s="348"/>
      <c r="I37" s="22" t="s">
        <v>33</v>
      </c>
      <c r="J37" s="280"/>
      <c r="K37" s="284"/>
      <c r="L37" s="302"/>
      <c r="M37" s="302">
        <f>AVERAGE([6]Brewhouse!$AV$23:$AV$34,[6]Brewhouse!$AV$36,[6]Brewhouse!$AV$38:$AV$52,[6]Brewhouse!$AV$54:$AV$60,[6]Brewhouse!$AV$62:$AV$69,[6]Brewhouse!$AV$71:$AV$78,[6]Brewhouse!$AV$80:$AV$87)</f>
        <v>97.513042763382714</v>
      </c>
      <c r="N37" s="30">
        <v>98</v>
      </c>
      <c r="O37" s="11"/>
      <c r="P37" s="31"/>
      <c r="R37" s="277">
        <f t="shared" si="9"/>
        <v>0</v>
      </c>
      <c r="S37" s="472" t="e">
        <f t="shared" si="10"/>
        <v>#N/A</v>
      </c>
      <c r="T37" s="472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2" t="e">
        <f t="shared" si="17"/>
        <v>#N/A</v>
      </c>
    </row>
    <row r="38" spans="1:27" ht="14.65" customHeight="1">
      <c r="A38" s="28"/>
      <c r="B38" s="542"/>
      <c r="C38" s="362"/>
      <c r="D38" s="538"/>
      <c r="E38" s="539"/>
      <c r="F38" s="294"/>
      <c r="G38" s="294"/>
      <c r="H38" s="348"/>
      <c r="I38" s="35" t="s">
        <v>29</v>
      </c>
      <c r="J38" s="280"/>
      <c r="K38" s="284"/>
      <c r="L38" s="302"/>
      <c r="M38" s="302"/>
      <c r="N38" s="30">
        <v>98</v>
      </c>
      <c r="O38" s="11"/>
      <c r="P38" s="31"/>
      <c r="R38" s="277">
        <f t="shared" si="9"/>
        <v>0</v>
      </c>
      <c r="S38" s="472" t="e">
        <f t="shared" si="10"/>
        <v>#N/A</v>
      </c>
      <c r="T38" s="472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472" t="e">
        <f t="shared" si="17"/>
        <v>#N/A</v>
      </c>
    </row>
    <row r="39" spans="1:27" ht="14.65" customHeight="1">
      <c r="A39" s="28"/>
      <c r="B39" s="542"/>
      <c r="C39" s="362"/>
      <c r="D39" s="540"/>
      <c r="E39" s="537"/>
      <c r="F39" s="417"/>
      <c r="G39" s="294"/>
      <c r="H39" s="348"/>
      <c r="I39" s="36" t="s">
        <v>15</v>
      </c>
      <c r="J39" s="323"/>
      <c r="K39" s="284"/>
      <c r="L39" s="302"/>
      <c r="M39" s="302">
        <f>AVERAGE([7]Brewhouse!$AT$4:$AT$11,[7]Brewhouse!$AT$13:$AT$16,[7]Brewhouse!$AT$18:$AT$21)</f>
        <v>91.832675391763644</v>
      </c>
      <c r="N39" s="30">
        <v>98</v>
      </c>
      <c r="O39" s="11"/>
      <c r="P39" s="31"/>
      <c r="R39" s="277">
        <f t="shared" si="9"/>
        <v>0</v>
      </c>
      <c r="S39" s="472" t="e">
        <f t="shared" si="10"/>
        <v>#N/A</v>
      </c>
      <c r="T39" s="472" t="e">
        <f t="shared" si="11"/>
        <v>#N/A</v>
      </c>
      <c r="U39" s="297" t="e">
        <f t="shared" si="12"/>
        <v>#N/A</v>
      </c>
      <c r="V39" s="297" t="e">
        <f t="shared" si="13"/>
        <v>#N/A</v>
      </c>
      <c r="W39" s="297" t="e">
        <f t="shared" si="14"/>
        <v>#N/A</v>
      </c>
      <c r="X39" s="297" t="e">
        <f t="shared" si="15"/>
        <v>#N/A</v>
      </c>
      <c r="Y39" s="297" t="e">
        <f t="shared" si="16"/>
        <v>#N/A</v>
      </c>
      <c r="Z39" s="472" t="e">
        <f t="shared" si="17"/>
        <v>#N/A</v>
      </c>
    </row>
    <row r="40" spans="1:27" ht="14.65" customHeight="1">
      <c r="A40" s="28"/>
      <c r="B40" s="542"/>
      <c r="C40" s="362"/>
      <c r="D40" s="538"/>
      <c r="E40" s="539"/>
      <c r="F40" s="417"/>
      <c r="G40" s="294"/>
      <c r="H40" s="348"/>
      <c r="I40" s="37" t="s">
        <v>16</v>
      </c>
      <c r="J40" s="323"/>
      <c r="K40" s="284">
        <f>COUNTA([8]Brewhouse!$A$84:$A$101)</f>
        <v>18</v>
      </c>
      <c r="L40" s="302">
        <f>AVERAGE([8]Brewhouse!$AY$84:$AY$101)</f>
        <v>97.389891141895035</v>
      </c>
      <c r="M40" s="302">
        <f>AVERAGE([8]Brewhouse!$AY$5:$AY$14,[8]Brewhouse!$AY$16:$AY$23,[8]Brewhouse!$AY$42,[8]Brewhouse!$AY$44:$AY$51,[8]Brewhouse!$AY$53:$AY$64,[8]Brewhouse!$AY$66:$AY$73,[8]Brewhouse!$AY$75:$AY$82,[8]Brewhouse!$AY$84:$AY$101)</f>
        <v>97.946352432648297</v>
      </c>
      <c r="N40" s="30">
        <v>98</v>
      </c>
      <c r="O40" s="11"/>
      <c r="P40" s="31" t="s">
        <v>41</v>
      </c>
      <c r="R40" s="277">
        <f t="shared" si="9"/>
        <v>0</v>
      </c>
      <c r="S40" s="472" t="e">
        <f t="shared" si="10"/>
        <v>#N/A</v>
      </c>
      <c r="T40" s="472" t="e">
        <f t="shared" si="11"/>
        <v>#N/A</v>
      </c>
      <c r="U40" s="297" t="e">
        <f t="shared" si="12"/>
        <v>#N/A</v>
      </c>
      <c r="V40" s="297" t="e">
        <f t="shared" si="13"/>
        <v>#N/A</v>
      </c>
      <c r="W40" s="297" t="e">
        <f t="shared" si="14"/>
        <v>#N/A</v>
      </c>
      <c r="X40" s="297" t="e">
        <f t="shared" si="15"/>
        <v>#N/A</v>
      </c>
      <c r="Y40" s="297" t="e">
        <f t="shared" si="16"/>
        <v>#N/A</v>
      </c>
      <c r="Z40" s="472" t="e">
        <f t="shared" si="17"/>
        <v>#N/A</v>
      </c>
    </row>
    <row r="41" spans="1:27" ht="14.65" customHeight="1">
      <c r="A41" s="28"/>
      <c r="B41" s="542"/>
      <c r="C41" s="362"/>
      <c r="D41" s="540"/>
      <c r="E41" s="537"/>
      <c r="F41" s="294"/>
      <c r="G41" s="294"/>
      <c r="H41" s="348"/>
      <c r="I41" s="411" t="s">
        <v>158</v>
      </c>
      <c r="J41" s="326"/>
      <c r="K41" s="284"/>
      <c r="L41" s="305"/>
      <c r="M41" s="305"/>
      <c r="N41" s="30">
        <v>98</v>
      </c>
      <c r="O41" s="11"/>
      <c r="P41" s="31"/>
      <c r="R41" s="277">
        <f t="shared" si="9"/>
        <v>0</v>
      </c>
      <c r="S41" s="472" t="e">
        <f t="shared" si="10"/>
        <v>#N/A</v>
      </c>
      <c r="T41" s="472" t="e">
        <f t="shared" si="11"/>
        <v>#N/A</v>
      </c>
      <c r="U41" s="297" t="e">
        <f t="shared" si="12"/>
        <v>#N/A</v>
      </c>
      <c r="V41" s="297" t="e">
        <f t="shared" si="13"/>
        <v>#N/A</v>
      </c>
      <c r="W41" s="297" t="e">
        <f t="shared" si="14"/>
        <v>#N/A</v>
      </c>
      <c r="X41" s="297" t="e">
        <f t="shared" si="15"/>
        <v>#N/A</v>
      </c>
      <c r="Y41" s="297" t="e">
        <f t="shared" si="16"/>
        <v>#N/A</v>
      </c>
      <c r="Z41" s="472" t="e">
        <f t="shared" si="17"/>
        <v>#N/A</v>
      </c>
    </row>
    <row r="42" spans="1:27" ht="14.65" customHeight="1">
      <c r="A42" s="28"/>
      <c r="B42" s="542"/>
      <c r="C42" s="362"/>
      <c r="D42" s="538"/>
      <c r="E42" s="539"/>
      <c r="F42" s="294"/>
      <c r="G42" s="294"/>
      <c r="H42" s="348"/>
      <c r="I42" s="410" t="s">
        <v>157</v>
      </c>
      <c r="J42" s="326"/>
      <c r="K42" s="284"/>
      <c r="L42" s="305"/>
      <c r="M42" s="305"/>
      <c r="N42" s="30">
        <v>98</v>
      </c>
      <c r="O42" s="11"/>
      <c r="P42" s="31"/>
      <c r="R42" s="277">
        <f t="shared" si="9"/>
        <v>0</v>
      </c>
      <c r="S42" s="472" t="e">
        <f t="shared" si="10"/>
        <v>#N/A</v>
      </c>
      <c r="T42" s="472" t="e">
        <f t="shared" si="11"/>
        <v>#N/A</v>
      </c>
      <c r="U42" s="297" t="e">
        <f t="shared" si="12"/>
        <v>#N/A</v>
      </c>
      <c r="V42" s="297" t="e">
        <f t="shared" si="13"/>
        <v>#N/A</v>
      </c>
      <c r="W42" s="297" t="e">
        <f t="shared" si="14"/>
        <v>#N/A</v>
      </c>
      <c r="X42" s="297" t="e">
        <f t="shared" si="15"/>
        <v>#N/A</v>
      </c>
      <c r="Y42" s="297" t="e">
        <f t="shared" si="16"/>
        <v>#N/A</v>
      </c>
      <c r="Z42" s="472" t="e">
        <f t="shared" si="17"/>
        <v>#N/A</v>
      </c>
      <c r="AA42" s="472"/>
    </row>
    <row r="43" spans="1:27" ht="15" customHeight="1" thickBot="1">
      <c r="A43" s="28"/>
      <c r="B43" s="542"/>
      <c r="C43" s="362"/>
      <c r="D43" s="540"/>
      <c r="E43" s="537"/>
      <c r="F43" s="294"/>
      <c r="G43" s="294"/>
      <c r="H43" s="348"/>
      <c r="I43" s="406" t="s">
        <v>156</v>
      </c>
      <c r="J43" s="327"/>
      <c r="K43" s="407"/>
      <c r="L43" s="408"/>
      <c r="M43" s="408"/>
      <c r="N43" s="409">
        <v>98</v>
      </c>
      <c r="O43" s="11"/>
      <c r="P43" s="31"/>
      <c r="R43" s="277">
        <f t="shared" si="9"/>
        <v>0</v>
      </c>
      <c r="S43" s="472" t="e">
        <f t="shared" si="10"/>
        <v>#N/A</v>
      </c>
      <c r="T43" s="472" t="e">
        <f t="shared" si="11"/>
        <v>#N/A</v>
      </c>
      <c r="U43" s="297" t="e">
        <f t="shared" si="12"/>
        <v>#N/A</v>
      </c>
      <c r="V43" s="297" t="e">
        <f t="shared" si="13"/>
        <v>#N/A</v>
      </c>
      <c r="W43" s="297" t="e">
        <f t="shared" si="14"/>
        <v>#N/A</v>
      </c>
      <c r="X43" s="297" t="e">
        <f t="shared" si="15"/>
        <v>#N/A</v>
      </c>
      <c r="Y43" s="297" t="e">
        <f t="shared" si="16"/>
        <v>#N/A</v>
      </c>
      <c r="Z43" s="472" t="e">
        <f t="shared" si="17"/>
        <v>#N/A</v>
      </c>
      <c r="AA43" s="472"/>
    </row>
    <row r="44" spans="1:27" ht="15" customHeight="1" thickBot="1">
      <c r="A44" s="28"/>
      <c r="B44" s="542"/>
      <c r="C44" s="349"/>
      <c r="D44" s="534"/>
      <c r="E44" s="535"/>
      <c r="F44" s="294"/>
      <c r="G44" s="294"/>
      <c r="H44" s="348"/>
      <c r="I44" s="1"/>
      <c r="J44" s="39"/>
      <c r="K44" s="404">
        <f>SUM(K34:K43)</f>
        <v>137</v>
      </c>
      <c r="L44" s="405">
        <f>((L34*K34)+(L35*K35)+(L36*K36)+(L37*K37)+(L38*K38)+(K41*L41)+(L39*K39)+(L40*K40)+(L43*K43))/(K44)</f>
        <v>98.769274743600974</v>
      </c>
      <c r="M44" s="405">
        <f>AVERAGE('[9]Jan30th-31st'!$L$42,'[10]Feb 27th-28th'!$L$45,'[11]Mar 31st'!$L$42,'[12]Apr 30th'!$L$41,'[13]May 29th '!$L$35,'[14]June 30th'!$L$32,[15]July31st!$L$36,L44)</f>
        <v>97.999814435905165</v>
      </c>
      <c r="N44" s="40">
        <v>98</v>
      </c>
      <c r="O44" s="11"/>
      <c r="P44" s="31"/>
      <c r="R44" s="277">
        <f t="shared" si="9"/>
        <v>0</v>
      </c>
      <c r="S44" s="472" t="e">
        <f t="shared" si="10"/>
        <v>#N/A</v>
      </c>
      <c r="T44" s="472" t="e">
        <f t="shared" si="11"/>
        <v>#N/A</v>
      </c>
      <c r="U44" s="297" t="e">
        <f t="shared" si="12"/>
        <v>#N/A</v>
      </c>
      <c r="V44" s="297" t="e">
        <f t="shared" si="13"/>
        <v>#N/A</v>
      </c>
      <c r="W44" s="297" t="e">
        <f t="shared" si="14"/>
        <v>#N/A</v>
      </c>
      <c r="X44" s="297" t="e">
        <f t="shared" si="15"/>
        <v>#N/A</v>
      </c>
      <c r="Y44" s="297" t="e">
        <f t="shared" si="16"/>
        <v>#N/A</v>
      </c>
      <c r="Z44" s="472" t="e">
        <f t="shared" si="17"/>
        <v>#N/A</v>
      </c>
      <c r="AA44" s="472"/>
    </row>
    <row r="45" spans="1:27" ht="15.75" thickBot="1">
      <c r="B45" s="606"/>
      <c r="C45" s="350"/>
      <c r="D45" s="536"/>
      <c r="E45" s="537"/>
      <c r="F45" s="294"/>
      <c r="G45" s="42"/>
      <c r="H45" s="41"/>
      <c r="I45" s="42"/>
      <c r="J45" s="42"/>
      <c r="K45" s="351"/>
      <c r="L45" s="348"/>
      <c r="M45" s="348"/>
      <c r="N45" s="11"/>
      <c r="O45" s="294"/>
      <c r="P45" s="12"/>
      <c r="R45" s="277">
        <f t="shared" si="9"/>
        <v>0</v>
      </c>
      <c r="S45" s="472" t="e">
        <f t="shared" si="10"/>
        <v>#N/A</v>
      </c>
      <c r="T45" s="472" t="e">
        <f t="shared" si="11"/>
        <v>#N/A</v>
      </c>
      <c r="U45" s="297" t="e">
        <f t="shared" si="12"/>
        <v>#N/A</v>
      </c>
      <c r="V45" s="297" t="e">
        <f t="shared" si="13"/>
        <v>#N/A</v>
      </c>
      <c r="W45" s="297" t="e">
        <f t="shared" si="14"/>
        <v>#N/A</v>
      </c>
      <c r="X45" s="297" t="e">
        <f t="shared" si="15"/>
        <v>#N/A</v>
      </c>
      <c r="Y45" s="297" t="e">
        <f t="shared" si="16"/>
        <v>#N/A</v>
      </c>
      <c r="Z45" s="472" t="e">
        <f t="shared" si="17"/>
        <v>#N/A</v>
      </c>
      <c r="AA45" s="472"/>
    </row>
    <row r="46" spans="1:27" ht="15.75" thickBot="1">
      <c r="B46" s="623" t="str">
        <f>I36</f>
        <v>GUINNESS</v>
      </c>
      <c r="C46" s="362">
        <f>[5]Process!D91</f>
        <v>17.399999999999999</v>
      </c>
      <c r="D46" s="534">
        <v>17.37</v>
      </c>
      <c r="E46" s="535"/>
      <c r="F46" s="294"/>
      <c r="G46" s="42"/>
      <c r="H46" s="41"/>
      <c r="I46" s="42"/>
      <c r="J46" s="544" t="s">
        <v>129</v>
      </c>
      <c r="K46" s="544"/>
      <c r="L46" s="294"/>
      <c r="M46" s="294"/>
      <c r="N46" s="294"/>
      <c r="O46" s="294"/>
      <c r="P46" s="12"/>
    </row>
    <row r="47" spans="1:27" ht="15.75" thickBot="1">
      <c r="B47" s="624"/>
      <c r="C47" s="362">
        <f>[5]Process!D92</f>
        <v>17.3</v>
      </c>
      <c r="D47" s="536"/>
      <c r="E47" s="537"/>
      <c r="F47" s="294"/>
      <c r="G47" s="42"/>
      <c r="H47" s="42"/>
      <c r="I47" s="42"/>
      <c r="J47" s="292" t="s">
        <v>17</v>
      </c>
      <c r="K47" s="293"/>
      <c r="L47" s="545" t="s">
        <v>136</v>
      </c>
      <c r="M47" s="545"/>
      <c r="N47" s="546"/>
      <c r="O47" s="294"/>
      <c r="P47" s="12"/>
    </row>
    <row r="48" spans="1:27" ht="15" customHeight="1" thickBot="1">
      <c r="B48" s="624"/>
      <c r="C48" s="349">
        <f>[5]Process!D93</f>
        <v>17.5</v>
      </c>
      <c r="D48" s="538">
        <v>17.309999999999999</v>
      </c>
      <c r="E48" s="539"/>
      <c r="F48" s="294"/>
      <c r="G48" s="42"/>
      <c r="H48" s="42"/>
      <c r="I48" s="42"/>
      <c r="J48" s="287" t="s">
        <v>6</v>
      </c>
      <c r="K48" s="324">
        <v>9</v>
      </c>
      <c r="L48" s="473" t="s">
        <v>37</v>
      </c>
      <c r="M48" s="474" t="s">
        <v>38</v>
      </c>
      <c r="N48" s="474" t="s">
        <v>84</v>
      </c>
      <c r="O48" s="294"/>
      <c r="P48" s="12"/>
    </row>
    <row r="49" spans="2:57" ht="15.75" customHeight="1" thickBot="1">
      <c r="B49" s="624"/>
      <c r="C49" s="349">
        <f>[5]Process!D94</f>
        <v>17.399999999999999</v>
      </c>
      <c r="D49" s="540"/>
      <c r="E49" s="537"/>
      <c r="F49" s="294"/>
      <c r="G49" s="42"/>
      <c r="H49" s="42"/>
      <c r="I49" s="42"/>
      <c r="J49" s="345" t="s">
        <v>9</v>
      </c>
      <c r="K49" s="324"/>
      <c r="L49" s="494">
        <f>AVERAGE(K58,'Aug 3rd '!K47,'Aug 2nd'!K52,'Aug 4th'!K47,'Aug 5th'!K51,'Aug 6th'!K51,'Aug 7th'!K51,'Aug 12th'!K51,,'Aug 13th '!K51,'Aug 14th&amp;15th'!I55,'Aug 17th '!K55,'Aug 18th'!K55,'Aug 19th '!K55,'Aug 20th '!K55,'Aug 21st-22nd'!K65,'Aug 21st-22nd'!J65,'Aug 24th'!K57)</f>
        <v>7</v>
      </c>
      <c r="M49" s="495">
        <f>AVERAGE('[9]Jan30th-31st'!$L$47,L49,'[10]Feb 26th '!$L$39,'[11]Mar 31st'!$L$47,'[12]Apr 30th'!$L$46,'[13]May 29th '!$L$40,'[14]June 30th'!$L$39,[15]July31st!$L$41)</f>
        <v>6.4209220127698385</v>
      </c>
      <c r="N49" s="416">
        <v>9.1999999999999993</v>
      </c>
      <c r="O49" s="294"/>
      <c r="P49" s="12"/>
    </row>
    <row r="50" spans="2:57" ht="15" customHeight="1">
      <c r="B50" s="624"/>
      <c r="C50" s="349">
        <f>[5]Process!D95</f>
        <v>17.100000000000001</v>
      </c>
      <c r="D50" s="538">
        <v>17.37</v>
      </c>
      <c r="E50" s="539"/>
      <c r="F50" s="294"/>
      <c r="G50" s="42"/>
      <c r="H50" s="42"/>
      <c r="I50" s="42"/>
      <c r="J50" s="288" t="s">
        <v>40</v>
      </c>
      <c r="K50" s="324"/>
      <c r="L50" s="294"/>
      <c r="M50" s="294"/>
      <c r="N50" s="294"/>
      <c r="O50" s="294"/>
      <c r="P50" s="12"/>
    </row>
    <row r="51" spans="2:57" ht="15" customHeight="1">
      <c r="B51" s="624"/>
      <c r="C51" s="349">
        <f>[5]Process!D96</f>
        <v>17.2</v>
      </c>
      <c r="D51" s="540"/>
      <c r="E51" s="537"/>
      <c r="F51" s="294"/>
      <c r="G51" s="42"/>
      <c r="H51" s="42"/>
      <c r="I51" s="42"/>
      <c r="J51" s="289" t="s">
        <v>33</v>
      </c>
      <c r="K51" s="324"/>
      <c r="L51" s="294"/>
      <c r="M51" s="294"/>
      <c r="N51" s="294"/>
      <c r="O51" s="294"/>
      <c r="P51" s="12"/>
    </row>
    <row r="52" spans="2:57" ht="15">
      <c r="B52" s="624"/>
      <c r="C52" s="349"/>
      <c r="D52" s="538"/>
      <c r="E52" s="539"/>
      <c r="F52" s="294"/>
      <c r="G52" s="42"/>
      <c r="H52" s="42"/>
      <c r="I52" s="42"/>
      <c r="J52" s="290" t="s">
        <v>16</v>
      </c>
      <c r="K52" s="324"/>
      <c r="L52" s="294"/>
      <c r="M52" s="294"/>
      <c r="N52" s="294"/>
      <c r="O52" s="294"/>
      <c r="P52" s="12"/>
      <c r="BC52" s="44"/>
      <c r="BD52" s="44"/>
    </row>
    <row r="53" spans="2:57" ht="15">
      <c r="B53" s="624"/>
      <c r="C53" s="349"/>
      <c r="D53" s="540"/>
      <c r="E53" s="537"/>
      <c r="F53" s="294"/>
      <c r="G53" s="42"/>
      <c r="H53" s="42"/>
      <c r="I53" s="42"/>
      <c r="J53" s="291" t="s">
        <v>15</v>
      </c>
      <c r="K53" s="324"/>
      <c r="L53" s="294"/>
      <c r="M53" s="294"/>
      <c r="N53" s="294"/>
      <c r="O53" s="294"/>
      <c r="P53" s="12"/>
      <c r="BC53" s="44"/>
      <c r="BD53" s="44"/>
    </row>
    <row r="54" spans="2:57" ht="15">
      <c r="B54" s="624"/>
      <c r="C54" s="349"/>
      <c r="D54" s="538"/>
      <c r="E54" s="539"/>
      <c r="F54" s="294"/>
      <c r="G54" s="42"/>
      <c r="H54" s="42"/>
      <c r="I54" s="42"/>
      <c r="J54" s="291" t="s">
        <v>149</v>
      </c>
      <c r="K54" s="324"/>
      <c r="L54" s="294"/>
      <c r="M54" s="294"/>
      <c r="N54" s="294"/>
      <c r="O54" s="294"/>
      <c r="P54" s="12"/>
      <c r="BC54" s="44"/>
      <c r="BD54" s="44"/>
    </row>
    <row r="55" spans="2:57" ht="15.75" thickBot="1">
      <c r="B55" s="625"/>
      <c r="C55" s="350"/>
      <c r="D55" s="547"/>
      <c r="E55" s="548"/>
      <c r="F55" s="294" t="s">
        <v>166</v>
      </c>
      <c r="G55" s="42"/>
      <c r="H55" s="42"/>
      <c r="I55" s="42"/>
      <c r="J55" s="291" t="s">
        <v>148</v>
      </c>
      <c r="K55" s="324"/>
      <c r="L55" s="294"/>
      <c r="M55" s="294"/>
      <c r="N55" s="294" t="s">
        <v>41</v>
      </c>
      <c r="O55" s="294"/>
      <c r="P55" s="12"/>
      <c r="BC55" s="44"/>
      <c r="BD55" s="44"/>
    </row>
    <row r="56" spans="2:57" ht="17.649999999999999" customHeight="1" thickBot="1">
      <c r="B56" s="312" t="s">
        <v>139</v>
      </c>
      <c r="C56" s="313"/>
      <c r="D56" s="549"/>
      <c r="E56" s="550"/>
      <c r="F56" s="294"/>
      <c r="J56" s="295" t="s">
        <v>134</v>
      </c>
      <c r="K56" s="324"/>
      <c r="L56" s="294"/>
      <c r="M56" s="294"/>
      <c r="N56" s="294"/>
      <c r="O56" s="294"/>
      <c r="P56" s="12"/>
      <c r="BC56" s="44"/>
      <c r="BD56" s="44"/>
    </row>
    <row r="57" spans="2:57" ht="17.649999999999999" customHeight="1">
      <c r="B57" s="363"/>
      <c r="C57" s="364"/>
      <c r="D57" s="365"/>
      <c r="E57" s="365"/>
      <c r="F57" s="294"/>
      <c r="G57" s="42"/>
      <c r="H57" s="42"/>
      <c r="I57" s="42"/>
      <c r="J57" s="295" t="s">
        <v>131</v>
      </c>
      <c r="K57" s="324"/>
      <c r="L57" s="294"/>
      <c r="M57" s="294"/>
      <c r="N57" s="294"/>
      <c r="O57" s="294"/>
      <c r="P57" s="12"/>
      <c r="BC57" s="44"/>
      <c r="BD57" s="44"/>
    </row>
    <row r="58" spans="2:57" ht="15.6" customHeight="1">
      <c r="B58" s="45"/>
      <c r="C58" s="11"/>
      <c r="D58" s="11"/>
      <c r="E58" s="46"/>
      <c r="F58" s="294"/>
      <c r="G58" s="42"/>
      <c r="H58" s="42"/>
      <c r="I58" s="42"/>
      <c r="J58" s="346" t="s">
        <v>130</v>
      </c>
      <c r="K58" s="324">
        <f>SUM(K48:K57)</f>
        <v>9</v>
      </c>
      <c r="L58" s="294"/>
      <c r="M58" s="294"/>
      <c r="N58" s="294"/>
      <c r="O58" s="294"/>
      <c r="P58" s="12"/>
    </row>
    <row r="59" spans="2:57" ht="20.25" customHeight="1">
      <c r="B59" s="15" t="s">
        <v>42</v>
      </c>
      <c r="C59" s="1" t="s">
        <v>43</v>
      </c>
      <c r="D59" s="1"/>
      <c r="E59" s="1"/>
      <c r="F59" s="294"/>
      <c r="G59" s="42"/>
      <c r="H59" s="41"/>
      <c r="I59" s="42"/>
      <c r="L59" s="42"/>
      <c r="N59" s="315"/>
      <c r="P59" s="334"/>
    </row>
    <row r="60" spans="2:57" ht="15" customHeight="1" thickBot="1"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1"/>
      <c r="O60" s="48"/>
      <c r="P60" s="49"/>
    </row>
    <row r="61" spans="2:57" ht="15" customHeight="1" thickBot="1">
      <c r="B61" s="551" t="s">
        <v>17</v>
      </c>
      <c r="C61" s="551" t="s">
        <v>44</v>
      </c>
      <c r="D61" s="554" t="s">
        <v>45</v>
      </c>
      <c r="E61" s="519" t="s">
        <v>46</v>
      </c>
      <c r="F61" s="568" t="s">
        <v>47</v>
      </c>
      <c r="G61" s="563" t="s">
        <v>48</v>
      </c>
      <c r="H61" s="551" t="s">
        <v>49</v>
      </c>
      <c r="I61" s="551" t="s">
        <v>50</v>
      </c>
      <c r="J61" s="557" t="s">
        <v>28</v>
      </c>
      <c r="K61" s="517" t="s">
        <v>51</v>
      </c>
      <c r="L61" s="566" t="s">
        <v>52</v>
      </c>
      <c r="M61" s="557" t="s">
        <v>53</v>
      </c>
      <c r="N61" s="13"/>
      <c r="O61" s="13"/>
      <c r="P61" s="50"/>
    </row>
    <row r="62" spans="2:57" ht="28.5" customHeight="1" thickTop="1" thickBot="1">
      <c r="B62" s="552"/>
      <c r="C62" s="553"/>
      <c r="D62" s="555"/>
      <c r="E62" s="556"/>
      <c r="F62" s="569"/>
      <c r="G62" s="564"/>
      <c r="H62" s="552"/>
      <c r="I62" s="552"/>
      <c r="J62" s="558"/>
      <c r="K62" s="565"/>
      <c r="L62" s="567"/>
      <c r="M62" s="558"/>
      <c r="N62" s="13"/>
      <c r="O62" s="13"/>
      <c r="P62" s="50"/>
      <c r="Q62" s="355"/>
      <c r="AB62" s="475">
        <v>43474</v>
      </c>
      <c r="AC62" s="475">
        <v>43475</v>
      </c>
      <c r="AD62" s="475">
        <v>43476</v>
      </c>
      <c r="AE62" s="475">
        <v>43477</v>
      </c>
      <c r="AF62" s="475">
        <v>43478</v>
      </c>
      <c r="AG62" s="475">
        <v>43479</v>
      </c>
      <c r="AH62" s="475">
        <v>43480</v>
      </c>
      <c r="AI62" s="475">
        <v>43481</v>
      </c>
      <c r="AJ62" s="475">
        <v>43482</v>
      </c>
      <c r="AK62" s="475">
        <v>43483</v>
      </c>
      <c r="AL62" s="475">
        <v>43484</v>
      </c>
      <c r="AM62" s="475">
        <v>43485</v>
      </c>
      <c r="AN62" s="475">
        <v>43486</v>
      </c>
      <c r="AO62" s="475">
        <v>43487</v>
      </c>
      <c r="AP62" s="475">
        <v>43488</v>
      </c>
      <c r="AQ62" s="475">
        <v>43489</v>
      </c>
      <c r="AR62" s="475">
        <v>43490</v>
      </c>
      <c r="AS62" s="475">
        <v>43491</v>
      </c>
      <c r="AT62" s="475">
        <v>43492</v>
      </c>
      <c r="AU62" s="475">
        <v>43493</v>
      </c>
      <c r="AV62" s="475">
        <v>43494</v>
      </c>
      <c r="AW62" s="475">
        <v>43495</v>
      </c>
      <c r="AX62" s="475">
        <v>43496</v>
      </c>
    </row>
    <row r="63" spans="2:57" s="54" customFormat="1" ht="36.75" customHeight="1" thickBot="1">
      <c r="B63" s="505" t="str">
        <f>I36</f>
        <v>GUINNESS</v>
      </c>
      <c r="C63" s="479">
        <v>46259</v>
      </c>
      <c r="D63" s="445">
        <f>[35]August_2026!$AB$23</f>
        <v>301.3</v>
      </c>
      <c r="E63" s="443"/>
      <c r="F63" s="444"/>
      <c r="G63" s="444">
        <f>[35]August_2026!$AB$28</f>
        <v>274.39999999999998</v>
      </c>
      <c r="H63" s="458"/>
      <c r="I63" s="458"/>
      <c r="J63" s="448" t="s">
        <v>170</v>
      </c>
      <c r="K63" s="449">
        <f>[36]August_2026!$AB$32</f>
        <v>0.32093567251461985</v>
      </c>
      <c r="L63" s="457">
        <f>(((D63+E63)-G63)/(D63+E63))*100</f>
        <v>8.9279787587122588</v>
      </c>
      <c r="M63" s="455" t="s">
        <v>171</v>
      </c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[16]January_2019!L5</f>
        <v>0</v>
      </c>
      <c r="AC63" s="57">
        <f>[16]January_2019!M5</f>
        <v>0</v>
      </c>
      <c r="AD63" s="57">
        <f>[16]January_2019!N5</f>
        <v>0</v>
      </c>
      <c r="AE63" s="57">
        <f>[16]January_2019!O5</f>
        <v>0</v>
      </c>
      <c r="AF63" s="57">
        <f>[16]January_2019!P5</f>
        <v>0</v>
      </c>
      <c r="AG63" s="57">
        <f>[16]January_2019!Q5</f>
        <v>0</v>
      </c>
      <c r="AH63" s="57">
        <f>[16]January_2019!R5</f>
        <v>0</v>
      </c>
      <c r="AI63" s="57">
        <f>[16]January_2019!S5</f>
        <v>0</v>
      </c>
      <c r="AJ63" s="57">
        <f>[16]January_2019!T5</f>
        <v>0</v>
      </c>
      <c r="AK63" s="57">
        <f>[16]January_2019!U5</f>
        <v>0</v>
      </c>
      <c r="AL63" s="57">
        <f>[16]January_2019!V5</f>
        <v>0</v>
      </c>
      <c r="AM63" s="57">
        <f>[16]January_2019!W5</f>
        <v>0</v>
      </c>
      <c r="AN63" s="57">
        <f>[16]January_2019!X5</f>
        <v>0</v>
      </c>
      <c r="AO63" s="57">
        <f>[16]January_2019!Y5</f>
        <v>0</v>
      </c>
      <c r="AP63" s="57">
        <f>[16]January_2019!Z5</f>
        <v>0</v>
      </c>
      <c r="AQ63" s="57">
        <f>[16]January_2019!AA5</f>
        <v>0</v>
      </c>
      <c r="AR63" s="57">
        <f>[16]January_2019!AB5</f>
        <v>0</v>
      </c>
      <c r="AS63" s="57">
        <f>[16]January_2019!AC5</f>
        <v>0</v>
      </c>
      <c r="AT63" s="57">
        <f>[16]January_2019!AD5</f>
        <v>0</v>
      </c>
      <c r="AU63" s="57">
        <f>[16]January_2019!AE5</f>
        <v>0</v>
      </c>
      <c r="AV63" s="57">
        <f>[16]January_2019!AF5</f>
        <v>0</v>
      </c>
      <c r="AW63" s="57">
        <f>[16]January_2019!AG5</f>
        <v>0</v>
      </c>
      <c r="AX63" s="277">
        <f>[16]January_2019!AH5</f>
        <v>0</v>
      </c>
      <c r="AY63" s="277"/>
      <c r="AZ63" s="277"/>
      <c r="BA63" s="277"/>
      <c r="BB63" s="277"/>
      <c r="BC63" s="277"/>
      <c r="BD63" s="277"/>
      <c r="BE63" s="277"/>
    </row>
    <row r="64" spans="2:57" s="54" customFormat="1" ht="14.25" customHeight="1" thickBot="1">
      <c r="B64" s="480"/>
      <c r="C64" s="479"/>
      <c r="D64" s="442"/>
      <c r="E64" s="443"/>
      <c r="F64" s="444"/>
      <c r="G64" s="445"/>
      <c r="H64" s="458"/>
      <c r="I64" s="458"/>
      <c r="J64" s="476"/>
      <c r="K64" s="449"/>
      <c r="L64" s="457"/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>
        <f>[16]January_2019!L6</f>
        <v>0</v>
      </c>
      <c r="AC64" s="57">
        <f>[16]January_2019!M6</f>
        <v>0</v>
      </c>
      <c r="AD64" s="57">
        <f>[16]January_2019!N6</f>
        <v>0</v>
      </c>
      <c r="AE64" s="57">
        <f>[16]January_2019!O6</f>
        <v>0</v>
      </c>
      <c r="AF64" s="57">
        <f>[16]January_2019!P6</f>
        <v>0</v>
      </c>
      <c r="AG64" s="57">
        <f>[16]January_2019!Q6</f>
        <v>0</v>
      </c>
      <c r="AH64" s="57">
        <f>[16]January_2019!R6</f>
        <v>0</v>
      </c>
      <c r="AI64" s="57">
        <f>[16]January_2019!S6</f>
        <v>0</v>
      </c>
      <c r="AJ64" s="57">
        <f>[16]January_2019!T6</f>
        <v>0</v>
      </c>
      <c r="AK64" s="57">
        <f>[16]January_2019!U6</f>
        <v>0</v>
      </c>
      <c r="AL64" s="57">
        <f>[16]January_2019!V6</f>
        <v>0</v>
      </c>
      <c r="AM64" s="57">
        <f>[16]January_2019!W6</f>
        <v>0</v>
      </c>
      <c r="AN64" s="57">
        <f>[16]January_2019!X6</f>
        <v>0</v>
      </c>
      <c r="AO64" s="57">
        <f>[16]January_2019!Y6</f>
        <v>0</v>
      </c>
      <c r="AP64" s="57">
        <f>[16]January_2019!Z6</f>
        <v>0</v>
      </c>
      <c r="AQ64" s="57">
        <f>[16]January_2019!AA6</f>
        <v>0</v>
      </c>
      <c r="AR64" s="57">
        <f>[16]January_2019!AB6</f>
        <v>0</v>
      </c>
      <c r="AS64" s="57">
        <f>[16]January_2019!AC6</f>
        <v>0</v>
      </c>
      <c r="AT64" s="57">
        <f>[16]January_2019!AD6</f>
        <v>0</v>
      </c>
      <c r="AU64" s="57">
        <f>[16]January_2019!AE6</f>
        <v>0</v>
      </c>
      <c r="AV64" s="57">
        <f>[16]January_2019!AF6</f>
        <v>0</v>
      </c>
      <c r="AW64" s="57">
        <f>[16]January_2019!AG6</f>
        <v>0</v>
      </c>
      <c r="AX64" s="277">
        <f>[16]January_2019!AH6</f>
        <v>0</v>
      </c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 thickBot="1">
      <c r="B65" s="507" t="str">
        <f>J52</f>
        <v>STARMALT</v>
      </c>
      <c r="C65" s="479">
        <v>46259</v>
      </c>
      <c r="D65" s="442">
        <f>[35]August_2026!$AA$55</f>
        <v>512.91</v>
      </c>
      <c r="E65" s="443"/>
      <c r="F65" s="444"/>
      <c r="G65" s="444">
        <f>[35]August_2026!$AA$59</f>
        <v>476.50000000000006</v>
      </c>
      <c r="H65" s="458"/>
      <c r="I65" s="458"/>
      <c r="J65" s="448" t="s">
        <v>180</v>
      </c>
      <c r="K65" s="449">
        <f>[36]August_2026!$AA$53</f>
        <v>0.8359649122807018</v>
      </c>
      <c r="L65" s="457">
        <f>(((D65+E65)-G65)/(D65+E65))*100</f>
        <v>7.0987112748825156</v>
      </c>
      <c r="M65" s="455" t="s">
        <v>186</v>
      </c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>
        <f>[16]January_2019!L7</f>
        <v>285.8</v>
      </c>
      <c r="AC65" s="57">
        <f>[16]January_2019!M7</f>
        <v>508.1</v>
      </c>
      <c r="AD65" s="57">
        <f>[16]January_2019!N7</f>
        <v>0</v>
      </c>
      <c r="AE65" s="57">
        <f>[16]January_2019!O7</f>
        <v>0</v>
      </c>
      <c r="AF65" s="57">
        <f>[16]January_2019!P7</f>
        <v>109.56666666666666</v>
      </c>
      <c r="AG65" s="57">
        <f>[16]January_2019!Q7</f>
        <v>297.64999999999998</v>
      </c>
      <c r="AH65" s="57">
        <f>[16]January_2019!R7</f>
        <v>122.3</v>
      </c>
      <c r="AI65" s="57">
        <f>[16]January_2019!S7</f>
        <v>0</v>
      </c>
      <c r="AJ65" s="57">
        <f>[16]January_2019!T7</f>
        <v>294.7</v>
      </c>
      <c r="AK65" s="57">
        <f>[16]January_2019!U7</f>
        <v>280.5</v>
      </c>
      <c r="AL65" s="57">
        <f>[16]January_2019!V7</f>
        <v>0</v>
      </c>
      <c r="AM65" s="57">
        <f>[16]January_2019!W7</f>
        <v>0</v>
      </c>
      <c r="AN65" s="57">
        <f>[16]January_2019!X7</f>
        <v>188.25</v>
      </c>
      <c r="AO65" s="57">
        <f>[16]January_2019!Y7</f>
        <v>295.7</v>
      </c>
      <c r="AP65" s="57">
        <f>[16]January_2019!Z7</f>
        <v>257.8</v>
      </c>
      <c r="AQ65" s="57">
        <f>[16]January_2019!AA7</f>
        <v>291.2</v>
      </c>
      <c r="AR65" s="57">
        <f>[16]January_2019!AB7</f>
        <v>187</v>
      </c>
      <c r="AS65" s="57">
        <f>[16]January_2019!AC7</f>
        <v>0</v>
      </c>
      <c r="AT65" s="57">
        <f>[16]January_2019!AD7</f>
        <v>0</v>
      </c>
      <c r="AU65" s="57">
        <f>[16]January_2019!AE7</f>
        <v>485.1</v>
      </c>
      <c r="AV65" s="57">
        <f>[16]January_2019!AF7</f>
        <v>171.55</v>
      </c>
      <c r="AW65" s="57">
        <f>[16]January_2019!AG7</f>
        <v>423.8</v>
      </c>
      <c r="AX65" s="277">
        <f>[16]January_2019!AH7</f>
        <v>0</v>
      </c>
      <c r="AY65" s="277"/>
      <c r="AZ65" s="277"/>
      <c r="BA65" s="277"/>
      <c r="BB65" s="277"/>
      <c r="BC65" s="277"/>
      <c r="BD65" s="277"/>
      <c r="BE65" s="277"/>
    </row>
    <row r="66" spans="2:57" s="54" customFormat="1" ht="18.600000000000001" hidden="1" customHeight="1" thickBot="1">
      <c r="B66" s="478"/>
      <c r="C66" s="430"/>
      <c r="D66" s="431"/>
      <c r="E66" s="432"/>
      <c r="F66" s="433"/>
      <c r="G66" s="434"/>
      <c r="H66" s="458"/>
      <c r="I66" s="458"/>
      <c r="J66" s="451"/>
      <c r="K66" s="436"/>
      <c r="L66" s="452"/>
      <c r="M66" s="421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38.65" hidden="1" customHeight="1" thickBot="1">
      <c r="B67" s="498"/>
      <c r="C67" s="479"/>
      <c r="D67" s="442"/>
      <c r="E67" s="443"/>
      <c r="F67" s="444"/>
      <c r="G67" s="445"/>
      <c r="H67" s="458"/>
      <c r="I67" s="458"/>
      <c r="J67" s="448"/>
      <c r="K67" s="459"/>
      <c r="L67" s="457"/>
      <c r="M67" s="455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15.75" hidden="1" thickBot="1">
      <c r="B68" s="453"/>
      <c r="C68" s="430"/>
      <c r="D68" s="431"/>
      <c r="E68" s="432"/>
      <c r="F68" s="433"/>
      <c r="G68" s="434"/>
      <c r="H68" s="435"/>
      <c r="I68" s="450"/>
      <c r="J68" s="451"/>
      <c r="K68" s="436"/>
      <c r="L68" s="452"/>
      <c r="M68" s="421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37.15" hidden="1" customHeight="1" thickBot="1">
      <c r="B69" s="482"/>
      <c r="C69" s="479"/>
      <c r="D69" s="442"/>
      <c r="E69" s="443"/>
      <c r="F69" s="444"/>
      <c r="G69" s="445"/>
      <c r="H69" s="446"/>
      <c r="I69" s="447"/>
      <c r="J69" s="448"/>
      <c r="K69" s="449"/>
      <c r="L69" s="457"/>
      <c r="M69" s="455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s="54" customFormat="1" ht="16.5" hidden="1" customHeight="1" thickBot="1">
      <c r="B70" s="437"/>
      <c r="C70" s="423"/>
      <c r="D70" s="424"/>
      <c r="E70" s="425"/>
      <c r="F70" s="426"/>
      <c r="G70" s="427"/>
      <c r="H70" s="428"/>
      <c r="I70" s="438"/>
      <c r="J70" s="439"/>
      <c r="K70" s="429"/>
      <c r="L70" s="440"/>
      <c r="M70" s="422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415"/>
      <c r="AC70" s="415"/>
      <c r="AD70" s="415"/>
      <c r="AE70" s="415"/>
      <c r="AF70" s="415"/>
      <c r="AG70" s="415"/>
      <c r="AH70" s="415"/>
      <c r="AI70" s="415"/>
      <c r="AJ70" s="415"/>
      <c r="AK70" s="415"/>
      <c r="AL70" s="415"/>
      <c r="AM70" s="415"/>
      <c r="AN70" s="415"/>
      <c r="AO70" s="415"/>
      <c r="AP70" s="415"/>
      <c r="AQ70" s="415"/>
      <c r="AR70" s="415"/>
      <c r="AS70" s="415"/>
      <c r="AT70" s="415"/>
      <c r="AU70" s="415"/>
      <c r="AV70" s="415"/>
      <c r="AW70" s="415"/>
    </row>
    <row r="71" spans="2:57" s="54" customFormat="1" ht="37.15" hidden="1" customHeight="1" thickBot="1">
      <c r="B71" s="456"/>
      <c r="C71" s="441"/>
      <c r="D71" s="442"/>
      <c r="E71" s="443"/>
      <c r="F71" s="444"/>
      <c r="G71" s="445"/>
      <c r="H71" s="446"/>
      <c r="I71" s="447"/>
      <c r="J71" s="448"/>
      <c r="K71" s="449"/>
      <c r="L71" s="457"/>
      <c r="M71" s="454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277"/>
      <c r="AY71" s="277"/>
      <c r="AZ71" s="277"/>
      <c r="BA71" s="277"/>
      <c r="BB71" s="277"/>
      <c r="BC71" s="277"/>
      <c r="BD71" s="277"/>
      <c r="BE71" s="277"/>
    </row>
    <row r="72" spans="2:57" s="54" customFormat="1" ht="37.15" customHeight="1">
      <c r="B72" s="466"/>
      <c r="C72" s="430"/>
      <c r="D72" s="460"/>
      <c r="E72" s="461"/>
      <c r="F72" s="462"/>
      <c r="G72" s="460"/>
      <c r="H72" s="463"/>
      <c r="I72" s="463"/>
      <c r="J72" s="463"/>
      <c r="K72" s="464"/>
      <c r="L72" s="465"/>
      <c r="M72" s="50"/>
      <c r="N72" s="13"/>
      <c r="O72" s="13"/>
      <c r="P72" s="50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277"/>
      <c r="AY72" s="277"/>
      <c r="AZ72" s="277"/>
      <c r="BA72" s="277"/>
      <c r="BB72" s="277"/>
      <c r="BC72" s="277"/>
      <c r="BD72" s="277"/>
      <c r="BE72" s="277"/>
    </row>
    <row r="73" spans="2:57" ht="18" customHeight="1" thickBot="1">
      <c r="B73" s="59"/>
      <c r="C73" s="30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 t="s">
        <v>41</v>
      </c>
      <c r="O73" s="56"/>
      <c r="P73" s="60"/>
    </row>
    <row r="74" spans="2:57" ht="15.75" thickBot="1">
      <c r="B74" s="559" t="s">
        <v>55</v>
      </c>
      <c r="C74" s="560"/>
      <c r="D74" s="560"/>
      <c r="E74" s="560"/>
      <c r="F74" s="561"/>
      <c r="G74" s="559" t="s">
        <v>56</v>
      </c>
      <c r="H74" s="560"/>
      <c r="I74" s="560"/>
      <c r="J74" s="561"/>
      <c r="K74" s="559" t="s">
        <v>51</v>
      </c>
      <c r="L74" s="560"/>
      <c r="M74" s="560"/>
      <c r="N74" s="562"/>
      <c r="O74" s="56"/>
      <c r="P74" s="50"/>
    </row>
    <row r="75" spans="2:57" ht="15">
      <c r="B75" s="61" t="s">
        <v>17</v>
      </c>
      <c r="C75" s="62" t="s">
        <v>36</v>
      </c>
      <c r="D75" s="62" t="s">
        <v>37</v>
      </c>
      <c r="E75" s="62" t="s">
        <v>38</v>
      </c>
      <c r="F75" s="63" t="s">
        <v>39</v>
      </c>
      <c r="G75" s="62" t="s">
        <v>36</v>
      </c>
      <c r="H75" s="62" t="s">
        <v>37</v>
      </c>
      <c r="I75" s="62" t="s">
        <v>38</v>
      </c>
      <c r="J75" s="63" t="s">
        <v>39</v>
      </c>
      <c r="K75" s="62"/>
      <c r="L75" s="62" t="s">
        <v>37</v>
      </c>
      <c r="M75" s="62" t="s">
        <v>38</v>
      </c>
      <c r="N75" s="63" t="s">
        <v>39</v>
      </c>
      <c r="O75" s="56"/>
      <c r="P75" s="64"/>
    </row>
    <row r="76" spans="2:57" ht="15">
      <c r="B76" s="29" t="s">
        <v>6</v>
      </c>
      <c r="C76" s="65"/>
      <c r="D76" s="76">
        <v>5.5835535250091075</v>
      </c>
      <c r="E76" s="76">
        <v>6.3865689770433125</v>
      </c>
      <c r="F76" s="66">
        <v>4.8</v>
      </c>
      <c r="G76" s="65"/>
      <c r="H76" s="477">
        <v>5.5155298311908512</v>
      </c>
      <c r="I76" s="477">
        <v>6.6305961655808172</v>
      </c>
      <c r="J76" s="66">
        <v>4.8</v>
      </c>
      <c r="K76" s="67"/>
      <c r="L76" s="194">
        <v>0.44716602111338949</v>
      </c>
      <c r="M76" s="194">
        <v>0.5265725764780923</v>
      </c>
      <c r="N76" s="68">
        <v>1</v>
      </c>
      <c r="O76" s="56"/>
      <c r="P76" s="69"/>
    </row>
    <row r="77" spans="2:57" ht="15">
      <c r="B77" s="33" t="s">
        <v>9</v>
      </c>
      <c r="C77" s="65"/>
      <c r="D77" s="76">
        <v>7.5735775016350662</v>
      </c>
      <c r="E77" s="76">
        <v>5.9735660276997917</v>
      </c>
      <c r="F77" s="66">
        <v>4.8</v>
      </c>
      <c r="G77" s="65"/>
      <c r="H77" s="76">
        <v>7.2701428258065999</v>
      </c>
      <c r="I77" s="76">
        <v>5.9696748056569886</v>
      </c>
      <c r="J77" s="66">
        <v>4.8</v>
      </c>
      <c r="K77" s="67"/>
      <c r="L77" s="194">
        <v>0.67225146198830421</v>
      </c>
      <c r="M77" s="194">
        <v>0.69969789623338174</v>
      </c>
      <c r="N77" s="68">
        <v>1</v>
      </c>
      <c r="P77" s="69"/>
    </row>
    <row r="78" spans="2:57" ht="15">
      <c r="B78" s="34" t="s">
        <v>40</v>
      </c>
      <c r="C78" s="65">
        <f>L63</f>
        <v>8.9279787587122588</v>
      </c>
      <c r="D78" s="76">
        <v>10.439770554493313</v>
      </c>
      <c r="E78" s="76">
        <v>11.165048543689306</v>
      </c>
      <c r="F78" s="66">
        <v>5.5</v>
      </c>
      <c r="G78" s="65">
        <f>[35]August_2026!$AA$63</f>
        <v>7.2510084695138728</v>
      </c>
      <c r="H78" s="76">
        <v>11.306428655793949</v>
      </c>
      <c r="I78" s="76">
        <v>12.022275256640812</v>
      </c>
      <c r="J78" s="66">
        <v>5.5</v>
      </c>
      <c r="K78" s="67">
        <f>K63</f>
        <v>0.32093567251461985</v>
      </c>
      <c r="L78" s="194">
        <v>0.50081871345029239</v>
      </c>
      <c r="M78" s="194">
        <v>0.36781932395090289</v>
      </c>
      <c r="N78" s="68">
        <v>1</v>
      </c>
      <c r="P78" s="69"/>
    </row>
    <row r="79" spans="2:57" ht="15">
      <c r="B79" s="22" t="s">
        <v>33</v>
      </c>
      <c r="C79" s="65"/>
      <c r="D79" s="76"/>
      <c r="E79" s="76">
        <v>4.8685538193023836</v>
      </c>
      <c r="F79" s="66">
        <v>3.3</v>
      </c>
      <c r="G79" s="65"/>
      <c r="H79" s="76"/>
      <c r="I79" s="76">
        <v>5.0921772905826597</v>
      </c>
      <c r="J79" s="66">
        <v>3.3</v>
      </c>
      <c r="K79" s="67"/>
      <c r="L79" s="194"/>
      <c r="M79" s="194">
        <v>0.79040935672514623</v>
      </c>
      <c r="N79" s="68">
        <v>1</v>
      </c>
      <c r="P79" s="69"/>
    </row>
    <row r="80" spans="2:57" ht="15">
      <c r="B80" s="35" t="s">
        <v>164</v>
      </c>
      <c r="C80" s="65"/>
      <c r="D80" s="76"/>
      <c r="E80" s="76"/>
      <c r="F80" s="66">
        <v>3.3</v>
      </c>
      <c r="G80" s="282"/>
      <c r="H80" s="76"/>
      <c r="I80" s="76"/>
      <c r="J80" s="66">
        <v>3</v>
      </c>
      <c r="K80" s="67"/>
      <c r="L80" s="194"/>
      <c r="M80" s="194"/>
      <c r="N80" s="68">
        <v>1</v>
      </c>
      <c r="P80" s="69"/>
    </row>
    <row r="81" spans="2:16" ht="15">
      <c r="B81" s="36" t="s">
        <v>15</v>
      </c>
      <c r="C81" s="65"/>
      <c r="D81" s="76"/>
      <c r="E81" s="76">
        <v>6.0400197628458603</v>
      </c>
      <c r="F81" s="70">
        <v>5.5</v>
      </c>
      <c r="G81" s="65"/>
      <c r="H81" s="76"/>
      <c r="I81" s="76">
        <v>8.2405787675951316</v>
      </c>
      <c r="J81" s="66">
        <v>5.5</v>
      </c>
      <c r="K81" s="67"/>
      <c r="L81" s="194"/>
      <c r="M81" s="194">
        <v>0.78491228070175445</v>
      </c>
      <c r="N81" s="68">
        <v>1</v>
      </c>
      <c r="P81" s="69"/>
    </row>
    <row r="82" spans="2:16" ht="15">
      <c r="B82" s="37" t="s">
        <v>16</v>
      </c>
      <c r="C82" s="483">
        <f>L65</f>
        <v>7.0987112748825156</v>
      </c>
      <c r="D82" s="76">
        <v>4.9879944807205456</v>
      </c>
      <c r="E82" s="76">
        <v>3.8893302476598364</v>
      </c>
      <c r="F82" s="66">
        <v>3.3</v>
      </c>
      <c r="G82" s="282">
        <f>[35]August_2026!$AA$63</f>
        <v>7.2510084695138728</v>
      </c>
      <c r="H82" s="76">
        <v>5.346203760314828</v>
      </c>
      <c r="I82" s="76">
        <v>5.0091179718082053</v>
      </c>
      <c r="J82" s="66">
        <v>3.3</v>
      </c>
      <c r="K82" s="67">
        <f>K65</f>
        <v>0.8359649122807018</v>
      </c>
      <c r="L82" s="194">
        <v>1.1162280701754386</v>
      </c>
      <c r="M82" s="194">
        <v>0.92642300194931759</v>
      </c>
      <c r="N82" s="71">
        <v>1</v>
      </c>
      <c r="P82" s="69"/>
    </row>
    <row r="83" spans="2:16" ht="15.75" thickBot="1">
      <c r="B83" s="38" t="s">
        <v>163</v>
      </c>
      <c r="C83" s="65"/>
      <c r="D83" s="76"/>
      <c r="E83" s="76"/>
      <c r="F83" s="66">
        <v>7.5</v>
      </c>
      <c r="G83" s="282"/>
      <c r="H83" s="76"/>
      <c r="I83" s="76"/>
      <c r="J83" s="66">
        <v>7.5</v>
      </c>
      <c r="K83" s="67"/>
      <c r="L83" s="194"/>
      <c r="M83" s="194"/>
      <c r="N83" s="71">
        <v>1</v>
      </c>
      <c r="P83" s="69"/>
    </row>
    <row r="84" spans="2:16" ht="15.75" thickBot="1">
      <c r="B84" s="414" t="s">
        <v>161</v>
      </c>
      <c r="C84" s="65"/>
      <c r="D84" s="76"/>
      <c r="E84" s="76"/>
      <c r="F84" s="66">
        <v>4.8</v>
      </c>
      <c r="G84" s="282"/>
      <c r="H84" s="76"/>
      <c r="I84" s="76"/>
      <c r="J84" s="66">
        <v>4.8</v>
      </c>
      <c r="K84" s="67"/>
      <c r="L84" s="194"/>
      <c r="M84" s="194"/>
      <c r="N84" s="71">
        <v>1</v>
      </c>
      <c r="O84" s="74"/>
      <c r="P84" s="75"/>
    </row>
    <row r="85" spans="2:16" ht="15">
      <c r="D85" s="76">
        <v>6.2850072731528819</v>
      </c>
      <c r="E85" s="76">
        <v>6.3191958985903476</v>
      </c>
      <c r="F85" s="341">
        <v>5.5</v>
      </c>
      <c r="H85" s="76">
        <v>6.4094910337743309</v>
      </c>
      <c r="I85" s="76">
        <v>6.7275083137569736</v>
      </c>
      <c r="J85" s="341">
        <v>5.5</v>
      </c>
      <c r="L85" s="194">
        <v>0.56498189919242547</v>
      </c>
      <c r="M85" s="194">
        <v>0.6018387947209195</v>
      </c>
      <c r="N85" s="386">
        <v>1</v>
      </c>
    </row>
  </sheetData>
  <mergeCells count="51">
    <mergeCell ref="M61:M62"/>
    <mergeCell ref="B74:F74"/>
    <mergeCell ref="G74:J74"/>
    <mergeCell ref="K74:N74"/>
    <mergeCell ref="G61:G62"/>
    <mergeCell ref="H61:H62"/>
    <mergeCell ref="I61:I62"/>
    <mergeCell ref="J61:J62"/>
    <mergeCell ref="K61:K62"/>
    <mergeCell ref="L61:L62"/>
    <mergeCell ref="F61:F62"/>
    <mergeCell ref="D56:E56"/>
    <mergeCell ref="B61:B62"/>
    <mergeCell ref="C61:C62"/>
    <mergeCell ref="D61:D62"/>
    <mergeCell ref="E61:E62"/>
    <mergeCell ref="B46:B55"/>
    <mergeCell ref="D46:E47"/>
    <mergeCell ref="J46:K46"/>
    <mergeCell ref="L47:N47"/>
    <mergeCell ref="D48:E49"/>
    <mergeCell ref="D50:E51"/>
    <mergeCell ref="D52:E53"/>
    <mergeCell ref="D54:E55"/>
    <mergeCell ref="I32:N32"/>
    <mergeCell ref="D33:E33"/>
    <mergeCell ref="B34:B45"/>
    <mergeCell ref="D34:E35"/>
    <mergeCell ref="D36:E37"/>
    <mergeCell ref="D38:E39"/>
    <mergeCell ref="D40:E41"/>
    <mergeCell ref="D42:E43"/>
    <mergeCell ref="D44:E4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6:B57">
    <cfRule type="cellIs" dxfId="970" priority="103" operator="notBetween">
      <formula>#REF!</formula>
      <formula>#REF!</formula>
    </cfRule>
  </conditionalFormatting>
  <conditionalFormatting sqref="C60">
    <cfRule type="cellIs" dxfId="969" priority="185" stopIfTrue="1" operator="lessThan">
      <formula>96</formula>
    </cfRule>
    <cfRule type="cellIs" dxfId="968" priority="186" stopIfTrue="1" operator="greaterThan">
      <formula>100</formula>
    </cfRule>
  </conditionalFormatting>
  <conditionalFormatting sqref="C76:C77">
    <cfRule type="cellIs" dxfId="967" priority="65" stopIfTrue="1" operator="greaterThan">
      <formula>$F76</formula>
    </cfRule>
    <cfRule type="cellIs" dxfId="966" priority="68" stopIfTrue="1" operator="lessThanOrEqual">
      <formula>0</formula>
    </cfRule>
    <cfRule type="cellIs" dxfId="965" priority="67" stopIfTrue="1" operator="greaterThan">
      <formula>$F76</formula>
    </cfRule>
    <cfRule type="cellIs" dxfId="964" priority="66" stopIfTrue="1" operator="lessThanOrEqual">
      <formula>0</formula>
    </cfRule>
  </conditionalFormatting>
  <conditionalFormatting sqref="C78:C80 C82:C84">
    <cfRule type="cellIs" dxfId="963" priority="75" stopIfTrue="1" operator="greaterThan">
      <formula>$F81</formula>
    </cfRule>
  </conditionalFormatting>
  <conditionalFormatting sqref="C78:C80">
    <cfRule type="cellIs" dxfId="962" priority="76" stopIfTrue="1" operator="lessThanOrEqual">
      <formula>0</formula>
    </cfRule>
  </conditionalFormatting>
  <conditionalFormatting sqref="C81">
    <cfRule type="cellIs" dxfId="961" priority="190" stopIfTrue="1" operator="lessThanOrEqual">
      <formula>0</formula>
    </cfRule>
    <cfRule type="cellIs" dxfId="960" priority="189" stopIfTrue="1" operator="greaterThan">
      <formula>$F76</formula>
    </cfRule>
    <cfRule type="cellIs" dxfId="959" priority="188" stopIfTrue="1" operator="lessThanOrEqual">
      <formula>0</formula>
    </cfRule>
    <cfRule type="cellIs" dxfId="958" priority="187" stopIfTrue="1" operator="greaterThan">
      <formula>$F76</formula>
    </cfRule>
  </conditionalFormatting>
  <conditionalFormatting sqref="C82:C84">
    <cfRule type="cellIs" dxfId="957" priority="77" stopIfTrue="1" operator="lessThanOrEqual">
      <formula>0</formula>
    </cfRule>
  </conditionalFormatting>
  <conditionalFormatting sqref="C87:C91">
    <cfRule type="cellIs" dxfId="956" priority="177" stopIfTrue="1" operator="lessThanOrEqual">
      <formula>0</formula>
    </cfRule>
  </conditionalFormatting>
  <conditionalFormatting sqref="C88:C91">
    <cfRule type="cellIs" dxfId="955" priority="176" stopIfTrue="1" operator="greaterThan">
      <formula>$F$87</formula>
    </cfRule>
  </conditionalFormatting>
  <conditionalFormatting sqref="C93">
    <cfRule type="cellIs" dxfId="954" priority="178" stopIfTrue="1" operator="greaterThan">
      <formula>$F$87</formula>
    </cfRule>
    <cfRule type="cellIs" dxfId="953" priority="179" stopIfTrue="1" operator="lessThanOrEqual">
      <formula>0</formula>
    </cfRule>
  </conditionalFormatting>
  <conditionalFormatting sqref="C81:D81">
    <cfRule type="cellIs" dxfId="952" priority="63" stopIfTrue="1" operator="greaterThan">
      <formula>$J81</formula>
    </cfRule>
    <cfRule type="cellIs" dxfId="951" priority="64" stopIfTrue="1" operator="lessThanOrEqual">
      <formula>0</formula>
    </cfRule>
  </conditionalFormatting>
  <conditionalFormatting sqref="C87:D87 D89:D95">
    <cfRule type="cellIs" dxfId="950" priority="171" stopIfTrue="1" operator="greaterThan">
      <formula>4.5</formula>
    </cfRule>
  </conditionalFormatting>
  <conditionalFormatting sqref="D56:D57">
    <cfRule type="cellIs" dxfId="949" priority="104" operator="notBetween">
      <formula>#REF!</formula>
      <formula>#REF!</formula>
    </cfRule>
  </conditionalFormatting>
  <conditionalFormatting sqref="D76:D80 D82:D83">
    <cfRule type="cellIs" dxfId="948" priority="74" stopIfTrue="1" operator="lessThanOrEqual">
      <formula>0</formula>
    </cfRule>
  </conditionalFormatting>
  <conditionalFormatting sqref="D76:D80 D82:D85">
    <cfRule type="cellIs" dxfId="947" priority="70" stopIfTrue="1" operator="lessThanOrEqual">
      <formula>0</formula>
    </cfRule>
    <cfRule type="cellIs" dxfId="946" priority="71" stopIfTrue="1" operator="greaterThan">
      <formula>$F76</formula>
    </cfRule>
  </conditionalFormatting>
  <conditionalFormatting sqref="D84:D85">
    <cfRule type="cellIs" dxfId="945" priority="72" stopIfTrue="1" operator="lessThanOrEqual">
      <formula>0</formula>
    </cfRule>
  </conditionalFormatting>
  <conditionalFormatting sqref="D85">
    <cfRule type="cellIs" dxfId="944" priority="73" stopIfTrue="1" operator="lessThanOrEqual">
      <formula>0</formula>
    </cfRule>
  </conditionalFormatting>
  <conditionalFormatting sqref="D87 D89:D95">
    <cfRule type="cellIs" dxfId="943" priority="172" stopIfTrue="1" operator="lessThanOrEqual">
      <formula>0</formula>
    </cfRule>
  </conditionalFormatting>
  <conditionalFormatting sqref="D88">
    <cfRule type="cellIs" dxfId="942" priority="164" stopIfTrue="1" operator="lessThanOrEqual">
      <formula>0</formula>
    </cfRule>
    <cfRule type="cellIs" dxfId="941" priority="163" stopIfTrue="1" operator="greaterThan">
      <formula>$F$87</formula>
    </cfRule>
  </conditionalFormatting>
  <conditionalFormatting sqref="E10:E31">
    <cfRule type="cellIs" dxfId="940" priority="8" operator="lessThan">
      <formula>48</formula>
    </cfRule>
  </conditionalFormatting>
  <conditionalFormatting sqref="E59 E60:F60">
    <cfRule type="cellIs" dxfId="939" priority="168" stopIfTrue="1" operator="greaterThan">
      <formula>100</formula>
    </cfRule>
  </conditionalFormatting>
  <conditionalFormatting sqref="E60">
    <cfRule type="cellIs" dxfId="938" priority="166" stopIfTrue="1" operator="greaterThan">
      <formula>100</formula>
    </cfRule>
    <cfRule type="cellIs" dxfId="937" priority="165" stopIfTrue="1" operator="lessThan">
      <formula>96.8</formula>
    </cfRule>
  </conditionalFormatting>
  <conditionalFormatting sqref="E76:E84">
    <cfRule type="cellIs" dxfId="936" priority="36" stopIfTrue="1" operator="lessThanOrEqual">
      <formula>0</formula>
    </cfRule>
  </conditionalFormatting>
  <conditionalFormatting sqref="E76:E85">
    <cfRule type="cellIs" dxfId="935" priority="37" stopIfTrue="1" operator="greaterThan">
      <formula>$F76</formula>
    </cfRule>
    <cfRule type="cellIs" dxfId="934" priority="38" stopIfTrue="1" operator="lessThanOrEqual">
      <formula>0</formula>
    </cfRule>
  </conditionalFormatting>
  <conditionalFormatting sqref="E85">
    <cfRule type="cellIs" dxfId="933" priority="39" stopIfTrue="1" operator="lessThanOrEqual">
      <formula>0</formula>
    </cfRule>
  </conditionalFormatting>
  <conditionalFormatting sqref="E87:E95">
    <cfRule type="cellIs" dxfId="932" priority="157" stopIfTrue="1" operator="greaterThan">
      <formula>4.5</formula>
    </cfRule>
    <cfRule type="cellIs" dxfId="931" priority="158" stopIfTrue="1" operator="lessThanOrEqual">
      <formula>0</formula>
    </cfRule>
  </conditionalFormatting>
  <conditionalFormatting sqref="E60:F60 E59">
    <cfRule type="cellIs" dxfId="930" priority="167" stopIfTrue="1" operator="lessThan">
      <formula>96.5</formula>
    </cfRule>
  </conditionalFormatting>
  <conditionalFormatting sqref="F10:F31">
    <cfRule type="cellIs" dxfId="929" priority="13" operator="greaterThan">
      <formula>60</formula>
    </cfRule>
  </conditionalFormatting>
  <conditionalFormatting sqref="F60">
    <cfRule type="cellIs" dxfId="928" priority="183" stopIfTrue="1" operator="lessThan">
      <formula>96.8</formula>
    </cfRule>
    <cfRule type="cellIs" dxfId="927" priority="184" stopIfTrue="1" operator="greaterThan">
      <formula>100</formula>
    </cfRule>
  </conditionalFormatting>
  <conditionalFormatting sqref="G76:G79 F85">
    <cfRule type="cellIs" dxfId="926" priority="46" stopIfTrue="1" operator="lessThanOrEqual">
      <formula>0</formula>
    </cfRule>
    <cfRule type="cellIs" dxfId="925" priority="45" stopIfTrue="1" operator="greaterThan">
      <formula>$F76</formula>
    </cfRule>
  </conditionalFormatting>
  <conditionalFormatting sqref="G78:G79">
    <cfRule type="cellIs" dxfId="924" priority="32" stopIfTrue="1" operator="lessThanOrEqual">
      <formula>0</formula>
    </cfRule>
    <cfRule type="cellIs" dxfId="923" priority="31" stopIfTrue="1" operator="greaterThan">
      <formula>$F78</formula>
    </cfRule>
  </conditionalFormatting>
  <conditionalFormatting sqref="G80:G84">
    <cfRule type="cellIs" dxfId="922" priority="47" stopIfTrue="1" operator="greaterThan">
      <formula>$J80</formula>
    </cfRule>
    <cfRule type="cellIs" dxfId="921" priority="48" stopIfTrue="1" operator="lessThanOrEqual">
      <formula>0</formula>
    </cfRule>
  </conditionalFormatting>
  <conditionalFormatting sqref="G81">
    <cfRule type="cellIs" dxfId="920" priority="192" stopIfTrue="1" operator="lessThanOrEqual">
      <formula>0</formula>
    </cfRule>
    <cfRule type="cellIs" dxfId="919" priority="191" stopIfTrue="1" operator="greaterThan">
      <formula>$F76</formula>
    </cfRule>
  </conditionalFormatting>
  <conditionalFormatting sqref="G89:G94 C92 C94">
    <cfRule type="cellIs" dxfId="918" priority="180" stopIfTrue="1" operator="greaterThan">
      <formula>4.5</formula>
    </cfRule>
    <cfRule type="cellIs" dxfId="917" priority="181" stopIfTrue="1" operator="lessThanOrEqual">
      <formula>0</formula>
    </cfRule>
  </conditionalFormatting>
  <conditionalFormatting sqref="G10:H31">
    <cfRule type="expression" dxfId="916" priority="9">
      <formula>IF(+(IF(G10&lt;#REF!,0,IF(G10&gt;#REF!,0,1)))=0,1)</formula>
    </cfRule>
  </conditionalFormatting>
  <conditionalFormatting sqref="G88:H88">
    <cfRule type="cellIs" dxfId="915" priority="161" stopIfTrue="1" operator="greaterThan">
      <formula>$F$87</formula>
    </cfRule>
    <cfRule type="cellIs" dxfId="914" priority="162" stopIfTrue="1" operator="lessThanOrEqual">
      <formula>0</formula>
    </cfRule>
  </conditionalFormatting>
  <conditionalFormatting sqref="H45:H46 H59">
    <cfRule type="cellIs" dxfId="913" priority="159" stopIfTrue="1" operator="greaterThan">
      <formula>0</formula>
    </cfRule>
  </conditionalFormatting>
  <conditionalFormatting sqref="H63">
    <cfRule type="cellIs" dxfId="912" priority="59" stopIfTrue="1" operator="greaterThan">
      <formula>$F$79</formula>
    </cfRule>
    <cfRule type="cellIs" dxfId="911" priority="60" stopIfTrue="1" operator="lessThanOrEqual">
      <formula>0</formula>
    </cfRule>
    <cfRule type="cellIs" dxfId="910" priority="61" stopIfTrue="1" operator="greaterThan">
      <formula>$F$77</formula>
    </cfRule>
    <cfRule type="cellIs" dxfId="909" priority="50" stopIfTrue="1" operator="lessThanOrEqual">
      <formula>0</formula>
    </cfRule>
    <cfRule type="cellIs" dxfId="908" priority="51" stopIfTrue="1" operator="greaterThan">
      <formula>$F$76</formula>
    </cfRule>
  </conditionalFormatting>
  <conditionalFormatting sqref="H63:H64">
    <cfRule type="cellIs" dxfId="907" priority="62" stopIfTrue="1" operator="lessThanOrEqual">
      <formula>0</formula>
    </cfRule>
  </conditionalFormatting>
  <conditionalFormatting sqref="H64 H66:H67">
    <cfRule type="cellIs" dxfId="906" priority="89" stopIfTrue="1" operator="lessThanOrEqual">
      <formula>0</formula>
    </cfRule>
  </conditionalFormatting>
  <conditionalFormatting sqref="H64">
    <cfRule type="cellIs" dxfId="905" priority="78" stopIfTrue="1" operator="greaterThan">
      <formula>$F$76</formula>
    </cfRule>
    <cfRule type="cellIs" dxfId="904" priority="86" stopIfTrue="1" operator="greaterThan">
      <formula>$F$79</formula>
    </cfRule>
    <cfRule type="cellIs" dxfId="903" priority="87" stopIfTrue="1" operator="lessThanOrEqual">
      <formula>0</formula>
    </cfRule>
    <cfRule type="cellIs" dxfId="902" priority="88" stopIfTrue="1" operator="greaterThan">
      <formula>$F$77</formula>
    </cfRule>
  </conditionalFormatting>
  <conditionalFormatting sqref="H65">
    <cfRule type="cellIs" dxfId="901" priority="18" stopIfTrue="1" operator="greaterThan">
      <formula>$F$78</formula>
    </cfRule>
    <cfRule type="cellIs" dxfId="900" priority="17" stopIfTrue="1" operator="lessThanOrEqual">
      <formula>0</formula>
    </cfRule>
    <cfRule type="cellIs" dxfId="899" priority="29" stopIfTrue="1" operator="lessThanOrEqual">
      <formula>0</formula>
    </cfRule>
    <cfRule type="cellIs" dxfId="898" priority="28" stopIfTrue="1" operator="greaterThan">
      <formula>$F$79</formula>
    </cfRule>
    <cfRule type="cellIs" dxfId="897" priority="27" stopIfTrue="1" operator="lessThanOrEqual">
      <formula>0</formula>
    </cfRule>
    <cfRule type="cellIs" dxfId="896" priority="26" stopIfTrue="1" operator="greaterThan">
      <formula>$F$81</formula>
    </cfRule>
  </conditionalFormatting>
  <conditionalFormatting sqref="H66:H67">
    <cfRule type="cellIs" dxfId="895" priority="91" stopIfTrue="1" operator="greaterThan">
      <formula>$F$76</formula>
    </cfRule>
    <cfRule type="cellIs" dxfId="894" priority="101" stopIfTrue="1" operator="greaterThan">
      <formula>$F$77</formula>
    </cfRule>
    <cfRule type="cellIs" dxfId="893" priority="100" stopIfTrue="1" operator="lessThanOrEqual">
      <formula>0</formula>
    </cfRule>
    <cfRule type="cellIs" dxfId="892" priority="102" stopIfTrue="1" operator="lessThanOrEqual">
      <formula>0</formula>
    </cfRule>
    <cfRule type="cellIs" dxfId="891" priority="99" stopIfTrue="1" operator="greaterThan">
      <formula>$F$79</formula>
    </cfRule>
  </conditionalFormatting>
  <conditionalFormatting sqref="H68:H69">
    <cfRule type="cellIs" dxfId="890" priority="135" stopIfTrue="1" operator="greaterThan">
      <formula>#REF!</formula>
    </cfRule>
    <cfRule type="cellIs" dxfId="889" priority="136" stopIfTrue="1" operator="lessThanOrEqual">
      <formula>0</formula>
    </cfRule>
    <cfRule type="cellIs" dxfId="888" priority="126" stopIfTrue="1" operator="lessThanOrEqual">
      <formula>0</formula>
    </cfRule>
    <cfRule type="cellIs" dxfId="887" priority="127" stopIfTrue="1" operator="greaterThan">
      <formula>#REF!</formula>
    </cfRule>
  </conditionalFormatting>
  <conditionalFormatting sqref="H70">
    <cfRule type="cellIs" dxfId="886" priority="150" stopIfTrue="1" operator="lessThanOrEqual">
      <formula>0</formula>
    </cfRule>
    <cfRule type="cellIs" dxfId="885" priority="148" stopIfTrue="1" operator="lessThanOrEqual">
      <formula>0</formula>
    </cfRule>
    <cfRule type="cellIs" dxfId="884" priority="138" stopIfTrue="1" operator="lessThanOrEqual">
      <formula>0</formula>
    </cfRule>
    <cfRule type="cellIs" dxfId="883" priority="139" stopIfTrue="1" operator="greaterThan">
      <formula>$F$44</formula>
    </cfRule>
    <cfRule type="cellIs" dxfId="882" priority="147" stopIfTrue="1" operator="greaterThan">
      <formula>$F$47</formula>
    </cfRule>
    <cfRule type="cellIs" dxfId="881" priority="149" stopIfTrue="1" operator="greaterThan">
      <formula>$F$45</formula>
    </cfRule>
  </conditionalFormatting>
  <conditionalFormatting sqref="H71:H72">
    <cfRule type="cellIs" dxfId="880" priority="123" stopIfTrue="1" operator="greaterThan">
      <formula>#REF!</formula>
    </cfRule>
    <cfRule type="cellIs" dxfId="879" priority="124" stopIfTrue="1" operator="lessThanOrEqual">
      <formula>0</formula>
    </cfRule>
    <cfRule type="cellIs" dxfId="878" priority="114" stopIfTrue="1" operator="lessThanOrEqual">
      <formula>0</formula>
    </cfRule>
    <cfRule type="cellIs" dxfId="877" priority="115" stopIfTrue="1" operator="greaterThan">
      <formula>#REF!</formula>
    </cfRule>
  </conditionalFormatting>
  <conditionalFormatting sqref="H87 H89:H95">
    <cfRule type="cellIs" dxfId="876" priority="173" stopIfTrue="1" operator="greaterThan">
      <formula>4.5</formula>
    </cfRule>
    <cfRule type="cellIs" dxfId="875" priority="174" stopIfTrue="1" operator="lessThanOrEqual">
      <formula>0</formula>
    </cfRule>
  </conditionalFormatting>
  <conditionalFormatting sqref="H63:I63">
    <cfRule type="cellIs" dxfId="874" priority="52" stopIfTrue="1" operator="lessThanOrEqual">
      <formula>0</formula>
    </cfRule>
  </conditionalFormatting>
  <conditionalFormatting sqref="H63:I64 H66:I67">
    <cfRule type="cellIs" dxfId="873" priority="49" stopIfTrue="1" operator="greaterThan">
      <formula>$F$78</formula>
    </cfRule>
  </conditionalFormatting>
  <conditionalFormatting sqref="H64:I64">
    <cfRule type="cellIs" dxfId="872" priority="79" stopIfTrue="1" operator="lessThanOrEqual">
      <formula>0</formula>
    </cfRule>
  </conditionalFormatting>
  <conditionalFormatting sqref="H65:I65">
    <cfRule type="cellIs" dxfId="871" priority="19" stopIfTrue="1" operator="lessThanOrEqual">
      <formula>0</formula>
    </cfRule>
    <cfRule type="cellIs" dxfId="870" priority="16" stopIfTrue="1" operator="greaterThan">
      <formula>$F$80</formula>
    </cfRule>
  </conditionalFormatting>
  <conditionalFormatting sqref="H66:I67">
    <cfRule type="cellIs" dxfId="869" priority="92" stopIfTrue="1" operator="lessThanOrEqual">
      <formula>0</formula>
    </cfRule>
  </conditionalFormatting>
  <conditionalFormatting sqref="H68:I69">
    <cfRule type="cellIs" dxfId="868" priority="128" stopIfTrue="1" operator="lessThanOrEqual">
      <formula>0</formula>
    </cfRule>
    <cfRule type="cellIs" dxfId="867" priority="133" stopIfTrue="1" operator="greaterThan">
      <formula>#REF!</formula>
    </cfRule>
    <cfRule type="cellIs" dxfId="866" priority="134" stopIfTrue="1" operator="lessThanOrEqual">
      <formula>0</formula>
    </cfRule>
    <cfRule type="cellIs" dxfId="865" priority="125" stopIfTrue="1" operator="greaterThan">
      <formula>#REF!</formula>
    </cfRule>
  </conditionalFormatting>
  <conditionalFormatting sqref="H70:I70">
    <cfRule type="cellIs" dxfId="864" priority="137" stopIfTrue="1" operator="greaterThan">
      <formula>$F$46</formula>
    </cfRule>
    <cfRule type="cellIs" dxfId="863" priority="140" stopIfTrue="1" operator="lessThanOrEqual">
      <formula>0</formula>
    </cfRule>
  </conditionalFormatting>
  <conditionalFormatting sqref="H71:I72">
    <cfRule type="cellIs" dxfId="862" priority="113" stopIfTrue="1" operator="greaterThan">
      <formula>#REF!</formula>
    </cfRule>
    <cfRule type="cellIs" dxfId="861" priority="116" stopIfTrue="1" operator="lessThanOrEqual">
      <formula>0</formula>
    </cfRule>
    <cfRule type="cellIs" dxfId="860" priority="121" stopIfTrue="1" operator="greaterThan">
      <formula>#REF!</formula>
    </cfRule>
    <cfRule type="cellIs" dxfId="859" priority="122" stopIfTrue="1" operator="lessThanOrEqual">
      <formula>0</formula>
    </cfRule>
  </conditionalFormatting>
  <conditionalFormatting sqref="H76:I83">
    <cfRule type="cellIs" dxfId="858" priority="35" stopIfTrue="1" operator="lessThanOrEqual">
      <formula>0</formula>
    </cfRule>
    <cfRule type="cellIs" dxfId="857" priority="34" stopIfTrue="1" operator="greaterThan">
      <formula>$J76</formula>
    </cfRule>
  </conditionalFormatting>
  <conditionalFormatting sqref="H84:I84">
    <cfRule type="cellIs" dxfId="856" priority="42" operator="greaterThan">
      <formula>5.3</formula>
    </cfRule>
  </conditionalFormatting>
  <conditionalFormatting sqref="H85:I85">
    <cfRule type="cellIs" dxfId="855" priority="41" stopIfTrue="1" operator="lessThanOrEqual">
      <formula>0</formula>
    </cfRule>
    <cfRule type="cellIs" dxfId="854" priority="40" stopIfTrue="1" operator="greaterThan">
      <formula>$J85</formula>
    </cfRule>
  </conditionalFormatting>
  <conditionalFormatting sqref="I63">
    <cfRule type="cellIs" dxfId="853" priority="55" stopIfTrue="1" operator="greaterThan">
      <formula>$F$78</formula>
    </cfRule>
    <cfRule type="cellIs" dxfId="852" priority="56" stopIfTrue="1" operator="lessThanOrEqual">
      <formula>0</formula>
    </cfRule>
    <cfRule type="cellIs" dxfId="851" priority="53" stopIfTrue="1" operator="greaterThan">
      <formula>$F$76</formula>
    </cfRule>
    <cfRule type="cellIs" dxfId="850" priority="57" stopIfTrue="1" operator="greaterThan">
      <formula>$F$76</formula>
    </cfRule>
    <cfRule type="cellIs" dxfId="849" priority="58" stopIfTrue="1" operator="lessThanOrEqual">
      <formula>0</formula>
    </cfRule>
    <cfRule type="cellIs" dxfId="848" priority="54" stopIfTrue="1" operator="lessThanOrEqual">
      <formula>0</formula>
    </cfRule>
  </conditionalFormatting>
  <conditionalFormatting sqref="I64">
    <cfRule type="cellIs" dxfId="847" priority="80" stopIfTrue="1" operator="greaterThan">
      <formula>$F$76</formula>
    </cfRule>
    <cfRule type="cellIs" dxfId="846" priority="81" stopIfTrue="1" operator="lessThanOrEqual">
      <formula>0</formula>
    </cfRule>
    <cfRule type="cellIs" dxfId="845" priority="83" stopIfTrue="1" operator="lessThanOrEqual">
      <formula>0</formula>
    </cfRule>
    <cfRule type="cellIs" dxfId="844" priority="84" stopIfTrue="1" operator="greaterThan">
      <formula>$F$76</formula>
    </cfRule>
    <cfRule type="cellIs" dxfId="843" priority="85" stopIfTrue="1" operator="lessThanOrEqual">
      <formula>0</formula>
    </cfRule>
    <cfRule type="cellIs" dxfId="842" priority="82" stopIfTrue="1" operator="greaterThan">
      <formula>$F$78</formula>
    </cfRule>
  </conditionalFormatting>
  <conditionalFormatting sqref="I65">
    <cfRule type="cellIs" dxfId="841" priority="20" stopIfTrue="1" operator="greaterThan">
      <formula>$F$78</formula>
    </cfRule>
    <cfRule type="cellIs" dxfId="840" priority="21" stopIfTrue="1" operator="lessThanOrEqual">
      <formula>0</formula>
    </cfRule>
    <cfRule type="cellIs" dxfId="839" priority="22" stopIfTrue="1" operator="greaterThan">
      <formula>$F$80</formula>
    </cfRule>
    <cfRule type="cellIs" dxfId="838" priority="23" stopIfTrue="1" operator="lessThanOrEqual">
      <formula>0</formula>
    </cfRule>
    <cfRule type="cellIs" dxfId="837" priority="25" stopIfTrue="1" operator="lessThanOrEqual">
      <formula>0</formula>
    </cfRule>
    <cfRule type="cellIs" dxfId="836" priority="24" stopIfTrue="1" operator="greaterThan">
      <formula>$F$78</formula>
    </cfRule>
  </conditionalFormatting>
  <conditionalFormatting sqref="I66:I67">
    <cfRule type="cellIs" dxfId="835" priority="95" stopIfTrue="1" operator="greaterThan">
      <formula>$F$78</formula>
    </cfRule>
    <cfRule type="cellIs" dxfId="834" priority="96" stopIfTrue="1" operator="lessThanOrEqual">
      <formula>0</formula>
    </cfRule>
    <cfRule type="cellIs" dxfId="833" priority="97" stopIfTrue="1" operator="greaterThan">
      <formula>$F$76</formula>
    </cfRule>
    <cfRule type="cellIs" dxfId="832" priority="98" stopIfTrue="1" operator="lessThanOrEqual">
      <formula>0</formula>
    </cfRule>
    <cfRule type="cellIs" dxfId="831" priority="93" stopIfTrue="1" operator="greaterThan">
      <formula>$F$76</formula>
    </cfRule>
    <cfRule type="cellIs" dxfId="830" priority="94" stopIfTrue="1" operator="lessThanOrEqual">
      <formula>0</formula>
    </cfRule>
  </conditionalFormatting>
  <conditionalFormatting sqref="I68:I69">
    <cfRule type="cellIs" dxfId="829" priority="131" stopIfTrue="1" operator="greaterThan">
      <formula>#REF!</formula>
    </cfRule>
    <cfRule type="cellIs" dxfId="828" priority="130" stopIfTrue="1" operator="lessThanOrEqual">
      <formula>0</formula>
    </cfRule>
    <cfRule type="cellIs" dxfId="827" priority="129" stopIfTrue="1" operator="greaterThan">
      <formula>#REF!</formula>
    </cfRule>
    <cfRule type="cellIs" dxfId="826" priority="132" stopIfTrue="1" operator="lessThanOrEqual">
      <formula>0</formula>
    </cfRule>
  </conditionalFormatting>
  <conditionalFormatting sqref="I70">
    <cfRule type="cellIs" dxfId="825" priority="143" stopIfTrue="1" operator="greaterThan">
      <formula>$F$46</formula>
    </cfRule>
    <cfRule type="cellIs" dxfId="824" priority="144" stopIfTrue="1" operator="lessThanOrEqual">
      <formula>0</formula>
    </cfRule>
    <cfRule type="cellIs" dxfId="823" priority="145" stopIfTrue="1" operator="greaterThan">
      <formula>$F$44</formula>
    </cfRule>
    <cfRule type="cellIs" dxfId="822" priority="146" stopIfTrue="1" operator="lessThanOrEqual">
      <formula>0</formula>
    </cfRule>
    <cfRule type="cellIs" dxfId="821" priority="142" stopIfTrue="1" operator="lessThanOrEqual">
      <formula>0</formula>
    </cfRule>
    <cfRule type="cellIs" dxfId="820" priority="141" stopIfTrue="1" operator="greaterThan">
      <formula>$F$44</formula>
    </cfRule>
  </conditionalFormatting>
  <conditionalFormatting sqref="I71:I72">
    <cfRule type="cellIs" dxfId="819" priority="117" stopIfTrue="1" operator="greaterThan">
      <formula>#REF!</formula>
    </cfRule>
    <cfRule type="cellIs" dxfId="818" priority="118" stopIfTrue="1" operator="lessThanOrEqual">
      <formula>0</formula>
    </cfRule>
    <cfRule type="cellIs" dxfId="817" priority="119" stopIfTrue="1" operator="greaterThan">
      <formula>#REF!</formula>
    </cfRule>
    <cfRule type="cellIs" dxfId="816" priority="120" stopIfTrue="1" operator="lessThanOrEqual">
      <formula>0</formula>
    </cfRule>
  </conditionalFormatting>
  <conditionalFormatting sqref="I87:I95">
    <cfRule type="cellIs" dxfId="815" priority="169" stopIfTrue="1" operator="greaterThan">
      <formula>4.5</formula>
    </cfRule>
    <cfRule type="cellIs" dxfId="814" priority="170" stopIfTrue="1" operator="lessThanOrEqual">
      <formula>0</formula>
    </cfRule>
  </conditionalFormatting>
  <conditionalFormatting sqref="I10:J31">
    <cfRule type="cellIs" dxfId="813" priority="2" operator="lessThan">
      <formula>97.9</formula>
    </cfRule>
  </conditionalFormatting>
  <conditionalFormatting sqref="J34:J36">
    <cfRule type="cellIs" dxfId="812" priority="15" operator="lessThan">
      <formula>97.95</formula>
    </cfRule>
  </conditionalFormatting>
  <conditionalFormatting sqref="J36:J38">
    <cfRule type="cellIs" dxfId="811" priority="151" operator="lessThan">
      <formula>97.4</formula>
    </cfRule>
  </conditionalFormatting>
  <conditionalFormatting sqref="J39:J40">
    <cfRule type="cellIs" dxfId="810" priority="152" operator="lessThan">
      <formula>98</formula>
    </cfRule>
  </conditionalFormatting>
  <conditionalFormatting sqref="J41:J42">
    <cfRule type="cellIs" dxfId="809" priority="153" stopIfTrue="1" operator="lessThan">
      <formula>96.8</formula>
    </cfRule>
    <cfRule type="cellIs" dxfId="808" priority="154" stopIfTrue="1" operator="greaterThan">
      <formula>100</formula>
    </cfRule>
  </conditionalFormatting>
  <conditionalFormatting sqref="J41:J43">
    <cfRule type="cellIs" dxfId="807" priority="155" operator="lessThan">
      <formula>98</formula>
    </cfRule>
  </conditionalFormatting>
  <conditionalFormatting sqref="J72">
    <cfRule type="cellIs" dxfId="806" priority="108" stopIfTrue="1" operator="lessThanOrEqual">
      <formula>0</formula>
    </cfRule>
    <cfRule type="cellIs" dxfId="805" priority="109" stopIfTrue="1" operator="greaterThan">
      <formula>#REF!</formula>
    </cfRule>
    <cfRule type="cellIs" dxfId="804" priority="110" stopIfTrue="1" operator="lessThanOrEqual">
      <formula>0</formula>
    </cfRule>
    <cfRule type="cellIs" dxfId="803" priority="112" stopIfTrue="1" operator="lessThanOrEqual">
      <formula>0</formula>
    </cfRule>
    <cfRule type="cellIs" dxfId="802" priority="111" stopIfTrue="1" operator="greaterThan">
      <formula>#REF!</formula>
    </cfRule>
    <cfRule type="cellIs" dxfId="801" priority="105" stopIfTrue="1" operator="greaterThan">
      <formula>#REF!</formula>
    </cfRule>
    <cfRule type="cellIs" dxfId="800" priority="106" stopIfTrue="1" operator="lessThanOrEqual">
      <formula>0</formula>
    </cfRule>
    <cfRule type="cellIs" dxfId="799" priority="107" stopIfTrue="1" operator="greaterThan">
      <formula>#REF!</formula>
    </cfRule>
  </conditionalFormatting>
  <conditionalFormatting sqref="J85">
    <cfRule type="cellIs" dxfId="798" priority="43" stopIfTrue="1" operator="greaterThan">
      <formula>$F85</formula>
    </cfRule>
    <cfRule type="cellIs" dxfId="797" priority="44" stopIfTrue="1" operator="lessThanOrEqual">
      <formula>0</formula>
    </cfRule>
  </conditionalFormatting>
  <conditionalFormatting sqref="K10:K31">
    <cfRule type="cellIs" dxfId="796" priority="5" operator="greaterThan">
      <formula>6.4</formula>
    </cfRule>
    <cfRule type="cellIs" dxfId="795" priority="4" operator="lessThan">
      <formula>4</formula>
    </cfRule>
    <cfRule type="cellIs" dxfId="794" priority="3" operator="greaterThan">
      <formula>6</formula>
    </cfRule>
  </conditionalFormatting>
  <conditionalFormatting sqref="K63:K72">
    <cfRule type="cellIs" dxfId="793" priority="90" stopIfTrue="1" operator="lessThan">
      <formula>100%</formula>
    </cfRule>
  </conditionalFormatting>
  <conditionalFormatting sqref="K76:K84">
    <cfRule type="cellIs" dxfId="792" priority="33" stopIfTrue="1" operator="lessThan">
      <formula>100%</formula>
    </cfRule>
  </conditionalFormatting>
  <conditionalFormatting sqref="K87:K92">
    <cfRule type="cellIs" dxfId="791" priority="175" stopIfTrue="1" operator="lessThan">
      <formula>100%</formula>
    </cfRule>
  </conditionalFormatting>
  <conditionalFormatting sqref="K94:K95">
    <cfRule type="cellIs" dxfId="790" priority="182" stopIfTrue="1" operator="lessThan">
      <formula>100%</formula>
    </cfRule>
  </conditionalFormatting>
  <conditionalFormatting sqref="L10:L31">
    <cfRule type="cellIs" dxfId="789" priority="6" operator="between">
      <formula>61</formula>
      <formula>65</formula>
    </cfRule>
    <cfRule type="cellIs" dxfId="788" priority="7" operator="greaterThan">
      <formula>65</formula>
    </cfRule>
  </conditionalFormatting>
  <conditionalFormatting sqref="L34:M45">
    <cfRule type="cellIs" dxfId="787" priority="14" operator="lessThan">
      <formula>97.95</formula>
    </cfRule>
  </conditionalFormatting>
  <conditionalFormatting sqref="L49:N49">
    <cfRule type="cellIs" dxfId="786" priority="69" operator="notEqual">
      <formula>#REF!</formula>
    </cfRule>
  </conditionalFormatting>
  <conditionalFormatting sqref="L76:N85">
    <cfRule type="cellIs" dxfId="785" priority="30" stopIfTrue="1" operator="lessThan">
      <formula>100%</formula>
    </cfRule>
  </conditionalFormatting>
  <conditionalFormatting sqref="L87:N95">
    <cfRule type="cellIs" dxfId="784" priority="160" stopIfTrue="1" operator="lessThan">
      <formula>100%</formula>
    </cfRule>
  </conditionalFormatting>
  <conditionalFormatting sqref="M10:M23">
    <cfRule type="expression" dxfId="783" priority="1">
      <formula>IF(+(IF(M10&lt;$U$10,0,IF(M10&gt;$V$10,0,1)))=0,1)</formula>
    </cfRule>
  </conditionalFormatting>
  <conditionalFormatting sqref="N10:N23 M24:N31">
    <cfRule type="expression" dxfId="782" priority="12">
      <formula>IF(+(IF(M10&lt;#REF!,0,IF(M10&gt;#REF!,0,1)))=0,1)</formula>
    </cfRule>
  </conditionalFormatting>
  <conditionalFormatting sqref="N10:N31">
    <cfRule type="expression" dxfId="781" priority="11">
      <formula>IF(+(IF(N10&lt;W10,0,IF(N10&gt;X10,0,1)))=0,1)</formula>
    </cfRule>
  </conditionalFormatting>
  <conditionalFormatting sqref="P6">
    <cfRule type="cellIs" dxfId="780" priority="156" operator="greaterThanOrEqual">
      <formula>19</formula>
    </cfRule>
  </conditionalFormatting>
  <dataValidations count="1">
    <dataValidation type="list" allowBlank="1" showInputMessage="1" showErrorMessage="1" sqref="R8" xr:uid="{71D43ACF-EAB6-4A35-94E7-302937FF4378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9" max="16383" man="1"/>
  </rowBreaks>
  <colBreaks count="1" manualBreakCount="1">
    <brk id="15" max="89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5CB79-1FDF-4B68-B08D-996896578B7A}">
  <sheetPr>
    <pageSetUpPr fitToPage="1"/>
  </sheetPr>
  <dimension ref="A1:BE74"/>
  <sheetViews>
    <sheetView topLeftCell="A4" zoomScale="85" zoomScaleNormal="85" workbookViewId="0">
      <selection activeCell="C12" sqref="C12:C19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12" t="s">
        <v>0</v>
      </c>
      <c r="T1" s="512"/>
      <c r="U1" s="512" t="s">
        <v>1</v>
      </c>
      <c r="V1" s="512"/>
      <c r="W1" s="512" t="s">
        <v>2</v>
      </c>
      <c r="X1" s="512"/>
      <c r="Y1" s="512" t="s">
        <v>124</v>
      </c>
      <c r="Z1" s="512"/>
    </row>
    <row r="2" spans="2:29" ht="15">
      <c r="B2" s="513" t="s">
        <v>3</v>
      </c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46261</v>
      </c>
      <c r="J4" s="398" t="s">
        <v>153</v>
      </c>
      <c r="K4" s="398"/>
      <c r="L4" s="11"/>
      <c r="M4" s="510" t="s">
        <v>8</v>
      </c>
      <c r="N4" s="511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6"/>
      <c r="D5" s="516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196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19" t="s">
        <v>18</v>
      </c>
      <c r="D8" s="519" t="s">
        <v>19</v>
      </c>
      <c r="E8" s="356" t="s">
        <v>20</v>
      </c>
      <c r="F8" s="356" t="s">
        <v>21</v>
      </c>
      <c r="G8" s="519" t="s">
        <v>22</v>
      </c>
      <c r="H8" s="520" t="s">
        <v>144</v>
      </c>
      <c r="I8" s="519" t="s">
        <v>181</v>
      </c>
      <c r="J8" s="522" t="s">
        <v>23</v>
      </c>
      <c r="K8" s="524" t="s">
        <v>142</v>
      </c>
      <c r="L8" s="526" t="s">
        <v>24</v>
      </c>
      <c r="M8" s="359" t="s">
        <v>25</v>
      </c>
      <c r="N8" s="17" t="s">
        <v>168</v>
      </c>
      <c r="O8" s="519" t="s">
        <v>155</v>
      </c>
      <c r="P8" s="514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8"/>
      <c r="C9" s="515"/>
      <c r="D9" s="515"/>
      <c r="E9" s="357" t="s">
        <v>30</v>
      </c>
      <c r="F9" s="357" t="s">
        <v>31</v>
      </c>
      <c r="G9" s="515"/>
      <c r="H9" s="521"/>
      <c r="I9" s="515"/>
      <c r="J9" s="523"/>
      <c r="K9" s="525"/>
      <c r="L9" s="527"/>
      <c r="M9" s="20" t="s">
        <v>32</v>
      </c>
      <c r="N9" s="21" t="s">
        <v>41</v>
      </c>
      <c r="O9" s="515"/>
      <c r="P9" s="515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[4]Brewhouse!$A678</f>
        <v>CA630</v>
      </c>
      <c r="D10" s="279">
        <f>[4]Brewhouse!$AF678</f>
        <v>49.3</v>
      </c>
      <c r="E10" s="279">
        <f>[4]Brewhouse!$AI678</f>
        <v>50.1</v>
      </c>
      <c r="F10" s="278">
        <f>[4]Brewhouse!$V678</f>
        <v>52</v>
      </c>
      <c r="G10" s="279">
        <f>[4]Brewhouse!AG678</f>
        <v>11.7</v>
      </c>
      <c r="H10" s="396">
        <v>12.1</v>
      </c>
      <c r="I10" s="368">
        <f>[4]Brewhouse!$AU678</f>
        <v>98.410586861189657</v>
      </c>
      <c r="J10" s="368">
        <f>[4]Brewhouse!$AV678</f>
        <v>98.500035328146268</v>
      </c>
      <c r="K10" s="281">
        <f>[4]Brewhouse!$Q678</f>
        <v>10.777777777777779</v>
      </c>
      <c r="L10" s="276">
        <f>[4]Brewhouse!$P678</f>
        <v>60</v>
      </c>
      <c r="M10" s="374">
        <f>[4]Brewhouse!$U678-[4]Brewhouse!$T678</f>
        <v>0.10347222222222219</v>
      </c>
      <c r="N10" s="370">
        <f>[4]Brewhouse!$Z678</f>
        <v>0.25277777777777777</v>
      </c>
      <c r="O10" s="420" t="str">
        <f>[4]Brewhouse!$AX678</f>
        <v>K. Benjamin</v>
      </c>
      <c r="P10" s="418"/>
      <c r="R10" s="277" t="str">
        <f t="shared" ref="R10:R34" si="0">B10</f>
        <v>CARIB</v>
      </c>
      <c r="S10" s="472">
        <f t="shared" ref="S10:S34" si="1">VLOOKUP($B10,$R$3:$X$9,2,FALSE)</f>
        <v>11.6</v>
      </c>
      <c r="T10" s="472">
        <f t="shared" ref="T10:T34" si="2">VLOOKUP($B10,$R$3:$X$9,3,FALSE)</f>
        <v>12</v>
      </c>
      <c r="U10" s="297">
        <f t="shared" ref="U10:U34" si="3">VLOOKUP($B10,$R$3:$X$9,4,FALSE)</f>
        <v>0</v>
      </c>
      <c r="V10" s="297">
        <f t="shared" ref="V10:V34" si="4">VLOOKUP($B10,$R$3:$X$9,5,FALSE)</f>
        <v>0.118055555555556</v>
      </c>
      <c r="W10" s="297">
        <f t="shared" ref="W10:W34" si="5">VLOOKUP($B10,$R$3:$X$9,6,FALSE)</f>
        <v>0.22569444444444445</v>
      </c>
      <c r="X10" s="297">
        <f t="shared" ref="X10:X34" si="6">VLOOKUP($B10,$R$3:$X$9,7,FALSE)</f>
        <v>0.2638888888888889</v>
      </c>
      <c r="Y10" s="297">
        <f t="shared" ref="Y10:Y34" si="7">VLOOKUP($B10,$R$3:$Z$9,8,FALSE)</f>
        <v>0</v>
      </c>
      <c r="Z10" s="472">
        <f t="shared" ref="Z10:Z34" si="8">VLOOKUP($B10,$R$3:$Z$9,9,FALSE)</f>
        <v>60</v>
      </c>
    </row>
    <row r="11" spans="2:29" ht="15" customHeight="1">
      <c r="B11" s="29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420"/>
      <c r="P11" s="418"/>
      <c r="R11" s="277">
        <f t="shared" si="0"/>
        <v>0</v>
      </c>
      <c r="S11" s="472" t="e">
        <f t="shared" si="1"/>
        <v>#N/A</v>
      </c>
      <c r="T11" s="472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2" t="e">
        <f t="shared" si="8"/>
        <v>#N/A</v>
      </c>
    </row>
    <row r="12" spans="2:29" ht="15" customHeight="1">
      <c r="B12" s="22" t="s">
        <v>33</v>
      </c>
      <c r="C12" s="366" t="str">
        <f>[6]Brewhouse!A89</f>
        <v>VM060</v>
      </c>
      <c r="D12" s="279">
        <f>[6]Brewhouse!AE89</f>
        <v>50.1</v>
      </c>
      <c r="E12" s="279">
        <f>[6]Brewhouse!$AJ89</f>
        <v>48.5</v>
      </c>
      <c r="F12" s="278">
        <f>[6]Brewhouse!X89</f>
        <v>86</v>
      </c>
      <c r="G12" s="279">
        <f>[6]Brewhouse!AH89</f>
        <v>14</v>
      </c>
      <c r="H12" s="396">
        <v>14.6</v>
      </c>
      <c r="I12" s="368">
        <f>[6]Brewhouse!AV89</f>
        <v>98.966709364408175</v>
      </c>
      <c r="J12" s="368">
        <f>[6]Brewhouse!AW89</f>
        <v>98.985911283767393</v>
      </c>
      <c r="K12" s="281">
        <f>[6]Brewhouse!S89</f>
        <v>9.3013972055888292</v>
      </c>
      <c r="L12" s="276">
        <f>[6]Brewhouse!R89</f>
        <v>60</v>
      </c>
      <c r="M12" s="374">
        <f>[6]Brewhouse!$W89-[6]Brewhouse!$V89</f>
        <v>0.14374999999999999</v>
      </c>
      <c r="N12" s="370">
        <f>[6]Brewhouse!AB89</f>
        <v>0.29236111111111107</v>
      </c>
      <c r="O12" s="371" t="str">
        <f>[6]Brewhouse!$AZ89</f>
        <v>K. Benjamin</v>
      </c>
      <c r="P12" s="418"/>
      <c r="R12" s="277" t="str">
        <f t="shared" si="0"/>
        <v>VITAMALT</v>
      </c>
      <c r="S12" s="472">
        <f t="shared" si="1"/>
        <v>14.2</v>
      </c>
      <c r="T12" s="472">
        <f t="shared" si="2"/>
        <v>14.6</v>
      </c>
      <c r="U12" s="297">
        <f t="shared" si="3"/>
        <v>0</v>
      </c>
      <c r="V12" s="297">
        <f t="shared" si="4"/>
        <v>0.13905092592592591</v>
      </c>
      <c r="W12" s="297">
        <f t="shared" si="5"/>
        <v>0.26041666666666669</v>
      </c>
      <c r="X12" s="297">
        <f t="shared" si="6"/>
        <v>0.2951388888888889</v>
      </c>
      <c r="Y12" s="297">
        <f t="shared" si="7"/>
        <v>0</v>
      </c>
      <c r="Z12" s="472">
        <f t="shared" si="8"/>
        <v>75</v>
      </c>
    </row>
    <row r="13" spans="2:29" ht="15" customHeight="1">
      <c r="B13" s="22" t="s">
        <v>33</v>
      </c>
      <c r="C13" s="366" t="str">
        <f>[6]Brewhouse!A90</f>
        <v>VM061</v>
      </c>
      <c r="D13" s="279">
        <f>[6]Brewhouse!AE90</f>
        <v>50.1</v>
      </c>
      <c r="E13" s="279">
        <f>[6]Brewhouse!$AJ90</f>
        <v>48.1</v>
      </c>
      <c r="F13" s="278">
        <f>[6]Brewhouse!X90</f>
        <v>86</v>
      </c>
      <c r="G13" s="279">
        <f>[6]Brewhouse!AH90</f>
        <v>14.3</v>
      </c>
      <c r="H13" s="396">
        <v>14.6</v>
      </c>
      <c r="I13" s="368">
        <f>[6]Brewhouse!AV90</f>
        <v>96.872876691950268</v>
      </c>
      <c r="J13" s="368">
        <f>[6]Brewhouse!AW90</f>
        <v>96.89205464447744</v>
      </c>
      <c r="K13" s="281">
        <f>[6]Brewhouse!S90</f>
        <v>8.5029940119760443</v>
      </c>
      <c r="L13" s="276">
        <f>[6]Brewhouse!R90</f>
        <v>19</v>
      </c>
      <c r="M13" s="374">
        <f>[6]Brewhouse!$W90-[6]Brewhouse!$V90</f>
        <v>0.1388888888888889</v>
      </c>
      <c r="N13" s="370">
        <f>[6]Brewhouse!AB90</f>
        <v>0.29652777777777778</v>
      </c>
      <c r="O13" s="371" t="str">
        <f>[6]Brewhouse!$AZ90</f>
        <v>R. Regis</v>
      </c>
      <c r="P13" s="418"/>
      <c r="R13" s="277" t="str">
        <f t="shared" si="0"/>
        <v>VITAMALT</v>
      </c>
      <c r="S13" s="472">
        <f t="shared" si="1"/>
        <v>14.2</v>
      </c>
      <c r="T13" s="472">
        <f t="shared" si="2"/>
        <v>14.6</v>
      </c>
      <c r="U13" s="297">
        <f t="shared" si="3"/>
        <v>0</v>
      </c>
      <c r="V13" s="297">
        <f t="shared" si="4"/>
        <v>0.13905092592592591</v>
      </c>
      <c r="W13" s="297">
        <f t="shared" si="5"/>
        <v>0.26041666666666669</v>
      </c>
      <c r="X13" s="297">
        <f t="shared" si="6"/>
        <v>0.2951388888888889</v>
      </c>
      <c r="Y13" s="297">
        <f t="shared" si="7"/>
        <v>0</v>
      </c>
      <c r="Z13" s="472">
        <f t="shared" si="8"/>
        <v>75</v>
      </c>
    </row>
    <row r="14" spans="2:29" ht="15" customHeight="1">
      <c r="B14" s="22" t="s">
        <v>33</v>
      </c>
      <c r="C14" s="366" t="str">
        <f>[6]Brewhouse!A91</f>
        <v>VM062</v>
      </c>
      <c r="D14" s="279">
        <f>[6]Brewhouse!AE91</f>
        <v>50.1</v>
      </c>
      <c r="E14" s="279">
        <f>[6]Brewhouse!$AJ91</f>
        <v>49.6</v>
      </c>
      <c r="F14" s="278">
        <f>[6]Brewhouse!X91</f>
        <v>88</v>
      </c>
      <c r="G14" s="279">
        <f>[6]Brewhouse!AH91</f>
        <v>14.1</v>
      </c>
      <c r="H14" s="396">
        <v>14.6</v>
      </c>
      <c r="I14" s="368">
        <f>[6]Brewhouse!AV91</f>
        <v>98.438453135356141</v>
      </c>
      <c r="J14" s="368">
        <f>[6]Brewhouse!AW91</f>
        <v>98.457941025522572</v>
      </c>
      <c r="K14" s="281">
        <f>[6]Brewhouse!S91</f>
        <v>10.299401197604798</v>
      </c>
      <c r="L14" s="276">
        <f>[6]Brewhouse!R91</f>
        <v>0</v>
      </c>
      <c r="M14" s="374">
        <f>[6]Brewhouse!$W91-[6]Brewhouse!$V91</f>
        <v>0.14583333333333337</v>
      </c>
      <c r="N14" s="370">
        <f>[6]Brewhouse!AB91</f>
        <v>0.29444444444444445</v>
      </c>
      <c r="O14" s="371" t="str">
        <f>[6]Brewhouse!$AZ91</f>
        <v>R. Regis</v>
      </c>
      <c r="P14" s="418"/>
      <c r="R14" s="277" t="str">
        <f t="shared" si="0"/>
        <v>VITAMALT</v>
      </c>
      <c r="S14" s="472">
        <f t="shared" si="1"/>
        <v>14.2</v>
      </c>
      <c r="T14" s="472">
        <f t="shared" si="2"/>
        <v>14.6</v>
      </c>
      <c r="U14" s="297">
        <f t="shared" si="3"/>
        <v>0</v>
      </c>
      <c r="V14" s="297">
        <f t="shared" si="4"/>
        <v>0.13905092592592591</v>
      </c>
      <c r="W14" s="297">
        <f t="shared" si="5"/>
        <v>0.26041666666666669</v>
      </c>
      <c r="X14" s="297">
        <f t="shared" si="6"/>
        <v>0.2951388888888889</v>
      </c>
      <c r="Y14" s="297">
        <f t="shared" si="7"/>
        <v>0</v>
      </c>
      <c r="Z14" s="472">
        <f t="shared" si="8"/>
        <v>75</v>
      </c>
    </row>
    <row r="15" spans="2:29" ht="15" customHeight="1">
      <c r="B15" s="22" t="s">
        <v>33</v>
      </c>
      <c r="C15" s="366" t="str">
        <f>[6]Brewhouse!A92</f>
        <v>VM063</v>
      </c>
      <c r="D15" s="279">
        <f>[6]Brewhouse!AE92</f>
        <v>50.1</v>
      </c>
      <c r="E15" s="279">
        <f>[6]Brewhouse!$AJ92</f>
        <v>49.5</v>
      </c>
      <c r="F15" s="278">
        <f>[6]Brewhouse!X92</f>
        <v>87</v>
      </c>
      <c r="G15" s="279">
        <f>[6]Brewhouse!AH92</f>
        <v>14.1</v>
      </c>
      <c r="H15" s="396">
        <v>14.6</v>
      </c>
      <c r="I15" s="368">
        <f>[6]Brewhouse!AV92</f>
        <v>98.648257968141067</v>
      </c>
      <c r="J15" s="368">
        <f>[6]Brewhouse!AW92</f>
        <v>98.667476282230723</v>
      </c>
      <c r="K15" s="281">
        <f>[6]Brewhouse!S92</f>
        <v>10.299401197604798</v>
      </c>
      <c r="L15" s="276">
        <f>[6]Brewhouse!R92</f>
        <v>58</v>
      </c>
      <c r="M15" s="374">
        <f>[6]Brewhouse!$W92-[6]Brewhouse!$V92</f>
        <v>0.14097222222222217</v>
      </c>
      <c r="N15" s="370">
        <f>[6]Brewhouse!AB92</f>
        <v>0.29097222222222219</v>
      </c>
      <c r="O15" s="371" t="str">
        <f>[6]Brewhouse!$AZ92</f>
        <v>R. Regis</v>
      </c>
      <c r="P15" s="418"/>
      <c r="R15" s="277" t="str">
        <f t="shared" si="0"/>
        <v>VITAMALT</v>
      </c>
      <c r="S15" s="472">
        <f t="shared" si="1"/>
        <v>14.2</v>
      </c>
      <c r="T15" s="472">
        <f t="shared" si="2"/>
        <v>14.6</v>
      </c>
      <c r="U15" s="297">
        <f t="shared" si="3"/>
        <v>0</v>
      </c>
      <c r="V15" s="297">
        <f t="shared" si="4"/>
        <v>0.13905092592592591</v>
      </c>
      <c r="W15" s="297">
        <f t="shared" si="5"/>
        <v>0.26041666666666669</v>
      </c>
      <c r="X15" s="297">
        <f t="shared" si="6"/>
        <v>0.2951388888888889</v>
      </c>
      <c r="Y15" s="297">
        <f t="shared" si="7"/>
        <v>0</v>
      </c>
      <c r="Z15" s="472">
        <f t="shared" si="8"/>
        <v>75</v>
      </c>
    </row>
    <row r="16" spans="2:29" ht="15" customHeight="1">
      <c r="B16" s="22" t="s">
        <v>33</v>
      </c>
      <c r="C16" s="366" t="str">
        <f>[6]Brewhouse!A93</f>
        <v>VM064</v>
      </c>
      <c r="D16" s="279">
        <f>[6]Brewhouse!AE93</f>
        <v>50.1</v>
      </c>
      <c r="E16" s="279">
        <f>[6]Brewhouse!$AJ93</f>
        <v>48.7</v>
      </c>
      <c r="F16" s="278">
        <f>[6]Brewhouse!X93</f>
        <v>87</v>
      </c>
      <c r="G16" s="279">
        <f>[6]Brewhouse!AH93</f>
        <v>14.1</v>
      </c>
      <c r="H16" s="396">
        <v>14.6</v>
      </c>
      <c r="I16" s="368">
        <f>[6]Brewhouse!AV93</f>
        <v>97.15488267089502</v>
      </c>
      <c r="J16" s="368">
        <f>[6]Brewhouse!AW93</f>
        <v>97.173733052345327</v>
      </c>
      <c r="K16" s="281">
        <f>[6]Brewhouse!S93</f>
        <v>9.7005988023952234</v>
      </c>
      <c r="L16" s="276">
        <f>[6]Brewhouse!R93</f>
        <v>59</v>
      </c>
      <c r="M16" s="374">
        <f>[6]Brewhouse!$W93-[6]Brewhouse!$V93</f>
        <v>0.14166666666666672</v>
      </c>
      <c r="N16" s="370">
        <f>[6]Brewhouse!AB93</f>
        <v>0.29375000000000007</v>
      </c>
      <c r="O16" s="371" t="str">
        <f>[6]Brewhouse!$AZ93</f>
        <v>R. Regis</v>
      </c>
      <c r="P16" s="418"/>
      <c r="R16" s="277" t="str">
        <f t="shared" si="0"/>
        <v>VITAMALT</v>
      </c>
      <c r="S16" s="472">
        <f t="shared" si="1"/>
        <v>14.2</v>
      </c>
      <c r="T16" s="472">
        <f t="shared" si="2"/>
        <v>14.6</v>
      </c>
      <c r="U16" s="297">
        <f t="shared" si="3"/>
        <v>0</v>
      </c>
      <c r="V16" s="297">
        <f t="shared" si="4"/>
        <v>0.13905092592592591</v>
      </c>
      <c r="W16" s="297">
        <f t="shared" si="5"/>
        <v>0.26041666666666669</v>
      </c>
      <c r="X16" s="297">
        <f t="shared" si="6"/>
        <v>0.2951388888888889</v>
      </c>
      <c r="Y16" s="297">
        <f t="shared" si="7"/>
        <v>0</v>
      </c>
      <c r="Z16" s="472">
        <f t="shared" si="8"/>
        <v>75</v>
      </c>
    </row>
    <row r="17" spans="1:27" ht="15" customHeight="1">
      <c r="B17" s="22" t="s">
        <v>33</v>
      </c>
      <c r="C17" s="366" t="str">
        <f>[6]Brewhouse!A94</f>
        <v>VM065</v>
      </c>
      <c r="D17" s="279">
        <f>[6]Brewhouse!AE94</f>
        <v>50.1</v>
      </c>
      <c r="E17" s="279">
        <f>[6]Brewhouse!$AJ94</f>
        <v>48.5</v>
      </c>
      <c r="F17" s="278">
        <f>[6]Brewhouse!X94</f>
        <v>70</v>
      </c>
      <c r="G17" s="279">
        <f>[6]Brewhouse!AH94</f>
        <v>14.2</v>
      </c>
      <c r="H17" s="396">
        <v>14.6</v>
      </c>
      <c r="I17" s="368">
        <f>[6]Brewhouse!AV94</f>
        <v>97.674325034697105</v>
      </c>
      <c r="J17" s="368">
        <f>[6]Brewhouse!AW94</f>
        <v>97.693120896593982</v>
      </c>
      <c r="K17" s="281">
        <f>[6]Brewhouse!S94</f>
        <v>5.1097804391217467</v>
      </c>
      <c r="L17" s="276">
        <f>[6]Brewhouse!R94</f>
        <v>62</v>
      </c>
      <c r="M17" s="374">
        <f>[6]Brewhouse!$W94-[6]Brewhouse!$V94</f>
        <v>0.12847222222222221</v>
      </c>
      <c r="N17" s="370">
        <f>[6]Brewhouse!AB94</f>
        <v>0.28541666666666665</v>
      </c>
      <c r="O17" s="371" t="str">
        <f>[6]Brewhouse!$AZ94</f>
        <v>R.Sookram</v>
      </c>
      <c r="P17" s="418"/>
      <c r="R17" s="277" t="str">
        <f t="shared" si="0"/>
        <v>VITAMALT</v>
      </c>
      <c r="S17" s="472">
        <f t="shared" si="1"/>
        <v>14.2</v>
      </c>
      <c r="T17" s="472">
        <f t="shared" si="2"/>
        <v>14.6</v>
      </c>
      <c r="U17" s="297">
        <f t="shared" si="3"/>
        <v>0</v>
      </c>
      <c r="V17" s="297">
        <f t="shared" si="4"/>
        <v>0.13905092592592591</v>
      </c>
      <c r="W17" s="297">
        <f t="shared" si="5"/>
        <v>0.26041666666666669</v>
      </c>
      <c r="X17" s="297">
        <f t="shared" si="6"/>
        <v>0.2951388888888889</v>
      </c>
      <c r="Y17" s="297">
        <f t="shared" si="7"/>
        <v>0</v>
      </c>
      <c r="Z17" s="472">
        <f t="shared" si="8"/>
        <v>75</v>
      </c>
    </row>
    <row r="18" spans="1:27" ht="15" customHeight="1">
      <c r="B18" s="22" t="s">
        <v>33</v>
      </c>
      <c r="C18" s="366" t="str">
        <f>[6]Brewhouse!A95</f>
        <v>VM066</v>
      </c>
      <c r="D18" s="279">
        <f>[6]Brewhouse!AE95</f>
        <v>50</v>
      </c>
      <c r="E18" s="279">
        <f>[6]Brewhouse!$AJ95</f>
        <v>48.2</v>
      </c>
      <c r="F18" s="278">
        <f>[6]Brewhouse!X95</f>
        <v>84</v>
      </c>
      <c r="G18" s="279">
        <f>[6]Brewhouse!AH95</f>
        <v>14.3</v>
      </c>
      <c r="H18" s="396">
        <v>14.6</v>
      </c>
      <c r="I18" s="368">
        <f>[6]Brewhouse!AV95</f>
        <v>97.88449261906382</v>
      </c>
      <c r="J18" s="368">
        <f>[6]Brewhouse!AW95</f>
        <v>97.903250861962107</v>
      </c>
      <c r="K18" s="281">
        <f>[6]Brewhouse!S95</f>
        <v>7.9199999999999884</v>
      </c>
      <c r="L18" s="276">
        <f>[6]Brewhouse!R95</f>
        <v>61</v>
      </c>
      <c r="M18" s="374">
        <f>[6]Brewhouse!$W95-[6]Brewhouse!$V95</f>
        <v>0.14722222222222225</v>
      </c>
      <c r="N18" s="370">
        <f>[6]Brewhouse!AB95</f>
        <v>0.30069444444444449</v>
      </c>
      <c r="O18" s="371" t="str">
        <f>[6]Brewhouse!$AZ95</f>
        <v>R.Sookram</v>
      </c>
      <c r="P18" s="418"/>
      <c r="R18" s="277" t="str">
        <f t="shared" si="0"/>
        <v>VITAMALT</v>
      </c>
      <c r="S18" s="472">
        <f t="shared" si="1"/>
        <v>14.2</v>
      </c>
      <c r="T18" s="472">
        <f t="shared" si="2"/>
        <v>14.6</v>
      </c>
      <c r="U18" s="297">
        <f t="shared" si="3"/>
        <v>0</v>
      </c>
      <c r="V18" s="297">
        <f t="shared" si="4"/>
        <v>0.13905092592592591</v>
      </c>
      <c r="W18" s="297">
        <f t="shared" si="5"/>
        <v>0.26041666666666669</v>
      </c>
      <c r="X18" s="297">
        <f t="shared" si="6"/>
        <v>0.2951388888888889</v>
      </c>
      <c r="Y18" s="297">
        <f t="shared" si="7"/>
        <v>0</v>
      </c>
      <c r="Z18" s="472">
        <f t="shared" si="8"/>
        <v>75</v>
      </c>
    </row>
    <row r="19" spans="1:27" ht="15" customHeight="1">
      <c r="B19" s="22" t="s">
        <v>33</v>
      </c>
      <c r="C19" s="366" t="str">
        <f>[6]Brewhouse!A96</f>
        <v>VM067</v>
      </c>
      <c r="D19" s="279">
        <f>[6]Brewhouse!AE96</f>
        <v>50</v>
      </c>
      <c r="E19" s="279">
        <f>[6]Brewhouse!$AJ96</f>
        <v>48</v>
      </c>
      <c r="F19" s="278">
        <f>[6]Brewhouse!X96</f>
        <v>85</v>
      </c>
      <c r="G19" s="279">
        <f>[6]Brewhouse!AH96</f>
        <v>14.3</v>
      </c>
      <c r="H19" s="396">
        <v>14.6</v>
      </c>
      <c r="I19" s="368">
        <f>[6]Brewhouse!AV96</f>
        <v>97.580137789132138</v>
      </c>
      <c r="J19" s="368">
        <f>[6]Brewhouse!AW96</f>
        <v>97.598759724441209</v>
      </c>
      <c r="K19" s="281">
        <f>[6]Brewhouse!S96</f>
        <v>7.7199999999999989</v>
      </c>
      <c r="L19" s="276">
        <f>[6]Brewhouse!R96</f>
        <v>61</v>
      </c>
      <c r="M19" s="374">
        <f>[6]Brewhouse!$W96-[6]Brewhouse!$V96</f>
        <v>0.1513888888888888</v>
      </c>
      <c r="N19" s="370">
        <f>[6]Brewhouse!AB96</f>
        <v>0.31111111111111112</v>
      </c>
      <c r="O19" s="371" t="str">
        <f>[6]Brewhouse!$AZ96</f>
        <v>R.Sookram</v>
      </c>
      <c r="P19" s="418"/>
      <c r="R19" s="277" t="str">
        <f t="shared" si="0"/>
        <v>VITAMALT</v>
      </c>
      <c r="S19" s="472">
        <f t="shared" si="1"/>
        <v>14.2</v>
      </c>
      <c r="T19" s="472">
        <f t="shared" si="2"/>
        <v>14.6</v>
      </c>
      <c r="U19" s="297">
        <f t="shared" si="3"/>
        <v>0</v>
      </c>
      <c r="V19" s="297">
        <f t="shared" si="4"/>
        <v>0.13905092592592591</v>
      </c>
      <c r="W19" s="297">
        <f t="shared" si="5"/>
        <v>0.26041666666666669</v>
      </c>
      <c r="X19" s="297">
        <f t="shared" si="6"/>
        <v>0.2951388888888889</v>
      </c>
      <c r="Y19" s="297">
        <f t="shared" si="7"/>
        <v>0</v>
      </c>
      <c r="Z19" s="472">
        <f t="shared" si="8"/>
        <v>75</v>
      </c>
    </row>
    <row r="20" spans="1:27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7.25" customHeight="1" thickBot="1">
      <c r="B21" s="358"/>
      <c r="C21" s="358"/>
      <c r="D21" s="358"/>
      <c r="E21" s="358"/>
      <c r="F21" s="294"/>
      <c r="G21" s="294"/>
      <c r="H21" s="348"/>
      <c r="I21" s="528"/>
      <c r="J21" s="528"/>
      <c r="K21" s="528"/>
      <c r="L21" s="528"/>
      <c r="M21" s="528"/>
      <c r="N21" s="528"/>
      <c r="O21" s="1"/>
      <c r="P21" s="12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7.25" customHeight="1" thickBot="1">
      <c r="B22" s="489" t="s">
        <v>162</v>
      </c>
      <c r="C22" s="388"/>
      <c r="D22" s="529" t="s">
        <v>35</v>
      </c>
      <c r="E22" s="530"/>
      <c r="F22" s="294"/>
      <c r="G22" s="294"/>
      <c r="H22" s="348"/>
      <c r="I22" s="24" t="s">
        <v>17</v>
      </c>
      <c r="J22" s="25"/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R22" s="277" t="str">
        <f t="shared" si="0"/>
        <v xml:space="preserve">BRAND 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7.25" customHeight="1">
      <c r="A23" s="28"/>
      <c r="B23" s="626" t="str">
        <f>I25</f>
        <v>GUINNESS</v>
      </c>
      <c r="C23" s="490" cm="1">
        <f t="array" ref="C23:C24">[5]Process!$D$97:$D$98</f>
        <v>17.3</v>
      </c>
      <c r="D23" s="629">
        <v>17.510000000000002</v>
      </c>
      <c r="E23" s="630"/>
      <c r="F23" s="294"/>
      <c r="G23" s="294"/>
      <c r="H23" s="348"/>
      <c r="I23" s="29" t="s">
        <v>6</v>
      </c>
      <c r="J23" s="323">
        <f>AVERAGE(I10:I10)</f>
        <v>98.410586861189657</v>
      </c>
      <c r="K23" s="284">
        <f>COUNTA([4]Brewhouse!$A$595:$A$678)</f>
        <v>84</v>
      </c>
      <c r="L23" s="305">
        <f>AVERAGE([4]Brewhouse!$AU$595:$AU$678)</f>
        <v>99.046417581875659</v>
      </c>
      <c r="M23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AVERAGE([4]Brewhouse!$AU$42:$AU$123,[4]Brewhouse!$AU$125:$AU$188,[4]Brewhouse!$AU$198:$AU$290,[4]Brewhouse!$AU$292:$AU$370,[4]Brewhouse!$AU$372:$AU$439,[4]Brewhouse!$AU$441:$AU$497,[4]Brewhouse!$AU$499:$AU$519,[4]Brewhouse!$AU$521:$AU$593,[4]Brewhouse!$AU$595:$AU$678)</f>
        <v>98.287450158698647</v>
      </c>
      <c r="N23" s="30">
        <v>98</v>
      </c>
      <c r="O23" s="11"/>
      <c r="P23" s="31"/>
      <c r="R23" s="277" t="str">
        <f t="shared" si="0"/>
        <v>GUINNESS</v>
      </c>
      <c r="S23" s="472">
        <f t="shared" si="1"/>
        <v>17</v>
      </c>
      <c r="T23" s="472">
        <f t="shared" si="2"/>
        <v>17.5</v>
      </c>
      <c r="U23" s="297">
        <f t="shared" si="3"/>
        <v>0</v>
      </c>
      <c r="V23" s="297">
        <f t="shared" si="4"/>
        <v>0.1076388888888889</v>
      </c>
      <c r="W23" s="297">
        <f t="shared" si="5"/>
        <v>0.24652777777777779</v>
      </c>
      <c r="X23" s="297">
        <f t="shared" si="6"/>
        <v>0.28472222222222221</v>
      </c>
      <c r="Y23" s="297">
        <f t="shared" si="7"/>
        <v>0</v>
      </c>
      <c r="Z23" s="472">
        <f t="shared" si="8"/>
        <v>60</v>
      </c>
    </row>
    <row r="24" spans="1:27" ht="15" customHeight="1">
      <c r="A24" s="28"/>
      <c r="B24" s="627"/>
      <c r="C24" s="362">
        <v>17</v>
      </c>
      <c r="D24" s="631"/>
      <c r="E24" s="632"/>
      <c r="F24" s="294"/>
      <c r="G24" s="294"/>
      <c r="H24" s="348"/>
      <c r="I24" s="33" t="s">
        <v>9</v>
      </c>
      <c r="J24" s="323"/>
      <c r="K24" s="284">
        <f>COUNTA([3]Brewhouse!$A$327:$A$353)</f>
        <v>27</v>
      </c>
      <c r="L24" s="302">
        <f>AVERAGE([3]Brewhouse!$AS$327:$AS$353)</f>
        <v>99.545759939380616</v>
      </c>
      <c r="M24" s="302">
        <f>AVERAGE([3]Brewhouse!$AS$52:$AS$81,[3]Brewhouse!$AS$83:$AS$124,[3]Brewhouse!$AS$134:$AS$177,[3]Brewhouse!$AS$22:$AS$179,[3]Brewhouse!$AS$214:$AS$249,[3]Brewhouse!$AS$252:$AS$293,[3]Brewhouse!$AS$295:$AS$325,[3]Brewhouse!$AS$327:$AS$353)</f>
        <v>98.236986123572123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627"/>
      <c r="C25" s="362"/>
      <c r="D25" s="538"/>
      <c r="E25" s="539"/>
      <c r="F25" s="294"/>
      <c r="G25" s="294"/>
      <c r="H25" s="348"/>
      <c r="I25" s="34" t="s">
        <v>12</v>
      </c>
      <c r="J25" s="323"/>
      <c r="K25" s="284">
        <f>COUNTA([5]Brewhouse!$A$90:$A$97)</f>
        <v>8</v>
      </c>
      <c r="L25" s="302">
        <f>AVERAGE([5]Brewhouse!$AU$90:$AU$97)</f>
        <v>96.342250509798717</v>
      </c>
      <c r="M25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627"/>
      <c r="C26" s="362"/>
      <c r="D26" s="540"/>
      <c r="E26" s="537"/>
      <c r="F26" s="294"/>
      <c r="G26" s="294"/>
      <c r="H26" s="348"/>
      <c r="I26" s="22" t="s">
        <v>33</v>
      </c>
      <c r="J26" s="280">
        <f>AVERAGE(I12:I19)</f>
        <v>97.90251690920546</v>
      </c>
      <c r="K26" s="284">
        <f>COUNTA([6]Brewhouse!$A$89:$A$96)</f>
        <v>8</v>
      </c>
      <c r="L26" s="302">
        <f>AVERAGE([6]Brewhouse!$AV$89:$AV$96)</f>
        <v>97.90251690920546</v>
      </c>
      <c r="M26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627"/>
      <c r="C27" s="362"/>
      <c r="D27" s="538"/>
      <c r="E27" s="539"/>
      <c r="F27" s="294"/>
      <c r="G27" s="294"/>
      <c r="H27" s="348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627"/>
      <c r="C28" s="362"/>
      <c r="D28" s="540"/>
      <c r="E28" s="537"/>
      <c r="F28" s="417"/>
      <c r="G28" s="294"/>
      <c r="H28" s="348"/>
      <c r="I28" s="36" t="s">
        <v>15</v>
      </c>
      <c r="J28" s="323"/>
      <c r="K28" s="284"/>
      <c r="L28" s="302"/>
      <c r="M28" s="302">
        <f>AVERAGE([7]Brewhouse!$AT$4:$AT$11,[7]Brewhouse!$AT$13:$AT$16,[7]Brewhouse!$AT$18:$AT$21)</f>
        <v>91.832675391763644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627"/>
      <c r="C29" s="362"/>
      <c r="D29" s="538"/>
      <c r="E29" s="539"/>
      <c r="F29" s="417"/>
      <c r="G29" s="294"/>
      <c r="H29" s="348"/>
      <c r="I29" s="37" t="s">
        <v>16</v>
      </c>
      <c r="J29" s="323"/>
      <c r="K29" s="284">
        <f>COUNTA([8]Brewhouse!$A$84:$A$101)</f>
        <v>18</v>
      </c>
      <c r="L29" s="302">
        <f>AVERAGE([8]Brewhouse!$AY$84:$AY$101)</f>
        <v>97.389891141895035</v>
      </c>
      <c r="M29" s="302">
        <f>AVERAGE([8]Brewhouse!$AY$5:$AY$14,[8]Brewhouse!$AY$16:$AY$23,[8]Brewhouse!$AY$42,[8]Brewhouse!$AY$44:$AY$51,[8]Brewhouse!$AY$53:$AY$64,[8]Brewhouse!$AY$66:$AY$73,[8]Brewhouse!$AY$75:$AY$82,[8]Brewhouse!$AY$84:$AY$101)</f>
        <v>97.946352432648297</v>
      </c>
      <c r="N29" s="30">
        <v>98</v>
      </c>
      <c r="O29" s="11"/>
      <c r="P29" s="31" t="s">
        <v>41</v>
      </c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627"/>
      <c r="C30" s="362"/>
      <c r="D30" s="540"/>
      <c r="E30" s="537"/>
      <c r="F30" s="294"/>
      <c r="G30" s="294"/>
      <c r="H30" s="348"/>
      <c r="I30" s="411" t="s">
        <v>158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7" ht="14.65" customHeight="1">
      <c r="A31" s="28"/>
      <c r="B31" s="627"/>
      <c r="C31" s="362"/>
      <c r="D31" s="538"/>
      <c r="E31" s="539"/>
      <c r="F31" s="294"/>
      <c r="G31" s="294"/>
      <c r="H31" s="348"/>
      <c r="I31" s="410" t="s">
        <v>157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" customHeight="1" thickBot="1">
      <c r="A32" s="28"/>
      <c r="B32" s="627"/>
      <c r="C32" s="362"/>
      <c r="D32" s="540"/>
      <c r="E32" s="537"/>
      <c r="F32" s="294"/>
      <c r="G32" s="294"/>
      <c r="H32" s="348"/>
      <c r="I32" s="406" t="s">
        <v>156</v>
      </c>
      <c r="J32" s="327"/>
      <c r="K32" s="407"/>
      <c r="L32" s="408"/>
      <c r="M32" s="408"/>
      <c r="N32" s="409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5" customHeight="1" thickBot="1">
      <c r="A33" s="28"/>
      <c r="B33" s="627"/>
      <c r="C33" s="349"/>
      <c r="D33" s="534"/>
      <c r="E33" s="535"/>
      <c r="F33" s="294"/>
      <c r="G33" s="294"/>
      <c r="H33" s="348"/>
      <c r="I33" s="1"/>
      <c r="J33" s="39"/>
      <c r="K33" s="404">
        <f>SUM(K23:K32)</f>
        <v>145</v>
      </c>
      <c r="L33" s="405">
        <f>((L23*K23)+(L24*K24)+(L25*K25)+(L26*K26)+(L27*K27)+(K30*L30)+(L28*K28)+(L29*K29)+(L32*K32))/(K33)</f>
        <v>98.721453621703276</v>
      </c>
      <c r="M33" s="405">
        <f>AVERAGE('[9]Jan30th-31st'!$L$42,'[10]Feb 27th-28th'!$L$45,'[11]Mar 31st'!$L$42,'[12]Apr 30th'!$L$41,'[13]May 29th '!$L$35,'[14]June 30th'!$L$32,[15]July31st!$L$36,L33)</f>
        <v>97.992982847062649</v>
      </c>
      <c r="N33" s="4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.75" thickBot="1">
      <c r="B34" s="628"/>
      <c r="C34" s="350"/>
      <c r="D34" s="536"/>
      <c r="E34" s="537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.75" thickBot="1">
      <c r="B35" s="541" t="str">
        <f>I23</f>
        <v>CARIB</v>
      </c>
      <c r="C35" s="362" cm="1">
        <f t="array" ref="C35:C42">[4]Process!$D$614:$D$621</f>
        <v>12</v>
      </c>
      <c r="D35" s="534">
        <v>12</v>
      </c>
      <c r="E35" s="535"/>
      <c r="F35" s="294"/>
      <c r="G35" s="42"/>
      <c r="H35" s="41"/>
      <c r="I35" s="42"/>
      <c r="J35" s="544" t="s">
        <v>129</v>
      </c>
      <c r="K35" s="544"/>
      <c r="L35" s="294"/>
      <c r="M35" s="294"/>
      <c r="N35" s="294"/>
      <c r="O35" s="294"/>
      <c r="P35" s="12"/>
    </row>
    <row r="36" spans="1:56" ht="15.75" thickBot="1">
      <c r="B36" s="542"/>
      <c r="C36" s="362">
        <v>11.8</v>
      </c>
      <c r="D36" s="536"/>
      <c r="E36" s="537"/>
      <c r="F36" s="294"/>
      <c r="G36" s="42"/>
      <c r="H36" s="42"/>
      <c r="I36" s="42"/>
      <c r="J36" s="292" t="s">
        <v>17</v>
      </c>
      <c r="K36" s="293"/>
      <c r="L36" s="545" t="s">
        <v>136</v>
      </c>
      <c r="M36" s="545"/>
      <c r="N36" s="546"/>
      <c r="O36" s="294"/>
      <c r="P36" s="12"/>
    </row>
    <row r="37" spans="1:56" ht="15" customHeight="1" thickBot="1">
      <c r="B37" s="542"/>
      <c r="C37" s="349">
        <v>11.9</v>
      </c>
      <c r="D37" s="538">
        <v>11.9</v>
      </c>
      <c r="E37" s="539"/>
      <c r="F37" s="294"/>
      <c r="G37" s="42"/>
      <c r="H37" s="42"/>
      <c r="I37" s="42"/>
      <c r="J37" s="287" t="s">
        <v>6</v>
      </c>
      <c r="K37" s="324">
        <v>1</v>
      </c>
      <c r="L37" s="473" t="s">
        <v>37</v>
      </c>
      <c r="M37" s="474" t="s">
        <v>38</v>
      </c>
      <c r="N37" s="474" t="s">
        <v>84</v>
      </c>
      <c r="O37" s="294"/>
      <c r="P37" s="12"/>
    </row>
    <row r="38" spans="1:56" ht="15.75" customHeight="1" thickBot="1">
      <c r="B38" s="542"/>
      <c r="C38" s="349">
        <v>12</v>
      </c>
      <c r="D38" s="540"/>
      <c r="E38" s="537"/>
      <c r="F38" s="294"/>
      <c r="G38" s="42"/>
      <c r="H38" s="42"/>
      <c r="I38" s="42"/>
      <c r="J38" s="345" t="s">
        <v>9</v>
      </c>
      <c r="K38" s="324"/>
      <c r="L38" s="494">
        <f>AVERAGE(K47,'Aug 3rd '!K47,'Aug 2nd'!K52,'Aug 4th'!K47,'Aug 5th'!K51,'Aug 6th'!K51,'Aug 7th'!K51,'Aug 12th'!K51,,'Aug 13th '!K51,'Aug 14th&amp;15th'!I55,'Aug 17th '!K55,'Aug 18th'!K55,'Aug 19th '!K55,'Aug 20th '!K55,'Aug 21st-22nd'!K65,'Aug 21st-22nd'!J65,'Aug 24th'!K57,'Aug 25th '!K58)</f>
        <v>7.1052631578947372</v>
      </c>
      <c r="M38" s="495">
        <f>AVERAGE('[9]Jan30th-31st'!$L$47,L38,'[10]Feb 26th '!$L$39,'[11]Mar 31st'!$L$47,'[12]Apr 30th'!$L$46,'[13]May 29th '!$L$40,'[14]June 30th'!$L$39,[15]July31st!$L$41)</f>
        <v>6.434079907506681</v>
      </c>
      <c r="N38" s="416">
        <v>9.1999999999999993</v>
      </c>
      <c r="O38" s="294"/>
      <c r="P38" s="12"/>
    </row>
    <row r="39" spans="1:56" ht="15" customHeight="1">
      <c r="B39" s="542"/>
      <c r="C39" s="349">
        <v>11.6</v>
      </c>
      <c r="D39" s="538">
        <v>11.8</v>
      </c>
      <c r="E39" s="539"/>
      <c r="F39" s="294"/>
      <c r="G39" s="42"/>
      <c r="H39" s="42"/>
      <c r="I39" s="42"/>
      <c r="J39" s="288" t="s">
        <v>40</v>
      </c>
      <c r="K39" s="324"/>
      <c r="L39" s="294"/>
      <c r="M39" s="294"/>
      <c r="N39" s="294"/>
      <c r="O39" s="294"/>
      <c r="P39" s="12"/>
    </row>
    <row r="40" spans="1:56" ht="15" customHeight="1">
      <c r="B40" s="542"/>
      <c r="C40" s="349">
        <v>11.6</v>
      </c>
      <c r="D40" s="540"/>
      <c r="E40" s="537"/>
      <c r="F40" s="294"/>
      <c r="G40" s="42"/>
      <c r="H40" s="42"/>
      <c r="I40" s="42"/>
      <c r="J40" s="289" t="s">
        <v>33</v>
      </c>
      <c r="K40" s="324">
        <v>8</v>
      </c>
      <c r="L40" s="294"/>
      <c r="M40" s="294"/>
      <c r="N40" s="294"/>
      <c r="O40" s="294"/>
      <c r="P40" s="12"/>
    </row>
    <row r="41" spans="1:56" ht="15">
      <c r="B41" s="542"/>
      <c r="C41" s="349">
        <v>12.1</v>
      </c>
      <c r="D41" s="538">
        <v>12</v>
      </c>
      <c r="E41" s="539"/>
      <c r="F41" s="294"/>
      <c r="G41" s="42"/>
      <c r="H41" s="42"/>
      <c r="I41" s="42"/>
      <c r="J41" s="290" t="s">
        <v>16</v>
      </c>
      <c r="K41" s="324"/>
      <c r="L41" s="294"/>
      <c r="M41" s="294"/>
      <c r="N41" s="294"/>
      <c r="O41" s="294"/>
      <c r="P41" s="12"/>
      <c r="BC41" s="44"/>
      <c r="BD41" s="44"/>
    </row>
    <row r="42" spans="1:56" ht="15">
      <c r="B42" s="542"/>
      <c r="C42" s="349">
        <v>11.7</v>
      </c>
      <c r="D42" s="540"/>
      <c r="E42" s="537"/>
      <c r="F42" s="294"/>
      <c r="G42" s="42"/>
      <c r="H42" s="42"/>
      <c r="I42" s="42"/>
      <c r="J42" s="291" t="s">
        <v>15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42"/>
      <c r="C43" s="349"/>
      <c r="D43" s="538"/>
      <c r="E43" s="539"/>
      <c r="F43" s="294"/>
      <c r="G43" s="42"/>
      <c r="H43" s="42"/>
      <c r="I43" s="42"/>
      <c r="J43" s="291" t="s">
        <v>149</v>
      </c>
      <c r="K43" s="324"/>
      <c r="L43" s="294"/>
      <c r="M43" s="294"/>
      <c r="N43" s="294"/>
      <c r="O43" s="294"/>
      <c r="P43" s="12"/>
      <c r="BC43" s="44"/>
      <c r="BD43" s="44"/>
    </row>
    <row r="44" spans="1:56" ht="15.75" thickBot="1">
      <c r="B44" s="543"/>
      <c r="C44" s="350"/>
      <c r="D44" s="547"/>
      <c r="E44" s="548"/>
      <c r="F44" s="294" t="s">
        <v>166</v>
      </c>
      <c r="G44" s="42"/>
      <c r="H44" s="42"/>
      <c r="I44" s="42"/>
      <c r="J44" s="291" t="s">
        <v>148</v>
      </c>
      <c r="K44" s="324"/>
      <c r="L44" s="294"/>
      <c r="M44" s="294"/>
      <c r="N44" s="294" t="s">
        <v>41</v>
      </c>
      <c r="O44" s="294"/>
      <c r="P44" s="12"/>
      <c r="BC44" s="44"/>
      <c r="BD44" s="44"/>
    </row>
    <row r="45" spans="1:56" ht="17.649999999999999" customHeight="1" thickBot="1">
      <c r="B45" s="312" t="s">
        <v>139</v>
      </c>
      <c r="C45" s="313"/>
      <c r="D45" s="549"/>
      <c r="E45" s="550"/>
      <c r="F45" s="294"/>
      <c r="J45" s="295" t="s">
        <v>134</v>
      </c>
      <c r="K45" s="324"/>
      <c r="L45" s="294"/>
      <c r="M45" s="294"/>
      <c r="N45" s="294"/>
      <c r="O45" s="294"/>
      <c r="P45" s="12"/>
      <c r="BC45" s="44"/>
      <c r="BD45" s="44"/>
    </row>
    <row r="46" spans="1:56" ht="17.649999999999999" customHeight="1">
      <c r="B46" s="363"/>
      <c r="C46" s="364"/>
      <c r="D46" s="365"/>
      <c r="E46" s="365"/>
      <c r="F46" s="294"/>
      <c r="G46" s="42"/>
      <c r="H46" s="42"/>
      <c r="I46" s="42"/>
      <c r="J46" s="295" t="s">
        <v>131</v>
      </c>
      <c r="K46" s="324"/>
      <c r="L46" s="294"/>
      <c r="M46" s="294"/>
      <c r="N46" s="294"/>
      <c r="O46" s="294"/>
      <c r="P46" s="12"/>
      <c r="BC46" s="44"/>
      <c r="BD46" s="44"/>
    </row>
    <row r="47" spans="1:56" ht="15.6" customHeight="1">
      <c r="B47" s="45"/>
      <c r="C47" s="11"/>
      <c r="D47" s="11"/>
      <c r="E47" s="46"/>
      <c r="F47" s="294"/>
      <c r="G47" s="42"/>
      <c r="H47" s="42"/>
      <c r="I47" s="42"/>
      <c r="J47" s="346" t="s">
        <v>130</v>
      </c>
      <c r="K47" s="324">
        <f>SUM(K37:K46)</f>
        <v>9</v>
      </c>
      <c r="L47" s="294"/>
      <c r="M47" s="294"/>
      <c r="N47" s="294"/>
      <c r="O47" s="294"/>
      <c r="P47" s="12"/>
    </row>
    <row r="48" spans="1:56" ht="20.25" customHeight="1">
      <c r="B48" s="15" t="s">
        <v>42</v>
      </c>
      <c r="C48" s="1" t="s">
        <v>43</v>
      </c>
      <c r="D48" s="1"/>
      <c r="E48" s="1"/>
      <c r="F48" s="294"/>
      <c r="G48" s="42"/>
      <c r="H48" s="41"/>
      <c r="I48" s="42"/>
      <c r="L48" s="42"/>
      <c r="N48" s="315"/>
      <c r="P48" s="334"/>
    </row>
    <row r="49" spans="2:57" ht="15" customHeight="1" thickBot="1"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1"/>
      <c r="O49" s="48"/>
      <c r="P49" s="49"/>
    </row>
    <row r="50" spans="2:57" ht="15" customHeight="1" thickBot="1">
      <c r="B50" s="551" t="s">
        <v>17</v>
      </c>
      <c r="C50" s="551" t="s">
        <v>44</v>
      </c>
      <c r="D50" s="554" t="s">
        <v>45</v>
      </c>
      <c r="E50" s="519" t="s">
        <v>46</v>
      </c>
      <c r="F50" s="568" t="s">
        <v>47</v>
      </c>
      <c r="G50" s="563" t="s">
        <v>48</v>
      </c>
      <c r="H50" s="551" t="s">
        <v>49</v>
      </c>
      <c r="I50" s="551" t="s">
        <v>50</v>
      </c>
      <c r="J50" s="557" t="s">
        <v>28</v>
      </c>
      <c r="K50" s="517" t="s">
        <v>51</v>
      </c>
      <c r="L50" s="566" t="s">
        <v>52</v>
      </c>
      <c r="M50" s="557" t="s">
        <v>53</v>
      </c>
      <c r="N50" s="13"/>
      <c r="O50" s="13"/>
      <c r="P50" s="50"/>
    </row>
    <row r="51" spans="2:57" ht="28.5" customHeight="1" thickTop="1" thickBot="1">
      <c r="B51" s="552"/>
      <c r="C51" s="553"/>
      <c r="D51" s="555"/>
      <c r="E51" s="556"/>
      <c r="F51" s="569"/>
      <c r="G51" s="564"/>
      <c r="H51" s="552"/>
      <c r="I51" s="552"/>
      <c r="J51" s="558"/>
      <c r="K51" s="565"/>
      <c r="L51" s="567"/>
      <c r="M51" s="558"/>
      <c r="N51" s="13"/>
      <c r="O51" s="13"/>
      <c r="P51" s="50"/>
      <c r="Q51" s="355"/>
      <c r="AB51" s="475">
        <v>43474</v>
      </c>
      <c r="AC51" s="475">
        <v>43475</v>
      </c>
      <c r="AD51" s="475">
        <v>43476</v>
      </c>
      <c r="AE51" s="475">
        <v>43477</v>
      </c>
      <c r="AF51" s="475">
        <v>43478</v>
      </c>
      <c r="AG51" s="475">
        <v>43479</v>
      </c>
      <c r="AH51" s="475">
        <v>43480</v>
      </c>
      <c r="AI51" s="475">
        <v>43481</v>
      </c>
      <c r="AJ51" s="475">
        <v>43482</v>
      </c>
      <c r="AK51" s="475">
        <v>43483</v>
      </c>
      <c r="AL51" s="475">
        <v>43484</v>
      </c>
      <c r="AM51" s="475">
        <v>43485</v>
      </c>
      <c r="AN51" s="475">
        <v>43486</v>
      </c>
      <c r="AO51" s="475">
        <v>43487</v>
      </c>
      <c r="AP51" s="475">
        <v>43488</v>
      </c>
      <c r="AQ51" s="475">
        <v>43489</v>
      </c>
      <c r="AR51" s="475">
        <v>43490</v>
      </c>
      <c r="AS51" s="475">
        <v>43491</v>
      </c>
      <c r="AT51" s="475">
        <v>43492</v>
      </c>
      <c r="AU51" s="475">
        <v>43493</v>
      </c>
      <c r="AV51" s="475">
        <v>43494</v>
      </c>
      <c r="AW51" s="475">
        <v>43495</v>
      </c>
      <c r="AX51" s="475">
        <v>43496</v>
      </c>
    </row>
    <row r="52" spans="2:57" s="54" customFormat="1" ht="36.75" customHeight="1" thickBot="1">
      <c r="B52" s="505" t="str">
        <f>I25</f>
        <v>GUINNESS</v>
      </c>
      <c r="C52" s="479">
        <v>46260</v>
      </c>
      <c r="D52" s="445">
        <f>[35]August_2026!$AC$23</f>
        <v>105.3</v>
      </c>
      <c r="E52" s="443">
        <f>[37]GUINNESS!$S$21</f>
        <v>2.2000000000000011</v>
      </c>
      <c r="F52" s="444"/>
      <c r="G52" s="444">
        <f>[35]August_2026!$AC$28</f>
        <v>97</v>
      </c>
      <c r="H52" s="458"/>
      <c r="I52" s="458"/>
      <c r="J52" s="448" t="s">
        <v>180</v>
      </c>
      <c r="K52" s="449">
        <f>[36]August_2026!$AC$32</f>
        <v>0.17017543859649123</v>
      </c>
      <c r="L52" s="457">
        <f>(((D52+E52)-G52)/(D52+E52))*100</f>
        <v>9.7674418604651159</v>
      </c>
      <c r="M52" s="455" t="s">
        <v>186</v>
      </c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[16]January_2019!L5</f>
        <v>0</v>
      </c>
      <c r="AC52" s="57">
        <f>[16]January_2019!M5</f>
        <v>0</v>
      </c>
      <c r="AD52" s="57">
        <f>[16]January_2019!N5</f>
        <v>0</v>
      </c>
      <c r="AE52" s="57">
        <f>[16]January_2019!O5</f>
        <v>0</v>
      </c>
      <c r="AF52" s="57">
        <f>[16]January_2019!P5</f>
        <v>0</v>
      </c>
      <c r="AG52" s="57">
        <f>[16]January_2019!Q5</f>
        <v>0</v>
      </c>
      <c r="AH52" s="57">
        <f>[16]January_2019!R5</f>
        <v>0</v>
      </c>
      <c r="AI52" s="57">
        <f>[16]January_2019!S5</f>
        <v>0</v>
      </c>
      <c r="AJ52" s="57">
        <f>[16]January_2019!T5</f>
        <v>0</v>
      </c>
      <c r="AK52" s="57">
        <f>[16]January_2019!U5</f>
        <v>0</v>
      </c>
      <c r="AL52" s="57">
        <f>[16]January_2019!V5</f>
        <v>0</v>
      </c>
      <c r="AM52" s="57">
        <f>[16]January_2019!W5</f>
        <v>0</v>
      </c>
      <c r="AN52" s="57">
        <f>[16]January_2019!X5</f>
        <v>0</v>
      </c>
      <c r="AO52" s="57">
        <f>[16]January_2019!Y5</f>
        <v>0</v>
      </c>
      <c r="AP52" s="57">
        <f>[16]January_2019!Z5</f>
        <v>0</v>
      </c>
      <c r="AQ52" s="57">
        <f>[16]January_2019!AA5</f>
        <v>0</v>
      </c>
      <c r="AR52" s="57">
        <f>[16]January_2019!AB5</f>
        <v>0</v>
      </c>
      <c r="AS52" s="57">
        <f>[16]January_2019!AC5</f>
        <v>0</v>
      </c>
      <c r="AT52" s="57">
        <f>[16]January_2019!AD5</f>
        <v>0</v>
      </c>
      <c r="AU52" s="57">
        <f>[16]January_2019!AE5</f>
        <v>0</v>
      </c>
      <c r="AV52" s="57">
        <f>[16]January_2019!AF5</f>
        <v>0</v>
      </c>
      <c r="AW52" s="57">
        <f>[16]January_2019!AG5</f>
        <v>0</v>
      </c>
      <c r="AX52" s="277">
        <f>[16]January_2019!AH5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14.25" customHeight="1" thickBot="1">
      <c r="B53" s="480"/>
      <c r="C53" s="479"/>
      <c r="D53" s="442"/>
      <c r="E53" s="443"/>
      <c r="F53" s="444"/>
      <c r="G53" s="445"/>
      <c r="H53" s="458"/>
      <c r="I53" s="458"/>
      <c r="J53" s="476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[16]January_2019!L6</f>
        <v>0</v>
      </c>
      <c r="AC53" s="57">
        <f>[16]January_2019!M6</f>
        <v>0</v>
      </c>
      <c r="AD53" s="57">
        <f>[16]January_2019!N6</f>
        <v>0</v>
      </c>
      <c r="AE53" s="57">
        <f>[16]January_2019!O6</f>
        <v>0</v>
      </c>
      <c r="AF53" s="57">
        <f>[16]January_2019!P6</f>
        <v>0</v>
      </c>
      <c r="AG53" s="57">
        <f>[16]January_2019!Q6</f>
        <v>0</v>
      </c>
      <c r="AH53" s="57">
        <f>[16]January_2019!R6</f>
        <v>0</v>
      </c>
      <c r="AI53" s="57">
        <f>[16]January_2019!S6</f>
        <v>0</v>
      </c>
      <c r="AJ53" s="57">
        <f>[16]January_2019!T6</f>
        <v>0</v>
      </c>
      <c r="AK53" s="57">
        <f>[16]January_2019!U6</f>
        <v>0</v>
      </c>
      <c r="AL53" s="57">
        <f>[16]January_2019!V6</f>
        <v>0</v>
      </c>
      <c r="AM53" s="57">
        <f>[16]January_2019!W6</f>
        <v>0</v>
      </c>
      <c r="AN53" s="57">
        <f>[16]January_2019!X6</f>
        <v>0</v>
      </c>
      <c r="AO53" s="57">
        <f>[16]January_2019!Y6</f>
        <v>0</v>
      </c>
      <c r="AP53" s="57">
        <f>[16]January_2019!Z6</f>
        <v>0</v>
      </c>
      <c r="AQ53" s="57">
        <f>[16]January_2019!AA6</f>
        <v>0</v>
      </c>
      <c r="AR53" s="57">
        <f>[16]January_2019!AB6</f>
        <v>0</v>
      </c>
      <c r="AS53" s="57">
        <f>[16]January_2019!AC6</f>
        <v>0</v>
      </c>
      <c r="AT53" s="57">
        <f>[16]January_2019!AD6</f>
        <v>0</v>
      </c>
      <c r="AU53" s="57">
        <f>[16]January_2019!AE6</f>
        <v>0</v>
      </c>
      <c r="AV53" s="57">
        <f>[16]January_2019!AF6</f>
        <v>0</v>
      </c>
      <c r="AW53" s="57">
        <f>[16]January_2019!AG6</f>
        <v>0</v>
      </c>
      <c r="AX53" s="277">
        <f>[16]January_2019!AH6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37.15" customHeight="1" thickBot="1">
      <c r="B54" s="456" t="str">
        <f>J37</f>
        <v>CARIB</v>
      </c>
      <c r="C54" s="479">
        <v>46260</v>
      </c>
      <c r="D54" s="442">
        <f>[35]August_2026!$AC$3</f>
        <v>403.1</v>
      </c>
      <c r="E54" s="443"/>
      <c r="F54" s="444"/>
      <c r="G54" s="444">
        <f>[35]August_2026!$AC$7</f>
        <v>367</v>
      </c>
      <c r="H54" s="458"/>
      <c r="I54" s="458"/>
      <c r="J54" s="448" t="s">
        <v>185</v>
      </c>
      <c r="K54" s="449">
        <f>[36]August_2026!$AC$18</f>
        <v>0.32192982456140351</v>
      </c>
      <c r="L54" s="457">
        <f>(((D54+E54)-G54)/(D54+E54))*100</f>
        <v>8.9555941453733627</v>
      </c>
      <c r="M54" s="455" t="s">
        <v>171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[16]January_2019!L7</f>
        <v>285.8</v>
      </c>
      <c r="AC54" s="57">
        <f>[16]January_2019!M7</f>
        <v>508.1</v>
      </c>
      <c r="AD54" s="57">
        <f>[16]January_2019!N7</f>
        <v>0</v>
      </c>
      <c r="AE54" s="57">
        <f>[16]January_2019!O7</f>
        <v>0</v>
      </c>
      <c r="AF54" s="57">
        <f>[16]January_2019!P7</f>
        <v>109.56666666666666</v>
      </c>
      <c r="AG54" s="57">
        <f>[16]January_2019!Q7</f>
        <v>297.64999999999998</v>
      </c>
      <c r="AH54" s="57">
        <f>[16]January_2019!R7</f>
        <v>122.3</v>
      </c>
      <c r="AI54" s="57">
        <f>[16]January_2019!S7</f>
        <v>0</v>
      </c>
      <c r="AJ54" s="57">
        <f>[16]January_2019!T7</f>
        <v>294.7</v>
      </c>
      <c r="AK54" s="57">
        <f>[16]January_2019!U7</f>
        <v>280.5</v>
      </c>
      <c r="AL54" s="57">
        <f>[16]January_2019!V7</f>
        <v>0</v>
      </c>
      <c r="AM54" s="57">
        <f>[16]January_2019!W7</f>
        <v>0</v>
      </c>
      <c r="AN54" s="57">
        <f>[16]January_2019!X7</f>
        <v>188.25</v>
      </c>
      <c r="AO54" s="57">
        <f>[16]January_2019!Y7</f>
        <v>295.7</v>
      </c>
      <c r="AP54" s="57">
        <f>[16]January_2019!Z7</f>
        <v>257.8</v>
      </c>
      <c r="AQ54" s="57">
        <f>[16]January_2019!AA7</f>
        <v>291.2</v>
      </c>
      <c r="AR54" s="57">
        <f>[16]January_2019!AB7</f>
        <v>187</v>
      </c>
      <c r="AS54" s="57">
        <f>[16]January_2019!AC7</f>
        <v>0</v>
      </c>
      <c r="AT54" s="57">
        <f>[16]January_2019!AD7</f>
        <v>0</v>
      </c>
      <c r="AU54" s="57">
        <f>[16]January_2019!AE7</f>
        <v>485.1</v>
      </c>
      <c r="AV54" s="57">
        <f>[16]January_2019!AF7</f>
        <v>171.55</v>
      </c>
      <c r="AW54" s="57">
        <f>[16]January_2019!AG7</f>
        <v>423.8</v>
      </c>
      <c r="AX54" s="277">
        <f>[16]January_2019!AH7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8.600000000000001" hidden="1" customHeight="1" thickBot="1">
      <c r="B55" s="478"/>
      <c r="C55" s="430"/>
      <c r="D55" s="431"/>
      <c r="E55" s="432"/>
      <c r="F55" s="433"/>
      <c r="G55" s="434"/>
      <c r="H55" s="458"/>
      <c r="I55" s="458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8.65" hidden="1" customHeight="1" thickBot="1">
      <c r="B56" s="498"/>
      <c r="C56" s="479"/>
      <c r="D56" s="442"/>
      <c r="E56" s="443"/>
      <c r="F56" s="444"/>
      <c r="G56" s="445"/>
      <c r="H56" s="458"/>
      <c r="I56" s="458"/>
      <c r="J56" s="448"/>
      <c r="K56" s="45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5" hidden="1">
      <c r="B57" s="453"/>
      <c r="C57" s="430"/>
      <c r="D57" s="431"/>
      <c r="E57" s="432"/>
      <c r="F57" s="433"/>
      <c r="G57" s="434"/>
      <c r="H57" s="435"/>
      <c r="I57" s="450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7.15" hidden="1" customHeight="1" thickBot="1">
      <c r="B58" s="482"/>
      <c r="C58" s="479"/>
      <c r="D58" s="442"/>
      <c r="E58" s="443"/>
      <c r="F58" s="444"/>
      <c r="G58" s="445"/>
      <c r="H58" s="446"/>
      <c r="I58" s="447"/>
      <c r="J58" s="448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hidden="1" customHeight="1" thickBot="1">
      <c r="B59" s="437"/>
      <c r="C59" s="423"/>
      <c r="D59" s="424"/>
      <c r="E59" s="425"/>
      <c r="F59" s="426"/>
      <c r="G59" s="427"/>
      <c r="H59" s="428"/>
      <c r="I59" s="438"/>
      <c r="J59" s="439"/>
      <c r="K59" s="429"/>
      <c r="L59" s="440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s="54" customFormat="1" ht="37.15" hidden="1" customHeight="1" thickBot="1">
      <c r="B60" s="456"/>
      <c r="C60" s="441"/>
      <c r="D60" s="442"/>
      <c r="E60" s="443"/>
      <c r="F60" s="444"/>
      <c r="G60" s="445"/>
      <c r="H60" s="446"/>
      <c r="I60" s="447"/>
      <c r="J60" s="448"/>
      <c r="K60" s="449"/>
      <c r="L60" s="457"/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customHeight="1">
      <c r="B61" s="466"/>
      <c r="C61" s="430"/>
      <c r="D61" s="460"/>
      <c r="E61" s="461"/>
      <c r="F61" s="462"/>
      <c r="G61" s="460"/>
      <c r="H61" s="463"/>
      <c r="I61" s="463"/>
      <c r="J61" s="463"/>
      <c r="K61" s="464"/>
      <c r="L61" s="465"/>
      <c r="M61" s="5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559" t="s">
        <v>55</v>
      </c>
      <c r="C63" s="560"/>
      <c r="D63" s="560"/>
      <c r="E63" s="560"/>
      <c r="F63" s="561"/>
      <c r="G63" s="559" t="s">
        <v>56</v>
      </c>
      <c r="H63" s="560"/>
      <c r="I63" s="560"/>
      <c r="J63" s="561"/>
      <c r="K63" s="559" t="s">
        <v>51</v>
      </c>
      <c r="L63" s="560"/>
      <c r="M63" s="560"/>
      <c r="N63" s="562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/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65">
        <f>L54</f>
        <v>8.9555941453733627</v>
      </c>
      <c r="D65" s="76">
        <v>5.8785486254739441</v>
      </c>
      <c r="E65" s="76">
        <v>6.4209268360980332</v>
      </c>
      <c r="F65" s="66">
        <v>4.8</v>
      </c>
      <c r="G65" s="65">
        <f>[35]August_2026!$AC$11</f>
        <v>8.2201789122988416</v>
      </c>
      <c r="H65" s="477">
        <v>5.7524116160584295</v>
      </c>
      <c r="I65" s="477">
        <v>6.6518806494508196</v>
      </c>
      <c r="J65" s="66">
        <v>4.8</v>
      </c>
      <c r="K65" s="67">
        <f>K54</f>
        <v>0.32192982456140351</v>
      </c>
      <c r="L65" s="194">
        <v>0.436729671400724</v>
      </c>
      <c r="M65" s="194">
        <v>0.52431533862318613</v>
      </c>
      <c r="N65" s="68">
        <v>1</v>
      </c>
      <c r="O65" s="56"/>
      <c r="P65" s="69"/>
    </row>
    <row r="66" spans="2:16" ht="15">
      <c r="B66" s="33" t="s">
        <v>9</v>
      </c>
      <c r="C66" s="65"/>
      <c r="D66" s="76">
        <v>7.5735775016350662</v>
      </c>
      <c r="E66" s="76">
        <v>5.9735660276997917</v>
      </c>
      <c r="F66" s="66">
        <v>4.8</v>
      </c>
      <c r="G66" s="65"/>
      <c r="H66" s="76">
        <v>7.2701428258065999</v>
      </c>
      <c r="I66" s="76">
        <v>5.9696748056569886</v>
      </c>
      <c r="J66" s="66">
        <v>4.8</v>
      </c>
      <c r="K66" s="67"/>
      <c r="L66" s="194">
        <v>0.67225146198830421</v>
      </c>
      <c r="M66" s="194">
        <v>0.69969789623338174</v>
      </c>
      <c r="N66" s="68">
        <v>1</v>
      </c>
      <c r="P66" s="69"/>
    </row>
    <row r="67" spans="2:16" ht="15">
      <c r="B67" s="34" t="s">
        <v>40</v>
      </c>
      <c r="C67" s="65">
        <f>L52</f>
        <v>9.7674418604651159</v>
      </c>
      <c r="D67" s="76">
        <v>9.7813946066698687</v>
      </c>
      <c r="E67" s="76">
        <v>11.043006179480136</v>
      </c>
      <c r="F67" s="66">
        <v>5.5</v>
      </c>
      <c r="G67" s="65">
        <f>[35]August_2026!$AC$32</f>
        <v>9.2470237797747075</v>
      </c>
      <c r="H67" s="76">
        <v>10.372188565692998</v>
      </c>
      <c r="I67" s="76">
        <v>11.857907912244482</v>
      </c>
      <c r="J67" s="66">
        <v>5.5</v>
      </c>
      <c r="K67" s="67">
        <f>K52</f>
        <v>0.17017543859649123</v>
      </c>
      <c r="L67" s="194">
        <v>0.39060428849902529</v>
      </c>
      <c r="M67" s="194">
        <v>0.35370190356844494</v>
      </c>
      <c r="N67" s="68">
        <v>1</v>
      </c>
      <c r="P67" s="69"/>
    </row>
    <row r="68" spans="2:16" ht="15">
      <c r="B68" s="22" t="s">
        <v>33</v>
      </c>
      <c r="C68" s="65"/>
      <c r="D68" s="76"/>
      <c r="E68" s="76">
        <v>4.8685538193023836</v>
      </c>
      <c r="F68" s="66">
        <v>3.3</v>
      </c>
      <c r="G68" s="65"/>
      <c r="H68" s="76"/>
      <c r="I68" s="76">
        <v>5.0921772905826597</v>
      </c>
      <c r="J68" s="66">
        <v>3.3</v>
      </c>
      <c r="K68" s="67"/>
      <c r="L68" s="194"/>
      <c r="M68" s="194">
        <v>0.79040935672514623</v>
      </c>
      <c r="N68" s="68">
        <v>1</v>
      </c>
      <c r="P68" s="69"/>
    </row>
    <row r="69" spans="2:16" ht="15">
      <c r="B69" s="35" t="s">
        <v>164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K69" s="67"/>
      <c r="L69" s="194"/>
      <c r="M69" s="194"/>
      <c r="N69" s="68">
        <v>1</v>
      </c>
      <c r="P69" s="69"/>
    </row>
    <row r="70" spans="2:16" ht="15">
      <c r="B70" s="36" t="s">
        <v>15</v>
      </c>
      <c r="C70" s="65"/>
      <c r="D70" s="76"/>
      <c r="E70" s="76">
        <v>6.0400197628458603</v>
      </c>
      <c r="F70" s="70">
        <v>5.5</v>
      </c>
      <c r="G70" s="65"/>
      <c r="H70" s="76"/>
      <c r="I70" s="76">
        <v>8.2405787675951316</v>
      </c>
      <c r="J70" s="66">
        <v>5.5</v>
      </c>
      <c r="K70" s="67"/>
      <c r="L70" s="194"/>
      <c r="M70" s="194">
        <v>0.78491228070175445</v>
      </c>
      <c r="N70" s="68">
        <v>1</v>
      </c>
      <c r="P70" s="69"/>
    </row>
    <row r="71" spans="2:16" ht="15">
      <c r="B71" s="37" t="s">
        <v>16</v>
      </c>
      <c r="C71" s="483"/>
      <c r="D71" s="76">
        <v>4.9879944807205456</v>
      </c>
      <c r="E71" s="76">
        <v>3.8893302476598364</v>
      </c>
      <c r="F71" s="66">
        <v>3.3</v>
      </c>
      <c r="G71" s="282"/>
      <c r="H71" s="76">
        <v>5.346203760314828</v>
      </c>
      <c r="I71" s="76">
        <v>5.0091179718082053</v>
      </c>
      <c r="J71" s="66">
        <v>3.3</v>
      </c>
      <c r="K71" s="67"/>
      <c r="L71" s="194">
        <v>1.1162280701754386</v>
      </c>
      <c r="M71" s="194">
        <v>0.92642300194931759</v>
      </c>
      <c r="N71" s="71">
        <v>1</v>
      </c>
      <c r="P71" s="69"/>
    </row>
    <row r="72" spans="2:16" ht="15.75" thickBot="1">
      <c r="B72" s="38" t="s">
        <v>163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L72" s="194"/>
      <c r="M72" s="194"/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/>
      <c r="F73" s="66">
        <v>4.8</v>
      </c>
      <c r="G73" s="282"/>
      <c r="H73" s="76"/>
      <c r="I73" s="76"/>
      <c r="J73" s="66">
        <v>4.8</v>
      </c>
      <c r="K73" s="67"/>
      <c r="L73" s="194"/>
      <c r="M73" s="194"/>
      <c r="N73" s="71">
        <v>1</v>
      </c>
      <c r="O73" s="74"/>
      <c r="P73" s="75"/>
    </row>
    <row r="74" spans="2:16" ht="15">
      <c r="D74" s="76">
        <v>6.4274819492235817</v>
      </c>
      <c r="E74" s="76">
        <v>6.3379778367758819</v>
      </c>
      <c r="F74" s="341">
        <v>5.5</v>
      </c>
      <c r="H74" s="76">
        <v>6.4809653836908039</v>
      </c>
      <c r="I74" s="76">
        <v>6.7342618732760489</v>
      </c>
      <c r="J74" s="341">
        <v>5.5</v>
      </c>
      <c r="L74" s="194">
        <v>0.53308897243107767</v>
      </c>
      <c r="M74" s="194">
        <v>0.59755097852265848</v>
      </c>
      <c r="N74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1:N21"/>
    <mergeCell ref="D22:E22"/>
    <mergeCell ref="B23:B34"/>
    <mergeCell ref="D23:E24"/>
    <mergeCell ref="D25:E26"/>
    <mergeCell ref="D27:E28"/>
    <mergeCell ref="D29:E30"/>
    <mergeCell ref="D31:E32"/>
    <mergeCell ref="D33:E34"/>
    <mergeCell ref="B35:B44"/>
    <mergeCell ref="D35:E36"/>
    <mergeCell ref="J35:K35"/>
    <mergeCell ref="L36:N36"/>
    <mergeCell ref="D37:E38"/>
    <mergeCell ref="D39:E40"/>
    <mergeCell ref="D41:E42"/>
    <mergeCell ref="D43:E44"/>
    <mergeCell ref="D45:E45"/>
    <mergeCell ref="B50:B51"/>
    <mergeCell ref="C50:C51"/>
    <mergeCell ref="D50:D51"/>
    <mergeCell ref="E50:E51"/>
    <mergeCell ref="M50:M51"/>
    <mergeCell ref="B63:F63"/>
    <mergeCell ref="G63:J63"/>
    <mergeCell ref="K63:N63"/>
    <mergeCell ref="G50:G51"/>
    <mergeCell ref="H50:H51"/>
    <mergeCell ref="I50:I51"/>
    <mergeCell ref="J50:J51"/>
    <mergeCell ref="K50:K51"/>
    <mergeCell ref="L50:L51"/>
    <mergeCell ref="F50:F51"/>
  </mergeCells>
  <conditionalFormatting sqref="B45:B46">
    <cfRule type="cellIs" dxfId="779" priority="114" operator="notBetween">
      <formula>#REF!</formula>
      <formula>#REF!</formula>
    </cfRule>
  </conditionalFormatting>
  <conditionalFormatting sqref="C49">
    <cfRule type="cellIs" dxfId="778" priority="197" stopIfTrue="1" operator="greaterThan">
      <formula>100</formula>
    </cfRule>
    <cfRule type="cellIs" dxfId="777" priority="196" stopIfTrue="1" operator="lessThan">
      <formula>96</formula>
    </cfRule>
  </conditionalFormatting>
  <conditionalFormatting sqref="C65:C66">
    <cfRule type="cellIs" dxfId="776" priority="79" stopIfTrue="1" operator="lessThanOrEqual">
      <formula>0</formula>
    </cfRule>
    <cfRule type="cellIs" dxfId="775" priority="76" stopIfTrue="1" operator="greaterThan">
      <formula>$F65</formula>
    </cfRule>
    <cfRule type="cellIs" dxfId="774" priority="78" stopIfTrue="1" operator="greaterThan">
      <formula>$F65</formula>
    </cfRule>
    <cfRule type="cellIs" dxfId="773" priority="77" stopIfTrue="1" operator="lessThanOrEqual">
      <formula>0</formula>
    </cfRule>
  </conditionalFormatting>
  <conditionalFormatting sqref="C67:C69 C71:C73">
    <cfRule type="cellIs" dxfId="772" priority="86" stopIfTrue="1" operator="greaterThan">
      <formula>$F70</formula>
    </cfRule>
  </conditionalFormatting>
  <conditionalFormatting sqref="C67:C69">
    <cfRule type="cellIs" dxfId="771" priority="87" stopIfTrue="1" operator="lessThanOrEqual">
      <formula>0</formula>
    </cfRule>
  </conditionalFormatting>
  <conditionalFormatting sqref="C70">
    <cfRule type="cellIs" dxfId="770" priority="200" stopIfTrue="1" operator="greaterThan">
      <formula>$F65</formula>
    </cfRule>
    <cfRule type="cellIs" dxfId="769" priority="199" stopIfTrue="1" operator="lessThanOrEqual">
      <formula>0</formula>
    </cfRule>
    <cfRule type="cellIs" dxfId="768" priority="198" stopIfTrue="1" operator="greaterThan">
      <formula>$F65</formula>
    </cfRule>
    <cfRule type="cellIs" dxfId="767" priority="201" stopIfTrue="1" operator="lessThanOrEqual">
      <formula>0</formula>
    </cfRule>
  </conditionalFormatting>
  <conditionalFormatting sqref="C71:C73">
    <cfRule type="cellIs" dxfId="766" priority="88" stopIfTrue="1" operator="lessThanOrEqual">
      <formula>0</formula>
    </cfRule>
  </conditionalFormatting>
  <conditionalFormatting sqref="C76:C80">
    <cfRule type="cellIs" dxfId="765" priority="188" stopIfTrue="1" operator="lessThanOrEqual">
      <formula>0</formula>
    </cfRule>
  </conditionalFormatting>
  <conditionalFormatting sqref="C77:C80">
    <cfRule type="cellIs" dxfId="764" priority="187" stopIfTrue="1" operator="greaterThan">
      <formula>$F$76</formula>
    </cfRule>
  </conditionalFormatting>
  <conditionalFormatting sqref="C82">
    <cfRule type="cellIs" dxfId="763" priority="190" stopIfTrue="1" operator="lessThanOrEqual">
      <formula>0</formula>
    </cfRule>
    <cfRule type="cellIs" dxfId="762" priority="189" stopIfTrue="1" operator="greaterThan">
      <formula>$F$76</formula>
    </cfRule>
  </conditionalFormatting>
  <conditionalFormatting sqref="C70:D70">
    <cfRule type="cellIs" dxfId="761" priority="74" stopIfTrue="1" operator="greaterThan">
      <formula>$J70</formula>
    </cfRule>
    <cfRule type="cellIs" dxfId="760" priority="75" stopIfTrue="1" operator="lessThanOrEqual">
      <formula>0</formula>
    </cfRule>
  </conditionalFormatting>
  <conditionalFormatting sqref="C76:D76 D78:D84">
    <cfRule type="cellIs" dxfId="759" priority="182" stopIfTrue="1" operator="greaterThan">
      <formula>4.5</formula>
    </cfRule>
  </conditionalFormatting>
  <conditionalFormatting sqref="D45:D46">
    <cfRule type="cellIs" dxfId="758" priority="115" operator="notBetween">
      <formula>#REF!</formula>
      <formula>#REF!</formula>
    </cfRule>
  </conditionalFormatting>
  <conditionalFormatting sqref="D65:D69 D71:D72">
    <cfRule type="cellIs" dxfId="757" priority="85" stopIfTrue="1" operator="lessThanOrEqual">
      <formula>0</formula>
    </cfRule>
  </conditionalFormatting>
  <conditionalFormatting sqref="D65:D69 D71:D74">
    <cfRule type="cellIs" dxfId="756" priority="82" stopIfTrue="1" operator="greaterThan">
      <formula>$F65</formula>
    </cfRule>
    <cfRule type="cellIs" dxfId="755" priority="81" stopIfTrue="1" operator="lessThanOrEqual">
      <formula>0</formula>
    </cfRule>
  </conditionalFormatting>
  <conditionalFormatting sqref="D73:D74">
    <cfRule type="cellIs" dxfId="754" priority="83" stopIfTrue="1" operator="lessThanOrEqual">
      <formula>0</formula>
    </cfRule>
  </conditionalFormatting>
  <conditionalFormatting sqref="D74">
    <cfRule type="cellIs" dxfId="753" priority="84" stopIfTrue="1" operator="lessThanOrEqual">
      <formula>0</formula>
    </cfRule>
  </conditionalFormatting>
  <conditionalFormatting sqref="D76 D78:D84">
    <cfRule type="cellIs" dxfId="752" priority="183" stopIfTrue="1" operator="lessThanOrEqual">
      <formula>0</formula>
    </cfRule>
  </conditionalFormatting>
  <conditionalFormatting sqref="D77">
    <cfRule type="cellIs" dxfId="751" priority="175" stopIfTrue="1" operator="lessThanOrEqual">
      <formula>0</formula>
    </cfRule>
    <cfRule type="cellIs" dxfId="750" priority="174" stopIfTrue="1" operator="greaterThan">
      <formula>$F$76</formula>
    </cfRule>
  </conditionalFormatting>
  <conditionalFormatting sqref="E10:E20">
    <cfRule type="cellIs" dxfId="749" priority="20" operator="lessThan">
      <formula>48</formula>
    </cfRule>
  </conditionalFormatting>
  <conditionalFormatting sqref="E48 E49:F49">
    <cfRule type="cellIs" dxfId="748" priority="179" stopIfTrue="1" operator="greaterThan">
      <formula>100</formula>
    </cfRule>
  </conditionalFormatting>
  <conditionalFormatting sqref="E49">
    <cfRule type="cellIs" dxfId="747" priority="177" stopIfTrue="1" operator="greaterThan">
      <formula>100</formula>
    </cfRule>
    <cfRule type="cellIs" dxfId="746" priority="176" stopIfTrue="1" operator="lessThan">
      <formula>96.8</formula>
    </cfRule>
  </conditionalFormatting>
  <conditionalFormatting sqref="E65:E73">
    <cfRule type="cellIs" dxfId="745" priority="47" stopIfTrue="1" operator="lessThanOrEqual">
      <formula>0</formula>
    </cfRule>
  </conditionalFormatting>
  <conditionalFormatting sqref="E65:E74">
    <cfRule type="cellIs" dxfId="744" priority="49" stopIfTrue="1" operator="lessThanOrEqual">
      <formula>0</formula>
    </cfRule>
    <cfRule type="cellIs" dxfId="743" priority="48" stopIfTrue="1" operator="greaterThan">
      <formula>$F65</formula>
    </cfRule>
  </conditionalFormatting>
  <conditionalFormatting sqref="E74">
    <cfRule type="cellIs" dxfId="742" priority="50" stopIfTrue="1" operator="lessThanOrEqual">
      <formula>0</formula>
    </cfRule>
  </conditionalFormatting>
  <conditionalFormatting sqref="E76:E84">
    <cfRule type="cellIs" dxfId="741" priority="168" stopIfTrue="1" operator="greaterThan">
      <formula>4.5</formula>
    </cfRule>
    <cfRule type="cellIs" dxfId="740" priority="169" stopIfTrue="1" operator="lessThanOrEqual">
      <formula>0</formula>
    </cfRule>
  </conditionalFormatting>
  <conditionalFormatting sqref="E49:F49 E48">
    <cfRule type="cellIs" dxfId="739" priority="178" stopIfTrue="1" operator="lessThan">
      <formula>96.5</formula>
    </cfRule>
  </conditionalFormatting>
  <conditionalFormatting sqref="F10:F20">
    <cfRule type="cellIs" dxfId="738" priority="24" operator="greaterThan">
      <formula>60</formula>
    </cfRule>
  </conditionalFormatting>
  <conditionalFormatting sqref="F49">
    <cfRule type="cellIs" dxfId="737" priority="195" stopIfTrue="1" operator="greaterThan">
      <formula>100</formula>
    </cfRule>
    <cfRule type="cellIs" dxfId="736" priority="194" stopIfTrue="1" operator="lessThan">
      <formula>96.8</formula>
    </cfRule>
  </conditionalFormatting>
  <conditionalFormatting sqref="G12:G19">
    <cfRule type="expression" dxfId="735" priority="10">
      <formula>IF(+(IF(G12&lt;S12,0,IF(G12&gt;T12,0,1)))=0,1)</formula>
    </cfRule>
  </conditionalFormatting>
  <conditionalFormatting sqref="G65:G68 F74">
    <cfRule type="cellIs" dxfId="734" priority="56" stopIfTrue="1" operator="greaterThan">
      <formula>$F65</formula>
    </cfRule>
    <cfRule type="cellIs" dxfId="733" priority="57" stopIfTrue="1" operator="lessThanOrEqual">
      <formula>0</formula>
    </cfRule>
  </conditionalFormatting>
  <conditionalFormatting sqref="G67:G68">
    <cfRule type="cellIs" dxfId="732" priority="42" stopIfTrue="1" operator="greaterThan">
      <formula>$F67</formula>
    </cfRule>
    <cfRule type="cellIs" dxfId="731" priority="43" stopIfTrue="1" operator="lessThanOrEqual">
      <formula>0</formula>
    </cfRule>
  </conditionalFormatting>
  <conditionalFormatting sqref="G69:G73">
    <cfRule type="cellIs" dxfId="730" priority="58" stopIfTrue="1" operator="greaterThan">
      <formula>$J69</formula>
    </cfRule>
    <cfRule type="cellIs" dxfId="729" priority="59" stopIfTrue="1" operator="lessThanOrEqual">
      <formula>0</formula>
    </cfRule>
  </conditionalFormatting>
  <conditionalFormatting sqref="G70">
    <cfRule type="cellIs" dxfId="728" priority="203" stopIfTrue="1" operator="lessThanOrEqual">
      <formula>0</formula>
    </cfRule>
    <cfRule type="cellIs" dxfId="727" priority="202" stopIfTrue="1" operator="greaterThan">
      <formula>$F65</formula>
    </cfRule>
  </conditionalFormatting>
  <conditionalFormatting sqref="G78:G83 C81 C83">
    <cfRule type="cellIs" dxfId="726" priority="192" stopIfTrue="1" operator="lessThanOrEqual">
      <formula>0</formula>
    </cfRule>
    <cfRule type="cellIs" dxfId="725" priority="191" stopIfTrue="1" operator="greaterThan">
      <formula>4.5</formula>
    </cfRule>
  </conditionalFormatting>
  <conditionalFormatting sqref="G10:H11 M10:N11 H12:H19 G20:H20">
    <cfRule type="expression" dxfId="724" priority="21">
      <formula>IF(+(IF(G10&lt;#REF!,0,IF(G10&gt;#REF!,0,1)))=0,1)</formula>
    </cfRule>
  </conditionalFormatting>
  <conditionalFormatting sqref="G77:H77">
    <cfRule type="cellIs" dxfId="723" priority="172" stopIfTrue="1" operator="greaterThan">
      <formula>$F$76</formula>
    </cfRule>
    <cfRule type="cellIs" dxfId="722" priority="173" stopIfTrue="1" operator="lessThanOrEqual">
      <formula>0</formula>
    </cfRule>
  </conditionalFormatting>
  <conditionalFormatting sqref="H34:H35 H48">
    <cfRule type="cellIs" dxfId="721" priority="170" stopIfTrue="1" operator="greaterThan">
      <formula>0</formula>
    </cfRule>
  </conditionalFormatting>
  <conditionalFormatting sqref="H52">
    <cfRule type="cellIs" dxfId="720" priority="61" stopIfTrue="1" operator="lessThanOrEqual">
      <formula>0</formula>
    </cfRule>
    <cfRule type="cellIs" dxfId="719" priority="70" stopIfTrue="1" operator="greaterThan">
      <formula>$F$68</formula>
    </cfRule>
    <cfRule type="cellIs" dxfId="718" priority="71" stopIfTrue="1" operator="lessThanOrEqual">
      <formula>0</formula>
    </cfRule>
    <cfRule type="cellIs" dxfId="717" priority="72" stopIfTrue="1" operator="greaterThan">
      <formula>$F$66</formula>
    </cfRule>
    <cfRule type="cellIs" dxfId="716" priority="62" stopIfTrue="1" operator="greaterThan">
      <formula>$F$65</formula>
    </cfRule>
  </conditionalFormatting>
  <conditionalFormatting sqref="H52:H53">
    <cfRule type="cellIs" dxfId="715" priority="73" stopIfTrue="1" operator="lessThanOrEqual">
      <formula>0</formula>
    </cfRule>
  </conditionalFormatting>
  <conditionalFormatting sqref="H53 H55:H56">
    <cfRule type="cellIs" dxfId="714" priority="100" stopIfTrue="1" operator="lessThanOrEqual">
      <formula>0</formula>
    </cfRule>
  </conditionalFormatting>
  <conditionalFormatting sqref="H53">
    <cfRule type="cellIs" dxfId="713" priority="98" stopIfTrue="1" operator="lessThanOrEqual">
      <formula>0</formula>
    </cfRule>
    <cfRule type="cellIs" dxfId="712" priority="99" stopIfTrue="1" operator="greaterThan">
      <formula>$F$66</formula>
    </cfRule>
    <cfRule type="cellIs" dxfId="711" priority="97" stopIfTrue="1" operator="greaterThan">
      <formula>$F$68</formula>
    </cfRule>
    <cfRule type="cellIs" dxfId="710" priority="89" stopIfTrue="1" operator="greaterThan">
      <formula>$F$65</formula>
    </cfRule>
  </conditionalFormatting>
  <conditionalFormatting sqref="H54">
    <cfRule type="cellIs" dxfId="709" priority="40" stopIfTrue="1" operator="lessThanOrEqual">
      <formula>0</formula>
    </cfRule>
    <cfRule type="cellIs" dxfId="708" priority="39" stopIfTrue="1" operator="greaterThan">
      <formula>$F$68</formula>
    </cfRule>
    <cfRule type="cellIs" dxfId="707" priority="37" stopIfTrue="1" operator="greaterThan">
      <formula>$F$70</formula>
    </cfRule>
    <cfRule type="cellIs" dxfId="706" priority="29" stopIfTrue="1" operator="greaterThan">
      <formula>$F$67</formula>
    </cfRule>
    <cfRule type="cellIs" dxfId="705" priority="28" stopIfTrue="1" operator="lessThanOrEqual">
      <formula>0</formula>
    </cfRule>
    <cfRule type="cellIs" dxfId="704" priority="38" stopIfTrue="1" operator="lessThanOrEqual">
      <formula>0</formula>
    </cfRule>
  </conditionalFormatting>
  <conditionalFormatting sqref="H55:H56">
    <cfRule type="cellIs" dxfId="703" priority="113" stopIfTrue="1" operator="lessThanOrEqual">
      <formula>0</formula>
    </cfRule>
    <cfRule type="cellIs" dxfId="702" priority="112" stopIfTrue="1" operator="greaterThan">
      <formula>$F$66</formula>
    </cfRule>
    <cfRule type="cellIs" dxfId="701" priority="111" stopIfTrue="1" operator="lessThanOrEqual">
      <formula>0</formula>
    </cfRule>
    <cfRule type="cellIs" dxfId="700" priority="110" stopIfTrue="1" operator="greaterThan">
      <formula>$F$68</formula>
    </cfRule>
    <cfRule type="cellIs" dxfId="699" priority="102" stopIfTrue="1" operator="greaterThan">
      <formula>$F$65</formula>
    </cfRule>
  </conditionalFormatting>
  <conditionalFormatting sqref="H57:H58">
    <cfRule type="cellIs" dxfId="698" priority="146" stopIfTrue="1" operator="greaterThan">
      <formula>#REF!</formula>
    </cfRule>
    <cfRule type="cellIs" dxfId="697" priority="147" stopIfTrue="1" operator="lessThanOrEqual">
      <formula>0</formula>
    </cfRule>
    <cfRule type="cellIs" dxfId="696" priority="137" stopIfTrue="1" operator="lessThanOrEqual">
      <formula>0</formula>
    </cfRule>
    <cfRule type="cellIs" dxfId="695" priority="138" stopIfTrue="1" operator="greaterThan">
      <formula>#REF!</formula>
    </cfRule>
  </conditionalFormatting>
  <conditionalFormatting sqref="H59">
    <cfRule type="cellIs" dxfId="694" priority="149" stopIfTrue="1" operator="lessThanOrEqual">
      <formula>0</formula>
    </cfRule>
    <cfRule type="cellIs" dxfId="693" priority="150" stopIfTrue="1" operator="greaterThan">
      <formula>$F$33</formula>
    </cfRule>
    <cfRule type="cellIs" dxfId="692" priority="158" stopIfTrue="1" operator="greaterThan">
      <formula>$F$36</formula>
    </cfRule>
    <cfRule type="cellIs" dxfId="691" priority="159" stopIfTrue="1" operator="lessThanOrEqual">
      <formula>0</formula>
    </cfRule>
    <cfRule type="cellIs" dxfId="690" priority="160" stopIfTrue="1" operator="greaterThan">
      <formula>$F$34</formula>
    </cfRule>
    <cfRule type="cellIs" dxfId="689" priority="161" stopIfTrue="1" operator="lessThanOrEqual">
      <formula>0</formula>
    </cfRule>
  </conditionalFormatting>
  <conditionalFormatting sqref="H60:H61">
    <cfRule type="cellIs" dxfId="688" priority="134" stopIfTrue="1" operator="greaterThan">
      <formula>#REF!</formula>
    </cfRule>
    <cfRule type="cellIs" dxfId="687" priority="125" stopIfTrue="1" operator="lessThanOrEqual">
      <formula>0</formula>
    </cfRule>
    <cfRule type="cellIs" dxfId="686" priority="135" stopIfTrue="1" operator="lessThanOrEqual">
      <formula>0</formula>
    </cfRule>
    <cfRule type="cellIs" dxfId="685" priority="126" stopIfTrue="1" operator="greaterThan">
      <formula>#REF!</formula>
    </cfRule>
  </conditionalFormatting>
  <conditionalFormatting sqref="H76 H78:H84">
    <cfRule type="cellIs" dxfId="684" priority="184" stopIfTrue="1" operator="greaterThan">
      <formula>4.5</formula>
    </cfRule>
    <cfRule type="cellIs" dxfId="683" priority="185" stopIfTrue="1" operator="lessThanOrEqual">
      <formula>0</formula>
    </cfRule>
  </conditionalFormatting>
  <conditionalFormatting sqref="H52:I52">
    <cfRule type="cellIs" dxfId="682" priority="63" stopIfTrue="1" operator="lessThanOrEqual">
      <formula>0</formula>
    </cfRule>
  </conditionalFormatting>
  <conditionalFormatting sqref="H52:I53 H55:I56">
    <cfRule type="cellIs" dxfId="681" priority="60" stopIfTrue="1" operator="greaterThan">
      <formula>$F$67</formula>
    </cfRule>
  </conditionalFormatting>
  <conditionalFormatting sqref="H53:I53">
    <cfRule type="cellIs" dxfId="680" priority="90" stopIfTrue="1" operator="lessThanOrEqual">
      <formula>0</formula>
    </cfRule>
  </conditionalFormatting>
  <conditionalFormatting sqref="H54:I54">
    <cfRule type="cellIs" dxfId="679" priority="30" stopIfTrue="1" operator="lessThanOrEqual">
      <formula>0</formula>
    </cfRule>
    <cfRule type="cellIs" dxfId="678" priority="27" stopIfTrue="1" operator="greaterThan">
      <formula>$F$69</formula>
    </cfRule>
  </conditionalFormatting>
  <conditionalFormatting sqref="H55:I56">
    <cfRule type="cellIs" dxfId="677" priority="103" stopIfTrue="1" operator="lessThanOrEqual">
      <formula>0</formula>
    </cfRule>
  </conditionalFormatting>
  <conditionalFormatting sqref="H57:I58">
    <cfRule type="cellIs" dxfId="676" priority="145" stopIfTrue="1" operator="lessThanOrEqual">
      <formula>0</formula>
    </cfRule>
    <cfRule type="cellIs" dxfId="675" priority="144" stopIfTrue="1" operator="greaterThan">
      <formula>#REF!</formula>
    </cfRule>
    <cfRule type="cellIs" dxfId="674" priority="139" stopIfTrue="1" operator="lessThanOrEqual">
      <formula>0</formula>
    </cfRule>
    <cfRule type="cellIs" dxfId="673" priority="136" stopIfTrue="1" operator="greaterThan">
      <formula>#REF!</formula>
    </cfRule>
  </conditionalFormatting>
  <conditionalFormatting sqref="H59:I59">
    <cfRule type="cellIs" dxfId="672" priority="148" stopIfTrue="1" operator="greaterThan">
      <formula>$F$35</formula>
    </cfRule>
    <cfRule type="cellIs" dxfId="671" priority="151" stopIfTrue="1" operator="lessThanOrEqual">
      <formula>0</formula>
    </cfRule>
  </conditionalFormatting>
  <conditionalFormatting sqref="H60:I61">
    <cfRule type="cellIs" dxfId="670" priority="124" stopIfTrue="1" operator="greaterThan">
      <formula>#REF!</formula>
    </cfRule>
    <cfRule type="cellIs" dxfId="669" priority="127" stopIfTrue="1" operator="lessThanOrEqual">
      <formula>0</formula>
    </cfRule>
    <cfRule type="cellIs" dxfId="668" priority="133" stopIfTrue="1" operator="lessThanOrEqual">
      <formula>0</formula>
    </cfRule>
    <cfRule type="cellIs" dxfId="667" priority="132" stopIfTrue="1" operator="greaterThan">
      <formula>#REF!</formula>
    </cfRule>
  </conditionalFormatting>
  <conditionalFormatting sqref="H65:I72">
    <cfRule type="cellIs" dxfId="666" priority="46" stopIfTrue="1" operator="lessThanOrEqual">
      <formula>0</formula>
    </cfRule>
    <cfRule type="cellIs" dxfId="665" priority="45" stopIfTrue="1" operator="greaterThan">
      <formula>$J65</formula>
    </cfRule>
  </conditionalFormatting>
  <conditionalFormatting sqref="H73:I73">
    <cfRule type="cellIs" dxfId="664" priority="53" operator="greaterThan">
      <formula>5.3</formula>
    </cfRule>
  </conditionalFormatting>
  <conditionalFormatting sqref="H74:I74">
    <cfRule type="cellIs" dxfId="663" priority="51" stopIfTrue="1" operator="greaterThan">
      <formula>$J74</formula>
    </cfRule>
    <cfRule type="cellIs" dxfId="662" priority="52" stopIfTrue="1" operator="lessThanOrEqual">
      <formula>0</formula>
    </cfRule>
  </conditionalFormatting>
  <conditionalFormatting sqref="I52">
    <cfRule type="cellIs" dxfId="661" priority="67" stopIfTrue="1" operator="lessThanOrEqual">
      <formula>0</formula>
    </cfRule>
    <cfRule type="cellIs" dxfId="660" priority="66" stopIfTrue="1" operator="greaterThan">
      <formula>$F$67</formula>
    </cfRule>
    <cfRule type="cellIs" dxfId="659" priority="65" stopIfTrue="1" operator="lessThanOrEqual">
      <formula>0</formula>
    </cfRule>
    <cfRule type="cellIs" dxfId="658" priority="64" stopIfTrue="1" operator="greaterThan">
      <formula>$F$65</formula>
    </cfRule>
    <cfRule type="cellIs" dxfId="657" priority="69" stopIfTrue="1" operator="lessThanOrEqual">
      <formula>0</formula>
    </cfRule>
    <cfRule type="cellIs" dxfId="656" priority="68" stopIfTrue="1" operator="greaterThan">
      <formula>$F$65</formula>
    </cfRule>
  </conditionalFormatting>
  <conditionalFormatting sqref="I53">
    <cfRule type="cellIs" dxfId="655" priority="95" stopIfTrue="1" operator="greaterThan">
      <formula>$F$65</formula>
    </cfRule>
    <cfRule type="cellIs" dxfId="654" priority="94" stopIfTrue="1" operator="lessThanOrEqual">
      <formula>0</formula>
    </cfRule>
    <cfRule type="cellIs" dxfId="653" priority="96" stopIfTrue="1" operator="lessThanOrEqual">
      <formula>0</formula>
    </cfRule>
    <cfRule type="cellIs" dxfId="652" priority="93" stopIfTrue="1" operator="greaterThan">
      <formula>$F$67</formula>
    </cfRule>
    <cfRule type="cellIs" dxfId="651" priority="92" stopIfTrue="1" operator="lessThanOrEqual">
      <formula>0</formula>
    </cfRule>
    <cfRule type="cellIs" dxfId="650" priority="91" stopIfTrue="1" operator="greaterThan">
      <formula>$F$65</formula>
    </cfRule>
  </conditionalFormatting>
  <conditionalFormatting sqref="I54">
    <cfRule type="cellIs" dxfId="649" priority="34" stopIfTrue="1" operator="lessThanOrEqual">
      <formula>0</formula>
    </cfRule>
    <cfRule type="cellIs" dxfId="648" priority="33" stopIfTrue="1" operator="greaterThan">
      <formula>$F$69</formula>
    </cfRule>
    <cfRule type="cellIs" dxfId="647" priority="31" stopIfTrue="1" operator="greaterThan">
      <formula>$F$67</formula>
    </cfRule>
    <cfRule type="cellIs" dxfId="646" priority="36" stopIfTrue="1" operator="lessThanOrEqual">
      <formula>0</formula>
    </cfRule>
    <cfRule type="cellIs" dxfId="645" priority="32" stopIfTrue="1" operator="lessThanOrEqual">
      <formula>0</formula>
    </cfRule>
    <cfRule type="cellIs" dxfId="644" priority="35" stopIfTrue="1" operator="greaterThan">
      <formula>$F$67</formula>
    </cfRule>
  </conditionalFormatting>
  <conditionalFormatting sqref="I55:I56">
    <cfRule type="cellIs" dxfId="643" priority="107" stopIfTrue="1" operator="lessThanOrEqual">
      <formula>0</formula>
    </cfRule>
    <cfRule type="cellIs" dxfId="642" priority="106" stopIfTrue="1" operator="greaterThan">
      <formula>$F$67</formula>
    </cfRule>
    <cfRule type="cellIs" dxfId="641" priority="104" stopIfTrue="1" operator="greaterThan">
      <formula>$F$65</formula>
    </cfRule>
    <cfRule type="cellIs" dxfId="640" priority="109" stopIfTrue="1" operator="lessThanOrEqual">
      <formula>0</formula>
    </cfRule>
    <cfRule type="cellIs" dxfId="639" priority="105" stopIfTrue="1" operator="lessThanOrEqual">
      <formula>0</formula>
    </cfRule>
    <cfRule type="cellIs" dxfId="638" priority="108" stopIfTrue="1" operator="greaterThan">
      <formula>$F$65</formula>
    </cfRule>
  </conditionalFormatting>
  <conditionalFormatting sqref="I57:I58">
    <cfRule type="cellIs" dxfId="637" priority="140" stopIfTrue="1" operator="greaterThan">
      <formula>#REF!</formula>
    </cfRule>
    <cfRule type="cellIs" dxfId="636" priority="141" stopIfTrue="1" operator="lessThanOrEqual">
      <formula>0</formula>
    </cfRule>
    <cfRule type="cellIs" dxfId="635" priority="142" stopIfTrue="1" operator="greaterThan">
      <formula>#REF!</formula>
    </cfRule>
    <cfRule type="cellIs" dxfId="634" priority="143" stopIfTrue="1" operator="lessThanOrEqual">
      <formula>0</formula>
    </cfRule>
  </conditionalFormatting>
  <conditionalFormatting sqref="I59">
    <cfRule type="cellIs" dxfId="633" priority="152" stopIfTrue="1" operator="greaterThan">
      <formula>$F$33</formula>
    </cfRule>
    <cfRule type="cellIs" dxfId="632" priority="153" stopIfTrue="1" operator="lessThanOrEqual">
      <formula>0</formula>
    </cfRule>
    <cfRule type="cellIs" dxfId="631" priority="154" stopIfTrue="1" operator="greaterThan">
      <formula>$F$35</formula>
    </cfRule>
    <cfRule type="cellIs" dxfId="630" priority="155" stopIfTrue="1" operator="lessThanOrEqual">
      <formula>0</formula>
    </cfRule>
    <cfRule type="cellIs" dxfId="629" priority="157" stopIfTrue="1" operator="lessThanOrEqual">
      <formula>0</formula>
    </cfRule>
    <cfRule type="cellIs" dxfId="628" priority="156" stopIfTrue="1" operator="greaterThan">
      <formula>$F$33</formula>
    </cfRule>
  </conditionalFormatting>
  <conditionalFormatting sqref="I60:I61">
    <cfRule type="cellIs" dxfId="627" priority="128" stopIfTrue="1" operator="greaterThan">
      <formula>#REF!</formula>
    </cfRule>
    <cfRule type="cellIs" dxfId="626" priority="129" stopIfTrue="1" operator="lessThanOrEqual">
      <formula>0</formula>
    </cfRule>
    <cfRule type="cellIs" dxfId="625" priority="130" stopIfTrue="1" operator="greaterThan">
      <formula>#REF!</formula>
    </cfRule>
    <cfRule type="cellIs" dxfId="624" priority="131" stopIfTrue="1" operator="lessThanOrEqual">
      <formula>0</formula>
    </cfRule>
  </conditionalFormatting>
  <conditionalFormatting sqref="I76:I84">
    <cfRule type="cellIs" dxfId="623" priority="181" stopIfTrue="1" operator="lessThanOrEqual">
      <formula>0</formula>
    </cfRule>
    <cfRule type="cellIs" dxfId="622" priority="180" stopIfTrue="1" operator="greaterThan">
      <formula>4.5</formula>
    </cfRule>
  </conditionalFormatting>
  <conditionalFormatting sqref="I10:J20">
    <cfRule type="cellIs" dxfId="621" priority="14" operator="lessThan">
      <formula>97.9</formula>
    </cfRule>
  </conditionalFormatting>
  <conditionalFormatting sqref="J23:J25">
    <cfRule type="cellIs" dxfId="620" priority="26" operator="lessThan">
      <formula>97.95</formula>
    </cfRule>
  </conditionalFormatting>
  <conditionalFormatting sqref="J25:J27">
    <cfRule type="cellIs" dxfId="619" priority="162" operator="lessThan">
      <formula>97.4</formula>
    </cfRule>
  </conditionalFormatting>
  <conditionalFormatting sqref="J28:J29">
    <cfRule type="cellIs" dxfId="618" priority="163" operator="lessThan">
      <formula>98</formula>
    </cfRule>
  </conditionalFormatting>
  <conditionalFormatting sqref="J30:J31">
    <cfRule type="cellIs" dxfId="617" priority="164" stopIfTrue="1" operator="lessThan">
      <formula>96.8</formula>
    </cfRule>
    <cfRule type="cellIs" dxfId="616" priority="165" stopIfTrue="1" operator="greaterThan">
      <formula>100</formula>
    </cfRule>
  </conditionalFormatting>
  <conditionalFormatting sqref="J30:J32">
    <cfRule type="cellIs" dxfId="615" priority="166" operator="lessThan">
      <formula>98</formula>
    </cfRule>
  </conditionalFormatting>
  <conditionalFormatting sqref="J61">
    <cfRule type="cellIs" dxfId="614" priority="118" stopIfTrue="1" operator="greaterThan">
      <formula>#REF!</formula>
    </cfRule>
    <cfRule type="cellIs" dxfId="613" priority="116" stopIfTrue="1" operator="greaterThan">
      <formula>#REF!</formula>
    </cfRule>
    <cfRule type="cellIs" dxfId="612" priority="117" stopIfTrue="1" operator="lessThanOrEqual">
      <formula>0</formula>
    </cfRule>
    <cfRule type="cellIs" dxfId="611" priority="119" stopIfTrue="1" operator="lessThanOrEqual">
      <formula>0</formula>
    </cfRule>
    <cfRule type="cellIs" dxfId="610" priority="120" stopIfTrue="1" operator="greaterThan">
      <formula>#REF!</formula>
    </cfRule>
    <cfRule type="cellIs" dxfId="609" priority="121" stopIfTrue="1" operator="lessThanOrEqual">
      <formula>0</formula>
    </cfRule>
    <cfRule type="cellIs" dxfId="608" priority="122" stopIfTrue="1" operator="greaterThan">
      <formula>#REF!</formula>
    </cfRule>
    <cfRule type="cellIs" dxfId="607" priority="123" stopIfTrue="1" operator="lessThanOrEqual">
      <formula>0</formula>
    </cfRule>
  </conditionalFormatting>
  <conditionalFormatting sqref="J74">
    <cfRule type="cellIs" dxfId="606" priority="55" stopIfTrue="1" operator="lessThanOrEqual">
      <formula>0</formula>
    </cfRule>
    <cfRule type="cellIs" dxfId="605" priority="54" stopIfTrue="1" operator="greaterThan">
      <formula>$F74</formula>
    </cfRule>
  </conditionalFormatting>
  <conditionalFormatting sqref="K10:K20">
    <cfRule type="cellIs" dxfId="604" priority="15" operator="greaterThan">
      <formula>6</formula>
    </cfRule>
    <cfRule type="cellIs" dxfId="603" priority="17" operator="greaterThan">
      <formula>6.4</formula>
    </cfRule>
    <cfRule type="cellIs" dxfId="602" priority="16" operator="lessThan">
      <formula>4</formula>
    </cfRule>
  </conditionalFormatting>
  <conditionalFormatting sqref="K52:K61">
    <cfRule type="cellIs" dxfId="601" priority="101" stopIfTrue="1" operator="lessThan">
      <formula>100%</formula>
    </cfRule>
  </conditionalFormatting>
  <conditionalFormatting sqref="K65:K73">
    <cfRule type="cellIs" dxfId="600" priority="44" stopIfTrue="1" operator="lessThan">
      <formula>100%</formula>
    </cfRule>
  </conditionalFormatting>
  <conditionalFormatting sqref="K76:K81">
    <cfRule type="cellIs" dxfId="599" priority="186" stopIfTrue="1" operator="lessThan">
      <formula>100%</formula>
    </cfRule>
  </conditionalFormatting>
  <conditionalFormatting sqref="K83:K84">
    <cfRule type="cellIs" dxfId="598" priority="193" stopIfTrue="1" operator="lessThan">
      <formula>100%</formula>
    </cfRule>
  </conditionalFormatting>
  <conditionalFormatting sqref="L10:L20">
    <cfRule type="cellIs" dxfId="597" priority="18" operator="between">
      <formula>61</formula>
      <formula>65</formula>
    </cfRule>
    <cfRule type="cellIs" dxfId="596" priority="19" operator="greaterThan">
      <formula>65</formula>
    </cfRule>
  </conditionalFormatting>
  <conditionalFormatting sqref="L23:M34">
    <cfRule type="cellIs" dxfId="595" priority="25" operator="lessThan">
      <formula>97.95</formula>
    </cfRule>
  </conditionalFormatting>
  <conditionalFormatting sqref="L38:N38">
    <cfRule type="cellIs" dxfId="594" priority="80" operator="notEqual">
      <formula>#REF!</formula>
    </cfRule>
  </conditionalFormatting>
  <conditionalFormatting sqref="L65:N74">
    <cfRule type="cellIs" dxfId="593" priority="41" stopIfTrue="1" operator="lessThan">
      <formula>100%</formula>
    </cfRule>
  </conditionalFormatting>
  <conditionalFormatting sqref="L76:N84">
    <cfRule type="cellIs" dxfId="592" priority="171" stopIfTrue="1" operator="lessThan">
      <formula>100%</formula>
    </cfRule>
  </conditionalFormatting>
  <conditionalFormatting sqref="M12:M19">
    <cfRule type="expression" dxfId="591" priority="1">
      <formula>IF(+(IF(M12&lt;U12,0,IF(M12&gt;V12,0,1)))=0,1)</formula>
    </cfRule>
  </conditionalFormatting>
  <conditionalFormatting sqref="M20:N20">
    <cfRule type="expression" dxfId="590" priority="23">
      <formula>IF(+(IF(M20&lt;#REF!,0,IF(M20&gt;#REF!,0,1)))=0,1)</formula>
    </cfRule>
  </conditionalFormatting>
  <conditionalFormatting sqref="N10:N20">
    <cfRule type="expression" dxfId="589" priority="22">
      <formula>IF(+(IF(N10&lt;W10,0,IF(N10&gt;X10,0,1)))=0,1)</formula>
    </cfRule>
  </conditionalFormatting>
  <conditionalFormatting sqref="P6">
    <cfRule type="cellIs" dxfId="588" priority="167" operator="greaterThanOrEqual">
      <formula>19</formula>
    </cfRule>
  </conditionalFormatting>
  <dataValidations count="1">
    <dataValidation type="list" allowBlank="1" showInputMessage="1" showErrorMessage="1" sqref="R8" xr:uid="{8CFDF4D8-BCF4-4B5B-9E06-42A7D6EDD186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A068-1727-4ACF-A5F0-000848D23695}">
  <sheetPr>
    <pageSetUpPr fitToPage="1"/>
  </sheetPr>
  <dimension ref="A1:BE82"/>
  <sheetViews>
    <sheetView topLeftCell="A9" zoomScale="85" zoomScaleNormal="85" workbookViewId="0">
      <selection activeCell="C17" sqref="C10:C17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12" t="s">
        <v>0</v>
      </c>
      <c r="T1" s="512"/>
      <c r="U1" s="512" t="s">
        <v>1</v>
      </c>
      <c r="V1" s="512"/>
      <c r="W1" s="512" t="s">
        <v>2</v>
      </c>
      <c r="X1" s="512"/>
      <c r="Y1" s="512" t="s">
        <v>124</v>
      </c>
      <c r="Z1" s="512"/>
    </row>
    <row r="2" spans="2:29" ht="15">
      <c r="B2" s="513" t="s">
        <v>3</v>
      </c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46262</v>
      </c>
      <c r="J4" s="398" t="s">
        <v>153</v>
      </c>
      <c r="K4" s="398"/>
      <c r="L4" s="11"/>
      <c r="M4" s="510" t="s">
        <v>8</v>
      </c>
      <c r="N4" s="511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6"/>
      <c r="D5" s="516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196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19" t="s">
        <v>18</v>
      </c>
      <c r="D8" s="519" t="s">
        <v>19</v>
      </c>
      <c r="E8" s="356" t="s">
        <v>20</v>
      </c>
      <c r="F8" s="356" t="s">
        <v>21</v>
      </c>
      <c r="G8" s="519" t="s">
        <v>22</v>
      </c>
      <c r="H8" s="520" t="s">
        <v>144</v>
      </c>
      <c r="I8" s="519" t="s">
        <v>181</v>
      </c>
      <c r="J8" s="522" t="s">
        <v>23</v>
      </c>
      <c r="K8" s="524" t="s">
        <v>142</v>
      </c>
      <c r="L8" s="526" t="s">
        <v>24</v>
      </c>
      <c r="M8" s="359" t="s">
        <v>25</v>
      </c>
      <c r="N8" s="17" t="s">
        <v>168</v>
      </c>
      <c r="O8" s="519" t="s">
        <v>155</v>
      </c>
      <c r="P8" s="514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8"/>
      <c r="C9" s="515"/>
      <c r="D9" s="515"/>
      <c r="E9" s="357" t="s">
        <v>30</v>
      </c>
      <c r="F9" s="357" t="s">
        <v>31</v>
      </c>
      <c r="G9" s="515"/>
      <c r="H9" s="521"/>
      <c r="I9" s="515"/>
      <c r="J9" s="523"/>
      <c r="K9" s="525"/>
      <c r="L9" s="527"/>
      <c r="M9" s="20" t="s">
        <v>32</v>
      </c>
      <c r="N9" s="21" t="s">
        <v>41</v>
      </c>
      <c r="O9" s="515"/>
      <c r="P9" s="515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[4]Brewhouse!$A679</f>
        <v>CA631</v>
      </c>
      <c r="D10" s="279">
        <f>[4]Brewhouse!$AF679</f>
        <v>49.3</v>
      </c>
      <c r="E10" s="279">
        <f>[4]Brewhouse!$AI679</f>
        <v>49.4</v>
      </c>
      <c r="F10" s="278">
        <f>[4]Brewhouse!$V679</f>
        <v>51</v>
      </c>
      <c r="G10" s="279">
        <f>[4]Brewhouse!AG679</f>
        <v>11.8</v>
      </c>
      <c r="H10" s="396">
        <v>11.8</v>
      </c>
      <c r="I10" s="368">
        <f>[4]Brewhouse!$AU679</f>
        <v>97.543754381397036</v>
      </c>
      <c r="J10" s="368">
        <f>[4]Brewhouse!$AV679</f>
        <v>97.632432569147824</v>
      </c>
      <c r="K10" s="281">
        <f>[4]Brewhouse!$Q679</f>
        <v>10.03703703703704</v>
      </c>
      <c r="L10" s="276">
        <f>[4]Brewhouse!$P679</f>
        <v>59</v>
      </c>
      <c r="M10" s="374">
        <f>[4]Brewhouse!$U679-[4]Brewhouse!$T679</f>
        <v>0.12777777777777782</v>
      </c>
      <c r="N10" s="370">
        <f>[4]Brewhouse!$Z679</f>
        <v>0.27083333333333337</v>
      </c>
      <c r="O10" s="420" t="str">
        <f>[4]Brewhouse!$AX679</f>
        <v>K. Benjamin</v>
      </c>
      <c r="P10" s="418"/>
      <c r="R10" s="277" t="str">
        <f t="shared" ref="R10:R42" si="0">B10</f>
        <v>CARIB</v>
      </c>
      <c r="S10" s="472">
        <f t="shared" ref="S10:S42" si="1">VLOOKUP($B10,$R$3:$X$9,2,FALSE)</f>
        <v>11.6</v>
      </c>
      <c r="T10" s="472">
        <f t="shared" ref="T10:T42" si="2">VLOOKUP($B10,$R$3:$X$9,3,FALSE)</f>
        <v>12</v>
      </c>
      <c r="U10" s="297">
        <f t="shared" ref="U10:U42" si="3">VLOOKUP($B10,$R$3:$X$9,4,FALSE)</f>
        <v>0</v>
      </c>
      <c r="V10" s="297">
        <f t="shared" ref="V10:V42" si="4">VLOOKUP($B10,$R$3:$X$9,5,FALSE)</f>
        <v>0.118055555555556</v>
      </c>
      <c r="W10" s="297">
        <f t="shared" ref="W10:W42" si="5">VLOOKUP($B10,$R$3:$X$9,6,FALSE)</f>
        <v>0.22569444444444445</v>
      </c>
      <c r="X10" s="297">
        <f t="shared" ref="X10:X42" si="6">VLOOKUP($B10,$R$3:$X$9,7,FALSE)</f>
        <v>0.2638888888888889</v>
      </c>
      <c r="Y10" s="297">
        <f t="shared" ref="Y10:Y42" si="7">VLOOKUP($B10,$R$3:$Z$9,8,FALSE)</f>
        <v>0</v>
      </c>
      <c r="Z10" s="472">
        <f t="shared" ref="Z10:Z42" si="8">VLOOKUP($B10,$R$3:$Z$9,9,FALSE)</f>
        <v>60</v>
      </c>
    </row>
    <row r="11" spans="2:29" ht="15" customHeight="1">
      <c r="B11" s="29" t="s">
        <v>6</v>
      </c>
      <c r="C11" s="366" t="str">
        <f>[4]Brewhouse!$A680</f>
        <v>CA632</v>
      </c>
      <c r="D11" s="279">
        <f>[4]Brewhouse!$AF680</f>
        <v>48.8</v>
      </c>
      <c r="E11" s="279">
        <f>[4]Brewhouse!$AI680</f>
        <v>49.6</v>
      </c>
      <c r="F11" s="278">
        <f>[4]Brewhouse!$V680</f>
        <v>52</v>
      </c>
      <c r="G11" s="279">
        <f>[4]Brewhouse!AG680</f>
        <v>11.9</v>
      </c>
      <c r="H11" s="396">
        <v>11.9</v>
      </c>
      <c r="I11" s="368">
        <f>[4]Brewhouse!$AU680</f>
        <v>99.05762276816165</v>
      </c>
      <c r="J11" s="368">
        <f>[4]Brewhouse!$AV680</f>
        <v>99.147665322951823</v>
      </c>
      <c r="K11" s="281">
        <f>[4]Brewhouse!$Q680</f>
        <v>11.127541589648803</v>
      </c>
      <c r="L11" s="276">
        <f>[4]Brewhouse!$P680</f>
        <v>60</v>
      </c>
      <c r="M11" s="374">
        <f>[4]Brewhouse!$U680-[4]Brewhouse!$T680</f>
        <v>0.10486111111111113</v>
      </c>
      <c r="N11" s="370">
        <f>[4]Brewhouse!$Z680</f>
        <v>0.25</v>
      </c>
      <c r="O11" s="420" t="str">
        <f>[4]Brewhouse!$AX680</f>
        <v>K. Benjamin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[4]Brewhouse!$A681</f>
        <v>CA633</v>
      </c>
      <c r="D12" s="279">
        <f>[4]Brewhouse!$AF681</f>
        <v>49</v>
      </c>
      <c r="E12" s="279">
        <f>[4]Brewhouse!$AI681</f>
        <v>49.7</v>
      </c>
      <c r="F12" s="278">
        <f>[4]Brewhouse!$V681</f>
        <v>57</v>
      </c>
      <c r="G12" s="279">
        <f>[4]Brewhouse!AG681</f>
        <v>11.8</v>
      </c>
      <c r="H12" s="396">
        <v>11.8</v>
      </c>
      <c r="I12" s="368">
        <f>[4]Brewhouse!$AU681</f>
        <v>98.136125359421726</v>
      </c>
      <c r="J12" s="368">
        <f>[4]Brewhouse!$AV681</f>
        <v>98.225342078677059</v>
      </c>
      <c r="K12" s="281">
        <f>[4]Brewhouse!$Q681</f>
        <v>11.497227356746762</v>
      </c>
      <c r="L12" s="276">
        <f>[4]Brewhouse!$P681</f>
        <v>60</v>
      </c>
      <c r="M12" s="374">
        <f>[4]Brewhouse!$U681-[4]Brewhouse!$T681</f>
        <v>0.10972222222222222</v>
      </c>
      <c r="N12" s="370">
        <f>[4]Brewhouse!$Z681</f>
        <v>0.24583333333333335</v>
      </c>
      <c r="O12" s="420" t="str">
        <f>[4]Brewhouse!$AX681</f>
        <v>R. Regis</v>
      </c>
      <c r="P12" s="418"/>
      <c r="R12" s="277" t="str">
        <f t="shared" ref="R12:R26" si="9">B12</f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[4]Brewhouse!$A682</f>
        <v>CA634</v>
      </c>
      <c r="D13" s="279">
        <f>[4]Brewhouse!$AF682</f>
        <v>48.8</v>
      </c>
      <c r="E13" s="279">
        <f>[4]Brewhouse!$AI682</f>
        <v>49.6</v>
      </c>
      <c r="F13" s="278">
        <f>[4]Brewhouse!$V682</f>
        <v>55</v>
      </c>
      <c r="G13" s="279">
        <f>[4]Brewhouse!AG682</f>
        <v>11.8</v>
      </c>
      <c r="H13" s="396">
        <v>11.8</v>
      </c>
      <c r="I13" s="368">
        <f>[4]Brewhouse!$AU682</f>
        <v>98.060390142903103</v>
      </c>
      <c r="J13" s="368">
        <f>[4]Brewhouse!$AV682</f>
        <v>98.14953212327913</v>
      </c>
      <c r="K13" s="281">
        <f>[4]Brewhouse!$Q682</f>
        <v>85.064695009242158</v>
      </c>
      <c r="L13" s="276">
        <f>[4]Brewhouse!$P682</f>
        <v>63</v>
      </c>
      <c r="M13" s="374">
        <f>[4]Brewhouse!$U682-[4]Brewhouse!$T682</f>
        <v>0.11458333333333337</v>
      </c>
      <c r="N13" s="370">
        <f>[4]Brewhouse!$Z682</f>
        <v>0.25138888888888888</v>
      </c>
      <c r="O13" s="420" t="str">
        <f>[4]Brewhouse!$AX682</f>
        <v>R. Regis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[4]Brewhouse!$A683</f>
        <v>CA635</v>
      </c>
      <c r="D14" s="279">
        <f>[4]Brewhouse!$AF683</f>
        <v>49.4</v>
      </c>
      <c r="E14" s="279">
        <f>[4]Brewhouse!$AI683</f>
        <v>50.4</v>
      </c>
      <c r="F14" s="278">
        <f>[4]Brewhouse!$V683</f>
        <v>59</v>
      </c>
      <c r="G14" s="279">
        <f>[4]Brewhouse!AG683</f>
        <v>12</v>
      </c>
      <c r="H14" s="396">
        <v>12</v>
      </c>
      <c r="I14" s="368">
        <f>[4]Brewhouse!$AU683</f>
        <v>101.67116843535777</v>
      </c>
      <c r="J14" s="368">
        <f>[4]Brewhouse!$AV683</f>
        <v>101.76358054710603</v>
      </c>
      <c r="K14" s="281">
        <f>[4]Brewhouse!$Q683</f>
        <v>11.497227356746762</v>
      </c>
      <c r="L14" s="276">
        <f>[4]Brewhouse!$P683</f>
        <v>57</v>
      </c>
      <c r="M14" s="374">
        <f>[4]Brewhouse!$U683-[4]Brewhouse!$T683</f>
        <v>0.1069444444444444</v>
      </c>
      <c r="N14" s="370">
        <f>[4]Brewhouse!$Z683</f>
        <v>0.25972222222222219</v>
      </c>
      <c r="O14" s="420" t="str">
        <f>[4]Brewhouse!$AX683</f>
        <v>R. Regis</v>
      </c>
      <c r="P14" s="418"/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[4]Brewhouse!$A684</f>
        <v>CA636</v>
      </c>
      <c r="D15" s="279">
        <f>[4]Brewhouse!$AF684</f>
        <v>48.9</v>
      </c>
      <c r="E15" s="279">
        <f>[4]Brewhouse!$AI684</f>
        <v>49.8</v>
      </c>
      <c r="F15" s="278">
        <f>[4]Brewhouse!$V684</f>
        <v>60</v>
      </c>
      <c r="G15" s="279">
        <f>[4]Brewhouse!AG684</f>
        <v>11.9</v>
      </c>
      <c r="H15" s="396">
        <v>11.9</v>
      </c>
      <c r="I15" s="368">
        <f>[4]Brewhouse!$AU684</f>
        <v>99.954575891981591</v>
      </c>
      <c r="J15" s="368">
        <f>[4]Brewhouse!$AV684</f>
        <v>100.04540955625822</v>
      </c>
      <c r="K15" s="281">
        <f>[4]Brewhouse!$Q684</f>
        <v>10.942698706099819</v>
      </c>
      <c r="L15" s="276">
        <f>[4]Brewhouse!$P684</f>
        <v>57</v>
      </c>
      <c r="M15" s="374">
        <f>[4]Brewhouse!$U684-[4]Brewhouse!$T684</f>
        <v>0.11249999999999993</v>
      </c>
      <c r="N15" s="370">
        <f>[4]Brewhouse!$Z684</f>
        <v>0.26180555555555551</v>
      </c>
      <c r="O15" s="420" t="str">
        <f>[4]Brewhouse!$AX684</f>
        <v>R. Regis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[4]Brewhouse!$A685</f>
        <v>CA637</v>
      </c>
      <c r="D16" s="279">
        <f>[4]Brewhouse!$AF685</f>
        <v>50</v>
      </c>
      <c r="E16" s="279">
        <f>[4]Brewhouse!$AI685</f>
        <v>50.6</v>
      </c>
      <c r="F16" s="278">
        <f>[4]Brewhouse!$V685</f>
        <v>83</v>
      </c>
      <c r="G16" s="279">
        <f>[4]Brewhouse!AG685</f>
        <v>11.8</v>
      </c>
      <c r="H16" s="396">
        <v>11.7</v>
      </c>
      <c r="I16" s="368">
        <f>[4]Brewhouse!$AU685</f>
        <v>100.91536339258649</v>
      </c>
      <c r="J16" s="368">
        <f>[4]Brewhouse!$AV685</f>
        <v>101.00705785692503</v>
      </c>
      <c r="K16" s="281">
        <f>[4]Brewhouse!$Q685</f>
        <v>8.7407407407407387</v>
      </c>
      <c r="L16" s="276">
        <f>[4]Brewhouse!$P685</f>
        <v>43</v>
      </c>
      <c r="M16" s="374">
        <f>[4]Brewhouse!$U685-[4]Brewhouse!$T685</f>
        <v>0.14097222222222228</v>
      </c>
      <c r="N16" s="370">
        <f>[4]Brewhouse!$Z685</f>
        <v>0.29652777777777783</v>
      </c>
      <c r="O16" s="420" t="str">
        <f>[4]Brewhouse!$AX685</f>
        <v>R. Sookram</v>
      </c>
      <c r="P16" s="418"/>
      <c r="R16" s="277" t="str">
        <f t="shared" si="9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 customHeight="1">
      <c r="B17" s="29" t="s">
        <v>6</v>
      </c>
      <c r="C17" s="366" t="str">
        <f>[4]Brewhouse!$A686</f>
        <v>CA638</v>
      </c>
      <c r="D17" s="279">
        <f>[4]Brewhouse!$AF686</f>
        <v>47.7</v>
      </c>
      <c r="E17" s="279">
        <f>[4]Brewhouse!$AI686</f>
        <v>50</v>
      </c>
      <c r="F17" s="278">
        <f>[4]Brewhouse!$V686</f>
        <v>59</v>
      </c>
      <c r="G17" s="279">
        <f>[4]Brewhouse!AG686</f>
        <v>11.8</v>
      </c>
      <c r="H17" s="396">
        <v>11.8</v>
      </c>
      <c r="I17" s="368">
        <f>[4]Brewhouse!$AU686</f>
        <v>99.843917256766318</v>
      </c>
      <c r="J17" s="368">
        <f>[4]Brewhouse!$AV686</f>
        <v>99.934632060704061</v>
      </c>
      <c r="K17" s="281">
        <f>[4]Brewhouse!$Q686</f>
        <v>12.999999999999993</v>
      </c>
      <c r="L17" s="276">
        <f>[4]Brewhouse!$P686</f>
        <v>58</v>
      </c>
      <c r="M17" s="374">
        <f>[4]Brewhouse!$U686-[4]Brewhouse!$T686</f>
        <v>0.10763888888888895</v>
      </c>
      <c r="N17" s="370">
        <f>[4]Brewhouse!$Z686</f>
        <v>0.28402777777777788</v>
      </c>
      <c r="O17" s="420" t="str">
        <f>[4]Brewhouse!$AX686</f>
        <v>R. Sookram</v>
      </c>
      <c r="P17" s="418"/>
      <c r="R17" s="277" t="str">
        <f t="shared" si="9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customHeight="1">
      <c r="B19" s="22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customHeight="1">
      <c r="B20" s="33" t="s">
        <v>9</v>
      </c>
      <c r="C20" s="366" t="str">
        <f>[3]Brewhouse!$A354</f>
        <v>ST297</v>
      </c>
      <c r="D20" s="279">
        <f>[3]Brewhouse!$AB354</f>
        <v>53</v>
      </c>
      <c r="E20" s="279">
        <f>[3]Brewhouse!$AG354</f>
        <v>48.5</v>
      </c>
      <c r="F20" s="278">
        <f>[3]Brewhouse!$V354</f>
        <v>84</v>
      </c>
      <c r="G20" s="279">
        <f>[3]Brewhouse!$AE354</f>
        <v>11.6</v>
      </c>
      <c r="H20" s="396">
        <v>11.7</v>
      </c>
      <c r="I20" s="368">
        <f>[3]Brewhouse!$AS354</f>
        <v>96.049611913783252</v>
      </c>
      <c r="J20" s="368">
        <f>[3]Brewhouse!$AT354</f>
        <v>96.122216990206041</v>
      </c>
      <c r="K20" s="281">
        <f>[3]Brewhouse!$Q354</f>
        <v>12.594339622641504</v>
      </c>
      <c r="L20" s="276">
        <f>[3]Brewhouse!$P354</f>
        <v>64</v>
      </c>
      <c r="M20" s="374">
        <f>[3]Brewhouse!$U354-[3]Brewhouse!$T354</f>
        <v>0.12777777777777777</v>
      </c>
      <c r="N20" s="370">
        <f>[3]Brewhouse!$AW354</f>
        <v>0.2680555555555556</v>
      </c>
      <c r="O20" s="420" t="str">
        <f>[3]Brewhouse!$AV354</f>
        <v>R.Sookram</v>
      </c>
      <c r="P20" s="418"/>
      <c r="R20" s="277" t="str">
        <f t="shared" si="9"/>
        <v>STAG</v>
      </c>
      <c r="S20" s="472">
        <f t="shared" si="1"/>
        <v>11.6</v>
      </c>
      <c r="T20" s="472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472">
        <f t="shared" si="8"/>
        <v>60</v>
      </c>
    </row>
    <row r="21" spans="1:26" ht="15" customHeight="1">
      <c r="B21" s="488">
        <v>46262</v>
      </c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/>
      <c r="S21" s="472"/>
      <c r="T21" s="472"/>
      <c r="U21" s="297"/>
      <c r="V21" s="297"/>
      <c r="W21" s="297"/>
      <c r="X21" s="297"/>
      <c r="Y21" s="297"/>
      <c r="Z21" s="472"/>
    </row>
    <row r="22" spans="1:26" ht="15" customHeight="1">
      <c r="B22" s="33" t="s">
        <v>9</v>
      </c>
      <c r="C22" s="366" t="str">
        <f>[3]Brewhouse!$A355</f>
        <v>ST298</v>
      </c>
      <c r="D22" s="279">
        <f>[3]Brewhouse!$AB355</f>
        <v>53</v>
      </c>
      <c r="E22" s="279">
        <f>[3]Brewhouse!$AG355</f>
        <v>48.5</v>
      </c>
      <c r="F22" s="278">
        <f>[3]Brewhouse!$V355</f>
        <v>53</v>
      </c>
      <c r="G22" s="279">
        <f>[3]Brewhouse!$AE355</f>
        <v>11.9</v>
      </c>
      <c r="H22" s="396">
        <v>11.9</v>
      </c>
      <c r="I22" s="368">
        <f>[3]Brewhouse!$AS355</f>
        <v>96.944463047798635</v>
      </c>
      <c r="J22" s="368">
        <f>[3]Brewhouse!$AT355</f>
        <v>97.01808510617785</v>
      </c>
      <c r="K22" s="281">
        <f>[3]Brewhouse!$Q355</f>
        <v>12.783018867924525</v>
      </c>
      <c r="L22" s="276">
        <f>[3]Brewhouse!$P355</f>
        <v>58</v>
      </c>
      <c r="M22" s="374">
        <f>[3]Brewhouse!$U355-[3]Brewhouse!$T355</f>
        <v>0.12777777777777777</v>
      </c>
      <c r="N22" s="370">
        <f>[3]Brewhouse!$AW355</f>
        <v>0.26736111111111116</v>
      </c>
      <c r="O22" s="420" t="str">
        <f>[3]Brewhouse!$AV355</f>
        <v>K. Benjamin</v>
      </c>
      <c r="P22" s="418"/>
      <c r="R22" s="277" t="str">
        <f t="shared" si="9"/>
        <v>STAG</v>
      </c>
      <c r="S22" s="472">
        <f t="shared" si="1"/>
        <v>11.6</v>
      </c>
      <c r="T22" s="472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472">
        <f t="shared" si="8"/>
        <v>60</v>
      </c>
    </row>
    <row r="23" spans="1:26" ht="15" hidden="1" customHeight="1">
      <c r="B23" s="22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5" hidden="1" customHeight="1">
      <c r="B24" s="22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371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5" hidden="1" customHeight="1">
      <c r="B25" s="22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371"/>
      <c r="P25" s="418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5" hidden="1" customHeight="1">
      <c r="B26" s="22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74"/>
      <c r="N26" s="370"/>
      <c r="O26" s="371"/>
      <c r="P26" s="418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5" customHeight="1">
      <c r="B27" s="22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74"/>
      <c r="N27" s="370"/>
      <c r="O27" s="371"/>
      <c r="P27" s="418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5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420"/>
      <c r="P28" s="418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7.25" customHeight="1" thickBot="1">
      <c r="B29" s="358"/>
      <c r="C29" s="358"/>
      <c r="D29" s="358"/>
      <c r="E29" s="358"/>
      <c r="F29" s="294"/>
      <c r="G29" s="294"/>
      <c r="H29" s="348"/>
      <c r="I29" s="528"/>
      <c r="J29" s="528"/>
      <c r="K29" s="528"/>
      <c r="L29" s="528"/>
      <c r="M29" s="528"/>
      <c r="N29" s="528"/>
      <c r="O29" s="1"/>
      <c r="P29" s="12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7.25" customHeight="1" thickBot="1">
      <c r="B30" s="489" t="s">
        <v>162</v>
      </c>
      <c r="C30" s="388"/>
      <c r="D30" s="529" t="s">
        <v>35</v>
      </c>
      <c r="E30" s="530"/>
      <c r="F30" s="294"/>
      <c r="G30" s="294"/>
      <c r="H30" s="348"/>
      <c r="I30" s="24" t="s">
        <v>17</v>
      </c>
      <c r="J30" s="25"/>
      <c r="K30" s="26" t="s">
        <v>138</v>
      </c>
      <c r="L30" s="25" t="s">
        <v>37</v>
      </c>
      <c r="M30" s="25" t="s">
        <v>38</v>
      </c>
      <c r="N30" s="27" t="s">
        <v>39</v>
      </c>
      <c r="O30" s="294"/>
      <c r="P30" s="12"/>
      <c r="R30" s="277" t="str">
        <f t="shared" si="0"/>
        <v xml:space="preserve">BRAND 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7.25" customHeight="1">
      <c r="A31" s="28"/>
      <c r="B31" s="531" t="str">
        <f>J48</f>
        <v>VITAMALT</v>
      </c>
      <c r="C31" s="490" cm="1">
        <f t="array" ref="C31:C38">[6]Process!$D$89:$D$96</f>
        <v>14</v>
      </c>
      <c r="D31" s="534">
        <v>16.579999999999998</v>
      </c>
      <c r="E31" s="535"/>
      <c r="F31" s="294"/>
      <c r="G31" s="294"/>
      <c r="H31" s="348"/>
      <c r="I31" s="29" t="s">
        <v>6</v>
      </c>
      <c r="J31" s="323">
        <f>AVERAGE(I10:I17)</f>
        <v>99.397864703571955</v>
      </c>
      <c r="K31" s="284">
        <f>COUNTA([4]Brewhouse!$A$595:$A$686)</f>
        <v>92</v>
      </c>
      <c r="L31" s="305">
        <f>AVERAGE([4]Brewhouse!$AU$595:$AU$686)</f>
        <v>99.076978201153608</v>
      </c>
      <c r="M31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AVERAGE([4]Brewhouse!$AU$42:$AU$123,[4]Brewhouse!$AU$125:$AU$188,[4]Brewhouse!$AU$198:$AU$290,[4]Brewhouse!$AU$292:$AU$370,[4]Brewhouse!$AU$372:$AU$439,[4]Brewhouse!$AU$441:$AU$497,[4]Brewhouse!$AU$499:$AU$519,[4]Brewhouse!$AU$521:$AU$593,[4]Brewhouse!$AU$595:$AU$686)</f>
        <v>98.301595566913605</v>
      </c>
      <c r="N31" s="30">
        <v>98</v>
      </c>
      <c r="O31" s="11"/>
      <c r="P31" s="31"/>
      <c r="R31" s="277" t="str">
        <f t="shared" si="0"/>
        <v>VITAMALT</v>
      </c>
      <c r="S31" s="472">
        <f t="shared" si="1"/>
        <v>14.2</v>
      </c>
      <c r="T31" s="472">
        <f t="shared" si="2"/>
        <v>14.6</v>
      </c>
      <c r="U31" s="297">
        <f t="shared" si="3"/>
        <v>0</v>
      </c>
      <c r="V31" s="297">
        <f t="shared" si="4"/>
        <v>0.13905092592592591</v>
      </c>
      <c r="W31" s="297">
        <f t="shared" si="5"/>
        <v>0.26041666666666669</v>
      </c>
      <c r="X31" s="297">
        <f t="shared" si="6"/>
        <v>0.2951388888888889</v>
      </c>
      <c r="Y31" s="297">
        <f t="shared" si="7"/>
        <v>0</v>
      </c>
      <c r="Z31" s="472">
        <f t="shared" si="8"/>
        <v>75</v>
      </c>
    </row>
    <row r="32" spans="1:26" ht="15" customHeight="1">
      <c r="A32" s="28"/>
      <c r="B32" s="532"/>
      <c r="C32" s="362">
        <v>14.3</v>
      </c>
      <c r="D32" s="536"/>
      <c r="E32" s="537"/>
      <c r="F32" s="294"/>
      <c r="G32" s="294"/>
      <c r="H32" s="348"/>
      <c r="I32" s="33" t="s">
        <v>9</v>
      </c>
      <c r="J32" s="323">
        <f>I20</f>
        <v>96.049611913783252</v>
      </c>
      <c r="K32" s="284">
        <f>COUNTA([3]Brewhouse!$A$327:$A$355)</f>
        <v>29</v>
      </c>
      <c r="L32" s="302">
        <f>AVERAGE([3]Brewhouse!$AS$327:$AS$355)</f>
        <v>99.33550321809858</v>
      </c>
      <c r="M32" s="302">
        <f>AVERAGE([3]Brewhouse!$AS$52:$AS$81,[3]Brewhouse!$AS$83:$AS$124,[3]Brewhouse!$AS$134:$AS$177,[3]Brewhouse!$AS$22:$AS$179,[3]Brewhouse!$AS$214:$AS$249,[3]Brewhouse!$AS$252:$AS$293,[3]Brewhouse!$AS$295:$AS$325,[3]Brewhouse!$AS$327:$AS$355)</f>
        <v>98.22853977093726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7" ht="14.65" customHeight="1">
      <c r="A33" s="28"/>
      <c r="B33" s="532"/>
      <c r="C33" s="362">
        <v>14.1</v>
      </c>
      <c r="D33" s="538">
        <v>16.29</v>
      </c>
      <c r="E33" s="539"/>
      <c r="F33" s="294"/>
      <c r="G33" s="294"/>
      <c r="H33" s="348"/>
      <c r="I33" s="34" t="s">
        <v>12</v>
      </c>
      <c r="J33" s="323"/>
      <c r="K33" s="284">
        <f>COUNTA([5]Brewhouse!$A$90:$A$97)</f>
        <v>8</v>
      </c>
      <c r="L33" s="302">
        <f>AVERAGE([5]Brewhouse!$AU$90:$AU$97)</f>
        <v>96.342250509798717</v>
      </c>
      <c r="M33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27" ht="14.65" customHeight="1">
      <c r="A34" s="28"/>
      <c r="B34" s="532"/>
      <c r="C34" s="362">
        <v>14.1</v>
      </c>
      <c r="D34" s="540"/>
      <c r="E34" s="537"/>
      <c r="F34" s="294"/>
      <c r="G34" s="294"/>
      <c r="H34" s="348"/>
      <c r="I34" s="22" t="s">
        <v>33</v>
      </c>
      <c r="J34" s="280"/>
      <c r="K34" s="284">
        <f>COUNTA([6]Brewhouse!$A$89:$A$96)</f>
        <v>8</v>
      </c>
      <c r="L34" s="302">
        <f>AVERAGE([6]Brewhouse!$AV$89:$AV$96)</f>
        <v>97.90251690920546</v>
      </c>
      <c r="M34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27" ht="14.65" customHeight="1">
      <c r="A35" s="28"/>
      <c r="B35" s="532"/>
      <c r="C35" s="362">
        <v>14.1</v>
      </c>
      <c r="D35" s="538">
        <v>16.420000000000002</v>
      </c>
      <c r="E35" s="539"/>
      <c r="F35" s="294"/>
      <c r="G35" s="294"/>
      <c r="H35" s="348"/>
      <c r="I35" s="35" t="s">
        <v>29</v>
      </c>
      <c r="J35" s="280"/>
      <c r="K35" s="284"/>
      <c r="L35" s="302"/>
      <c r="M35" s="302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27" ht="14.65" customHeight="1">
      <c r="A36" s="28"/>
      <c r="B36" s="532"/>
      <c r="C36" s="362">
        <v>14.2</v>
      </c>
      <c r="D36" s="540"/>
      <c r="E36" s="537"/>
      <c r="F36" s="417"/>
      <c r="G36" s="294"/>
      <c r="H36" s="348"/>
      <c r="I36" s="36" t="s">
        <v>15</v>
      </c>
      <c r="J36" s="323"/>
      <c r="K36" s="284"/>
      <c r="L36" s="302"/>
      <c r="M36" s="302">
        <f>AVERAGE([7]Brewhouse!$AT$4:$AT$11,[7]Brewhouse!$AT$13:$AT$16,[7]Brewhouse!$AT$18:$AT$21)</f>
        <v>91.832675391763644</v>
      </c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27" ht="14.65" customHeight="1">
      <c r="A37" s="28"/>
      <c r="B37" s="532"/>
      <c r="C37" s="362">
        <v>14.3</v>
      </c>
      <c r="D37" s="538">
        <v>16.670000000000002</v>
      </c>
      <c r="E37" s="539"/>
      <c r="F37" s="417"/>
      <c r="G37" s="294"/>
      <c r="H37" s="348"/>
      <c r="I37" s="37" t="s">
        <v>16</v>
      </c>
      <c r="J37" s="323"/>
      <c r="K37" s="284">
        <f>COUNTA([8]Brewhouse!$A$84:$A$101)</f>
        <v>18</v>
      </c>
      <c r="L37" s="302">
        <f>AVERAGE([8]Brewhouse!$AY$84:$AY$101)</f>
        <v>97.389891141895035</v>
      </c>
      <c r="M37" s="302">
        <f>AVERAGE([8]Brewhouse!$AY$5:$AY$14,[8]Brewhouse!$AY$16:$AY$23,[8]Brewhouse!$AY$42,[8]Brewhouse!$AY$44:$AY$51,[8]Brewhouse!$AY$53:$AY$64,[8]Brewhouse!$AY$66:$AY$73,[8]Brewhouse!$AY$75:$AY$82,[8]Brewhouse!$AY$84:$AY$101)</f>
        <v>97.946352432648297</v>
      </c>
      <c r="N37" s="30">
        <v>98</v>
      </c>
      <c r="O37" s="11"/>
      <c r="P37" s="31" t="s">
        <v>41</v>
      </c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1:27" ht="14.65" customHeight="1">
      <c r="A38" s="28"/>
      <c r="B38" s="532"/>
      <c r="C38" s="362">
        <v>14.3</v>
      </c>
      <c r="D38" s="540"/>
      <c r="E38" s="537"/>
      <c r="F38" s="294"/>
      <c r="G38" s="294"/>
      <c r="H38" s="348"/>
      <c r="I38" s="411" t="s">
        <v>158</v>
      </c>
      <c r="J38" s="326"/>
      <c r="K38" s="284"/>
      <c r="L38" s="305"/>
      <c r="M38" s="305"/>
      <c r="N38" s="30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</row>
    <row r="39" spans="1:27" ht="14.65" customHeight="1">
      <c r="A39" s="28"/>
      <c r="B39" s="532"/>
      <c r="C39" s="362"/>
      <c r="D39" s="538"/>
      <c r="E39" s="539"/>
      <c r="F39" s="294"/>
      <c r="G39" s="294"/>
      <c r="H39" s="348"/>
      <c r="I39" s="410" t="s">
        <v>157</v>
      </c>
      <c r="J39" s="326"/>
      <c r="K39" s="284"/>
      <c r="L39" s="305"/>
      <c r="M39" s="305"/>
      <c r="N39" s="30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27" ht="15" customHeight="1" thickBot="1">
      <c r="A40" s="28"/>
      <c r="B40" s="532"/>
      <c r="C40" s="362"/>
      <c r="D40" s="540"/>
      <c r="E40" s="537"/>
      <c r="F40" s="294"/>
      <c r="G40" s="294"/>
      <c r="H40" s="348"/>
      <c r="I40" s="406" t="s">
        <v>156</v>
      </c>
      <c r="J40" s="327"/>
      <c r="K40" s="407"/>
      <c r="L40" s="408"/>
      <c r="M40" s="408"/>
      <c r="N40" s="409">
        <v>98</v>
      </c>
      <c r="O40" s="11"/>
      <c r="P40" s="31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27" ht="15" customHeight="1" thickBot="1">
      <c r="A41" s="28"/>
      <c r="B41" s="532"/>
      <c r="C41" s="349"/>
      <c r="D41" s="534"/>
      <c r="E41" s="535"/>
      <c r="F41" s="294"/>
      <c r="G41" s="294"/>
      <c r="H41" s="348"/>
      <c r="I41" s="1"/>
      <c r="J41" s="39"/>
      <c r="K41" s="404">
        <f>SUM(K31:K40)</f>
        <v>155</v>
      </c>
      <c r="L41" s="405">
        <f>((L31*K31)+(L32*K32)+(L33*K33)+(L34*K34)+(L35*K35)+(K38*L38)+(L36*K36)+(L37*K37)+(L40*K40))/(K41)</f>
        <v>98.727663017658926</v>
      </c>
      <c r="M41" s="405">
        <f>AVERAGE('[9]Jan30th-31st'!$L$42,'[10]Feb 27th-28th'!$L$45,'[11]Mar 31st'!$L$42,'[12]Apr 30th'!$L$41,'[13]May 29th '!$L$35,'[14]June 30th'!$L$32,[15]July31st!$L$36,L41)</f>
        <v>97.993869903627754</v>
      </c>
      <c r="N41" s="40">
        <v>98</v>
      </c>
      <c r="O41" s="11"/>
      <c r="P41" s="31"/>
      <c r="R41" s="277">
        <f t="shared" si="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  <c r="AA41" s="472"/>
    </row>
    <row r="42" spans="1:27" ht="15.75" thickBot="1">
      <c r="B42" s="533"/>
      <c r="C42" s="350"/>
      <c r="D42" s="536"/>
      <c r="E42" s="537"/>
      <c r="F42" s="294"/>
      <c r="G42" s="42"/>
      <c r="H42" s="41"/>
      <c r="I42" s="42"/>
      <c r="J42" s="42"/>
      <c r="K42" s="351"/>
      <c r="L42" s="348"/>
      <c r="M42" s="348"/>
      <c r="N42" s="11"/>
      <c r="O42" s="294"/>
      <c r="P42" s="12"/>
      <c r="R42" s="277">
        <f t="shared" si="0"/>
        <v>0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  <c r="AA42" s="472"/>
    </row>
    <row r="43" spans="1:27" ht="15.75" thickBot="1">
      <c r="B43" s="541"/>
      <c r="C43" s="362"/>
      <c r="D43" s="534"/>
      <c r="E43" s="535"/>
      <c r="F43" s="294"/>
      <c r="G43" s="42"/>
      <c r="H43" s="41"/>
      <c r="I43" s="42"/>
      <c r="J43" s="544" t="s">
        <v>129</v>
      </c>
      <c r="K43" s="544"/>
      <c r="L43" s="294"/>
      <c r="M43" s="294"/>
      <c r="N43" s="294"/>
      <c r="O43" s="294"/>
      <c r="P43" s="12"/>
    </row>
    <row r="44" spans="1:27" ht="15.75" thickBot="1">
      <c r="B44" s="542"/>
      <c r="C44" s="362"/>
      <c r="D44" s="536"/>
      <c r="E44" s="537"/>
      <c r="F44" s="294"/>
      <c r="G44" s="42"/>
      <c r="H44" s="42"/>
      <c r="I44" s="42"/>
      <c r="J44" s="292" t="s">
        <v>17</v>
      </c>
      <c r="K44" s="293"/>
      <c r="L44" s="545" t="s">
        <v>136</v>
      </c>
      <c r="M44" s="545"/>
      <c r="N44" s="546"/>
      <c r="O44" s="294"/>
      <c r="P44" s="12"/>
    </row>
    <row r="45" spans="1:27" ht="15" customHeight="1" thickBot="1">
      <c r="B45" s="542"/>
      <c r="C45" s="349"/>
      <c r="D45" s="538"/>
      <c r="E45" s="539"/>
      <c r="F45" s="294"/>
      <c r="G45" s="42"/>
      <c r="H45" s="42"/>
      <c r="I45" s="42"/>
      <c r="J45" s="287" t="s">
        <v>6</v>
      </c>
      <c r="K45" s="324">
        <v>8</v>
      </c>
      <c r="L45" s="473" t="s">
        <v>37</v>
      </c>
      <c r="M45" s="474" t="s">
        <v>38</v>
      </c>
      <c r="N45" s="474" t="s">
        <v>84</v>
      </c>
      <c r="O45" s="294"/>
      <c r="P45" s="12"/>
    </row>
    <row r="46" spans="1:27" ht="15.75" customHeight="1" thickBot="1">
      <c r="B46" s="542"/>
      <c r="C46" s="349"/>
      <c r="D46" s="540"/>
      <c r="E46" s="537"/>
      <c r="F46" s="294"/>
      <c r="G46" s="42"/>
      <c r="H46" s="42"/>
      <c r="I46" s="42"/>
      <c r="J46" s="345" t="s">
        <v>9</v>
      </c>
      <c r="K46" s="324">
        <v>1</v>
      </c>
      <c r="L46" s="494">
        <f>AVERAGE(K55,'Aug 3rd '!K47,'Aug 2nd'!K52,'Aug 4th'!K47,'Aug 5th'!K51,'Aug 6th'!K51,'Aug 7th'!K51,'Aug 12th'!K51,,'Aug 13th '!K51,'Aug 14th&amp;15th'!I55,'Aug 17th '!K55,'Aug 18th'!K55,'Aug 19th '!K55,'Aug 20th '!K55,'Aug 21st-22nd'!K65,'Aug 21st-22nd'!J65,'Aug 24th'!K57,'Aug 25th '!K58,'Aug 26th'!K47)</f>
        <v>7.2</v>
      </c>
      <c r="M46" s="495">
        <f>AVERAGE('[9]Jan30th-31st'!$L$47,L46,'[10]Feb 26th '!$L$39,'[11]Mar 31st'!$L$47,'[12]Apr 30th'!$L$46,'[13]May 29th '!$L$40,'[14]June 30th'!$L$39,[15]July31st!$L$41)</f>
        <v>6.4459220127698389</v>
      </c>
      <c r="N46" s="416">
        <v>9.1999999999999993</v>
      </c>
      <c r="O46" s="294"/>
      <c r="P46" s="12"/>
    </row>
    <row r="47" spans="1:27" ht="15" customHeight="1">
      <c r="B47" s="542"/>
      <c r="C47" s="349"/>
      <c r="D47" s="538"/>
      <c r="E47" s="539"/>
      <c r="F47" s="294"/>
      <c r="G47" s="42"/>
      <c r="H47" s="42"/>
      <c r="I47" s="42"/>
      <c r="J47" s="288" t="s">
        <v>40</v>
      </c>
      <c r="K47" s="324"/>
      <c r="L47" s="294"/>
      <c r="M47" s="294"/>
      <c r="N47" s="294"/>
      <c r="O47" s="294"/>
      <c r="P47" s="12"/>
    </row>
    <row r="48" spans="1:27" ht="15" customHeight="1">
      <c r="B48" s="542"/>
      <c r="C48" s="349"/>
      <c r="D48" s="540"/>
      <c r="E48" s="537"/>
      <c r="F48" s="294"/>
      <c r="G48" s="42"/>
      <c r="H48" s="42"/>
      <c r="I48" s="42"/>
      <c r="J48" s="289" t="s">
        <v>33</v>
      </c>
      <c r="K48" s="324"/>
      <c r="L48" s="294"/>
      <c r="M48" s="294"/>
      <c r="N48" s="294"/>
      <c r="O48" s="294"/>
      <c r="P48" s="12"/>
    </row>
    <row r="49" spans="2:57" ht="15">
      <c r="B49" s="542"/>
      <c r="C49" s="349"/>
      <c r="D49" s="538"/>
      <c r="E49" s="539"/>
      <c r="F49" s="294"/>
      <c r="G49" s="42"/>
      <c r="H49" s="42"/>
      <c r="I49" s="42"/>
      <c r="J49" s="290" t="s">
        <v>16</v>
      </c>
      <c r="K49" s="324"/>
      <c r="L49" s="294"/>
      <c r="M49" s="294"/>
      <c r="N49" s="294"/>
      <c r="O49" s="294"/>
      <c r="P49" s="12"/>
      <c r="BC49" s="44"/>
      <c r="BD49" s="44"/>
    </row>
    <row r="50" spans="2:57" ht="15">
      <c r="B50" s="542"/>
      <c r="C50" s="349"/>
      <c r="D50" s="540"/>
      <c r="E50" s="537"/>
      <c r="F50" s="294"/>
      <c r="G50" s="42"/>
      <c r="H50" s="42"/>
      <c r="I50" s="42"/>
      <c r="J50" s="291" t="s">
        <v>15</v>
      </c>
      <c r="K50" s="324"/>
      <c r="L50" s="294"/>
      <c r="M50" s="294"/>
      <c r="N50" s="294"/>
      <c r="O50" s="294"/>
      <c r="P50" s="12"/>
      <c r="BC50" s="44"/>
      <c r="BD50" s="44"/>
    </row>
    <row r="51" spans="2:57" ht="15">
      <c r="B51" s="542"/>
      <c r="C51" s="349"/>
      <c r="D51" s="538"/>
      <c r="E51" s="539"/>
      <c r="F51" s="294"/>
      <c r="G51" s="42"/>
      <c r="H51" s="42"/>
      <c r="I51" s="42"/>
      <c r="J51" s="291" t="s">
        <v>149</v>
      </c>
      <c r="K51" s="324"/>
      <c r="L51" s="294"/>
      <c r="M51" s="294"/>
      <c r="N51" s="294"/>
      <c r="O51" s="294"/>
      <c r="P51" s="12"/>
      <c r="BC51" s="44"/>
      <c r="BD51" s="44"/>
    </row>
    <row r="52" spans="2:57" ht="15.75" thickBot="1">
      <c r="B52" s="543"/>
      <c r="C52" s="350"/>
      <c r="D52" s="547"/>
      <c r="E52" s="548"/>
      <c r="F52" s="294" t="s">
        <v>166</v>
      </c>
      <c r="G52" s="42"/>
      <c r="H52" s="42"/>
      <c r="I52" s="42"/>
      <c r="J52" s="291" t="s">
        <v>148</v>
      </c>
      <c r="K52" s="324"/>
      <c r="L52" s="294"/>
      <c r="M52" s="294"/>
      <c r="N52" s="294" t="s">
        <v>41</v>
      </c>
      <c r="O52" s="294"/>
      <c r="P52" s="12"/>
      <c r="BC52" s="44"/>
      <c r="BD52" s="44"/>
    </row>
    <row r="53" spans="2:57" ht="17.649999999999999" customHeight="1" thickBot="1">
      <c r="B53" s="312" t="s">
        <v>139</v>
      </c>
      <c r="C53" s="313"/>
      <c r="D53" s="549"/>
      <c r="E53" s="550"/>
      <c r="F53" s="294"/>
      <c r="J53" s="295" t="s">
        <v>134</v>
      </c>
      <c r="K53" s="324"/>
      <c r="L53" s="294"/>
      <c r="M53" s="294"/>
      <c r="N53" s="294"/>
      <c r="O53" s="294"/>
      <c r="P53" s="12"/>
      <c r="BC53" s="44"/>
      <c r="BD53" s="44"/>
    </row>
    <row r="54" spans="2:57" ht="17.649999999999999" customHeight="1">
      <c r="B54" s="363"/>
      <c r="C54" s="364"/>
      <c r="D54" s="365"/>
      <c r="E54" s="365"/>
      <c r="F54" s="294"/>
      <c r="G54" s="42"/>
      <c r="H54" s="42"/>
      <c r="I54" s="42"/>
      <c r="J54" s="295" t="s">
        <v>131</v>
      </c>
      <c r="K54" s="324"/>
      <c r="L54" s="294"/>
      <c r="M54" s="294"/>
      <c r="N54" s="294"/>
      <c r="O54" s="294"/>
      <c r="P54" s="12"/>
      <c r="BC54" s="44"/>
      <c r="BD54" s="44"/>
    </row>
    <row r="55" spans="2:57" ht="15.6" customHeight="1">
      <c r="B55" s="45"/>
      <c r="C55" s="11"/>
      <c r="D55" s="11"/>
      <c r="E55" s="46"/>
      <c r="F55" s="294"/>
      <c r="G55" s="42"/>
      <c r="H55" s="42"/>
      <c r="I55" s="42"/>
      <c r="J55" s="346" t="s">
        <v>130</v>
      </c>
      <c r="K55" s="324">
        <f>SUM(K45:K54)</f>
        <v>9</v>
      </c>
      <c r="L55" s="294"/>
      <c r="M55" s="294"/>
      <c r="N55" s="294"/>
      <c r="O55" s="294"/>
      <c r="P55" s="12"/>
    </row>
    <row r="56" spans="2:57" ht="20.25" customHeight="1">
      <c r="B56" s="15" t="s">
        <v>42</v>
      </c>
      <c r="C56" s="1" t="s">
        <v>43</v>
      </c>
      <c r="D56" s="1"/>
      <c r="E56" s="1"/>
      <c r="F56" s="294"/>
      <c r="G56" s="42"/>
      <c r="H56" s="41"/>
      <c r="I56" s="42"/>
      <c r="L56" s="42"/>
      <c r="N56" s="315"/>
      <c r="P56" s="334"/>
    </row>
    <row r="57" spans="2:57" ht="15" customHeight="1" thickBot="1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1"/>
      <c r="O57" s="48"/>
      <c r="P57" s="49"/>
    </row>
    <row r="58" spans="2:57" ht="15" customHeight="1" thickBot="1">
      <c r="B58" s="551" t="s">
        <v>17</v>
      </c>
      <c r="C58" s="551" t="s">
        <v>44</v>
      </c>
      <c r="D58" s="554" t="s">
        <v>45</v>
      </c>
      <c r="E58" s="519" t="s">
        <v>46</v>
      </c>
      <c r="F58" s="568" t="s">
        <v>47</v>
      </c>
      <c r="G58" s="563" t="s">
        <v>48</v>
      </c>
      <c r="H58" s="551" t="s">
        <v>49</v>
      </c>
      <c r="I58" s="551" t="s">
        <v>50</v>
      </c>
      <c r="J58" s="557" t="s">
        <v>28</v>
      </c>
      <c r="K58" s="517" t="s">
        <v>51</v>
      </c>
      <c r="L58" s="566" t="s">
        <v>52</v>
      </c>
      <c r="M58" s="557" t="s">
        <v>53</v>
      </c>
      <c r="N58" s="13"/>
      <c r="O58" s="13"/>
      <c r="P58" s="50"/>
    </row>
    <row r="59" spans="2:57" ht="28.5" customHeight="1" thickTop="1" thickBot="1">
      <c r="B59" s="552"/>
      <c r="C59" s="553"/>
      <c r="D59" s="555"/>
      <c r="E59" s="556"/>
      <c r="F59" s="569"/>
      <c r="G59" s="564"/>
      <c r="H59" s="552"/>
      <c r="I59" s="552"/>
      <c r="J59" s="558"/>
      <c r="K59" s="565"/>
      <c r="L59" s="567"/>
      <c r="M59" s="558"/>
      <c r="N59" s="13"/>
      <c r="O59" s="13"/>
      <c r="P59" s="50"/>
      <c r="Q59" s="355"/>
      <c r="AB59" s="475">
        <v>43474</v>
      </c>
      <c r="AC59" s="475">
        <v>43475</v>
      </c>
      <c r="AD59" s="475">
        <v>43476</v>
      </c>
      <c r="AE59" s="475">
        <v>43477</v>
      </c>
      <c r="AF59" s="475">
        <v>43478</v>
      </c>
      <c r="AG59" s="475">
        <v>43479</v>
      </c>
      <c r="AH59" s="475">
        <v>43480</v>
      </c>
      <c r="AI59" s="475">
        <v>43481</v>
      </c>
      <c r="AJ59" s="475">
        <v>43482</v>
      </c>
      <c r="AK59" s="475">
        <v>43483</v>
      </c>
      <c r="AL59" s="475">
        <v>43484</v>
      </c>
      <c r="AM59" s="475">
        <v>43485</v>
      </c>
      <c r="AN59" s="475">
        <v>43486</v>
      </c>
      <c r="AO59" s="475">
        <v>43487</v>
      </c>
      <c r="AP59" s="475">
        <v>43488</v>
      </c>
      <c r="AQ59" s="475">
        <v>43489</v>
      </c>
      <c r="AR59" s="475">
        <v>43490</v>
      </c>
      <c r="AS59" s="475">
        <v>43491</v>
      </c>
      <c r="AT59" s="475">
        <v>43492</v>
      </c>
      <c r="AU59" s="475">
        <v>43493</v>
      </c>
      <c r="AV59" s="475">
        <v>43494</v>
      </c>
      <c r="AW59" s="475">
        <v>43495</v>
      </c>
      <c r="AX59" s="475">
        <v>43496</v>
      </c>
    </row>
    <row r="60" spans="2:57" s="54" customFormat="1" ht="36.75" customHeight="1" thickBot="1">
      <c r="B60" s="508" t="str">
        <f>J48</f>
        <v>VITAMALT</v>
      </c>
      <c r="C60" s="479">
        <v>46261</v>
      </c>
      <c r="D60" s="445">
        <f>[35]August_2026!$AD$65</f>
        <v>389.09999999999997</v>
      </c>
      <c r="E60" s="443">
        <f>SUM([37]VITAMALT!$J$6:$J$13)</f>
        <v>16.399999999999999</v>
      </c>
      <c r="F60" s="444"/>
      <c r="G60" s="444">
        <f>[35]August_2026!$AD$70</f>
        <v>386.59999999999997</v>
      </c>
      <c r="H60" s="458"/>
      <c r="I60" s="458"/>
      <c r="J60" s="448" t="s">
        <v>180</v>
      </c>
      <c r="K60" s="449">
        <f>[36]August_2026!$AD$60</f>
        <v>0.67824561403508765</v>
      </c>
      <c r="L60" s="457">
        <f>(((D60+E60)-G60)/(D60+E60))*100</f>
        <v>4.6609124537607842</v>
      </c>
      <c r="M60" s="455" t="s">
        <v>171</v>
      </c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[16]January_2019!L5</f>
        <v>0</v>
      </c>
      <c r="AC60" s="57">
        <f>[16]January_2019!M5</f>
        <v>0</v>
      </c>
      <c r="AD60" s="57">
        <f>[16]January_2019!N5</f>
        <v>0</v>
      </c>
      <c r="AE60" s="57">
        <f>[16]January_2019!O5</f>
        <v>0</v>
      </c>
      <c r="AF60" s="57">
        <f>[16]January_2019!P5</f>
        <v>0</v>
      </c>
      <c r="AG60" s="57">
        <f>[16]January_2019!Q5</f>
        <v>0</v>
      </c>
      <c r="AH60" s="57">
        <f>[16]January_2019!R5</f>
        <v>0</v>
      </c>
      <c r="AI60" s="57">
        <f>[16]January_2019!S5</f>
        <v>0</v>
      </c>
      <c r="AJ60" s="57">
        <f>[16]January_2019!T5</f>
        <v>0</v>
      </c>
      <c r="AK60" s="57">
        <f>[16]January_2019!U5</f>
        <v>0</v>
      </c>
      <c r="AL60" s="57">
        <f>[16]January_2019!V5</f>
        <v>0</v>
      </c>
      <c r="AM60" s="57">
        <f>[16]January_2019!W5</f>
        <v>0</v>
      </c>
      <c r="AN60" s="57">
        <f>[16]January_2019!X5</f>
        <v>0</v>
      </c>
      <c r="AO60" s="57">
        <f>[16]January_2019!Y5</f>
        <v>0</v>
      </c>
      <c r="AP60" s="57">
        <f>[16]January_2019!Z5</f>
        <v>0</v>
      </c>
      <c r="AQ60" s="57">
        <f>[16]January_2019!AA5</f>
        <v>0</v>
      </c>
      <c r="AR60" s="57">
        <f>[16]January_2019!AB5</f>
        <v>0</v>
      </c>
      <c r="AS60" s="57">
        <f>[16]January_2019!AC5</f>
        <v>0</v>
      </c>
      <c r="AT60" s="57">
        <f>[16]January_2019!AD5</f>
        <v>0</v>
      </c>
      <c r="AU60" s="57">
        <f>[16]January_2019!AE5</f>
        <v>0</v>
      </c>
      <c r="AV60" s="57">
        <f>[16]January_2019!AF5</f>
        <v>0</v>
      </c>
      <c r="AW60" s="57">
        <f>[16]January_2019!AG5</f>
        <v>0</v>
      </c>
      <c r="AX60" s="277">
        <f>[16]January_2019!AH5</f>
        <v>0</v>
      </c>
      <c r="AY60" s="277"/>
      <c r="AZ60" s="277"/>
      <c r="BA60" s="277"/>
      <c r="BB60" s="277"/>
      <c r="BC60" s="277"/>
      <c r="BD60" s="277"/>
      <c r="BE60" s="277"/>
    </row>
    <row r="61" spans="2:57" s="54" customFormat="1" ht="14.25" customHeight="1" thickBot="1">
      <c r="B61" s="480"/>
      <c r="C61" s="479"/>
      <c r="D61" s="442"/>
      <c r="E61" s="443"/>
      <c r="F61" s="444"/>
      <c r="G61" s="445"/>
      <c r="H61" s="458"/>
      <c r="I61" s="458"/>
      <c r="J61" s="476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>
        <f>[16]January_2019!L6</f>
        <v>0</v>
      </c>
      <c r="AC61" s="57">
        <f>[16]January_2019!M6</f>
        <v>0</v>
      </c>
      <c r="AD61" s="57">
        <f>[16]January_2019!N6</f>
        <v>0</v>
      </c>
      <c r="AE61" s="57">
        <f>[16]January_2019!O6</f>
        <v>0</v>
      </c>
      <c r="AF61" s="57">
        <f>[16]January_2019!P6</f>
        <v>0</v>
      </c>
      <c r="AG61" s="57">
        <f>[16]January_2019!Q6</f>
        <v>0</v>
      </c>
      <c r="AH61" s="57">
        <f>[16]January_2019!R6</f>
        <v>0</v>
      </c>
      <c r="AI61" s="57">
        <f>[16]January_2019!S6</f>
        <v>0</v>
      </c>
      <c r="AJ61" s="57">
        <f>[16]January_2019!T6</f>
        <v>0</v>
      </c>
      <c r="AK61" s="57">
        <f>[16]January_2019!U6</f>
        <v>0</v>
      </c>
      <c r="AL61" s="57">
        <f>[16]January_2019!V6</f>
        <v>0</v>
      </c>
      <c r="AM61" s="57">
        <f>[16]January_2019!W6</f>
        <v>0</v>
      </c>
      <c r="AN61" s="57">
        <f>[16]January_2019!X6</f>
        <v>0</v>
      </c>
      <c r="AO61" s="57">
        <f>[16]January_2019!Y6</f>
        <v>0</v>
      </c>
      <c r="AP61" s="57">
        <f>[16]January_2019!Z6</f>
        <v>0</v>
      </c>
      <c r="AQ61" s="57">
        <f>[16]January_2019!AA6</f>
        <v>0</v>
      </c>
      <c r="AR61" s="57">
        <f>[16]January_2019!AB6</f>
        <v>0</v>
      </c>
      <c r="AS61" s="57">
        <f>[16]January_2019!AC6</f>
        <v>0</v>
      </c>
      <c r="AT61" s="57">
        <f>[16]January_2019!AD6</f>
        <v>0</v>
      </c>
      <c r="AU61" s="57">
        <f>[16]January_2019!AE6</f>
        <v>0</v>
      </c>
      <c r="AV61" s="57">
        <f>[16]January_2019!AF6</f>
        <v>0</v>
      </c>
      <c r="AW61" s="57">
        <f>[16]January_2019!AG6</f>
        <v>0</v>
      </c>
      <c r="AX61" s="277">
        <f>[16]January_2019!AH6</f>
        <v>0</v>
      </c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 thickBot="1">
      <c r="B62" s="456"/>
      <c r="C62" s="479"/>
      <c r="D62" s="442"/>
      <c r="E62" s="443"/>
      <c r="F62" s="444"/>
      <c r="G62" s="444"/>
      <c r="H62" s="446"/>
      <c r="I62" s="446"/>
      <c r="J62" s="476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[16]January_2019!L7</f>
        <v>285.8</v>
      </c>
      <c r="AC62" s="57">
        <f>[16]January_2019!M7</f>
        <v>508.1</v>
      </c>
      <c r="AD62" s="57">
        <f>[16]January_2019!N7</f>
        <v>0</v>
      </c>
      <c r="AE62" s="57">
        <f>[16]January_2019!O7</f>
        <v>0</v>
      </c>
      <c r="AF62" s="57">
        <f>[16]January_2019!P7</f>
        <v>109.56666666666666</v>
      </c>
      <c r="AG62" s="57">
        <f>[16]January_2019!Q7</f>
        <v>297.64999999999998</v>
      </c>
      <c r="AH62" s="57">
        <f>[16]January_2019!R7</f>
        <v>122.3</v>
      </c>
      <c r="AI62" s="57">
        <f>[16]January_2019!S7</f>
        <v>0</v>
      </c>
      <c r="AJ62" s="57">
        <f>[16]January_2019!T7</f>
        <v>294.7</v>
      </c>
      <c r="AK62" s="57">
        <f>[16]January_2019!U7</f>
        <v>280.5</v>
      </c>
      <c r="AL62" s="57">
        <f>[16]January_2019!V7</f>
        <v>0</v>
      </c>
      <c r="AM62" s="57">
        <f>[16]January_2019!W7</f>
        <v>0</v>
      </c>
      <c r="AN62" s="57">
        <f>[16]January_2019!X7</f>
        <v>188.25</v>
      </c>
      <c r="AO62" s="57">
        <f>[16]January_2019!Y7</f>
        <v>295.7</v>
      </c>
      <c r="AP62" s="57">
        <f>[16]January_2019!Z7</f>
        <v>257.8</v>
      </c>
      <c r="AQ62" s="57">
        <f>[16]January_2019!AA7</f>
        <v>291.2</v>
      </c>
      <c r="AR62" s="57">
        <f>[16]January_2019!AB7</f>
        <v>187</v>
      </c>
      <c r="AS62" s="57">
        <f>[16]January_2019!AC7</f>
        <v>0</v>
      </c>
      <c r="AT62" s="57">
        <f>[16]January_2019!AD7</f>
        <v>0</v>
      </c>
      <c r="AU62" s="57">
        <f>[16]January_2019!AE7</f>
        <v>485.1</v>
      </c>
      <c r="AV62" s="57">
        <f>[16]January_2019!AF7</f>
        <v>171.55</v>
      </c>
      <c r="AW62" s="57">
        <f>[16]January_2019!AG7</f>
        <v>423.8</v>
      </c>
      <c r="AX62" s="277">
        <f>[16]January_2019!AH7</f>
        <v>0</v>
      </c>
      <c r="AY62" s="277"/>
      <c r="AZ62" s="277"/>
      <c r="BA62" s="277"/>
      <c r="BB62" s="277"/>
      <c r="BC62" s="277"/>
      <c r="BD62" s="277"/>
      <c r="BE62" s="277"/>
    </row>
    <row r="63" spans="2:57" s="54" customFormat="1" ht="18.600000000000001" hidden="1" customHeight="1" thickBot="1">
      <c r="B63" s="478"/>
      <c r="C63" s="430"/>
      <c r="D63" s="431"/>
      <c r="E63" s="432"/>
      <c r="F63" s="433"/>
      <c r="G63" s="434"/>
      <c r="H63" s="458"/>
      <c r="I63" s="458"/>
      <c r="J63" s="451"/>
      <c r="K63" s="436"/>
      <c r="L63" s="452"/>
      <c r="M63" s="421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8.65" hidden="1" customHeight="1" thickBot="1">
      <c r="B64" s="498"/>
      <c r="C64" s="479"/>
      <c r="D64" s="442"/>
      <c r="E64" s="443"/>
      <c r="F64" s="444"/>
      <c r="G64" s="445"/>
      <c r="H64" s="458"/>
      <c r="I64" s="458"/>
      <c r="J64" s="448"/>
      <c r="K64" s="459"/>
      <c r="L64" s="457"/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15" hidden="1">
      <c r="B65" s="453"/>
      <c r="C65" s="430"/>
      <c r="D65" s="431"/>
      <c r="E65" s="432"/>
      <c r="F65" s="433"/>
      <c r="G65" s="434"/>
      <c r="H65" s="435"/>
      <c r="I65" s="450"/>
      <c r="J65" s="451"/>
      <c r="K65" s="436"/>
      <c r="L65" s="452"/>
      <c r="M65" s="421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hidden="1" customHeight="1" thickBot="1">
      <c r="B66" s="482"/>
      <c r="C66" s="479"/>
      <c r="D66" s="442"/>
      <c r="E66" s="443"/>
      <c r="F66" s="444"/>
      <c r="G66" s="445"/>
      <c r="H66" s="446"/>
      <c r="I66" s="447"/>
      <c r="J66" s="448"/>
      <c r="K66" s="449"/>
      <c r="L66" s="457"/>
      <c r="M66" s="45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16.5" hidden="1" customHeight="1" thickBot="1">
      <c r="B67" s="437"/>
      <c r="C67" s="423"/>
      <c r="D67" s="424"/>
      <c r="E67" s="425"/>
      <c r="F67" s="426"/>
      <c r="G67" s="427"/>
      <c r="H67" s="428"/>
      <c r="I67" s="438"/>
      <c r="J67" s="439"/>
      <c r="K67" s="429"/>
      <c r="L67" s="440"/>
      <c r="M67" s="422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415"/>
      <c r="AC67" s="415"/>
      <c r="AD67" s="415"/>
      <c r="AE67" s="415"/>
      <c r="AF67" s="415"/>
      <c r="AG67" s="415"/>
      <c r="AH67" s="415"/>
      <c r="AI67" s="415"/>
      <c r="AJ67" s="415"/>
      <c r="AK67" s="415"/>
      <c r="AL67" s="415"/>
      <c r="AM67" s="415"/>
      <c r="AN67" s="415"/>
      <c r="AO67" s="415"/>
      <c r="AP67" s="415"/>
      <c r="AQ67" s="415"/>
      <c r="AR67" s="415"/>
      <c r="AS67" s="415"/>
      <c r="AT67" s="415"/>
      <c r="AU67" s="415"/>
      <c r="AV67" s="415"/>
      <c r="AW67" s="415"/>
    </row>
    <row r="68" spans="2:57" s="54" customFormat="1" ht="37.15" hidden="1" customHeight="1" thickBot="1">
      <c r="B68" s="456"/>
      <c r="C68" s="441"/>
      <c r="D68" s="442"/>
      <c r="E68" s="443"/>
      <c r="F68" s="444"/>
      <c r="G68" s="445"/>
      <c r="H68" s="446"/>
      <c r="I68" s="447"/>
      <c r="J68" s="448"/>
      <c r="K68" s="449"/>
      <c r="L68" s="457"/>
      <c r="M68" s="454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37.15" customHeight="1">
      <c r="B69" s="466"/>
      <c r="C69" s="430"/>
      <c r="D69" s="460"/>
      <c r="E69" s="461"/>
      <c r="F69" s="462"/>
      <c r="G69" s="460"/>
      <c r="H69" s="463"/>
      <c r="I69" s="463"/>
      <c r="J69" s="463"/>
      <c r="K69" s="464"/>
      <c r="L69" s="465"/>
      <c r="M69" s="50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ht="18" customHeight="1" thickBot="1">
      <c r="B70" s="59"/>
      <c r="C70" s="30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 t="s">
        <v>41</v>
      </c>
      <c r="O70" s="56"/>
      <c r="P70" s="60"/>
    </row>
    <row r="71" spans="2:57" ht="15.75" thickBot="1">
      <c r="B71" s="559" t="s">
        <v>55</v>
      </c>
      <c r="C71" s="560"/>
      <c r="D71" s="560"/>
      <c r="E71" s="560"/>
      <c r="F71" s="561"/>
      <c r="G71" s="559" t="s">
        <v>56</v>
      </c>
      <c r="H71" s="560"/>
      <c r="I71" s="560"/>
      <c r="J71" s="561"/>
      <c r="K71" s="559" t="s">
        <v>51</v>
      </c>
      <c r="L71" s="560"/>
      <c r="M71" s="560"/>
      <c r="N71" s="562"/>
      <c r="O71" s="56"/>
      <c r="P71" s="50"/>
    </row>
    <row r="72" spans="2:57" ht="15">
      <c r="B72" s="61" t="s">
        <v>17</v>
      </c>
      <c r="C72" s="62" t="s">
        <v>36</v>
      </c>
      <c r="D72" s="62" t="s">
        <v>37</v>
      </c>
      <c r="E72" s="62" t="s">
        <v>38</v>
      </c>
      <c r="F72" s="63" t="s">
        <v>39</v>
      </c>
      <c r="G72" s="62" t="s">
        <v>36</v>
      </c>
      <c r="H72" s="62" t="s">
        <v>37</v>
      </c>
      <c r="I72" s="62" t="s">
        <v>38</v>
      </c>
      <c r="J72" s="63" t="s">
        <v>39</v>
      </c>
      <c r="K72" s="62"/>
      <c r="L72" s="62" t="s">
        <v>37</v>
      </c>
      <c r="M72" s="62" t="s">
        <v>38</v>
      </c>
      <c r="N72" s="63" t="s">
        <v>39</v>
      </c>
      <c r="O72" s="56"/>
      <c r="P72" s="64"/>
    </row>
    <row r="73" spans="2:57" ht="15">
      <c r="B73" s="29" t="s">
        <v>6</v>
      </c>
      <c r="C73" s="65"/>
      <c r="D73" s="76">
        <v>5.8785486254739441</v>
      </c>
      <c r="E73" s="76">
        <v>6.4209268360980332</v>
      </c>
      <c r="F73" s="66">
        <v>4.8</v>
      </c>
      <c r="G73" s="65"/>
      <c r="H73" s="477">
        <v>5.7524116160584295</v>
      </c>
      <c r="I73" s="477">
        <v>6.6518806494508196</v>
      </c>
      <c r="J73" s="66">
        <v>4.8</v>
      </c>
      <c r="K73" s="67"/>
      <c r="L73" s="194">
        <v>0.436729671400724</v>
      </c>
      <c r="M73" s="194">
        <v>0.52431533862318613</v>
      </c>
      <c r="N73" s="68">
        <v>1</v>
      </c>
      <c r="O73" s="56"/>
      <c r="P73" s="69"/>
    </row>
    <row r="74" spans="2:57" ht="15">
      <c r="B74" s="33" t="s">
        <v>9</v>
      </c>
      <c r="C74" s="65"/>
      <c r="D74" s="76">
        <v>7.5735775016350662</v>
      </c>
      <c r="E74" s="76">
        <v>5.9735660276997917</v>
      </c>
      <c r="F74" s="66">
        <v>4.8</v>
      </c>
      <c r="G74" s="65"/>
      <c r="H74" s="76">
        <v>7.2701428258065999</v>
      </c>
      <c r="I74" s="76">
        <v>5.9696748056569886</v>
      </c>
      <c r="J74" s="66">
        <v>4.8</v>
      </c>
      <c r="K74" s="67"/>
      <c r="L74" s="194">
        <v>0.67225146198830421</v>
      </c>
      <c r="M74" s="194">
        <v>0.69969789623338174</v>
      </c>
      <c r="N74" s="68">
        <v>1</v>
      </c>
      <c r="P74" s="69"/>
    </row>
    <row r="75" spans="2:57" ht="15">
      <c r="B75" s="34" t="s">
        <v>40</v>
      </c>
      <c r="C75" s="65"/>
      <c r="D75" s="76">
        <v>9.7381864623243946</v>
      </c>
      <c r="E75" s="76">
        <v>11.036329063250609</v>
      </c>
      <c r="F75" s="66">
        <v>5.5</v>
      </c>
      <c r="G75" s="65"/>
      <c r="H75" s="76">
        <v>10.372188565692998</v>
      </c>
      <c r="I75" s="76">
        <v>11.857907912244482</v>
      </c>
      <c r="J75" s="66">
        <v>5.5</v>
      </c>
      <c r="K75" s="67"/>
      <c r="L75" s="194">
        <v>0.39060428849902529</v>
      </c>
      <c r="M75" s="194">
        <v>0.35370190356844494</v>
      </c>
      <c r="N75" s="68">
        <v>1</v>
      </c>
      <c r="P75" s="69"/>
    </row>
    <row r="76" spans="2:57" ht="15">
      <c r="B76" s="22" t="s">
        <v>33</v>
      </c>
      <c r="C76" s="65">
        <f>L60</f>
        <v>4.6609124537607842</v>
      </c>
      <c r="D76" s="76">
        <v>5.8939580764488237</v>
      </c>
      <c r="E76" s="76">
        <v>4.9930818024450101</v>
      </c>
      <c r="F76" s="66">
        <v>3.3</v>
      </c>
      <c r="G76" s="65">
        <f>[35]August_2026!$AD$74</f>
        <v>3.2353327684812005</v>
      </c>
      <c r="H76" s="76">
        <v>4.4868157900994037</v>
      </c>
      <c r="I76" s="76">
        <v>5.0198262122323412</v>
      </c>
      <c r="J76" s="66">
        <v>3.3</v>
      </c>
      <c r="K76" s="67">
        <f>K60</f>
        <v>0.67824561403508765</v>
      </c>
      <c r="L76" s="194">
        <v>0.66947368421052622</v>
      </c>
      <c r="M76" s="194">
        <v>0.77831578947368429</v>
      </c>
      <c r="N76" s="68">
        <v>1</v>
      </c>
      <c r="P76" s="69"/>
    </row>
    <row r="77" spans="2:57" ht="15">
      <c r="B77" s="35" t="s">
        <v>164</v>
      </c>
      <c r="C77" s="65"/>
      <c r="D77" s="76"/>
      <c r="E77" s="76"/>
      <c r="F77" s="66">
        <v>3.3</v>
      </c>
      <c r="G77" s="282"/>
      <c r="H77" s="76"/>
      <c r="I77" s="76"/>
      <c r="J77" s="66">
        <v>3</v>
      </c>
      <c r="K77" s="67"/>
      <c r="L77" s="194"/>
      <c r="M77" s="194"/>
      <c r="N77" s="68">
        <v>1</v>
      </c>
      <c r="P77" s="69"/>
    </row>
    <row r="78" spans="2:57" ht="15">
      <c r="B78" s="36" t="s">
        <v>15</v>
      </c>
      <c r="C78" s="65"/>
      <c r="D78" s="76"/>
      <c r="E78" s="76">
        <v>6.0400197628458603</v>
      </c>
      <c r="F78" s="70">
        <v>5.5</v>
      </c>
      <c r="G78" s="65"/>
      <c r="H78" s="76"/>
      <c r="I78" s="76">
        <v>8.2405787675951316</v>
      </c>
      <c r="J78" s="66">
        <v>5.5</v>
      </c>
      <c r="K78" s="67"/>
      <c r="L78" s="194"/>
      <c r="M78" s="194">
        <v>0.78491228070175445</v>
      </c>
      <c r="N78" s="68">
        <v>1</v>
      </c>
      <c r="P78" s="69"/>
    </row>
    <row r="79" spans="2:57" ht="15">
      <c r="B79" s="37" t="s">
        <v>16</v>
      </c>
      <c r="C79" s="483"/>
      <c r="D79" s="76">
        <v>4.9879944807205456</v>
      </c>
      <c r="E79" s="76">
        <v>3.8893302476598364</v>
      </c>
      <c r="F79" s="66">
        <v>3.3</v>
      </c>
      <c r="G79" s="282"/>
      <c r="H79" s="76">
        <v>5.346203760314828</v>
      </c>
      <c r="I79" s="76">
        <v>5.0091179718082053</v>
      </c>
      <c r="J79" s="66">
        <v>3.3</v>
      </c>
      <c r="K79" s="67"/>
      <c r="L79" s="194">
        <v>1.1162280701754386</v>
      </c>
      <c r="M79" s="194">
        <v>0.92642300194931759</v>
      </c>
      <c r="N79" s="71">
        <v>1</v>
      </c>
      <c r="P79" s="69"/>
    </row>
    <row r="80" spans="2:57" ht="15.75" thickBot="1">
      <c r="B80" s="38" t="s">
        <v>163</v>
      </c>
      <c r="C80" s="65"/>
      <c r="D80" s="76"/>
      <c r="E80" s="76"/>
      <c r="F80" s="66">
        <v>7.5</v>
      </c>
      <c r="G80" s="282"/>
      <c r="H80" s="76"/>
      <c r="I80" s="76"/>
      <c r="J80" s="66">
        <v>7.5</v>
      </c>
      <c r="K80" s="67"/>
      <c r="L80" s="194"/>
      <c r="M80" s="194"/>
      <c r="N80" s="71">
        <v>1</v>
      </c>
      <c r="P80" s="69"/>
    </row>
    <row r="81" spans="2:16" ht="15.75" thickBot="1">
      <c r="B81" s="414" t="s">
        <v>161</v>
      </c>
      <c r="C81" s="65"/>
      <c r="D81" s="76"/>
      <c r="E81" s="76"/>
      <c r="F81" s="66">
        <v>4.8</v>
      </c>
      <c r="G81" s="282"/>
      <c r="H81" s="76"/>
      <c r="I81" s="76"/>
      <c r="J81" s="66">
        <v>4.8</v>
      </c>
      <c r="K81" s="67"/>
      <c r="L81" s="194"/>
      <c r="M81" s="194"/>
      <c r="N81" s="71">
        <v>1</v>
      </c>
      <c r="O81" s="74"/>
      <c r="P81" s="75"/>
    </row>
    <row r="82" spans="2:16" ht="15">
      <c r="D82" s="76">
        <v>6.397266438210532</v>
      </c>
      <c r="E82" s="76">
        <v>6.3343748106732569</v>
      </c>
      <c r="F82" s="341">
        <v>5.5</v>
      </c>
      <c r="H82" s="76">
        <v>6.3554696006669573</v>
      </c>
      <c r="I82" s="76">
        <v>6.7142370389641162</v>
      </c>
      <c r="J82" s="341">
        <v>5.5</v>
      </c>
      <c r="L82" s="194">
        <v>0.53958348251581334</v>
      </c>
      <c r="M82" s="194">
        <v>0.59798177683670051</v>
      </c>
      <c r="N82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9:N29"/>
    <mergeCell ref="D30:E30"/>
    <mergeCell ref="B31:B42"/>
    <mergeCell ref="D31:E32"/>
    <mergeCell ref="D33:E34"/>
    <mergeCell ref="D35:E36"/>
    <mergeCell ref="D37:E38"/>
    <mergeCell ref="D39:E40"/>
    <mergeCell ref="D41:E42"/>
    <mergeCell ref="B43:B52"/>
    <mergeCell ref="D43:E44"/>
    <mergeCell ref="J43:K43"/>
    <mergeCell ref="L44:N44"/>
    <mergeCell ref="D45:E46"/>
    <mergeCell ref="D47:E48"/>
    <mergeCell ref="D49:E50"/>
    <mergeCell ref="D51:E52"/>
    <mergeCell ref="D53:E53"/>
    <mergeCell ref="B58:B59"/>
    <mergeCell ref="C58:C59"/>
    <mergeCell ref="D58:D59"/>
    <mergeCell ref="E58:E59"/>
    <mergeCell ref="M58:M59"/>
    <mergeCell ref="B71:F71"/>
    <mergeCell ref="G71:J71"/>
    <mergeCell ref="K71:N71"/>
    <mergeCell ref="G58:G59"/>
    <mergeCell ref="H58:H59"/>
    <mergeCell ref="I58:I59"/>
    <mergeCell ref="J58:J59"/>
    <mergeCell ref="K58:K59"/>
    <mergeCell ref="L58:L59"/>
    <mergeCell ref="F58:F59"/>
  </mergeCells>
  <conditionalFormatting sqref="B53:B54">
    <cfRule type="cellIs" dxfId="587" priority="114" operator="notBetween">
      <formula>#REF!</formula>
      <formula>#REF!</formula>
    </cfRule>
  </conditionalFormatting>
  <conditionalFormatting sqref="C57">
    <cfRule type="cellIs" dxfId="586" priority="196" stopIfTrue="1" operator="lessThan">
      <formula>96</formula>
    </cfRule>
    <cfRule type="cellIs" dxfId="585" priority="197" stopIfTrue="1" operator="greaterThan">
      <formula>100</formula>
    </cfRule>
  </conditionalFormatting>
  <conditionalFormatting sqref="C73:C74">
    <cfRule type="cellIs" dxfId="584" priority="76" stopIfTrue="1" operator="greaterThan">
      <formula>$F73</formula>
    </cfRule>
    <cfRule type="cellIs" dxfId="583" priority="79" stopIfTrue="1" operator="lessThanOrEqual">
      <formula>0</formula>
    </cfRule>
    <cfRule type="cellIs" dxfId="582" priority="78" stopIfTrue="1" operator="greaterThan">
      <formula>$F73</formula>
    </cfRule>
    <cfRule type="cellIs" dxfId="581" priority="77" stopIfTrue="1" operator="lessThanOrEqual">
      <formula>0</formula>
    </cfRule>
  </conditionalFormatting>
  <conditionalFormatting sqref="C75:C77 C79:C81">
    <cfRule type="cellIs" dxfId="580" priority="86" stopIfTrue="1" operator="greaterThan">
      <formula>$F78</formula>
    </cfRule>
  </conditionalFormatting>
  <conditionalFormatting sqref="C75:C77">
    <cfRule type="cellIs" dxfId="579" priority="87" stopIfTrue="1" operator="lessThanOrEqual">
      <formula>0</formula>
    </cfRule>
  </conditionalFormatting>
  <conditionalFormatting sqref="C78">
    <cfRule type="cellIs" dxfId="578" priority="201" stopIfTrue="1" operator="lessThanOrEqual">
      <formula>0</formula>
    </cfRule>
    <cfRule type="cellIs" dxfId="577" priority="200" stopIfTrue="1" operator="greaterThan">
      <formula>$F73</formula>
    </cfRule>
    <cfRule type="cellIs" dxfId="576" priority="199" stopIfTrue="1" operator="lessThanOrEqual">
      <formula>0</formula>
    </cfRule>
    <cfRule type="cellIs" dxfId="575" priority="198" stopIfTrue="1" operator="greaterThan">
      <formula>$F73</formula>
    </cfRule>
  </conditionalFormatting>
  <conditionalFormatting sqref="C79:C81">
    <cfRule type="cellIs" dxfId="574" priority="88" stopIfTrue="1" operator="lessThanOrEqual">
      <formula>0</formula>
    </cfRule>
  </conditionalFormatting>
  <conditionalFormatting sqref="C84:C88">
    <cfRule type="cellIs" dxfId="573" priority="188" stopIfTrue="1" operator="lessThanOrEqual">
      <formula>0</formula>
    </cfRule>
  </conditionalFormatting>
  <conditionalFormatting sqref="C85:C88">
    <cfRule type="cellIs" dxfId="572" priority="187" stopIfTrue="1" operator="greaterThan">
      <formula>$F$84</formula>
    </cfRule>
  </conditionalFormatting>
  <conditionalFormatting sqref="C90">
    <cfRule type="cellIs" dxfId="571" priority="189" stopIfTrue="1" operator="greaterThan">
      <formula>$F$84</formula>
    </cfRule>
    <cfRule type="cellIs" dxfId="570" priority="190" stopIfTrue="1" operator="lessThanOrEqual">
      <formula>0</formula>
    </cfRule>
  </conditionalFormatting>
  <conditionalFormatting sqref="C78:D78">
    <cfRule type="cellIs" dxfId="569" priority="75" stopIfTrue="1" operator="lessThanOrEqual">
      <formula>0</formula>
    </cfRule>
    <cfRule type="cellIs" dxfId="568" priority="74" stopIfTrue="1" operator="greaterThan">
      <formula>$J78</formula>
    </cfRule>
  </conditionalFormatting>
  <conditionalFormatting sqref="C84:D84 D86:D92">
    <cfRule type="cellIs" dxfId="567" priority="182" stopIfTrue="1" operator="greaterThan">
      <formula>4.5</formula>
    </cfRule>
  </conditionalFormatting>
  <conditionalFormatting sqref="D53:D54">
    <cfRule type="cellIs" dxfId="566" priority="115" operator="notBetween">
      <formula>#REF!</formula>
      <formula>#REF!</formula>
    </cfRule>
  </conditionalFormatting>
  <conditionalFormatting sqref="D73:D77 D79:D80">
    <cfRule type="cellIs" dxfId="565" priority="85" stopIfTrue="1" operator="lessThanOrEqual">
      <formula>0</formula>
    </cfRule>
  </conditionalFormatting>
  <conditionalFormatting sqref="D73:D77 D79:D82">
    <cfRule type="cellIs" dxfId="564" priority="81" stopIfTrue="1" operator="lessThanOrEqual">
      <formula>0</formula>
    </cfRule>
    <cfRule type="cellIs" dxfId="563" priority="82" stopIfTrue="1" operator="greaterThan">
      <formula>$F73</formula>
    </cfRule>
  </conditionalFormatting>
  <conditionalFormatting sqref="D81:D82">
    <cfRule type="cellIs" dxfId="562" priority="83" stopIfTrue="1" operator="lessThanOrEqual">
      <formula>0</formula>
    </cfRule>
  </conditionalFormatting>
  <conditionalFormatting sqref="D82">
    <cfRule type="cellIs" dxfId="561" priority="84" stopIfTrue="1" operator="lessThanOrEqual">
      <formula>0</formula>
    </cfRule>
  </conditionalFormatting>
  <conditionalFormatting sqref="D84 D86:D92">
    <cfRule type="cellIs" dxfId="560" priority="183" stopIfTrue="1" operator="lessThanOrEqual">
      <formula>0</formula>
    </cfRule>
  </conditionalFormatting>
  <conditionalFormatting sqref="D85">
    <cfRule type="cellIs" dxfId="559" priority="175" stopIfTrue="1" operator="lessThanOrEqual">
      <formula>0</formula>
    </cfRule>
    <cfRule type="cellIs" dxfId="558" priority="174" stopIfTrue="1" operator="greaterThan">
      <formula>$F$84</formula>
    </cfRule>
  </conditionalFormatting>
  <conditionalFormatting sqref="E10:E28">
    <cfRule type="cellIs" dxfId="557" priority="7" operator="lessThan">
      <formula>48</formula>
    </cfRule>
  </conditionalFormatting>
  <conditionalFormatting sqref="E56 E57:F57">
    <cfRule type="cellIs" dxfId="556" priority="179" stopIfTrue="1" operator="greaterThan">
      <formula>100</formula>
    </cfRule>
  </conditionalFormatting>
  <conditionalFormatting sqref="E57">
    <cfRule type="cellIs" dxfId="555" priority="176" stopIfTrue="1" operator="lessThan">
      <formula>96.8</formula>
    </cfRule>
    <cfRule type="cellIs" dxfId="554" priority="177" stopIfTrue="1" operator="greaterThan">
      <formula>100</formula>
    </cfRule>
  </conditionalFormatting>
  <conditionalFormatting sqref="E73:E81">
    <cfRule type="cellIs" dxfId="553" priority="47" stopIfTrue="1" operator="lessThanOrEqual">
      <formula>0</formula>
    </cfRule>
  </conditionalFormatting>
  <conditionalFormatting sqref="E73:E82">
    <cfRule type="cellIs" dxfId="552" priority="48" stopIfTrue="1" operator="greaterThan">
      <formula>$F73</formula>
    </cfRule>
    <cfRule type="cellIs" dxfId="551" priority="49" stopIfTrue="1" operator="lessThanOrEqual">
      <formula>0</formula>
    </cfRule>
  </conditionalFormatting>
  <conditionalFormatting sqref="E82">
    <cfRule type="cellIs" dxfId="550" priority="50" stopIfTrue="1" operator="lessThanOrEqual">
      <formula>0</formula>
    </cfRule>
  </conditionalFormatting>
  <conditionalFormatting sqref="E84:E92">
    <cfRule type="cellIs" dxfId="549" priority="169" stopIfTrue="1" operator="lessThanOrEqual">
      <formula>0</formula>
    </cfRule>
    <cfRule type="cellIs" dxfId="548" priority="168" stopIfTrue="1" operator="greaterThan">
      <formula>4.5</formula>
    </cfRule>
  </conditionalFormatting>
  <conditionalFormatting sqref="E57:F57 E56">
    <cfRule type="cellIs" dxfId="547" priority="178" stopIfTrue="1" operator="lessThan">
      <formula>96.5</formula>
    </cfRule>
  </conditionalFormatting>
  <conditionalFormatting sqref="F10:F19 F23:F28">
    <cfRule type="cellIs" dxfId="546" priority="24" operator="greaterThan">
      <formula>60</formula>
    </cfRule>
  </conditionalFormatting>
  <conditionalFormatting sqref="F57">
    <cfRule type="cellIs" dxfId="545" priority="195" stopIfTrue="1" operator="greaterThan">
      <formula>100</formula>
    </cfRule>
    <cfRule type="cellIs" dxfId="544" priority="194" stopIfTrue="1" operator="lessThan">
      <formula>96.8</formula>
    </cfRule>
  </conditionalFormatting>
  <conditionalFormatting sqref="G19:G27">
    <cfRule type="expression" dxfId="543" priority="11">
      <formula>IF(+(IF(G19&lt;S19,0,IF(G19&gt;T19,0,1)))=0,1)</formula>
    </cfRule>
  </conditionalFormatting>
  <conditionalFormatting sqref="G73:G76 F82">
    <cfRule type="cellIs" dxfId="542" priority="56" stopIfTrue="1" operator="greaterThan">
      <formula>$F73</formula>
    </cfRule>
    <cfRule type="cellIs" dxfId="541" priority="57" stopIfTrue="1" operator="lessThanOrEqual">
      <formula>0</formula>
    </cfRule>
  </conditionalFormatting>
  <conditionalFormatting sqref="G75:G76">
    <cfRule type="cellIs" dxfId="540" priority="43" stopIfTrue="1" operator="lessThanOrEqual">
      <formula>0</formula>
    </cfRule>
    <cfRule type="cellIs" dxfId="539" priority="42" stopIfTrue="1" operator="greaterThan">
      <formula>$F75</formula>
    </cfRule>
  </conditionalFormatting>
  <conditionalFormatting sqref="G77:G81">
    <cfRule type="cellIs" dxfId="538" priority="58" stopIfTrue="1" operator="greaterThan">
      <formula>$J77</formula>
    </cfRule>
    <cfRule type="cellIs" dxfId="537" priority="59" stopIfTrue="1" operator="lessThanOrEqual">
      <formula>0</formula>
    </cfRule>
  </conditionalFormatting>
  <conditionalFormatting sqref="G78">
    <cfRule type="cellIs" dxfId="536" priority="202" stopIfTrue="1" operator="greaterThan">
      <formula>$F73</formula>
    </cfRule>
    <cfRule type="cellIs" dxfId="535" priority="203" stopIfTrue="1" operator="lessThanOrEqual">
      <formula>0</formula>
    </cfRule>
  </conditionalFormatting>
  <conditionalFormatting sqref="G86:G91 C89 C91">
    <cfRule type="cellIs" dxfId="534" priority="192" stopIfTrue="1" operator="lessThanOrEqual">
      <formula>0</formula>
    </cfRule>
    <cfRule type="cellIs" dxfId="533" priority="191" stopIfTrue="1" operator="greaterThan">
      <formula>4.5</formula>
    </cfRule>
  </conditionalFormatting>
  <conditionalFormatting sqref="G85:H85">
    <cfRule type="cellIs" dxfId="532" priority="172" stopIfTrue="1" operator="greaterThan">
      <formula>$F$84</formula>
    </cfRule>
    <cfRule type="cellIs" dxfId="531" priority="173" stopIfTrue="1" operator="lessThanOrEqual">
      <formula>0</formula>
    </cfRule>
  </conditionalFormatting>
  <conditionalFormatting sqref="H10:H27">
    <cfRule type="expression" dxfId="530" priority="10">
      <formula>IF(+(IF(H10&lt;#REF!,0,IF(H10&gt;#REF!,0,1)))=0,1)</formula>
    </cfRule>
  </conditionalFormatting>
  <conditionalFormatting sqref="H42:H43 H56">
    <cfRule type="cellIs" dxfId="529" priority="170" stopIfTrue="1" operator="greaterThan">
      <formula>0</formula>
    </cfRule>
  </conditionalFormatting>
  <conditionalFormatting sqref="H60">
    <cfRule type="cellIs" dxfId="528" priority="62" stopIfTrue="1" operator="greaterThan">
      <formula>$F$73</formula>
    </cfRule>
    <cfRule type="cellIs" dxfId="527" priority="61" stopIfTrue="1" operator="lessThanOrEqual">
      <formula>0</formula>
    </cfRule>
    <cfRule type="cellIs" dxfId="526" priority="71" stopIfTrue="1" operator="lessThanOrEqual">
      <formula>0</formula>
    </cfRule>
    <cfRule type="cellIs" dxfId="525" priority="72" stopIfTrue="1" operator="greaterThan">
      <formula>$F$74</formula>
    </cfRule>
    <cfRule type="cellIs" dxfId="524" priority="70" stopIfTrue="1" operator="greaterThan">
      <formula>$F$76</formula>
    </cfRule>
  </conditionalFormatting>
  <conditionalFormatting sqref="H60:H61">
    <cfRule type="cellIs" dxfId="523" priority="73" stopIfTrue="1" operator="lessThanOrEqual">
      <formula>0</formula>
    </cfRule>
  </conditionalFormatting>
  <conditionalFormatting sqref="H61 H63:H64">
    <cfRule type="cellIs" dxfId="522" priority="100" stopIfTrue="1" operator="lessThanOrEqual">
      <formula>0</formula>
    </cfRule>
  </conditionalFormatting>
  <conditionalFormatting sqref="H61">
    <cfRule type="cellIs" dxfId="521" priority="97" stopIfTrue="1" operator="greaterThan">
      <formula>$F$76</formula>
    </cfRule>
    <cfRule type="cellIs" dxfId="520" priority="98" stopIfTrue="1" operator="lessThanOrEqual">
      <formula>0</formula>
    </cfRule>
    <cfRule type="cellIs" dxfId="519" priority="99" stopIfTrue="1" operator="greaterThan">
      <formula>$F$74</formula>
    </cfRule>
    <cfRule type="cellIs" dxfId="518" priority="89" stopIfTrue="1" operator="greaterThan">
      <formula>$F$73</formula>
    </cfRule>
  </conditionalFormatting>
  <conditionalFormatting sqref="H62">
    <cfRule type="cellIs" dxfId="517" priority="37" stopIfTrue="1" operator="greaterThan">
      <formula>$F$78</formula>
    </cfRule>
    <cfRule type="cellIs" dxfId="516" priority="29" stopIfTrue="1" operator="greaterThan">
      <formula>$F$75</formula>
    </cfRule>
    <cfRule type="cellIs" dxfId="515" priority="38" stopIfTrue="1" operator="lessThanOrEqual">
      <formula>0</formula>
    </cfRule>
    <cfRule type="cellIs" dxfId="514" priority="39" stopIfTrue="1" operator="greaterThan">
      <formula>$F$76</formula>
    </cfRule>
    <cfRule type="cellIs" dxfId="513" priority="40" stopIfTrue="1" operator="lessThanOrEqual">
      <formula>0</formula>
    </cfRule>
    <cfRule type="cellIs" dxfId="512" priority="28" stopIfTrue="1" operator="lessThanOrEqual">
      <formula>0</formula>
    </cfRule>
  </conditionalFormatting>
  <conditionalFormatting sqref="H63:H64">
    <cfRule type="cellIs" dxfId="511" priority="113" stopIfTrue="1" operator="lessThanOrEqual">
      <formula>0</formula>
    </cfRule>
    <cfRule type="cellIs" dxfId="510" priority="111" stopIfTrue="1" operator="lessThanOrEqual">
      <formula>0</formula>
    </cfRule>
    <cfRule type="cellIs" dxfId="509" priority="112" stopIfTrue="1" operator="greaterThan">
      <formula>$F$74</formula>
    </cfRule>
    <cfRule type="cellIs" dxfId="508" priority="102" stopIfTrue="1" operator="greaterThan">
      <formula>$F$73</formula>
    </cfRule>
    <cfRule type="cellIs" dxfId="507" priority="110" stopIfTrue="1" operator="greaterThan">
      <formula>$F$76</formula>
    </cfRule>
  </conditionalFormatting>
  <conditionalFormatting sqref="H65:H66">
    <cfRule type="cellIs" dxfId="506" priority="146" stopIfTrue="1" operator="greaterThan">
      <formula>#REF!</formula>
    </cfRule>
    <cfRule type="cellIs" dxfId="505" priority="138" stopIfTrue="1" operator="greaterThan">
      <formula>#REF!</formula>
    </cfRule>
    <cfRule type="cellIs" dxfId="504" priority="137" stopIfTrue="1" operator="lessThanOrEqual">
      <formula>0</formula>
    </cfRule>
    <cfRule type="cellIs" dxfId="503" priority="147" stopIfTrue="1" operator="lessThanOrEqual">
      <formula>0</formula>
    </cfRule>
  </conditionalFormatting>
  <conditionalFormatting sqref="H67">
    <cfRule type="cellIs" dxfId="502" priority="149" stopIfTrue="1" operator="lessThanOrEqual">
      <formula>0</formula>
    </cfRule>
    <cfRule type="cellIs" dxfId="501" priority="150" stopIfTrue="1" operator="greaterThan">
      <formula>$F$41</formula>
    </cfRule>
    <cfRule type="cellIs" dxfId="500" priority="159" stopIfTrue="1" operator="lessThanOrEqual">
      <formula>0</formula>
    </cfRule>
    <cfRule type="cellIs" dxfId="499" priority="161" stopIfTrue="1" operator="lessThanOrEqual">
      <formula>0</formula>
    </cfRule>
    <cfRule type="cellIs" dxfId="498" priority="158" stopIfTrue="1" operator="greaterThan">
      <formula>$F$44</formula>
    </cfRule>
    <cfRule type="cellIs" dxfId="497" priority="160" stopIfTrue="1" operator="greaterThan">
      <formula>$F$42</formula>
    </cfRule>
  </conditionalFormatting>
  <conditionalFormatting sqref="H68:H69">
    <cfRule type="cellIs" dxfId="496" priority="135" stopIfTrue="1" operator="lessThanOrEqual">
      <formula>0</formula>
    </cfRule>
    <cfRule type="cellIs" dxfId="495" priority="134" stopIfTrue="1" operator="greaterThan">
      <formula>#REF!</formula>
    </cfRule>
    <cfRule type="cellIs" dxfId="494" priority="126" stopIfTrue="1" operator="greaterThan">
      <formula>#REF!</formula>
    </cfRule>
    <cfRule type="cellIs" dxfId="493" priority="125" stopIfTrue="1" operator="lessThanOrEqual">
      <formula>0</formula>
    </cfRule>
  </conditionalFormatting>
  <conditionalFormatting sqref="H84 H86:H92">
    <cfRule type="cellIs" dxfId="492" priority="184" stopIfTrue="1" operator="greaterThan">
      <formula>4.5</formula>
    </cfRule>
    <cfRule type="cellIs" dxfId="491" priority="185" stopIfTrue="1" operator="lessThanOrEqual">
      <formula>0</formula>
    </cfRule>
  </conditionalFormatting>
  <conditionalFormatting sqref="H60:I60">
    <cfRule type="cellIs" dxfId="490" priority="63" stopIfTrue="1" operator="lessThanOrEqual">
      <formula>0</formula>
    </cfRule>
  </conditionalFormatting>
  <conditionalFormatting sqref="H60:I61 H63:I64">
    <cfRule type="cellIs" dxfId="489" priority="60" stopIfTrue="1" operator="greaterThan">
      <formula>$F$75</formula>
    </cfRule>
  </conditionalFormatting>
  <conditionalFormatting sqref="H61:I61">
    <cfRule type="cellIs" dxfId="488" priority="90" stopIfTrue="1" operator="lessThanOrEqual">
      <formula>0</formula>
    </cfRule>
  </conditionalFormatting>
  <conditionalFormatting sqref="H62:I62">
    <cfRule type="cellIs" dxfId="487" priority="27" stopIfTrue="1" operator="greaterThan">
      <formula>$F$77</formula>
    </cfRule>
    <cfRule type="cellIs" dxfId="486" priority="30" stopIfTrue="1" operator="lessThanOrEqual">
      <formula>0</formula>
    </cfRule>
  </conditionalFormatting>
  <conditionalFormatting sqref="H63:I64">
    <cfRule type="cellIs" dxfId="485" priority="103" stopIfTrue="1" operator="lessThanOrEqual">
      <formula>0</formula>
    </cfRule>
  </conditionalFormatting>
  <conditionalFormatting sqref="H65:I66">
    <cfRule type="cellIs" dxfId="484" priority="144" stopIfTrue="1" operator="greaterThan">
      <formula>#REF!</formula>
    </cfRule>
    <cfRule type="cellIs" dxfId="483" priority="139" stopIfTrue="1" operator="lessThanOrEqual">
      <formula>0</formula>
    </cfRule>
    <cfRule type="cellIs" dxfId="482" priority="136" stopIfTrue="1" operator="greaterThan">
      <formula>#REF!</formula>
    </cfRule>
    <cfRule type="cellIs" dxfId="481" priority="145" stopIfTrue="1" operator="lessThanOrEqual">
      <formula>0</formula>
    </cfRule>
  </conditionalFormatting>
  <conditionalFormatting sqref="H67:I67">
    <cfRule type="cellIs" dxfId="480" priority="148" stopIfTrue="1" operator="greaterThan">
      <formula>$F$43</formula>
    </cfRule>
    <cfRule type="cellIs" dxfId="479" priority="151" stopIfTrue="1" operator="lessThanOrEqual">
      <formula>0</formula>
    </cfRule>
  </conditionalFormatting>
  <conditionalFormatting sqref="H68:I69">
    <cfRule type="cellIs" dxfId="478" priority="132" stopIfTrue="1" operator="greaterThan">
      <formula>#REF!</formula>
    </cfRule>
    <cfRule type="cellIs" dxfId="477" priority="127" stopIfTrue="1" operator="lessThanOrEqual">
      <formula>0</formula>
    </cfRule>
    <cfRule type="cellIs" dxfId="476" priority="133" stopIfTrue="1" operator="lessThanOrEqual">
      <formula>0</formula>
    </cfRule>
    <cfRule type="cellIs" dxfId="475" priority="124" stopIfTrue="1" operator="greaterThan">
      <formula>#REF!</formula>
    </cfRule>
  </conditionalFormatting>
  <conditionalFormatting sqref="H73:I80">
    <cfRule type="cellIs" dxfId="474" priority="46" stopIfTrue="1" operator="lessThanOrEqual">
      <formula>0</formula>
    </cfRule>
    <cfRule type="cellIs" dxfId="473" priority="45" stopIfTrue="1" operator="greaterThan">
      <formula>$J73</formula>
    </cfRule>
  </conditionalFormatting>
  <conditionalFormatting sqref="H81:I81">
    <cfRule type="cellIs" dxfId="472" priority="53" operator="greaterThan">
      <formula>5.3</formula>
    </cfRule>
  </conditionalFormatting>
  <conditionalFormatting sqref="H82:I82">
    <cfRule type="cellIs" dxfId="471" priority="51" stopIfTrue="1" operator="greaterThan">
      <formula>$J82</formula>
    </cfRule>
    <cfRule type="cellIs" dxfId="470" priority="52" stopIfTrue="1" operator="lessThanOrEqual">
      <formula>0</formula>
    </cfRule>
  </conditionalFormatting>
  <conditionalFormatting sqref="I60">
    <cfRule type="cellIs" dxfId="469" priority="64" stopIfTrue="1" operator="greaterThan">
      <formula>$F$73</formula>
    </cfRule>
    <cfRule type="cellIs" dxfId="468" priority="65" stopIfTrue="1" operator="lessThanOrEqual">
      <formula>0</formula>
    </cfRule>
    <cfRule type="cellIs" dxfId="467" priority="66" stopIfTrue="1" operator="greaterThan">
      <formula>$F$75</formula>
    </cfRule>
    <cfRule type="cellIs" dxfId="466" priority="67" stopIfTrue="1" operator="lessThanOrEqual">
      <formula>0</formula>
    </cfRule>
    <cfRule type="cellIs" dxfId="465" priority="68" stopIfTrue="1" operator="greaterThan">
      <formula>$F$73</formula>
    </cfRule>
    <cfRule type="cellIs" dxfId="464" priority="69" stopIfTrue="1" operator="lessThanOrEqual">
      <formula>0</formula>
    </cfRule>
  </conditionalFormatting>
  <conditionalFormatting sqref="I61">
    <cfRule type="cellIs" dxfId="463" priority="95" stopIfTrue="1" operator="greaterThan">
      <formula>$F$73</formula>
    </cfRule>
    <cfRule type="cellIs" dxfId="462" priority="96" stopIfTrue="1" operator="lessThanOrEqual">
      <formula>0</formula>
    </cfRule>
    <cfRule type="cellIs" dxfId="461" priority="91" stopIfTrue="1" operator="greaterThan">
      <formula>$F$73</formula>
    </cfRule>
    <cfRule type="cellIs" dxfId="460" priority="92" stopIfTrue="1" operator="lessThanOrEqual">
      <formula>0</formula>
    </cfRule>
    <cfRule type="cellIs" dxfId="459" priority="93" stopIfTrue="1" operator="greaterThan">
      <formula>$F$75</formula>
    </cfRule>
    <cfRule type="cellIs" dxfId="458" priority="94" stopIfTrue="1" operator="lessThanOrEqual">
      <formula>0</formula>
    </cfRule>
  </conditionalFormatting>
  <conditionalFormatting sqref="I62">
    <cfRule type="cellIs" dxfId="457" priority="33" stopIfTrue="1" operator="greaterThan">
      <formula>$F$77</formula>
    </cfRule>
    <cfRule type="cellIs" dxfId="456" priority="35" stopIfTrue="1" operator="greaterThan">
      <formula>$F$75</formula>
    </cfRule>
    <cfRule type="cellIs" dxfId="455" priority="36" stopIfTrue="1" operator="lessThanOrEqual">
      <formula>0</formula>
    </cfRule>
    <cfRule type="cellIs" dxfId="454" priority="34" stopIfTrue="1" operator="lessThanOrEqual">
      <formula>0</formula>
    </cfRule>
    <cfRule type="cellIs" dxfId="453" priority="31" stopIfTrue="1" operator="greaterThan">
      <formula>$F$75</formula>
    </cfRule>
    <cfRule type="cellIs" dxfId="452" priority="32" stopIfTrue="1" operator="lessThanOrEqual">
      <formula>0</formula>
    </cfRule>
  </conditionalFormatting>
  <conditionalFormatting sqref="I63:I64">
    <cfRule type="cellIs" dxfId="451" priority="108" stopIfTrue="1" operator="greaterThan">
      <formula>$F$73</formula>
    </cfRule>
    <cfRule type="cellIs" dxfId="450" priority="109" stopIfTrue="1" operator="lessThanOrEqual">
      <formula>0</formula>
    </cfRule>
    <cfRule type="cellIs" dxfId="449" priority="106" stopIfTrue="1" operator="greaterThan">
      <formula>$F$75</formula>
    </cfRule>
    <cfRule type="cellIs" dxfId="448" priority="105" stopIfTrue="1" operator="lessThanOrEqual">
      <formula>0</formula>
    </cfRule>
    <cfRule type="cellIs" dxfId="447" priority="104" stopIfTrue="1" operator="greaterThan">
      <formula>$F$73</formula>
    </cfRule>
    <cfRule type="cellIs" dxfId="446" priority="107" stopIfTrue="1" operator="lessThanOrEqual">
      <formula>0</formula>
    </cfRule>
  </conditionalFormatting>
  <conditionalFormatting sqref="I65:I66">
    <cfRule type="cellIs" dxfId="445" priority="140" stopIfTrue="1" operator="greaterThan">
      <formula>#REF!</formula>
    </cfRule>
    <cfRule type="cellIs" dxfId="444" priority="141" stopIfTrue="1" operator="lessThanOrEqual">
      <formula>0</formula>
    </cfRule>
    <cfRule type="cellIs" dxfId="443" priority="142" stopIfTrue="1" operator="greaterThan">
      <formula>#REF!</formula>
    </cfRule>
    <cfRule type="cellIs" dxfId="442" priority="143" stopIfTrue="1" operator="lessThanOrEqual">
      <formula>0</formula>
    </cfRule>
  </conditionalFormatting>
  <conditionalFormatting sqref="I67">
    <cfRule type="cellIs" dxfId="441" priority="153" stopIfTrue="1" operator="lessThanOrEqual">
      <formula>0</formula>
    </cfRule>
    <cfRule type="cellIs" dxfId="440" priority="152" stopIfTrue="1" operator="greaterThan">
      <formula>$F$41</formula>
    </cfRule>
    <cfRule type="cellIs" dxfId="439" priority="154" stopIfTrue="1" operator="greaterThan">
      <formula>$F$43</formula>
    </cfRule>
    <cfRule type="cellIs" dxfId="438" priority="156" stopIfTrue="1" operator="greaterThan">
      <formula>$F$41</formula>
    </cfRule>
    <cfRule type="cellIs" dxfId="437" priority="157" stopIfTrue="1" operator="lessThanOrEqual">
      <formula>0</formula>
    </cfRule>
    <cfRule type="cellIs" dxfId="436" priority="155" stopIfTrue="1" operator="lessThanOrEqual">
      <formula>0</formula>
    </cfRule>
  </conditionalFormatting>
  <conditionalFormatting sqref="I68:I69">
    <cfRule type="cellIs" dxfId="435" priority="130" stopIfTrue="1" operator="greaterThan">
      <formula>#REF!</formula>
    </cfRule>
    <cfRule type="cellIs" dxfId="434" priority="129" stopIfTrue="1" operator="lessThanOrEqual">
      <formula>0</formula>
    </cfRule>
    <cfRule type="cellIs" dxfId="433" priority="128" stopIfTrue="1" operator="greaterThan">
      <formula>#REF!</formula>
    </cfRule>
    <cfRule type="cellIs" dxfId="432" priority="131" stopIfTrue="1" operator="lessThanOrEqual">
      <formula>0</formula>
    </cfRule>
  </conditionalFormatting>
  <conditionalFormatting sqref="I84:I92">
    <cfRule type="cellIs" dxfId="431" priority="181" stopIfTrue="1" operator="lessThanOrEqual">
      <formula>0</formula>
    </cfRule>
    <cfRule type="cellIs" dxfId="430" priority="180" stopIfTrue="1" operator="greaterThan">
      <formula>4.5</formula>
    </cfRule>
  </conditionalFormatting>
  <conditionalFormatting sqref="I10:J28">
    <cfRule type="cellIs" dxfId="429" priority="1" operator="lessThan">
      <formula>97.9</formula>
    </cfRule>
  </conditionalFormatting>
  <conditionalFormatting sqref="J31:J33">
    <cfRule type="cellIs" dxfId="428" priority="26" operator="lessThan">
      <formula>97.95</formula>
    </cfRule>
  </conditionalFormatting>
  <conditionalFormatting sqref="J33:J35">
    <cfRule type="cellIs" dxfId="427" priority="162" operator="lessThan">
      <formula>97.4</formula>
    </cfRule>
  </conditionalFormatting>
  <conditionalFormatting sqref="J36:J37">
    <cfRule type="cellIs" dxfId="426" priority="163" operator="lessThan">
      <formula>98</formula>
    </cfRule>
  </conditionalFormatting>
  <conditionalFormatting sqref="J38:J39">
    <cfRule type="cellIs" dxfId="425" priority="164" stopIfTrue="1" operator="lessThan">
      <formula>96.8</formula>
    </cfRule>
    <cfRule type="cellIs" dxfId="424" priority="165" stopIfTrue="1" operator="greaterThan">
      <formula>100</formula>
    </cfRule>
  </conditionalFormatting>
  <conditionalFormatting sqref="J38:J40">
    <cfRule type="cellIs" dxfId="423" priority="166" operator="lessThan">
      <formula>98</formula>
    </cfRule>
  </conditionalFormatting>
  <conditionalFormatting sqref="J69">
    <cfRule type="cellIs" dxfId="422" priority="123" stopIfTrue="1" operator="lessThanOrEqual">
      <formula>0</formula>
    </cfRule>
    <cfRule type="cellIs" dxfId="421" priority="116" stopIfTrue="1" operator="greaterThan">
      <formula>#REF!</formula>
    </cfRule>
    <cfRule type="cellIs" dxfId="420" priority="117" stopIfTrue="1" operator="lessThanOrEqual">
      <formula>0</formula>
    </cfRule>
    <cfRule type="cellIs" dxfId="419" priority="118" stopIfTrue="1" operator="greaterThan">
      <formula>#REF!</formula>
    </cfRule>
    <cfRule type="cellIs" dxfId="418" priority="119" stopIfTrue="1" operator="lessThanOrEqual">
      <formula>0</formula>
    </cfRule>
    <cfRule type="cellIs" dxfId="417" priority="120" stopIfTrue="1" operator="greaterThan">
      <formula>#REF!</formula>
    </cfRule>
    <cfRule type="cellIs" dxfId="416" priority="121" stopIfTrue="1" operator="lessThanOrEqual">
      <formula>0</formula>
    </cfRule>
    <cfRule type="cellIs" dxfId="415" priority="122" stopIfTrue="1" operator="greaterThan">
      <formula>#REF!</formula>
    </cfRule>
  </conditionalFormatting>
  <conditionalFormatting sqref="J82">
    <cfRule type="cellIs" dxfId="414" priority="55" stopIfTrue="1" operator="lessThanOrEqual">
      <formula>0</formula>
    </cfRule>
    <cfRule type="cellIs" dxfId="413" priority="54" stopIfTrue="1" operator="greaterThan">
      <formula>$F82</formula>
    </cfRule>
  </conditionalFormatting>
  <conditionalFormatting sqref="K10:K28">
    <cfRule type="cellIs" dxfId="412" priority="2" operator="greaterThan">
      <formula>6</formula>
    </cfRule>
    <cfRule type="cellIs" dxfId="411" priority="3" operator="lessThan">
      <formula>4</formula>
    </cfRule>
    <cfRule type="cellIs" dxfId="410" priority="4" operator="greaterThan">
      <formula>6.4</formula>
    </cfRule>
  </conditionalFormatting>
  <conditionalFormatting sqref="K60:K69">
    <cfRule type="cellIs" dxfId="409" priority="101" stopIfTrue="1" operator="lessThan">
      <formula>100%</formula>
    </cfRule>
  </conditionalFormatting>
  <conditionalFormatting sqref="K73:K81">
    <cfRule type="cellIs" dxfId="408" priority="44" stopIfTrue="1" operator="lessThan">
      <formula>100%</formula>
    </cfRule>
  </conditionalFormatting>
  <conditionalFormatting sqref="K84:K89">
    <cfRule type="cellIs" dxfId="407" priority="186" stopIfTrue="1" operator="lessThan">
      <formula>100%</formula>
    </cfRule>
  </conditionalFormatting>
  <conditionalFormatting sqref="K91:K92">
    <cfRule type="cellIs" dxfId="406" priority="193" stopIfTrue="1" operator="lessThan">
      <formula>100%</formula>
    </cfRule>
  </conditionalFormatting>
  <conditionalFormatting sqref="L10:L28">
    <cfRule type="cellIs" dxfId="405" priority="6" operator="greaterThan">
      <formula>65</formula>
    </cfRule>
    <cfRule type="cellIs" dxfId="404" priority="5" operator="between">
      <formula>61</formula>
      <formula>65</formula>
    </cfRule>
  </conditionalFormatting>
  <conditionalFormatting sqref="L31:M42">
    <cfRule type="cellIs" dxfId="403" priority="25" operator="lessThan">
      <formula>97.95</formula>
    </cfRule>
  </conditionalFormatting>
  <conditionalFormatting sqref="L46:N46">
    <cfRule type="cellIs" dxfId="402" priority="80" operator="notEqual">
      <formula>#REF!</formula>
    </cfRule>
  </conditionalFormatting>
  <conditionalFormatting sqref="L73:N82">
    <cfRule type="cellIs" dxfId="401" priority="41" stopIfTrue="1" operator="lessThan">
      <formula>100%</formula>
    </cfRule>
  </conditionalFormatting>
  <conditionalFormatting sqref="L84:N92">
    <cfRule type="cellIs" dxfId="400" priority="171" stopIfTrue="1" operator="lessThan">
      <formula>100%</formula>
    </cfRule>
  </conditionalFormatting>
  <conditionalFormatting sqref="M18:M19 M23:M27">
    <cfRule type="expression" dxfId="399" priority="12">
      <formula>IF(+(IF(M18&lt;U18,0,IF(M18&gt;V18,0,1)))=0,1)</formula>
    </cfRule>
  </conditionalFormatting>
  <conditionalFormatting sqref="M10:N17 G10:G18 G28:H28">
    <cfRule type="expression" dxfId="398" priority="21">
      <formula>IF(+(IF(G10&lt;#REF!,0,IF(G10&gt;#REF!,0,1)))=0,1)</formula>
    </cfRule>
  </conditionalFormatting>
  <conditionalFormatting sqref="M20:N22">
    <cfRule type="expression" dxfId="397" priority="8">
      <formula>IF(+(IF(M20&lt;#REF!,0,IF(M20&gt;#REF!,0,1)))=0,1)</formula>
    </cfRule>
  </conditionalFormatting>
  <conditionalFormatting sqref="M28:N28">
    <cfRule type="expression" dxfId="396" priority="23">
      <formula>IF(+(IF(M28&lt;#REF!,0,IF(M28&gt;#REF!,0,1)))=0,1)</formula>
    </cfRule>
  </conditionalFormatting>
  <conditionalFormatting sqref="N10:N28">
    <cfRule type="expression" dxfId="395" priority="9">
      <formula>IF(+(IF(N10&lt;W10,0,IF(N10&gt;X10,0,1)))=0,1)</formula>
    </cfRule>
  </conditionalFormatting>
  <conditionalFormatting sqref="P6">
    <cfRule type="cellIs" dxfId="394" priority="167" operator="greaterThanOrEqual">
      <formula>19</formula>
    </cfRule>
  </conditionalFormatting>
  <dataValidations disablePrompts="1" count="1">
    <dataValidation type="list" allowBlank="1" showInputMessage="1" showErrorMessage="1" sqref="R8" xr:uid="{EE2C606C-89C8-45B3-922D-3E66409EF358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6" max="16383" man="1"/>
  </rowBreaks>
  <colBreaks count="1" manualBreakCount="1">
    <brk id="15" max="89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6EF1-0C92-4F09-92E3-F8FDE46D38FF}">
  <sheetPr>
    <pageSetUpPr fitToPage="1"/>
  </sheetPr>
  <dimension ref="A1:BE73"/>
  <sheetViews>
    <sheetView topLeftCell="B14" zoomScale="85" zoomScaleNormal="85" workbookViewId="0">
      <selection activeCell="K38" sqref="K38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12" t="s">
        <v>0</v>
      </c>
      <c r="T1" s="512"/>
      <c r="U1" s="512" t="s">
        <v>1</v>
      </c>
      <c r="V1" s="512"/>
      <c r="W1" s="512" t="s">
        <v>2</v>
      </c>
      <c r="X1" s="512"/>
      <c r="Y1" s="512" t="s">
        <v>124</v>
      </c>
      <c r="Z1" s="512"/>
    </row>
    <row r="2" spans="2:29" ht="15">
      <c r="B2" s="513" t="s">
        <v>3</v>
      </c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275">
        <v>46265</v>
      </c>
      <c r="J4" s="398" t="s">
        <v>153</v>
      </c>
      <c r="K4" s="398"/>
      <c r="L4" s="11"/>
      <c r="M4" s="510" t="s">
        <v>8</v>
      </c>
      <c r="N4" s="511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6"/>
      <c r="D5" s="516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196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19" t="s">
        <v>18</v>
      </c>
      <c r="D8" s="519" t="s">
        <v>19</v>
      </c>
      <c r="E8" s="356" t="s">
        <v>20</v>
      </c>
      <c r="F8" s="356" t="s">
        <v>21</v>
      </c>
      <c r="G8" s="519" t="s">
        <v>22</v>
      </c>
      <c r="H8" s="520" t="s">
        <v>144</v>
      </c>
      <c r="I8" s="519" t="s">
        <v>181</v>
      </c>
      <c r="J8" s="522" t="s">
        <v>23</v>
      </c>
      <c r="K8" s="524" t="s">
        <v>142</v>
      </c>
      <c r="L8" s="526" t="s">
        <v>24</v>
      </c>
      <c r="M8" s="359" t="s">
        <v>25</v>
      </c>
      <c r="N8" s="17" t="s">
        <v>168</v>
      </c>
      <c r="O8" s="519" t="s">
        <v>155</v>
      </c>
      <c r="P8" s="514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8"/>
      <c r="C9" s="515"/>
      <c r="D9" s="515"/>
      <c r="E9" s="357" t="s">
        <v>30</v>
      </c>
      <c r="F9" s="357" t="s">
        <v>31</v>
      </c>
      <c r="G9" s="515"/>
      <c r="H9" s="521"/>
      <c r="I9" s="515"/>
      <c r="J9" s="523"/>
      <c r="K9" s="525"/>
      <c r="L9" s="527"/>
      <c r="M9" s="20" t="s">
        <v>32</v>
      </c>
      <c r="N9" s="21" t="s">
        <v>41</v>
      </c>
      <c r="O9" s="515"/>
      <c r="P9" s="515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33" t="s">
        <v>9</v>
      </c>
      <c r="C10" s="366" t="str">
        <f>[3]Brewhouse!$A355</f>
        <v>ST298</v>
      </c>
      <c r="D10" s="279">
        <f>[3]Brewhouse!$AB355</f>
        <v>53</v>
      </c>
      <c r="E10" s="279">
        <f>[3]Brewhouse!$AG355</f>
        <v>48.5</v>
      </c>
      <c r="F10" s="278">
        <f>[3]Brewhouse!$V355</f>
        <v>53</v>
      </c>
      <c r="G10" s="279">
        <f>[3]Brewhouse!$AE355</f>
        <v>11.9</v>
      </c>
      <c r="H10" s="396"/>
      <c r="I10" s="368">
        <f>[3]Brewhouse!$AS355</f>
        <v>96.944463047798635</v>
      </c>
      <c r="J10" s="368">
        <f>[3]Brewhouse!$AT355</f>
        <v>97.01808510617785</v>
      </c>
      <c r="K10" s="281">
        <f>[3]Brewhouse!$Q355</f>
        <v>12.783018867924525</v>
      </c>
      <c r="L10" s="276">
        <f>[3]Brewhouse!$P355</f>
        <v>58</v>
      </c>
      <c r="M10" s="374">
        <f>[3]Brewhouse!$U355-[3]Brewhouse!$T355</f>
        <v>0.12777777777777777</v>
      </c>
      <c r="N10" s="370">
        <f>[3]Brewhouse!$AW355</f>
        <v>0.26736111111111116</v>
      </c>
      <c r="O10" s="420" t="str">
        <f>[3]Brewhouse!$AV355</f>
        <v>K. Benjamin</v>
      </c>
      <c r="P10" s="418"/>
      <c r="R10" s="277" t="str">
        <f t="shared" ref="R10:R23" si="0">B10</f>
        <v>STAG</v>
      </c>
      <c r="S10" s="472">
        <f t="shared" ref="S10:S33" si="1">VLOOKUP($B10,$R$3:$X$9,2,FALSE)</f>
        <v>11.6</v>
      </c>
      <c r="T10" s="472">
        <f t="shared" ref="T10:T33" si="2">VLOOKUP($B10,$R$3:$X$9,3,FALSE)</f>
        <v>12</v>
      </c>
      <c r="U10" s="297">
        <f t="shared" ref="U10:U33" si="3">VLOOKUP($B10,$R$3:$X$9,4,FALSE)</f>
        <v>0</v>
      </c>
      <c r="V10" s="297">
        <f t="shared" ref="V10:V33" si="4">VLOOKUP($B10,$R$3:$X$9,5,FALSE)</f>
        <v>0.118055555555556</v>
      </c>
      <c r="W10" s="297">
        <f t="shared" ref="W10:W33" si="5">VLOOKUP($B10,$R$3:$X$9,6,FALSE)</f>
        <v>0.22569444444444445</v>
      </c>
      <c r="X10" s="297">
        <f t="shared" ref="X10:X33" si="6">VLOOKUP($B10,$R$3:$X$9,7,FALSE)</f>
        <v>0.2638888888888889</v>
      </c>
      <c r="Y10" s="297">
        <f t="shared" ref="Y10:Y33" si="7">VLOOKUP($B10,$R$3:$Z$9,8,FALSE)</f>
        <v>0</v>
      </c>
      <c r="Z10" s="472">
        <f t="shared" ref="Z10:Z33" si="8">VLOOKUP($B10,$R$3:$Z$9,9,FALSE)</f>
        <v>60</v>
      </c>
    </row>
    <row r="11" spans="2:29" ht="15" customHeight="1">
      <c r="B11" s="33" t="s">
        <v>9</v>
      </c>
      <c r="C11" s="366" t="str">
        <f>[3]Brewhouse!$A356</f>
        <v>ST299</v>
      </c>
      <c r="D11" s="279">
        <f>[3]Brewhouse!$AB356</f>
        <v>53</v>
      </c>
      <c r="E11" s="279">
        <f>[3]Brewhouse!$AG356</f>
        <v>49.8</v>
      </c>
      <c r="F11" s="278">
        <f>[3]Brewhouse!$V356</f>
        <v>58</v>
      </c>
      <c r="G11" s="279">
        <f>[3]Brewhouse!$AE356</f>
        <v>11.8</v>
      </c>
      <c r="H11" s="396"/>
      <c r="I11" s="368">
        <f>[3]Brewhouse!$AS356</f>
        <v>98.909854486474273</v>
      </c>
      <c r="J11" s="368">
        <f>[3]Brewhouse!$AT356</f>
        <v>98.984920219248295</v>
      </c>
      <c r="K11" s="281">
        <f>[3]Brewhouse!$Q356</f>
        <v>11.462264150943389</v>
      </c>
      <c r="L11" s="276">
        <f>[3]Brewhouse!$P356</f>
        <v>62</v>
      </c>
      <c r="M11" s="374">
        <f>[3]Brewhouse!$U356-[3]Brewhouse!$T356</f>
        <v>0.11180555555555555</v>
      </c>
      <c r="N11" s="370">
        <f>[3]Brewhouse!$AW356</f>
        <v>0.27222222222222225</v>
      </c>
      <c r="O11" s="420" t="str">
        <f>[3]Brewhouse!$AV356</f>
        <v>K. Benjamin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33" t="s">
        <v>9</v>
      </c>
      <c r="C12" s="366" t="str">
        <f>[3]Brewhouse!$A357</f>
        <v>ST300</v>
      </c>
      <c r="D12" s="279">
        <f>[3]Brewhouse!$AB357</f>
        <v>53</v>
      </c>
      <c r="E12" s="279">
        <f>[3]Brewhouse!$AG357</f>
        <v>49.7</v>
      </c>
      <c r="F12" s="278">
        <f>[3]Brewhouse!$V357</f>
        <v>55</v>
      </c>
      <c r="G12" s="279">
        <f>[3]Brewhouse!$AE357</f>
        <v>11.6</v>
      </c>
      <c r="H12" s="396"/>
      <c r="I12" s="368">
        <f>[3]Brewhouse!$AS357</f>
        <v>99.18039986493666</v>
      </c>
      <c r="J12" s="368">
        <f>[3]Brewhouse!$AT357</f>
        <v>99.255218411111088</v>
      </c>
      <c r="K12" s="281">
        <f>[3]Brewhouse!$Q357</f>
        <v>10.896226415094338</v>
      </c>
      <c r="L12" s="276">
        <f>[3]Brewhouse!$P357</f>
        <v>61</v>
      </c>
      <c r="M12" s="374">
        <f>[3]Brewhouse!$U357-[3]Brewhouse!$T357</f>
        <v>0.11388888888888893</v>
      </c>
      <c r="N12" s="370">
        <f>[3]Brewhouse!$AW357</f>
        <v>0.27222222222222225</v>
      </c>
      <c r="O12" s="420" t="str">
        <f>[3]Brewhouse!$AV357</f>
        <v>K. Benjamin</v>
      </c>
      <c r="P12" s="418"/>
      <c r="R12" s="277" t="str">
        <f t="shared" si="0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33" t="s">
        <v>9</v>
      </c>
      <c r="C13" s="366" t="str">
        <f>[3]Brewhouse!$A358</f>
        <v>ST301</v>
      </c>
      <c r="D13" s="279">
        <f>[3]Brewhouse!$AB358</f>
        <v>53</v>
      </c>
      <c r="E13" s="279">
        <f>[3]Brewhouse!$AG358</f>
        <v>49.1</v>
      </c>
      <c r="F13" s="278">
        <f>[3]Brewhouse!$V358</f>
        <v>60</v>
      </c>
      <c r="G13" s="279">
        <f>[3]Brewhouse!$AE358</f>
        <v>11.9</v>
      </c>
      <c r="H13" s="396"/>
      <c r="I13" s="368">
        <f>[3]Brewhouse!$AS358</f>
        <v>98.266162409828908</v>
      </c>
      <c r="J13" s="368">
        <f>[3]Brewhouse!$AT358</f>
        <v>98.340763942656139</v>
      </c>
      <c r="K13" s="281">
        <f>[3]Brewhouse!$Q358</f>
        <v>13.349056603773576</v>
      </c>
      <c r="L13" s="276">
        <f>[3]Brewhouse!$P358</f>
        <v>60</v>
      </c>
      <c r="M13" s="374">
        <f>[3]Brewhouse!$U358-[3]Brewhouse!$T358</f>
        <v>0.11666666666666664</v>
      </c>
      <c r="N13" s="370">
        <f>[3]Brewhouse!$AW358</f>
        <v>0.27777777777777773</v>
      </c>
      <c r="O13" s="420" t="str">
        <f>[3]Brewhouse!$AV358</f>
        <v>K. Benjamin</v>
      </c>
      <c r="P13" s="418"/>
      <c r="R13" s="277" t="str">
        <f t="shared" si="0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33" t="s">
        <v>9</v>
      </c>
      <c r="C14" s="366" t="str">
        <f>[3]Brewhouse!$A359</f>
        <v>ST302</v>
      </c>
      <c r="D14" s="279">
        <f>[3]Brewhouse!$AB359</f>
        <v>53</v>
      </c>
      <c r="E14" s="279">
        <f>[3]Brewhouse!$AG359</f>
        <v>48.6</v>
      </c>
      <c r="F14" s="278">
        <f>[3]Brewhouse!$V359</f>
        <v>63</v>
      </c>
      <c r="G14" s="279">
        <f>[3]Brewhouse!$AE359</f>
        <v>12</v>
      </c>
      <c r="H14" s="396"/>
      <c r="I14" s="368">
        <f>[3]Brewhouse!$AS359</f>
        <v>99.615522882404434</v>
      </c>
      <c r="J14" s="368">
        <f>[3]Brewhouse!$AT359</f>
        <v>99.690848881257594</v>
      </c>
      <c r="K14" s="281">
        <f>[3]Brewhouse!$Q359</f>
        <v>12.783018867924525</v>
      </c>
      <c r="L14" s="276">
        <f>[3]Brewhouse!$P359</f>
        <v>61</v>
      </c>
      <c r="M14" s="374">
        <f>[3]Brewhouse!$U359-[3]Brewhouse!$T359</f>
        <v>0.11597222222222214</v>
      </c>
      <c r="N14" s="370">
        <f>[3]Brewhouse!$AW359</f>
        <v>0.26041666666666663</v>
      </c>
      <c r="O14" s="420" t="str">
        <f>[3]Brewhouse!$AV359</f>
        <v>R. Regis</v>
      </c>
      <c r="P14" s="418"/>
      <c r="R14" s="277" t="str">
        <f t="shared" si="0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33" t="s">
        <v>9</v>
      </c>
      <c r="C15" s="366" t="str">
        <f>[3]Brewhouse!$A360</f>
        <v>ST303</v>
      </c>
      <c r="D15" s="279">
        <f>[3]Brewhouse!$AB360</f>
        <v>53.1</v>
      </c>
      <c r="E15" s="279">
        <f>[3]Brewhouse!$AG360</f>
        <v>49.4</v>
      </c>
      <c r="F15" s="278">
        <f>[3]Brewhouse!$V360</f>
        <v>67</v>
      </c>
      <c r="G15" s="279">
        <f>[3]Brewhouse!$AE360</f>
        <v>11.9</v>
      </c>
      <c r="H15" s="396"/>
      <c r="I15" s="368">
        <f>[3]Brewhouse!$AS360</f>
        <v>100.62326379755295</v>
      </c>
      <c r="J15" s="368">
        <f>[3]Brewhouse!$AT360</f>
        <v>100.6993004245079</v>
      </c>
      <c r="K15" s="281">
        <f>[3]Brewhouse!$Q360</f>
        <v>12.758945386064028</v>
      </c>
      <c r="L15" s="276">
        <f>[3]Brewhouse!$P360</f>
        <v>62</v>
      </c>
      <c r="M15" s="374">
        <f>[3]Brewhouse!$U360-[3]Brewhouse!$T360</f>
        <v>0.20625000000000004</v>
      </c>
      <c r="N15" s="370">
        <f>[3]Brewhouse!$AW360</f>
        <v>0.26875000000000004</v>
      </c>
      <c r="O15" s="420" t="str">
        <f>[3]Brewhouse!$AV360</f>
        <v>R. Regis</v>
      </c>
      <c r="P15" s="418"/>
      <c r="R15" s="277" t="str">
        <f t="shared" si="0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33" t="s">
        <v>9</v>
      </c>
      <c r="C16" s="366" t="str">
        <f>[3]Brewhouse!$A361</f>
        <v>ST304</v>
      </c>
      <c r="D16" s="279">
        <f>[3]Brewhouse!$AB361</f>
        <v>53.1</v>
      </c>
      <c r="E16" s="279">
        <f>[3]Brewhouse!$AG361</f>
        <v>48.8</v>
      </c>
      <c r="F16" s="278">
        <f>[3]Brewhouse!$V361</f>
        <v>63</v>
      </c>
      <c r="G16" s="279">
        <f>[3]Brewhouse!$AE361</f>
        <v>11.9</v>
      </c>
      <c r="H16" s="396"/>
      <c r="I16" s="368">
        <f>[3]Brewhouse!$AS361</f>
        <v>97.422783496499648</v>
      </c>
      <c r="J16" s="368">
        <f>[3]Brewhouse!$AT361</f>
        <v>97.496792792644726</v>
      </c>
      <c r="K16" s="281">
        <f>[3]Brewhouse!$Q361</f>
        <v>12.382297551789083</v>
      </c>
      <c r="L16" s="276">
        <f>[3]Brewhouse!$P361</f>
        <v>62</v>
      </c>
      <c r="M16" s="374">
        <f>[3]Brewhouse!$U361-[3]Brewhouse!$T361</f>
        <v>0.11805555555555558</v>
      </c>
      <c r="N16" s="370">
        <f>[3]Brewhouse!$AW361</f>
        <v>0.26597222222222228</v>
      </c>
      <c r="O16" s="420" t="str">
        <f>[3]Brewhouse!$AV361</f>
        <v>R. Regis</v>
      </c>
      <c r="P16" s="418"/>
      <c r="R16" s="277" t="str">
        <f t="shared" si="0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5" customHeight="1">
      <c r="B17" s="33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20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5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7.25" customHeight="1" thickBot="1">
      <c r="B20" s="358"/>
      <c r="C20" s="358"/>
      <c r="D20" s="358"/>
      <c r="E20" s="358"/>
      <c r="F20" s="294"/>
      <c r="G20" s="294"/>
      <c r="H20" s="348"/>
      <c r="I20" s="528"/>
      <c r="J20" s="528"/>
      <c r="K20" s="528"/>
      <c r="L20" s="528"/>
      <c r="M20" s="528"/>
      <c r="N20" s="528"/>
      <c r="O20" s="1"/>
      <c r="P20" s="12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7.25" customHeight="1" thickBot="1">
      <c r="B21" s="489" t="s">
        <v>162</v>
      </c>
      <c r="C21" s="388"/>
      <c r="D21" s="529" t="s">
        <v>35</v>
      </c>
      <c r="E21" s="530"/>
      <c r="F21" s="294"/>
      <c r="G21" s="294"/>
      <c r="H21" s="348"/>
      <c r="I21" s="24" t="s">
        <v>17</v>
      </c>
      <c r="J21" s="25"/>
      <c r="K21" s="26" t="s">
        <v>138</v>
      </c>
      <c r="L21" s="25" t="s">
        <v>37</v>
      </c>
      <c r="M21" s="25" t="s">
        <v>38</v>
      </c>
      <c r="N21" s="27" t="s">
        <v>39</v>
      </c>
      <c r="O21" s="294"/>
      <c r="P21" s="12"/>
      <c r="R21" s="277" t="str">
        <f t="shared" si="0"/>
        <v xml:space="preserve">BRAND 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7.25" customHeight="1">
      <c r="A22" s="28"/>
      <c r="B22" s="531"/>
      <c r="C22" s="490"/>
      <c r="D22" s="534"/>
      <c r="E22" s="535"/>
      <c r="F22" s="294"/>
      <c r="G22" s="294"/>
      <c r="H22" s="348"/>
      <c r="I22" s="29" t="s">
        <v>6</v>
      </c>
      <c r="J22" s="323"/>
      <c r="K22" s="284">
        <f>COUNTA([4]Brewhouse!$A$595:$A$686)</f>
        <v>92</v>
      </c>
      <c r="L22" s="305">
        <f>AVERAGE([4]Brewhouse!$AU$595:$AU$686)</f>
        <v>99.076978201153608</v>
      </c>
      <c r="M22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AVERAGE([4]Brewhouse!$AU$42:$AU$123,[4]Brewhouse!$AU$125:$AU$188,[4]Brewhouse!$AU$198:$AU$290,[4]Brewhouse!$AU$292:$AU$370,[4]Brewhouse!$AU$372:$AU$439,[4]Brewhouse!$AU$441:$AU$497,[4]Brewhouse!$AU$499:$AU$519,[4]Brewhouse!$AU$521:$AU$593,[4]Brewhouse!$AU$595:$AU$686)</f>
        <v>98.301595566913605</v>
      </c>
      <c r="N22" s="30">
        <v>98</v>
      </c>
      <c r="O22" s="11"/>
      <c r="P22" s="31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" customHeight="1">
      <c r="A23" s="28"/>
      <c r="B23" s="532"/>
      <c r="C23" s="362"/>
      <c r="D23" s="536"/>
      <c r="E23" s="537"/>
      <c r="F23" s="294"/>
      <c r="G23" s="294"/>
      <c r="H23" s="348"/>
      <c r="I23" s="33" t="s">
        <v>9</v>
      </c>
      <c r="J23" s="323">
        <f>AVERAGE(I10:I18)</f>
        <v>98.708921426499359</v>
      </c>
      <c r="K23" s="284">
        <f>COUNTA([3]Brewhouse!$A$327:$A$361)</f>
        <v>35</v>
      </c>
      <c r="L23" s="302">
        <f>AVERAGE([3]Brewhouse!$AS$327:$AS$361)</f>
        <v>99.27850229321588</v>
      </c>
      <c r="M23" s="302">
        <f>AVERAGE([3]Brewhouse!$AS$52:$AS$81,[3]Brewhouse!$AS$83:$AS$124,[3]Brewhouse!$AS$134:$AS$177,[3]Brewhouse!$AS$22:$AS$179,[3]Brewhouse!$AS$214:$AS$249,[3]Brewhouse!$AS$252:$AS$293,[3]Brewhouse!$AS$295:$AS$325,[3]Brewhouse!$AS$327:$AS$361)</f>
        <v>98.239656393693409</v>
      </c>
      <c r="N23" s="30">
        <v>98</v>
      </c>
      <c r="O23" s="11"/>
      <c r="P23" s="31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65" customHeight="1">
      <c r="A24" s="28"/>
      <c r="B24" s="532"/>
      <c r="C24" s="362"/>
      <c r="D24" s="538"/>
      <c r="E24" s="539"/>
      <c r="F24" s="294"/>
      <c r="G24" s="294"/>
      <c r="H24" s="348"/>
      <c r="I24" s="34" t="s">
        <v>12</v>
      </c>
      <c r="J24" s="323"/>
      <c r="K24" s="284">
        <f>COUNTA([5]Brewhouse!$A$90:$A$97)</f>
        <v>8</v>
      </c>
      <c r="L24" s="302">
        <f>AVERAGE([5]Brewhouse!$AU$90:$AU$97)</f>
        <v>96.342250509798717</v>
      </c>
      <c r="M24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4" s="30">
        <v>98</v>
      </c>
      <c r="O24" s="11"/>
      <c r="P24" s="31"/>
      <c r="R24" s="277">
        <f t="shared" ref="R24:R33" si="9">B24</f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32"/>
      <c r="C25" s="362"/>
      <c r="D25" s="540"/>
      <c r="E25" s="537"/>
      <c r="F25" s="294"/>
      <c r="G25" s="294"/>
      <c r="H25" s="348"/>
      <c r="I25" s="22" t="s">
        <v>33</v>
      </c>
      <c r="J25" s="280"/>
      <c r="K25" s="284">
        <f>COUNTA([6]Brewhouse!$A$89:$A$96)</f>
        <v>8</v>
      </c>
      <c r="L25" s="302">
        <f>AVERAGE([6]Brewhouse!$AV$89:$AV$96)</f>
        <v>97.90251690920546</v>
      </c>
      <c r="M25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5" s="30">
        <v>98</v>
      </c>
      <c r="O25" s="11"/>
      <c r="P25" s="31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32"/>
      <c r="C26" s="362"/>
      <c r="D26" s="538"/>
      <c r="E26" s="539"/>
      <c r="F26" s="294"/>
      <c r="G26" s="294"/>
      <c r="H26" s="348"/>
      <c r="I26" s="35" t="s">
        <v>29</v>
      </c>
      <c r="J26" s="280"/>
      <c r="K26" s="284"/>
      <c r="L26" s="302"/>
      <c r="M26" s="302"/>
      <c r="N26" s="30">
        <v>98</v>
      </c>
      <c r="O26" s="11"/>
      <c r="P26" s="31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32"/>
      <c r="C27" s="362"/>
      <c r="D27" s="540"/>
      <c r="E27" s="537"/>
      <c r="F27" s="417"/>
      <c r="G27" s="294"/>
      <c r="H27" s="348"/>
      <c r="I27" s="36" t="s">
        <v>15</v>
      </c>
      <c r="J27" s="323"/>
      <c r="K27" s="284"/>
      <c r="L27" s="302"/>
      <c r="M27" s="302">
        <f>AVERAGE([7]Brewhouse!$AT$4:$AT$11,[7]Brewhouse!$AT$13:$AT$16,[7]Brewhouse!$AT$18:$AT$21)</f>
        <v>91.832675391763644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32"/>
      <c r="C28" s="362"/>
      <c r="D28" s="538"/>
      <c r="E28" s="539"/>
      <c r="F28" s="417"/>
      <c r="G28" s="294"/>
      <c r="H28" s="348"/>
      <c r="I28" s="37" t="s">
        <v>16</v>
      </c>
      <c r="J28" s="323"/>
      <c r="K28" s="284">
        <f>COUNTA([8]Brewhouse!$A$84:$A$101)</f>
        <v>18</v>
      </c>
      <c r="L28" s="302">
        <f>AVERAGE([8]Brewhouse!$AY$84:$AY$101)</f>
        <v>97.389891141895035</v>
      </c>
      <c r="M28" s="302">
        <f>AVERAGE([8]Brewhouse!$AY$5:$AY$14,[8]Brewhouse!$AY$16:$AY$23,[8]Brewhouse!$AY$42,[8]Brewhouse!$AY$44:$AY$51,[8]Brewhouse!$AY$53:$AY$64,[8]Brewhouse!$AY$66:$AY$73,[8]Brewhouse!$AY$75:$AY$82,[8]Brewhouse!$AY$84:$AY$101)</f>
        <v>97.946352432648297</v>
      </c>
      <c r="N28" s="30">
        <v>98</v>
      </c>
      <c r="O28" s="11"/>
      <c r="P28" s="31" t="s">
        <v>41</v>
      </c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32"/>
      <c r="C29" s="362"/>
      <c r="D29" s="540"/>
      <c r="E29" s="537"/>
      <c r="F29" s="294"/>
      <c r="G29" s="294"/>
      <c r="H29" s="348"/>
      <c r="I29" s="411" t="s">
        <v>158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32"/>
      <c r="C30" s="362"/>
      <c r="D30" s="538"/>
      <c r="E30" s="539"/>
      <c r="F30" s="294"/>
      <c r="G30" s="294"/>
      <c r="H30" s="348"/>
      <c r="I30" s="410" t="s">
        <v>157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9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5" customHeight="1" thickBot="1">
      <c r="A31" s="28"/>
      <c r="B31" s="532"/>
      <c r="C31" s="362"/>
      <c r="D31" s="540"/>
      <c r="E31" s="537"/>
      <c r="F31" s="294"/>
      <c r="G31" s="294"/>
      <c r="H31" s="348"/>
      <c r="I31" s="406" t="s">
        <v>156</v>
      </c>
      <c r="J31" s="327"/>
      <c r="K31" s="407"/>
      <c r="L31" s="408"/>
      <c r="M31" s="408"/>
      <c r="N31" s="409">
        <v>98</v>
      </c>
      <c r="O31" s="11"/>
      <c r="P31" s="31"/>
      <c r="R31" s="277">
        <f t="shared" si="9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" customHeight="1" thickBot="1">
      <c r="A32" s="28"/>
      <c r="B32" s="532"/>
      <c r="C32" s="349"/>
      <c r="D32" s="534"/>
      <c r="E32" s="535"/>
      <c r="F32" s="294"/>
      <c r="G32" s="294"/>
      <c r="H32" s="348"/>
      <c r="I32" s="1"/>
      <c r="J32" s="39"/>
      <c r="K32" s="404">
        <f>SUM(K22:K31)</f>
        <v>161</v>
      </c>
      <c r="L32" s="405">
        <f>((L22*K22)+(L23*K23)+(L24*K24)+(L25*K25)+(L26*K26)+(K29*L29)+(L27*K27)+(L28*K28)+(L31*K31))/(K32)</f>
        <v>98.737923942079703</v>
      </c>
      <c r="M32" s="405">
        <f>AVERAGE('[9]Jan30th-31st'!$L$42,'[10]Feb 27th-28th'!$L$45,'[11]Mar 31st'!$L$42,'[12]Apr 30th'!$L$41,'[13]May 29th '!$L$35,'[14]June 30th'!$L$32,[15]July31st!$L$36,L32)</f>
        <v>97.995335749973563</v>
      </c>
      <c r="N32" s="40">
        <v>98</v>
      </c>
      <c r="O32" s="11"/>
      <c r="P32" s="31"/>
      <c r="R32" s="277">
        <f t="shared" si="9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2:56" ht="15.75" thickBot="1">
      <c r="B33" s="533"/>
      <c r="C33" s="350"/>
      <c r="D33" s="536"/>
      <c r="E33" s="537"/>
      <c r="F33" s="294"/>
      <c r="G33" s="42"/>
      <c r="H33" s="41"/>
      <c r="I33" s="42"/>
      <c r="J33" s="42"/>
      <c r="K33" s="351"/>
      <c r="L33" s="348"/>
      <c r="M33" s="348"/>
      <c r="N33" s="11"/>
      <c r="O33" s="294"/>
      <c r="P33" s="12"/>
      <c r="R33" s="277">
        <f t="shared" si="9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2:56" ht="15.75" thickBot="1">
      <c r="B34" s="541"/>
      <c r="C34" s="362"/>
      <c r="D34" s="534"/>
      <c r="E34" s="535"/>
      <c r="F34" s="294"/>
      <c r="G34" s="42"/>
      <c r="H34" s="41"/>
      <c r="I34" s="42"/>
      <c r="J34" s="544" t="s">
        <v>129</v>
      </c>
      <c r="K34" s="544"/>
      <c r="L34" s="294"/>
      <c r="M34" s="294"/>
      <c r="N34" s="294"/>
      <c r="O34" s="294"/>
      <c r="P34" s="12"/>
    </row>
    <row r="35" spans="2:56" ht="15.75" thickBot="1">
      <c r="B35" s="542"/>
      <c r="C35" s="362"/>
      <c r="D35" s="536"/>
      <c r="E35" s="537"/>
      <c r="F35" s="294"/>
      <c r="G35" s="42"/>
      <c r="H35" s="42"/>
      <c r="I35" s="42"/>
      <c r="J35" s="292" t="s">
        <v>17</v>
      </c>
      <c r="K35" s="293"/>
      <c r="L35" s="545" t="s">
        <v>136</v>
      </c>
      <c r="M35" s="545"/>
      <c r="N35" s="546"/>
      <c r="O35" s="294"/>
      <c r="P35" s="12"/>
    </row>
    <row r="36" spans="2:56" ht="15" customHeight="1" thickBot="1">
      <c r="B36" s="542"/>
      <c r="C36" s="349"/>
      <c r="D36" s="538"/>
      <c r="E36" s="539"/>
      <c r="F36" s="294"/>
      <c r="G36" s="42"/>
      <c r="H36" s="42"/>
      <c r="I36" s="42"/>
      <c r="J36" s="287" t="s">
        <v>6</v>
      </c>
      <c r="K36" s="324"/>
      <c r="L36" s="473" t="s">
        <v>37</v>
      </c>
      <c r="M36" s="474" t="s">
        <v>38</v>
      </c>
      <c r="N36" s="474" t="s">
        <v>84</v>
      </c>
      <c r="O36" s="294"/>
      <c r="P36" s="12"/>
    </row>
    <row r="37" spans="2:56" ht="15.75" customHeight="1" thickBot="1">
      <c r="B37" s="542"/>
      <c r="C37" s="349"/>
      <c r="D37" s="540"/>
      <c r="E37" s="537"/>
      <c r="F37" s="294"/>
      <c r="G37" s="42"/>
      <c r="H37" s="42"/>
      <c r="I37" s="42"/>
      <c r="J37" s="345" t="s">
        <v>9</v>
      </c>
      <c r="K37" s="324">
        <v>8</v>
      </c>
      <c r="L37" s="494">
        <f>AVERAGE(K46,'Aug 3rd '!K47,'Aug 2nd'!K52,'Aug 4th'!K47,'Aug 5th'!K51,'Aug 6th'!K51,'Aug 7th'!K51,'Aug 12th'!K51,,'Aug 13th '!K51,'Aug 14th&amp;15th'!I55,'Aug 17th '!K55,'Aug 18th'!K55,'Aug 19th '!K55,'Aug 20th '!K55,'Aug 21st-22nd'!K65,'Aug 21st-22nd'!J65,'Aug 24th'!K57,'Aug 25th '!K58,'Aug 26th'!K47,'Aug 27th '!K55)</f>
        <v>7.2380952380952381</v>
      </c>
      <c r="M37" s="495">
        <f>AVERAGE('[9]Jan30th-31st'!$L$47,L37,'[10]Feb 26th '!$L$39,'[11]Mar 31st'!$L$47,'[12]Apr 30th'!$L$46,'[13]May 29th '!$L$40,'[14]June 30th'!$L$39,[15]July31st!$L$41)</f>
        <v>6.4506839175317436</v>
      </c>
      <c r="N37" s="416">
        <v>9.1999999999999993</v>
      </c>
      <c r="O37" s="294"/>
      <c r="P37" s="12"/>
    </row>
    <row r="38" spans="2:56" ht="15" customHeight="1">
      <c r="B38" s="542"/>
      <c r="C38" s="349"/>
      <c r="D38" s="538"/>
      <c r="E38" s="539"/>
      <c r="F38" s="294"/>
      <c r="G38" s="42"/>
      <c r="H38" s="42"/>
      <c r="I38" s="42"/>
      <c r="J38" s="288" t="s">
        <v>40</v>
      </c>
      <c r="K38" s="324"/>
      <c r="L38" s="294"/>
      <c r="M38" s="294"/>
      <c r="N38" s="294"/>
      <c r="O38" s="294"/>
      <c r="P38" s="12"/>
    </row>
    <row r="39" spans="2:56" ht="15" customHeight="1">
      <c r="B39" s="542"/>
      <c r="C39" s="349"/>
      <c r="D39" s="540"/>
      <c r="E39" s="537"/>
      <c r="F39" s="294"/>
      <c r="G39" s="42"/>
      <c r="H39" s="42"/>
      <c r="I39" s="42"/>
      <c r="J39" s="289" t="s">
        <v>33</v>
      </c>
      <c r="K39" s="324"/>
      <c r="L39" s="294"/>
      <c r="M39" s="294"/>
      <c r="N39" s="294"/>
      <c r="O39" s="294"/>
      <c r="P39" s="12"/>
    </row>
    <row r="40" spans="2:56" ht="15">
      <c r="B40" s="542"/>
      <c r="C40" s="349"/>
      <c r="D40" s="538"/>
      <c r="E40" s="539"/>
      <c r="F40" s="294"/>
      <c r="G40" s="42"/>
      <c r="H40" s="42"/>
      <c r="I40" s="42"/>
      <c r="J40" s="290" t="s">
        <v>16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42"/>
      <c r="C41" s="349"/>
      <c r="D41" s="540"/>
      <c r="E41" s="537"/>
      <c r="F41" s="294"/>
      <c r="G41" s="42"/>
      <c r="H41" s="42"/>
      <c r="I41" s="42"/>
      <c r="J41" s="291" t="s">
        <v>15</v>
      </c>
      <c r="K41" s="324"/>
      <c r="L41" s="294"/>
      <c r="M41" s="294"/>
      <c r="N41" s="294"/>
      <c r="O41" s="294"/>
      <c r="P41" s="12"/>
      <c r="BC41" s="44"/>
      <c r="BD41" s="44"/>
    </row>
    <row r="42" spans="2:56" ht="15">
      <c r="B42" s="542"/>
      <c r="C42" s="349"/>
      <c r="D42" s="538"/>
      <c r="E42" s="539"/>
      <c r="F42" s="294"/>
      <c r="G42" s="42"/>
      <c r="H42" s="42"/>
      <c r="I42" s="42"/>
      <c r="J42" s="291" t="s">
        <v>149</v>
      </c>
      <c r="K42" s="324"/>
      <c r="L42" s="294"/>
      <c r="M42" s="294"/>
      <c r="N42" s="294"/>
      <c r="O42" s="294"/>
      <c r="P42" s="12"/>
      <c r="BC42" s="44"/>
      <c r="BD42" s="44"/>
    </row>
    <row r="43" spans="2:56" ht="15.75" thickBot="1">
      <c r="B43" s="543"/>
      <c r="C43" s="350"/>
      <c r="D43" s="547"/>
      <c r="E43" s="548"/>
      <c r="F43" s="294" t="s">
        <v>166</v>
      </c>
      <c r="G43" s="42"/>
      <c r="H43" s="42"/>
      <c r="I43" s="42"/>
      <c r="J43" s="291" t="s">
        <v>148</v>
      </c>
      <c r="K43" s="324"/>
      <c r="L43" s="294"/>
      <c r="M43" s="294"/>
      <c r="N43" s="294" t="s">
        <v>41</v>
      </c>
      <c r="O43" s="294"/>
      <c r="P43" s="12"/>
      <c r="BC43" s="44"/>
      <c r="BD43" s="44"/>
    </row>
    <row r="44" spans="2:56" ht="17.649999999999999" customHeight="1" thickBot="1">
      <c r="B44" s="312" t="s">
        <v>139</v>
      </c>
      <c r="C44" s="313"/>
      <c r="D44" s="549"/>
      <c r="E44" s="550"/>
      <c r="F44" s="294"/>
      <c r="J44" s="295" t="s">
        <v>134</v>
      </c>
      <c r="K44" s="324"/>
      <c r="L44" s="294"/>
      <c r="M44" s="294"/>
      <c r="N44" s="294"/>
      <c r="O44" s="294"/>
      <c r="P44" s="12"/>
      <c r="BC44" s="44"/>
      <c r="BD44" s="44"/>
    </row>
    <row r="45" spans="2:56" ht="17.649999999999999" customHeight="1">
      <c r="B45" s="363"/>
      <c r="C45" s="364"/>
      <c r="D45" s="365"/>
      <c r="E45" s="365"/>
      <c r="F45" s="294"/>
      <c r="G45" s="42"/>
      <c r="H45" s="42"/>
      <c r="I45" s="42"/>
      <c r="J45" s="295" t="s">
        <v>131</v>
      </c>
      <c r="K45" s="324"/>
      <c r="L45" s="294"/>
      <c r="M45" s="294"/>
      <c r="N45" s="294"/>
      <c r="O45" s="294"/>
      <c r="P45" s="12"/>
      <c r="BC45" s="44"/>
      <c r="BD45" s="44"/>
    </row>
    <row r="46" spans="2:56" ht="15.6" customHeight="1">
      <c r="B46" s="45"/>
      <c r="C46" s="11"/>
      <c r="D46" s="11"/>
      <c r="E46" s="46"/>
      <c r="F46" s="294"/>
      <c r="G46" s="42"/>
      <c r="H46" s="42"/>
      <c r="I46" s="42"/>
      <c r="J46" s="346" t="s">
        <v>130</v>
      </c>
      <c r="K46" s="324">
        <f>SUM(K36:K45)</f>
        <v>8</v>
      </c>
      <c r="L46" s="294"/>
      <c r="M46" s="294"/>
      <c r="N46" s="294"/>
      <c r="O46" s="294"/>
      <c r="P46" s="12"/>
    </row>
    <row r="47" spans="2:56" ht="20.25" customHeight="1">
      <c r="B47" s="15" t="s">
        <v>42</v>
      </c>
      <c r="C47" s="1" t="s">
        <v>43</v>
      </c>
      <c r="D47" s="1"/>
      <c r="E47" s="1"/>
      <c r="F47" s="294"/>
      <c r="G47" s="42"/>
      <c r="H47" s="41"/>
      <c r="I47" s="42"/>
      <c r="L47" s="42"/>
      <c r="N47" s="315"/>
      <c r="P47" s="334"/>
    </row>
    <row r="48" spans="2:56" ht="15" customHeight="1" thickBot="1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1"/>
      <c r="O48" s="48"/>
      <c r="P48" s="49"/>
    </row>
    <row r="49" spans="2:57" ht="15" customHeight="1" thickBot="1">
      <c r="B49" s="551" t="s">
        <v>17</v>
      </c>
      <c r="C49" s="551" t="s">
        <v>44</v>
      </c>
      <c r="D49" s="554" t="s">
        <v>45</v>
      </c>
      <c r="E49" s="519" t="s">
        <v>46</v>
      </c>
      <c r="F49" s="568" t="s">
        <v>47</v>
      </c>
      <c r="G49" s="563" t="s">
        <v>48</v>
      </c>
      <c r="H49" s="551" t="s">
        <v>49</v>
      </c>
      <c r="I49" s="551" t="s">
        <v>50</v>
      </c>
      <c r="J49" s="557" t="s">
        <v>28</v>
      </c>
      <c r="K49" s="517" t="s">
        <v>51</v>
      </c>
      <c r="L49" s="566" t="s">
        <v>52</v>
      </c>
      <c r="M49" s="557" t="s">
        <v>53</v>
      </c>
      <c r="N49" s="13"/>
      <c r="O49" s="13"/>
      <c r="P49" s="50"/>
    </row>
    <row r="50" spans="2:57" ht="28.5" customHeight="1" thickTop="1" thickBot="1">
      <c r="B50" s="552"/>
      <c r="C50" s="553"/>
      <c r="D50" s="555"/>
      <c r="E50" s="556"/>
      <c r="F50" s="569"/>
      <c r="G50" s="564"/>
      <c r="H50" s="552"/>
      <c r="I50" s="552"/>
      <c r="J50" s="558"/>
      <c r="K50" s="565"/>
      <c r="L50" s="567"/>
      <c r="M50" s="558"/>
      <c r="N50" s="13"/>
      <c r="O50" s="13"/>
      <c r="P50" s="50"/>
      <c r="Q50" s="355"/>
      <c r="AB50" s="475">
        <v>43474</v>
      </c>
      <c r="AC50" s="475">
        <v>43475</v>
      </c>
      <c r="AD50" s="475">
        <v>43476</v>
      </c>
      <c r="AE50" s="475">
        <v>43477</v>
      </c>
      <c r="AF50" s="475">
        <v>43478</v>
      </c>
      <c r="AG50" s="475">
        <v>43479</v>
      </c>
      <c r="AH50" s="475">
        <v>43480</v>
      </c>
      <c r="AI50" s="475">
        <v>43481</v>
      </c>
      <c r="AJ50" s="475">
        <v>43482</v>
      </c>
      <c r="AK50" s="475">
        <v>43483</v>
      </c>
      <c r="AL50" s="475">
        <v>43484</v>
      </c>
      <c r="AM50" s="475">
        <v>43485</v>
      </c>
      <c r="AN50" s="475">
        <v>43486</v>
      </c>
      <c r="AO50" s="475">
        <v>43487</v>
      </c>
      <c r="AP50" s="475">
        <v>43488</v>
      </c>
      <c r="AQ50" s="475">
        <v>43489</v>
      </c>
      <c r="AR50" s="475">
        <v>43490</v>
      </c>
      <c r="AS50" s="475">
        <v>43491</v>
      </c>
      <c r="AT50" s="475">
        <v>43492</v>
      </c>
      <c r="AU50" s="475">
        <v>43493</v>
      </c>
      <c r="AV50" s="475">
        <v>43494</v>
      </c>
      <c r="AW50" s="475">
        <v>43495</v>
      </c>
      <c r="AX50" s="475">
        <v>43496</v>
      </c>
    </row>
    <row r="51" spans="2:57" s="54" customFormat="1" ht="36.75" customHeight="1" thickBot="1">
      <c r="B51" s="508"/>
      <c r="C51" s="479"/>
      <c r="D51" s="445"/>
      <c r="E51" s="443"/>
      <c r="F51" s="444"/>
      <c r="G51" s="444"/>
      <c r="H51" s="458"/>
      <c r="I51" s="458"/>
      <c r="J51" s="448"/>
      <c r="K51" s="449"/>
      <c r="L51" s="457"/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[16]January_2019!L5</f>
        <v>0</v>
      </c>
      <c r="AC51" s="57">
        <f>[16]January_2019!M5</f>
        <v>0</v>
      </c>
      <c r="AD51" s="57">
        <f>[16]January_2019!N5</f>
        <v>0</v>
      </c>
      <c r="AE51" s="57">
        <f>[16]January_2019!O5</f>
        <v>0</v>
      </c>
      <c r="AF51" s="57">
        <f>[16]January_2019!P5</f>
        <v>0</v>
      </c>
      <c r="AG51" s="57">
        <f>[16]January_2019!Q5</f>
        <v>0</v>
      </c>
      <c r="AH51" s="57">
        <f>[16]January_2019!R5</f>
        <v>0</v>
      </c>
      <c r="AI51" s="57">
        <f>[16]January_2019!S5</f>
        <v>0</v>
      </c>
      <c r="AJ51" s="57">
        <f>[16]January_2019!T5</f>
        <v>0</v>
      </c>
      <c r="AK51" s="57">
        <f>[16]January_2019!U5</f>
        <v>0</v>
      </c>
      <c r="AL51" s="57">
        <f>[16]January_2019!V5</f>
        <v>0</v>
      </c>
      <c r="AM51" s="57">
        <f>[16]January_2019!W5</f>
        <v>0</v>
      </c>
      <c r="AN51" s="57">
        <f>[16]January_2019!X5</f>
        <v>0</v>
      </c>
      <c r="AO51" s="57">
        <f>[16]January_2019!Y5</f>
        <v>0</v>
      </c>
      <c r="AP51" s="57">
        <f>[16]January_2019!Z5</f>
        <v>0</v>
      </c>
      <c r="AQ51" s="57">
        <f>[16]January_2019!AA5</f>
        <v>0</v>
      </c>
      <c r="AR51" s="57">
        <f>[16]January_2019!AB5</f>
        <v>0</v>
      </c>
      <c r="AS51" s="57">
        <f>[16]January_2019!AC5</f>
        <v>0</v>
      </c>
      <c r="AT51" s="57">
        <f>[16]January_2019!AD5</f>
        <v>0</v>
      </c>
      <c r="AU51" s="57">
        <f>[16]January_2019!AE5</f>
        <v>0</v>
      </c>
      <c r="AV51" s="57">
        <f>[16]January_2019!AF5</f>
        <v>0</v>
      </c>
      <c r="AW51" s="57">
        <f>[16]January_2019!AG5</f>
        <v>0</v>
      </c>
      <c r="AX51" s="277">
        <f>[16]January_2019!AH5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14.25" customHeight="1" thickBot="1">
      <c r="B52" s="480"/>
      <c r="C52" s="479"/>
      <c r="D52" s="442"/>
      <c r="E52" s="443"/>
      <c r="F52" s="444"/>
      <c r="G52" s="445"/>
      <c r="H52" s="458"/>
      <c r="I52" s="458"/>
      <c r="J52" s="476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[16]January_2019!L6</f>
        <v>0</v>
      </c>
      <c r="AC52" s="57">
        <f>[16]January_2019!M6</f>
        <v>0</v>
      </c>
      <c r="AD52" s="57">
        <f>[16]January_2019!N6</f>
        <v>0</v>
      </c>
      <c r="AE52" s="57">
        <f>[16]January_2019!O6</f>
        <v>0</v>
      </c>
      <c r="AF52" s="57">
        <f>[16]January_2019!P6</f>
        <v>0</v>
      </c>
      <c r="AG52" s="57">
        <f>[16]January_2019!Q6</f>
        <v>0</v>
      </c>
      <c r="AH52" s="57">
        <f>[16]January_2019!R6</f>
        <v>0</v>
      </c>
      <c r="AI52" s="57">
        <f>[16]January_2019!S6</f>
        <v>0</v>
      </c>
      <c r="AJ52" s="57">
        <f>[16]January_2019!T6</f>
        <v>0</v>
      </c>
      <c r="AK52" s="57">
        <f>[16]January_2019!U6</f>
        <v>0</v>
      </c>
      <c r="AL52" s="57">
        <f>[16]January_2019!V6</f>
        <v>0</v>
      </c>
      <c r="AM52" s="57">
        <f>[16]January_2019!W6</f>
        <v>0</v>
      </c>
      <c r="AN52" s="57">
        <f>[16]January_2019!X6</f>
        <v>0</v>
      </c>
      <c r="AO52" s="57">
        <f>[16]January_2019!Y6</f>
        <v>0</v>
      </c>
      <c r="AP52" s="57">
        <f>[16]January_2019!Z6</f>
        <v>0</v>
      </c>
      <c r="AQ52" s="57">
        <f>[16]January_2019!AA6</f>
        <v>0</v>
      </c>
      <c r="AR52" s="57">
        <f>[16]January_2019!AB6</f>
        <v>0</v>
      </c>
      <c r="AS52" s="57">
        <f>[16]January_2019!AC6</f>
        <v>0</v>
      </c>
      <c r="AT52" s="57">
        <f>[16]January_2019!AD6</f>
        <v>0</v>
      </c>
      <c r="AU52" s="57">
        <f>[16]January_2019!AE6</f>
        <v>0</v>
      </c>
      <c r="AV52" s="57">
        <f>[16]January_2019!AF6</f>
        <v>0</v>
      </c>
      <c r="AW52" s="57">
        <f>[16]January_2019!AG6</f>
        <v>0</v>
      </c>
      <c r="AX52" s="277">
        <f>[16]January_2019!AH6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37.15" customHeight="1" thickBot="1">
      <c r="B53" s="456"/>
      <c r="C53" s="479"/>
      <c r="D53" s="442"/>
      <c r="E53" s="443"/>
      <c r="F53" s="444"/>
      <c r="G53" s="444"/>
      <c r="H53" s="446"/>
      <c r="I53" s="446"/>
      <c r="J53" s="476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[16]January_2019!L7</f>
        <v>285.8</v>
      </c>
      <c r="AC53" s="57">
        <f>[16]January_2019!M7</f>
        <v>508.1</v>
      </c>
      <c r="AD53" s="57">
        <f>[16]January_2019!N7</f>
        <v>0</v>
      </c>
      <c r="AE53" s="57">
        <f>[16]January_2019!O7</f>
        <v>0</v>
      </c>
      <c r="AF53" s="57">
        <f>[16]January_2019!P7</f>
        <v>109.56666666666666</v>
      </c>
      <c r="AG53" s="57">
        <f>[16]January_2019!Q7</f>
        <v>297.64999999999998</v>
      </c>
      <c r="AH53" s="57">
        <f>[16]January_2019!R7</f>
        <v>122.3</v>
      </c>
      <c r="AI53" s="57">
        <f>[16]January_2019!S7</f>
        <v>0</v>
      </c>
      <c r="AJ53" s="57">
        <f>[16]January_2019!T7</f>
        <v>294.7</v>
      </c>
      <c r="AK53" s="57">
        <f>[16]January_2019!U7</f>
        <v>280.5</v>
      </c>
      <c r="AL53" s="57">
        <f>[16]January_2019!V7</f>
        <v>0</v>
      </c>
      <c r="AM53" s="57">
        <f>[16]January_2019!W7</f>
        <v>0</v>
      </c>
      <c r="AN53" s="57">
        <f>[16]January_2019!X7</f>
        <v>188.25</v>
      </c>
      <c r="AO53" s="57">
        <f>[16]January_2019!Y7</f>
        <v>295.7</v>
      </c>
      <c r="AP53" s="57">
        <f>[16]January_2019!Z7</f>
        <v>257.8</v>
      </c>
      <c r="AQ53" s="57">
        <f>[16]January_2019!AA7</f>
        <v>291.2</v>
      </c>
      <c r="AR53" s="57">
        <f>[16]January_2019!AB7</f>
        <v>187</v>
      </c>
      <c r="AS53" s="57">
        <f>[16]January_2019!AC7</f>
        <v>0</v>
      </c>
      <c r="AT53" s="57">
        <f>[16]January_2019!AD7</f>
        <v>0</v>
      </c>
      <c r="AU53" s="57">
        <f>[16]January_2019!AE7</f>
        <v>485.1</v>
      </c>
      <c r="AV53" s="57">
        <f>[16]January_2019!AF7</f>
        <v>171.55</v>
      </c>
      <c r="AW53" s="57">
        <f>[16]January_2019!AG7</f>
        <v>423.8</v>
      </c>
      <c r="AX53" s="277">
        <f>[16]January_2019!AH7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8.600000000000001" hidden="1" customHeight="1" thickBot="1">
      <c r="B54" s="478"/>
      <c r="C54" s="430"/>
      <c r="D54" s="431"/>
      <c r="E54" s="432"/>
      <c r="F54" s="433"/>
      <c r="G54" s="434"/>
      <c r="H54" s="458"/>
      <c r="I54" s="458"/>
      <c r="J54" s="451"/>
      <c r="K54" s="436"/>
      <c r="L54" s="452"/>
      <c r="M54" s="421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8.65" hidden="1" customHeight="1" thickBot="1">
      <c r="B55" s="498"/>
      <c r="C55" s="479"/>
      <c r="D55" s="442"/>
      <c r="E55" s="443"/>
      <c r="F55" s="444"/>
      <c r="G55" s="445"/>
      <c r="H55" s="458"/>
      <c r="I55" s="458"/>
      <c r="J55" s="448"/>
      <c r="K55" s="45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5" hidden="1">
      <c r="B56" s="453"/>
      <c r="C56" s="430"/>
      <c r="D56" s="431"/>
      <c r="E56" s="432"/>
      <c r="F56" s="433"/>
      <c r="G56" s="434"/>
      <c r="H56" s="435"/>
      <c r="I56" s="450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7.15" hidden="1" customHeight="1" thickBot="1">
      <c r="B57" s="482"/>
      <c r="C57" s="479"/>
      <c r="D57" s="442"/>
      <c r="E57" s="443"/>
      <c r="F57" s="444"/>
      <c r="G57" s="445"/>
      <c r="H57" s="446"/>
      <c r="I57" s="447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6.5" hidden="1" customHeight="1" thickBot="1">
      <c r="B58" s="437"/>
      <c r="C58" s="423"/>
      <c r="D58" s="424"/>
      <c r="E58" s="425"/>
      <c r="F58" s="426"/>
      <c r="G58" s="427"/>
      <c r="H58" s="428"/>
      <c r="I58" s="438"/>
      <c r="J58" s="439"/>
      <c r="K58" s="429"/>
      <c r="L58" s="440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5"/>
      <c r="AC58" s="415"/>
      <c r="AD58" s="415"/>
      <c r="AE58" s="415"/>
      <c r="AF58" s="415"/>
      <c r="AG58" s="415"/>
      <c r="AH58" s="415"/>
      <c r="AI58" s="415"/>
      <c r="AJ58" s="415"/>
      <c r="AK58" s="415"/>
      <c r="AL58" s="415"/>
      <c r="AM58" s="415"/>
      <c r="AN58" s="415"/>
      <c r="AO58" s="415"/>
      <c r="AP58" s="415"/>
      <c r="AQ58" s="415"/>
      <c r="AR58" s="415"/>
      <c r="AS58" s="415"/>
      <c r="AT58" s="415"/>
      <c r="AU58" s="415"/>
      <c r="AV58" s="415"/>
      <c r="AW58" s="415"/>
    </row>
    <row r="59" spans="2:57" s="54" customFormat="1" ht="37.15" hidden="1" customHeight="1" thickBot="1">
      <c r="B59" s="456"/>
      <c r="C59" s="441"/>
      <c r="D59" s="442"/>
      <c r="E59" s="443"/>
      <c r="F59" s="444"/>
      <c r="G59" s="445"/>
      <c r="H59" s="446"/>
      <c r="I59" s="447"/>
      <c r="J59" s="448"/>
      <c r="K59" s="449"/>
      <c r="L59" s="457"/>
      <c r="M59" s="454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customHeight="1">
      <c r="B60" s="466"/>
      <c r="C60" s="430"/>
      <c r="D60" s="460"/>
      <c r="E60" s="461"/>
      <c r="F60" s="462"/>
      <c r="G60" s="460"/>
      <c r="H60" s="463"/>
      <c r="I60" s="463"/>
      <c r="J60" s="463"/>
      <c r="K60" s="464"/>
      <c r="L60" s="465"/>
      <c r="M60" s="50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 t="s">
        <v>41</v>
      </c>
      <c r="O61" s="56"/>
      <c r="P61" s="60"/>
    </row>
    <row r="62" spans="2:57" ht="15.75" thickBot="1">
      <c r="B62" s="559" t="s">
        <v>55</v>
      </c>
      <c r="C62" s="560"/>
      <c r="D62" s="560"/>
      <c r="E62" s="560"/>
      <c r="F62" s="561"/>
      <c r="G62" s="559" t="s">
        <v>56</v>
      </c>
      <c r="H62" s="560"/>
      <c r="I62" s="560"/>
      <c r="J62" s="561"/>
      <c r="K62" s="559" t="s">
        <v>51</v>
      </c>
      <c r="L62" s="560"/>
      <c r="M62" s="560"/>
      <c r="N62" s="562"/>
      <c r="O62" s="56"/>
      <c r="P62" s="50"/>
    </row>
    <row r="63" spans="2:57" ht="15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/>
      <c r="L63" s="62" t="s">
        <v>37</v>
      </c>
      <c r="M63" s="62" t="s">
        <v>38</v>
      </c>
      <c r="N63" s="63" t="s">
        <v>39</v>
      </c>
      <c r="O63" s="56"/>
      <c r="P63" s="64"/>
    </row>
    <row r="64" spans="2:57" ht="15">
      <c r="B64" s="29" t="s">
        <v>6</v>
      </c>
      <c r="C64" s="65"/>
      <c r="D64" s="76">
        <v>5.8785486254739441</v>
      </c>
      <c r="E64" s="76">
        <v>6.4209268360980332</v>
      </c>
      <c r="F64" s="66">
        <v>4.8</v>
      </c>
      <c r="G64" s="65"/>
      <c r="H64" s="477">
        <v>5.7524116160584295</v>
      </c>
      <c r="I64" s="477">
        <v>6.6518806494508196</v>
      </c>
      <c r="J64" s="66">
        <v>4.8</v>
      </c>
      <c r="K64" s="67"/>
      <c r="L64" s="194">
        <v>0.436729671400724</v>
      </c>
      <c r="M64" s="194">
        <v>0.52431533862318613</v>
      </c>
      <c r="N64" s="68">
        <v>1</v>
      </c>
      <c r="O64" s="56"/>
      <c r="P64" s="69"/>
    </row>
    <row r="65" spans="2:16" ht="15">
      <c r="B65" s="33" t="s">
        <v>9</v>
      </c>
      <c r="C65" s="65"/>
      <c r="D65" s="76">
        <v>7.5735775016350662</v>
      </c>
      <c r="E65" s="76">
        <v>5.9735660276997917</v>
      </c>
      <c r="F65" s="66">
        <v>4.8</v>
      </c>
      <c r="G65" s="65"/>
      <c r="H65" s="76">
        <v>7.2701428258065999</v>
      </c>
      <c r="I65" s="76">
        <v>5.9696748056569886</v>
      </c>
      <c r="J65" s="66">
        <v>4.8</v>
      </c>
      <c r="K65" s="67"/>
      <c r="L65" s="194">
        <v>0.67225146198830421</v>
      </c>
      <c r="M65" s="194">
        <v>0.69969789623338174</v>
      </c>
      <c r="N65" s="68">
        <v>1</v>
      </c>
      <c r="P65" s="69"/>
    </row>
    <row r="66" spans="2:16" ht="15">
      <c r="B66" s="34" t="s">
        <v>40</v>
      </c>
      <c r="C66" s="65"/>
      <c r="D66" s="76">
        <v>9.7381864623243946</v>
      </c>
      <c r="E66" s="76">
        <v>11.036329063250609</v>
      </c>
      <c r="F66" s="66">
        <v>5.5</v>
      </c>
      <c r="G66" s="65"/>
      <c r="H66" s="76">
        <v>10.372188565692998</v>
      </c>
      <c r="I66" s="76">
        <v>11.857907912244482</v>
      </c>
      <c r="J66" s="66">
        <v>5.5</v>
      </c>
      <c r="K66" s="67"/>
      <c r="L66" s="194">
        <v>0.39060428849902529</v>
      </c>
      <c r="M66" s="194">
        <v>0.35370190356844494</v>
      </c>
      <c r="N66" s="68">
        <v>1</v>
      </c>
      <c r="P66" s="69"/>
    </row>
    <row r="67" spans="2:16" ht="15">
      <c r="B67" s="22" t="s">
        <v>33</v>
      </c>
      <c r="C67" s="65"/>
      <c r="D67" s="76">
        <v>5.8939580764488237</v>
      </c>
      <c r="E67" s="76">
        <v>4.9930818024450101</v>
      </c>
      <c r="F67" s="66">
        <v>3.3</v>
      </c>
      <c r="G67" s="65"/>
      <c r="H67" s="76">
        <v>4.4868157900994037</v>
      </c>
      <c r="I67" s="76">
        <v>5.0198262122323412</v>
      </c>
      <c r="J67" s="66">
        <v>3.3</v>
      </c>
      <c r="K67" s="67"/>
      <c r="L67" s="194">
        <v>0.66947368421052622</v>
      </c>
      <c r="M67" s="194">
        <v>0.77831578947368429</v>
      </c>
      <c r="N67" s="68">
        <v>1</v>
      </c>
      <c r="P67" s="69"/>
    </row>
    <row r="68" spans="2:16" ht="15">
      <c r="B68" s="35" t="s">
        <v>164</v>
      </c>
      <c r="C68" s="65"/>
      <c r="D68" s="76"/>
      <c r="E68" s="76"/>
      <c r="F68" s="66">
        <v>3.3</v>
      </c>
      <c r="G68" s="282"/>
      <c r="H68" s="76"/>
      <c r="I68" s="76"/>
      <c r="J68" s="66">
        <v>3</v>
      </c>
      <c r="K68" s="67"/>
      <c r="L68" s="194"/>
      <c r="M68" s="194"/>
      <c r="N68" s="68">
        <v>1</v>
      </c>
      <c r="P68" s="69"/>
    </row>
    <row r="69" spans="2:16" ht="15">
      <c r="B69" s="36" t="s">
        <v>15</v>
      </c>
      <c r="C69" s="65"/>
      <c r="D69" s="76"/>
      <c r="E69" s="76">
        <v>6.0400197628458603</v>
      </c>
      <c r="F69" s="70">
        <v>5.5</v>
      </c>
      <c r="G69" s="65"/>
      <c r="H69" s="76"/>
      <c r="I69" s="76">
        <v>8.2405787675951316</v>
      </c>
      <c r="J69" s="66">
        <v>5.5</v>
      </c>
      <c r="K69" s="67"/>
      <c r="L69" s="194"/>
      <c r="M69" s="194">
        <v>0.78491228070175445</v>
      </c>
      <c r="N69" s="68">
        <v>1</v>
      </c>
      <c r="P69" s="69"/>
    </row>
    <row r="70" spans="2:16" ht="15">
      <c r="B70" s="37" t="s">
        <v>16</v>
      </c>
      <c r="C70" s="483"/>
      <c r="D70" s="76">
        <v>4.9879944807205456</v>
      </c>
      <c r="E70" s="76">
        <v>3.8893302476598364</v>
      </c>
      <c r="F70" s="66">
        <v>3.3</v>
      </c>
      <c r="G70" s="282"/>
      <c r="H70" s="76">
        <v>5.346203760314828</v>
      </c>
      <c r="I70" s="76">
        <v>5.0091179718082053</v>
      </c>
      <c r="J70" s="66">
        <v>3.3</v>
      </c>
      <c r="K70" s="67"/>
      <c r="L70" s="194">
        <v>1.1162280701754386</v>
      </c>
      <c r="M70" s="194">
        <v>0.92642300194931759</v>
      </c>
      <c r="N70" s="71">
        <v>1</v>
      </c>
      <c r="P70" s="69"/>
    </row>
    <row r="71" spans="2:16" ht="15.75" thickBot="1">
      <c r="B71" s="38" t="s">
        <v>163</v>
      </c>
      <c r="C71" s="65"/>
      <c r="D71" s="76"/>
      <c r="E71" s="76"/>
      <c r="F71" s="66">
        <v>7.5</v>
      </c>
      <c r="G71" s="282"/>
      <c r="H71" s="76"/>
      <c r="I71" s="76"/>
      <c r="J71" s="66">
        <v>7.5</v>
      </c>
      <c r="K71" s="67"/>
      <c r="L71" s="194"/>
      <c r="M71" s="194"/>
      <c r="N71" s="71">
        <v>1</v>
      </c>
      <c r="P71" s="69"/>
    </row>
    <row r="72" spans="2:16" ht="15.75" thickBot="1">
      <c r="B72" s="414" t="s">
        <v>161</v>
      </c>
      <c r="C72" s="65"/>
      <c r="D72" s="76"/>
      <c r="E72" s="76"/>
      <c r="F72" s="66">
        <v>4.8</v>
      </c>
      <c r="G72" s="282"/>
      <c r="H72" s="76"/>
      <c r="I72" s="76"/>
      <c r="J72" s="66">
        <v>4.8</v>
      </c>
      <c r="K72" s="67"/>
      <c r="L72" s="194"/>
      <c r="M72" s="194"/>
      <c r="N72" s="71">
        <v>1</v>
      </c>
      <c r="O72" s="74"/>
      <c r="P72" s="75"/>
    </row>
    <row r="73" spans="2:16" ht="15">
      <c r="D73" s="76">
        <v>6.397266438210532</v>
      </c>
      <c r="E73" s="76">
        <v>6.3343748106732569</v>
      </c>
      <c r="F73" s="341">
        <v>5.5</v>
      </c>
      <c r="H73" s="76">
        <v>6.3554696006669573</v>
      </c>
      <c r="I73" s="76">
        <v>6.7142370389641162</v>
      </c>
      <c r="J73" s="341">
        <v>5.5</v>
      </c>
      <c r="L73" s="194">
        <v>0.53958348251581334</v>
      </c>
      <c r="M73" s="194">
        <v>0.59798177683670051</v>
      </c>
      <c r="N73" s="386">
        <v>1</v>
      </c>
    </row>
  </sheetData>
  <mergeCells count="51">
    <mergeCell ref="M49:M50"/>
    <mergeCell ref="B62:F62"/>
    <mergeCell ref="G62:J62"/>
    <mergeCell ref="K62:N62"/>
    <mergeCell ref="G49:G50"/>
    <mergeCell ref="H49:H50"/>
    <mergeCell ref="I49:I50"/>
    <mergeCell ref="J49:J50"/>
    <mergeCell ref="K49:K50"/>
    <mergeCell ref="L49:L50"/>
    <mergeCell ref="F49:F50"/>
    <mergeCell ref="D44:E44"/>
    <mergeCell ref="B49:B50"/>
    <mergeCell ref="C49:C50"/>
    <mergeCell ref="D49:D50"/>
    <mergeCell ref="E49:E50"/>
    <mergeCell ref="B34:B43"/>
    <mergeCell ref="D34:E35"/>
    <mergeCell ref="J34:K34"/>
    <mergeCell ref="L35:N35"/>
    <mergeCell ref="D36:E37"/>
    <mergeCell ref="D38:E39"/>
    <mergeCell ref="D40:E41"/>
    <mergeCell ref="D42:E43"/>
    <mergeCell ref="I20:N20"/>
    <mergeCell ref="D21:E21"/>
    <mergeCell ref="B22:B33"/>
    <mergeCell ref="D22:E23"/>
    <mergeCell ref="D24:E25"/>
    <mergeCell ref="D26:E27"/>
    <mergeCell ref="D28:E29"/>
    <mergeCell ref="D30:E31"/>
    <mergeCell ref="D32:E33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4:B45">
    <cfRule type="cellIs" dxfId="393" priority="116" operator="notBetween">
      <formula>#REF!</formula>
      <formula>#REF!</formula>
    </cfRule>
  </conditionalFormatting>
  <conditionalFormatting sqref="C48">
    <cfRule type="cellIs" dxfId="392" priority="198" stopIfTrue="1" operator="lessThan">
      <formula>96</formula>
    </cfRule>
    <cfRule type="cellIs" dxfId="391" priority="199" stopIfTrue="1" operator="greaterThan">
      <formula>100</formula>
    </cfRule>
  </conditionalFormatting>
  <conditionalFormatting sqref="C64:C65">
    <cfRule type="cellIs" dxfId="390" priority="78" stopIfTrue="1" operator="greaterThan">
      <formula>$F64</formula>
    </cfRule>
    <cfRule type="cellIs" dxfId="389" priority="79" stopIfTrue="1" operator="lessThanOrEqual">
      <formula>0</formula>
    </cfRule>
    <cfRule type="cellIs" dxfId="388" priority="80" stopIfTrue="1" operator="greaterThan">
      <formula>$F64</formula>
    </cfRule>
    <cfRule type="cellIs" dxfId="387" priority="81" stopIfTrue="1" operator="lessThanOrEqual">
      <formula>0</formula>
    </cfRule>
  </conditionalFormatting>
  <conditionalFormatting sqref="C66:C68 C70:C72">
    <cfRule type="cellIs" dxfId="386" priority="88" stopIfTrue="1" operator="greaterThan">
      <formula>$F69</formula>
    </cfRule>
  </conditionalFormatting>
  <conditionalFormatting sqref="C66:C68">
    <cfRule type="cellIs" dxfId="385" priority="89" stopIfTrue="1" operator="lessThanOrEqual">
      <formula>0</formula>
    </cfRule>
  </conditionalFormatting>
  <conditionalFormatting sqref="C69">
    <cfRule type="cellIs" dxfId="384" priority="200" stopIfTrue="1" operator="greaterThan">
      <formula>$F64</formula>
    </cfRule>
    <cfRule type="cellIs" dxfId="383" priority="203" stopIfTrue="1" operator="lessThanOrEqual">
      <formula>0</formula>
    </cfRule>
    <cfRule type="cellIs" dxfId="382" priority="202" stopIfTrue="1" operator="greaterThan">
      <formula>$F64</formula>
    </cfRule>
    <cfRule type="cellIs" dxfId="381" priority="201" stopIfTrue="1" operator="lessThanOrEqual">
      <formula>0</formula>
    </cfRule>
  </conditionalFormatting>
  <conditionalFormatting sqref="C70:C72">
    <cfRule type="cellIs" dxfId="380" priority="90" stopIfTrue="1" operator="lessThanOrEqual">
      <formula>0</formula>
    </cfRule>
  </conditionalFormatting>
  <conditionalFormatting sqref="C75:C79">
    <cfRule type="cellIs" dxfId="379" priority="190" stopIfTrue="1" operator="lessThanOrEqual">
      <formula>0</formula>
    </cfRule>
  </conditionalFormatting>
  <conditionalFormatting sqref="C76:C79">
    <cfRule type="cellIs" dxfId="378" priority="189" stopIfTrue="1" operator="greaterThan">
      <formula>$F$75</formula>
    </cfRule>
  </conditionalFormatting>
  <conditionalFormatting sqref="C81">
    <cfRule type="cellIs" dxfId="377" priority="191" stopIfTrue="1" operator="greaterThan">
      <formula>$F$75</formula>
    </cfRule>
    <cfRule type="cellIs" dxfId="376" priority="192" stopIfTrue="1" operator="lessThanOrEqual">
      <formula>0</formula>
    </cfRule>
  </conditionalFormatting>
  <conditionalFormatting sqref="C69:D69">
    <cfRule type="cellIs" dxfId="375" priority="76" stopIfTrue="1" operator="greaterThan">
      <formula>$J69</formula>
    </cfRule>
    <cfRule type="cellIs" dxfId="374" priority="77" stopIfTrue="1" operator="lessThanOrEqual">
      <formula>0</formula>
    </cfRule>
  </conditionalFormatting>
  <conditionalFormatting sqref="C75:D75 D77:D83">
    <cfRule type="cellIs" dxfId="373" priority="184" stopIfTrue="1" operator="greaterThan">
      <formula>4.5</formula>
    </cfRule>
  </conditionalFormatting>
  <conditionalFormatting sqref="D44:D45">
    <cfRule type="cellIs" dxfId="372" priority="117" operator="notBetween">
      <formula>#REF!</formula>
      <formula>#REF!</formula>
    </cfRule>
  </conditionalFormatting>
  <conditionalFormatting sqref="D64:D68 D70:D71">
    <cfRule type="cellIs" dxfId="371" priority="87" stopIfTrue="1" operator="lessThanOrEqual">
      <formula>0</formula>
    </cfRule>
  </conditionalFormatting>
  <conditionalFormatting sqref="D64:D68 D70:D73">
    <cfRule type="cellIs" dxfId="370" priority="83" stopIfTrue="1" operator="lessThanOrEqual">
      <formula>0</formula>
    </cfRule>
    <cfRule type="cellIs" dxfId="369" priority="84" stopIfTrue="1" operator="greaterThan">
      <formula>$F64</formula>
    </cfRule>
  </conditionalFormatting>
  <conditionalFormatting sqref="D72:D73">
    <cfRule type="cellIs" dxfId="368" priority="85" stopIfTrue="1" operator="lessThanOrEqual">
      <formula>0</formula>
    </cfRule>
  </conditionalFormatting>
  <conditionalFormatting sqref="D73">
    <cfRule type="cellIs" dxfId="367" priority="86" stopIfTrue="1" operator="lessThanOrEqual">
      <formula>0</formula>
    </cfRule>
  </conditionalFormatting>
  <conditionalFormatting sqref="D75 D77:D83">
    <cfRule type="cellIs" dxfId="366" priority="185" stopIfTrue="1" operator="lessThanOrEqual">
      <formula>0</formula>
    </cfRule>
  </conditionalFormatting>
  <conditionalFormatting sqref="D76">
    <cfRule type="cellIs" dxfId="365" priority="176" stopIfTrue="1" operator="greaterThan">
      <formula>$F$75</formula>
    </cfRule>
    <cfRule type="cellIs" dxfId="364" priority="177" stopIfTrue="1" operator="lessThanOrEqual">
      <formula>0</formula>
    </cfRule>
  </conditionalFormatting>
  <conditionalFormatting sqref="E18:E19">
    <cfRule type="cellIs" dxfId="363" priority="18" operator="lessThan">
      <formula>48</formula>
    </cfRule>
  </conditionalFormatting>
  <conditionalFormatting sqref="E47 E48:F48">
    <cfRule type="cellIs" dxfId="362" priority="181" stopIfTrue="1" operator="greaterThan">
      <formula>100</formula>
    </cfRule>
  </conditionalFormatting>
  <conditionalFormatting sqref="E48">
    <cfRule type="cellIs" dxfId="361" priority="179" stopIfTrue="1" operator="greaterThan">
      <formula>100</formula>
    </cfRule>
    <cfRule type="cellIs" dxfId="360" priority="178" stopIfTrue="1" operator="lessThan">
      <formula>96.8</formula>
    </cfRule>
  </conditionalFormatting>
  <conditionalFormatting sqref="E64:E72">
    <cfRule type="cellIs" dxfId="359" priority="49" stopIfTrue="1" operator="lessThanOrEqual">
      <formula>0</formula>
    </cfRule>
  </conditionalFormatting>
  <conditionalFormatting sqref="E64:E73">
    <cfRule type="cellIs" dxfId="358" priority="50" stopIfTrue="1" operator="greaterThan">
      <formula>$F64</formula>
    </cfRule>
    <cfRule type="cellIs" dxfId="357" priority="51" stopIfTrue="1" operator="lessThanOrEqual">
      <formula>0</formula>
    </cfRule>
  </conditionalFormatting>
  <conditionalFormatting sqref="E73">
    <cfRule type="cellIs" dxfId="356" priority="52" stopIfTrue="1" operator="lessThanOrEqual">
      <formula>0</formula>
    </cfRule>
  </conditionalFormatting>
  <conditionalFormatting sqref="E75:E83">
    <cfRule type="cellIs" dxfId="355" priority="170" stopIfTrue="1" operator="greaterThan">
      <formula>4.5</formula>
    </cfRule>
    <cfRule type="cellIs" dxfId="354" priority="171" stopIfTrue="1" operator="lessThanOrEqual">
      <formula>0</formula>
    </cfRule>
  </conditionalFormatting>
  <conditionalFormatting sqref="E48:F48 E47">
    <cfRule type="cellIs" dxfId="353" priority="180" stopIfTrue="1" operator="lessThan">
      <formula>96.5</formula>
    </cfRule>
  </conditionalFormatting>
  <conditionalFormatting sqref="F18:F19">
    <cfRule type="cellIs" dxfId="352" priority="26" operator="greaterThan">
      <formula>60</formula>
    </cfRule>
  </conditionalFormatting>
  <conditionalFormatting sqref="F48">
    <cfRule type="cellIs" dxfId="351" priority="196" stopIfTrue="1" operator="lessThan">
      <formula>96.8</formula>
    </cfRule>
    <cfRule type="cellIs" dxfId="350" priority="197" stopIfTrue="1" operator="greaterThan">
      <formula>100</formula>
    </cfRule>
  </conditionalFormatting>
  <conditionalFormatting sqref="G18">
    <cfRule type="expression" dxfId="349" priority="22">
      <formula>IF(+(IF(G18&lt;S18,0,IF(G18&gt;T18,0,1)))=0,1)</formula>
    </cfRule>
  </conditionalFormatting>
  <conditionalFormatting sqref="G64:G67 F73">
    <cfRule type="cellIs" dxfId="348" priority="58" stopIfTrue="1" operator="greaterThan">
      <formula>$F64</formula>
    </cfRule>
    <cfRule type="cellIs" dxfId="347" priority="59" stopIfTrue="1" operator="lessThanOrEqual">
      <formula>0</formula>
    </cfRule>
  </conditionalFormatting>
  <conditionalFormatting sqref="G66:G67">
    <cfRule type="cellIs" dxfId="346" priority="45" stopIfTrue="1" operator="lessThanOrEqual">
      <formula>0</formula>
    </cfRule>
    <cfRule type="cellIs" dxfId="345" priority="44" stopIfTrue="1" operator="greaterThan">
      <formula>$F66</formula>
    </cfRule>
  </conditionalFormatting>
  <conditionalFormatting sqref="G68:G72">
    <cfRule type="cellIs" dxfId="344" priority="61" stopIfTrue="1" operator="lessThanOrEqual">
      <formula>0</formula>
    </cfRule>
    <cfRule type="cellIs" dxfId="343" priority="60" stopIfTrue="1" operator="greaterThan">
      <formula>$J68</formula>
    </cfRule>
  </conditionalFormatting>
  <conditionalFormatting sqref="G69">
    <cfRule type="cellIs" dxfId="342" priority="204" stopIfTrue="1" operator="greaterThan">
      <formula>$F64</formula>
    </cfRule>
    <cfRule type="cellIs" dxfId="341" priority="205" stopIfTrue="1" operator="lessThanOrEqual">
      <formula>0</formula>
    </cfRule>
  </conditionalFormatting>
  <conditionalFormatting sqref="G77:G82 C80 C82">
    <cfRule type="cellIs" dxfId="340" priority="193" stopIfTrue="1" operator="greaterThan">
      <formula>4.5</formula>
    </cfRule>
    <cfRule type="cellIs" dxfId="339" priority="194" stopIfTrue="1" operator="lessThanOrEqual">
      <formula>0</formula>
    </cfRule>
  </conditionalFormatting>
  <conditionalFormatting sqref="G18:H19 M18:N19">
    <cfRule type="expression" dxfId="338" priority="24">
      <formula>IF(+(IF(G18&lt;#REF!,0,IF(G18&gt;#REF!,0,1)))=0,1)</formula>
    </cfRule>
  </conditionalFormatting>
  <conditionalFormatting sqref="G76:H76">
    <cfRule type="cellIs" dxfId="337" priority="175" stopIfTrue="1" operator="lessThanOrEqual">
      <formula>0</formula>
    </cfRule>
    <cfRule type="cellIs" dxfId="336" priority="174" stopIfTrue="1" operator="greaterThan">
      <formula>$F$75</formula>
    </cfRule>
  </conditionalFormatting>
  <conditionalFormatting sqref="H33:H34 H47">
    <cfRule type="cellIs" dxfId="335" priority="172" stopIfTrue="1" operator="greaterThan">
      <formula>0</formula>
    </cfRule>
  </conditionalFormatting>
  <conditionalFormatting sqref="H51">
    <cfRule type="cellIs" dxfId="334" priority="72" stopIfTrue="1" operator="greaterThan">
      <formula>$F$67</formula>
    </cfRule>
    <cfRule type="cellIs" dxfId="333" priority="63" stopIfTrue="1" operator="lessThanOrEqual">
      <formula>0</formula>
    </cfRule>
    <cfRule type="cellIs" dxfId="332" priority="64" stopIfTrue="1" operator="greaterThan">
      <formula>$F$64</formula>
    </cfRule>
    <cfRule type="cellIs" dxfId="331" priority="74" stopIfTrue="1" operator="greaterThan">
      <formula>$F$65</formula>
    </cfRule>
    <cfRule type="cellIs" dxfId="330" priority="73" stopIfTrue="1" operator="lessThanOrEqual">
      <formula>0</formula>
    </cfRule>
  </conditionalFormatting>
  <conditionalFormatting sqref="H51:H52">
    <cfRule type="cellIs" dxfId="329" priority="75" stopIfTrue="1" operator="lessThanOrEqual">
      <formula>0</formula>
    </cfRule>
  </conditionalFormatting>
  <conditionalFormatting sqref="H52 H54:H55">
    <cfRule type="cellIs" dxfId="328" priority="102" stopIfTrue="1" operator="lessThanOrEqual">
      <formula>0</formula>
    </cfRule>
  </conditionalFormatting>
  <conditionalFormatting sqref="H52">
    <cfRule type="cellIs" dxfId="327" priority="99" stopIfTrue="1" operator="greaterThan">
      <formula>$F$67</formula>
    </cfRule>
    <cfRule type="cellIs" dxfId="326" priority="101" stopIfTrue="1" operator="greaterThan">
      <formula>$F$65</formula>
    </cfRule>
    <cfRule type="cellIs" dxfId="325" priority="91" stopIfTrue="1" operator="greaterThan">
      <formula>$F$64</formula>
    </cfRule>
    <cfRule type="cellIs" dxfId="324" priority="100" stopIfTrue="1" operator="lessThanOrEqual">
      <formula>0</formula>
    </cfRule>
  </conditionalFormatting>
  <conditionalFormatting sqref="H53">
    <cfRule type="cellIs" dxfId="323" priority="30" stopIfTrue="1" operator="lessThanOrEqual">
      <formula>0</formula>
    </cfRule>
    <cfRule type="cellIs" dxfId="322" priority="31" stopIfTrue="1" operator="greaterThan">
      <formula>$F$66</formula>
    </cfRule>
    <cfRule type="cellIs" dxfId="321" priority="39" stopIfTrue="1" operator="greaterThan">
      <formula>$F$69</formula>
    </cfRule>
    <cfRule type="cellIs" dxfId="320" priority="40" stopIfTrue="1" operator="lessThanOrEqual">
      <formula>0</formula>
    </cfRule>
    <cfRule type="cellIs" dxfId="319" priority="41" stopIfTrue="1" operator="greaterThan">
      <formula>$F$67</formula>
    </cfRule>
    <cfRule type="cellIs" dxfId="318" priority="42" stopIfTrue="1" operator="lessThanOrEqual">
      <formula>0</formula>
    </cfRule>
  </conditionalFormatting>
  <conditionalFormatting sqref="H54:H55">
    <cfRule type="cellIs" dxfId="317" priority="115" stopIfTrue="1" operator="lessThanOrEqual">
      <formula>0</formula>
    </cfRule>
    <cfRule type="cellIs" dxfId="316" priority="112" stopIfTrue="1" operator="greaterThan">
      <formula>$F$67</formula>
    </cfRule>
    <cfRule type="cellIs" dxfId="315" priority="114" stopIfTrue="1" operator="greaterThan">
      <formula>$F$65</formula>
    </cfRule>
    <cfRule type="cellIs" dxfId="314" priority="104" stopIfTrue="1" operator="greaterThan">
      <formula>$F$64</formula>
    </cfRule>
    <cfRule type="cellIs" dxfId="313" priority="113" stopIfTrue="1" operator="lessThanOrEqual">
      <formula>0</formula>
    </cfRule>
  </conditionalFormatting>
  <conditionalFormatting sqref="H56:H57">
    <cfRule type="cellIs" dxfId="312" priority="140" stopIfTrue="1" operator="greaterThan">
      <formula>#REF!</formula>
    </cfRule>
    <cfRule type="cellIs" dxfId="311" priority="139" stopIfTrue="1" operator="lessThanOrEqual">
      <formula>0</formula>
    </cfRule>
    <cfRule type="cellIs" dxfId="310" priority="148" stopIfTrue="1" operator="greaterThan">
      <formula>#REF!</formula>
    </cfRule>
    <cfRule type="cellIs" dxfId="309" priority="149" stopIfTrue="1" operator="lessThanOrEqual">
      <formula>0</formula>
    </cfRule>
  </conditionalFormatting>
  <conditionalFormatting sqref="H58">
    <cfRule type="cellIs" dxfId="308" priority="161" stopIfTrue="1" operator="lessThanOrEqual">
      <formula>0</formula>
    </cfRule>
    <cfRule type="cellIs" dxfId="307" priority="163" stopIfTrue="1" operator="lessThanOrEqual">
      <formula>0</formula>
    </cfRule>
    <cfRule type="cellIs" dxfId="306" priority="162" stopIfTrue="1" operator="greaterThan">
      <formula>$F$33</formula>
    </cfRule>
    <cfRule type="cellIs" dxfId="305" priority="151" stopIfTrue="1" operator="lessThanOrEqual">
      <formula>0</formula>
    </cfRule>
    <cfRule type="cellIs" dxfId="304" priority="152" stopIfTrue="1" operator="greaterThan">
      <formula>$F$32</formula>
    </cfRule>
    <cfRule type="cellIs" dxfId="303" priority="160" stopIfTrue="1" operator="greaterThan">
      <formula>$F$35</formula>
    </cfRule>
  </conditionalFormatting>
  <conditionalFormatting sqref="H59:H60">
    <cfRule type="cellIs" dxfId="302" priority="128" stopIfTrue="1" operator="greaterThan">
      <formula>#REF!</formula>
    </cfRule>
    <cfRule type="cellIs" dxfId="301" priority="137" stopIfTrue="1" operator="lessThanOrEqual">
      <formula>0</formula>
    </cfRule>
    <cfRule type="cellIs" dxfId="300" priority="136" stopIfTrue="1" operator="greaterThan">
      <formula>#REF!</formula>
    </cfRule>
    <cfRule type="cellIs" dxfId="299" priority="127" stopIfTrue="1" operator="lessThanOrEqual">
      <formula>0</formula>
    </cfRule>
  </conditionalFormatting>
  <conditionalFormatting sqref="H75 H77:H83">
    <cfRule type="cellIs" dxfId="298" priority="187" stopIfTrue="1" operator="lessThanOrEqual">
      <formula>0</formula>
    </cfRule>
    <cfRule type="cellIs" dxfId="297" priority="186" stopIfTrue="1" operator="greaterThan">
      <formula>4.5</formula>
    </cfRule>
  </conditionalFormatting>
  <conditionalFormatting sqref="H51:I51">
    <cfRule type="cellIs" dxfId="296" priority="65" stopIfTrue="1" operator="lessThanOrEqual">
      <formula>0</formula>
    </cfRule>
  </conditionalFormatting>
  <conditionalFormatting sqref="H51:I52 H54:I55">
    <cfRule type="cellIs" dxfId="295" priority="62" stopIfTrue="1" operator="greaterThan">
      <formula>$F$66</formula>
    </cfRule>
  </conditionalFormatting>
  <conditionalFormatting sqref="H52:I52">
    <cfRule type="cellIs" dxfId="294" priority="92" stopIfTrue="1" operator="lessThanOrEqual">
      <formula>0</formula>
    </cfRule>
  </conditionalFormatting>
  <conditionalFormatting sqref="H53:I53">
    <cfRule type="cellIs" dxfId="293" priority="29" stopIfTrue="1" operator="greaterThan">
      <formula>$F$68</formula>
    </cfRule>
    <cfRule type="cellIs" dxfId="292" priority="32" stopIfTrue="1" operator="lessThanOrEqual">
      <formula>0</formula>
    </cfRule>
  </conditionalFormatting>
  <conditionalFormatting sqref="H54:I55">
    <cfRule type="cellIs" dxfId="291" priority="105" stopIfTrue="1" operator="lessThanOrEqual">
      <formula>0</formula>
    </cfRule>
  </conditionalFormatting>
  <conditionalFormatting sqref="H56:I57">
    <cfRule type="cellIs" dxfId="290" priority="147" stopIfTrue="1" operator="lessThanOrEqual">
      <formula>0</formula>
    </cfRule>
    <cfRule type="cellIs" dxfId="289" priority="146" stopIfTrue="1" operator="greaterThan">
      <formula>#REF!</formula>
    </cfRule>
    <cfRule type="cellIs" dxfId="288" priority="141" stopIfTrue="1" operator="lessThanOrEqual">
      <formula>0</formula>
    </cfRule>
    <cfRule type="cellIs" dxfId="287" priority="138" stopIfTrue="1" operator="greaterThan">
      <formula>#REF!</formula>
    </cfRule>
  </conditionalFormatting>
  <conditionalFormatting sqref="H58:I58">
    <cfRule type="cellIs" dxfId="286" priority="153" stopIfTrue="1" operator="lessThanOrEqual">
      <formula>0</formula>
    </cfRule>
    <cfRule type="cellIs" dxfId="285" priority="150" stopIfTrue="1" operator="greaterThan">
      <formula>$F$34</formula>
    </cfRule>
  </conditionalFormatting>
  <conditionalFormatting sqref="H59:I60">
    <cfRule type="cellIs" dxfId="284" priority="135" stopIfTrue="1" operator="lessThanOrEqual">
      <formula>0</formula>
    </cfRule>
    <cfRule type="cellIs" dxfId="283" priority="134" stopIfTrue="1" operator="greaterThan">
      <formula>#REF!</formula>
    </cfRule>
    <cfRule type="cellIs" dxfId="282" priority="129" stopIfTrue="1" operator="lessThanOrEqual">
      <formula>0</formula>
    </cfRule>
    <cfRule type="cellIs" dxfId="281" priority="126" stopIfTrue="1" operator="greaterThan">
      <formula>#REF!</formula>
    </cfRule>
  </conditionalFormatting>
  <conditionalFormatting sqref="H64:I71">
    <cfRule type="cellIs" dxfId="280" priority="48" stopIfTrue="1" operator="lessThanOrEqual">
      <formula>0</formula>
    </cfRule>
    <cfRule type="cellIs" dxfId="279" priority="47" stopIfTrue="1" operator="greaterThan">
      <formula>$J64</formula>
    </cfRule>
  </conditionalFormatting>
  <conditionalFormatting sqref="H72:I72">
    <cfRule type="cellIs" dxfId="278" priority="55" operator="greaterThan">
      <formula>5.3</formula>
    </cfRule>
  </conditionalFormatting>
  <conditionalFormatting sqref="H73:I73">
    <cfRule type="cellIs" dxfId="277" priority="54" stopIfTrue="1" operator="lessThanOrEqual">
      <formula>0</formula>
    </cfRule>
    <cfRule type="cellIs" dxfId="276" priority="53" stopIfTrue="1" operator="greaterThan">
      <formula>$J73</formula>
    </cfRule>
  </conditionalFormatting>
  <conditionalFormatting sqref="I51">
    <cfRule type="cellIs" dxfId="275" priority="66" stopIfTrue="1" operator="greaterThan">
      <formula>$F$64</formula>
    </cfRule>
    <cfRule type="cellIs" dxfId="274" priority="68" stopIfTrue="1" operator="greaterThan">
      <formula>$F$66</formula>
    </cfRule>
    <cfRule type="cellIs" dxfId="273" priority="69" stopIfTrue="1" operator="lessThanOrEqual">
      <formula>0</formula>
    </cfRule>
    <cfRule type="cellIs" dxfId="272" priority="67" stopIfTrue="1" operator="lessThanOrEqual">
      <formula>0</formula>
    </cfRule>
    <cfRule type="cellIs" dxfId="271" priority="70" stopIfTrue="1" operator="greaterThan">
      <formula>$F$64</formula>
    </cfRule>
    <cfRule type="cellIs" dxfId="270" priority="71" stopIfTrue="1" operator="lessThanOrEqual">
      <formula>0</formula>
    </cfRule>
  </conditionalFormatting>
  <conditionalFormatting sqref="I52">
    <cfRule type="cellIs" dxfId="269" priority="98" stopIfTrue="1" operator="lessThanOrEqual">
      <formula>0</formula>
    </cfRule>
    <cfRule type="cellIs" dxfId="268" priority="97" stopIfTrue="1" operator="greaterThan">
      <formula>$F$64</formula>
    </cfRule>
    <cfRule type="cellIs" dxfId="267" priority="96" stopIfTrue="1" operator="lessThanOrEqual">
      <formula>0</formula>
    </cfRule>
    <cfRule type="cellIs" dxfId="266" priority="95" stopIfTrue="1" operator="greaterThan">
      <formula>$F$66</formula>
    </cfRule>
    <cfRule type="cellIs" dxfId="265" priority="94" stopIfTrue="1" operator="lessThanOrEqual">
      <formula>0</formula>
    </cfRule>
    <cfRule type="cellIs" dxfId="264" priority="93" stopIfTrue="1" operator="greaterThan">
      <formula>$F$64</formula>
    </cfRule>
  </conditionalFormatting>
  <conditionalFormatting sqref="I53">
    <cfRule type="cellIs" dxfId="263" priority="33" stopIfTrue="1" operator="greaterThan">
      <formula>$F$66</formula>
    </cfRule>
    <cfRule type="cellIs" dxfId="262" priority="34" stopIfTrue="1" operator="lessThanOrEqual">
      <formula>0</formula>
    </cfRule>
    <cfRule type="cellIs" dxfId="261" priority="36" stopIfTrue="1" operator="lessThanOrEqual">
      <formula>0</formula>
    </cfRule>
    <cfRule type="cellIs" dxfId="260" priority="35" stopIfTrue="1" operator="greaterThan">
      <formula>$F$68</formula>
    </cfRule>
    <cfRule type="cellIs" dxfId="259" priority="38" stopIfTrue="1" operator="lessThanOrEqual">
      <formula>0</formula>
    </cfRule>
    <cfRule type="cellIs" dxfId="258" priority="37" stopIfTrue="1" operator="greaterThan">
      <formula>$F$66</formula>
    </cfRule>
  </conditionalFormatting>
  <conditionalFormatting sqref="I54:I55">
    <cfRule type="cellIs" dxfId="257" priority="109" stopIfTrue="1" operator="lessThanOrEqual">
      <formula>0</formula>
    </cfRule>
    <cfRule type="cellIs" dxfId="256" priority="110" stopIfTrue="1" operator="greaterThan">
      <formula>$F$64</formula>
    </cfRule>
    <cfRule type="cellIs" dxfId="255" priority="111" stopIfTrue="1" operator="lessThanOrEqual">
      <formula>0</formula>
    </cfRule>
    <cfRule type="cellIs" dxfId="254" priority="106" stopIfTrue="1" operator="greaterThan">
      <formula>$F$64</formula>
    </cfRule>
    <cfRule type="cellIs" dxfId="253" priority="107" stopIfTrue="1" operator="lessThanOrEqual">
      <formula>0</formula>
    </cfRule>
    <cfRule type="cellIs" dxfId="252" priority="108" stopIfTrue="1" operator="greaterThan">
      <formula>$F$66</formula>
    </cfRule>
  </conditionalFormatting>
  <conditionalFormatting sqref="I56:I57">
    <cfRule type="cellIs" dxfId="251" priority="143" stopIfTrue="1" operator="lessThanOrEqual">
      <formula>0</formula>
    </cfRule>
    <cfRule type="cellIs" dxfId="250" priority="142" stopIfTrue="1" operator="greaterThan">
      <formula>#REF!</formula>
    </cfRule>
    <cfRule type="cellIs" dxfId="249" priority="145" stopIfTrue="1" operator="lessThanOrEqual">
      <formula>0</formula>
    </cfRule>
    <cfRule type="cellIs" dxfId="248" priority="144" stopIfTrue="1" operator="greaterThan">
      <formula>#REF!</formula>
    </cfRule>
  </conditionalFormatting>
  <conditionalFormatting sqref="I58">
    <cfRule type="cellIs" dxfId="247" priority="158" stopIfTrue="1" operator="greaterThan">
      <formula>$F$32</formula>
    </cfRule>
    <cfRule type="cellIs" dxfId="246" priority="156" stopIfTrue="1" operator="greaterThan">
      <formula>$F$34</formula>
    </cfRule>
    <cfRule type="cellIs" dxfId="245" priority="157" stopIfTrue="1" operator="lessThanOrEqual">
      <formula>0</formula>
    </cfRule>
    <cfRule type="cellIs" dxfId="244" priority="159" stopIfTrue="1" operator="lessThanOrEqual">
      <formula>0</formula>
    </cfRule>
    <cfRule type="cellIs" dxfId="243" priority="154" stopIfTrue="1" operator="greaterThan">
      <formula>$F$32</formula>
    </cfRule>
    <cfRule type="cellIs" dxfId="242" priority="155" stopIfTrue="1" operator="lessThanOrEqual">
      <formula>0</formula>
    </cfRule>
  </conditionalFormatting>
  <conditionalFormatting sqref="I59:I60">
    <cfRule type="cellIs" dxfId="241" priority="130" stopIfTrue="1" operator="greaterThan">
      <formula>#REF!</formula>
    </cfRule>
    <cfRule type="cellIs" dxfId="240" priority="131" stopIfTrue="1" operator="lessThanOrEqual">
      <formula>0</formula>
    </cfRule>
    <cfRule type="cellIs" dxfId="239" priority="132" stopIfTrue="1" operator="greaterThan">
      <formula>#REF!</formula>
    </cfRule>
    <cfRule type="cellIs" dxfId="238" priority="133" stopIfTrue="1" operator="lessThanOrEqual">
      <formula>0</formula>
    </cfRule>
  </conditionalFormatting>
  <conditionalFormatting sqref="I75:I83">
    <cfRule type="cellIs" dxfId="237" priority="182" stopIfTrue="1" operator="greaterThan">
      <formula>4.5</formula>
    </cfRule>
    <cfRule type="cellIs" dxfId="236" priority="183" stopIfTrue="1" operator="lessThanOrEqual">
      <formula>0</formula>
    </cfRule>
  </conditionalFormatting>
  <conditionalFormatting sqref="I18:J19">
    <cfRule type="cellIs" dxfId="235" priority="12" operator="lessThan">
      <formula>97.9</formula>
    </cfRule>
  </conditionalFormatting>
  <conditionalFormatting sqref="J22:J24">
    <cfRule type="cellIs" dxfId="234" priority="28" operator="lessThan">
      <formula>97.95</formula>
    </cfRule>
  </conditionalFormatting>
  <conditionalFormatting sqref="J24:J26">
    <cfRule type="cellIs" dxfId="233" priority="164" operator="lessThan">
      <formula>97.4</formula>
    </cfRule>
  </conditionalFormatting>
  <conditionalFormatting sqref="J27:J28">
    <cfRule type="cellIs" dxfId="232" priority="165" operator="lessThan">
      <formula>98</formula>
    </cfRule>
  </conditionalFormatting>
  <conditionalFormatting sqref="J29:J30">
    <cfRule type="cellIs" dxfId="231" priority="166" stopIfTrue="1" operator="lessThan">
      <formula>96.8</formula>
    </cfRule>
    <cfRule type="cellIs" dxfId="230" priority="167" stopIfTrue="1" operator="greaterThan">
      <formula>100</formula>
    </cfRule>
  </conditionalFormatting>
  <conditionalFormatting sqref="J29:J31">
    <cfRule type="cellIs" dxfId="229" priority="168" operator="lessThan">
      <formula>98</formula>
    </cfRule>
  </conditionalFormatting>
  <conditionalFormatting sqref="J60">
    <cfRule type="cellIs" dxfId="228" priority="122" stopIfTrue="1" operator="greaterThan">
      <formula>#REF!</formula>
    </cfRule>
    <cfRule type="cellIs" dxfId="227" priority="123" stopIfTrue="1" operator="lessThanOrEqual">
      <formula>0</formula>
    </cfRule>
    <cfRule type="cellIs" dxfId="226" priority="124" stopIfTrue="1" operator="greaterThan">
      <formula>#REF!</formula>
    </cfRule>
    <cfRule type="cellIs" dxfId="225" priority="125" stopIfTrue="1" operator="lessThanOrEqual">
      <formula>0</formula>
    </cfRule>
    <cfRule type="cellIs" dxfId="224" priority="118" stopIfTrue="1" operator="greaterThan">
      <formula>#REF!</formula>
    </cfRule>
    <cfRule type="cellIs" dxfId="223" priority="120" stopIfTrue="1" operator="greaterThan">
      <formula>#REF!</formula>
    </cfRule>
    <cfRule type="cellIs" dxfId="222" priority="121" stopIfTrue="1" operator="lessThanOrEqual">
      <formula>0</formula>
    </cfRule>
    <cfRule type="cellIs" dxfId="221" priority="119" stopIfTrue="1" operator="lessThanOrEqual">
      <formula>0</formula>
    </cfRule>
  </conditionalFormatting>
  <conditionalFormatting sqref="J73">
    <cfRule type="cellIs" dxfId="220" priority="57" stopIfTrue="1" operator="lessThanOrEqual">
      <formula>0</formula>
    </cfRule>
    <cfRule type="cellIs" dxfId="219" priority="56" stopIfTrue="1" operator="greaterThan">
      <formula>$F73</formula>
    </cfRule>
  </conditionalFormatting>
  <conditionalFormatting sqref="K18:K19">
    <cfRule type="cellIs" dxfId="218" priority="15" operator="greaterThan">
      <formula>6.4</formula>
    </cfRule>
    <cfRule type="cellIs" dxfId="217" priority="14" operator="lessThan">
      <formula>4</formula>
    </cfRule>
    <cfRule type="cellIs" dxfId="216" priority="13" operator="greaterThan">
      <formula>6</formula>
    </cfRule>
  </conditionalFormatting>
  <conditionalFormatting sqref="K51:K60">
    <cfRule type="cellIs" dxfId="215" priority="103" stopIfTrue="1" operator="lessThan">
      <formula>100%</formula>
    </cfRule>
  </conditionalFormatting>
  <conditionalFormatting sqref="K64:K72">
    <cfRule type="cellIs" dxfId="214" priority="46" stopIfTrue="1" operator="lessThan">
      <formula>100%</formula>
    </cfRule>
  </conditionalFormatting>
  <conditionalFormatting sqref="K75:K80">
    <cfRule type="cellIs" dxfId="213" priority="188" stopIfTrue="1" operator="lessThan">
      <formula>100%</formula>
    </cfRule>
  </conditionalFormatting>
  <conditionalFormatting sqref="K82:K83">
    <cfRule type="cellIs" dxfId="212" priority="195" stopIfTrue="1" operator="lessThan">
      <formula>100%</formula>
    </cfRule>
  </conditionalFormatting>
  <conditionalFormatting sqref="L18:L19">
    <cfRule type="cellIs" dxfId="211" priority="16" operator="between">
      <formula>61</formula>
      <formula>65</formula>
    </cfRule>
    <cfRule type="cellIs" dxfId="210" priority="17" operator="greaterThan">
      <formula>65</formula>
    </cfRule>
  </conditionalFormatting>
  <conditionalFormatting sqref="L22:M33">
    <cfRule type="cellIs" dxfId="209" priority="27" operator="lessThan">
      <formula>97.95</formula>
    </cfRule>
  </conditionalFormatting>
  <conditionalFormatting sqref="L37:N37">
    <cfRule type="cellIs" dxfId="208" priority="82" operator="notEqual">
      <formula>#REF!</formula>
    </cfRule>
  </conditionalFormatting>
  <conditionalFormatting sqref="L64:N73">
    <cfRule type="cellIs" dxfId="207" priority="43" stopIfTrue="1" operator="lessThan">
      <formula>100%</formula>
    </cfRule>
  </conditionalFormatting>
  <conditionalFormatting sqref="L75:N83">
    <cfRule type="cellIs" dxfId="206" priority="173" stopIfTrue="1" operator="lessThan">
      <formula>100%</formula>
    </cfRule>
  </conditionalFormatting>
  <conditionalFormatting sqref="N18:N19">
    <cfRule type="expression" dxfId="205" priority="20">
      <formula>IF(+(IF(N18&lt;W18,0,IF(N18&gt;X18,0,1)))=0,1)</formula>
    </cfRule>
  </conditionalFormatting>
  <conditionalFormatting sqref="P6">
    <cfRule type="cellIs" dxfId="204" priority="169" operator="greaterThanOrEqual">
      <formula>19</formula>
    </cfRule>
  </conditionalFormatting>
  <conditionalFormatting sqref="E10:E17">
    <cfRule type="cellIs" dxfId="10" priority="7" operator="lessThan">
      <formula>48</formula>
    </cfRule>
  </conditionalFormatting>
  <conditionalFormatting sqref="G10:G17">
    <cfRule type="expression" dxfId="9" priority="11">
      <formula>IF(+(IF(G10&lt;S10,0,IF(G10&gt;T10,0,1)))=0,1)</formula>
    </cfRule>
  </conditionalFormatting>
  <conditionalFormatting sqref="H10:H17">
    <cfRule type="expression" dxfId="8" priority="10">
      <formula>IF(+(IF(H10&lt;#REF!,0,IF(H10&gt;#REF!,0,1)))=0,1)</formula>
    </cfRule>
  </conditionalFormatting>
  <conditionalFormatting sqref="I10:J17">
    <cfRule type="cellIs" dxfId="7" priority="1" operator="lessThan">
      <formula>97.9</formula>
    </cfRule>
  </conditionalFormatting>
  <conditionalFormatting sqref="K10:K17">
    <cfRule type="cellIs" dxfId="6" priority="2" operator="greaterThan">
      <formula>6</formula>
    </cfRule>
    <cfRule type="cellIs" dxfId="5" priority="3" operator="lessThan">
      <formula>4</formula>
    </cfRule>
    <cfRule type="cellIs" dxfId="4" priority="4" operator="greaterThan">
      <formula>6.4</formula>
    </cfRule>
  </conditionalFormatting>
  <conditionalFormatting sqref="L10:L17">
    <cfRule type="cellIs" dxfId="2" priority="5" operator="between">
      <formula>61</formula>
      <formula>65</formula>
    </cfRule>
    <cfRule type="cellIs" dxfId="3" priority="6" operator="greaterThan">
      <formula>65</formula>
    </cfRule>
  </conditionalFormatting>
  <conditionalFormatting sqref="M10:N17">
    <cfRule type="expression" dxfId="1" priority="8">
      <formula>IF(+(IF(M10&lt;#REF!,0,IF(M10&gt;#REF!,0,1)))=0,1)</formula>
    </cfRule>
  </conditionalFormatting>
  <conditionalFormatting sqref="N10:N17">
    <cfRule type="expression" dxfId="0" priority="9">
      <formula>IF(+(IF(N10&lt;W10,0,IF(N10&gt;X10,0,1)))=0,1)</formula>
    </cfRule>
  </conditionalFormatting>
  <dataValidations count="1">
    <dataValidation type="list" allowBlank="1" showInputMessage="1" showErrorMessage="1" sqref="R8" xr:uid="{465C5C16-F951-4792-B0C3-C6D296275639}">
      <formula1>ProductList</formula1>
    </dataValidation>
  </dataValidations>
  <pageMargins left="0.7" right="0.7" top="0.75" bottom="0.75" header="0.3" footer="0.3"/>
  <pageSetup scale="45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30BE4-5402-4FBE-8E27-242F82BF9798}">
  <sheetPr>
    <pageSetUpPr fitToPage="1"/>
  </sheetPr>
  <dimension ref="A1:BE73"/>
  <sheetViews>
    <sheetView tabSelected="1" topLeftCell="A6" zoomScale="85" zoomScaleNormal="85" workbookViewId="0">
      <selection activeCell="L32" sqref="L32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12" t="s">
        <v>0</v>
      </c>
      <c r="T1" s="512"/>
      <c r="U1" s="512" t="s">
        <v>1</v>
      </c>
      <c r="V1" s="512"/>
      <c r="W1" s="512" t="s">
        <v>2</v>
      </c>
      <c r="X1" s="512"/>
      <c r="Y1" s="512" t="s">
        <v>124</v>
      </c>
      <c r="Z1" s="512"/>
    </row>
    <row r="2" spans="2:29" ht="15">
      <c r="B2" s="513" t="s">
        <v>3</v>
      </c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46266</v>
      </c>
      <c r="J4" s="398" t="s">
        <v>153</v>
      </c>
      <c r="K4" s="398"/>
      <c r="L4" s="11"/>
      <c r="M4" s="510" t="s">
        <v>8</v>
      </c>
      <c r="N4" s="511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6"/>
      <c r="D5" s="516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196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19" t="s">
        <v>18</v>
      </c>
      <c r="D8" s="519" t="s">
        <v>19</v>
      </c>
      <c r="E8" s="356" t="s">
        <v>20</v>
      </c>
      <c r="F8" s="356" t="s">
        <v>21</v>
      </c>
      <c r="G8" s="519" t="s">
        <v>22</v>
      </c>
      <c r="H8" s="520" t="s">
        <v>144</v>
      </c>
      <c r="I8" s="519" t="s">
        <v>181</v>
      </c>
      <c r="J8" s="522" t="s">
        <v>23</v>
      </c>
      <c r="K8" s="524" t="s">
        <v>142</v>
      </c>
      <c r="L8" s="526" t="s">
        <v>24</v>
      </c>
      <c r="M8" s="359" t="s">
        <v>25</v>
      </c>
      <c r="N8" s="17" t="s">
        <v>168</v>
      </c>
      <c r="O8" s="519" t="s">
        <v>155</v>
      </c>
      <c r="P8" s="514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8"/>
      <c r="C9" s="515"/>
      <c r="D9" s="515"/>
      <c r="E9" s="357" t="s">
        <v>30</v>
      </c>
      <c r="F9" s="357" t="s">
        <v>31</v>
      </c>
      <c r="G9" s="515"/>
      <c r="H9" s="521"/>
      <c r="I9" s="515"/>
      <c r="J9" s="523"/>
      <c r="K9" s="525"/>
      <c r="L9" s="527"/>
      <c r="M9" s="20" t="s">
        <v>32</v>
      </c>
      <c r="N9" s="21" t="s">
        <v>41</v>
      </c>
      <c r="O9" s="515"/>
      <c r="P9" s="515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[4]Brewhouse!$A687</f>
        <v>CA639</v>
      </c>
      <c r="D10" s="279">
        <f>[4]Brewhouse!$AF679</f>
        <v>49.3</v>
      </c>
      <c r="E10" s="279">
        <f>[4]Brewhouse!$AI687</f>
        <v>44.3</v>
      </c>
      <c r="F10" s="278">
        <f>[4]Brewhouse!$V687</f>
        <v>63</v>
      </c>
      <c r="G10" s="279">
        <f>[4]Brewhouse!AG687</f>
        <v>11.6</v>
      </c>
      <c r="H10" s="396">
        <v>11.9</v>
      </c>
      <c r="I10" s="368">
        <f>[4]Brewhouse!$AU687</f>
        <v>86.450506030661657</v>
      </c>
      <c r="J10" s="368">
        <f>[4]Brewhouse!$AV687</f>
        <v>86.5290731342496</v>
      </c>
      <c r="K10" s="281">
        <f>[4]Brewhouse!$Q687</f>
        <v>27.259259259259256</v>
      </c>
      <c r="L10" s="276">
        <f>[4]Brewhouse!$P687</f>
        <v>60</v>
      </c>
      <c r="M10" s="374">
        <f>[4]Brewhouse!$U687-[4]Brewhouse!$T687</f>
        <v>0.12847222222222221</v>
      </c>
      <c r="N10" s="370">
        <f>[4]Brewhouse!$Z687</f>
        <v>0.40138888888888891</v>
      </c>
      <c r="O10" s="420" t="str">
        <f>[4]Brewhouse!$AX687</f>
        <v>R. Sookram</v>
      </c>
      <c r="P10" s="418"/>
      <c r="R10" s="277" t="str">
        <f t="shared" ref="R10:R33" si="0">B10</f>
        <v>CARIB</v>
      </c>
      <c r="S10" s="472">
        <f t="shared" ref="S10:S33" si="1">VLOOKUP($B10,$R$3:$X$9,2,FALSE)</f>
        <v>11.6</v>
      </c>
      <c r="T10" s="472">
        <f t="shared" ref="T10:T33" si="2">VLOOKUP($B10,$R$3:$X$9,3,FALSE)</f>
        <v>12</v>
      </c>
      <c r="U10" s="297">
        <f t="shared" ref="U10:U33" si="3">VLOOKUP($B10,$R$3:$X$9,4,FALSE)</f>
        <v>0</v>
      </c>
      <c r="V10" s="297">
        <f t="shared" ref="V10:V33" si="4">VLOOKUP($B10,$R$3:$X$9,5,FALSE)</f>
        <v>0.118055555555556</v>
      </c>
      <c r="W10" s="297">
        <f t="shared" ref="W10:W33" si="5">VLOOKUP($B10,$R$3:$X$9,6,FALSE)</f>
        <v>0.22569444444444445</v>
      </c>
      <c r="X10" s="297">
        <f t="shared" ref="X10:X33" si="6">VLOOKUP($B10,$R$3:$X$9,7,FALSE)</f>
        <v>0.2638888888888889</v>
      </c>
      <c r="Y10" s="297">
        <f t="shared" ref="Y10:Y33" si="7">VLOOKUP($B10,$R$3:$Z$9,8,FALSE)</f>
        <v>0</v>
      </c>
      <c r="Z10" s="472">
        <f t="shared" ref="Z10:Z33" si="8">VLOOKUP($B10,$R$3:$Z$9,9,FALSE)</f>
        <v>60</v>
      </c>
    </row>
    <row r="11" spans="2:29" ht="15" customHeight="1">
      <c r="B11" s="29" t="s">
        <v>6</v>
      </c>
      <c r="C11" s="366" t="str">
        <f>[4]Brewhouse!$A688</f>
        <v>CA640</v>
      </c>
      <c r="D11" s="279">
        <f>[4]Brewhouse!$AF680</f>
        <v>48.8</v>
      </c>
      <c r="E11" s="279">
        <f>[4]Brewhouse!$AI688</f>
        <v>49.2</v>
      </c>
      <c r="F11" s="278">
        <f>[4]Brewhouse!$V688</f>
        <v>55</v>
      </c>
      <c r="G11" s="279">
        <f>[4]Brewhouse!AG688</f>
        <v>12.3</v>
      </c>
      <c r="H11" s="396">
        <v>12</v>
      </c>
      <c r="I11" s="368">
        <f>[4]Brewhouse!$AU688</f>
        <v>102.11257164728424</v>
      </c>
      <c r="J11" s="368">
        <f>[4]Brewhouse!$AV688</f>
        <v>102.20537259620406</v>
      </c>
      <c r="K11" s="281">
        <f>[4]Brewhouse!$Q688</f>
        <v>10.962962962962965</v>
      </c>
      <c r="L11" s="276">
        <f>[4]Brewhouse!$P688</f>
        <v>60</v>
      </c>
      <c r="M11" s="374">
        <f>[4]Brewhouse!$U688-[4]Brewhouse!$T688</f>
        <v>0.11388888888888887</v>
      </c>
      <c r="N11" s="370">
        <f>[4]Brewhouse!$Z688</f>
        <v>0.43333333333333335</v>
      </c>
      <c r="O11" s="420" t="str">
        <f>[4]Brewhouse!$AX688</f>
        <v>R. Sookram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[4]Brewhouse!$A689</f>
        <v>CA641</v>
      </c>
      <c r="D12" s="279">
        <f>[4]Brewhouse!$AF681</f>
        <v>49</v>
      </c>
      <c r="E12" s="279">
        <f>[4]Brewhouse!$AI689</f>
        <v>50.2</v>
      </c>
      <c r="F12" s="278">
        <f>[4]Brewhouse!$V689</f>
        <v>57</v>
      </c>
      <c r="G12" s="279">
        <f>[4]Brewhouse!AG689</f>
        <v>11.6</v>
      </c>
      <c r="H12" s="396">
        <v>11.7</v>
      </c>
      <c r="I12" s="368">
        <f>[4]Brewhouse!$AU689</f>
        <v>97.47721612822464</v>
      </c>
      <c r="J12" s="368">
        <f>[4]Brewhouse!$AV689</f>
        <v>97.565827973175971</v>
      </c>
      <c r="K12" s="281">
        <f>[4]Brewhouse!$Q689</f>
        <v>13.16081330868761</v>
      </c>
      <c r="L12" s="276">
        <f>[4]Brewhouse!$P689</f>
        <v>60</v>
      </c>
      <c r="M12" s="374">
        <f>[4]Brewhouse!$U689-[4]Brewhouse!$T689</f>
        <v>0.10763888888888884</v>
      </c>
      <c r="N12" s="370">
        <f>[4]Brewhouse!$Z689</f>
        <v>0.24930555555555556</v>
      </c>
      <c r="O12" s="420" t="str">
        <f>[4]Brewhouse!$AX689</f>
        <v>K. Benjamin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[4]Brewhouse!$A690</f>
        <v>CA642</v>
      </c>
      <c r="D13" s="279">
        <f>[4]Brewhouse!$AF682</f>
        <v>48.8</v>
      </c>
      <c r="E13" s="279">
        <f>[4]Brewhouse!$AI690</f>
        <v>50</v>
      </c>
      <c r="F13" s="278">
        <f>[4]Brewhouse!$V690</f>
        <v>60</v>
      </c>
      <c r="G13" s="279">
        <f>[4]Brewhouse!AG690</f>
        <v>11.8</v>
      </c>
      <c r="H13" s="396">
        <v>11.8</v>
      </c>
      <c r="I13" s="368">
        <f>[4]Brewhouse!$AU690</f>
        <v>98.974208524348597</v>
      </c>
      <c r="J13" s="368">
        <f>[4]Brewhouse!$AV690</f>
        <v>99.064175256285267</v>
      </c>
      <c r="K13" s="281">
        <f>[4]Brewhouse!$Q690</f>
        <v>11.497227356746762</v>
      </c>
      <c r="L13" s="276">
        <f>[4]Brewhouse!$P690</f>
        <v>60</v>
      </c>
      <c r="M13" s="374">
        <f>[4]Brewhouse!$U690-[4]Brewhouse!$T690</f>
        <v>0.11111111111111116</v>
      </c>
      <c r="N13" s="370">
        <f>[4]Brewhouse!$Z690</f>
        <v>0.24791666666666667</v>
      </c>
      <c r="O13" s="420" t="str">
        <f>[4]Brewhouse!$AX690</f>
        <v>K. Benjamin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[4]Brewhouse!$A691</f>
        <v>CA643</v>
      </c>
      <c r="D14" s="279">
        <f>[4]Brewhouse!$AF683</f>
        <v>49.4</v>
      </c>
      <c r="E14" s="279">
        <f>[4]Brewhouse!$AI691</f>
        <v>50.1</v>
      </c>
      <c r="F14" s="278">
        <f>[4]Brewhouse!$V691</f>
        <v>62</v>
      </c>
      <c r="G14" s="279">
        <f>[4]Brewhouse!AG691</f>
        <v>11.6</v>
      </c>
      <c r="H14" s="396">
        <v>11.7</v>
      </c>
      <c r="I14" s="368">
        <f>[4]Brewhouse!$AU691</f>
        <v>97.404095796574978</v>
      </c>
      <c r="J14" s="368">
        <f>[4]Brewhouse!$AV691</f>
        <v>97.492635309107769</v>
      </c>
      <c r="K14" s="281">
        <f>[4]Brewhouse!$Q691</f>
        <v>11.312384473197778</v>
      </c>
      <c r="L14" s="276">
        <f>[4]Brewhouse!$P691</f>
        <v>60</v>
      </c>
      <c r="M14" s="374">
        <f>[4]Brewhouse!$U691-[4]Brewhouse!$T691</f>
        <v>0.11041666666666672</v>
      </c>
      <c r="N14" s="370">
        <f>[4]Brewhouse!$Z691</f>
        <v>0.24791666666666667</v>
      </c>
      <c r="O14" s="420" t="str">
        <f>[4]Brewhouse!$AX691</f>
        <v>R. Regis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[4]Brewhouse!$A692</f>
        <v>CA644</v>
      </c>
      <c r="D15" s="279">
        <f>[4]Brewhouse!$AF684</f>
        <v>48.9</v>
      </c>
      <c r="E15" s="279">
        <f>[4]Brewhouse!$AI692</f>
        <v>50.27</v>
      </c>
      <c r="F15" s="278">
        <f>[4]Brewhouse!$V692</f>
        <v>63</v>
      </c>
      <c r="G15" s="279">
        <f>[4]Brewhouse!AG692</f>
        <v>11.6</v>
      </c>
      <c r="H15" s="396">
        <v>11.8</v>
      </c>
      <c r="I15" s="368">
        <f>[4]Brewhouse!$AU692</f>
        <v>97.613140533184307</v>
      </c>
      <c r="J15" s="368">
        <f>[4]Brewhouse!$AV692</f>
        <v>97.701875940469236</v>
      </c>
      <c r="K15" s="281">
        <f>[4]Brewhouse!$Q692</f>
        <v>11.497227356746762</v>
      </c>
      <c r="L15" s="276">
        <f>[4]Brewhouse!$P692</f>
        <v>60</v>
      </c>
      <c r="M15" s="374">
        <f>[4]Brewhouse!$U692-[4]Brewhouse!$T692</f>
        <v>0.11388888888888893</v>
      </c>
      <c r="N15" s="370">
        <f>[4]Brewhouse!$Z692</f>
        <v>0.24861111111111112</v>
      </c>
      <c r="O15" s="420" t="str">
        <f>[4]Brewhouse!$AX692</f>
        <v>R. Regis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[4]Brewhouse!$A693</f>
        <v>CA645</v>
      </c>
      <c r="D16" s="279">
        <f>[4]Brewhouse!$AF685</f>
        <v>50</v>
      </c>
      <c r="E16" s="279">
        <f>[4]Brewhouse!$AI693</f>
        <v>49.8</v>
      </c>
      <c r="F16" s="278">
        <f>[4]Brewhouse!$V693</f>
        <v>63</v>
      </c>
      <c r="G16" s="279">
        <f>[4]Brewhouse!AG693</f>
        <v>11.8</v>
      </c>
      <c r="H16" s="396">
        <v>11.8</v>
      </c>
      <c r="I16" s="368">
        <f>[4]Brewhouse!$AU693</f>
        <v>98.455794941866429</v>
      </c>
      <c r="J16" s="368">
        <f>[4]Brewhouse!$AV693</f>
        <v>98.545296365711692</v>
      </c>
      <c r="K16" s="281">
        <f>[4]Brewhouse!$Q693</f>
        <v>10.757855822550832</v>
      </c>
      <c r="L16" s="276">
        <f>[4]Brewhouse!$P693</f>
        <v>57</v>
      </c>
      <c r="M16" s="374">
        <f>[4]Brewhouse!$U693-[4]Brewhouse!$T693</f>
        <v>0.10486111111111107</v>
      </c>
      <c r="N16" s="370">
        <f>[4]Brewhouse!$Z693</f>
        <v>0.24236111111111114</v>
      </c>
      <c r="O16" s="420" t="str">
        <f>[4]Brewhouse!$AX693</f>
        <v>R. Regis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5" customHeight="1">
      <c r="B17" s="29" t="s">
        <v>6</v>
      </c>
      <c r="C17" s="366" t="str">
        <f>[4]Brewhouse!$A694</f>
        <v>CA646</v>
      </c>
      <c r="D17" s="279">
        <f>[4]Brewhouse!$AF686</f>
        <v>47.7</v>
      </c>
      <c r="E17" s="279">
        <f>[4]Brewhouse!$AI694</f>
        <v>48.78</v>
      </c>
      <c r="F17" s="278">
        <f>[4]Brewhouse!$V694</f>
        <v>62</v>
      </c>
      <c r="G17" s="279">
        <f>[4]Brewhouse!AG694</f>
        <v>11.9</v>
      </c>
      <c r="H17" s="396">
        <v>11.9</v>
      </c>
      <c r="I17" s="368">
        <f>[4]Brewhouse!$AU694</f>
        <v>97.298899458351812</v>
      </c>
      <c r="J17" s="368">
        <f>[4]Brewhouse!$AV694</f>
        <v>97.387349204202138</v>
      </c>
      <c r="K17" s="281">
        <f>[4]Brewhouse!$Q694</f>
        <v>12.236598890942693</v>
      </c>
      <c r="L17" s="276">
        <f>[4]Brewhouse!$P694</f>
        <v>61</v>
      </c>
      <c r="M17" s="374">
        <f>[4]Brewhouse!$U694-[4]Brewhouse!$T694</f>
        <v>0.11111111111111116</v>
      </c>
      <c r="N17" s="370">
        <f>[4]Brewhouse!$Z694</f>
        <v>0.24861111111111112</v>
      </c>
      <c r="O17" s="420" t="str">
        <f>[4]Brewhouse!$AX694</f>
        <v>R. Regis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7" ht="15" customHeight="1">
      <c r="B18" s="22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7.25" customHeight="1" thickBot="1">
      <c r="B20" s="358"/>
      <c r="C20" s="358"/>
      <c r="D20" s="358"/>
      <c r="E20" s="358"/>
      <c r="F20" s="294"/>
      <c r="G20" s="294"/>
      <c r="H20" s="348"/>
      <c r="I20" s="528"/>
      <c r="J20" s="528"/>
      <c r="K20" s="528"/>
      <c r="L20" s="528"/>
      <c r="M20" s="528"/>
      <c r="N20" s="528"/>
      <c r="O20" s="1"/>
      <c r="P20" s="12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7.25" customHeight="1" thickBot="1">
      <c r="B21" s="489" t="s">
        <v>162</v>
      </c>
      <c r="C21" s="388"/>
      <c r="D21" s="529" t="s">
        <v>35</v>
      </c>
      <c r="E21" s="530"/>
      <c r="F21" s="294"/>
      <c r="G21" s="294"/>
      <c r="H21" s="348"/>
      <c r="I21" s="24" t="s">
        <v>17</v>
      </c>
      <c r="J21" s="25"/>
      <c r="K21" s="26" t="s">
        <v>138</v>
      </c>
      <c r="L21" s="25" t="s">
        <v>37</v>
      </c>
      <c r="M21" s="25" t="s">
        <v>38</v>
      </c>
      <c r="N21" s="27" t="s">
        <v>39</v>
      </c>
      <c r="O21" s="294"/>
      <c r="P21" s="12"/>
      <c r="R21" s="277" t="str">
        <f t="shared" si="0"/>
        <v xml:space="preserve">BRAND 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7.25" customHeight="1">
      <c r="A22" s="28"/>
      <c r="B22" s="633" t="str">
        <f>I23</f>
        <v>STAG</v>
      </c>
      <c r="C22" s="490" cm="1">
        <f t="array" ref="C22:C29">[3]Process!$D$336:$D$343</f>
        <v>12</v>
      </c>
      <c r="D22" s="534">
        <v>11.96</v>
      </c>
      <c r="E22" s="535"/>
      <c r="F22" s="294"/>
      <c r="G22" s="294"/>
      <c r="H22" s="348"/>
      <c r="I22" s="29" t="s">
        <v>6</v>
      </c>
      <c r="J22" s="323">
        <f>AVERAGE(I10:I17)</f>
        <v>96.973304132562077</v>
      </c>
      <c r="K22" s="284">
        <f>COUNTA([4]Brewhouse!$A$595:$A$694)</f>
        <v>100</v>
      </c>
      <c r="L22" s="305">
        <f>AVERAGE([4]Brewhouse!$AU$595:$AU$694)</f>
        <v>98.908684275666289</v>
      </c>
      <c r="M22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AVERAGE([4]Brewhouse!$AU$42:$AU$123,[4]Brewhouse!$AU$125:$AU$188,[4]Brewhouse!$AU$198:$AU$290,[4]Brewhouse!$AU$292:$AU$370,[4]Brewhouse!$AU$372:$AU$439,[4]Brewhouse!$AU$441:$AU$497,[4]Brewhouse!$AU$499:$AU$519,[4]Brewhouse!$AU$521:$AU$593,[4]Brewhouse!$AU$595:$AU$694)</f>
        <v>98.284887498556969</v>
      </c>
      <c r="N22" s="30">
        <v>98</v>
      </c>
      <c r="O22" s="11"/>
      <c r="P22" s="31"/>
      <c r="R22" s="277" t="str">
        <f t="shared" si="0"/>
        <v>STAG</v>
      </c>
      <c r="S22" s="472">
        <f t="shared" si="1"/>
        <v>11.6</v>
      </c>
      <c r="T22" s="472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472">
        <f t="shared" si="8"/>
        <v>60</v>
      </c>
    </row>
    <row r="23" spans="1:27" ht="15" customHeight="1">
      <c r="A23" s="28"/>
      <c r="B23" s="588"/>
      <c r="C23" s="362">
        <v>12</v>
      </c>
      <c r="D23" s="536"/>
      <c r="E23" s="537"/>
      <c r="F23" s="294"/>
      <c r="G23" s="294"/>
      <c r="H23" s="348"/>
      <c r="I23" s="33" t="s">
        <v>9</v>
      </c>
      <c r="J23" s="323"/>
      <c r="K23" s="284">
        <f>COUNTA([3]Brewhouse!$A$327:$A$361)</f>
        <v>35</v>
      </c>
      <c r="L23" s="302">
        <f>AVERAGE([3]Brewhouse!$AS$327:$AS$361)</f>
        <v>99.27850229321588</v>
      </c>
      <c r="M23" s="302">
        <f>AVERAGE([3]Brewhouse!$AS$52:$AS$81,[3]Brewhouse!$AS$83:$AS$124,[3]Brewhouse!$AS$134:$AS$177,[3]Brewhouse!$AS$22:$AS$179,[3]Brewhouse!$AS$214:$AS$249,[3]Brewhouse!$AS$252:$AS$293,[3]Brewhouse!$AS$295:$AS$325,[3]Brewhouse!$AS$327:$AS$361)</f>
        <v>98.239656393693409</v>
      </c>
      <c r="N23" s="30">
        <v>98</v>
      </c>
      <c r="O23" s="11"/>
      <c r="P23" s="31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65" customHeight="1">
      <c r="A24" s="28"/>
      <c r="B24" s="588"/>
      <c r="C24" s="362">
        <v>11.9</v>
      </c>
      <c r="D24" s="538">
        <v>11.9</v>
      </c>
      <c r="E24" s="539"/>
      <c r="F24" s="294"/>
      <c r="G24" s="294"/>
      <c r="H24" s="348"/>
      <c r="I24" s="34" t="s">
        <v>12</v>
      </c>
      <c r="J24" s="323"/>
      <c r="K24" s="284">
        <f>COUNTA([5]Brewhouse!$A$90:$A$97)</f>
        <v>8</v>
      </c>
      <c r="L24" s="302">
        <f>AVERAGE([5]Brewhouse!$AU$90:$AU$97)</f>
        <v>96.342250509798717</v>
      </c>
      <c r="M24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88"/>
      <c r="C25" s="362">
        <v>11.8</v>
      </c>
      <c r="D25" s="540"/>
      <c r="E25" s="537"/>
      <c r="F25" s="294"/>
      <c r="G25" s="294"/>
      <c r="H25" s="348"/>
      <c r="I25" s="22" t="s">
        <v>33</v>
      </c>
      <c r="J25" s="280"/>
      <c r="K25" s="284">
        <f>COUNTA([6]Brewhouse!$A$89:$A$96)</f>
        <v>8</v>
      </c>
      <c r="L25" s="302">
        <f>AVERAGE([6]Brewhouse!$AV$89:$AV$96)</f>
        <v>97.90251690920546</v>
      </c>
      <c r="M25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88"/>
      <c r="C26" s="362">
        <v>11.8</v>
      </c>
      <c r="D26" s="538">
        <v>12</v>
      </c>
      <c r="E26" s="539"/>
      <c r="F26" s="294"/>
      <c r="G26" s="294"/>
      <c r="H26" s="348"/>
      <c r="I26" s="35" t="s">
        <v>29</v>
      </c>
      <c r="J26" s="280"/>
      <c r="K26" s="284"/>
      <c r="L26" s="302"/>
      <c r="M26" s="302"/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88"/>
      <c r="C27" s="362">
        <v>11.8</v>
      </c>
      <c r="D27" s="540"/>
      <c r="E27" s="537"/>
      <c r="F27" s="417"/>
      <c r="G27" s="294"/>
      <c r="H27" s="348"/>
      <c r="I27" s="36" t="s">
        <v>15</v>
      </c>
      <c r="J27" s="323"/>
      <c r="K27" s="284"/>
      <c r="L27" s="302"/>
      <c r="M27" s="302">
        <f>AVERAGE([7]Brewhouse!$AT$4:$AT$11,[7]Brewhouse!$AT$13:$AT$16,[7]Brewhouse!$AT$18:$AT$21)</f>
        <v>91.832675391763644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88"/>
      <c r="C28" s="362">
        <v>11.8</v>
      </c>
      <c r="D28" s="538">
        <v>11.9</v>
      </c>
      <c r="E28" s="539"/>
      <c r="F28" s="417"/>
      <c r="G28" s="294"/>
      <c r="H28" s="348"/>
      <c r="I28" s="37" t="s">
        <v>16</v>
      </c>
      <c r="J28" s="323"/>
      <c r="K28" s="284">
        <f>COUNTA([8]Brewhouse!$A$84:$A$101)</f>
        <v>18</v>
      </c>
      <c r="L28" s="302">
        <f>AVERAGE([8]Brewhouse!$AY$84:$AY$101)</f>
        <v>97.389891141895035</v>
      </c>
      <c r="M28" s="302">
        <f>AVERAGE([8]Brewhouse!$AY$5:$AY$14,[8]Brewhouse!$AY$16:$AY$23,[8]Brewhouse!$AY$42,[8]Brewhouse!$AY$44:$AY$51,[8]Brewhouse!$AY$53:$AY$64,[8]Brewhouse!$AY$66:$AY$73,[8]Brewhouse!$AY$75:$AY$82,[8]Brewhouse!$AY$84:$AY$101)</f>
        <v>97.946352432648297</v>
      </c>
      <c r="N28" s="30">
        <v>98</v>
      </c>
      <c r="O28" s="11"/>
      <c r="P28" s="31" t="s">
        <v>41</v>
      </c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88"/>
      <c r="C29" s="362">
        <v>11.8</v>
      </c>
      <c r="D29" s="540"/>
      <c r="E29" s="537"/>
      <c r="F29" s="294"/>
      <c r="G29" s="294"/>
      <c r="H29" s="348"/>
      <c r="I29" s="411" t="s">
        <v>158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88"/>
      <c r="C30" s="362"/>
      <c r="D30" s="538"/>
      <c r="E30" s="539"/>
      <c r="F30" s="294"/>
      <c r="G30" s="294"/>
      <c r="H30" s="348"/>
      <c r="I30" s="410" t="s">
        <v>157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5" customHeight="1" thickBot="1">
      <c r="A31" s="28"/>
      <c r="B31" s="588"/>
      <c r="C31" s="362"/>
      <c r="D31" s="540"/>
      <c r="E31" s="537"/>
      <c r="F31" s="294"/>
      <c r="G31" s="294"/>
      <c r="H31" s="348"/>
      <c r="I31" s="406" t="s">
        <v>156</v>
      </c>
      <c r="J31" s="327"/>
      <c r="K31" s="407"/>
      <c r="L31" s="408"/>
      <c r="M31" s="408"/>
      <c r="N31" s="409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" customHeight="1" thickBot="1">
      <c r="A32" s="28"/>
      <c r="B32" s="588"/>
      <c r="C32" s="349"/>
      <c r="D32" s="534"/>
      <c r="E32" s="535"/>
      <c r="F32" s="294"/>
      <c r="G32" s="294"/>
      <c r="H32" s="348"/>
      <c r="I32" s="1"/>
      <c r="J32" s="39"/>
      <c r="K32" s="404">
        <f>SUM(K22:K31)</f>
        <v>169</v>
      </c>
      <c r="L32" s="405">
        <f>((L22*K22)+(L23*K23)+(L24*K24)+(L25*K25)+(L26*K26)+(K29*L29)+(L27*K27)+(L28*K28)+(L31*K31))/(K32)</f>
        <v>98.65439164340431</v>
      </c>
      <c r="M32" s="405">
        <f>AVERAGE('[9]Jan30th-31st'!$L$42,'[10]Feb 27th-28th'!$L$45,'[11]Mar 31st'!$L$42,'[12]Apr 30th'!$L$41,'[13]May 29th '!$L$35,'[14]June 30th'!$L$32,[15]July31st!$L$36,L32)</f>
        <v>97.983402564448511</v>
      </c>
      <c r="N32" s="4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2:56" ht="15.75" thickBot="1">
      <c r="B33" s="603"/>
      <c r="C33" s="350"/>
      <c r="D33" s="536"/>
      <c r="E33" s="537"/>
      <c r="F33" s="294"/>
      <c r="G33" s="42"/>
      <c r="H33" s="41"/>
      <c r="I33" s="42"/>
      <c r="J33" s="42"/>
      <c r="K33" s="351"/>
      <c r="L33" s="348"/>
      <c r="M33" s="348"/>
      <c r="N33" s="11"/>
      <c r="O33" s="294"/>
      <c r="P33" s="12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2:56" ht="15.75" thickBot="1">
      <c r="B34" s="541"/>
      <c r="C34" s="362"/>
      <c r="D34" s="534"/>
      <c r="E34" s="535"/>
      <c r="F34" s="294"/>
      <c r="G34" s="42"/>
      <c r="H34" s="41"/>
      <c r="I34" s="42"/>
      <c r="J34" s="544" t="s">
        <v>129</v>
      </c>
      <c r="K34" s="544"/>
      <c r="L34" s="294"/>
      <c r="M34" s="294"/>
      <c r="N34" s="294"/>
      <c r="O34" s="294"/>
      <c r="P34" s="12"/>
    </row>
    <row r="35" spans="2:56" ht="15.75" thickBot="1">
      <c r="B35" s="542"/>
      <c r="C35" s="362"/>
      <c r="D35" s="536"/>
      <c r="E35" s="537"/>
      <c r="F35" s="294"/>
      <c r="G35" s="42"/>
      <c r="H35" s="42"/>
      <c r="I35" s="42"/>
      <c r="J35" s="292" t="s">
        <v>17</v>
      </c>
      <c r="K35" s="293"/>
      <c r="L35" s="545" t="s">
        <v>136</v>
      </c>
      <c r="M35" s="545"/>
      <c r="N35" s="546"/>
      <c r="O35" s="294"/>
      <c r="P35" s="12"/>
    </row>
    <row r="36" spans="2:56" ht="15" customHeight="1" thickBot="1">
      <c r="B36" s="542"/>
      <c r="C36" s="349"/>
      <c r="D36" s="538"/>
      <c r="E36" s="539"/>
      <c r="F36" s="294"/>
      <c r="G36" s="42"/>
      <c r="H36" s="42"/>
      <c r="I36" s="42"/>
      <c r="J36" s="287" t="s">
        <v>6</v>
      </c>
      <c r="K36" s="324">
        <v>8</v>
      </c>
      <c r="L36" s="473" t="s">
        <v>37</v>
      </c>
      <c r="M36" s="474" t="s">
        <v>38</v>
      </c>
      <c r="N36" s="474" t="s">
        <v>84</v>
      </c>
      <c r="O36" s="294"/>
      <c r="P36" s="12"/>
    </row>
    <row r="37" spans="2:56" ht="15.75" customHeight="1" thickBot="1">
      <c r="B37" s="542"/>
      <c r="C37" s="349"/>
      <c r="D37" s="540"/>
      <c r="E37" s="537"/>
      <c r="F37" s="294"/>
      <c r="G37" s="42"/>
      <c r="H37" s="42"/>
      <c r="I37" s="42"/>
      <c r="J37" s="345" t="s">
        <v>9</v>
      </c>
      <c r="K37" s="324"/>
      <c r="L37" s="494">
        <f>AVERAGE(K46,'Aug 3rd '!K47,'Aug 2nd'!K52,'Aug 4th'!K47,'Aug 5th'!K51,'Aug 6th'!K51,'Aug 7th'!K51,'Aug 12th'!K51,,'Aug 13th '!K51,'Aug 14th&amp;15th'!I55,'Aug 17th '!K55,'Aug 18th'!K55,'Aug 19th '!K55,'Aug 20th '!K55,'Aug 21st-22nd'!K65,'Aug 21st-22nd'!J65,'Aug 24th'!K57,'Aug 25th '!K58,'Aug 26th'!K47,'Aug 27th '!K55,'Aug 28th '!K46)</f>
        <v>7.2727272727272725</v>
      </c>
      <c r="M37" s="495">
        <f>AVERAGE('[9]Jan30th-31st'!$L$47,L37,'[10]Feb 26th '!$L$39,'[11]Mar 31st'!$L$47,'[12]Apr 30th'!$L$46,'[13]May 29th '!$L$40,'[14]June 30th'!$L$39,[15]July31st!$L$41)</f>
        <v>6.4550129218607477</v>
      </c>
      <c r="N37" s="416">
        <v>9.1999999999999993</v>
      </c>
      <c r="O37" s="294"/>
      <c r="P37" s="12"/>
    </row>
    <row r="38" spans="2:56" ht="15" customHeight="1">
      <c r="B38" s="542"/>
      <c r="C38" s="349"/>
      <c r="D38" s="538"/>
      <c r="E38" s="539"/>
      <c r="F38" s="294"/>
      <c r="G38" s="42"/>
      <c r="H38" s="42"/>
      <c r="I38" s="42"/>
      <c r="J38" s="288" t="s">
        <v>40</v>
      </c>
      <c r="K38" s="324"/>
      <c r="L38" s="294"/>
      <c r="M38" s="294"/>
      <c r="N38" s="294"/>
      <c r="O38" s="294"/>
      <c r="P38" s="12"/>
    </row>
    <row r="39" spans="2:56" ht="15" customHeight="1">
      <c r="B39" s="542"/>
      <c r="C39" s="349"/>
      <c r="D39" s="540"/>
      <c r="E39" s="537"/>
      <c r="F39" s="294"/>
      <c r="G39" s="42"/>
      <c r="H39" s="42"/>
      <c r="I39" s="42"/>
      <c r="J39" s="289" t="s">
        <v>33</v>
      </c>
      <c r="K39" s="324"/>
      <c r="L39" s="294"/>
      <c r="M39" s="294"/>
      <c r="N39" s="294"/>
      <c r="O39" s="294"/>
      <c r="P39" s="12"/>
    </row>
    <row r="40" spans="2:56" ht="15">
      <c r="B40" s="542"/>
      <c r="C40" s="349"/>
      <c r="D40" s="538"/>
      <c r="E40" s="539"/>
      <c r="F40" s="294"/>
      <c r="G40" s="42"/>
      <c r="H40" s="42"/>
      <c r="I40" s="42"/>
      <c r="J40" s="290" t="s">
        <v>16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42"/>
      <c r="C41" s="349"/>
      <c r="D41" s="540"/>
      <c r="E41" s="537"/>
      <c r="F41" s="294"/>
      <c r="G41" s="42"/>
      <c r="H41" s="42"/>
      <c r="I41" s="42"/>
      <c r="J41" s="291" t="s">
        <v>15</v>
      </c>
      <c r="K41" s="324"/>
      <c r="L41" s="294"/>
      <c r="M41" s="294"/>
      <c r="N41" s="294"/>
      <c r="O41" s="294"/>
      <c r="P41" s="12"/>
      <c r="BC41" s="44"/>
      <c r="BD41" s="44"/>
    </row>
    <row r="42" spans="2:56" ht="15">
      <c r="B42" s="542"/>
      <c r="C42" s="349"/>
      <c r="D42" s="538"/>
      <c r="E42" s="539"/>
      <c r="F42" s="294"/>
      <c r="G42" s="42"/>
      <c r="H42" s="42"/>
      <c r="I42" s="42"/>
      <c r="J42" s="291" t="s">
        <v>149</v>
      </c>
      <c r="K42" s="324"/>
      <c r="L42" s="294"/>
      <c r="M42" s="294"/>
      <c r="N42" s="294"/>
      <c r="O42" s="294"/>
      <c r="P42" s="12"/>
      <c r="BC42" s="44"/>
      <c r="BD42" s="44"/>
    </row>
    <row r="43" spans="2:56" ht="15.75" thickBot="1">
      <c r="B43" s="543"/>
      <c r="C43" s="350"/>
      <c r="D43" s="547"/>
      <c r="E43" s="548"/>
      <c r="F43" s="294" t="s">
        <v>166</v>
      </c>
      <c r="G43" s="42"/>
      <c r="H43" s="42"/>
      <c r="I43" s="42"/>
      <c r="J43" s="291" t="s">
        <v>148</v>
      </c>
      <c r="K43" s="324"/>
      <c r="L43" s="294"/>
      <c r="M43" s="294"/>
      <c r="N43" s="294" t="s">
        <v>41</v>
      </c>
      <c r="O43" s="294"/>
      <c r="P43" s="12"/>
      <c r="BC43" s="44"/>
      <c r="BD43" s="44"/>
    </row>
    <row r="44" spans="2:56" ht="17.649999999999999" customHeight="1" thickBot="1">
      <c r="B44" s="312" t="s">
        <v>139</v>
      </c>
      <c r="C44" s="313"/>
      <c r="D44" s="549"/>
      <c r="E44" s="550"/>
      <c r="F44" s="294"/>
      <c r="J44" s="295" t="s">
        <v>134</v>
      </c>
      <c r="K44" s="324"/>
      <c r="L44" s="294"/>
      <c r="M44" s="294"/>
      <c r="N44" s="294"/>
      <c r="O44" s="294"/>
      <c r="P44" s="12"/>
      <c r="BC44" s="44"/>
      <c r="BD44" s="44"/>
    </row>
    <row r="45" spans="2:56" ht="17.649999999999999" customHeight="1">
      <c r="B45" s="363"/>
      <c r="C45" s="364"/>
      <c r="D45" s="365"/>
      <c r="E45" s="365"/>
      <c r="F45" s="294"/>
      <c r="G45" s="42"/>
      <c r="H45" s="42"/>
      <c r="I45" s="42"/>
      <c r="J45" s="295" t="s">
        <v>131</v>
      </c>
      <c r="K45" s="324"/>
      <c r="L45" s="294"/>
      <c r="M45" s="294"/>
      <c r="N45" s="294"/>
      <c r="O45" s="294"/>
      <c r="P45" s="12"/>
      <c r="BC45" s="44"/>
      <c r="BD45" s="44"/>
    </row>
    <row r="46" spans="2:56" ht="15.6" customHeight="1">
      <c r="B46" s="45"/>
      <c r="C46" s="11"/>
      <c r="D46" s="11"/>
      <c r="E46" s="46"/>
      <c r="F46" s="294"/>
      <c r="G46" s="42"/>
      <c r="H46" s="42"/>
      <c r="I46" s="42"/>
      <c r="J46" s="346" t="s">
        <v>130</v>
      </c>
      <c r="K46" s="324">
        <f>SUM(K36:K45)</f>
        <v>8</v>
      </c>
      <c r="L46" s="294"/>
      <c r="M46" s="294"/>
      <c r="N46" s="294"/>
      <c r="O46" s="294"/>
      <c r="P46" s="12"/>
    </row>
    <row r="47" spans="2:56" ht="20.25" customHeight="1">
      <c r="B47" s="15" t="s">
        <v>42</v>
      </c>
      <c r="C47" s="1" t="s">
        <v>43</v>
      </c>
      <c r="D47" s="1"/>
      <c r="E47" s="1"/>
      <c r="F47" s="294"/>
      <c r="G47" s="42"/>
      <c r="H47" s="41"/>
      <c r="I47" s="42"/>
      <c r="L47" s="42"/>
      <c r="N47" s="315"/>
      <c r="P47" s="334"/>
    </row>
    <row r="48" spans="2:56" ht="15" customHeight="1" thickBot="1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1"/>
      <c r="O48" s="48"/>
      <c r="P48" s="49"/>
    </row>
    <row r="49" spans="2:57" ht="15" customHeight="1" thickBot="1">
      <c r="B49" s="551" t="s">
        <v>17</v>
      </c>
      <c r="C49" s="551" t="s">
        <v>44</v>
      </c>
      <c r="D49" s="554" t="s">
        <v>45</v>
      </c>
      <c r="E49" s="519" t="s">
        <v>46</v>
      </c>
      <c r="F49" s="568" t="s">
        <v>47</v>
      </c>
      <c r="G49" s="563" t="s">
        <v>48</v>
      </c>
      <c r="H49" s="551" t="s">
        <v>49</v>
      </c>
      <c r="I49" s="551" t="s">
        <v>50</v>
      </c>
      <c r="J49" s="557" t="s">
        <v>28</v>
      </c>
      <c r="K49" s="517" t="s">
        <v>51</v>
      </c>
      <c r="L49" s="566" t="s">
        <v>52</v>
      </c>
      <c r="M49" s="557" t="s">
        <v>53</v>
      </c>
      <c r="N49" s="13"/>
      <c r="O49" s="13"/>
      <c r="P49" s="50"/>
    </row>
    <row r="50" spans="2:57" ht="28.5" customHeight="1" thickTop="1" thickBot="1">
      <c r="B50" s="552"/>
      <c r="C50" s="553"/>
      <c r="D50" s="555"/>
      <c r="E50" s="556"/>
      <c r="F50" s="569"/>
      <c r="G50" s="564"/>
      <c r="H50" s="552"/>
      <c r="I50" s="552"/>
      <c r="J50" s="558"/>
      <c r="K50" s="565"/>
      <c r="L50" s="567"/>
      <c r="M50" s="558"/>
      <c r="N50" s="13"/>
      <c r="O50" s="13"/>
      <c r="P50" s="50"/>
      <c r="Q50" s="355"/>
      <c r="AB50" s="475">
        <v>43474</v>
      </c>
      <c r="AC50" s="475">
        <v>43475</v>
      </c>
      <c r="AD50" s="475">
        <v>43476</v>
      </c>
      <c r="AE50" s="475">
        <v>43477</v>
      </c>
      <c r="AF50" s="475">
        <v>43478</v>
      </c>
      <c r="AG50" s="475">
        <v>43479</v>
      </c>
      <c r="AH50" s="475">
        <v>43480</v>
      </c>
      <c r="AI50" s="475">
        <v>43481</v>
      </c>
      <c r="AJ50" s="475">
        <v>43482</v>
      </c>
      <c r="AK50" s="475">
        <v>43483</v>
      </c>
      <c r="AL50" s="475">
        <v>43484</v>
      </c>
      <c r="AM50" s="475">
        <v>43485</v>
      </c>
      <c r="AN50" s="475">
        <v>43486</v>
      </c>
      <c r="AO50" s="475">
        <v>43487</v>
      </c>
      <c r="AP50" s="475">
        <v>43488</v>
      </c>
      <c r="AQ50" s="475">
        <v>43489</v>
      </c>
      <c r="AR50" s="475">
        <v>43490</v>
      </c>
      <c r="AS50" s="475">
        <v>43491</v>
      </c>
      <c r="AT50" s="475">
        <v>43492</v>
      </c>
      <c r="AU50" s="475">
        <v>43493</v>
      </c>
      <c r="AV50" s="475">
        <v>43494</v>
      </c>
      <c r="AW50" s="475">
        <v>43495</v>
      </c>
      <c r="AX50" s="475">
        <v>43496</v>
      </c>
    </row>
    <row r="51" spans="2:57" s="54" customFormat="1" ht="36.75" customHeight="1" thickBot="1">
      <c r="B51" s="509" t="str">
        <f>J37</f>
        <v>STAG</v>
      </c>
      <c r="C51" s="479">
        <v>46265</v>
      </c>
      <c r="D51" s="445">
        <f>[35]August_2026!$AH$13</f>
        <v>396.1</v>
      </c>
      <c r="E51" s="443"/>
      <c r="F51" s="444"/>
      <c r="G51" s="444">
        <f>[35]August_2026!$AH$17</f>
        <v>372.7</v>
      </c>
      <c r="H51" s="458"/>
      <c r="I51" s="458"/>
      <c r="J51" s="448" t="s">
        <v>180</v>
      </c>
      <c r="K51" s="449">
        <f>[36]August_2026!$AH$18</f>
        <v>0.65385964912280703</v>
      </c>
      <c r="L51" s="457">
        <f>(((D51+E51)-G51)/(D51+E51))*100</f>
        <v>5.9075990911386089</v>
      </c>
      <c r="M51" s="455" t="s">
        <v>179</v>
      </c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[16]January_2019!L5</f>
        <v>0</v>
      </c>
      <c r="AC51" s="57">
        <f>[16]January_2019!M5</f>
        <v>0</v>
      </c>
      <c r="AD51" s="57">
        <f>[16]January_2019!N5</f>
        <v>0</v>
      </c>
      <c r="AE51" s="57">
        <f>[16]January_2019!O5</f>
        <v>0</v>
      </c>
      <c r="AF51" s="57">
        <f>[16]January_2019!P5</f>
        <v>0</v>
      </c>
      <c r="AG51" s="57">
        <f>[16]January_2019!Q5</f>
        <v>0</v>
      </c>
      <c r="AH51" s="57">
        <f>[16]January_2019!R5</f>
        <v>0</v>
      </c>
      <c r="AI51" s="57">
        <f>[16]January_2019!S5</f>
        <v>0</v>
      </c>
      <c r="AJ51" s="57">
        <f>[16]January_2019!T5</f>
        <v>0</v>
      </c>
      <c r="AK51" s="57">
        <f>[16]January_2019!U5</f>
        <v>0</v>
      </c>
      <c r="AL51" s="57">
        <f>[16]January_2019!V5</f>
        <v>0</v>
      </c>
      <c r="AM51" s="57">
        <f>[16]January_2019!W5</f>
        <v>0</v>
      </c>
      <c r="AN51" s="57">
        <f>[16]January_2019!X5</f>
        <v>0</v>
      </c>
      <c r="AO51" s="57">
        <f>[16]January_2019!Y5</f>
        <v>0</v>
      </c>
      <c r="AP51" s="57">
        <f>[16]January_2019!Z5</f>
        <v>0</v>
      </c>
      <c r="AQ51" s="57">
        <f>[16]January_2019!AA5</f>
        <v>0</v>
      </c>
      <c r="AR51" s="57">
        <f>[16]January_2019!AB5</f>
        <v>0</v>
      </c>
      <c r="AS51" s="57">
        <f>[16]January_2019!AC5</f>
        <v>0</v>
      </c>
      <c r="AT51" s="57">
        <f>[16]January_2019!AD5</f>
        <v>0</v>
      </c>
      <c r="AU51" s="57">
        <f>[16]January_2019!AE5</f>
        <v>0</v>
      </c>
      <c r="AV51" s="57">
        <f>[16]January_2019!AF5</f>
        <v>0</v>
      </c>
      <c r="AW51" s="57">
        <f>[16]January_2019!AG5</f>
        <v>0</v>
      </c>
      <c r="AX51" s="277">
        <f>[16]January_2019!AH5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14.25" customHeight="1" thickBot="1">
      <c r="B52" s="480"/>
      <c r="C52" s="479"/>
      <c r="D52" s="442"/>
      <c r="E52" s="443"/>
      <c r="F52" s="444"/>
      <c r="G52" s="445"/>
      <c r="H52" s="458"/>
      <c r="I52" s="458"/>
      <c r="J52" s="476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[16]January_2019!L6</f>
        <v>0</v>
      </c>
      <c r="AC52" s="57">
        <f>[16]January_2019!M6</f>
        <v>0</v>
      </c>
      <c r="AD52" s="57">
        <f>[16]January_2019!N6</f>
        <v>0</v>
      </c>
      <c r="AE52" s="57">
        <f>[16]January_2019!O6</f>
        <v>0</v>
      </c>
      <c r="AF52" s="57">
        <f>[16]January_2019!P6</f>
        <v>0</v>
      </c>
      <c r="AG52" s="57">
        <f>[16]January_2019!Q6</f>
        <v>0</v>
      </c>
      <c r="AH52" s="57">
        <f>[16]January_2019!R6</f>
        <v>0</v>
      </c>
      <c r="AI52" s="57">
        <f>[16]January_2019!S6</f>
        <v>0</v>
      </c>
      <c r="AJ52" s="57">
        <f>[16]January_2019!T6</f>
        <v>0</v>
      </c>
      <c r="AK52" s="57">
        <f>[16]January_2019!U6</f>
        <v>0</v>
      </c>
      <c r="AL52" s="57">
        <f>[16]January_2019!V6</f>
        <v>0</v>
      </c>
      <c r="AM52" s="57">
        <f>[16]January_2019!W6</f>
        <v>0</v>
      </c>
      <c r="AN52" s="57">
        <f>[16]January_2019!X6</f>
        <v>0</v>
      </c>
      <c r="AO52" s="57">
        <f>[16]January_2019!Y6</f>
        <v>0</v>
      </c>
      <c r="AP52" s="57">
        <f>[16]January_2019!Z6</f>
        <v>0</v>
      </c>
      <c r="AQ52" s="57">
        <f>[16]January_2019!AA6</f>
        <v>0</v>
      </c>
      <c r="AR52" s="57">
        <f>[16]January_2019!AB6</f>
        <v>0</v>
      </c>
      <c r="AS52" s="57">
        <f>[16]January_2019!AC6</f>
        <v>0</v>
      </c>
      <c r="AT52" s="57">
        <f>[16]January_2019!AD6</f>
        <v>0</v>
      </c>
      <c r="AU52" s="57">
        <f>[16]January_2019!AE6</f>
        <v>0</v>
      </c>
      <c r="AV52" s="57">
        <f>[16]January_2019!AF6</f>
        <v>0</v>
      </c>
      <c r="AW52" s="57">
        <f>[16]January_2019!AG6</f>
        <v>0</v>
      </c>
      <c r="AX52" s="277">
        <f>[16]January_2019!AH6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37.15" customHeight="1" thickBot="1">
      <c r="B53" s="456"/>
      <c r="C53" s="479"/>
      <c r="D53" s="442"/>
      <c r="E53" s="443"/>
      <c r="F53" s="444"/>
      <c r="G53" s="444"/>
      <c r="H53" s="446"/>
      <c r="I53" s="446"/>
      <c r="J53" s="476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[16]January_2019!L7</f>
        <v>285.8</v>
      </c>
      <c r="AC53" s="57">
        <f>[16]January_2019!M7</f>
        <v>508.1</v>
      </c>
      <c r="AD53" s="57">
        <f>[16]January_2019!N7</f>
        <v>0</v>
      </c>
      <c r="AE53" s="57">
        <f>[16]January_2019!O7</f>
        <v>0</v>
      </c>
      <c r="AF53" s="57">
        <f>[16]January_2019!P7</f>
        <v>109.56666666666666</v>
      </c>
      <c r="AG53" s="57">
        <f>[16]January_2019!Q7</f>
        <v>297.64999999999998</v>
      </c>
      <c r="AH53" s="57">
        <f>[16]January_2019!R7</f>
        <v>122.3</v>
      </c>
      <c r="AI53" s="57">
        <f>[16]January_2019!S7</f>
        <v>0</v>
      </c>
      <c r="AJ53" s="57">
        <f>[16]January_2019!T7</f>
        <v>294.7</v>
      </c>
      <c r="AK53" s="57">
        <f>[16]January_2019!U7</f>
        <v>280.5</v>
      </c>
      <c r="AL53" s="57">
        <f>[16]January_2019!V7</f>
        <v>0</v>
      </c>
      <c r="AM53" s="57">
        <f>[16]January_2019!W7</f>
        <v>0</v>
      </c>
      <c r="AN53" s="57">
        <f>[16]January_2019!X7</f>
        <v>188.25</v>
      </c>
      <c r="AO53" s="57">
        <f>[16]January_2019!Y7</f>
        <v>295.7</v>
      </c>
      <c r="AP53" s="57">
        <f>[16]January_2019!Z7</f>
        <v>257.8</v>
      </c>
      <c r="AQ53" s="57">
        <f>[16]January_2019!AA7</f>
        <v>291.2</v>
      </c>
      <c r="AR53" s="57">
        <f>[16]January_2019!AB7</f>
        <v>187</v>
      </c>
      <c r="AS53" s="57">
        <f>[16]January_2019!AC7</f>
        <v>0</v>
      </c>
      <c r="AT53" s="57">
        <f>[16]January_2019!AD7</f>
        <v>0</v>
      </c>
      <c r="AU53" s="57">
        <f>[16]January_2019!AE7</f>
        <v>485.1</v>
      </c>
      <c r="AV53" s="57">
        <f>[16]January_2019!AF7</f>
        <v>171.55</v>
      </c>
      <c r="AW53" s="57">
        <f>[16]January_2019!AG7</f>
        <v>423.8</v>
      </c>
      <c r="AX53" s="277">
        <f>[16]January_2019!AH7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8.600000000000001" hidden="1" customHeight="1" thickBot="1">
      <c r="B54" s="478"/>
      <c r="C54" s="430"/>
      <c r="D54" s="431"/>
      <c r="E54" s="432"/>
      <c r="F54" s="433"/>
      <c r="G54" s="434"/>
      <c r="H54" s="458"/>
      <c r="I54" s="458"/>
      <c r="J54" s="451"/>
      <c r="K54" s="436"/>
      <c r="L54" s="452"/>
      <c r="M54" s="421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8.65" hidden="1" customHeight="1" thickBot="1">
      <c r="B55" s="498"/>
      <c r="C55" s="479"/>
      <c r="D55" s="442"/>
      <c r="E55" s="443"/>
      <c r="F55" s="444"/>
      <c r="G55" s="445"/>
      <c r="H55" s="458"/>
      <c r="I55" s="458"/>
      <c r="J55" s="448"/>
      <c r="K55" s="45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5" hidden="1">
      <c r="B56" s="453"/>
      <c r="C56" s="430"/>
      <c r="D56" s="431"/>
      <c r="E56" s="432"/>
      <c r="F56" s="433"/>
      <c r="G56" s="434"/>
      <c r="H56" s="435"/>
      <c r="I56" s="450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7.15" hidden="1" customHeight="1" thickBot="1">
      <c r="B57" s="482"/>
      <c r="C57" s="479"/>
      <c r="D57" s="442"/>
      <c r="E57" s="443"/>
      <c r="F57" s="444"/>
      <c r="G57" s="445"/>
      <c r="H57" s="446"/>
      <c r="I57" s="447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6.5" hidden="1" customHeight="1" thickBot="1">
      <c r="B58" s="437"/>
      <c r="C58" s="423"/>
      <c r="D58" s="424"/>
      <c r="E58" s="425"/>
      <c r="F58" s="426"/>
      <c r="G58" s="427"/>
      <c r="H58" s="428"/>
      <c r="I58" s="438"/>
      <c r="J58" s="439"/>
      <c r="K58" s="429"/>
      <c r="L58" s="440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5"/>
      <c r="AC58" s="415"/>
      <c r="AD58" s="415"/>
      <c r="AE58" s="415"/>
      <c r="AF58" s="415"/>
      <c r="AG58" s="415"/>
      <c r="AH58" s="415"/>
      <c r="AI58" s="415"/>
      <c r="AJ58" s="415"/>
      <c r="AK58" s="415"/>
      <c r="AL58" s="415"/>
      <c r="AM58" s="415"/>
      <c r="AN58" s="415"/>
      <c r="AO58" s="415"/>
      <c r="AP58" s="415"/>
      <c r="AQ58" s="415"/>
      <c r="AR58" s="415"/>
      <c r="AS58" s="415"/>
      <c r="AT58" s="415"/>
      <c r="AU58" s="415"/>
      <c r="AV58" s="415"/>
      <c r="AW58" s="415"/>
    </row>
    <row r="59" spans="2:57" s="54" customFormat="1" ht="37.15" hidden="1" customHeight="1" thickBot="1">
      <c r="B59" s="456"/>
      <c r="C59" s="441"/>
      <c r="D59" s="442"/>
      <c r="E59" s="443"/>
      <c r="F59" s="444"/>
      <c r="G59" s="445"/>
      <c r="H59" s="446"/>
      <c r="I59" s="447"/>
      <c r="J59" s="448"/>
      <c r="K59" s="449"/>
      <c r="L59" s="457"/>
      <c r="M59" s="454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customHeight="1">
      <c r="B60" s="466"/>
      <c r="C60" s="430"/>
      <c r="D60" s="460"/>
      <c r="E60" s="461"/>
      <c r="F60" s="462"/>
      <c r="G60" s="460"/>
      <c r="H60" s="463"/>
      <c r="I60" s="463"/>
      <c r="J60" s="463"/>
      <c r="K60" s="464"/>
      <c r="L60" s="465"/>
      <c r="M60" s="50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 t="s">
        <v>41</v>
      </c>
      <c r="O61" s="56"/>
      <c r="P61" s="60"/>
    </row>
    <row r="62" spans="2:57" ht="15.75" thickBot="1">
      <c r="B62" s="559" t="s">
        <v>55</v>
      </c>
      <c r="C62" s="560"/>
      <c r="D62" s="560"/>
      <c r="E62" s="560"/>
      <c r="F62" s="561"/>
      <c r="G62" s="559" t="s">
        <v>56</v>
      </c>
      <c r="H62" s="560"/>
      <c r="I62" s="560"/>
      <c r="J62" s="561"/>
      <c r="K62" s="559" t="s">
        <v>51</v>
      </c>
      <c r="L62" s="560"/>
      <c r="M62" s="560"/>
      <c r="N62" s="562"/>
      <c r="O62" s="56"/>
      <c r="P62" s="50"/>
    </row>
    <row r="63" spans="2:57" ht="15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/>
      <c r="L63" s="62" t="s">
        <v>37</v>
      </c>
      <c r="M63" s="62" t="s">
        <v>38</v>
      </c>
      <c r="N63" s="63" t="s">
        <v>39</v>
      </c>
      <c r="O63" s="56"/>
      <c r="P63" s="64"/>
    </row>
    <row r="64" spans="2:57" ht="15">
      <c r="B64" s="29" t="s">
        <v>6</v>
      </c>
      <c r="C64" s="65"/>
      <c r="D64" s="76">
        <v>5.8785486254739441</v>
      </c>
      <c r="E64" s="76">
        <v>6.4209268360980332</v>
      </c>
      <c r="F64" s="66">
        <v>4.8</v>
      </c>
      <c r="G64" s="65"/>
      <c r="H64" s="477">
        <v>5.7524116160584295</v>
      </c>
      <c r="I64" s="477">
        <v>6.6518806494508196</v>
      </c>
      <c r="J64" s="66">
        <v>4.8</v>
      </c>
      <c r="K64" s="67"/>
      <c r="L64" s="194">
        <v>0.45343197737934576</v>
      </c>
      <c r="M64" s="194">
        <v>0.52572864135882313</v>
      </c>
      <c r="N64" s="68">
        <v>1</v>
      </c>
      <c r="O64" s="56"/>
      <c r="P64" s="69"/>
    </row>
    <row r="65" spans="2:16" ht="15">
      <c r="B65" s="33" t="s">
        <v>9</v>
      </c>
      <c r="C65" s="65">
        <f>L51</f>
        <v>5.9075990911386089</v>
      </c>
      <c r="D65" s="76">
        <v>7.2307932055477657</v>
      </c>
      <c r="E65" s="76">
        <v>5.9718524153670511</v>
      </c>
      <c r="F65" s="66">
        <v>4.8</v>
      </c>
      <c r="G65" s="65">
        <f>[35]August_2026!$AH$21</f>
        <v>5.1487894063897253</v>
      </c>
      <c r="H65" s="76">
        <v>6.8335076146031053</v>
      </c>
      <c r="I65" s="76">
        <v>5.9483336713979043</v>
      </c>
      <c r="J65" s="66">
        <v>4.8</v>
      </c>
      <c r="K65" s="67">
        <f>K51</f>
        <v>0.65385964912280703</v>
      </c>
      <c r="L65" s="194">
        <v>0.67225146198830421</v>
      </c>
      <c r="M65" s="194">
        <v>0.69969789623338174</v>
      </c>
      <c r="N65" s="68">
        <v>1</v>
      </c>
      <c r="P65" s="69"/>
    </row>
    <row r="66" spans="2:16" ht="15">
      <c r="B66" s="34" t="s">
        <v>40</v>
      </c>
      <c r="C66" s="65"/>
      <c r="D66" s="76">
        <v>9.7381864623243946</v>
      </c>
      <c r="E66" s="76">
        <v>11.036329063250609</v>
      </c>
      <c r="F66" s="66">
        <v>5.5</v>
      </c>
      <c r="G66" s="65"/>
      <c r="H66" s="76">
        <v>10.372188565692998</v>
      </c>
      <c r="I66" s="76">
        <v>11.857907912244482</v>
      </c>
      <c r="J66" s="66">
        <v>5.5</v>
      </c>
      <c r="K66" s="67"/>
      <c r="L66" s="194">
        <v>0.39060428849902529</v>
      </c>
      <c r="M66" s="194">
        <v>0.35370190356844494</v>
      </c>
      <c r="N66" s="68">
        <v>1</v>
      </c>
      <c r="P66" s="69"/>
    </row>
    <row r="67" spans="2:16" ht="15">
      <c r="B67" s="22" t="s">
        <v>33</v>
      </c>
      <c r="C67" s="65"/>
      <c r="D67" s="76">
        <v>4.6609124537607842</v>
      </c>
      <c r="E67" s="76">
        <v>4.8433372666231218</v>
      </c>
      <c r="F67" s="66">
        <v>3.3</v>
      </c>
      <c r="G67" s="65"/>
      <c r="H67" s="76">
        <v>3.2353327684812005</v>
      </c>
      <c r="I67" s="76">
        <v>4.8702525342252114</v>
      </c>
      <c r="J67" s="66">
        <v>3.3</v>
      </c>
      <c r="K67" s="67"/>
      <c r="L67" s="194">
        <v>0.67824561403508765</v>
      </c>
      <c r="M67" s="194">
        <v>0.77919298245614044</v>
      </c>
      <c r="N67" s="68">
        <v>1</v>
      </c>
      <c r="P67" s="69"/>
    </row>
    <row r="68" spans="2:16" ht="15">
      <c r="B68" s="35" t="s">
        <v>164</v>
      </c>
      <c r="C68" s="65"/>
      <c r="D68" s="76"/>
      <c r="E68" s="76"/>
      <c r="F68" s="66">
        <v>3.3</v>
      </c>
      <c r="G68" s="282"/>
      <c r="H68" s="76"/>
      <c r="I68" s="76"/>
      <c r="J68" s="66">
        <v>3</v>
      </c>
      <c r="K68" s="67"/>
      <c r="L68" s="194"/>
      <c r="M68" s="194"/>
      <c r="N68" s="68">
        <v>1</v>
      </c>
      <c r="P68" s="69"/>
    </row>
    <row r="69" spans="2:16" ht="15">
      <c r="B69" s="36" t="s">
        <v>15</v>
      </c>
      <c r="C69" s="65"/>
      <c r="D69" s="76"/>
      <c r="E69" s="76">
        <v>6.0400197628458603</v>
      </c>
      <c r="F69" s="70">
        <v>5.5</v>
      </c>
      <c r="G69" s="65"/>
      <c r="H69" s="76"/>
      <c r="I69" s="76">
        <v>8.2405787675951316</v>
      </c>
      <c r="J69" s="66">
        <v>5.5</v>
      </c>
      <c r="K69" s="67"/>
      <c r="L69" s="194"/>
      <c r="M69" s="194">
        <v>0.78491228070175445</v>
      </c>
      <c r="N69" s="68">
        <v>1</v>
      </c>
      <c r="P69" s="69"/>
    </row>
    <row r="70" spans="2:16" ht="15">
      <c r="B70" s="37" t="s">
        <v>16</v>
      </c>
      <c r="C70" s="483"/>
      <c r="D70" s="76">
        <v>4.9879944807205456</v>
      </c>
      <c r="E70" s="76">
        <v>3.8893302476598364</v>
      </c>
      <c r="F70" s="66">
        <v>3.3</v>
      </c>
      <c r="G70" s="282"/>
      <c r="H70" s="76">
        <v>5.346203760314828</v>
      </c>
      <c r="I70" s="76">
        <v>5.0091179718082053</v>
      </c>
      <c r="J70" s="66">
        <v>3.3</v>
      </c>
      <c r="K70" s="67"/>
      <c r="L70" s="194">
        <v>1.1162280701754386</v>
      </c>
      <c r="M70" s="194">
        <v>0.92642300194931759</v>
      </c>
      <c r="N70" s="71">
        <v>1</v>
      </c>
      <c r="P70" s="69"/>
    </row>
    <row r="71" spans="2:16" ht="15.75" thickBot="1">
      <c r="B71" s="38" t="s">
        <v>163</v>
      </c>
      <c r="C71" s="65"/>
      <c r="D71" s="76"/>
      <c r="E71" s="76"/>
      <c r="F71" s="66">
        <v>7.5</v>
      </c>
      <c r="G71" s="282"/>
      <c r="H71" s="76"/>
      <c r="I71" s="76"/>
      <c r="J71" s="66">
        <v>7.5</v>
      </c>
      <c r="K71" s="67"/>
      <c r="L71" s="194"/>
      <c r="M71" s="194"/>
      <c r="N71" s="71">
        <v>1</v>
      </c>
      <c r="P71" s="69"/>
    </row>
    <row r="72" spans="2:16" ht="15.75" thickBot="1">
      <c r="B72" s="414" t="s">
        <v>161</v>
      </c>
      <c r="C72" s="65"/>
      <c r="D72" s="76"/>
      <c r="E72" s="76"/>
      <c r="F72" s="66">
        <v>4.8</v>
      </c>
      <c r="G72" s="282"/>
      <c r="H72" s="76"/>
      <c r="I72" s="76"/>
      <c r="J72" s="66">
        <v>4.8</v>
      </c>
      <c r="K72" s="67"/>
      <c r="L72" s="194"/>
      <c r="M72" s="194"/>
      <c r="N72" s="71">
        <v>1</v>
      </c>
      <c r="O72" s="74"/>
      <c r="P72" s="75"/>
    </row>
    <row r="73" spans="2:16" ht="15">
      <c r="D73" s="76">
        <v>6.3154818165318938</v>
      </c>
      <c r="E73" s="76">
        <v>6.3228725763582583</v>
      </c>
      <c r="F73" s="341">
        <v>5.5</v>
      </c>
      <c r="H73" s="76">
        <v>6.2291658294635592</v>
      </c>
      <c r="I73" s="76">
        <v>6.693461765037287</v>
      </c>
      <c r="J73" s="341">
        <v>5.5</v>
      </c>
      <c r="L73" s="194">
        <v>0.54517657780815676</v>
      </c>
      <c r="M73" s="194">
        <v>0.59836670671862702</v>
      </c>
      <c r="N73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0:N20"/>
    <mergeCell ref="D21:E21"/>
    <mergeCell ref="B22:B33"/>
    <mergeCell ref="D22:E23"/>
    <mergeCell ref="D24:E25"/>
    <mergeCell ref="D26:E27"/>
    <mergeCell ref="D28:E29"/>
    <mergeCell ref="D30:E31"/>
    <mergeCell ref="D32:E33"/>
    <mergeCell ref="B34:B43"/>
    <mergeCell ref="D34:E35"/>
    <mergeCell ref="J34:K34"/>
    <mergeCell ref="L35:N35"/>
    <mergeCell ref="D36:E37"/>
    <mergeCell ref="D38:E39"/>
    <mergeCell ref="D40:E41"/>
    <mergeCell ref="D42:E43"/>
    <mergeCell ref="D44:E44"/>
    <mergeCell ref="B49:B50"/>
    <mergeCell ref="C49:C50"/>
    <mergeCell ref="D49:D50"/>
    <mergeCell ref="E49:E50"/>
    <mergeCell ref="M49:M50"/>
    <mergeCell ref="B62:F62"/>
    <mergeCell ref="G62:J62"/>
    <mergeCell ref="K62:N62"/>
    <mergeCell ref="G49:G50"/>
    <mergeCell ref="H49:H50"/>
    <mergeCell ref="I49:I50"/>
    <mergeCell ref="J49:J50"/>
    <mergeCell ref="K49:K50"/>
    <mergeCell ref="L49:L50"/>
    <mergeCell ref="F49:F50"/>
  </mergeCells>
  <conditionalFormatting sqref="B44:B45">
    <cfRule type="cellIs" dxfId="203" priority="120" operator="notBetween">
      <formula>#REF!</formula>
      <formula>#REF!</formula>
    </cfRule>
  </conditionalFormatting>
  <conditionalFormatting sqref="C48">
    <cfRule type="cellIs" dxfId="202" priority="203" stopIfTrue="1" operator="greaterThan">
      <formula>100</formula>
    </cfRule>
    <cfRule type="cellIs" dxfId="201" priority="202" stopIfTrue="1" operator="lessThan">
      <formula>96</formula>
    </cfRule>
  </conditionalFormatting>
  <conditionalFormatting sqref="C64:C65">
    <cfRule type="cellIs" dxfId="200" priority="83" stopIfTrue="1" operator="lessThanOrEqual">
      <formula>0</formula>
    </cfRule>
    <cfRule type="cellIs" dxfId="199" priority="84" stopIfTrue="1" operator="greaterThan">
      <formula>$F64</formula>
    </cfRule>
    <cfRule type="cellIs" dxfId="198" priority="85" stopIfTrue="1" operator="lessThanOrEqual">
      <formula>0</formula>
    </cfRule>
    <cfRule type="cellIs" dxfId="197" priority="82" stopIfTrue="1" operator="greaterThan">
      <formula>$F64</formula>
    </cfRule>
  </conditionalFormatting>
  <conditionalFormatting sqref="C66:C68 C70:C72">
    <cfRule type="cellIs" dxfId="196" priority="92" stopIfTrue="1" operator="greaterThan">
      <formula>$F69</formula>
    </cfRule>
  </conditionalFormatting>
  <conditionalFormatting sqref="C66:C68">
    <cfRule type="cellIs" dxfId="195" priority="93" stopIfTrue="1" operator="lessThanOrEqual">
      <formula>0</formula>
    </cfRule>
  </conditionalFormatting>
  <conditionalFormatting sqref="C69">
    <cfRule type="cellIs" dxfId="194" priority="207" stopIfTrue="1" operator="lessThanOrEqual">
      <formula>0</formula>
    </cfRule>
    <cfRule type="cellIs" dxfId="193" priority="206" stopIfTrue="1" operator="greaterThan">
      <formula>$F64</formula>
    </cfRule>
    <cfRule type="cellIs" dxfId="192" priority="205" stopIfTrue="1" operator="lessThanOrEqual">
      <formula>0</formula>
    </cfRule>
    <cfRule type="cellIs" dxfId="191" priority="204" stopIfTrue="1" operator="greaterThan">
      <formula>$F64</formula>
    </cfRule>
  </conditionalFormatting>
  <conditionalFormatting sqref="C70:C72">
    <cfRule type="cellIs" dxfId="190" priority="94" stopIfTrue="1" operator="lessThanOrEqual">
      <formula>0</formula>
    </cfRule>
  </conditionalFormatting>
  <conditionalFormatting sqref="C75:C79">
    <cfRule type="cellIs" dxfId="189" priority="194" stopIfTrue="1" operator="lessThanOrEqual">
      <formula>0</formula>
    </cfRule>
  </conditionalFormatting>
  <conditionalFormatting sqref="C76:C79">
    <cfRule type="cellIs" dxfId="188" priority="193" stopIfTrue="1" operator="greaterThan">
      <formula>$F$75</formula>
    </cfRule>
  </conditionalFormatting>
  <conditionalFormatting sqref="C81">
    <cfRule type="cellIs" dxfId="187" priority="196" stopIfTrue="1" operator="lessThanOrEqual">
      <formula>0</formula>
    </cfRule>
    <cfRule type="cellIs" dxfId="186" priority="195" stopIfTrue="1" operator="greaterThan">
      <formula>$F$75</formula>
    </cfRule>
  </conditionalFormatting>
  <conditionalFormatting sqref="C69:D69">
    <cfRule type="cellIs" dxfId="185" priority="80" stopIfTrue="1" operator="greaterThan">
      <formula>$J69</formula>
    </cfRule>
    <cfRule type="cellIs" dxfId="184" priority="81" stopIfTrue="1" operator="lessThanOrEqual">
      <formula>0</formula>
    </cfRule>
  </conditionalFormatting>
  <conditionalFormatting sqref="C75:D75 D77:D83">
    <cfRule type="cellIs" dxfId="183" priority="188" stopIfTrue="1" operator="greaterThan">
      <formula>4.5</formula>
    </cfRule>
  </conditionalFormatting>
  <conditionalFormatting sqref="D44:D45">
    <cfRule type="cellIs" dxfId="182" priority="121" operator="notBetween">
      <formula>#REF!</formula>
      <formula>#REF!</formula>
    </cfRule>
  </conditionalFormatting>
  <conditionalFormatting sqref="D64:D68 D70:D71">
    <cfRule type="cellIs" dxfId="181" priority="91" stopIfTrue="1" operator="lessThanOrEqual">
      <formula>0</formula>
    </cfRule>
  </conditionalFormatting>
  <conditionalFormatting sqref="D64:D68 D70:D73">
    <cfRule type="cellIs" dxfId="180" priority="87" stopIfTrue="1" operator="lessThanOrEqual">
      <formula>0</formula>
    </cfRule>
    <cfRule type="cellIs" dxfId="179" priority="88" stopIfTrue="1" operator="greaterThan">
      <formula>$F64</formula>
    </cfRule>
  </conditionalFormatting>
  <conditionalFormatting sqref="D72:D73">
    <cfRule type="cellIs" dxfId="178" priority="89" stopIfTrue="1" operator="lessThanOrEqual">
      <formula>0</formula>
    </cfRule>
  </conditionalFormatting>
  <conditionalFormatting sqref="D73">
    <cfRule type="cellIs" dxfId="177" priority="90" stopIfTrue="1" operator="lessThanOrEqual">
      <formula>0</formula>
    </cfRule>
  </conditionalFormatting>
  <conditionalFormatting sqref="D75 D77:D83">
    <cfRule type="cellIs" dxfId="176" priority="189" stopIfTrue="1" operator="lessThanOrEqual">
      <formula>0</formula>
    </cfRule>
  </conditionalFormatting>
  <conditionalFormatting sqref="D76">
    <cfRule type="cellIs" dxfId="175" priority="181" stopIfTrue="1" operator="lessThanOrEqual">
      <formula>0</formula>
    </cfRule>
    <cfRule type="cellIs" dxfId="174" priority="180" stopIfTrue="1" operator="greaterThan">
      <formula>$F$75</formula>
    </cfRule>
  </conditionalFormatting>
  <conditionalFormatting sqref="E10:E19">
    <cfRule type="cellIs" dxfId="173" priority="23" operator="lessThan">
      <formula>48</formula>
    </cfRule>
  </conditionalFormatting>
  <conditionalFormatting sqref="E47 E48:F48">
    <cfRule type="cellIs" dxfId="172" priority="185" stopIfTrue="1" operator="greaterThan">
      <formula>100</formula>
    </cfRule>
  </conditionalFormatting>
  <conditionalFormatting sqref="E48">
    <cfRule type="cellIs" dxfId="171" priority="183" stopIfTrue="1" operator="greaterThan">
      <formula>100</formula>
    </cfRule>
    <cfRule type="cellIs" dxfId="170" priority="182" stopIfTrue="1" operator="lessThan">
      <formula>96.8</formula>
    </cfRule>
  </conditionalFormatting>
  <conditionalFormatting sqref="E64:E72">
    <cfRule type="cellIs" dxfId="169" priority="53" stopIfTrue="1" operator="lessThanOrEqual">
      <formula>0</formula>
    </cfRule>
  </conditionalFormatting>
  <conditionalFormatting sqref="E64:E73">
    <cfRule type="cellIs" dxfId="168" priority="55" stopIfTrue="1" operator="lessThanOrEqual">
      <formula>0</formula>
    </cfRule>
    <cfRule type="cellIs" dxfId="167" priority="54" stopIfTrue="1" operator="greaterThan">
      <formula>$F64</formula>
    </cfRule>
  </conditionalFormatting>
  <conditionalFormatting sqref="E73">
    <cfRule type="cellIs" dxfId="166" priority="56" stopIfTrue="1" operator="lessThanOrEqual">
      <formula>0</formula>
    </cfRule>
  </conditionalFormatting>
  <conditionalFormatting sqref="E75:E83">
    <cfRule type="cellIs" dxfId="165" priority="175" stopIfTrue="1" operator="lessThanOrEqual">
      <formula>0</formula>
    </cfRule>
    <cfRule type="cellIs" dxfId="164" priority="174" stopIfTrue="1" operator="greaterThan">
      <formula>4.5</formula>
    </cfRule>
  </conditionalFormatting>
  <conditionalFormatting sqref="E48:F48 E47">
    <cfRule type="cellIs" dxfId="163" priority="184" stopIfTrue="1" operator="lessThan">
      <formula>96.5</formula>
    </cfRule>
  </conditionalFormatting>
  <conditionalFormatting sqref="F10:F19">
    <cfRule type="cellIs" dxfId="162" priority="30" operator="greaterThan">
      <formula>60</formula>
    </cfRule>
  </conditionalFormatting>
  <conditionalFormatting sqref="F48">
    <cfRule type="cellIs" dxfId="161" priority="201" stopIfTrue="1" operator="greaterThan">
      <formula>100</formula>
    </cfRule>
    <cfRule type="cellIs" dxfId="160" priority="200" stopIfTrue="1" operator="lessThan">
      <formula>96.8</formula>
    </cfRule>
  </conditionalFormatting>
  <conditionalFormatting sqref="G10:G17 H10:H18 G19:H19">
    <cfRule type="expression" dxfId="159" priority="28">
      <formula>IF(+(IF(G10&lt;#REF!,0,IF(G10&gt;#REF!,0,1)))=0,1)</formula>
    </cfRule>
  </conditionalFormatting>
  <conditionalFormatting sqref="G18">
    <cfRule type="expression" dxfId="158" priority="26">
      <formula>IF(+(IF(G18&lt;S18,0,IF(G18&gt;T18,0,1)))=0,1)</formula>
    </cfRule>
  </conditionalFormatting>
  <conditionalFormatting sqref="G64:G67 F73">
    <cfRule type="cellIs" dxfId="157" priority="62" stopIfTrue="1" operator="greaterThan">
      <formula>$F64</formula>
    </cfRule>
    <cfRule type="cellIs" dxfId="156" priority="63" stopIfTrue="1" operator="lessThanOrEqual">
      <formula>0</formula>
    </cfRule>
  </conditionalFormatting>
  <conditionalFormatting sqref="G66:G67">
    <cfRule type="cellIs" dxfId="155" priority="48" stopIfTrue="1" operator="greaterThan">
      <formula>$F66</formula>
    </cfRule>
    <cfRule type="cellIs" dxfId="154" priority="49" stopIfTrue="1" operator="lessThanOrEqual">
      <formula>0</formula>
    </cfRule>
  </conditionalFormatting>
  <conditionalFormatting sqref="G68:G72">
    <cfRule type="cellIs" dxfId="153" priority="65" stopIfTrue="1" operator="lessThanOrEqual">
      <formula>0</formula>
    </cfRule>
    <cfRule type="cellIs" dxfId="152" priority="64" stopIfTrue="1" operator="greaterThan">
      <formula>$J68</formula>
    </cfRule>
  </conditionalFormatting>
  <conditionalFormatting sqref="G69">
    <cfRule type="cellIs" dxfId="151" priority="208" stopIfTrue="1" operator="greaterThan">
      <formula>$F64</formula>
    </cfRule>
    <cfRule type="cellIs" dxfId="150" priority="209" stopIfTrue="1" operator="lessThanOrEqual">
      <formula>0</formula>
    </cfRule>
  </conditionalFormatting>
  <conditionalFormatting sqref="G77:G82 C80 C82">
    <cfRule type="cellIs" dxfId="149" priority="197" stopIfTrue="1" operator="greaterThan">
      <formula>4.5</formula>
    </cfRule>
    <cfRule type="cellIs" dxfId="148" priority="198" stopIfTrue="1" operator="lessThanOrEqual">
      <formula>0</formula>
    </cfRule>
  </conditionalFormatting>
  <conditionalFormatting sqref="G76:H76">
    <cfRule type="cellIs" dxfId="147" priority="179" stopIfTrue="1" operator="lessThanOrEqual">
      <formula>0</formula>
    </cfRule>
    <cfRule type="cellIs" dxfId="146" priority="178" stopIfTrue="1" operator="greaterThan">
      <formula>$F$75</formula>
    </cfRule>
  </conditionalFormatting>
  <conditionalFormatting sqref="H33:H34 H47">
    <cfRule type="cellIs" dxfId="145" priority="176" stopIfTrue="1" operator="greaterThan">
      <formula>0</formula>
    </cfRule>
  </conditionalFormatting>
  <conditionalFormatting sqref="H51">
    <cfRule type="cellIs" dxfId="144" priority="68" stopIfTrue="1" operator="greaterThan">
      <formula>$F$64</formula>
    </cfRule>
    <cfRule type="cellIs" dxfId="143" priority="76" stopIfTrue="1" operator="greaterThan">
      <formula>$F$67</formula>
    </cfRule>
    <cfRule type="cellIs" dxfId="142" priority="77" stopIfTrue="1" operator="lessThanOrEqual">
      <formula>0</formula>
    </cfRule>
    <cfRule type="cellIs" dxfId="141" priority="78" stopIfTrue="1" operator="greaterThan">
      <formula>$F$65</formula>
    </cfRule>
    <cfRule type="cellIs" dxfId="140" priority="67" stopIfTrue="1" operator="lessThanOrEqual">
      <formula>0</formula>
    </cfRule>
  </conditionalFormatting>
  <conditionalFormatting sqref="H51:H52">
    <cfRule type="cellIs" dxfId="139" priority="79" stopIfTrue="1" operator="lessThanOrEqual">
      <formula>0</formula>
    </cfRule>
  </conditionalFormatting>
  <conditionalFormatting sqref="H52 H54:H55">
    <cfRule type="cellIs" dxfId="138" priority="106" stopIfTrue="1" operator="lessThanOrEqual">
      <formula>0</formula>
    </cfRule>
  </conditionalFormatting>
  <conditionalFormatting sqref="H52">
    <cfRule type="cellIs" dxfId="137" priority="95" stopIfTrue="1" operator="greaterThan">
      <formula>$F$64</formula>
    </cfRule>
    <cfRule type="cellIs" dxfId="136" priority="105" stopIfTrue="1" operator="greaterThan">
      <formula>$F$65</formula>
    </cfRule>
    <cfRule type="cellIs" dxfId="135" priority="103" stopIfTrue="1" operator="greaterThan">
      <formula>$F$67</formula>
    </cfRule>
    <cfRule type="cellIs" dxfId="134" priority="104" stopIfTrue="1" operator="lessThanOrEqual">
      <formula>0</formula>
    </cfRule>
  </conditionalFormatting>
  <conditionalFormatting sqref="H53">
    <cfRule type="cellIs" dxfId="133" priority="45" stopIfTrue="1" operator="greaterThan">
      <formula>$F$67</formula>
    </cfRule>
    <cfRule type="cellIs" dxfId="132" priority="35" stopIfTrue="1" operator="greaterThan">
      <formula>$F$66</formula>
    </cfRule>
    <cfRule type="cellIs" dxfId="131" priority="34" stopIfTrue="1" operator="lessThanOrEqual">
      <formula>0</formula>
    </cfRule>
    <cfRule type="cellIs" dxfId="130" priority="44" stopIfTrue="1" operator="lessThanOrEqual">
      <formula>0</formula>
    </cfRule>
    <cfRule type="cellIs" dxfId="129" priority="46" stopIfTrue="1" operator="lessThanOrEqual">
      <formula>0</formula>
    </cfRule>
    <cfRule type="cellIs" dxfId="128" priority="43" stopIfTrue="1" operator="greaterThan">
      <formula>$F$69</formula>
    </cfRule>
  </conditionalFormatting>
  <conditionalFormatting sqref="H54:H55">
    <cfRule type="cellIs" dxfId="127" priority="116" stopIfTrue="1" operator="greaterThan">
      <formula>$F$67</formula>
    </cfRule>
    <cfRule type="cellIs" dxfId="126" priority="117" stopIfTrue="1" operator="lessThanOrEqual">
      <formula>0</formula>
    </cfRule>
    <cfRule type="cellIs" dxfId="125" priority="118" stopIfTrue="1" operator="greaterThan">
      <formula>$F$65</formula>
    </cfRule>
    <cfRule type="cellIs" dxfId="124" priority="119" stopIfTrue="1" operator="lessThanOrEqual">
      <formula>0</formula>
    </cfRule>
    <cfRule type="cellIs" dxfId="123" priority="108" stopIfTrue="1" operator="greaterThan">
      <formula>$F$64</formula>
    </cfRule>
  </conditionalFormatting>
  <conditionalFormatting sqref="H56:H57">
    <cfRule type="cellIs" dxfId="122" priority="143" stopIfTrue="1" operator="lessThanOrEqual">
      <formula>0</formula>
    </cfRule>
    <cfRule type="cellIs" dxfId="121" priority="144" stopIfTrue="1" operator="greaterThan">
      <formula>#REF!</formula>
    </cfRule>
    <cfRule type="cellIs" dxfId="120" priority="153" stopIfTrue="1" operator="lessThanOrEqual">
      <formula>0</formula>
    </cfRule>
    <cfRule type="cellIs" dxfId="119" priority="152" stopIfTrue="1" operator="greaterThan">
      <formula>#REF!</formula>
    </cfRule>
  </conditionalFormatting>
  <conditionalFormatting sqref="H58">
    <cfRule type="cellIs" dxfId="118" priority="156" stopIfTrue="1" operator="greaterThan">
      <formula>$F$32</formula>
    </cfRule>
    <cfRule type="cellIs" dxfId="117" priority="165" stopIfTrue="1" operator="lessThanOrEqual">
      <formula>0</formula>
    </cfRule>
    <cfRule type="cellIs" dxfId="116" priority="166" stopIfTrue="1" operator="greaterThan">
      <formula>$F$33</formula>
    </cfRule>
    <cfRule type="cellIs" dxfId="115" priority="167" stopIfTrue="1" operator="lessThanOrEqual">
      <formula>0</formula>
    </cfRule>
    <cfRule type="cellIs" dxfId="114" priority="164" stopIfTrue="1" operator="greaterThan">
      <formula>$F$35</formula>
    </cfRule>
    <cfRule type="cellIs" dxfId="113" priority="155" stopIfTrue="1" operator="lessThanOrEqual">
      <formula>0</formula>
    </cfRule>
  </conditionalFormatting>
  <conditionalFormatting sqref="H59:H60">
    <cfRule type="cellIs" dxfId="112" priority="131" stopIfTrue="1" operator="lessThanOrEqual">
      <formula>0</formula>
    </cfRule>
    <cfRule type="cellIs" dxfId="111" priority="140" stopIfTrue="1" operator="greaterThan">
      <formula>#REF!</formula>
    </cfRule>
    <cfRule type="cellIs" dxfId="110" priority="141" stopIfTrue="1" operator="lessThanOrEqual">
      <formula>0</formula>
    </cfRule>
    <cfRule type="cellIs" dxfId="109" priority="132" stopIfTrue="1" operator="greaterThan">
      <formula>#REF!</formula>
    </cfRule>
  </conditionalFormatting>
  <conditionalFormatting sqref="H75 H77:H83">
    <cfRule type="cellIs" dxfId="108" priority="191" stopIfTrue="1" operator="lessThanOrEqual">
      <formula>0</formula>
    </cfRule>
    <cfRule type="cellIs" dxfId="107" priority="190" stopIfTrue="1" operator="greaterThan">
      <formula>4.5</formula>
    </cfRule>
  </conditionalFormatting>
  <conditionalFormatting sqref="H51:I51">
    <cfRule type="cellIs" dxfId="106" priority="69" stopIfTrue="1" operator="lessThanOrEqual">
      <formula>0</formula>
    </cfRule>
  </conditionalFormatting>
  <conditionalFormatting sqref="H51:I52 H54:I55">
    <cfRule type="cellIs" dxfId="105" priority="66" stopIfTrue="1" operator="greaterThan">
      <formula>$F$66</formula>
    </cfRule>
  </conditionalFormatting>
  <conditionalFormatting sqref="H52:I52">
    <cfRule type="cellIs" dxfId="104" priority="96" stopIfTrue="1" operator="lessThanOrEqual">
      <formula>0</formula>
    </cfRule>
  </conditionalFormatting>
  <conditionalFormatting sqref="H53:I53">
    <cfRule type="cellIs" dxfId="103" priority="33" stopIfTrue="1" operator="greaterThan">
      <formula>$F$68</formula>
    </cfRule>
    <cfRule type="cellIs" dxfId="102" priority="36" stopIfTrue="1" operator="lessThanOrEqual">
      <formula>0</formula>
    </cfRule>
  </conditionalFormatting>
  <conditionalFormatting sqref="H54:I55">
    <cfRule type="cellIs" dxfId="101" priority="109" stopIfTrue="1" operator="lessThanOrEqual">
      <formula>0</formula>
    </cfRule>
  </conditionalFormatting>
  <conditionalFormatting sqref="H56:I57">
    <cfRule type="cellIs" dxfId="100" priority="142" stopIfTrue="1" operator="greaterThan">
      <formula>#REF!</formula>
    </cfRule>
    <cfRule type="cellIs" dxfId="99" priority="145" stopIfTrue="1" operator="lessThanOrEqual">
      <formula>0</formula>
    </cfRule>
    <cfRule type="cellIs" dxfId="98" priority="150" stopIfTrue="1" operator="greaterThan">
      <formula>#REF!</formula>
    </cfRule>
    <cfRule type="cellIs" dxfId="97" priority="151" stopIfTrue="1" operator="lessThanOrEqual">
      <formula>0</formula>
    </cfRule>
  </conditionalFormatting>
  <conditionalFormatting sqref="H58:I58">
    <cfRule type="cellIs" dxfId="96" priority="157" stopIfTrue="1" operator="lessThanOrEqual">
      <formula>0</formula>
    </cfRule>
    <cfRule type="cellIs" dxfId="95" priority="154" stopIfTrue="1" operator="greaterThan">
      <formula>$F$34</formula>
    </cfRule>
  </conditionalFormatting>
  <conditionalFormatting sqref="H59:I60">
    <cfRule type="cellIs" dxfId="94" priority="138" stopIfTrue="1" operator="greaterThan">
      <formula>#REF!</formula>
    </cfRule>
    <cfRule type="cellIs" dxfId="93" priority="139" stopIfTrue="1" operator="lessThanOrEqual">
      <formula>0</formula>
    </cfRule>
    <cfRule type="cellIs" dxfId="92" priority="130" stopIfTrue="1" operator="greaterThan">
      <formula>#REF!</formula>
    </cfRule>
    <cfRule type="cellIs" dxfId="91" priority="133" stopIfTrue="1" operator="lessThanOrEqual">
      <formula>0</formula>
    </cfRule>
  </conditionalFormatting>
  <conditionalFormatting sqref="H64:I71">
    <cfRule type="cellIs" dxfId="90" priority="52" stopIfTrue="1" operator="lessThanOrEqual">
      <formula>0</formula>
    </cfRule>
    <cfRule type="cellIs" dxfId="89" priority="51" stopIfTrue="1" operator="greaterThan">
      <formula>$J64</formula>
    </cfRule>
  </conditionalFormatting>
  <conditionalFormatting sqref="H72:I72">
    <cfRule type="cellIs" dxfId="88" priority="59" operator="greaterThan">
      <formula>5.3</formula>
    </cfRule>
  </conditionalFormatting>
  <conditionalFormatting sqref="H73:I73">
    <cfRule type="cellIs" dxfId="87" priority="57" stopIfTrue="1" operator="greaterThan">
      <formula>$J73</formula>
    </cfRule>
    <cfRule type="cellIs" dxfId="86" priority="58" stopIfTrue="1" operator="lessThanOrEqual">
      <formula>0</formula>
    </cfRule>
  </conditionalFormatting>
  <conditionalFormatting sqref="I51">
    <cfRule type="cellIs" dxfId="85" priority="75" stopIfTrue="1" operator="lessThanOrEqual">
      <formula>0</formula>
    </cfRule>
    <cfRule type="cellIs" dxfId="84" priority="74" stopIfTrue="1" operator="greaterThan">
      <formula>$F$64</formula>
    </cfRule>
    <cfRule type="cellIs" dxfId="83" priority="73" stopIfTrue="1" operator="lessThanOrEqual">
      <formula>0</formula>
    </cfRule>
    <cfRule type="cellIs" dxfId="82" priority="72" stopIfTrue="1" operator="greaterThan">
      <formula>$F$66</formula>
    </cfRule>
    <cfRule type="cellIs" dxfId="81" priority="71" stopIfTrue="1" operator="lessThanOrEqual">
      <formula>0</formula>
    </cfRule>
    <cfRule type="cellIs" dxfId="80" priority="70" stopIfTrue="1" operator="greaterThan">
      <formula>$F$64</formula>
    </cfRule>
  </conditionalFormatting>
  <conditionalFormatting sqref="I52">
    <cfRule type="cellIs" dxfId="79" priority="97" stopIfTrue="1" operator="greaterThan">
      <formula>$F$64</formula>
    </cfRule>
    <cfRule type="cellIs" dxfId="78" priority="98" stopIfTrue="1" operator="lessThanOrEqual">
      <formula>0</formula>
    </cfRule>
    <cfRule type="cellIs" dxfId="77" priority="99" stopIfTrue="1" operator="greaterThan">
      <formula>$F$66</formula>
    </cfRule>
    <cfRule type="cellIs" dxfId="76" priority="100" stopIfTrue="1" operator="lessThanOrEqual">
      <formula>0</formula>
    </cfRule>
    <cfRule type="cellIs" dxfId="75" priority="101" stopIfTrue="1" operator="greaterThan">
      <formula>$F$64</formula>
    </cfRule>
    <cfRule type="cellIs" dxfId="74" priority="102" stopIfTrue="1" operator="lessThanOrEqual">
      <formula>0</formula>
    </cfRule>
  </conditionalFormatting>
  <conditionalFormatting sqref="I53">
    <cfRule type="cellIs" dxfId="73" priority="40" stopIfTrue="1" operator="lessThanOrEqual">
      <formula>0</formula>
    </cfRule>
    <cfRule type="cellIs" dxfId="72" priority="42" stopIfTrue="1" operator="lessThanOrEqual">
      <formula>0</formula>
    </cfRule>
    <cfRule type="cellIs" dxfId="71" priority="41" stopIfTrue="1" operator="greaterThan">
      <formula>$F$66</formula>
    </cfRule>
    <cfRule type="cellIs" dxfId="70" priority="37" stopIfTrue="1" operator="greaterThan">
      <formula>$F$66</formula>
    </cfRule>
    <cfRule type="cellIs" dxfId="69" priority="38" stopIfTrue="1" operator="lessThanOrEqual">
      <formula>0</formula>
    </cfRule>
    <cfRule type="cellIs" dxfId="68" priority="39" stopIfTrue="1" operator="greaterThan">
      <formula>$F$68</formula>
    </cfRule>
  </conditionalFormatting>
  <conditionalFormatting sqref="I54:I55">
    <cfRule type="cellIs" dxfId="67" priority="114" stopIfTrue="1" operator="greaterThan">
      <formula>$F$64</formula>
    </cfRule>
    <cfRule type="cellIs" dxfId="66" priority="115" stopIfTrue="1" operator="lessThanOrEqual">
      <formula>0</formula>
    </cfRule>
    <cfRule type="cellIs" dxfId="65" priority="112" stopIfTrue="1" operator="greaterThan">
      <formula>$F$66</formula>
    </cfRule>
    <cfRule type="cellIs" dxfId="64" priority="111" stopIfTrue="1" operator="lessThanOrEqual">
      <formula>0</formula>
    </cfRule>
    <cfRule type="cellIs" dxfId="63" priority="110" stopIfTrue="1" operator="greaterThan">
      <formula>$F$64</formula>
    </cfRule>
    <cfRule type="cellIs" dxfId="62" priority="113" stopIfTrue="1" operator="lessThanOrEqual">
      <formula>0</formula>
    </cfRule>
  </conditionalFormatting>
  <conditionalFormatting sqref="I56:I57">
    <cfRule type="cellIs" dxfId="61" priority="147" stopIfTrue="1" operator="lessThanOrEqual">
      <formula>0</formula>
    </cfRule>
    <cfRule type="cellIs" dxfId="60" priority="146" stopIfTrue="1" operator="greaterThan">
      <formula>#REF!</formula>
    </cfRule>
    <cfRule type="cellIs" dxfId="59" priority="149" stopIfTrue="1" operator="lessThanOrEqual">
      <formula>0</formula>
    </cfRule>
    <cfRule type="cellIs" dxfId="58" priority="148" stopIfTrue="1" operator="greaterThan">
      <formula>#REF!</formula>
    </cfRule>
  </conditionalFormatting>
  <conditionalFormatting sqref="I58">
    <cfRule type="cellIs" dxfId="57" priority="158" stopIfTrue="1" operator="greaterThan">
      <formula>$F$32</formula>
    </cfRule>
    <cfRule type="cellIs" dxfId="56" priority="159" stopIfTrue="1" operator="lessThanOrEqual">
      <formula>0</formula>
    </cfRule>
    <cfRule type="cellIs" dxfId="55" priority="160" stopIfTrue="1" operator="greaterThan">
      <formula>$F$34</formula>
    </cfRule>
    <cfRule type="cellIs" dxfId="54" priority="161" stopIfTrue="1" operator="lessThanOrEqual">
      <formula>0</formula>
    </cfRule>
    <cfRule type="cellIs" dxfId="53" priority="162" stopIfTrue="1" operator="greaterThan">
      <formula>$F$32</formula>
    </cfRule>
    <cfRule type="cellIs" dxfId="52" priority="163" stopIfTrue="1" operator="lessThanOrEqual">
      <formula>0</formula>
    </cfRule>
  </conditionalFormatting>
  <conditionalFormatting sqref="I59:I60">
    <cfRule type="cellIs" dxfId="51" priority="135" stopIfTrue="1" operator="lessThanOrEqual">
      <formula>0</formula>
    </cfRule>
    <cfRule type="cellIs" dxfId="50" priority="134" stopIfTrue="1" operator="greaterThan">
      <formula>#REF!</formula>
    </cfRule>
    <cfRule type="cellIs" dxfId="49" priority="137" stopIfTrue="1" operator="lessThanOrEqual">
      <formula>0</formula>
    </cfRule>
    <cfRule type="cellIs" dxfId="48" priority="136" stopIfTrue="1" operator="greaterThan">
      <formula>#REF!</formula>
    </cfRule>
  </conditionalFormatting>
  <conditionalFormatting sqref="I75:I83">
    <cfRule type="cellIs" dxfId="47" priority="186" stopIfTrue="1" operator="greaterThan">
      <formula>4.5</formula>
    </cfRule>
    <cfRule type="cellIs" dxfId="46" priority="187" stopIfTrue="1" operator="lessThanOrEqual">
      <formula>0</formula>
    </cfRule>
  </conditionalFormatting>
  <conditionalFormatting sqref="I10:J19">
    <cfRule type="cellIs" dxfId="45" priority="17" operator="lessThan">
      <formula>97.9</formula>
    </cfRule>
  </conditionalFormatting>
  <conditionalFormatting sqref="J22:J24">
    <cfRule type="cellIs" dxfId="44" priority="32" operator="lessThan">
      <formula>97.95</formula>
    </cfRule>
  </conditionalFormatting>
  <conditionalFormatting sqref="J24:J26">
    <cfRule type="cellIs" dxfId="43" priority="168" operator="lessThan">
      <formula>97.4</formula>
    </cfRule>
  </conditionalFormatting>
  <conditionalFormatting sqref="J27:J28">
    <cfRule type="cellIs" dxfId="42" priority="169" operator="lessThan">
      <formula>98</formula>
    </cfRule>
  </conditionalFormatting>
  <conditionalFormatting sqref="J29:J30">
    <cfRule type="cellIs" dxfId="41" priority="170" stopIfTrue="1" operator="lessThan">
      <formula>96.8</formula>
    </cfRule>
    <cfRule type="cellIs" dxfId="40" priority="171" stopIfTrue="1" operator="greaterThan">
      <formula>100</formula>
    </cfRule>
  </conditionalFormatting>
  <conditionalFormatting sqref="J29:J31">
    <cfRule type="cellIs" dxfId="39" priority="172" operator="lessThan">
      <formula>98</formula>
    </cfRule>
  </conditionalFormatting>
  <conditionalFormatting sqref="J60">
    <cfRule type="cellIs" dxfId="38" priority="128" stopIfTrue="1" operator="greaterThan">
      <formula>#REF!</formula>
    </cfRule>
    <cfRule type="cellIs" dxfId="37" priority="122" stopIfTrue="1" operator="greaterThan">
      <formula>#REF!</formula>
    </cfRule>
    <cfRule type="cellIs" dxfId="36" priority="123" stopIfTrue="1" operator="lessThanOrEqual">
      <formula>0</formula>
    </cfRule>
    <cfRule type="cellIs" dxfId="35" priority="125" stopIfTrue="1" operator="lessThanOrEqual">
      <formula>0</formula>
    </cfRule>
    <cfRule type="cellIs" dxfId="34" priority="129" stopIfTrue="1" operator="lessThanOrEqual">
      <formula>0</formula>
    </cfRule>
    <cfRule type="cellIs" dxfId="33" priority="124" stopIfTrue="1" operator="greaterThan">
      <formula>#REF!</formula>
    </cfRule>
    <cfRule type="cellIs" dxfId="32" priority="127" stopIfTrue="1" operator="lessThanOrEqual">
      <formula>0</formula>
    </cfRule>
    <cfRule type="cellIs" dxfId="31" priority="126" stopIfTrue="1" operator="greaterThan">
      <formula>#REF!</formula>
    </cfRule>
  </conditionalFormatting>
  <conditionalFormatting sqref="J73">
    <cfRule type="cellIs" dxfId="30" priority="60" stopIfTrue="1" operator="greaterThan">
      <formula>$F73</formula>
    </cfRule>
    <cfRule type="cellIs" dxfId="29" priority="61" stopIfTrue="1" operator="lessThanOrEqual">
      <formula>0</formula>
    </cfRule>
  </conditionalFormatting>
  <conditionalFormatting sqref="K10:K19">
    <cfRule type="cellIs" dxfId="28" priority="20" operator="greaterThan">
      <formula>6.4</formula>
    </cfRule>
    <cfRule type="cellIs" dxfId="27" priority="19" operator="lessThan">
      <formula>4</formula>
    </cfRule>
    <cfRule type="cellIs" dxfId="26" priority="18" operator="greaterThan">
      <formula>6</formula>
    </cfRule>
  </conditionalFormatting>
  <conditionalFormatting sqref="K51:K60">
    <cfRule type="cellIs" dxfId="25" priority="107" stopIfTrue="1" operator="lessThan">
      <formula>100%</formula>
    </cfRule>
  </conditionalFormatting>
  <conditionalFormatting sqref="K64:K72">
    <cfRule type="cellIs" dxfId="24" priority="50" stopIfTrue="1" operator="lessThan">
      <formula>100%</formula>
    </cfRule>
  </conditionalFormatting>
  <conditionalFormatting sqref="K75:K80">
    <cfRule type="cellIs" dxfId="23" priority="192" stopIfTrue="1" operator="lessThan">
      <formula>100%</formula>
    </cfRule>
  </conditionalFormatting>
  <conditionalFormatting sqref="K82:K83">
    <cfRule type="cellIs" dxfId="22" priority="199" stopIfTrue="1" operator="lessThan">
      <formula>100%</formula>
    </cfRule>
  </conditionalFormatting>
  <conditionalFormatting sqref="L10:L19">
    <cfRule type="cellIs" dxfId="21" priority="3" operator="greaterThan">
      <formula>65</formula>
    </cfRule>
    <cfRule type="cellIs" dxfId="20" priority="2" operator="between">
      <formula>61</formula>
      <formula>65</formula>
    </cfRule>
  </conditionalFormatting>
  <conditionalFormatting sqref="L22:M33">
    <cfRule type="cellIs" dxfId="19" priority="31" operator="lessThan">
      <formula>97.95</formula>
    </cfRule>
  </conditionalFormatting>
  <conditionalFormatting sqref="L37:N37">
    <cfRule type="cellIs" dxfId="18" priority="86" operator="notEqual">
      <formula>#REF!</formula>
    </cfRule>
  </conditionalFormatting>
  <conditionalFormatting sqref="L64:N73">
    <cfRule type="cellIs" dxfId="17" priority="47" stopIfTrue="1" operator="lessThan">
      <formula>100%</formula>
    </cfRule>
  </conditionalFormatting>
  <conditionalFormatting sqref="L75:N83">
    <cfRule type="cellIs" dxfId="16" priority="177" stopIfTrue="1" operator="lessThan">
      <formula>100%</formula>
    </cfRule>
  </conditionalFormatting>
  <conditionalFormatting sqref="M10:M18">
    <cfRule type="expression" dxfId="15" priority="1">
      <formula>IF(+(IF(M10&lt;$U$10,0,IF(M10&gt;$V$10,0,1)))=0,1)</formula>
    </cfRule>
  </conditionalFormatting>
  <conditionalFormatting sqref="M19:N19">
    <cfRule type="expression" dxfId="14" priority="29">
      <formula>IF(+(IF(M19&lt;#REF!,0,IF(M19&gt;#REF!,0,1)))=0,1)</formula>
    </cfRule>
  </conditionalFormatting>
  <conditionalFormatting sqref="N10:N18">
    <cfRule type="expression" dxfId="13" priority="5">
      <formula>IF(+(IF(N10&lt;#REF!,0,IF(N10&gt;#REF!,0,1)))=0,1)</formula>
    </cfRule>
  </conditionalFormatting>
  <conditionalFormatting sqref="N10:N19">
    <cfRule type="expression" dxfId="12" priority="4">
      <formula>IF(+(IF(N10&lt;W10,0,IF(N10&gt;X10,0,1)))=0,1)</formula>
    </cfRule>
  </conditionalFormatting>
  <conditionalFormatting sqref="P6">
    <cfRule type="cellIs" dxfId="11" priority="173" operator="greaterThanOrEqual">
      <formula>19</formula>
    </cfRule>
  </conditionalFormatting>
  <dataValidations count="1">
    <dataValidation type="list" allowBlank="1" showInputMessage="1" showErrorMessage="1" sqref="R8" xr:uid="{879EBCB5-09B0-4B73-84F5-DE0378FFCDC4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D082-4AFA-460E-ADC3-B4C1126FF311}">
  <sheetPr codeName="Sheet18">
    <tabColor rgb="FFC00000"/>
    <pageSetUpPr fitToPage="1"/>
  </sheetPr>
  <dimension ref="B1:O73"/>
  <sheetViews>
    <sheetView showZeros="0" topLeftCell="A53" workbookViewId="0">
      <selection activeCell="J56" sqref="J56:J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hidden="1" customWidth="1"/>
    <col min="4" max="4" width="9.5703125" style="78" customWidth="1"/>
    <col min="5" max="5" width="8.5703125" style="78" customWidth="1"/>
    <col min="6" max="6" width="14.42578125" style="78" hidden="1" customWidth="1"/>
    <col min="7" max="8" width="9.42578125" style="78" bestFit="1" customWidth="1"/>
    <col min="9" max="9" width="11.5703125" style="78" hidden="1" customWidth="1"/>
    <col min="10" max="10" width="11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661" t="s">
        <v>58</v>
      </c>
      <c r="C2" s="661"/>
      <c r="D2" s="661"/>
      <c r="E2" s="661"/>
      <c r="F2" s="661"/>
      <c r="G2" s="661"/>
      <c r="H2" s="661"/>
      <c r="I2" s="661"/>
      <c r="J2" s="661"/>
      <c r="K2" s="661"/>
    </row>
    <row r="3" spans="2:14" ht="15.75" hidden="1" thickBot="1">
      <c r="B3" s="79"/>
    </row>
    <row r="4" spans="2:14" ht="13.5" hidden="1" thickBot="1">
      <c r="B4" s="78" t="s">
        <v>7</v>
      </c>
      <c r="C4" s="662">
        <v>41431</v>
      </c>
      <c r="D4" s="662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659" t="s">
        <v>17</v>
      </c>
      <c r="C8" s="645" t="s">
        <v>18</v>
      </c>
      <c r="D8" s="645" t="s">
        <v>59</v>
      </c>
      <c r="E8" s="80" t="s">
        <v>20</v>
      </c>
      <c r="F8" s="81" t="s">
        <v>21</v>
      </c>
      <c r="G8" s="645" t="s">
        <v>60</v>
      </c>
      <c r="H8" s="645" t="s">
        <v>61</v>
      </c>
      <c r="I8" s="665" t="s">
        <v>62</v>
      </c>
      <c r="J8" s="82" t="s">
        <v>25</v>
      </c>
      <c r="K8" s="655" t="s">
        <v>28</v>
      </c>
    </row>
    <row r="9" spans="2:14" ht="26.25" hidden="1" thickBot="1">
      <c r="B9" s="663"/>
      <c r="C9" s="664"/>
      <c r="D9" s="664"/>
      <c r="E9" s="83" t="s">
        <v>30</v>
      </c>
      <c r="F9" s="84" t="s">
        <v>63</v>
      </c>
      <c r="G9" s="664"/>
      <c r="H9" s="664"/>
      <c r="I9" s="666"/>
      <c r="J9" s="85" t="s">
        <v>32</v>
      </c>
      <c r="K9" s="667"/>
      <c r="L9" s="86"/>
      <c r="M9" s="86"/>
      <c r="N9" s="86"/>
    </row>
    <row r="10" spans="2:14" ht="13.5" hidden="1" thickBot="1">
      <c r="B10" s="87" t="s">
        <v>64</v>
      </c>
      <c r="C10" s="88" t="str">
        <f>[38]Brewhouse!A5359</f>
        <v>CA236</v>
      </c>
      <c r="D10" s="88">
        <f>[38]Brewhouse!B5359</f>
        <v>41437</v>
      </c>
      <c r="E10" s="89">
        <f>[38]Brewhouse!AG5359</f>
        <v>49.011000000000003</v>
      </c>
      <c r="F10" s="90">
        <f>[38]Brewhouse!T5359</f>
        <v>60</v>
      </c>
      <c r="G10" s="91">
        <f>[38]Brewhouse!I5359</f>
        <v>19.79</v>
      </c>
      <c r="H10" s="92">
        <f>[38]Brewhouse!AS5359</f>
        <v>94.981545664755075</v>
      </c>
      <c r="I10" s="92">
        <f>[38]Brewhouse!AT5359</f>
        <v>97.074072469002047</v>
      </c>
      <c r="J10" s="93">
        <f>[38]Brewhouse!S5359-[38]Brewhouse!R5359</f>
        <v>0.10694444444444451</v>
      </c>
      <c r="K10" s="94"/>
      <c r="N10" s="95"/>
    </row>
    <row r="11" spans="2:14" ht="13.5" hidden="1" thickBot="1">
      <c r="B11" s="96"/>
      <c r="C11" s="88" t="str">
        <f>[38]Brewhouse!A5360</f>
        <v>CA237</v>
      </c>
      <c r="D11" s="88">
        <f>[38]Brewhouse!B5360</f>
        <v>41437</v>
      </c>
      <c r="E11" s="89">
        <f>[38]Brewhouse!AG5360</f>
        <v>48.531999999999996</v>
      </c>
      <c r="F11" s="90">
        <f>[38]Brewhouse!T5360</f>
        <v>68</v>
      </c>
      <c r="G11" s="91">
        <f>[38]Brewhouse!I5360</f>
        <v>17.7</v>
      </c>
      <c r="H11" s="92">
        <f>[38]Brewhouse!AS5360</f>
        <v>94.053260986347809</v>
      </c>
      <c r="I11" s="92">
        <f>[38]Brewhouse!AT5360</f>
        <v>96.1253368644918</v>
      </c>
      <c r="J11" s="93">
        <f>[38]Brewhouse!S5360-[38]Brewhouse!R5360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[38]Brewhouse!A5361</f>
        <v>CA238</v>
      </c>
      <c r="D12" s="88">
        <f>[38]Brewhouse!B5361</f>
        <v>41437</v>
      </c>
      <c r="E12" s="89">
        <f>[38]Brewhouse!AG5361</f>
        <v>50.466999999999999</v>
      </c>
      <c r="F12" s="90">
        <f>[38]Brewhouse!T5361</f>
        <v>61</v>
      </c>
      <c r="G12" s="91">
        <f>[38]Brewhouse!I5361</f>
        <v>19.7</v>
      </c>
      <c r="H12" s="92">
        <f>[38]Brewhouse!AS5361</f>
        <v>96.931393272913695</v>
      </c>
      <c r="I12" s="92">
        <f>[38]Brewhouse!AT5361</f>
        <v>99.066876931102286</v>
      </c>
      <c r="J12" s="93">
        <f>[38]Brewhouse!S5361-[38]Brewhouse!R5361</f>
        <v>0.10208333333333341</v>
      </c>
      <c r="K12" s="98"/>
    </row>
    <row r="13" spans="2:14" ht="13.5" hidden="1" thickBot="1">
      <c r="B13" s="99"/>
      <c r="C13" s="88" t="str">
        <f>[38]Brewhouse!A5362</f>
        <v>CA239</v>
      </c>
      <c r="D13" s="88">
        <f>[38]Brewhouse!B5362</f>
        <v>41437</v>
      </c>
      <c r="E13" s="89">
        <f>[38]Brewhouse!AG5362</f>
        <v>49.374000000000002</v>
      </c>
      <c r="F13" s="90">
        <f>[38]Brewhouse!T5362</f>
        <v>62</v>
      </c>
      <c r="G13" s="91">
        <f>[38]Brewhouse!I5362</f>
        <v>19</v>
      </c>
      <c r="H13" s="92">
        <f>[38]Brewhouse!AS5362</f>
        <v>95.68502653795305</v>
      </c>
      <c r="I13" s="92">
        <f>[38]Brewhouse!AT5362</f>
        <v>97.793051643192499</v>
      </c>
      <c r="J13" s="93">
        <f>[38]Brewhouse!S5362-[38]Brewhouse!R5362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53" t="s">
        <v>69</v>
      </c>
      <c r="G21" s="654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[38]Brewhouse!N5359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[38]Brewhouse!N5360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[38]Brewhouse!N5361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[38]Brewhouse!N5362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AVERAGE([38]Brewhouse!$AS$5347:$AS$5362)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AVERAGE([39]Brewhouse!$AQ$641:$AQ$644)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AVERAGE([40]Brewhouse!$AU$708:$AU$711)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AVERAGE([41]Brewhouse!$AY$943:$AY$946)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659" t="s">
        <v>17</v>
      </c>
      <c r="C43" s="645" t="s">
        <v>18</v>
      </c>
      <c r="D43" s="645" t="s">
        <v>44</v>
      </c>
      <c r="E43" s="645" t="s">
        <v>79</v>
      </c>
      <c r="F43" s="645" t="s">
        <v>51</v>
      </c>
      <c r="G43" s="645" t="s">
        <v>48</v>
      </c>
      <c r="H43" s="647" t="s">
        <v>28</v>
      </c>
      <c r="I43" s="648"/>
      <c r="J43" s="648"/>
      <c r="K43" s="655" t="s">
        <v>27</v>
      </c>
    </row>
    <row r="44" spans="2:15" ht="15.75" hidden="1" customHeight="1" thickBot="1">
      <c r="B44" s="660"/>
      <c r="C44" s="646"/>
      <c r="D44" s="646"/>
      <c r="E44" s="646"/>
      <c r="F44" s="646"/>
      <c r="G44" s="646"/>
      <c r="H44" s="649"/>
      <c r="I44" s="650"/>
      <c r="J44" s="650"/>
      <c r="K44" s="656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57"/>
      <c r="I45" s="658"/>
      <c r="J45" s="658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51"/>
      <c r="I46" s="652"/>
      <c r="J46" s="652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51"/>
      <c r="I47" s="652"/>
      <c r="J47" s="652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51"/>
      <c r="I48" s="652"/>
      <c r="J48" s="652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643"/>
      <c r="I49" s="644"/>
      <c r="J49" s="644"/>
      <c r="K49" s="172"/>
    </row>
    <row r="50" spans="2:11" ht="13.5" hidden="1" thickBot="1">
      <c r="B50" s="173"/>
      <c r="C50" s="160"/>
      <c r="E50" s="168"/>
      <c r="F50" s="168"/>
      <c r="G50" s="145"/>
      <c r="H50" s="643"/>
      <c r="I50" s="644"/>
      <c r="J50" s="644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643"/>
      <c r="I51" s="644"/>
      <c r="J51" s="644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634"/>
      <c r="I52" s="635"/>
      <c r="J52" s="635"/>
      <c r="K52" s="183"/>
    </row>
    <row r="53" spans="2:11" ht="13.5" thickBot="1">
      <c r="B53" s="184"/>
      <c r="C53" s="117"/>
      <c r="D53" s="636" t="s">
        <v>80</v>
      </c>
      <c r="E53" s="636"/>
      <c r="F53" s="636"/>
      <c r="G53" s="636"/>
      <c r="H53" s="636"/>
      <c r="I53" s="636"/>
      <c r="J53" s="636"/>
      <c r="K53" s="185"/>
    </row>
    <row r="54" spans="2:11" ht="13.5" thickBot="1">
      <c r="B54" s="637" t="s">
        <v>55</v>
      </c>
      <c r="C54" s="638"/>
      <c r="D54" s="638"/>
      <c r="E54" s="639"/>
      <c r="F54" s="637" t="s">
        <v>56</v>
      </c>
      <c r="G54" s="638"/>
      <c r="H54" s="639"/>
      <c r="I54" s="640" t="s">
        <v>81</v>
      </c>
      <c r="J54" s="641"/>
      <c r="K54" s="642"/>
    </row>
    <row r="55" spans="2:11">
      <c r="B55" s="186" t="s">
        <v>17</v>
      </c>
      <c r="C55" s="187" t="s">
        <v>36</v>
      </c>
      <c r="D55" s="187" t="s">
        <v>37</v>
      </c>
      <c r="E55" s="188" t="s">
        <v>39</v>
      </c>
      <c r="F55" s="187" t="s">
        <v>36</v>
      </c>
      <c r="G55" s="187" t="s">
        <v>37</v>
      </c>
      <c r="H55" s="188" t="s">
        <v>39</v>
      </c>
      <c r="I55" s="189" t="s">
        <v>36</v>
      </c>
      <c r="J55" s="189" t="s">
        <v>37</v>
      </c>
      <c r="K55" s="190" t="s">
        <v>39</v>
      </c>
    </row>
    <row r="56" spans="2:11" ht="15">
      <c r="B56" s="29" t="s">
        <v>64</v>
      </c>
      <c r="C56" s="191"/>
      <c r="D56" s="76">
        <f>[37]MTD!$E5</f>
        <v>5.8785486254739441</v>
      </c>
      <c r="E56" s="192">
        <v>5</v>
      </c>
      <c r="F56" s="191"/>
      <c r="G56" s="76">
        <f>[35]August_2026!$AN3</f>
        <v>5.7524116160584295</v>
      </c>
      <c r="H56" s="192">
        <v>5</v>
      </c>
      <c r="I56" s="193"/>
      <c r="J56" s="194">
        <f>[36]August_2026!$AN13</f>
        <v>0.45343197737934576</v>
      </c>
      <c r="K56" s="195">
        <v>1</v>
      </c>
    </row>
    <row r="57" spans="2:11" ht="15">
      <c r="B57" s="33" t="s">
        <v>72</v>
      </c>
      <c r="C57" s="191"/>
      <c r="D57" s="76">
        <f>[37]MTD!$E6</f>
        <v>7.2307932055477657</v>
      </c>
      <c r="E57" s="192">
        <v>5</v>
      </c>
      <c r="F57" s="191"/>
      <c r="G57" s="76">
        <f>[35]August_2026!$AN4</f>
        <v>6.8335076146031053</v>
      </c>
      <c r="H57" s="192">
        <v>5</v>
      </c>
      <c r="I57" s="196"/>
      <c r="J57" s="194">
        <f>[36]August_2026!$AN14</f>
        <v>0.67225146198830421</v>
      </c>
      <c r="K57" s="195">
        <v>1</v>
      </c>
    </row>
    <row r="58" spans="2:11" ht="15">
      <c r="B58" s="34" t="s">
        <v>73</v>
      </c>
      <c r="C58" s="191"/>
      <c r="D58" s="76">
        <f>[37]MTD!$E7</f>
        <v>9.7381864623243946</v>
      </c>
      <c r="E58" s="192">
        <v>5</v>
      </c>
      <c r="F58" s="191"/>
      <c r="G58" s="76">
        <f>[35]August_2026!$AN5</f>
        <v>10.372188565692998</v>
      </c>
      <c r="H58" s="192">
        <v>5</v>
      </c>
      <c r="I58" s="196"/>
      <c r="J58" s="194">
        <f>[36]August_2026!$AN15</f>
        <v>0.39060428849902529</v>
      </c>
      <c r="K58" s="195">
        <v>1</v>
      </c>
    </row>
    <row r="59" spans="2:11" ht="15">
      <c r="B59" s="197" t="s">
        <v>74</v>
      </c>
      <c r="C59" s="191"/>
      <c r="D59" s="76">
        <f>[37]MTD!$E8</f>
        <v>4.6609124537607842</v>
      </c>
      <c r="E59" s="192">
        <v>3.5</v>
      </c>
      <c r="F59" s="191"/>
      <c r="G59" s="76">
        <f>[35]August_2026!$AN6</f>
        <v>3.2353327684812005</v>
      </c>
      <c r="H59" s="192">
        <v>3.5</v>
      </c>
      <c r="I59" s="196"/>
      <c r="J59" s="194">
        <f>[36]August_2026!$AN16</f>
        <v>0.67824561403508765</v>
      </c>
      <c r="K59" s="195">
        <v>1</v>
      </c>
    </row>
    <row r="60" spans="2:11" ht="15.75" thickBot="1">
      <c r="B60" s="38" t="s">
        <v>160</v>
      </c>
      <c r="C60" s="191"/>
      <c r="D60" s="76" t="e">
        <f>[37]MTD!$E9</f>
        <v>#DIV/0!</v>
      </c>
      <c r="E60" s="192">
        <v>3.5</v>
      </c>
      <c r="F60" s="198"/>
      <c r="G60" s="76" t="e">
        <f>[35]August_2026!$AN7</f>
        <v>#DIV/0!</v>
      </c>
      <c r="H60" s="192">
        <v>3.5</v>
      </c>
      <c r="I60" s="196"/>
      <c r="J60" s="194" t="e">
        <f>[36]August_2026!$AN17</f>
        <v>#DIV/0!</v>
      </c>
      <c r="K60" s="195">
        <v>1</v>
      </c>
    </row>
    <row r="61" spans="2:11" ht="15">
      <c r="B61" s="199" t="s">
        <v>76</v>
      </c>
      <c r="C61" s="191"/>
      <c r="D61" s="76" t="e">
        <f>[37]MTD!$E10</f>
        <v>#DIV/0!</v>
      </c>
      <c r="E61" s="200">
        <v>5</v>
      </c>
      <c r="F61" s="191"/>
      <c r="G61" s="76" t="e">
        <f>[35]August_2026!$AN8</f>
        <v>#DIV/0!</v>
      </c>
      <c r="H61" s="200">
        <v>5</v>
      </c>
      <c r="I61" s="196"/>
      <c r="J61" s="194" t="e">
        <f>[36]August_2026!$AN18</f>
        <v>#DIV/0!</v>
      </c>
      <c r="K61" s="195">
        <v>1</v>
      </c>
    </row>
    <row r="62" spans="2:11" ht="15">
      <c r="B62" s="201" t="s">
        <v>82</v>
      </c>
      <c r="C62" s="202"/>
      <c r="D62" s="76">
        <f>[37]MTD!$E11</f>
        <v>4.9879944807205456</v>
      </c>
      <c r="E62" s="200">
        <v>3.3</v>
      </c>
      <c r="F62" s="202"/>
      <c r="G62" s="76">
        <f>[35]August_2026!$AN9</f>
        <v>5.346203760314828</v>
      </c>
      <c r="H62" s="200">
        <v>3.3</v>
      </c>
      <c r="I62" s="203"/>
      <c r="J62" s="194">
        <f>[36]August_2026!$AN19</f>
        <v>1.1162280701754386</v>
      </c>
      <c r="K62" s="204">
        <v>1</v>
      </c>
    </row>
    <row r="63" spans="2:11" ht="15.75" thickBot="1">
      <c r="B63" s="38" t="s">
        <v>128</v>
      </c>
      <c r="C63" s="205"/>
      <c r="D63" s="76" t="e">
        <f>[37]MTD!$E12</f>
        <v>#DIV/0!</v>
      </c>
      <c r="E63" s="206">
        <v>3.5</v>
      </c>
      <c r="F63" s="205"/>
      <c r="G63" s="76" t="e">
        <f>[35]August_2026!$AN10</f>
        <v>#DIV/0!</v>
      </c>
      <c r="H63" s="206">
        <v>3.5</v>
      </c>
      <c r="I63" s="207"/>
      <c r="J63" s="194" t="e">
        <f>[36]August_2026!$AN20</f>
        <v>#DIV/0!</v>
      </c>
      <c r="K63" s="208">
        <v>1</v>
      </c>
    </row>
    <row r="64" spans="2:11" ht="15.75" thickBot="1">
      <c r="B64" s="413" t="s">
        <v>159</v>
      </c>
      <c r="C64" s="198"/>
      <c r="D64" s="76" t="e">
        <f>[37]MTD!$E13</f>
        <v>#DIV/0!</v>
      </c>
      <c r="E64" s="192">
        <v>5</v>
      </c>
      <c r="F64" s="198"/>
      <c r="G64" s="76" t="e">
        <f>[35]August_2026!$AN11</f>
        <v>#DIV/0!</v>
      </c>
      <c r="H64" s="192">
        <v>5</v>
      </c>
      <c r="I64" s="412"/>
      <c r="J64" s="194">
        <f>[36]August_2026!$AN21</f>
        <v>0</v>
      </c>
      <c r="K64" s="208">
        <v>1</v>
      </c>
    </row>
    <row r="65" spans="2:11">
      <c r="B65" s="209"/>
      <c r="C65" s="210"/>
      <c r="D65" s="76">
        <f>[37]MTD!$E14</f>
        <v>6.3154818165318938</v>
      </c>
      <c r="E65" s="210"/>
      <c r="F65" s="210"/>
      <c r="G65" s="76">
        <f>[35]August_2026!$AN12</f>
        <v>6.2291658294635592</v>
      </c>
      <c r="H65" s="211"/>
      <c r="I65" s="212"/>
      <c r="J65" s="194">
        <f>[36]August_2026!$AN22</f>
        <v>0.54517657780815676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89C0-C575-4A8E-A1E3-979A579814DF}">
  <sheetPr codeName="Sheet19">
    <tabColor rgb="FF7030A0"/>
    <pageSetUpPr fitToPage="1"/>
  </sheetPr>
  <dimension ref="B1:O73"/>
  <sheetViews>
    <sheetView showZeros="0" topLeftCell="A53" zoomScale="115" zoomScaleNormal="115" workbookViewId="0">
      <selection activeCell="J56" sqref="J56:J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customWidth="1"/>
    <col min="4" max="4" width="9.5703125" style="78" customWidth="1"/>
    <col min="5" max="5" width="8.5703125" style="78" customWidth="1"/>
    <col min="6" max="6" width="14.42578125" style="78" customWidth="1"/>
    <col min="7" max="7" width="11.42578125" style="78" customWidth="1"/>
    <col min="8" max="8" width="9.42578125" style="78" bestFit="1" customWidth="1"/>
    <col min="9" max="9" width="11.5703125" style="78" customWidth="1"/>
    <col min="10" max="10" width="11.5703125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661" t="s">
        <v>58</v>
      </c>
      <c r="C2" s="661"/>
      <c r="D2" s="661"/>
      <c r="E2" s="661"/>
      <c r="F2" s="661"/>
      <c r="G2" s="661"/>
      <c r="H2" s="661"/>
      <c r="I2" s="661"/>
      <c r="J2" s="661"/>
      <c r="K2" s="661"/>
    </row>
    <row r="3" spans="2:14" ht="15.75" hidden="1" thickBot="1">
      <c r="B3" s="79"/>
    </row>
    <row r="4" spans="2:14" ht="13.5" hidden="1" thickBot="1">
      <c r="B4" s="78" t="s">
        <v>7</v>
      </c>
      <c r="C4" s="662">
        <v>41431</v>
      </c>
      <c r="D4" s="662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659" t="s">
        <v>17</v>
      </c>
      <c r="C8" s="645" t="s">
        <v>18</v>
      </c>
      <c r="D8" s="645" t="s">
        <v>59</v>
      </c>
      <c r="E8" s="80" t="s">
        <v>20</v>
      </c>
      <c r="F8" s="81" t="s">
        <v>21</v>
      </c>
      <c r="G8" s="645" t="s">
        <v>60</v>
      </c>
      <c r="H8" s="645" t="s">
        <v>61</v>
      </c>
      <c r="I8" s="665" t="s">
        <v>62</v>
      </c>
      <c r="J8" s="82" t="s">
        <v>25</v>
      </c>
      <c r="K8" s="655" t="s">
        <v>28</v>
      </c>
    </row>
    <row r="9" spans="2:14" ht="26.25" hidden="1" thickBot="1">
      <c r="B9" s="663"/>
      <c r="C9" s="664"/>
      <c r="D9" s="664"/>
      <c r="E9" s="83" t="s">
        <v>30</v>
      </c>
      <c r="F9" s="84" t="s">
        <v>63</v>
      </c>
      <c r="G9" s="664"/>
      <c r="H9" s="664"/>
      <c r="I9" s="666"/>
      <c r="J9" s="85" t="s">
        <v>32</v>
      </c>
      <c r="K9" s="667"/>
      <c r="L9" s="86"/>
      <c r="M9" s="86"/>
      <c r="N9" s="86"/>
    </row>
    <row r="10" spans="2:14" ht="13.5" hidden="1" thickBot="1">
      <c r="B10" s="87" t="s">
        <v>64</v>
      </c>
      <c r="C10" s="88" t="str">
        <f>[38]Brewhouse!A5359</f>
        <v>CA236</v>
      </c>
      <c r="D10" s="88">
        <f>[38]Brewhouse!B5359</f>
        <v>41437</v>
      </c>
      <c r="E10" s="89">
        <f>[38]Brewhouse!AG5359</f>
        <v>49.011000000000003</v>
      </c>
      <c r="F10" s="90">
        <f>[38]Brewhouse!T5359</f>
        <v>60</v>
      </c>
      <c r="G10" s="91">
        <f>[38]Brewhouse!I5359</f>
        <v>19.79</v>
      </c>
      <c r="H10" s="92">
        <f>[38]Brewhouse!AS5359</f>
        <v>94.981545664755075</v>
      </c>
      <c r="I10" s="92">
        <f>[38]Brewhouse!AT5359</f>
        <v>97.074072469002047</v>
      </c>
      <c r="J10" s="93">
        <f>[38]Brewhouse!S5359-[38]Brewhouse!R5359</f>
        <v>0.10694444444444451</v>
      </c>
      <c r="K10" s="94"/>
      <c r="N10" s="95"/>
    </row>
    <row r="11" spans="2:14" ht="13.5" hidden="1" thickBot="1">
      <c r="B11" s="96"/>
      <c r="C11" s="88" t="str">
        <f>[38]Brewhouse!A5360</f>
        <v>CA237</v>
      </c>
      <c r="D11" s="88">
        <f>[38]Brewhouse!B5360</f>
        <v>41437</v>
      </c>
      <c r="E11" s="89">
        <f>[38]Brewhouse!AG5360</f>
        <v>48.531999999999996</v>
      </c>
      <c r="F11" s="90">
        <f>[38]Brewhouse!T5360</f>
        <v>68</v>
      </c>
      <c r="G11" s="91">
        <f>[38]Brewhouse!I5360</f>
        <v>17.7</v>
      </c>
      <c r="H11" s="92">
        <f>[38]Brewhouse!AS5360</f>
        <v>94.053260986347809</v>
      </c>
      <c r="I11" s="92">
        <f>[38]Brewhouse!AT5360</f>
        <v>96.1253368644918</v>
      </c>
      <c r="J11" s="93">
        <f>[38]Brewhouse!S5360-[38]Brewhouse!R5360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[38]Brewhouse!A5361</f>
        <v>CA238</v>
      </c>
      <c r="D12" s="88">
        <f>[38]Brewhouse!B5361</f>
        <v>41437</v>
      </c>
      <c r="E12" s="89">
        <f>[38]Brewhouse!AG5361</f>
        <v>50.466999999999999</v>
      </c>
      <c r="F12" s="90">
        <f>[38]Brewhouse!T5361</f>
        <v>61</v>
      </c>
      <c r="G12" s="91">
        <f>[38]Brewhouse!I5361</f>
        <v>19.7</v>
      </c>
      <c r="H12" s="92">
        <f>[38]Brewhouse!AS5361</f>
        <v>96.931393272913695</v>
      </c>
      <c r="I12" s="92">
        <f>[38]Brewhouse!AT5361</f>
        <v>99.066876931102286</v>
      </c>
      <c r="J12" s="93">
        <f>[38]Brewhouse!S5361-[38]Brewhouse!R5361</f>
        <v>0.10208333333333341</v>
      </c>
      <c r="K12" s="98"/>
    </row>
    <row r="13" spans="2:14" ht="13.5" hidden="1" thickBot="1">
      <c r="B13" s="99"/>
      <c r="C13" s="88" t="str">
        <f>[38]Brewhouse!A5362</f>
        <v>CA239</v>
      </c>
      <c r="D13" s="88">
        <f>[38]Brewhouse!B5362</f>
        <v>41437</v>
      </c>
      <c r="E13" s="89">
        <f>[38]Brewhouse!AG5362</f>
        <v>49.374000000000002</v>
      </c>
      <c r="F13" s="90">
        <f>[38]Brewhouse!T5362</f>
        <v>62</v>
      </c>
      <c r="G13" s="91">
        <f>[38]Brewhouse!I5362</f>
        <v>19</v>
      </c>
      <c r="H13" s="92">
        <f>[38]Brewhouse!AS5362</f>
        <v>95.68502653795305</v>
      </c>
      <c r="I13" s="92">
        <f>[38]Brewhouse!AT5362</f>
        <v>97.793051643192499</v>
      </c>
      <c r="J13" s="93">
        <f>[38]Brewhouse!S5362-[38]Brewhouse!R5362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53" t="s">
        <v>69</v>
      </c>
      <c r="G21" s="654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[38]Brewhouse!N5359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[38]Brewhouse!N5360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[38]Brewhouse!N5361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[38]Brewhouse!N5362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AVERAGE([38]Brewhouse!$AS$5347:$AS$5362)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AVERAGE([39]Brewhouse!$AQ$641:$AQ$644)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AVERAGE([40]Brewhouse!$AU$708:$AU$711)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AVERAGE([41]Brewhouse!$AY$943:$AY$946)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659" t="s">
        <v>17</v>
      </c>
      <c r="C43" s="645" t="s">
        <v>18</v>
      </c>
      <c r="D43" s="645" t="s">
        <v>44</v>
      </c>
      <c r="E43" s="645" t="s">
        <v>79</v>
      </c>
      <c r="F43" s="645" t="s">
        <v>51</v>
      </c>
      <c r="G43" s="645" t="s">
        <v>48</v>
      </c>
      <c r="H43" s="647" t="s">
        <v>28</v>
      </c>
      <c r="I43" s="648"/>
      <c r="J43" s="648"/>
      <c r="K43" s="655" t="s">
        <v>27</v>
      </c>
    </row>
    <row r="44" spans="2:15" ht="15.75" hidden="1" customHeight="1" thickBot="1">
      <c r="B44" s="660"/>
      <c r="C44" s="646"/>
      <c r="D44" s="646"/>
      <c r="E44" s="646"/>
      <c r="F44" s="646"/>
      <c r="G44" s="646"/>
      <c r="H44" s="649"/>
      <c r="I44" s="650"/>
      <c r="J44" s="650"/>
      <c r="K44" s="656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57"/>
      <c r="I45" s="658"/>
      <c r="J45" s="658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51"/>
      <c r="I46" s="652"/>
      <c r="J46" s="652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51"/>
      <c r="I47" s="652"/>
      <c r="J47" s="652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51"/>
      <c r="I48" s="652"/>
      <c r="J48" s="652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643"/>
      <c r="I49" s="644"/>
      <c r="J49" s="644"/>
      <c r="K49" s="172"/>
    </row>
    <row r="50" spans="2:11" ht="13.5" hidden="1" thickBot="1">
      <c r="B50" s="173"/>
      <c r="C50" s="160"/>
      <c r="E50" s="168"/>
      <c r="F50" s="168"/>
      <c r="G50" s="145"/>
      <c r="H50" s="643"/>
      <c r="I50" s="644"/>
      <c r="J50" s="644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643"/>
      <c r="I51" s="644"/>
      <c r="J51" s="644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634"/>
      <c r="I52" s="635"/>
      <c r="J52" s="635"/>
      <c r="K52" s="183"/>
    </row>
    <row r="53" spans="2:11" ht="13.5" thickBot="1">
      <c r="B53" s="184"/>
      <c r="C53" s="117"/>
      <c r="D53" s="636" t="s">
        <v>80</v>
      </c>
      <c r="E53" s="636"/>
      <c r="F53" s="636"/>
      <c r="G53" s="636"/>
      <c r="H53" s="636"/>
      <c r="I53" s="636"/>
      <c r="J53" s="636"/>
      <c r="K53" s="185"/>
    </row>
    <row r="54" spans="2:11" ht="13.5" thickBot="1">
      <c r="B54" s="637" t="s">
        <v>55</v>
      </c>
      <c r="C54" s="638"/>
      <c r="D54" s="638"/>
      <c r="E54" s="639"/>
      <c r="F54" s="637" t="s">
        <v>56</v>
      </c>
      <c r="G54" s="638"/>
      <c r="H54" s="639"/>
      <c r="I54" s="640" t="s">
        <v>81</v>
      </c>
      <c r="J54" s="641"/>
      <c r="K54" s="642"/>
    </row>
    <row r="55" spans="2:11">
      <c r="B55" s="186" t="s">
        <v>17</v>
      </c>
      <c r="C55" s="187" t="s">
        <v>36</v>
      </c>
      <c r="D55" s="187" t="s">
        <v>38</v>
      </c>
      <c r="E55" s="188" t="s">
        <v>39</v>
      </c>
      <c r="F55" s="187" t="s">
        <v>36</v>
      </c>
      <c r="G55" s="187" t="s">
        <v>38</v>
      </c>
      <c r="H55" s="188" t="s">
        <v>39</v>
      </c>
      <c r="I55" s="189" t="s">
        <v>36</v>
      </c>
      <c r="J55" s="189" t="s">
        <v>38</v>
      </c>
      <c r="K55" s="190" t="s">
        <v>39</v>
      </c>
    </row>
    <row r="56" spans="2:11" ht="15">
      <c r="B56" s="29" t="s">
        <v>64</v>
      </c>
      <c r="C56" s="191"/>
      <c r="D56" s="76">
        <f>'[37]YTD 2026'!$E5</f>
        <v>6.4209268360980332</v>
      </c>
      <c r="E56" s="192">
        <v>5</v>
      </c>
      <c r="F56" s="191"/>
      <c r="G56" s="76">
        <f>[35]August_2026!$AQ3</f>
        <v>6.6518806494508196</v>
      </c>
      <c r="H56" s="192">
        <v>5</v>
      </c>
      <c r="I56" s="193"/>
      <c r="J56" s="194">
        <f>[36]August_2026!$AQ13</f>
        <v>0.52572864135882313</v>
      </c>
      <c r="K56" s="195">
        <v>1</v>
      </c>
    </row>
    <row r="57" spans="2:11" ht="15">
      <c r="B57" s="33" t="s">
        <v>72</v>
      </c>
      <c r="C57" s="191"/>
      <c r="D57" s="76">
        <f>'[37]YTD 2026'!$E6</f>
        <v>5.9718524153670511</v>
      </c>
      <c r="E57" s="192">
        <v>5</v>
      </c>
      <c r="F57" s="191"/>
      <c r="G57" s="76">
        <f>[35]August_2026!$AQ4</f>
        <v>5.9483336713979043</v>
      </c>
      <c r="H57" s="192">
        <v>5</v>
      </c>
      <c r="I57" s="196"/>
      <c r="J57" s="194">
        <f>[36]August_2026!$AQ14</f>
        <v>0.69969789623338174</v>
      </c>
      <c r="K57" s="195">
        <v>1</v>
      </c>
    </row>
    <row r="58" spans="2:11" ht="15">
      <c r="B58" s="34" t="s">
        <v>73</v>
      </c>
      <c r="C58" s="191"/>
      <c r="D58" s="76">
        <f>'[37]YTD 2026'!$E7</f>
        <v>11.036329063250609</v>
      </c>
      <c r="E58" s="192">
        <v>5</v>
      </c>
      <c r="F58" s="191"/>
      <c r="G58" s="76">
        <f>[35]August_2026!$AQ5</f>
        <v>11.857907912244482</v>
      </c>
      <c r="H58" s="192">
        <v>5</v>
      </c>
      <c r="I58" s="196"/>
      <c r="J58" s="194">
        <f>[36]August_2026!$AQ15</f>
        <v>0.35370190356844494</v>
      </c>
      <c r="K58" s="195">
        <v>1</v>
      </c>
    </row>
    <row r="59" spans="2:11" ht="15">
      <c r="B59" s="197" t="s">
        <v>74</v>
      </c>
      <c r="C59" s="191"/>
      <c r="D59" s="76">
        <f>'[37]YTD 2026'!$E8</f>
        <v>4.8433372666231218</v>
      </c>
      <c r="E59" s="192">
        <v>3.5</v>
      </c>
      <c r="F59" s="191"/>
      <c r="G59" s="76">
        <f>[35]August_2026!$AQ6</f>
        <v>4.8702525342252114</v>
      </c>
      <c r="H59" s="192">
        <v>3.5</v>
      </c>
      <c r="I59" s="196"/>
      <c r="J59" s="194">
        <f>[36]August_2026!$AQ16</f>
        <v>0.77919298245614044</v>
      </c>
      <c r="K59" s="195">
        <v>1</v>
      </c>
    </row>
    <row r="60" spans="2:11" ht="15.75" thickBot="1">
      <c r="B60" s="38" t="s">
        <v>160</v>
      </c>
      <c r="C60" s="191"/>
      <c r="D60" s="76" t="e">
        <f>'[37]YTD 2026'!$E9</f>
        <v>#DIV/0!</v>
      </c>
      <c r="E60" s="192">
        <v>3.5</v>
      </c>
      <c r="F60" s="198"/>
      <c r="G60" s="76" t="e">
        <f>[35]August_2026!$AQ7</f>
        <v>#DIV/0!</v>
      </c>
      <c r="H60" s="192">
        <v>3.5</v>
      </c>
      <c r="I60" s="196"/>
      <c r="J60" s="194" t="e">
        <f>[36]August_2026!$AQ17</f>
        <v>#DIV/0!</v>
      </c>
      <c r="K60" s="195">
        <v>1</v>
      </c>
    </row>
    <row r="61" spans="2:11" ht="15">
      <c r="B61" s="199" t="s">
        <v>76</v>
      </c>
      <c r="C61" s="191"/>
      <c r="D61" s="76">
        <f>'[37]YTD 2026'!$E10</f>
        <v>6.0400197628458603</v>
      </c>
      <c r="E61" s="200">
        <v>5</v>
      </c>
      <c r="F61" s="191"/>
      <c r="G61" s="76">
        <f>[35]August_2026!$AQ8</f>
        <v>8.2405787675951316</v>
      </c>
      <c r="H61" s="200">
        <v>5</v>
      </c>
      <c r="I61" s="196"/>
      <c r="J61" s="194">
        <f>[36]August_2026!$AQ18</f>
        <v>0.78491228070175445</v>
      </c>
      <c r="K61" s="195">
        <v>1</v>
      </c>
    </row>
    <row r="62" spans="2:11" ht="15">
      <c r="B62" s="201" t="s">
        <v>82</v>
      </c>
      <c r="C62" s="202"/>
      <c r="D62" s="76">
        <f>'[37]YTD 2026'!$E11</f>
        <v>3.8893302476598364</v>
      </c>
      <c r="E62" s="200">
        <v>3.3</v>
      </c>
      <c r="F62" s="202"/>
      <c r="G62" s="76">
        <f>[35]August_2026!$AQ9</f>
        <v>5.0091179718082053</v>
      </c>
      <c r="H62" s="200">
        <v>3.3</v>
      </c>
      <c r="I62" s="203"/>
      <c r="J62" s="194">
        <f>[36]August_2026!$AQ19</f>
        <v>0.92642300194931759</v>
      </c>
      <c r="K62" s="204">
        <v>1</v>
      </c>
    </row>
    <row r="63" spans="2:11" ht="15.75" thickBot="1">
      <c r="B63" s="38" t="s">
        <v>128</v>
      </c>
      <c r="C63" s="205"/>
      <c r="D63" s="76" t="e">
        <f>'[37]YTD 2026'!$E12</f>
        <v>#DIV/0!</v>
      </c>
      <c r="E63" s="206">
        <v>3.5</v>
      </c>
      <c r="F63" s="205"/>
      <c r="G63" s="76" t="e">
        <f>[35]August_2026!$AQ10</f>
        <v>#DIV/0!</v>
      </c>
      <c r="H63" s="206">
        <v>3.5</v>
      </c>
      <c r="I63" s="207"/>
      <c r="J63" s="194" t="e">
        <f>[36]August_2026!$AQ20</f>
        <v>#DIV/0!</v>
      </c>
      <c r="K63" s="208">
        <v>1</v>
      </c>
    </row>
    <row r="64" spans="2:11" ht="15.75" thickBot="1">
      <c r="B64" s="413" t="s">
        <v>159</v>
      </c>
      <c r="C64" s="205"/>
      <c r="D64" s="76" t="e">
        <f>'[37]YTD 2026'!$E13</f>
        <v>#DIV/0!</v>
      </c>
      <c r="E64" s="206">
        <v>5</v>
      </c>
      <c r="F64" s="205"/>
      <c r="G64" s="76" t="e">
        <f>[35]August_2026!$AQ11</f>
        <v>#DIV/0!</v>
      </c>
      <c r="H64" s="206">
        <v>5</v>
      </c>
      <c r="I64" s="207"/>
      <c r="J64" s="194" t="e">
        <f>[36]August_2026!$AQ21</f>
        <v>#DIV/0!</v>
      </c>
      <c r="K64" s="208">
        <v>1</v>
      </c>
    </row>
    <row r="65" spans="2:11">
      <c r="B65" s="209"/>
      <c r="C65" s="210"/>
      <c r="D65" s="76">
        <f>'[37]YTD 2026'!$E14</f>
        <v>6.3228725763582583</v>
      </c>
      <c r="E65" s="210"/>
      <c r="F65" s="210"/>
      <c r="G65" s="76">
        <f>[35]August_2026!$AQ12</f>
        <v>6.693461765037287</v>
      </c>
      <c r="H65" s="211"/>
      <c r="I65" s="212"/>
      <c r="J65" s="194">
        <f>[36]August_2026!$AQ22</f>
        <v>0.59836670671862702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scale="9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A13-74B1-4009-90C9-5A553EBA7938}">
  <sheetPr codeName="Sheet20">
    <tabColor rgb="FFFFFF00"/>
  </sheetPr>
  <dimension ref="A1:M38"/>
  <sheetViews>
    <sheetView topLeftCell="B16" workbookViewId="0">
      <selection activeCell="E70" sqref="E70"/>
    </sheetView>
  </sheetViews>
  <sheetFormatPr defaultRowHeight="12.75"/>
  <cols>
    <col min="2" max="2" width="9.5703125" customWidth="1"/>
    <col min="3" max="3" width="11" customWidth="1"/>
    <col min="4" max="4" width="13.5703125" customWidth="1"/>
    <col min="5" max="5" width="15.5703125" customWidth="1"/>
    <col min="11" max="11" width="10.42578125" bestFit="1" customWidth="1"/>
    <col min="12" max="12" width="15.42578125" bestFit="1" customWidth="1"/>
    <col min="13" max="13" width="12.28515625" bestFit="1" customWidth="1"/>
  </cols>
  <sheetData>
    <row r="1" spans="1:13" ht="15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3" ht="15.75">
      <c r="A2" s="215"/>
      <c r="B2" s="668" t="s">
        <v>34</v>
      </c>
      <c r="C2" s="668"/>
      <c r="D2" s="668"/>
      <c r="E2" s="215"/>
      <c r="F2" s="215"/>
      <c r="G2" s="215"/>
      <c r="H2" s="215"/>
      <c r="I2" s="215"/>
      <c r="J2" s="215"/>
      <c r="K2" s="215"/>
    </row>
    <row r="3" spans="1:13" s="219" customFormat="1" ht="15.75">
      <c r="A3" s="216"/>
      <c r="B3" s="217" t="s">
        <v>84</v>
      </c>
      <c r="C3" s="218" t="s">
        <v>85</v>
      </c>
      <c r="D3" s="218" t="s">
        <v>86</v>
      </c>
      <c r="E3" s="218" t="s">
        <v>87</v>
      </c>
      <c r="F3" s="218" t="s">
        <v>88</v>
      </c>
      <c r="G3" s="218" t="s">
        <v>89</v>
      </c>
      <c r="H3" s="218" t="s">
        <v>90</v>
      </c>
      <c r="I3" s="218" t="s">
        <v>91</v>
      </c>
      <c r="J3" s="218" t="s">
        <v>92</v>
      </c>
      <c r="K3" s="218" t="s">
        <v>93</v>
      </c>
      <c r="L3" s="218" t="s">
        <v>94</v>
      </c>
      <c r="M3" s="218" t="s">
        <v>95</v>
      </c>
    </row>
    <row r="4" spans="1:13" ht="15">
      <c r="A4" s="215"/>
      <c r="B4" s="220">
        <v>98</v>
      </c>
      <c r="C4" s="221" t="s">
        <v>64</v>
      </c>
      <c r="D4" s="222"/>
      <c r="E4" s="223"/>
      <c r="F4" s="223"/>
      <c r="G4" s="223"/>
      <c r="H4" s="223"/>
      <c r="I4" s="223"/>
      <c r="J4" s="223"/>
      <c r="K4" s="223"/>
      <c r="L4" s="223"/>
    </row>
    <row r="5" spans="1:13" ht="15">
      <c r="A5" s="215"/>
      <c r="B5" s="220">
        <v>98</v>
      </c>
      <c r="C5" s="224" t="s">
        <v>72</v>
      </c>
      <c r="D5" s="223"/>
      <c r="E5" s="223"/>
      <c r="F5" s="223"/>
      <c r="G5" s="223"/>
      <c r="H5" s="223"/>
      <c r="I5" s="223"/>
      <c r="J5" s="223"/>
      <c r="K5" s="223"/>
      <c r="L5" s="223"/>
    </row>
    <row r="6" spans="1:13" ht="15">
      <c r="A6" s="215"/>
      <c r="B6" s="220">
        <v>98</v>
      </c>
      <c r="C6" s="225" t="s">
        <v>96</v>
      </c>
      <c r="D6" s="222"/>
      <c r="E6" s="223"/>
      <c r="F6" s="223"/>
      <c r="G6" s="223"/>
      <c r="H6" s="223"/>
      <c r="I6" s="223"/>
      <c r="J6" s="223"/>
      <c r="K6" s="223"/>
      <c r="L6" s="223"/>
    </row>
    <row r="7" spans="1:13" ht="15">
      <c r="A7" s="215"/>
      <c r="B7" s="220">
        <v>98</v>
      </c>
      <c r="C7" s="226" t="s">
        <v>76</v>
      </c>
      <c r="D7" s="223"/>
      <c r="E7" s="223"/>
      <c r="F7" s="223"/>
      <c r="G7" s="223"/>
      <c r="H7" s="223"/>
      <c r="I7" s="223"/>
      <c r="J7" s="223"/>
      <c r="K7" s="223"/>
      <c r="L7" s="223"/>
    </row>
    <row r="8" spans="1:13" ht="15">
      <c r="A8" s="215"/>
      <c r="B8" s="220">
        <v>98</v>
      </c>
      <c r="C8" s="227" t="s">
        <v>83</v>
      </c>
      <c r="D8" s="222"/>
      <c r="E8" s="223"/>
      <c r="F8" s="223"/>
      <c r="G8" s="223"/>
      <c r="H8" s="223"/>
      <c r="I8" s="223"/>
      <c r="J8" s="223"/>
      <c r="K8" s="223"/>
      <c r="L8" s="223"/>
    </row>
    <row r="9" spans="1:13" ht="15">
      <c r="A9" s="215"/>
      <c r="B9" s="220">
        <v>98</v>
      </c>
      <c r="C9" s="228" t="s">
        <v>97</v>
      </c>
      <c r="D9" s="223"/>
      <c r="E9" s="223"/>
      <c r="F9" s="223"/>
      <c r="G9" s="223"/>
      <c r="H9" s="223"/>
      <c r="I9" s="223"/>
      <c r="J9" s="223"/>
      <c r="K9" s="223"/>
      <c r="L9" s="223"/>
    </row>
    <row r="10" spans="1:13" ht="15">
      <c r="A10" s="215"/>
      <c r="B10" s="220">
        <v>98</v>
      </c>
      <c r="C10" s="229" t="s">
        <v>98</v>
      </c>
      <c r="D10" s="222"/>
      <c r="E10" s="223"/>
      <c r="F10" s="223"/>
      <c r="G10" s="223"/>
      <c r="H10" s="223"/>
      <c r="I10" s="223"/>
      <c r="J10" s="223"/>
      <c r="K10" s="223"/>
      <c r="L10" s="223"/>
    </row>
    <row r="11" spans="1:13" ht="15">
      <c r="A11" s="215"/>
      <c r="B11" s="220">
        <v>98</v>
      </c>
      <c r="C11" s="230" t="s">
        <v>74</v>
      </c>
      <c r="D11" s="223"/>
      <c r="E11" s="223"/>
      <c r="F11" s="223"/>
      <c r="G11" s="223"/>
      <c r="H11" s="223"/>
      <c r="I11" s="223"/>
      <c r="J11" s="223"/>
      <c r="K11" s="223"/>
      <c r="L11" s="223"/>
    </row>
    <row r="12" spans="1:13" s="219" customFormat="1" ht="15.75">
      <c r="A12" s="216"/>
      <c r="B12" s="231">
        <v>98</v>
      </c>
      <c r="C12" s="232" t="s">
        <v>99</v>
      </c>
      <c r="D12" s="233"/>
      <c r="E12" s="234"/>
      <c r="F12" s="234"/>
      <c r="G12" s="234"/>
      <c r="H12" s="234"/>
      <c r="I12" s="234"/>
      <c r="J12" s="234"/>
      <c r="K12" s="234"/>
      <c r="L12" s="234"/>
    </row>
    <row r="13" spans="1:13" ht="15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</row>
    <row r="14" spans="1:13" ht="15.75">
      <c r="A14" s="215"/>
      <c r="B14" s="668" t="s">
        <v>100</v>
      </c>
      <c r="C14" s="668"/>
      <c r="D14" s="668"/>
      <c r="E14" s="215"/>
      <c r="F14" s="215"/>
      <c r="G14" s="215"/>
      <c r="H14" s="215"/>
      <c r="I14" s="215"/>
      <c r="J14" s="215"/>
      <c r="K14" s="215"/>
    </row>
    <row r="15" spans="1:13" ht="15.75">
      <c r="A15" s="215"/>
      <c r="B15" s="217" t="s">
        <v>84</v>
      </c>
      <c r="C15" s="218" t="s">
        <v>85</v>
      </c>
      <c r="D15" s="218" t="s">
        <v>86</v>
      </c>
      <c r="E15" s="218" t="s">
        <v>87</v>
      </c>
      <c r="F15" s="218" t="s">
        <v>88</v>
      </c>
      <c r="G15" s="218" t="s">
        <v>89</v>
      </c>
      <c r="H15" s="218" t="s">
        <v>90</v>
      </c>
      <c r="I15" s="218" t="s">
        <v>91</v>
      </c>
      <c r="J15" s="218" t="s">
        <v>92</v>
      </c>
      <c r="K15" s="218" t="s">
        <v>93</v>
      </c>
      <c r="L15" s="218" t="s">
        <v>94</v>
      </c>
      <c r="M15" s="218" t="s">
        <v>95</v>
      </c>
    </row>
    <row r="16" spans="1:13" ht="15">
      <c r="A16" s="215"/>
      <c r="B16" s="220">
        <v>4.8</v>
      </c>
      <c r="C16" s="221" t="s">
        <v>64</v>
      </c>
      <c r="D16" s="222"/>
      <c r="E16" s="222"/>
      <c r="F16" s="222"/>
      <c r="G16" s="222"/>
      <c r="H16" s="222"/>
      <c r="I16" s="222"/>
      <c r="J16" s="222"/>
      <c r="K16" s="222"/>
      <c r="L16" s="222"/>
      <c r="M16" s="222"/>
    </row>
    <row r="17" spans="1:13" ht="15">
      <c r="A17" s="215"/>
      <c r="B17" s="220">
        <v>4.8</v>
      </c>
      <c r="C17" s="224" t="s">
        <v>72</v>
      </c>
      <c r="D17" s="223"/>
      <c r="E17" s="223"/>
      <c r="F17" s="223"/>
      <c r="G17" s="223"/>
      <c r="H17" s="223"/>
      <c r="I17" s="223"/>
      <c r="J17" s="223"/>
      <c r="K17" s="223"/>
      <c r="L17" s="223"/>
      <c r="M17" s="223"/>
    </row>
    <row r="18" spans="1:13" ht="15">
      <c r="A18" s="215"/>
      <c r="B18" s="220">
        <v>5.5</v>
      </c>
      <c r="C18" s="225" t="s">
        <v>96</v>
      </c>
      <c r="D18" s="222"/>
      <c r="E18" s="222"/>
      <c r="F18" s="222"/>
      <c r="G18" s="222"/>
      <c r="H18" s="222"/>
      <c r="I18" s="222"/>
      <c r="J18" s="222"/>
      <c r="K18" s="222"/>
      <c r="L18" s="222"/>
      <c r="M18" s="222"/>
    </row>
    <row r="19" spans="1:13" ht="15">
      <c r="A19" s="215"/>
      <c r="B19" s="220">
        <v>3.3</v>
      </c>
      <c r="C19" s="230" t="s">
        <v>74</v>
      </c>
      <c r="D19" s="223"/>
      <c r="E19" s="223"/>
      <c r="F19" s="223"/>
      <c r="G19" s="223"/>
      <c r="H19" s="223"/>
      <c r="I19" s="223"/>
      <c r="J19" s="223"/>
      <c r="K19" s="223"/>
      <c r="L19" s="223"/>
      <c r="M19" s="223"/>
    </row>
    <row r="20" spans="1:13" ht="15">
      <c r="A20" s="215"/>
      <c r="B20" s="220">
        <v>3.3</v>
      </c>
      <c r="C20" s="228" t="s">
        <v>97</v>
      </c>
      <c r="D20" s="222"/>
      <c r="E20" s="222"/>
      <c r="F20" s="222"/>
      <c r="G20" s="222"/>
      <c r="H20" s="222"/>
      <c r="I20" s="222"/>
      <c r="J20" s="222"/>
      <c r="K20" s="222"/>
      <c r="L20" s="222"/>
      <c r="M20" s="222"/>
    </row>
    <row r="21" spans="1:13" ht="15">
      <c r="A21" s="215"/>
      <c r="B21" s="220">
        <v>5.5</v>
      </c>
      <c r="C21" s="226" t="s">
        <v>76</v>
      </c>
      <c r="D21" s="223"/>
      <c r="E21" s="223"/>
      <c r="F21" s="223"/>
      <c r="G21" s="223"/>
      <c r="H21" s="223"/>
      <c r="I21" s="223"/>
      <c r="J21" s="223"/>
      <c r="K21" s="223"/>
      <c r="L21" s="223"/>
      <c r="M21" s="223"/>
    </row>
    <row r="22" spans="1:13" ht="15">
      <c r="A22" s="215"/>
      <c r="B22" s="220">
        <v>3.3</v>
      </c>
      <c r="C22" s="229" t="s">
        <v>98</v>
      </c>
      <c r="D22" s="222"/>
      <c r="E22" s="222"/>
      <c r="F22" s="222"/>
      <c r="G22" s="222"/>
      <c r="H22" s="222"/>
      <c r="I22" s="222"/>
      <c r="J22" s="222"/>
      <c r="K22" s="222"/>
      <c r="L22" s="222"/>
      <c r="M22" s="222"/>
    </row>
    <row r="23" spans="1:13" ht="15">
      <c r="A23" s="215"/>
      <c r="B23" s="220">
        <v>7.5</v>
      </c>
      <c r="C23" s="227" t="s">
        <v>83</v>
      </c>
      <c r="D23" s="223"/>
      <c r="E23" s="223"/>
      <c r="F23" s="223"/>
      <c r="G23" s="223"/>
      <c r="H23" s="223"/>
      <c r="I23" s="223"/>
      <c r="J23" s="223"/>
      <c r="K23" s="223"/>
      <c r="L23" s="223"/>
      <c r="M23" s="223"/>
    </row>
    <row r="24" spans="1:13" s="219" customFormat="1" ht="15.75">
      <c r="A24" s="216"/>
      <c r="B24" s="216"/>
      <c r="C24" s="232" t="s">
        <v>99</v>
      </c>
      <c r="D24" s="233"/>
      <c r="E24" s="233"/>
      <c r="F24" s="233"/>
      <c r="G24" s="233"/>
      <c r="H24" s="233"/>
      <c r="I24" s="233"/>
      <c r="J24" s="233"/>
      <c r="K24" s="233"/>
      <c r="L24" s="233"/>
      <c r="M24" s="233"/>
    </row>
    <row r="25" spans="1:13" ht="1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</row>
    <row r="26" spans="1:13" ht="15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</row>
    <row r="27" spans="1:13" ht="15.75">
      <c r="A27" s="215"/>
      <c r="B27" s="668" t="s">
        <v>101</v>
      </c>
      <c r="C27" s="668"/>
      <c r="D27" s="668"/>
      <c r="E27" s="215"/>
      <c r="F27" s="215"/>
      <c r="G27" s="215"/>
      <c r="H27" s="215"/>
      <c r="I27" s="215"/>
      <c r="J27" s="215"/>
      <c r="K27" s="215"/>
    </row>
    <row r="28" spans="1:13" ht="15.75">
      <c r="A28" s="215"/>
      <c r="B28" s="217" t="s">
        <v>84</v>
      </c>
      <c r="C28" s="235" t="s">
        <v>85</v>
      </c>
      <c r="D28" s="218" t="s">
        <v>86</v>
      </c>
      <c r="E28" s="218" t="s">
        <v>87</v>
      </c>
      <c r="F28" s="218" t="s">
        <v>88</v>
      </c>
      <c r="G28" s="218" t="s">
        <v>89</v>
      </c>
      <c r="H28" s="218" t="s">
        <v>90</v>
      </c>
      <c r="I28" s="218" t="s">
        <v>91</v>
      </c>
      <c r="J28" s="218" t="s">
        <v>92</v>
      </c>
      <c r="K28" s="218" t="s">
        <v>93</v>
      </c>
      <c r="L28" s="218" t="s">
        <v>94</v>
      </c>
      <c r="M28" s="218" t="s">
        <v>95</v>
      </c>
    </row>
    <row r="29" spans="1:13" ht="15">
      <c r="A29" s="215"/>
      <c r="B29" s="220">
        <v>4.5999999999999996</v>
      </c>
      <c r="C29" s="236" t="s">
        <v>64</v>
      </c>
      <c r="D29" s="222"/>
      <c r="E29" s="222"/>
      <c r="F29" s="222"/>
      <c r="G29" s="222"/>
      <c r="H29" s="222"/>
      <c r="I29" s="222"/>
      <c r="J29" s="237"/>
      <c r="K29" s="237"/>
      <c r="L29" s="237"/>
      <c r="M29" s="237"/>
    </row>
    <row r="30" spans="1:13" ht="15">
      <c r="A30" s="215"/>
      <c r="B30" s="220">
        <v>4.5999999999999996</v>
      </c>
      <c r="C30" s="238" t="s">
        <v>72</v>
      </c>
      <c r="D30" s="223"/>
      <c r="E30" s="223"/>
      <c r="F30" s="223"/>
      <c r="G30" s="223"/>
      <c r="H30" s="223"/>
      <c r="I30" s="223"/>
      <c r="J30" s="239"/>
      <c r="K30" s="239"/>
      <c r="L30" s="239"/>
      <c r="M30" s="239"/>
    </row>
    <row r="31" spans="1:13" ht="15">
      <c r="A31" s="215"/>
      <c r="B31" s="220">
        <v>5</v>
      </c>
      <c r="C31" s="240" t="s">
        <v>96</v>
      </c>
      <c r="D31" s="222"/>
      <c r="E31" s="222"/>
      <c r="F31" s="222"/>
      <c r="G31" s="222"/>
      <c r="H31" s="222"/>
      <c r="I31" s="222"/>
      <c r="J31" s="237"/>
      <c r="K31" s="237"/>
      <c r="L31" s="237"/>
      <c r="M31" s="237"/>
    </row>
    <row r="32" spans="1:13" ht="15">
      <c r="A32" s="215"/>
      <c r="B32" s="220">
        <v>5</v>
      </c>
      <c r="C32" s="241" t="s">
        <v>76</v>
      </c>
      <c r="D32" s="223"/>
      <c r="E32" s="223"/>
      <c r="F32" s="223"/>
      <c r="G32" s="223"/>
      <c r="H32" s="223"/>
      <c r="I32" s="223"/>
      <c r="J32" s="239"/>
      <c r="K32" s="239"/>
      <c r="L32" s="239"/>
      <c r="M32" s="239"/>
    </row>
    <row r="33" spans="1:13" ht="15">
      <c r="A33" s="215"/>
      <c r="B33" s="220">
        <v>7.5</v>
      </c>
      <c r="C33" s="242" t="s">
        <v>83</v>
      </c>
      <c r="D33" s="222"/>
      <c r="E33" s="222"/>
      <c r="F33" s="222"/>
      <c r="G33" s="222"/>
      <c r="H33" s="222"/>
      <c r="I33" s="222"/>
      <c r="J33" s="222"/>
      <c r="K33" s="222"/>
      <c r="L33" s="222"/>
      <c r="M33" s="243"/>
    </row>
    <row r="34" spans="1:13" ht="15">
      <c r="A34" s="215"/>
      <c r="B34" s="220">
        <v>3.3</v>
      </c>
      <c r="C34" s="244" t="s">
        <v>97</v>
      </c>
      <c r="D34" s="223"/>
      <c r="E34" s="223"/>
      <c r="F34" s="223"/>
      <c r="G34" s="223"/>
      <c r="H34" s="223"/>
      <c r="I34" s="223"/>
      <c r="J34" s="223"/>
      <c r="K34" s="223"/>
      <c r="L34" s="223"/>
      <c r="M34" s="245"/>
    </row>
    <row r="35" spans="1:13" ht="15">
      <c r="A35" s="215"/>
      <c r="B35" s="220">
        <v>3.3</v>
      </c>
      <c r="C35" s="246" t="s">
        <v>98</v>
      </c>
      <c r="D35" s="222"/>
      <c r="E35" s="222"/>
      <c r="F35" s="222"/>
      <c r="G35" s="222"/>
      <c r="H35" s="222"/>
      <c r="I35" s="222"/>
      <c r="J35" s="237"/>
      <c r="K35" s="237"/>
      <c r="L35" s="237"/>
      <c r="M35" s="237"/>
    </row>
    <row r="36" spans="1:13" ht="15">
      <c r="A36" s="215"/>
      <c r="B36" s="220">
        <v>3.3</v>
      </c>
      <c r="C36" s="247" t="s">
        <v>74</v>
      </c>
      <c r="D36" s="223"/>
      <c r="E36" s="223"/>
      <c r="F36" s="223"/>
      <c r="G36" s="223"/>
      <c r="H36" s="223"/>
      <c r="I36" s="223"/>
      <c r="J36" s="239"/>
      <c r="K36" s="239"/>
      <c r="L36" s="239"/>
      <c r="M36" s="239"/>
    </row>
    <row r="37" spans="1:13" ht="15.75">
      <c r="A37" s="215"/>
      <c r="B37" s="231">
        <v>4.5</v>
      </c>
      <c r="C37" s="248" t="s">
        <v>99</v>
      </c>
      <c r="D37" s="233"/>
      <c r="E37" s="233"/>
      <c r="F37" s="233"/>
      <c r="G37" s="233"/>
      <c r="H37" s="233"/>
      <c r="I37" s="233"/>
      <c r="J37" s="249"/>
      <c r="K37" s="249"/>
      <c r="L37" s="249"/>
      <c r="M37" s="249"/>
    </row>
    <row r="38" spans="1:13" ht="15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</row>
  </sheetData>
  <mergeCells count="3">
    <mergeCell ref="B2:D2"/>
    <mergeCell ref="B14:D14"/>
    <mergeCell ref="B27:D27"/>
  </mergeCells>
  <pageMargins left="0.7" right="0.7" top="0.75" bottom="0.75" header="0.3" footer="0.3"/>
  <pageSetup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381E-10D5-4CC1-8443-AB3C4DD2F491}">
  <sheetPr codeName="Sheet21">
    <tabColor rgb="FF92D050"/>
    <pageSetUpPr fitToPage="1"/>
  </sheetPr>
  <dimension ref="B2:W76"/>
  <sheetViews>
    <sheetView showGridLines="0" topLeftCell="A22" zoomScaleNormal="100" workbookViewId="0">
      <selection activeCell="M40" sqref="M40:M46"/>
    </sheetView>
  </sheetViews>
  <sheetFormatPr defaultRowHeight="12.75"/>
  <cols>
    <col min="1" max="1" width="2.42578125" customWidth="1"/>
    <col min="2" max="2" width="6.42578125" customWidth="1"/>
    <col min="3" max="3" width="25.42578125" customWidth="1"/>
    <col min="4" max="4" width="19.42578125" customWidth="1"/>
    <col min="5" max="5" width="15" customWidth="1"/>
    <col min="6" max="6" width="17.5703125" customWidth="1"/>
    <col min="7" max="7" width="13.42578125" customWidth="1"/>
    <col min="8" max="11" width="13.5703125" customWidth="1"/>
    <col min="12" max="12" width="17.42578125" bestFit="1" customWidth="1"/>
    <col min="13" max="15" width="17.42578125" customWidth="1"/>
    <col min="16" max="16" width="13.42578125" customWidth="1"/>
    <col min="17" max="17" width="8.5703125" customWidth="1"/>
    <col min="18" max="20" width="11.5703125" customWidth="1"/>
  </cols>
  <sheetData>
    <row r="2" spans="3:23" ht="15.75" thickBot="1"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</row>
    <row r="3" spans="3:23" ht="25.35" customHeight="1" thickTop="1" thickBot="1">
      <c r="C3" s="670" t="s">
        <v>102</v>
      </c>
      <c r="D3" s="671"/>
      <c r="E3" s="672">
        <f ca="1">TODAY()</f>
        <v>46273</v>
      </c>
      <c r="F3" s="672"/>
      <c r="G3" s="672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2"/>
    </row>
    <row r="4" spans="3:23" ht="20.100000000000001" customHeight="1" thickBot="1">
      <c r="C4" s="253" t="s">
        <v>103</v>
      </c>
      <c r="D4" s="254" t="s">
        <v>104</v>
      </c>
      <c r="E4" s="254" t="s">
        <v>37</v>
      </c>
      <c r="F4" s="255" t="s">
        <v>38</v>
      </c>
      <c r="G4" s="256" t="s">
        <v>84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2"/>
    </row>
    <row r="5" spans="3:23" ht="20.100000000000001" customHeight="1">
      <c r="C5" s="257" t="s">
        <v>105</v>
      </c>
      <c r="D5" s="258"/>
      <c r="E5" s="259">
        <f>VLOOKUP($C5,$C$40:$P$45,7,FALSE)</f>
        <v>98.214734207097663</v>
      </c>
      <c r="F5" s="260">
        <f>VLOOKUP($C5,$C$40:$P$45,14,FALSE)</f>
        <v>97.953297795741619</v>
      </c>
      <c r="G5" s="261">
        <v>98</v>
      </c>
      <c r="I5" s="251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51"/>
      <c r="V5" s="251"/>
      <c r="W5" s="252"/>
    </row>
    <row r="6" spans="3:23" ht="20.100000000000001" customHeight="1">
      <c r="C6" s="263" t="s">
        <v>106</v>
      </c>
      <c r="D6" s="258"/>
      <c r="E6" s="259">
        <f>VLOOKUP($C6,$C$40:$P$45,7,FALSE)</f>
        <v>97.831216272750581</v>
      </c>
      <c r="F6" s="260">
        <f>VLOOKUP($C6,$C$40:$P$45,14,FALSE)</f>
        <v>98.11994120800415</v>
      </c>
      <c r="G6" s="261">
        <v>98</v>
      </c>
      <c r="I6" s="251"/>
      <c r="J6" s="300"/>
      <c r="K6" s="299"/>
      <c r="L6" s="262"/>
      <c r="M6" s="262"/>
      <c r="N6" s="262"/>
      <c r="O6" s="262"/>
      <c r="P6" s="262"/>
      <c r="Q6" s="262"/>
      <c r="R6" s="262"/>
      <c r="S6" s="262"/>
      <c r="T6" s="262"/>
      <c r="U6" s="251"/>
      <c r="V6" s="251"/>
      <c r="W6" s="252"/>
    </row>
    <row r="7" spans="3:23" ht="20.100000000000001" customHeight="1">
      <c r="C7" s="263" t="s">
        <v>107</v>
      </c>
      <c r="D7" s="258"/>
      <c r="E7" s="259">
        <f>VLOOKUP($C7,$C$40:$P$45,7,FALSE)</f>
        <v>100.82497251003979</v>
      </c>
      <c r="F7" s="260">
        <f>VLOOKUP($C7,$C$40:$P$45,14,FALSE)</f>
        <v>99.564987122246436</v>
      </c>
      <c r="G7" s="261">
        <v>98</v>
      </c>
      <c r="I7" s="251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51"/>
      <c r="V7" s="251"/>
      <c r="W7" s="252"/>
    </row>
    <row r="8" spans="3:23" ht="20.100000000000001" customHeight="1">
      <c r="C8" s="263" t="s">
        <v>108</v>
      </c>
      <c r="D8" s="258"/>
      <c r="E8" s="259">
        <f>VLOOKUP($C8,$C$40:$P$45,7,FALSE)</f>
        <v>97.759800403711807</v>
      </c>
      <c r="F8" s="260">
        <f>VLOOKUP($C8,$C$40:$P$45,14,FALSE)</f>
        <v>98.122212110291372</v>
      </c>
      <c r="G8" s="261">
        <v>98</v>
      </c>
      <c r="I8" s="251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51"/>
      <c r="V8" s="251"/>
      <c r="W8" s="252"/>
    </row>
    <row r="9" spans="3:23" ht="20.100000000000001" customHeight="1">
      <c r="C9" s="263" t="s">
        <v>132</v>
      </c>
      <c r="D9" s="258"/>
      <c r="E9" s="259">
        <f>VLOOKUP($C9,$C$40:$P$45,7,FALSE)</f>
        <v>98.186950219332687</v>
      </c>
      <c r="F9" s="260">
        <f>VLOOKUP($C9,$C$40:$P$45,14,FALSE)</f>
        <v>98.089602299246422</v>
      </c>
      <c r="G9" s="261">
        <v>98</v>
      </c>
      <c r="I9" s="251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51"/>
      <c r="V9" s="251"/>
      <c r="W9" s="252"/>
    </row>
    <row r="10" spans="3:23" ht="19.5" thickBot="1">
      <c r="C10" s="264" t="s">
        <v>99</v>
      </c>
      <c r="D10" s="265"/>
      <c r="E10" s="265">
        <f>AVERAGE(E5:E9)</f>
        <v>98.56353472258651</v>
      </c>
      <c r="F10" s="298" t="e">
        <f>P47</f>
        <v>#DIV/0!</v>
      </c>
      <c r="G10" s="261">
        <v>98</v>
      </c>
      <c r="I10" s="251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51"/>
      <c r="V10" s="251"/>
      <c r="W10" s="252"/>
    </row>
    <row r="14" spans="3:23" ht="20.25" customHeight="1">
      <c r="C14" s="673" t="s">
        <v>143</v>
      </c>
      <c r="D14" s="673"/>
      <c r="E14" s="673"/>
      <c r="F14" s="673"/>
      <c r="G14" s="673"/>
      <c r="H14" s="673"/>
    </row>
    <row r="15" spans="3:23" ht="15" customHeight="1">
      <c r="C15" s="673"/>
      <c r="D15" s="673"/>
      <c r="E15" s="673"/>
      <c r="F15" s="673"/>
      <c r="G15" s="673"/>
      <c r="H15" s="673"/>
    </row>
    <row r="16" spans="3:23" ht="15" customHeight="1">
      <c r="C16" s="673"/>
      <c r="D16" s="673"/>
      <c r="E16" s="673"/>
      <c r="F16" s="673"/>
      <c r="G16" s="673"/>
      <c r="H16" s="673"/>
    </row>
    <row r="17" spans="3:8" ht="15" customHeight="1">
      <c r="C17" s="673"/>
      <c r="D17" s="673"/>
      <c r="E17" s="673"/>
      <c r="F17" s="673"/>
      <c r="G17" s="673"/>
      <c r="H17" s="673"/>
    </row>
    <row r="18" spans="3:8" ht="15" customHeight="1">
      <c r="C18" s="673"/>
      <c r="D18" s="673"/>
      <c r="E18" s="673"/>
      <c r="F18" s="673"/>
      <c r="G18" s="673"/>
      <c r="H18" s="673"/>
    </row>
    <row r="19" spans="3:8" ht="15" customHeight="1">
      <c r="C19" s="673"/>
      <c r="D19" s="673"/>
      <c r="E19" s="673"/>
      <c r="F19" s="673"/>
      <c r="G19" s="673"/>
      <c r="H19" s="673"/>
    </row>
    <row r="20" spans="3:8" ht="15" customHeight="1">
      <c r="C20" s="673"/>
      <c r="D20" s="673"/>
      <c r="E20" s="673"/>
      <c r="F20" s="673"/>
      <c r="G20" s="673"/>
      <c r="H20" s="673"/>
    </row>
    <row r="21" spans="3:8" ht="15" customHeight="1">
      <c r="C21" s="673"/>
      <c r="D21" s="673"/>
      <c r="E21" s="673"/>
      <c r="F21" s="673"/>
      <c r="G21" s="673"/>
      <c r="H21" s="673"/>
    </row>
    <row r="22" spans="3:8" ht="15" customHeight="1">
      <c r="C22" s="673"/>
      <c r="D22" s="673"/>
      <c r="E22" s="673"/>
      <c r="F22" s="673"/>
      <c r="G22" s="673"/>
      <c r="H22" s="673"/>
    </row>
    <row r="23" spans="3:8" ht="15" customHeight="1">
      <c r="C23" s="673"/>
      <c r="D23" s="673"/>
      <c r="E23" s="673"/>
      <c r="F23" s="673"/>
      <c r="G23" s="673"/>
      <c r="H23" s="673"/>
    </row>
    <row r="24" spans="3:8" ht="15" customHeight="1">
      <c r="C24" s="673"/>
      <c r="D24" s="673"/>
      <c r="E24" s="673"/>
      <c r="F24" s="673"/>
      <c r="G24" s="673"/>
      <c r="H24" s="673"/>
    </row>
    <row r="25" spans="3:8" ht="15" customHeight="1">
      <c r="C25" s="673"/>
      <c r="D25" s="673"/>
      <c r="E25" s="673"/>
      <c r="F25" s="673"/>
      <c r="G25" s="673"/>
      <c r="H25" s="673"/>
    </row>
    <row r="26" spans="3:8" ht="15" customHeight="1">
      <c r="C26" s="673"/>
      <c r="D26" s="673"/>
      <c r="E26" s="673"/>
      <c r="F26" s="673"/>
      <c r="G26" s="673"/>
      <c r="H26" s="673"/>
    </row>
    <row r="27" spans="3:8" ht="15" customHeight="1">
      <c r="C27" s="673"/>
      <c r="D27" s="673"/>
      <c r="E27" s="673"/>
      <c r="F27" s="673"/>
      <c r="G27" s="673"/>
      <c r="H27" s="673"/>
    </row>
    <row r="28" spans="3:8" ht="15" customHeight="1">
      <c r="C28" s="673"/>
      <c r="D28" s="673"/>
      <c r="E28" s="673"/>
      <c r="F28" s="673"/>
      <c r="G28" s="673"/>
      <c r="H28" s="673"/>
    </row>
    <row r="29" spans="3:8" ht="15" customHeight="1">
      <c r="C29" s="673"/>
      <c r="D29" s="673"/>
      <c r="E29" s="673"/>
      <c r="F29" s="673"/>
      <c r="G29" s="673"/>
      <c r="H29" s="673"/>
    </row>
    <row r="30" spans="3:8" ht="15" customHeight="1">
      <c r="C30" s="673"/>
      <c r="D30" s="673"/>
      <c r="E30" s="673"/>
      <c r="F30" s="673"/>
      <c r="G30" s="673"/>
      <c r="H30" s="673"/>
    </row>
    <row r="31" spans="3:8" ht="15" customHeight="1">
      <c r="C31" s="673"/>
      <c r="D31" s="673"/>
      <c r="E31" s="673"/>
      <c r="F31" s="673"/>
      <c r="G31" s="673"/>
      <c r="H31" s="673"/>
    </row>
    <row r="36" spans="2:17" ht="15" customHeight="1"/>
    <row r="37" spans="2:17" ht="15" customHeight="1"/>
    <row r="38" spans="2:17" ht="30.75" customHeight="1" thickBot="1">
      <c r="C38" s="674" t="s">
        <v>109</v>
      </c>
      <c r="D38" s="674"/>
      <c r="E38" s="674"/>
      <c r="F38" s="675">
        <f ca="1">TODAY()</f>
        <v>46273</v>
      </c>
      <c r="G38" s="675"/>
      <c r="H38" s="675"/>
      <c r="I38" s="675"/>
      <c r="J38" s="676" t="s">
        <v>110</v>
      </c>
      <c r="K38" s="676"/>
      <c r="L38" s="676"/>
      <c r="M38" s="676"/>
      <c r="N38" s="676"/>
      <c r="O38" s="676"/>
      <c r="P38" s="676"/>
    </row>
    <row r="39" spans="2:17" ht="20.25" customHeight="1" thickBot="1">
      <c r="C39" s="253" t="s">
        <v>103</v>
      </c>
      <c r="D39" s="254" t="s">
        <v>111</v>
      </c>
      <c r="E39" s="254" t="s">
        <v>112</v>
      </c>
      <c r="F39" s="254" t="s">
        <v>113</v>
      </c>
      <c r="G39" s="254" t="s">
        <v>114</v>
      </c>
      <c r="H39" s="254" t="s">
        <v>115</v>
      </c>
      <c r="I39" s="254" t="s">
        <v>116</v>
      </c>
      <c r="J39" s="255" t="s">
        <v>117</v>
      </c>
      <c r="K39" s="255" t="s">
        <v>118</v>
      </c>
      <c r="L39" s="255" t="s">
        <v>119</v>
      </c>
      <c r="M39" s="255" t="s">
        <v>120</v>
      </c>
      <c r="N39" s="255" t="s">
        <v>121</v>
      </c>
      <c r="O39" s="255" t="s">
        <v>122</v>
      </c>
      <c r="P39" s="266" t="s">
        <v>38</v>
      </c>
    </row>
    <row r="40" spans="2:17" ht="17.25" customHeight="1">
      <c r="C40" s="257" t="s">
        <v>105</v>
      </c>
      <c r="D40" s="259">
        <f>'[42]Brewer Performance'!D40</f>
        <v>96.507822129582451</v>
      </c>
      <c r="E40" s="259">
        <f>AVERAGE('[43]Feb. 1'!I12:I13,'[43]Feb. 2'!I11:I14,[43]Feb.4!I13,[43]Feb.8!I14:I16,[43]Feb.9!I14,[43]Feb.9!I17:I18,[43]Feb10!I13:I16,[43]Feb14!I17,[43]Feb14!I15:I17,[43]Feb17!I10,[43]Feb17!I19:I21,'[43]Feb 21'!I10:I12,'[43]Feb 22'!I11:I13,'[43]Feb 23'!I14:I16,'[43]Feb 24'!I10:I12,'[43]Feb 25'!I13:I15,'[43]Feb 28'!I15:I18)</f>
        <v>98.284801217583563</v>
      </c>
      <c r="F40" s="259">
        <v>98.226686244092193</v>
      </c>
      <c r="G40" s="259">
        <v>98.210530202427222</v>
      </c>
      <c r="H40" s="259">
        <f>'[44]Brewer Performance'!H40</f>
        <v>98.517352497406634</v>
      </c>
      <c r="I40" s="259">
        <v>98.214734207097663</v>
      </c>
      <c r="J40" s="258">
        <v>98.198803831827249</v>
      </c>
      <c r="K40" s="267">
        <v>97.486490472733735</v>
      </c>
      <c r="L40" s="258">
        <v>97.932459358923822</v>
      </c>
      <c r="M40" s="331"/>
      <c r="N40" s="331"/>
      <c r="O40" s="258"/>
      <c r="P40" s="268">
        <f t="shared" ref="P40:P45" si="0">AVERAGE(D40:O40)</f>
        <v>97.953297795741619</v>
      </c>
    </row>
    <row r="41" spans="2:17" ht="17.25" customHeight="1">
      <c r="C41" s="263" t="s">
        <v>106</v>
      </c>
      <c r="D41" s="259">
        <f>'[42]Brewer Performance'!D41</f>
        <v>97.99738587335284</v>
      </c>
      <c r="E41" s="259">
        <f>AVERAGE('[43]Feb. 1'!I10:I11,'[43]Feb. 2'!I10,[43]Feb.3!I11:I13,[43]Feb.4!I10:I12,[43]Feb.8!I10,[43]Feb.8!I13,[43]Feb.9!I10:I13,[43]Feb10!I10:I12,[43]Feb11!I11:I13,[43]Feb14!I13:I14,[43]Feb17!I16:I18,[43]Feb18!I13:I15,'[43]Feb 21'!I17:I19,'[43]Feb 22'!I10,'[43]Feb 22'!I20:I22,'[43]Feb 23'!I10:I11,'[43]Feb 23'!I21,'[43]Feb 25'!I10:I12,'[43]Feb 28'!I11:I14)</f>
        <v>97.918121549662388</v>
      </c>
      <c r="F41" s="259">
        <v>98.070081368185257</v>
      </c>
      <c r="G41" s="259">
        <v>97.79453968977019</v>
      </c>
      <c r="H41" s="259">
        <f>'[44]Brewer Performance'!H41</f>
        <v>98.442574874312371</v>
      </c>
      <c r="I41" s="259">
        <v>97.831216272750581</v>
      </c>
      <c r="J41" s="258">
        <v>98.459260197488078</v>
      </c>
      <c r="K41" s="267">
        <v>98.711428992063503</v>
      </c>
      <c r="L41" s="258">
        <v>97.854862054451985</v>
      </c>
      <c r="M41" s="332"/>
      <c r="N41" s="331"/>
      <c r="O41" s="258"/>
      <c r="P41" s="268">
        <f t="shared" si="0"/>
        <v>98.11994120800415</v>
      </c>
    </row>
    <row r="42" spans="2:17" ht="17.25" customHeight="1">
      <c r="C42" s="263" t="s">
        <v>107</v>
      </c>
      <c r="D42" s="259"/>
      <c r="E42" s="259"/>
      <c r="F42" s="259"/>
      <c r="G42" s="259">
        <v>98.305001734453086</v>
      </c>
      <c r="H42" s="259"/>
      <c r="I42" s="259">
        <v>100.82497251003979</v>
      </c>
      <c r="J42" s="258"/>
      <c r="K42" s="267"/>
      <c r="L42" s="258"/>
      <c r="M42" s="331"/>
      <c r="N42" s="331"/>
      <c r="O42" s="258"/>
      <c r="P42" s="268">
        <f t="shared" si="0"/>
        <v>99.564987122246436</v>
      </c>
    </row>
    <row r="43" spans="2:17" ht="17.25" customHeight="1">
      <c r="C43" s="263" t="s">
        <v>141</v>
      </c>
      <c r="D43" s="259"/>
      <c r="E43" s="259"/>
      <c r="F43" s="259"/>
      <c r="G43" s="259"/>
      <c r="H43" s="259"/>
      <c r="I43" s="259"/>
      <c r="J43" s="258"/>
      <c r="K43" s="267">
        <v>100.09286182555712</v>
      </c>
      <c r="L43" s="258"/>
      <c r="M43" s="331"/>
      <c r="N43" s="331"/>
      <c r="O43" s="258"/>
      <c r="P43" s="268"/>
    </row>
    <row r="44" spans="2:17" ht="17.25" customHeight="1">
      <c r="C44" s="263" t="s">
        <v>108</v>
      </c>
      <c r="D44" s="259">
        <f>'[42]Brewer Performance'!D43</f>
        <v>98.304611060419475</v>
      </c>
      <c r="E44" s="259">
        <f>AVERAGE('[43]Feb. 2'!I15,[43]Feb.3!I10,[43]Feb.4!I16:I17,[43]Feb.8!I19:I21,[43]Feb.9!I19:I20,[43]Feb10!I17:I18,[43]Feb11!I10,[43]Feb14!I10:I12,[43]Feb17!I11:I13,[43]Feb18!I10:I12,'[43]Feb 21'!I13,'[43]Feb 21'!I16,'[43]Feb 22'!I16:I19,'[43]Feb 23'!I17:I20,'[43]Feb 24'!I15:I18,'[43]Feb 25'!I16:I17,'[43]Feb 28'!I10,'[43]Feb 28'!I19:I20)</f>
        <v>97.289162940824014</v>
      </c>
      <c r="F44" s="259">
        <v>98.163642226187022</v>
      </c>
      <c r="G44" s="259">
        <v>97.964054285784258</v>
      </c>
      <c r="H44" s="259">
        <f>'[44]Brewer Performance'!H43</f>
        <v>98.685415156420575</v>
      </c>
      <c r="I44" s="259">
        <v>97.759800403711807</v>
      </c>
      <c r="J44" s="258">
        <v>98.532266745142223</v>
      </c>
      <c r="K44" s="258">
        <v>98.484140672420295</v>
      </c>
      <c r="L44" s="258">
        <v>97.916815501712691</v>
      </c>
      <c r="M44" s="331"/>
      <c r="N44" s="331"/>
      <c r="O44" s="258"/>
      <c r="P44" s="268">
        <f t="shared" si="0"/>
        <v>98.122212110291372</v>
      </c>
    </row>
    <row r="45" spans="2:17" ht="17.25" customHeight="1">
      <c r="C45" s="263" t="s">
        <v>132</v>
      </c>
      <c r="D45" s="259">
        <f>'[42]Brewer Performance'!D44</f>
        <v>98.673584433402866</v>
      </c>
      <c r="E45" s="259"/>
      <c r="F45" s="259"/>
      <c r="G45" s="259"/>
      <c r="H45" s="259"/>
      <c r="I45" s="259">
        <v>98.186950219332687</v>
      </c>
      <c r="J45" s="258">
        <v>97.888270164748889</v>
      </c>
      <c r="K45" s="258">
        <v>97.609604379501235</v>
      </c>
      <c r="L45" s="258"/>
      <c r="M45" s="331"/>
      <c r="N45" s="331"/>
      <c r="O45" s="258"/>
      <c r="P45" s="268">
        <f t="shared" si="0"/>
        <v>98.089602299246422</v>
      </c>
    </row>
    <row r="46" spans="2:17" ht="17.25" customHeight="1">
      <c r="C46" s="316" t="s">
        <v>140</v>
      </c>
      <c r="D46" s="317"/>
      <c r="E46" s="317"/>
      <c r="F46" s="317"/>
      <c r="G46" s="317"/>
      <c r="H46" s="317"/>
      <c r="I46" s="317"/>
      <c r="J46" s="318"/>
      <c r="K46" s="318"/>
      <c r="L46" s="318">
        <v>97.511448216434601</v>
      </c>
      <c r="M46" s="333"/>
      <c r="N46" s="333"/>
      <c r="O46" s="318"/>
      <c r="P46" s="319"/>
    </row>
    <row r="47" spans="2:17" ht="14.25" customHeight="1" thickBot="1">
      <c r="C47" s="269" t="s">
        <v>99</v>
      </c>
      <c r="D47" s="270">
        <f>'[42]Brewer Performance'!D45</f>
        <v>97.870850874189415</v>
      </c>
      <c r="E47" s="270">
        <f>AVERAGE(E40:E45)</f>
        <v>97.830695236023317</v>
      </c>
      <c r="F47" s="270">
        <f>AVERAGE(F40:F45)</f>
        <v>98.153469946154814</v>
      </c>
      <c r="G47" s="270">
        <f>AVERAGE(G40:G45)</f>
        <v>98.068531478108682</v>
      </c>
      <c r="H47" s="270">
        <f>AVERAGE(H40:H45)</f>
        <v>98.548447509379855</v>
      </c>
      <c r="I47" s="270">
        <f>AVERAGE(I40:I45)</f>
        <v>98.56353472258651</v>
      </c>
      <c r="J47" s="270">
        <f t="shared" ref="J47:O47" si="1">AVERAGE(J40:J45)</f>
        <v>98.269650234801617</v>
      </c>
      <c r="K47" s="270">
        <f t="shared" si="1"/>
        <v>98.47690526845517</v>
      </c>
      <c r="L47" s="270">
        <f t="shared" si="1"/>
        <v>97.901378971696161</v>
      </c>
      <c r="M47" s="270" t="e">
        <f t="shared" si="1"/>
        <v>#DIV/0!</v>
      </c>
      <c r="N47" s="270" t="e">
        <f t="shared" si="1"/>
        <v>#DIV/0!</v>
      </c>
      <c r="O47" s="270" t="e">
        <f t="shared" si="1"/>
        <v>#DIV/0!</v>
      </c>
      <c r="P47" s="271" t="e">
        <f>AVERAGE(D47:N47)</f>
        <v>#DIV/0!</v>
      </c>
    </row>
    <row r="48" spans="2:17" ht="15" customHeight="1">
      <c r="B48" s="669" t="s">
        <v>123</v>
      </c>
      <c r="C48" s="669"/>
      <c r="D48" s="669"/>
      <c r="E48" s="669"/>
      <c r="F48" s="669"/>
      <c r="G48" s="669"/>
      <c r="H48" s="669"/>
      <c r="I48" s="669"/>
      <c r="J48" s="669"/>
      <c r="K48" s="669"/>
      <c r="L48" s="669"/>
      <c r="M48" s="669"/>
      <c r="N48" s="669"/>
      <c r="O48" s="669"/>
      <c r="P48" s="669"/>
      <c r="Q48" s="669"/>
    </row>
    <row r="49" spans="2:17" ht="15" customHeight="1">
      <c r="B49" s="669"/>
      <c r="C49" s="669"/>
      <c r="D49" s="669"/>
      <c r="E49" s="669"/>
      <c r="F49" s="669"/>
      <c r="G49" s="669"/>
      <c r="H49" s="669"/>
      <c r="I49" s="669"/>
      <c r="J49" s="669"/>
      <c r="K49" s="669"/>
      <c r="L49" s="669"/>
      <c r="M49" s="669"/>
      <c r="N49" s="669"/>
      <c r="O49" s="669"/>
      <c r="P49" s="669"/>
      <c r="Q49" s="669"/>
    </row>
    <row r="50" spans="2:17" ht="15" customHeight="1">
      <c r="B50" s="669"/>
      <c r="C50" s="669"/>
      <c r="D50" s="669"/>
      <c r="E50" s="669"/>
      <c r="F50" s="669"/>
      <c r="G50" s="669"/>
      <c r="H50" s="669"/>
      <c r="I50" s="669"/>
      <c r="J50" s="669"/>
      <c r="K50" s="669"/>
      <c r="L50" s="669"/>
      <c r="M50" s="669"/>
      <c r="N50" s="669"/>
      <c r="O50" s="669"/>
      <c r="P50" s="669"/>
      <c r="Q50" s="669"/>
    </row>
    <row r="51" spans="2:17" ht="15" customHeight="1"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69"/>
      <c r="P51" s="669"/>
      <c r="Q51" s="669"/>
    </row>
    <row r="52" spans="2:17" ht="15" customHeight="1"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69"/>
      <c r="P52" s="669"/>
      <c r="Q52" s="669"/>
    </row>
    <row r="53" spans="2:17" ht="15" customHeight="1">
      <c r="B53" s="669"/>
      <c r="C53" s="669"/>
      <c r="D53" s="669"/>
      <c r="E53" s="669"/>
      <c r="F53" s="669"/>
      <c r="G53" s="669"/>
      <c r="H53" s="669"/>
      <c r="I53" s="669"/>
      <c r="J53" s="669"/>
      <c r="K53" s="669"/>
      <c r="L53" s="669"/>
      <c r="M53" s="669"/>
      <c r="N53" s="669"/>
      <c r="O53" s="669"/>
      <c r="P53" s="669"/>
      <c r="Q53" s="669"/>
    </row>
    <row r="54" spans="2:17" ht="15" customHeight="1">
      <c r="B54" s="669"/>
      <c r="C54" s="669"/>
      <c r="D54" s="669"/>
      <c r="E54" s="669"/>
      <c r="F54" s="669"/>
      <c r="G54" s="669"/>
      <c r="H54" s="669"/>
      <c r="I54" s="669"/>
      <c r="J54" s="669"/>
      <c r="K54" s="669"/>
      <c r="L54" s="669"/>
      <c r="M54" s="669"/>
      <c r="N54" s="669"/>
      <c r="O54" s="669"/>
      <c r="P54" s="669"/>
      <c r="Q54" s="669"/>
    </row>
    <row r="55" spans="2:17" ht="15" customHeight="1">
      <c r="B55" s="669"/>
      <c r="C55" s="669"/>
      <c r="D55" s="669"/>
      <c r="E55" s="669"/>
      <c r="F55" s="669"/>
      <c r="G55" s="669"/>
      <c r="H55" s="669"/>
      <c r="I55" s="669"/>
      <c r="J55" s="669"/>
      <c r="K55" s="669"/>
      <c r="L55" s="669"/>
      <c r="M55" s="669"/>
      <c r="N55" s="669"/>
      <c r="O55" s="669"/>
      <c r="P55" s="669"/>
      <c r="Q55" s="669"/>
    </row>
    <row r="56" spans="2:17" ht="15" customHeight="1">
      <c r="B56" s="669"/>
      <c r="C56" s="669"/>
      <c r="D56" s="669"/>
      <c r="E56" s="669"/>
      <c r="F56" s="669"/>
      <c r="G56" s="669"/>
      <c r="H56" s="669"/>
      <c r="I56" s="669"/>
      <c r="J56" s="669"/>
      <c r="K56" s="669"/>
      <c r="L56" s="669"/>
      <c r="M56" s="669"/>
      <c r="N56" s="669"/>
      <c r="O56" s="669"/>
      <c r="P56" s="669"/>
      <c r="Q56" s="669"/>
    </row>
    <row r="57" spans="2:17" ht="15" customHeight="1">
      <c r="B57" s="669"/>
      <c r="C57" s="669"/>
      <c r="D57" s="669"/>
      <c r="E57" s="669"/>
      <c r="F57" s="669"/>
      <c r="G57" s="669"/>
      <c r="H57" s="669"/>
      <c r="I57" s="669"/>
      <c r="J57" s="669"/>
      <c r="K57" s="669"/>
      <c r="L57" s="669"/>
      <c r="M57" s="669"/>
      <c r="N57" s="669"/>
      <c r="O57" s="669"/>
      <c r="P57" s="669"/>
      <c r="Q57" s="669"/>
    </row>
    <row r="58" spans="2:17" ht="15" customHeight="1">
      <c r="B58" s="669"/>
      <c r="C58" s="669"/>
      <c r="D58" s="669"/>
      <c r="E58" s="669"/>
      <c r="F58" s="669"/>
      <c r="G58" s="669"/>
      <c r="H58" s="669"/>
      <c r="I58" s="669"/>
      <c r="J58" s="669"/>
      <c r="K58" s="669"/>
      <c r="L58" s="669"/>
      <c r="M58" s="669"/>
      <c r="N58" s="669"/>
      <c r="O58" s="669"/>
      <c r="P58" s="669"/>
      <c r="Q58" s="669"/>
    </row>
    <row r="59" spans="2:17" ht="15" customHeight="1">
      <c r="B59" s="669"/>
      <c r="C59" s="669"/>
      <c r="D59" s="669"/>
      <c r="E59" s="669"/>
      <c r="F59" s="669"/>
      <c r="G59" s="669"/>
      <c r="H59" s="669"/>
      <c r="I59" s="669"/>
      <c r="J59" s="669"/>
      <c r="K59" s="669"/>
      <c r="L59" s="669"/>
      <c r="M59" s="669"/>
      <c r="N59" s="669"/>
      <c r="O59" s="669"/>
      <c r="P59" s="669"/>
      <c r="Q59" s="669"/>
    </row>
    <row r="60" spans="2:17" ht="15" customHeight="1">
      <c r="B60" s="669"/>
      <c r="C60" s="669"/>
      <c r="D60" s="669"/>
      <c r="E60" s="669"/>
      <c r="F60" s="669"/>
      <c r="G60" s="669"/>
      <c r="H60" s="669"/>
      <c r="I60" s="669"/>
      <c r="J60" s="669"/>
      <c r="K60" s="669"/>
      <c r="L60" s="669"/>
      <c r="M60" s="669"/>
      <c r="N60" s="669"/>
      <c r="O60" s="669"/>
      <c r="P60" s="669"/>
      <c r="Q60" s="669"/>
    </row>
    <row r="61" spans="2:17" ht="15" customHeight="1"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69"/>
      <c r="P61" s="669"/>
      <c r="Q61" s="669"/>
    </row>
    <row r="62" spans="2:17" ht="15" customHeight="1"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69"/>
      <c r="P62" s="669"/>
      <c r="Q62" s="669"/>
    </row>
    <row r="63" spans="2:17" ht="15" customHeight="1">
      <c r="B63" s="669"/>
      <c r="C63" s="669"/>
      <c r="D63" s="669"/>
      <c r="E63" s="669"/>
      <c r="F63" s="669"/>
      <c r="G63" s="669"/>
      <c r="H63" s="669"/>
      <c r="I63" s="669"/>
      <c r="J63" s="669"/>
      <c r="K63" s="669"/>
      <c r="L63" s="669"/>
      <c r="M63" s="669"/>
      <c r="N63" s="669"/>
      <c r="O63" s="669"/>
      <c r="P63" s="669"/>
      <c r="Q63" s="669"/>
    </row>
    <row r="64" spans="2:17" ht="15" customHeight="1">
      <c r="B64" s="669"/>
      <c r="C64" s="669"/>
      <c r="D64" s="669"/>
      <c r="E64" s="669"/>
      <c r="F64" s="669"/>
      <c r="G64" s="669"/>
      <c r="H64" s="669"/>
      <c r="I64" s="669"/>
      <c r="J64" s="669"/>
      <c r="K64" s="669"/>
      <c r="L64" s="669"/>
      <c r="M64" s="669"/>
      <c r="N64" s="669"/>
      <c r="O64" s="669"/>
      <c r="P64" s="669"/>
      <c r="Q64" s="669"/>
    </row>
    <row r="65" spans="2:17" ht="15" customHeight="1">
      <c r="B65" s="669"/>
      <c r="C65" s="669"/>
      <c r="D65" s="669"/>
      <c r="E65" s="669"/>
      <c r="F65" s="669"/>
      <c r="G65" s="669"/>
      <c r="H65" s="669"/>
      <c r="I65" s="669"/>
      <c r="J65" s="669"/>
      <c r="K65" s="669"/>
      <c r="L65" s="669"/>
      <c r="M65" s="669"/>
      <c r="N65" s="669"/>
      <c r="O65" s="669"/>
      <c r="P65" s="669"/>
      <c r="Q65" s="669"/>
    </row>
    <row r="66" spans="2:17" ht="15" customHeight="1">
      <c r="B66" s="669"/>
      <c r="C66" s="669"/>
      <c r="D66" s="669"/>
      <c r="E66" s="669"/>
      <c r="F66" s="669"/>
      <c r="G66" s="669"/>
      <c r="H66" s="669"/>
      <c r="I66" s="669"/>
      <c r="J66" s="669"/>
      <c r="K66" s="669"/>
      <c r="L66" s="669"/>
      <c r="M66" s="669"/>
      <c r="N66" s="669"/>
      <c r="O66" s="669"/>
      <c r="P66" s="669"/>
      <c r="Q66" s="669"/>
    </row>
    <row r="67" spans="2:17" ht="15" customHeight="1">
      <c r="B67" s="669"/>
      <c r="C67" s="669"/>
      <c r="D67" s="669"/>
      <c r="E67" s="669"/>
      <c r="F67" s="669"/>
      <c r="G67" s="669"/>
      <c r="H67" s="669"/>
      <c r="I67" s="669"/>
      <c r="J67" s="669"/>
      <c r="K67" s="669"/>
      <c r="L67" s="669"/>
      <c r="M67" s="669"/>
      <c r="N67" s="669"/>
      <c r="O67" s="669"/>
      <c r="P67" s="669"/>
      <c r="Q67" s="669"/>
    </row>
    <row r="68" spans="2:17" ht="15" customHeight="1"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69"/>
      <c r="P68" s="669"/>
      <c r="Q68" s="669"/>
    </row>
    <row r="69" spans="2:17" ht="15" customHeight="1"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69"/>
      <c r="P69" s="669"/>
      <c r="Q69" s="669"/>
    </row>
    <row r="70" spans="2:17" ht="15" customHeight="1">
      <c r="B70" s="669"/>
      <c r="C70" s="669"/>
      <c r="D70" s="669"/>
      <c r="E70" s="669"/>
      <c r="F70" s="669"/>
      <c r="G70" s="669"/>
      <c r="H70" s="669"/>
      <c r="I70" s="669"/>
      <c r="J70" s="669"/>
      <c r="K70" s="669"/>
      <c r="L70" s="669"/>
      <c r="M70" s="669"/>
      <c r="N70" s="669"/>
      <c r="O70" s="669"/>
      <c r="P70" s="669"/>
      <c r="Q70" s="669"/>
    </row>
    <row r="71" spans="2:17" ht="15" customHeight="1">
      <c r="B71" s="669"/>
      <c r="C71" s="669"/>
      <c r="D71" s="669"/>
      <c r="E71" s="669"/>
      <c r="F71" s="669"/>
      <c r="G71" s="669"/>
      <c r="H71" s="669"/>
      <c r="I71" s="669"/>
      <c r="J71" s="669"/>
      <c r="K71" s="669"/>
      <c r="L71" s="669"/>
      <c r="M71" s="669"/>
      <c r="N71" s="669"/>
      <c r="O71" s="669"/>
      <c r="P71" s="669"/>
      <c r="Q71" s="669"/>
    </row>
    <row r="72" spans="2:17" ht="15" customHeight="1">
      <c r="B72" s="669"/>
      <c r="C72" s="669"/>
      <c r="D72" s="669"/>
      <c r="E72" s="669"/>
      <c r="F72" s="669"/>
      <c r="G72" s="669"/>
      <c r="H72" s="669"/>
      <c r="I72" s="669"/>
      <c r="J72" s="669"/>
      <c r="K72" s="669"/>
      <c r="L72" s="669"/>
      <c r="M72" s="669"/>
      <c r="N72" s="669"/>
      <c r="O72" s="669"/>
      <c r="P72" s="669"/>
      <c r="Q72" s="669"/>
    </row>
    <row r="73" spans="2:17" ht="15" customHeight="1">
      <c r="B73" s="669"/>
      <c r="C73" s="669"/>
      <c r="D73" s="669"/>
      <c r="E73" s="669"/>
      <c r="F73" s="669"/>
      <c r="G73" s="669"/>
      <c r="H73" s="669"/>
      <c r="I73" s="669"/>
      <c r="J73" s="669"/>
      <c r="K73" s="669"/>
      <c r="L73" s="669"/>
      <c r="M73" s="669"/>
      <c r="N73" s="669"/>
      <c r="O73" s="669"/>
      <c r="P73" s="669"/>
      <c r="Q73" s="669"/>
    </row>
    <row r="74" spans="2:17" ht="15" customHeight="1"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69"/>
      <c r="P74" s="669"/>
      <c r="Q74" s="669"/>
    </row>
    <row r="75" spans="2:17" ht="15" customHeight="1"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69"/>
      <c r="P75" s="669"/>
      <c r="Q75" s="669"/>
    </row>
    <row r="76" spans="2:17">
      <c r="B76" s="669"/>
      <c r="C76" s="669"/>
      <c r="D76" s="669"/>
      <c r="E76" s="669"/>
      <c r="F76" s="669"/>
      <c r="G76" s="669"/>
      <c r="H76" s="669"/>
      <c r="I76" s="669"/>
      <c r="J76" s="669"/>
      <c r="K76" s="669"/>
      <c r="L76" s="669"/>
      <c r="M76" s="669"/>
      <c r="N76" s="669"/>
      <c r="O76" s="669"/>
      <c r="P76" s="669"/>
      <c r="Q76" s="669"/>
    </row>
  </sheetData>
  <mergeCells count="7">
    <mergeCell ref="B48:Q76"/>
    <mergeCell ref="C3:D3"/>
    <mergeCell ref="E3:G3"/>
    <mergeCell ref="C14:H31"/>
    <mergeCell ref="C38:E38"/>
    <mergeCell ref="F38:I38"/>
    <mergeCell ref="J38:P38"/>
  </mergeCells>
  <pageMargins left="0.25" right="0.25" top="0.75" bottom="0.75" header="0.3" footer="0.3"/>
  <pageSetup scale="9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</vt:i4>
      </vt:variant>
    </vt:vector>
  </HeadingPairs>
  <TitlesOfParts>
    <vt:vector size="28" baseType="lpstr">
      <vt:lpstr>Dec 18th</vt:lpstr>
      <vt:lpstr>Aug 2nd</vt:lpstr>
      <vt:lpstr>Aug 3rd </vt:lpstr>
      <vt:lpstr>Aug 4th</vt:lpstr>
      <vt:lpstr>Aug 5th</vt:lpstr>
      <vt:lpstr>Aug 6th</vt:lpstr>
      <vt:lpstr>Aug 7th</vt:lpstr>
      <vt:lpstr>Aug 12th</vt:lpstr>
      <vt:lpstr>Aug 13th </vt:lpstr>
      <vt:lpstr>Aug 14th&amp;15th</vt:lpstr>
      <vt:lpstr>Aug 17th </vt:lpstr>
      <vt:lpstr>Aug 18th</vt:lpstr>
      <vt:lpstr>Aug 19th </vt:lpstr>
      <vt:lpstr>Aug 20th </vt:lpstr>
      <vt:lpstr>Aug 21st-22nd</vt:lpstr>
      <vt:lpstr>Aug 24th</vt:lpstr>
      <vt:lpstr>Aug 25th </vt:lpstr>
      <vt:lpstr>Aug 26th</vt:lpstr>
      <vt:lpstr>Aug 27th </vt:lpstr>
      <vt:lpstr>Aug 28th </vt:lpstr>
      <vt:lpstr>Aug 31st</vt:lpstr>
      <vt:lpstr>MTD_Links</vt:lpstr>
      <vt:lpstr>YTD_Links</vt:lpstr>
      <vt:lpstr>KPIs</vt:lpstr>
      <vt:lpstr>Brewer Performance</vt:lpstr>
      <vt:lpstr>'Brewer Performance'!Print_Area</vt:lpstr>
      <vt:lpstr>MTD_Links!Print_Area</vt:lpstr>
      <vt:lpstr>YTD_Links!Print_Area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Reshelle Fleming</dc:creator>
  <cp:lastModifiedBy>Kaylil Baptiste</cp:lastModifiedBy>
  <cp:lastPrinted>2026-09-08T12:23:13Z</cp:lastPrinted>
  <dcterms:created xsi:type="dcterms:W3CDTF">2020-01-28T18:21:11Z</dcterms:created>
  <dcterms:modified xsi:type="dcterms:W3CDTF">2026-09-08T12:41:36Z</dcterms:modified>
</cp:coreProperties>
</file>