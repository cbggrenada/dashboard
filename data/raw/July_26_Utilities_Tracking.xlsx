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F:\UTILITIES\Tracking\2026\"/>
    </mc:Choice>
  </mc:AlternateContent>
  <xr:revisionPtr revIDLastSave="0" documentId="13_ncr:1_{1A06BF39-6BE6-48B9-B9E6-DA47E3A88CFB}" xr6:coauthVersionLast="47" xr6:coauthVersionMax="47" xr10:uidLastSave="{00000000-0000-0000-0000-000000000000}"/>
  <bookViews>
    <workbookView xWindow="-120" yWindow="-120" windowWidth="29040" windowHeight="15720" tabRatio="592" firstSheet="1" activeTab="9" xr2:uid="{00000000-000D-0000-FFFF-FFFF00000000}"/>
  </bookViews>
  <sheets>
    <sheet name="Entries July 2026" sheetId="27" r:id="rId1"/>
    <sheet name="Utility Analysis July 2026" sheetId="23" r:id="rId2"/>
    <sheet name="Steam Mass Flow " sheetId="113" r:id="rId3"/>
    <sheet name="Fuel " sheetId="29" r:id="rId4"/>
    <sheet name="Water " sheetId="31" r:id="rId5"/>
    <sheet name="Elec.July 2026" sheetId="30" r:id="rId6"/>
    <sheet name="PROD.FIG. " sheetId="32" r:id="rId7"/>
    <sheet name="CO2" sheetId="28" r:id="rId8"/>
    <sheet name="Daily KPIs CO2" sheetId="111" r:id="rId9"/>
    <sheet name="Daily KPIs" sheetId="110" r:id="rId10"/>
    <sheet name="Water Analysis. '26" sheetId="109" r:id="rId11"/>
    <sheet name="Sheet1" sheetId="112" state="hidden" r:id="rId12"/>
  </sheets>
  <definedNames>
    <definedName name="_1__123Graph_BCHART_8" localSheetId="5" hidden="1">'Elec.July 2026'!$B$7:$B$37</definedName>
    <definedName name="_2__123Graph_CCHART_8" localSheetId="5" hidden="1">'Elec.July 2026'!$C$7:$C$37</definedName>
    <definedName name="_xlnm.Print_Area" localSheetId="9">'Daily KPIs'!$A$1:$AJ$123</definedName>
    <definedName name="_xlnm.Print_Area" localSheetId="8" xml:space="preserve">                                                              'Daily KPIs CO2'!$A$1:$AI$96</definedName>
    <definedName name="_xlnm.Print_Area" localSheetId="0">'Entries July 2026'!$A$1:$AI$38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74" i="110" l="1"/>
  <c r="AH8" i="110"/>
  <c r="C8" i="110"/>
  <c r="D8" i="110"/>
  <c r="I8" i="110"/>
  <c r="N8" i="110"/>
  <c r="Q8" i="110"/>
  <c r="X8" i="110" l="1"/>
  <c r="AG8" i="110" l="1"/>
  <c r="AG9" i="110" s="1"/>
  <c r="AF9" i="110" l="1"/>
  <c r="AE14" i="110"/>
  <c r="AE9" i="110"/>
  <c r="AE8" i="110"/>
  <c r="AG78" i="110"/>
  <c r="AD9" i="110"/>
  <c r="AD8" i="110"/>
  <c r="AC8" i="110"/>
  <c r="AC9" i="110" s="1"/>
  <c r="AB9" i="110"/>
  <c r="V9" i="110"/>
  <c r="X9" i="110"/>
  <c r="Y9" i="110"/>
  <c r="X74" i="110"/>
  <c r="Z9" i="110"/>
  <c r="AA9" i="110"/>
  <c r="X14" i="110"/>
  <c r="U14" i="110"/>
  <c r="V74" i="110"/>
  <c r="W9" i="110"/>
  <c r="V8" i="110"/>
  <c r="S9" i="110"/>
  <c r="T9" i="110"/>
  <c r="U9" i="110"/>
  <c r="R74" i="110"/>
  <c r="R9" i="110"/>
  <c r="Q14" i="110"/>
  <c r="Q74" i="110"/>
  <c r="P74" i="110"/>
  <c r="Q9" i="110"/>
  <c r="P8" i="110"/>
  <c r="P9" i="110" s="1"/>
  <c r="O14" i="110"/>
  <c r="O74" i="110"/>
  <c r="O9" i="110"/>
  <c r="N9" i="110"/>
  <c r="L9" i="110"/>
  <c r="M9" i="110"/>
  <c r="K74" i="110"/>
  <c r="J74" i="110"/>
  <c r="K8" i="110"/>
  <c r="K9" i="110"/>
  <c r="AH12" i="110"/>
  <c r="J8" i="110"/>
  <c r="J9" i="110" s="1"/>
  <c r="I74" i="110"/>
  <c r="I9" i="110"/>
  <c r="H9" i="110"/>
  <c r="H8" i="110"/>
  <c r="D14" i="110"/>
  <c r="G9" i="110"/>
  <c r="D9" i="110"/>
  <c r="C9" i="110"/>
  <c r="B8" i="110"/>
  <c r="B14" i="110"/>
  <c r="AH14" i="110" l="1"/>
  <c r="B9" i="110"/>
  <c r="B35" i="113" l="1"/>
  <c r="AA15" i="110"/>
  <c r="Z15" i="110"/>
  <c r="T15" i="110"/>
  <c r="S15" i="110"/>
  <c r="R15" i="110"/>
  <c r="J15" i="110"/>
  <c r="F15" i="110"/>
  <c r="E15" i="110"/>
  <c r="D15" i="110"/>
  <c r="B40" i="23" l="1"/>
  <c r="C40" i="23"/>
  <c r="G40" i="23"/>
  <c r="J40" i="23"/>
  <c r="D40" i="23" l="1"/>
  <c r="F40" i="23" s="1"/>
  <c r="H40" i="23" l="1"/>
  <c r="G47" i="111"/>
  <c r="E43" i="23"/>
  <c r="AF15" i="110"/>
  <c r="AH9" i="110"/>
  <c r="G11" i="23" l="1"/>
  <c r="G12" i="23"/>
  <c r="G13" i="23"/>
  <c r="G14" i="23"/>
  <c r="G15" i="23"/>
  <c r="G16" i="23"/>
  <c r="G17" i="23"/>
  <c r="G18" i="23"/>
  <c r="G19" i="23"/>
  <c r="G20" i="23"/>
  <c r="G21" i="23"/>
  <c r="G22" i="23"/>
  <c r="G23" i="23"/>
  <c r="G24" i="23"/>
  <c r="G25" i="23"/>
  <c r="G26" i="23"/>
  <c r="G27" i="23"/>
  <c r="G28" i="23"/>
  <c r="G29" i="23"/>
  <c r="G30" i="23"/>
  <c r="G31" i="23"/>
  <c r="G32" i="23"/>
  <c r="G33" i="23"/>
  <c r="G34" i="23"/>
  <c r="G35" i="23"/>
  <c r="G36" i="23"/>
  <c r="G37" i="23"/>
  <c r="G38" i="23"/>
  <c r="G39" i="23"/>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B10" i="23" l="1"/>
  <c r="F38" i="29" l="1"/>
  <c r="G38" i="29"/>
  <c r="J11" i="23" l="1"/>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B8" i="29" l="1"/>
  <c r="B9" i="29"/>
  <c r="B10" i="29"/>
  <c r="B11" i="29"/>
  <c r="B12" i="29"/>
  <c r="B13" i="29"/>
  <c r="B14" i="29"/>
  <c r="B15" i="29"/>
  <c r="B16" i="29"/>
  <c r="B17" i="29"/>
  <c r="B18" i="29"/>
  <c r="B19" i="29"/>
  <c r="B20" i="29"/>
  <c r="B21" i="29"/>
  <c r="B22" i="29"/>
  <c r="B23" i="29"/>
  <c r="B24" i="29"/>
  <c r="B25" i="29"/>
  <c r="B26" i="29"/>
  <c r="B27" i="29"/>
  <c r="B28" i="29"/>
  <c r="B29" i="29"/>
  <c r="B30" i="29"/>
  <c r="B31" i="29"/>
  <c r="B32" i="29"/>
  <c r="B33" i="29"/>
  <c r="B34" i="29"/>
  <c r="B35" i="29"/>
  <c r="B36" i="29"/>
  <c r="B37" i="29"/>
  <c r="B11" i="23"/>
  <c r="B12" i="23"/>
  <c r="B13" i="23"/>
  <c r="B14" i="23"/>
  <c r="B15" i="23"/>
  <c r="B16" i="23"/>
  <c r="B17" i="23"/>
  <c r="B18" i="23"/>
  <c r="B19" i="23"/>
  <c r="B20" i="23"/>
  <c r="B21" i="23"/>
  <c r="B8" i="28" l="1"/>
  <c r="C8" i="28"/>
  <c r="D8" i="28"/>
  <c r="B9" i="28"/>
  <c r="C9" i="28"/>
  <c r="D9" i="28"/>
  <c r="B10" i="28"/>
  <c r="C10" i="28"/>
  <c r="D10" i="28"/>
  <c r="B11" i="28"/>
  <c r="C11" i="28"/>
  <c r="D11" i="28"/>
  <c r="B12" i="28"/>
  <c r="C12" i="28"/>
  <c r="D12" i="28"/>
  <c r="B13" i="28"/>
  <c r="C13" i="28"/>
  <c r="D13" i="28"/>
  <c r="B14" i="28"/>
  <c r="C14" i="28"/>
  <c r="D14" i="28"/>
  <c r="B15" i="28"/>
  <c r="C15" i="28"/>
  <c r="D15" i="28"/>
  <c r="B16" i="28"/>
  <c r="C16" i="28"/>
  <c r="D16" i="28"/>
  <c r="B17" i="28"/>
  <c r="C17" i="28"/>
  <c r="D17" i="28"/>
  <c r="B18" i="28"/>
  <c r="C18" i="28"/>
  <c r="D18" i="28"/>
  <c r="B19" i="28"/>
  <c r="C19" i="28"/>
  <c r="D19" i="28"/>
  <c r="B20" i="28"/>
  <c r="C20" i="28"/>
  <c r="D20" i="28"/>
  <c r="B21" i="28"/>
  <c r="C21" i="28"/>
  <c r="D21" i="28"/>
  <c r="B22" i="28"/>
  <c r="C22" i="28"/>
  <c r="D22" i="28"/>
  <c r="B23" i="28"/>
  <c r="C23" i="28"/>
  <c r="D23" i="28"/>
  <c r="B24" i="28"/>
  <c r="C24" i="28"/>
  <c r="D24" i="28"/>
  <c r="B25" i="28"/>
  <c r="C25" i="28"/>
  <c r="D25" i="28"/>
  <c r="B26" i="28"/>
  <c r="C26" i="28"/>
  <c r="D26" i="28"/>
  <c r="B27" i="28"/>
  <c r="C27" i="28"/>
  <c r="D27" i="28"/>
  <c r="B28" i="28"/>
  <c r="C28" i="28"/>
  <c r="D28" i="28"/>
  <c r="B29" i="28"/>
  <c r="C29" i="28"/>
  <c r="D29" i="28"/>
  <c r="B30" i="28"/>
  <c r="C30" i="28"/>
  <c r="D30" i="28"/>
  <c r="B31" i="28"/>
  <c r="C31" i="28"/>
  <c r="D31" i="28"/>
  <c r="B32" i="28"/>
  <c r="C32" i="28"/>
  <c r="D32" i="28"/>
  <c r="B33" i="28"/>
  <c r="C33" i="28"/>
  <c r="D33" i="28"/>
  <c r="B34" i="28"/>
  <c r="C34" i="28"/>
  <c r="D34" i="28"/>
  <c r="B35" i="28"/>
  <c r="C35" i="28"/>
  <c r="D35" i="28"/>
  <c r="B36" i="28"/>
  <c r="C36" i="28"/>
  <c r="D36" i="28"/>
  <c r="B37" i="28"/>
  <c r="C37" i="28"/>
  <c r="D37" i="28"/>
  <c r="AA92" i="110" l="1"/>
  <c r="D8" i="30" l="1"/>
  <c r="D9" i="30"/>
  <c r="D10" i="30"/>
  <c r="D11" i="30"/>
  <c r="D12" i="30"/>
  <c r="D13" i="30"/>
  <c r="D14" i="30"/>
  <c r="D15" i="30"/>
  <c r="D16" i="30"/>
  <c r="D17" i="30"/>
  <c r="D18" i="30"/>
  <c r="D19" i="30"/>
  <c r="D20" i="30"/>
  <c r="D21" i="30"/>
  <c r="D22" i="30"/>
  <c r="D23" i="30"/>
  <c r="D24" i="30"/>
  <c r="D25" i="30"/>
  <c r="D26" i="30"/>
  <c r="D27" i="30"/>
  <c r="D28" i="30"/>
  <c r="D29" i="30"/>
  <c r="D30" i="30"/>
  <c r="D31" i="30"/>
  <c r="D32" i="30"/>
  <c r="D33" i="30"/>
  <c r="D34" i="30"/>
  <c r="D35" i="30"/>
  <c r="D36" i="30"/>
  <c r="D37" i="30"/>
  <c r="D7" i="30"/>
  <c r="B83" i="110" l="1" a="1"/>
  <c r="C11" i="23"/>
  <c r="D11" i="23" s="1"/>
  <c r="C12" i="23"/>
  <c r="D12" i="23" s="1"/>
  <c r="C13" i="23"/>
  <c r="D13" i="23" s="1"/>
  <c r="C14" i="23"/>
  <c r="D14" i="23" s="1"/>
  <c r="C15" i="23"/>
  <c r="D15" i="23" s="1"/>
  <c r="C16" i="23"/>
  <c r="D16" i="23" s="1"/>
  <c r="C17" i="23"/>
  <c r="D17" i="23" s="1"/>
  <c r="C18" i="23"/>
  <c r="D18" i="23" s="1"/>
  <c r="C19" i="23"/>
  <c r="D19" i="23" s="1"/>
  <c r="C20" i="23"/>
  <c r="D20" i="23" s="1"/>
  <c r="C21" i="23"/>
  <c r="D21" i="23" s="1"/>
  <c r="C22" i="23"/>
  <c r="C23" i="23"/>
  <c r="C24" i="23"/>
  <c r="C25" i="23"/>
  <c r="C26" i="23"/>
  <c r="C27" i="23"/>
  <c r="C28" i="23"/>
  <c r="C29" i="23"/>
  <c r="C30" i="23"/>
  <c r="C31" i="23"/>
  <c r="C32" i="23"/>
  <c r="C33" i="23"/>
  <c r="C34" i="23"/>
  <c r="C35" i="23"/>
  <c r="C36" i="23"/>
  <c r="C37" i="23"/>
  <c r="C38" i="23"/>
  <c r="C39" i="23"/>
  <c r="B22" i="23"/>
  <c r="B23" i="23"/>
  <c r="B24" i="23"/>
  <c r="B25" i="23"/>
  <c r="B26" i="23"/>
  <c r="B27" i="23"/>
  <c r="B28" i="23"/>
  <c r="B29" i="23"/>
  <c r="B30" i="23"/>
  <c r="D30" i="23" s="1"/>
  <c r="B31" i="23"/>
  <c r="D31" i="23" s="1"/>
  <c r="B32" i="23"/>
  <c r="D32" i="23" s="1"/>
  <c r="B33" i="23"/>
  <c r="B34" i="23"/>
  <c r="B35" i="23"/>
  <c r="B36" i="23"/>
  <c r="B37" i="23"/>
  <c r="B38" i="23"/>
  <c r="B39" i="23"/>
  <c r="D39" i="23" s="1"/>
  <c r="D29" i="23" l="1"/>
  <c r="D28" i="23"/>
  <c r="D26" i="23"/>
  <c r="F26" i="23" s="1"/>
  <c r="D27" i="23"/>
  <c r="D25" i="23"/>
  <c r="D24" i="23"/>
  <c r="D38" i="23"/>
  <c r="D23" i="23"/>
  <c r="D37" i="23"/>
  <c r="D36" i="23"/>
  <c r="D22" i="23"/>
  <c r="D35" i="23"/>
  <c r="D34" i="23"/>
  <c r="D33" i="23"/>
  <c r="F12" i="23"/>
  <c r="F13" i="23"/>
  <c r="F14" i="23"/>
  <c r="F15" i="23"/>
  <c r="F16" i="23"/>
  <c r="D38" i="30"/>
  <c r="F28" i="23" l="1"/>
  <c r="F27" i="23"/>
  <c r="F23" i="23"/>
  <c r="F20" i="23"/>
  <c r="F19" i="23"/>
  <c r="F17" i="23"/>
  <c r="F25" i="23"/>
  <c r="F11" i="23"/>
  <c r="F18" i="23"/>
  <c r="F24" i="23"/>
  <c r="F22" i="23"/>
  <c r="F21" i="23"/>
  <c r="F37" i="23"/>
  <c r="F36" i="23"/>
  <c r="F35" i="23"/>
  <c r="F34" i="23"/>
  <c r="F33" i="23"/>
  <c r="F32" i="23"/>
  <c r="F31" i="23"/>
  <c r="F30" i="23"/>
  <c r="F29" i="23"/>
  <c r="O8" i="28"/>
  <c r="O9" i="28"/>
  <c r="F92" i="110" l="1"/>
  <c r="K37" i="29" l="1"/>
  <c r="E37" i="29"/>
  <c r="I37" i="29" s="1"/>
  <c r="J37" i="29"/>
  <c r="H37" i="29" l="1"/>
  <c r="D92" i="110"/>
  <c r="B6" i="113" l="1"/>
  <c r="B7" i="113"/>
  <c r="B8" i="113"/>
  <c r="B9" i="113"/>
  <c r="B10" i="113"/>
  <c r="B11" i="113"/>
  <c r="B12" i="113"/>
  <c r="B13" i="113"/>
  <c r="B14" i="113"/>
  <c r="B15" i="113"/>
  <c r="B16" i="113"/>
  <c r="B17" i="113"/>
  <c r="B18" i="113"/>
  <c r="B19" i="113"/>
  <c r="B20" i="113"/>
  <c r="B21" i="113"/>
  <c r="B22" i="113"/>
  <c r="B23" i="113"/>
  <c r="B24" i="113"/>
  <c r="B25" i="113"/>
  <c r="B26" i="113"/>
  <c r="B27" i="113"/>
  <c r="B28" i="113"/>
  <c r="B29" i="113"/>
  <c r="B30" i="113"/>
  <c r="B31" i="113"/>
  <c r="B32" i="113"/>
  <c r="B33" i="113"/>
  <c r="B34" i="113"/>
  <c r="J92" i="110" l="1"/>
  <c r="C35" i="30" l="1"/>
  <c r="C36" i="30"/>
  <c r="C37" i="30"/>
  <c r="G10" i="23"/>
  <c r="C10" i="23"/>
  <c r="H18" i="23" l="1"/>
  <c r="C15" i="30"/>
  <c r="H19" i="23"/>
  <c r="C16" i="30"/>
  <c r="H20" i="23"/>
  <c r="C17" i="30"/>
  <c r="H21" i="23"/>
  <c r="C18" i="30"/>
  <c r="H22" i="23"/>
  <c r="C19" i="30"/>
  <c r="H23" i="23"/>
  <c r="C20" i="30"/>
  <c r="H24" i="23"/>
  <c r="C21" i="30"/>
  <c r="H25" i="23"/>
  <c r="C22" i="30"/>
  <c r="H26" i="23"/>
  <c r="C23" i="30"/>
  <c r="H27" i="23"/>
  <c r="C24" i="30"/>
  <c r="H28" i="23"/>
  <c r="C25" i="30"/>
  <c r="H29" i="23"/>
  <c r="C26" i="30"/>
  <c r="H30" i="23"/>
  <c r="C27" i="30"/>
  <c r="H31" i="23"/>
  <c r="C28" i="30"/>
  <c r="H32" i="23"/>
  <c r="C29" i="30"/>
  <c r="H33" i="23"/>
  <c r="C30" i="30"/>
  <c r="H34" i="23"/>
  <c r="C31" i="30"/>
  <c r="H35" i="23"/>
  <c r="C32" i="30"/>
  <c r="H36" i="23"/>
  <c r="C33" i="30"/>
  <c r="H37" i="23"/>
  <c r="C34" i="30"/>
  <c r="H17" i="23"/>
  <c r="C14" i="30"/>
  <c r="H16" i="23"/>
  <c r="C13" i="30"/>
  <c r="H15" i="23"/>
  <c r="C12" i="30"/>
  <c r="H14" i="23"/>
  <c r="C11" i="30"/>
  <c r="H13" i="23"/>
  <c r="C10" i="30"/>
  <c r="H12" i="23"/>
  <c r="C9" i="30"/>
  <c r="H11" i="23"/>
  <c r="C8" i="30"/>
  <c r="D10" i="23"/>
  <c r="R38" i="28"/>
  <c r="R8" i="28"/>
  <c r="R9" i="28"/>
  <c r="R10" i="28"/>
  <c r="R11" i="28"/>
  <c r="R12" i="28"/>
  <c r="R13" i="28"/>
  <c r="R14" i="28"/>
  <c r="R15" i="28"/>
  <c r="R16" i="28"/>
  <c r="R17" i="28"/>
  <c r="R18" i="28"/>
  <c r="R19" i="28"/>
  <c r="R20" i="28"/>
  <c r="R21" i="28"/>
  <c r="R22" i="28"/>
  <c r="R23" i="28"/>
  <c r="R24" i="28"/>
  <c r="R25" i="28"/>
  <c r="R26" i="28"/>
  <c r="R27" i="28"/>
  <c r="R28" i="28"/>
  <c r="R29" i="28"/>
  <c r="R30" i="28"/>
  <c r="R31" i="28"/>
  <c r="R32" i="28"/>
  <c r="R33" i="28"/>
  <c r="R34" i="28"/>
  <c r="R35" i="28"/>
  <c r="R36" i="28"/>
  <c r="R37" i="28"/>
  <c r="R39" i="28"/>
  <c r="R7" i="28"/>
  <c r="D43" i="23" l="1"/>
  <c r="F43" i="23" s="1"/>
  <c r="H10" i="23"/>
  <c r="C7" i="28"/>
  <c r="C38" i="28" s="1"/>
  <c r="C8" i="111"/>
  <c r="D8" i="111"/>
  <c r="E8" i="111"/>
  <c r="F8" i="111"/>
  <c r="G8" i="111"/>
  <c r="H8" i="111"/>
  <c r="I8" i="111"/>
  <c r="J8" i="111"/>
  <c r="K8" i="111"/>
  <c r="L8" i="111"/>
  <c r="M8" i="111"/>
  <c r="N8" i="111"/>
  <c r="O8" i="111"/>
  <c r="P8" i="111"/>
  <c r="R8" i="111"/>
  <c r="S8" i="111"/>
  <c r="T8" i="111"/>
  <c r="U8" i="111"/>
  <c r="V8" i="111"/>
  <c r="W8" i="111"/>
  <c r="X8" i="111"/>
  <c r="Y8" i="111"/>
  <c r="Z8" i="111"/>
  <c r="AA8" i="111"/>
  <c r="AB8" i="111"/>
  <c r="AC8" i="111"/>
  <c r="B9" i="111"/>
  <c r="C9" i="111"/>
  <c r="D9" i="111"/>
  <c r="E9" i="111"/>
  <c r="F9" i="111"/>
  <c r="G9" i="111"/>
  <c r="H9" i="111"/>
  <c r="I9" i="111"/>
  <c r="J9" i="111"/>
  <c r="K9" i="111"/>
  <c r="L9" i="111"/>
  <c r="M9" i="111"/>
  <c r="N9" i="111"/>
  <c r="O9" i="111"/>
  <c r="P9" i="111"/>
  <c r="R9" i="111"/>
  <c r="S9" i="111"/>
  <c r="T9" i="111"/>
  <c r="U9" i="111"/>
  <c r="V9" i="111"/>
  <c r="W9" i="111"/>
  <c r="X9" i="111"/>
  <c r="Y9" i="111"/>
  <c r="Z9" i="111"/>
  <c r="AA9" i="111"/>
  <c r="AB9" i="111"/>
  <c r="AC9" i="111"/>
  <c r="B10" i="111"/>
  <c r="C10" i="111"/>
  <c r="D10" i="111"/>
  <c r="E10" i="111"/>
  <c r="F10" i="111"/>
  <c r="G10" i="111"/>
  <c r="H10" i="111"/>
  <c r="I10" i="111"/>
  <c r="J10" i="111"/>
  <c r="K10" i="111"/>
  <c r="L10" i="111"/>
  <c r="M10" i="111"/>
  <c r="N10" i="111"/>
  <c r="O10" i="111"/>
  <c r="P10" i="111"/>
  <c r="Q10" i="111"/>
  <c r="R10" i="111"/>
  <c r="S10" i="111"/>
  <c r="T10" i="111"/>
  <c r="U10" i="111"/>
  <c r="V10" i="111"/>
  <c r="W10" i="111"/>
  <c r="X10" i="111"/>
  <c r="Y10" i="111"/>
  <c r="AA10" i="111"/>
  <c r="AB10" i="111"/>
  <c r="AC10" i="111"/>
  <c r="B77" i="110" l="1" a="1"/>
  <c r="D24" i="31" l="1"/>
  <c r="D7" i="28" l="1"/>
  <c r="W92" i="110" l="1"/>
  <c r="S92" i="110" l="1"/>
  <c r="V8" i="28" l="1"/>
  <c r="S39" i="28" l="1" a="1"/>
  <c r="V39" i="28"/>
  <c r="T39" i="28"/>
  <c r="U39" i="28"/>
  <c r="W39" i="28" l="1"/>
  <c r="S18" i="28" l="1" a="1"/>
  <c r="S19" i="28" a="1"/>
  <c r="S20" i="28" a="1"/>
  <c r="S21" i="28" a="1"/>
  <c r="S23" i="28" a="1"/>
  <c r="S24" i="28" a="1"/>
  <c r="S22" i="28" a="1"/>
  <c r="S27" i="28" l="1" a="1"/>
  <c r="S25" i="28" a="1"/>
  <c r="S26" i="28" a="1"/>
  <c r="S28" i="28" a="1"/>
  <c r="S29" i="28" a="1"/>
  <c r="S30" i="28" a="1"/>
  <c r="S31" i="28" a="1"/>
  <c r="S32" i="28" a="1"/>
  <c r="S33" i="28" a="1"/>
  <c r="S34" i="28" a="1"/>
  <c r="S35" i="28" a="1"/>
  <c r="S36" i="28" a="1"/>
  <c r="S37" i="28" a="1"/>
  <c r="W37" i="28" s="1"/>
  <c r="S38" i="28" a="1"/>
  <c r="W38" i="28" s="1"/>
  <c r="T8" i="28"/>
  <c r="U8" i="28"/>
  <c r="T9" i="28"/>
  <c r="U9" i="28"/>
  <c r="V9" i="28"/>
  <c r="T10" i="28"/>
  <c r="U10" i="28"/>
  <c r="V10" i="28"/>
  <c r="T11" i="28"/>
  <c r="U11" i="28"/>
  <c r="V11" i="28"/>
  <c r="T12" i="28"/>
  <c r="U12" i="28"/>
  <c r="V12" i="28"/>
  <c r="T13" i="28"/>
  <c r="U13" i="28"/>
  <c r="V13" i="28"/>
  <c r="T14" i="28"/>
  <c r="U14" i="28"/>
  <c r="V14" i="28"/>
  <c r="T15" i="28"/>
  <c r="U15" i="28"/>
  <c r="V15" i="28"/>
  <c r="T16" i="28"/>
  <c r="U16" i="28"/>
  <c r="V16" i="28"/>
  <c r="T17" i="28"/>
  <c r="U17" i="28"/>
  <c r="V17" i="28"/>
  <c r="T18" i="28"/>
  <c r="U18" i="28"/>
  <c r="V18" i="28"/>
  <c r="T19" i="28"/>
  <c r="U19" i="28"/>
  <c r="V19" i="28"/>
  <c r="T20" i="28"/>
  <c r="U20" i="28"/>
  <c r="V20" i="28"/>
  <c r="T21" i="28"/>
  <c r="U21" i="28"/>
  <c r="V21" i="28"/>
  <c r="T22" i="28"/>
  <c r="U22" i="28"/>
  <c r="V22" i="28"/>
  <c r="T23" i="28"/>
  <c r="U23" i="28"/>
  <c r="V23" i="28"/>
  <c r="T24" i="28"/>
  <c r="U24" i="28"/>
  <c r="V24" i="28"/>
  <c r="T25" i="28"/>
  <c r="U25" i="28"/>
  <c r="V25" i="28"/>
  <c r="T26" i="28"/>
  <c r="U26" i="28"/>
  <c r="V26" i="28"/>
  <c r="T27" i="28"/>
  <c r="U27" i="28"/>
  <c r="V27" i="28"/>
  <c r="T28" i="28"/>
  <c r="U28" i="28"/>
  <c r="V28" i="28"/>
  <c r="T29" i="28"/>
  <c r="U29" i="28"/>
  <c r="V29" i="28"/>
  <c r="T30" i="28"/>
  <c r="U30" i="28"/>
  <c r="V30" i="28"/>
  <c r="T31" i="28"/>
  <c r="U31" i="28"/>
  <c r="V31" i="28"/>
  <c r="T32" i="28"/>
  <c r="U32" i="28"/>
  <c r="V32" i="28"/>
  <c r="T33" i="28"/>
  <c r="U33" i="28"/>
  <c r="V33" i="28"/>
  <c r="T34" i="28"/>
  <c r="U34" i="28"/>
  <c r="V34" i="28"/>
  <c r="T35" i="28"/>
  <c r="U35" i="28"/>
  <c r="V35" i="28"/>
  <c r="T36" i="28"/>
  <c r="U36" i="28"/>
  <c r="V36" i="28"/>
  <c r="T37" i="28"/>
  <c r="U37" i="28"/>
  <c r="V37" i="28"/>
  <c r="T38" i="28"/>
  <c r="U38" i="28"/>
  <c r="V38" i="28"/>
  <c r="V7" i="28"/>
  <c r="U7" i="28"/>
  <c r="T7" i="28"/>
  <c r="K40" i="28"/>
  <c r="K39" i="28"/>
  <c r="K38" i="28"/>
  <c r="K37" i="28"/>
  <c r="K36" i="28"/>
  <c r="K35" i="28"/>
  <c r="K34" i="28"/>
  <c r="K33" i="28"/>
  <c r="S10" i="28" s="1" a="1"/>
  <c r="K32" i="28"/>
  <c r="K31" i="28"/>
  <c r="K30" i="28"/>
  <c r="K29" i="28"/>
  <c r="K28" i="28"/>
  <c r="K27" i="28"/>
  <c r="K26" i="28"/>
  <c r="K25" i="28"/>
  <c r="K24" i="28"/>
  <c r="K23" i="28"/>
  <c r="K22" i="28"/>
  <c r="K21" i="28"/>
  <c r="S14" i="28" s="1" a="1"/>
  <c r="K20" i="28"/>
  <c r="S13" i="28" s="1" a="1"/>
  <c r="K19" i="28"/>
  <c r="K18" i="28"/>
  <c r="K17" i="28"/>
  <c r="K16" i="28"/>
  <c r="K15" i="28"/>
  <c r="K14" i="28"/>
  <c r="K13" i="28"/>
  <c r="K12" i="28"/>
  <c r="O7" i="28" s="1" a="1"/>
  <c r="K11" i="28"/>
  <c r="K10" i="28"/>
  <c r="K9" i="28"/>
  <c r="K8" i="28"/>
  <c r="K7" i="28"/>
  <c r="K6" i="28"/>
  <c r="W10" i="28" l="1"/>
  <c r="W32" i="28"/>
  <c r="W35" i="28"/>
  <c r="W33" i="28"/>
  <c r="N7" i="28"/>
  <c r="S17" i="28" a="1"/>
  <c r="W17" i="28" s="1"/>
  <c r="W36" i="28"/>
  <c r="S16" i="28" a="1"/>
  <c r="W16" i="28" s="1"/>
  <c r="S15" i="28" a="1"/>
  <c r="W15" i="28" s="1"/>
  <c r="W34" i="28"/>
  <c r="W19" i="28"/>
  <c r="W31" i="28"/>
  <c r="S12" i="28" a="1"/>
  <c r="W12" i="28" s="1"/>
  <c r="S11" i="28" a="1"/>
  <c r="W11" i="28" s="1"/>
  <c r="W30" i="28"/>
  <c r="W28" i="28"/>
  <c r="W26" i="28"/>
  <c r="W14" i="28"/>
  <c r="W22" i="28"/>
  <c r="W20" i="28"/>
  <c r="W25" i="28"/>
  <c r="W21" i="28"/>
  <c r="W29" i="28"/>
  <c r="W18" i="28"/>
  <c r="W24" i="28"/>
  <c r="W23" i="28"/>
  <c r="W13" i="28"/>
  <c r="W27" i="28"/>
  <c r="S7" i="28" a="1"/>
  <c r="W7" i="28" s="1"/>
  <c r="S8" i="28" a="1"/>
  <c r="W8" i="28" s="1"/>
  <c r="S9" i="28" a="1"/>
  <c r="W9" i="28" s="1"/>
  <c r="X10" i="28" l="1"/>
  <c r="X14" i="28"/>
  <c r="X8" i="28"/>
  <c r="X9" i="28"/>
  <c r="X11" i="28"/>
  <c r="X12" i="28"/>
  <c r="B75" i="110" l="1" a="1"/>
  <c r="X27" i="28"/>
  <c r="X38" i="28"/>
  <c r="X35" i="28"/>
  <c r="D38" i="28"/>
  <c r="X29" i="28"/>
  <c r="X16" i="28"/>
  <c r="X26" i="28"/>
  <c r="X37" i="28"/>
  <c r="X28" i="28"/>
  <c r="X31" i="28"/>
  <c r="X19" i="28"/>
  <c r="X30" i="28"/>
  <c r="X20" i="28"/>
  <c r="X32" i="28"/>
  <c r="X33" i="28"/>
  <c r="X25" i="28"/>
  <c r="X17" i="28"/>
  <c r="X36" i="28"/>
  <c r="X34" i="28"/>
  <c r="X21" i="28"/>
  <c r="X18" i="28"/>
  <c r="X22" i="28"/>
  <c r="X24" i="28"/>
  <c r="X23" i="28"/>
  <c r="B92" i="110" l="1"/>
  <c r="E7" i="28" a="1"/>
  <c r="K40" i="23" s="1"/>
  <c r="X40" i="28"/>
  <c r="AH92" i="110" l="1"/>
  <c r="K14" i="23"/>
  <c r="K11" i="23"/>
  <c r="K18" i="23"/>
  <c r="K30" i="23"/>
  <c r="K26" i="23"/>
  <c r="K25" i="23"/>
  <c r="K28" i="23"/>
  <c r="K27" i="23"/>
  <c r="K23" i="23"/>
  <c r="K22" i="23"/>
  <c r="K35" i="23"/>
  <c r="K15" i="23"/>
  <c r="K21" i="23"/>
  <c r="K33" i="23"/>
  <c r="K20" i="23"/>
  <c r="K24" i="23"/>
  <c r="K37" i="23"/>
  <c r="K36" i="23"/>
  <c r="K16" i="23"/>
  <c r="K34" i="23"/>
  <c r="K13" i="23"/>
  <c r="K32" i="23"/>
  <c r="K39" i="23"/>
  <c r="K31" i="23"/>
  <c r="K19" i="23"/>
  <c r="K38" i="23"/>
  <c r="AI68" i="110"/>
  <c r="H7" i="31"/>
  <c r="C7" i="29" l="1"/>
  <c r="C39" i="29" s="1"/>
  <c r="C38" i="29" l="1"/>
  <c r="U37" i="31" l="1"/>
  <c r="V37" i="31"/>
  <c r="W37" i="31"/>
  <c r="X37" i="31"/>
  <c r="AF37" i="110" s="1"/>
  <c r="Y37" i="31"/>
  <c r="J37" i="31"/>
  <c r="K37" i="31"/>
  <c r="L37" i="31"/>
  <c r="M37" i="31"/>
  <c r="N37" i="31"/>
  <c r="O37" i="31"/>
  <c r="P37" i="31"/>
  <c r="Q37" i="31"/>
  <c r="R37" i="31"/>
  <c r="C37" i="31"/>
  <c r="D37" i="31"/>
  <c r="E37" i="31"/>
  <c r="F37" i="31"/>
  <c r="Z37" i="31" l="1"/>
  <c r="I40" i="23" s="1"/>
  <c r="G37" i="31"/>
  <c r="S37" i="31" s="1"/>
  <c r="F39" i="23"/>
  <c r="F38" i="23" l="1"/>
  <c r="H38" i="23"/>
  <c r="H39" i="23"/>
  <c r="B29" i="30"/>
  <c r="E29" i="30" s="1"/>
  <c r="B32" i="30"/>
  <c r="E32" i="30" s="1"/>
  <c r="B26" i="30"/>
  <c r="E26" i="30" s="1"/>
  <c r="B33" i="30"/>
  <c r="E33" i="30" s="1"/>
  <c r="B35" i="30"/>
  <c r="E35" i="30" s="1"/>
  <c r="B27" i="30"/>
  <c r="E27" i="30" s="1"/>
  <c r="B30" i="30"/>
  <c r="E30" i="30" s="1"/>
  <c r="B34" i="30"/>
  <c r="E34" i="30" s="1"/>
  <c r="B37" i="30"/>
  <c r="E37" i="30" s="1"/>
  <c r="B36" i="30"/>
  <c r="E36" i="30" s="1"/>
  <c r="B28" i="30"/>
  <c r="E28" i="30" s="1"/>
  <c r="B31" i="30"/>
  <c r="E31" i="30" s="1"/>
  <c r="AF19" i="110"/>
  <c r="AF39" i="110"/>
  <c r="AF40" i="110"/>
  <c r="AF46" i="110"/>
  <c r="AF65" i="110" s="1"/>
  <c r="AF47" i="110"/>
  <c r="AF56" i="110"/>
  <c r="AF57" i="110"/>
  <c r="AF58" i="110"/>
  <c r="AF79" i="110"/>
  <c r="AF85" i="110"/>
  <c r="AF92" i="110"/>
  <c r="AF100" i="110"/>
  <c r="AF103" i="110"/>
  <c r="AF105" i="110" s="1"/>
  <c r="AF106" i="110"/>
  <c r="C7" i="30" l="1"/>
  <c r="B19" i="30"/>
  <c r="E19" i="30" s="1"/>
  <c r="B22" i="30"/>
  <c r="E22" i="30" s="1"/>
  <c r="B24" i="30"/>
  <c r="E24" i="30" s="1"/>
  <c r="B25" i="30"/>
  <c r="E25" i="30" s="1"/>
  <c r="B15" i="30" l="1"/>
  <c r="E15" i="30" s="1"/>
  <c r="B21" i="30"/>
  <c r="E21" i="30" s="1"/>
  <c r="B18" i="30"/>
  <c r="E18" i="30" s="1"/>
  <c r="B14" i="30"/>
  <c r="E14" i="30" s="1"/>
  <c r="B20" i="30"/>
  <c r="E20" i="30" s="1"/>
  <c r="B23" i="30"/>
  <c r="E23" i="30" s="1"/>
  <c r="B16" i="30"/>
  <c r="E16" i="30" s="1"/>
  <c r="B17" i="30"/>
  <c r="E17" i="30" s="1"/>
  <c r="B13" i="30"/>
  <c r="E13" i="30" s="1"/>
  <c r="B10" i="30"/>
  <c r="E10" i="30" s="1"/>
  <c r="AH25" i="110"/>
  <c r="F10" i="23" l="1"/>
  <c r="C38" i="30"/>
  <c r="B12" i="30"/>
  <c r="E12" i="30" s="1"/>
  <c r="B9" i="30"/>
  <c r="E9" i="30" s="1"/>
  <c r="B11" i="30"/>
  <c r="E11" i="30" s="1"/>
  <c r="B8" i="30"/>
  <c r="E8" i="30" s="1"/>
  <c r="B7" i="30"/>
  <c r="E7" i="30" s="1"/>
  <c r="G43" i="23"/>
  <c r="AF90" i="111"/>
  <c r="AE90" i="111"/>
  <c r="AD90" i="111"/>
  <c r="AA90" i="111"/>
  <c r="Z90" i="111"/>
  <c r="Y90" i="111"/>
  <c r="S90" i="111"/>
  <c r="B90" i="111"/>
  <c r="C90" i="111"/>
  <c r="E90" i="111"/>
  <c r="R90" i="111"/>
  <c r="Q90" i="111"/>
  <c r="P90" i="111"/>
  <c r="O90" i="111"/>
  <c r="D90" i="111"/>
  <c r="F90" i="111"/>
  <c r="AF87" i="111"/>
  <c r="AE87" i="111"/>
  <c r="AD87" i="111"/>
  <c r="S87" i="111"/>
  <c r="R87" i="111"/>
  <c r="Q87" i="111"/>
  <c r="P87" i="111"/>
  <c r="O87" i="111"/>
  <c r="D87" i="111"/>
  <c r="B87" i="111"/>
  <c r="C87" i="111"/>
  <c r="E87" i="111"/>
  <c r="F87" i="111"/>
  <c r="S47" i="111"/>
  <c r="T47" i="111"/>
  <c r="U47" i="111"/>
  <c r="E38" i="30" l="1"/>
  <c r="E44" i="23"/>
  <c r="B80" i="110" a="1"/>
  <c r="B38" i="30"/>
  <c r="H43" i="23"/>
  <c r="B5" i="113"/>
  <c r="J8" i="29"/>
  <c r="J9" i="29"/>
  <c r="J10" i="29"/>
  <c r="J11" i="29"/>
  <c r="J12" i="29"/>
  <c r="J13" i="29"/>
  <c r="J14" i="29"/>
  <c r="J15" i="29"/>
  <c r="J16" i="29"/>
  <c r="J17" i="29"/>
  <c r="J18" i="29"/>
  <c r="J19" i="29"/>
  <c r="J20" i="29"/>
  <c r="J21" i="29"/>
  <c r="J22" i="29"/>
  <c r="J23" i="29"/>
  <c r="J24" i="29"/>
  <c r="J25" i="29"/>
  <c r="J26" i="29"/>
  <c r="J27" i="29"/>
  <c r="J28" i="29"/>
  <c r="J29" i="29"/>
  <c r="J30" i="29"/>
  <c r="J31" i="29"/>
  <c r="J32" i="29"/>
  <c r="J33" i="29"/>
  <c r="J34" i="29"/>
  <c r="J35" i="29"/>
  <c r="J36" i="29"/>
  <c r="J7" i="29"/>
  <c r="AD94" i="110" l="1"/>
  <c r="Y94" i="110"/>
  <c r="V94" i="110"/>
  <c r="W94" i="110"/>
  <c r="O94" i="110"/>
  <c r="P94" i="110"/>
  <c r="AF94" i="110"/>
  <c r="H94" i="110"/>
  <c r="S94" i="110"/>
  <c r="AE94" i="110"/>
  <c r="I94" i="110"/>
  <c r="K94" i="110"/>
  <c r="C94" i="110"/>
  <c r="D94" i="110"/>
  <c r="AB94" i="110"/>
  <c r="AC94" i="110"/>
  <c r="T94" i="110"/>
  <c r="Z94" i="110"/>
  <c r="R94" i="110"/>
  <c r="N94" i="110"/>
  <c r="M94" i="110"/>
  <c r="L94" i="110"/>
  <c r="X94" i="110"/>
  <c r="U94" i="110"/>
  <c r="Q94" i="110"/>
  <c r="AA94" i="110"/>
  <c r="J94" i="110"/>
  <c r="F94" i="110"/>
  <c r="E94" i="110"/>
  <c r="G94" i="110"/>
  <c r="O11" i="23"/>
  <c r="O12" i="23"/>
  <c r="O13" i="23"/>
  <c r="O14" i="23"/>
  <c r="O15" i="23"/>
  <c r="O16" i="23"/>
  <c r="O17" i="23"/>
  <c r="O18" i="23"/>
  <c r="O19" i="23"/>
  <c r="O20" i="23"/>
  <c r="O21" i="23"/>
  <c r="O22" i="23"/>
  <c r="O23" i="23"/>
  <c r="O24" i="23"/>
  <c r="O25" i="23"/>
  <c r="O26" i="23"/>
  <c r="O27" i="23"/>
  <c r="O28" i="23"/>
  <c r="O29" i="23"/>
  <c r="O30" i="23"/>
  <c r="O31" i="23"/>
  <c r="O32" i="23"/>
  <c r="O33" i="23"/>
  <c r="O34" i="23"/>
  <c r="O35" i="23"/>
  <c r="O36" i="23"/>
  <c r="O37" i="23"/>
  <c r="O38" i="23"/>
  <c r="O39" i="23"/>
  <c r="N11" i="23"/>
  <c r="N12" i="23"/>
  <c r="N13" i="23"/>
  <c r="N14" i="23"/>
  <c r="N15" i="23"/>
  <c r="N16" i="23"/>
  <c r="N17" i="23"/>
  <c r="N18" i="23"/>
  <c r="N19" i="23"/>
  <c r="N20" i="23"/>
  <c r="N21" i="23"/>
  <c r="N22" i="23"/>
  <c r="N23" i="23"/>
  <c r="N24" i="23"/>
  <c r="N25" i="23"/>
  <c r="N26" i="23"/>
  <c r="N27" i="23"/>
  <c r="N28" i="23"/>
  <c r="N29" i="23"/>
  <c r="N30" i="23"/>
  <c r="N31" i="23"/>
  <c r="N32" i="23"/>
  <c r="N33" i="23"/>
  <c r="N34" i="23"/>
  <c r="N35" i="23"/>
  <c r="N36" i="23"/>
  <c r="N37" i="23"/>
  <c r="N38" i="23"/>
  <c r="N39" i="23"/>
  <c r="M11" i="23"/>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L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AA93" i="111" l="1"/>
  <c r="AB93" i="111"/>
  <c r="AC93" i="111"/>
  <c r="AD93" i="111"/>
  <c r="AE93" i="111"/>
  <c r="AA94" i="111"/>
  <c r="AB94" i="111"/>
  <c r="AC94" i="111"/>
  <c r="AD94" i="111"/>
  <c r="AE94" i="111"/>
  <c r="AA95" i="111"/>
  <c r="AB95" i="111"/>
  <c r="AC95" i="111"/>
  <c r="AD95" i="111"/>
  <c r="AE95" i="111"/>
  <c r="AD59" i="111"/>
  <c r="AE59" i="111"/>
  <c r="V47" i="111"/>
  <c r="W47" i="111"/>
  <c r="X47" i="111"/>
  <c r="Y47" i="111"/>
  <c r="Z47" i="111"/>
  <c r="AA47" i="111"/>
  <c r="AB47" i="111"/>
  <c r="AC47" i="111"/>
  <c r="AD47" i="111"/>
  <c r="AE47" i="111"/>
  <c r="AF47" i="111"/>
  <c r="AD79" i="110" s="1"/>
  <c r="T52" i="111"/>
  <c r="U52" i="111"/>
  <c r="U101" i="111" s="1"/>
  <c r="V52" i="111"/>
  <c r="V101" i="111" s="1"/>
  <c r="W52" i="111"/>
  <c r="W101" i="111" s="1"/>
  <c r="X52" i="111"/>
  <c r="X101" i="111" s="1"/>
  <c r="Y52" i="111"/>
  <c r="Y101" i="111" s="1"/>
  <c r="Z52" i="111"/>
  <c r="Z101" i="111" s="1"/>
  <c r="AA52" i="111"/>
  <c r="AA101" i="111" s="1"/>
  <c r="AB52" i="111"/>
  <c r="AB101" i="111" s="1"/>
  <c r="AC52" i="111"/>
  <c r="AC101" i="111" s="1"/>
  <c r="AD52" i="111"/>
  <c r="AD101" i="111" s="1"/>
  <c r="AE52" i="111"/>
  <c r="AE101" i="111" s="1"/>
  <c r="AF52" i="111"/>
  <c r="AD62" i="111"/>
  <c r="AE62" i="111"/>
  <c r="AD64" i="111"/>
  <c r="AE64" i="111"/>
  <c r="AD67" i="111"/>
  <c r="AE67" i="111"/>
  <c r="AD68" i="111"/>
  <c r="AE68" i="111"/>
  <c r="AD69" i="111"/>
  <c r="AE69" i="111"/>
  <c r="AD71" i="111"/>
  <c r="AE71" i="111"/>
  <c r="AD72" i="111"/>
  <c r="AE72" i="111"/>
  <c r="AD73" i="111"/>
  <c r="AE73" i="111"/>
  <c r="AD74" i="111"/>
  <c r="AE74" i="111"/>
  <c r="AD75" i="111"/>
  <c r="AE75" i="111"/>
  <c r="AD80" i="111"/>
  <c r="AE80" i="111"/>
  <c r="AD81" i="111"/>
  <c r="AE81" i="111"/>
  <c r="AD82" i="111"/>
  <c r="AE82" i="111"/>
  <c r="AD84" i="111"/>
  <c r="AE84" i="111"/>
  <c r="AA86" i="111"/>
  <c r="AA70" i="111" s="1"/>
  <c r="AB86" i="111"/>
  <c r="AB70" i="111" s="1"/>
  <c r="AC86" i="111"/>
  <c r="AC70" i="111" s="1"/>
  <c r="AD86" i="111"/>
  <c r="AD70" i="111" s="1"/>
  <c r="AE86" i="111"/>
  <c r="AE70" i="111" s="1"/>
  <c r="AF86" i="111"/>
  <c r="AF70" i="111" s="1"/>
  <c r="AD89" i="111"/>
  <c r="AE89" i="111"/>
  <c r="AF89" i="111"/>
  <c r="AD26" i="111"/>
  <c r="AE26" i="111"/>
  <c r="AD35" i="111"/>
  <c r="AE35" i="111"/>
  <c r="AF35" i="111"/>
  <c r="AD39" i="111"/>
  <c r="AE39" i="111"/>
  <c r="AF39" i="111"/>
  <c r="AD79" i="111" l="1"/>
  <c r="AE79" i="111"/>
  <c r="E8" i="29" l="1"/>
  <c r="E9" i="29"/>
  <c r="I9" i="29" s="1"/>
  <c r="E10" i="29"/>
  <c r="I10" i="29" s="1"/>
  <c r="E11" i="29"/>
  <c r="E12" i="29"/>
  <c r="E13" i="29"/>
  <c r="E14" i="29"/>
  <c r="E15" i="29"/>
  <c r="I15" i="29" s="1"/>
  <c r="E16" i="29"/>
  <c r="I16" i="29" s="1"/>
  <c r="E17" i="29"/>
  <c r="I17" i="29" s="1"/>
  <c r="E18" i="29"/>
  <c r="I18" i="29" s="1"/>
  <c r="E19" i="29"/>
  <c r="I19" i="29" s="1"/>
  <c r="E20" i="29"/>
  <c r="I20" i="29" s="1"/>
  <c r="E21" i="29"/>
  <c r="I21" i="29" s="1"/>
  <c r="E22" i="29"/>
  <c r="I22" i="29" s="1"/>
  <c r="E23" i="29"/>
  <c r="I23" i="29" s="1"/>
  <c r="E24" i="29"/>
  <c r="I24" i="29" s="1"/>
  <c r="E25" i="29"/>
  <c r="I25" i="29" s="1"/>
  <c r="E26" i="29"/>
  <c r="I26" i="29" s="1"/>
  <c r="E27" i="29"/>
  <c r="I27" i="29" s="1"/>
  <c r="E28" i="29"/>
  <c r="E29" i="29"/>
  <c r="I29" i="29" s="1"/>
  <c r="E30" i="29"/>
  <c r="I30" i="29" s="1"/>
  <c r="E31" i="29"/>
  <c r="I31" i="29" s="1"/>
  <c r="E32" i="29"/>
  <c r="I32" i="29" s="1"/>
  <c r="E33" i="29"/>
  <c r="I33" i="29" s="1"/>
  <c r="E34" i="29"/>
  <c r="I34" i="29" s="1"/>
  <c r="E35" i="29"/>
  <c r="I35" i="29" s="1"/>
  <c r="E36" i="29"/>
  <c r="I36" i="29" s="1"/>
  <c r="K35" i="29"/>
  <c r="K36" i="29"/>
  <c r="U8" i="31"/>
  <c r="V8" i="31"/>
  <c r="W8" i="31"/>
  <c r="X8" i="31"/>
  <c r="Y8" i="31"/>
  <c r="U9" i="31"/>
  <c r="V9" i="31"/>
  <c r="W9" i="31"/>
  <c r="X9" i="31"/>
  <c r="Y9" i="31"/>
  <c r="U10" i="31"/>
  <c r="V10" i="31"/>
  <c r="W10" i="31"/>
  <c r="X10" i="31"/>
  <c r="Y10" i="31"/>
  <c r="U11" i="31"/>
  <c r="V11" i="31"/>
  <c r="W11" i="31"/>
  <c r="X11" i="31"/>
  <c r="Y11" i="31"/>
  <c r="U12" i="31"/>
  <c r="V12" i="31"/>
  <c r="W12" i="31"/>
  <c r="X12" i="31"/>
  <c r="Y12" i="31"/>
  <c r="U13" i="31"/>
  <c r="V13" i="31"/>
  <c r="W13" i="31"/>
  <c r="X13" i="31"/>
  <c r="Y13" i="31"/>
  <c r="U14" i="31"/>
  <c r="V14" i="31"/>
  <c r="W14" i="31"/>
  <c r="X14" i="31"/>
  <c r="Y14" i="31"/>
  <c r="U15" i="31"/>
  <c r="V15" i="31"/>
  <c r="W15" i="31"/>
  <c r="X15" i="31"/>
  <c r="Y15" i="31"/>
  <c r="U16" i="31"/>
  <c r="V16" i="31"/>
  <c r="W16" i="31"/>
  <c r="X16" i="31"/>
  <c r="Y16" i="31"/>
  <c r="U17" i="31"/>
  <c r="V17" i="31"/>
  <c r="W17" i="31"/>
  <c r="X17" i="31"/>
  <c r="Y17" i="31"/>
  <c r="U18" i="31"/>
  <c r="V18" i="31"/>
  <c r="W18" i="31"/>
  <c r="X18" i="31"/>
  <c r="Y18" i="31"/>
  <c r="U19" i="31"/>
  <c r="V19" i="31"/>
  <c r="W19" i="31"/>
  <c r="X19" i="31"/>
  <c r="Y19" i="31"/>
  <c r="U20" i="31"/>
  <c r="V20" i="31"/>
  <c r="W20" i="31"/>
  <c r="X20" i="31"/>
  <c r="Y20" i="31"/>
  <c r="U21" i="31"/>
  <c r="V21" i="31"/>
  <c r="W21" i="31"/>
  <c r="X21" i="31"/>
  <c r="Y21" i="31"/>
  <c r="U22" i="31"/>
  <c r="V22" i="31"/>
  <c r="W22" i="31"/>
  <c r="X22" i="31"/>
  <c r="Y22" i="31"/>
  <c r="U23" i="31"/>
  <c r="V23" i="31"/>
  <c r="W23" i="31"/>
  <c r="X23" i="31"/>
  <c r="Y23" i="31"/>
  <c r="U24" i="31"/>
  <c r="V24" i="31"/>
  <c r="W24" i="31"/>
  <c r="X24" i="31"/>
  <c r="Y24" i="31"/>
  <c r="U25" i="31"/>
  <c r="V25" i="31"/>
  <c r="W25" i="31"/>
  <c r="X25" i="31"/>
  <c r="Y25" i="31"/>
  <c r="U26" i="31"/>
  <c r="V26" i="31"/>
  <c r="W26" i="31"/>
  <c r="X26" i="31"/>
  <c r="Y26" i="31"/>
  <c r="U27" i="31"/>
  <c r="V27" i="31"/>
  <c r="W27" i="31"/>
  <c r="X27" i="31"/>
  <c r="Y27" i="31"/>
  <c r="U28" i="31"/>
  <c r="V28" i="31"/>
  <c r="W28" i="31"/>
  <c r="X28" i="31"/>
  <c r="Y28" i="31"/>
  <c r="U29" i="31"/>
  <c r="V29" i="31"/>
  <c r="W29" i="31"/>
  <c r="X29" i="31"/>
  <c r="Y29" i="31"/>
  <c r="U30" i="31"/>
  <c r="V30" i="31"/>
  <c r="W30" i="31"/>
  <c r="X30" i="31"/>
  <c r="Y30" i="31"/>
  <c r="U31" i="31"/>
  <c r="V31" i="31"/>
  <c r="AD23" i="111" s="1"/>
  <c r="W31" i="31"/>
  <c r="X31" i="31"/>
  <c r="Y31" i="31"/>
  <c r="U32" i="31"/>
  <c r="V32" i="31"/>
  <c r="AE23" i="111" s="1"/>
  <c r="W32" i="31"/>
  <c r="X32" i="31"/>
  <c r="Y32" i="31"/>
  <c r="U33" i="31"/>
  <c r="V33" i="31"/>
  <c r="AF23" i="111" s="1"/>
  <c r="W33" i="31"/>
  <c r="X33" i="31"/>
  <c r="Y33" i="31"/>
  <c r="U34" i="31"/>
  <c r="V34" i="31"/>
  <c r="W34" i="31"/>
  <c r="X34" i="31"/>
  <c r="Y34" i="31"/>
  <c r="U35" i="31"/>
  <c r="V35" i="31"/>
  <c r="W35" i="31"/>
  <c r="X35" i="31"/>
  <c r="Y35" i="31"/>
  <c r="U36" i="31"/>
  <c r="V36" i="31"/>
  <c r="W36" i="31"/>
  <c r="X36" i="31"/>
  <c r="AE37" i="110" s="1"/>
  <c r="Y36" i="31"/>
  <c r="H8" i="31"/>
  <c r="I8" i="31"/>
  <c r="H9" i="31"/>
  <c r="I9" i="31"/>
  <c r="H10" i="31"/>
  <c r="I10" i="31"/>
  <c r="H11" i="31"/>
  <c r="I11" i="31"/>
  <c r="H12" i="31"/>
  <c r="I12" i="31"/>
  <c r="H13" i="31"/>
  <c r="I13" i="31"/>
  <c r="H14" i="31"/>
  <c r="I14" i="31"/>
  <c r="H15" i="31"/>
  <c r="I15" i="31"/>
  <c r="H16" i="31"/>
  <c r="I16" i="31"/>
  <c r="H17" i="31"/>
  <c r="I17" i="31"/>
  <c r="H18" i="31"/>
  <c r="I18" i="31"/>
  <c r="H19" i="31"/>
  <c r="I19" i="31"/>
  <c r="H20" i="31"/>
  <c r="I20" i="31"/>
  <c r="H21" i="31"/>
  <c r="I21" i="31"/>
  <c r="H22" i="31"/>
  <c r="I22" i="31"/>
  <c r="H23" i="31"/>
  <c r="I23" i="31"/>
  <c r="H24" i="31"/>
  <c r="I24" i="31"/>
  <c r="H25" i="31"/>
  <c r="I25" i="31"/>
  <c r="H26" i="31"/>
  <c r="I26" i="31"/>
  <c r="H27" i="31"/>
  <c r="I27" i="31"/>
  <c r="H28" i="31"/>
  <c r="I28" i="31"/>
  <c r="H29" i="31"/>
  <c r="I29" i="31"/>
  <c r="H30" i="31"/>
  <c r="I30" i="31"/>
  <c r="H31" i="31"/>
  <c r="I31" i="31"/>
  <c r="H32" i="31"/>
  <c r="I32" i="31"/>
  <c r="H33" i="31"/>
  <c r="I33" i="31"/>
  <c r="H34" i="31"/>
  <c r="I34" i="31"/>
  <c r="H35" i="31"/>
  <c r="I35" i="31"/>
  <c r="H36" i="31"/>
  <c r="I36" i="31"/>
  <c r="AF29" i="110"/>
  <c r="J8" i="31"/>
  <c r="K8" i="31"/>
  <c r="L8" i="31"/>
  <c r="M8" i="31"/>
  <c r="N8" i="31"/>
  <c r="O8" i="31"/>
  <c r="P8" i="31"/>
  <c r="Q8" i="31"/>
  <c r="R8" i="31"/>
  <c r="J9" i="31"/>
  <c r="K9" i="31"/>
  <c r="L9" i="31"/>
  <c r="M9" i="31"/>
  <c r="N9" i="31"/>
  <c r="O9" i="31"/>
  <c r="P9" i="31"/>
  <c r="Q9" i="31"/>
  <c r="R9" i="31"/>
  <c r="J10" i="31"/>
  <c r="K10" i="31"/>
  <c r="L10" i="31"/>
  <c r="M10" i="31"/>
  <c r="N10" i="31"/>
  <c r="O10" i="31"/>
  <c r="P10" i="31"/>
  <c r="Q10" i="31"/>
  <c r="R10" i="31"/>
  <c r="J11" i="31"/>
  <c r="K11" i="31"/>
  <c r="L11" i="31"/>
  <c r="M11" i="31"/>
  <c r="N11" i="31"/>
  <c r="O11" i="31"/>
  <c r="P11" i="31"/>
  <c r="Q11" i="31"/>
  <c r="R11" i="31"/>
  <c r="J12" i="31"/>
  <c r="K12" i="31"/>
  <c r="L12" i="31"/>
  <c r="M12" i="31"/>
  <c r="N12" i="31"/>
  <c r="O12" i="31"/>
  <c r="P12" i="31"/>
  <c r="Q12" i="31"/>
  <c r="R12" i="31"/>
  <c r="J13" i="31"/>
  <c r="K13" i="31"/>
  <c r="L13" i="31"/>
  <c r="M13" i="31"/>
  <c r="N13" i="31"/>
  <c r="O13" i="31"/>
  <c r="P13" i="31"/>
  <c r="Q13" i="31"/>
  <c r="R13" i="31"/>
  <c r="J14" i="31"/>
  <c r="K14" i="31"/>
  <c r="L14" i="31"/>
  <c r="M14" i="31"/>
  <c r="N14" i="31"/>
  <c r="O14" i="31"/>
  <c r="P14" i="31"/>
  <c r="Q14" i="31"/>
  <c r="R14" i="31"/>
  <c r="J15" i="31"/>
  <c r="K15" i="31"/>
  <c r="L15" i="31"/>
  <c r="M15" i="31"/>
  <c r="N15" i="31"/>
  <c r="O15" i="31"/>
  <c r="P15" i="31"/>
  <c r="Q15" i="31"/>
  <c r="R15" i="31"/>
  <c r="J16" i="31"/>
  <c r="K16" i="31"/>
  <c r="L16" i="31"/>
  <c r="M16" i="31"/>
  <c r="N16" i="31"/>
  <c r="O16" i="31"/>
  <c r="P16" i="31"/>
  <c r="Q16" i="31"/>
  <c r="R16" i="31"/>
  <c r="J17" i="31"/>
  <c r="K17" i="31"/>
  <c r="L17" i="31"/>
  <c r="M17" i="31"/>
  <c r="N17" i="31"/>
  <c r="O17" i="31"/>
  <c r="P17" i="31"/>
  <c r="Q17" i="31"/>
  <c r="R17" i="31"/>
  <c r="J18" i="31"/>
  <c r="K18" i="31"/>
  <c r="L18" i="31"/>
  <c r="M18" i="31"/>
  <c r="N18" i="31"/>
  <c r="O18" i="31"/>
  <c r="P18" i="31"/>
  <c r="Q18" i="31"/>
  <c r="R18" i="31"/>
  <c r="J19" i="31"/>
  <c r="K19" i="31"/>
  <c r="L19" i="31"/>
  <c r="M19" i="31"/>
  <c r="N19" i="31"/>
  <c r="O19" i="31"/>
  <c r="P19" i="31"/>
  <c r="Q19" i="31"/>
  <c r="R19" i="31"/>
  <c r="J20" i="31"/>
  <c r="K20" i="31"/>
  <c r="L20" i="31"/>
  <c r="M20" i="31"/>
  <c r="N20" i="31"/>
  <c r="O20" i="31"/>
  <c r="P20" i="31"/>
  <c r="Q20" i="31"/>
  <c r="R20" i="31"/>
  <c r="J21" i="31"/>
  <c r="K21" i="31"/>
  <c r="L21" i="31"/>
  <c r="M21" i="31"/>
  <c r="N21" i="31"/>
  <c r="O21" i="31"/>
  <c r="P21" i="31"/>
  <c r="Q21" i="31"/>
  <c r="R21" i="31"/>
  <c r="J22" i="31"/>
  <c r="K22" i="31"/>
  <c r="L22" i="31"/>
  <c r="M22" i="31"/>
  <c r="N22" i="31"/>
  <c r="O22" i="31"/>
  <c r="P22" i="31"/>
  <c r="Q22" i="31"/>
  <c r="R22" i="31"/>
  <c r="J23" i="31"/>
  <c r="K23" i="31"/>
  <c r="L23" i="31"/>
  <c r="M23" i="31"/>
  <c r="N23" i="31"/>
  <c r="O23" i="31"/>
  <c r="P23" i="31"/>
  <c r="Q23" i="31"/>
  <c r="R23" i="31"/>
  <c r="J24" i="31"/>
  <c r="K24" i="31"/>
  <c r="L24" i="31"/>
  <c r="M24" i="31"/>
  <c r="N24" i="31"/>
  <c r="O24" i="31"/>
  <c r="P24" i="31"/>
  <c r="Q24" i="31"/>
  <c r="R24" i="31"/>
  <c r="J25" i="31"/>
  <c r="K25" i="31"/>
  <c r="L25" i="31"/>
  <c r="M25" i="31"/>
  <c r="N25" i="31"/>
  <c r="O25" i="31"/>
  <c r="P25" i="31"/>
  <c r="Q25" i="31"/>
  <c r="R25" i="31"/>
  <c r="J26" i="31"/>
  <c r="K26" i="31"/>
  <c r="L26" i="31"/>
  <c r="M26" i="31"/>
  <c r="N26" i="31"/>
  <c r="O26" i="31"/>
  <c r="P26" i="31"/>
  <c r="Q26" i="31"/>
  <c r="R26" i="31"/>
  <c r="J27" i="31"/>
  <c r="K27" i="31"/>
  <c r="L27" i="31"/>
  <c r="M27" i="31"/>
  <c r="N27" i="31"/>
  <c r="O27" i="31"/>
  <c r="P27" i="31"/>
  <c r="Q27" i="31"/>
  <c r="R27" i="31"/>
  <c r="J28" i="31"/>
  <c r="K28" i="31"/>
  <c r="L28" i="31"/>
  <c r="M28" i="31"/>
  <c r="N28" i="31"/>
  <c r="O28" i="31"/>
  <c r="P28" i="31"/>
  <c r="Q28" i="31"/>
  <c r="R28" i="31"/>
  <c r="J29" i="31"/>
  <c r="K29" i="31"/>
  <c r="L29" i="31"/>
  <c r="M29" i="31"/>
  <c r="N29" i="31"/>
  <c r="O29" i="31"/>
  <c r="P29" i="31"/>
  <c r="Q29" i="31"/>
  <c r="R29" i="31"/>
  <c r="J30" i="31"/>
  <c r="K30" i="31"/>
  <c r="L30" i="31"/>
  <c r="M30" i="31"/>
  <c r="N30" i="31"/>
  <c r="O30" i="31"/>
  <c r="P30" i="31"/>
  <c r="Q30" i="31"/>
  <c r="R30" i="31"/>
  <c r="J31" i="31"/>
  <c r="AD28" i="111" s="1"/>
  <c r="AD63" i="111" s="1"/>
  <c r="AD78" i="111" s="1"/>
  <c r="K31" i="31"/>
  <c r="AD31" i="111" s="1"/>
  <c r="L31" i="31"/>
  <c r="AD24" i="111" s="1"/>
  <c r="M31" i="31"/>
  <c r="N31" i="31"/>
  <c r="AD33" i="111" s="1"/>
  <c r="O31" i="31"/>
  <c r="AD34" i="111" s="1"/>
  <c r="P31" i="31"/>
  <c r="AD32" i="111" s="1"/>
  <c r="Q31" i="31"/>
  <c r="AD37" i="111" s="1"/>
  <c r="R31" i="31"/>
  <c r="J32" i="31"/>
  <c r="AE28" i="111" s="1"/>
  <c r="AE63" i="111" s="1"/>
  <c r="AE78" i="111" s="1"/>
  <c r="K32" i="31"/>
  <c r="AE31" i="111" s="1"/>
  <c r="L32" i="31"/>
  <c r="AE24" i="111" s="1"/>
  <c r="M32" i="31"/>
  <c r="N32" i="31"/>
  <c r="AE33" i="111" s="1"/>
  <c r="O32" i="31"/>
  <c r="AE34" i="111" s="1"/>
  <c r="P32" i="31"/>
  <c r="AE32" i="111" s="1"/>
  <c r="Q32" i="31"/>
  <c r="AE37" i="111" s="1"/>
  <c r="R32" i="31"/>
  <c r="J33" i="31"/>
  <c r="AF28" i="111" s="1"/>
  <c r="K33" i="31"/>
  <c r="AF31" i="111" s="1"/>
  <c r="L33" i="31"/>
  <c r="AF24" i="111" s="1"/>
  <c r="M33" i="31"/>
  <c r="N33" i="31"/>
  <c r="AF33" i="111" s="1"/>
  <c r="O33" i="31"/>
  <c r="AF34" i="111" s="1"/>
  <c r="P33" i="31"/>
  <c r="AF32" i="111" s="1"/>
  <c r="Q33" i="31"/>
  <c r="AF37" i="111" s="1"/>
  <c r="R33" i="31"/>
  <c r="J34" i="31"/>
  <c r="K34" i="31"/>
  <c r="L34" i="31"/>
  <c r="M34" i="31"/>
  <c r="N34" i="31"/>
  <c r="O34" i="31"/>
  <c r="P34" i="31"/>
  <c r="Q34" i="31"/>
  <c r="R34" i="31"/>
  <c r="J35" i="31"/>
  <c r="K35" i="31"/>
  <c r="L35" i="31"/>
  <c r="M35" i="31"/>
  <c r="N35" i="31"/>
  <c r="O35" i="31"/>
  <c r="P35" i="31"/>
  <c r="Q35" i="31"/>
  <c r="R35" i="31"/>
  <c r="J36" i="31"/>
  <c r="K36" i="31"/>
  <c r="L36" i="31"/>
  <c r="M36" i="31"/>
  <c r="N36" i="31"/>
  <c r="O36" i="31"/>
  <c r="P36" i="31"/>
  <c r="Q36" i="31"/>
  <c r="R36" i="31"/>
  <c r="AF36" i="110"/>
  <c r="AF44" i="110"/>
  <c r="AF62" i="110" s="1"/>
  <c r="AF41" i="110"/>
  <c r="AF59" i="110" s="1"/>
  <c r="AF42" i="110"/>
  <c r="AF60" i="110" s="1"/>
  <c r="AF45" i="110"/>
  <c r="AF28" i="110"/>
  <c r="J7" i="31"/>
  <c r="D8" i="31"/>
  <c r="E8" i="31"/>
  <c r="F8" i="31"/>
  <c r="C71" i="110" s="1"/>
  <c r="D9" i="31"/>
  <c r="E9" i="31"/>
  <c r="F9" i="31"/>
  <c r="D71" i="110" s="1"/>
  <c r="D10" i="31"/>
  <c r="E10" i="31"/>
  <c r="F10" i="31"/>
  <c r="D11" i="31"/>
  <c r="E11" i="31"/>
  <c r="F11" i="31"/>
  <c r="D12" i="31"/>
  <c r="E12" i="31"/>
  <c r="F12" i="31"/>
  <c r="D13" i="31"/>
  <c r="E13" i="31"/>
  <c r="F13" i="31"/>
  <c r="D14" i="31"/>
  <c r="E14" i="31"/>
  <c r="F14" i="31"/>
  <c r="D15" i="31"/>
  <c r="E15" i="31"/>
  <c r="F15" i="31"/>
  <c r="D16" i="31"/>
  <c r="E16" i="31"/>
  <c r="F16" i="31"/>
  <c r="D17" i="31"/>
  <c r="E17" i="31"/>
  <c r="F17" i="31"/>
  <c r="D18" i="31"/>
  <c r="E18" i="31"/>
  <c r="F18" i="31"/>
  <c r="D19" i="31"/>
  <c r="E19" i="31"/>
  <c r="F19" i="31"/>
  <c r="D20" i="31"/>
  <c r="E20" i="31"/>
  <c r="F20" i="31"/>
  <c r="D21" i="31"/>
  <c r="E21" i="31"/>
  <c r="F21" i="31"/>
  <c r="D22" i="31"/>
  <c r="E22" i="31"/>
  <c r="F22" i="31"/>
  <c r="D23" i="31"/>
  <c r="E23" i="31"/>
  <c r="F23" i="31"/>
  <c r="E24" i="31"/>
  <c r="F24" i="31"/>
  <c r="D25" i="31"/>
  <c r="E25" i="31"/>
  <c r="F25" i="31"/>
  <c r="D26" i="31"/>
  <c r="E26" i="31"/>
  <c r="F26" i="31"/>
  <c r="D27" i="31"/>
  <c r="E27" i="31"/>
  <c r="F27" i="31"/>
  <c r="D28" i="31"/>
  <c r="E28" i="31"/>
  <c r="F28" i="31"/>
  <c r="D29" i="31"/>
  <c r="E29" i="31"/>
  <c r="F29" i="31"/>
  <c r="D30" i="31"/>
  <c r="E30" i="31"/>
  <c r="F30" i="31"/>
  <c r="D31" i="31"/>
  <c r="E31" i="31"/>
  <c r="AD17" i="111" s="1"/>
  <c r="F31" i="31"/>
  <c r="D32" i="31"/>
  <c r="E32" i="31"/>
  <c r="AE17" i="111" s="1"/>
  <c r="F32" i="31"/>
  <c r="D33" i="31"/>
  <c r="E33" i="31"/>
  <c r="AF17" i="111" s="1"/>
  <c r="F33" i="31"/>
  <c r="D34" i="31"/>
  <c r="E34" i="31"/>
  <c r="F34" i="31"/>
  <c r="D35" i="31"/>
  <c r="E35" i="31"/>
  <c r="F35" i="31"/>
  <c r="D36" i="31"/>
  <c r="E36" i="31"/>
  <c r="F36" i="31"/>
  <c r="AF20" i="110"/>
  <c r="AF21" i="110"/>
  <c r="AF71" i="110"/>
  <c r="AF26" i="110" s="1"/>
  <c r="C8" i="31"/>
  <c r="C9" i="31"/>
  <c r="C10" i="31"/>
  <c r="C11" i="31"/>
  <c r="C12" i="31"/>
  <c r="C13" i="31"/>
  <c r="C14" i="31"/>
  <c r="C15" i="31"/>
  <c r="C16" i="31"/>
  <c r="C17" i="31"/>
  <c r="C18" i="31"/>
  <c r="C19" i="31"/>
  <c r="C20" i="31"/>
  <c r="C21" i="31"/>
  <c r="C22" i="31"/>
  <c r="C23" i="31"/>
  <c r="C24" i="31"/>
  <c r="C25" i="31"/>
  <c r="C26" i="31"/>
  <c r="C27" i="31"/>
  <c r="C28" i="31"/>
  <c r="C29" i="31"/>
  <c r="C30" i="31"/>
  <c r="C31" i="31"/>
  <c r="AD15" i="111" s="1"/>
  <c r="C32" i="31"/>
  <c r="AE15" i="111" s="1"/>
  <c r="C33" i="31"/>
  <c r="AF15" i="111" s="1"/>
  <c r="C34" i="31"/>
  <c r="C35" i="31"/>
  <c r="C36" i="31"/>
  <c r="I28" i="29" l="1"/>
  <c r="H8" i="29"/>
  <c r="Z35" i="31"/>
  <c r="I38" i="23" s="1"/>
  <c r="H29" i="29"/>
  <c r="H28" i="29"/>
  <c r="H15" i="29"/>
  <c r="H12" i="29"/>
  <c r="AF31" i="110"/>
  <c r="AF63" i="110"/>
  <c r="AF30" i="110"/>
  <c r="AF32" i="110" s="1"/>
  <c r="AF54" i="110"/>
  <c r="H35" i="29"/>
  <c r="H27" i="29"/>
  <c r="H13" i="29"/>
  <c r="Z24" i="31"/>
  <c r="I27" i="23" s="1"/>
  <c r="H11" i="29"/>
  <c r="Z26" i="31"/>
  <c r="I29" i="23" s="1"/>
  <c r="H17" i="29"/>
  <c r="H16" i="29"/>
  <c r="Z22" i="31"/>
  <c r="I25" i="23" s="1"/>
  <c r="Z18" i="31"/>
  <c r="I21" i="23" s="1"/>
  <c r="H21" i="29"/>
  <c r="G8" i="31"/>
  <c r="S8" i="31" s="1"/>
  <c r="H14" i="29"/>
  <c r="G9" i="31"/>
  <c r="S9" i="31" s="1"/>
  <c r="Z19" i="31"/>
  <c r="I22" i="23" s="1"/>
  <c r="H30" i="29"/>
  <c r="H10" i="29"/>
  <c r="H9" i="29"/>
  <c r="Z12" i="31"/>
  <c r="I15" i="23" s="1"/>
  <c r="H22" i="29"/>
  <c r="H20" i="29"/>
  <c r="H19" i="29"/>
  <c r="H18" i="29"/>
  <c r="H36" i="29"/>
  <c r="G36" i="31"/>
  <c r="S36" i="31" s="1"/>
  <c r="Z36" i="31"/>
  <c r="I39" i="23" s="1"/>
  <c r="G35" i="31"/>
  <c r="S35" i="31" s="1"/>
  <c r="Z34" i="31"/>
  <c r="I37" i="23" s="1"/>
  <c r="H34" i="29"/>
  <c r="H33" i="29"/>
  <c r="G34" i="31"/>
  <c r="S34" i="31" s="1"/>
  <c r="AF16" i="111"/>
  <c r="AF18" i="111" s="1"/>
  <c r="G33" i="31"/>
  <c r="S33" i="31" s="1"/>
  <c r="Z33" i="31"/>
  <c r="I36" i="23" s="1"/>
  <c r="H32" i="29"/>
  <c r="AE16" i="111"/>
  <c r="AE18" i="111" s="1"/>
  <c r="Z32" i="31"/>
  <c r="I35" i="23" s="1"/>
  <c r="G32" i="31"/>
  <c r="S32" i="31" s="1"/>
  <c r="AD16" i="111"/>
  <c r="AD18" i="111" s="1"/>
  <c r="G31" i="31"/>
  <c r="S31" i="31" s="1"/>
  <c r="Z31" i="31"/>
  <c r="I34" i="23" s="1"/>
  <c r="G30" i="31"/>
  <c r="S30" i="31" s="1"/>
  <c r="Z30" i="31"/>
  <c r="I33" i="23" s="1"/>
  <c r="H31" i="29"/>
  <c r="G29" i="31"/>
  <c r="S29" i="31" s="1"/>
  <c r="Z29" i="31"/>
  <c r="Z28" i="31"/>
  <c r="I31" i="23" s="1"/>
  <c r="G28" i="31"/>
  <c r="S28" i="31" s="1"/>
  <c r="G27" i="31"/>
  <c r="S27" i="31" s="1"/>
  <c r="Z27" i="31"/>
  <c r="I30" i="23" s="1"/>
  <c r="H26" i="29"/>
  <c r="G26" i="31"/>
  <c r="S26" i="31" s="1"/>
  <c r="Z25" i="31"/>
  <c r="I28" i="23" s="1"/>
  <c r="G25" i="31"/>
  <c r="S25" i="31" s="1"/>
  <c r="G24" i="31"/>
  <c r="S24" i="31" s="1"/>
  <c r="H25" i="29"/>
  <c r="H24" i="29"/>
  <c r="Z23" i="31"/>
  <c r="I26" i="23" s="1"/>
  <c r="G23" i="31"/>
  <c r="S23" i="31" s="1"/>
  <c r="H23" i="29"/>
  <c r="G22" i="31"/>
  <c r="S22" i="31" s="1"/>
  <c r="Z21" i="31"/>
  <c r="I24" i="23" s="1"/>
  <c r="G21" i="31"/>
  <c r="S21" i="31" s="1"/>
  <c r="G19" i="31"/>
  <c r="S19" i="31" s="1"/>
  <c r="G20" i="31"/>
  <c r="S20" i="31" s="1"/>
  <c r="Z20" i="31"/>
  <c r="I23" i="23" s="1"/>
  <c r="G17" i="31"/>
  <c r="S17" i="31" s="1"/>
  <c r="G16" i="31"/>
  <c r="S16" i="31" s="1"/>
  <c r="Z16" i="31"/>
  <c r="I19" i="23" s="1"/>
  <c r="Z17" i="31"/>
  <c r="I20" i="23" s="1"/>
  <c r="G18" i="31"/>
  <c r="S18" i="31" s="1"/>
  <c r="G15" i="31"/>
  <c r="S15" i="31" s="1"/>
  <c r="Z15" i="31"/>
  <c r="I18" i="23" s="1"/>
  <c r="G14" i="31"/>
  <c r="S14" i="31" s="1"/>
  <c r="Z14" i="31"/>
  <c r="I17" i="23" s="1"/>
  <c r="Z13" i="31"/>
  <c r="I16" i="23" s="1"/>
  <c r="G13" i="31"/>
  <c r="S13" i="31" s="1"/>
  <c r="Z11" i="31"/>
  <c r="I14" i="23" s="1"/>
  <c r="G12" i="31"/>
  <c r="S12" i="31" s="1"/>
  <c r="G11" i="31"/>
  <c r="S11" i="31" s="1"/>
  <c r="G10" i="31"/>
  <c r="S10" i="31" s="1"/>
  <c r="Z10" i="31"/>
  <c r="I13" i="23" s="1"/>
  <c r="Z9" i="31"/>
  <c r="I12" i="23" s="1"/>
  <c r="Z8" i="31"/>
  <c r="I11" i="23" s="1"/>
  <c r="AF22" i="110"/>
  <c r="AF90" i="110" s="1"/>
  <c r="T28" i="31"/>
  <c r="T23" i="31"/>
  <c r="T30" i="31"/>
  <c r="B81" i="110" a="1"/>
  <c r="T29" i="31"/>
  <c r="T35" i="31"/>
  <c r="T26" i="31"/>
  <c r="T24" i="31"/>
  <c r="T21" i="31"/>
  <c r="T20" i="31"/>
  <c r="T19" i="31"/>
  <c r="T22" i="31"/>
  <c r="T8" i="31"/>
  <c r="T36" i="31"/>
  <c r="T34" i="31"/>
  <c r="T27" i="31"/>
  <c r="T25" i="31"/>
  <c r="T14" i="31"/>
  <c r="T18" i="31"/>
  <c r="AF25" i="111"/>
  <c r="T17" i="31"/>
  <c r="AD25" i="111"/>
  <c r="T31" i="31"/>
  <c r="AF36" i="111"/>
  <c r="AF40" i="111"/>
  <c r="AE96" i="111"/>
  <c r="AE21" i="111" s="1"/>
  <c r="AA96" i="111"/>
  <c r="AB96" i="111"/>
  <c r="AC96" i="111"/>
  <c r="AD96" i="111"/>
  <c r="AD21" i="111" s="1"/>
  <c r="AE36" i="111"/>
  <c r="AE40" i="111"/>
  <c r="AE25" i="111"/>
  <c r="AD36" i="111"/>
  <c r="AD40" i="111"/>
  <c r="T33" i="31"/>
  <c r="T32" i="31"/>
  <c r="T16" i="31"/>
  <c r="T15" i="31"/>
  <c r="T13" i="31"/>
  <c r="T12" i="31"/>
  <c r="T11" i="31"/>
  <c r="T9" i="31"/>
  <c r="T10" i="31"/>
  <c r="K17" i="23"/>
  <c r="B82" i="110" a="1"/>
  <c r="AF116" i="110"/>
  <c r="I32" i="23"/>
  <c r="B7" i="28"/>
  <c r="B36" i="113"/>
  <c r="B7" i="29"/>
  <c r="B39" i="29" s="1"/>
  <c r="D44" i="110"/>
  <c r="E44" i="110"/>
  <c r="F44" i="110"/>
  <c r="Y7" i="31"/>
  <c r="X7" i="31"/>
  <c r="W7" i="31"/>
  <c r="V7" i="31"/>
  <c r="V38" i="31" s="1"/>
  <c r="L7" i="31"/>
  <c r="N7" i="109"/>
  <c r="N8" i="109"/>
  <c r="N9" i="109"/>
  <c r="N10" i="109"/>
  <c r="N11" i="109"/>
  <c r="N12" i="109"/>
  <c r="N13" i="109"/>
  <c r="N14" i="109"/>
  <c r="N15" i="109"/>
  <c r="N16" i="109"/>
  <c r="N17" i="109"/>
  <c r="N18" i="109"/>
  <c r="N19" i="109"/>
  <c r="P7" i="31"/>
  <c r="B43" i="110" s="1" a="1"/>
  <c r="AF50" i="110" s="1"/>
  <c r="L10" i="23"/>
  <c r="L43" i="23" s="1"/>
  <c r="H8" i="109"/>
  <c r="H9" i="109"/>
  <c r="H10" i="109"/>
  <c r="H11" i="109"/>
  <c r="H12" i="109"/>
  <c r="H13" i="109"/>
  <c r="H14" i="109"/>
  <c r="H15" i="109"/>
  <c r="H16" i="109"/>
  <c r="H17" i="109"/>
  <c r="H18" i="109"/>
  <c r="H19" i="109"/>
  <c r="H20" i="109"/>
  <c r="H21" i="109"/>
  <c r="H22" i="109"/>
  <c r="H23" i="109"/>
  <c r="H24" i="109"/>
  <c r="H25" i="109"/>
  <c r="H26" i="109"/>
  <c r="H27" i="109"/>
  <c r="H28" i="109"/>
  <c r="H29" i="109"/>
  <c r="H30" i="109"/>
  <c r="H31" i="109"/>
  <c r="H32" i="109"/>
  <c r="H33" i="109"/>
  <c r="H34" i="109"/>
  <c r="H35" i="109"/>
  <c r="H7" i="109"/>
  <c r="D35" i="109"/>
  <c r="F35" i="109"/>
  <c r="P38" i="109"/>
  <c r="Q38" i="109"/>
  <c r="F8" i="109"/>
  <c r="F9" i="109"/>
  <c r="F10" i="109"/>
  <c r="F11" i="109"/>
  <c r="F12" i="109"/>
  <c r="F13" i="109"/>
  <c r="F14" i="109"/>
  <c r="F15" i="109"/>
  <c r="F16" i="109"/>
  <c r="F17" i="109"/>
  <c r="F18" i="109"/>
  <c r="F19" i="109"/>
  <c r="F20" i="109"/>
  <c r="F21" i="109"/>
  <c r="F22" i="109"/>
  <c r="F23" i="109"/>
  <c r="F24" i="109"/>
  <c r="F25" i="109"/>
  <c r="F26" i="109"/>
  <c r="F27" i="109"/>
  <c r="F28" i="109"/>
  <c r="F29" i="109"/>
  <c r="F30" i="109"/>
  <c r="F31" i="109"/>
  <c r="F32" i="109"/>
  <c r="F33" i="109"/>
  <c r="F34" i="109"/>
  <c r="F7" i="109"/>
  <c r="B35" i="109"/>
  <c r="B8" i="109"/>
  <c r="B9" i="109"/>
  <c r="B10" i="109"/>
  <c r="B11" i="109"/>
  <c r="B12" i="109"/>
  <c r="B13" i="109"/>
  <c r="B14" i="109"/>
  <c r="B15" i="109"/>
  <c r="B16" i="109"/>
  <c r="B17" i="109"/>
  <c r="B18" i="109"/>
  <c r="B19" i="109"/>
  <c r="B20" i="109"/>
  <c r="B21" i="109"/>
  <c r="B22" i="109"/>
  <c r="B23" i="109"/>
  <c r="B24" i="109"/>
  <c r="B25" i="109"/>
  <c r="B26" i="109"/>
  <c r="B27" i="109"/>
  <c r="B28" i="109"/>
  <c r="B29" i="109"/>
  <c r="B30" i="109"/>
  <c r="B31" i="109"/>
  <c r="B32" i="109"/>
  <c r="B33" i="109"/>
  <c r="B34" i="109"/>
  <c r="B38" i="29" l="1"/>
  <c r="AF61" i="110"/>
  <c r="AF69" i="110" s="1"/>
  <c r="B76" i="110" a="1"/>
  <c r="C17" i="109"/>
  <c r="C31" i="109"/>
  <c r="C15" i="109"/>
  <c r="B38" i="28"/>
  <c r="C34" i="109"/>
  <c r="C32" i="109"/>
  <c r="C24" i="109"/>
  <c r="C23" i="109"/>
  <c r="C20" i="109"/>
  <c r="C19" i="109"/>
  <c r="C18" i="109"/>
  <c r="C29" i="109"/>
  <c r="C21" i="109"/>
  <c r="C28" i="109"/>
  <c r="C33" i="109"/>
  <c r="C13" i="109"/>
  <c r="C30" i="109"/>
  <c r="C10" i="109"/>
  <c r="C27" i="109"/>
  <c r="C26" i="109"/>
  <c r="C25" i="109"/>
  <c r="C16" i="109"/>
  <c r="C12" i="109"/>
  <c r="AB80" i="111"/>
  <c r="AB74" i="111"/>
  <c r="AB82" i="111"/>
  <c r="C11" i="109"/>
  <c r="C9" i="109"/>
  <c r="C22" i="109"/>
  <c r="G9" i="109"/>
  <c r="C14" i="109"/>
  <c r="C8" i="109"/>
  <c r="P38" i="31"/>
  <c r="C39" i="32"/>
  <c r="Z78" i="110" l="1"/>
  <c r="AC78" i="110"/>
  <c r="AD78" i="110"/>
  <c r="AE78" i="110"/>
  <c r="AF78" i="110"/>
  <c r="AA78" i="110"/>
  <c r="AB78" i="110"/>
  <c r="W78" i="110"/>
  <c r="X78" i="110"/>
  <c r="Y78" i="110"/>
  <c r="N78" i="110"/>
  <c r="O78" i="110"/>
  <c r="P93" i="110"/>
  <c r="Q78" i="110"/>
  <c r="K78" i="110"/>
  <c r="L78" i="110"/>
  <c r="M78" i="110"/>
  <c r="S78" i="110"/>
  <c r="E78" i="110"/>
  <c r="T78" i="110"/>
  <c r="F78" i="110"/>
  <c r="G78" i="110"/>
  <c r="H78" i="110"/>
  <c r="I78" i="110"/>
  <c r="J78" i="110"/>
  <c r="R78" i="110"/>
  <c r="C78" i="110"/>
  <c r="U78" i="110"/>
  <c r="V78" i="110"/>
  <c r="P78" i="110"/>
  <c r="D78" i="110"/>
  <c r="AF68" i="110"/>
  <c r="V93" i="110"/>
  <c r="AF93" i="110"/>
  <c r="S93" i="110"/>
  <c r="O93" i="110"/>
  <c r="T49" i="111"/>
  <c r="Y49" i="111"/>
  <c r="AF49" i="111"/>
  <c r="V49" i="111"/>
  <c r="AB49" i="111"/>
  <c r="AB81" i="111" s="1"/>
  <c r="X49" i="111"/>
  <c r="AD93" i="110"/>
  <c r="U49" i="111"/>
  <c r="AE49" i="111"/>
  <c r="Z49" i="111"/>
  <c r="AA49" i="111"/>
  <c r="W49" i="111"/>
  <c r="AC49" i="111"/>
  <c r="D9" i="109"/>
  <c r="R7" i="31"/>
  <c r="M11" i="109"/>
  <c r="K12" i="23" l="1"/>
  <c r="B23" i="111"/>
  <c r="B24" i="111"/>
  <c r="B29" i="110"/>
  <c r="B25" i="111" l="1"/>
  <c r="AD49" i="111"/>
  <c r="U95" i="111" l="1"/>
  <c r="V95" i="111"/>
  <c r="W94" i="111"/>
  <c r="X94" i="111"/>
  <c r="Y94" i="111"/>
  <c r="Z94" i="111"/>
  <c r="U94" i="111"/>
  <c r="V94" i="111"/>
  <c r="L20" i="110" l="1"/>
  <c r="AC92" i="110" l="1"/>
  <c r="G92" i="110" l="1"/>
  <c r="T92" i="110" l="1"/>
  <c r="V92" i="110" l="1"/>
  <c r="U92" i="110" l="1"/>
  <c r="K92" i="110" l="1"/>
  <c r="L92" i="110" l="1"/>
  <c r="L56" i="110"/>
  <c r="G93" i="111"/>
  <c r="I56" i="110"/>
  <c r="C56" i="110"/>
  <c r="J93" i="110"/>
  <c r="O92" i="110"/>
  <c r="S56" i="110"/>
  <c r="AA93" i="110"/>
  <c r="X95" i="111"/>
  <c r="W93" i="110"/>
  <c r="P93" i="111"/>
  <c r="P95" i="111"/>
  <c r="C39" i="110"/>
  <c r="F39" i="110"/>
  <c r="F57" i="110" s="1"/>
  <c r="E31" i="111"/>
  <c r="F31" i="111"/>
  <c r="M92" i="110"/>
  <c r="AB56" i="110"/>
  <c r="AC23" i="111"/>
  <c r="C85" i="110"/>
  <c r="D85" i="110"/>
  <c r="E85" i="110"/>
  <c r="F85" i="110"/>
  <c r="G85" i="110"/>
  <c r="H85" i="110"/>
  <c r="I85" i="110"/>
  <c r="J85" i="110"/>
  <c r="K85" i="110"/>
  <c r="L85" i="110"/>
  <c r="M85" i="110"/>
  <c r="N85" i="110"/>
  <c r="O85" i="110"/>
  <c r="P85" i="110"/>
  <c r="Q85" i="110"/>
  <c r="R85" i="110"/>
  <c r="S85" i="110"/>
  <c r="T85" i="110"/>
  <c r="U85" i="110"/>
  <c r="V85" i="110"/>
  <c r="W85" i="110"/>
  <c r="X85" i="110"/>
  <c r="Y85" i="110"/>
  <c r="Z85" i="110"/>
  <c r="AA85" i="110"/>
  <c r="AB85" i="110"/>
  <c r="AC85" i="110"/>
  <c r="AD85" i="110"/>
  <c r="AD92" i="110"/>
  <c r="AC93" i="110"/>
  <c r="AB92" i="110"/>
  <c r="AB93" i="110"/>
  <c r="AI69" i="110"/>
  <c r="AJ67" i="110"/>
  <c r="AJ66" i="110"/>
  <c r="AD56" i="110"/>
  <c r="AC56" i="110"/>
  <c r="W56" i="110"/>
  <c r="F24" i="111"/>
  <c r="G29" i="110"/>
  <c r="H29" i="110"/>
  <c r="K24" i="111"/>
  <c r="AF10" i="111"/>
  <c r="AF8" i="111"/>
  <c r="O7" i="31"/>
  <c r="D42" i="110"/>
  <c r="Z79" i="110"/>
  <c r="Y79" i="110"/>
  <c r="G27" i="109"/>
  <c r="D27" i="109" s="1"/>
  <c r="AC79" i="110"/>
  <c r="AB79" i="110"/>
  <c r="AA79" i="110"/>
  <c r="X79" i="110"/>
  <c r="W79" i="110"/>
  <c r="V79" i="110"/>
  <c r="U79" i="110"/>
  <c r="T79" i="110"/>
  <c r="S79" i="110"/>
  <c r="R47" i="111"/>
  <c r="R79" i="110" s="1"/>
  <c r="Q47" i="111"/>
  <c r="Q79" i="110" s="1"/>
  <c r="P47" i="111"/>
  <c r="P79" i="110" s="1"/>
  <c r="O47" i="111"/>
  <c r="O79" i="110" s="1"/>
  <c r="N47" i="111"/>
  <c r="M47" i="111"/>
  <c r="M79" i="110" s="1"/>
  <c r="L47" i="111"/>
  <c r="K47" i="111"/>
  <c r="K79" i="110" s="1"/>
  <c r="J47" i="111"/>
  <c r="J79" i="110" s="1"/>
  <c r="I47" i="111"/>
  <c r="I79" i="110" s="1"/>
  <c r="H47" i="111"/>
  <c r="H79" i="110" s="1"/>
  <c r="G79" i="110"/>
  <c r="F47" i="111"/>
  <c r="F79" i="110" s="1"/>
  <c r="E47" i="111"/>
  <c r="E79" i="110" s="1"/>
  <c r="D47" i="111"/>
  <c r="D79" i="110" s="1"/>
  <c r="C47" i="111"/>
  <c r="C79" i="110" s="1"/>
  <c r="B47" i="111"/>
  <c r="S74" i="111"/>
  <c r="F7" i="31"/>
  <c r="D96" i="111"/>
  <c r="E96" i="111"/>
  <c r="G96" i="111"/>
  <c r="J71" i="110"/>
  <c r="K71" i="110"/>
  <c r="L71" i="110"/>
  <c r="M71" i="110"/>
  <c r="N96" i="111"/>
  <c r="O71" i="110"/>
  <c r="P71" i="110"/>
  <c r="Q71" i="110"/>
  <c r="S71" i="110"/>
  <c r="T71" i="110"/>
  <c r="U71" i="110"/>
  <c r="Z71" i="110"/>
  <c r="AF96" i="111"/>
  <c r="AF21" i="111" s="1"/>
  <c r="I24" i="111"/>
  <c r="AB37" i="111"/>
  <c r="AB73" i="111" s="1"/>
  <c r="AD45" i="110"/>
  <c r="AD31" i="110" s="1"/>
  <c r="AA37" i="111"/>
  <c r="G40" i="110"/>
  <c r="G36" i="111"/>
  <c r="AG27" i="111"/>
  <c r="Y100" i="110"/>
  <c r="X100" i="110"/>
  <c r="S93" i="111"/>
  <c r="R93" i="111"/>
  <c r="R28" i="111"/>
  <c r="Q95" i="111"/>
  <c r="K93" i="111"/>
  <c r="J95" i="111"/>
  <c r="E95" i="111"/>
  <c r="L116" i="110"/>
  <c r="M116" i="110"/>
  <c r="N116" i="110"/>
  <c r="O52" i="111"/>
  <c r="R116" i="110"/>
  <c r="W116" i="110"/>
  <c r="X116" i="110"/>
  <c r="AA116" i="110"/>
  <c r="C117" i="110"/>
  <c r="E52" i="111"/>
  <c r="E101" i="111" s="1"/>
  <c r="F52" i="111"/>
  <c r="G52" i="111"/>
  <c r="G101" i="111" s="1"/>
  <c r="H52" i="111"/>
  <c r="H101" i="111" s="1"/>
  <c r="J116" i="110"/>
  <c r="K52" i="111"/>
  <c r="K101" i="111" s="1"/>
  <c r="AF94" i="111"/>
  <c r="Z106" i="110"/>
  <c r="Y106" i="110"/>
  <c r="AA106" i="110"/>
  <c r="AB106" i="110"/>
  <c r="AC106" i="110"/>
  <c r="AD106" i="110"/>
  <c r="AE106" i="110"/>
  <c r="D13" i="29"/>
  <c r="D12" i="29"/>
  <c r="R44" i="110"/>
  <c r="R62" i="110" s="1"/>
  <c r="R35" i="111"/>
  <c r="R37" i="110"/>
  <c r="R46" i="110"/>
  <c r="R65" i="110" s="1"/>
  <c r="O34" i="111"/>
  <c r="R40" i="111"/>
  <c r="S44" i="110"/>
  <c r="S45" i="110"/>
  <c r="S31" i="110" s="1"/>
  <c r="S35" i="111"/>
  <c r="S37" i="110"/>
  <c r="T29" i="111"/>
  <c r="U29" i="111"/>
  <c r="V37" i="110"/>
  <c r="S46" i="110"/>
  <c r="F20" i="110"/>
  <c r="F23" i="111"/>
  <c r="F36" i="110"/>
  <c r="G29" i="111"/>
  <c r="F32" i="111"/>
  <c r="F33" i="111"/>
  <c r="G41" i="110"/>
  <c r="G59" i="110" s="1"/>
  <c r="H33" i="111"/>
  <c r="F42" i="110"/>
  <c r="F35" i="111"/>
  <c r="F36" i="111"/>
  <c r="H45" i="110"/>
  <c r="H31" i="110" s="1"/>
  <c r="F39" i="111"/>
  <c r="F49" i="111"/>
  <c r="AA29" i="110"/>
  <c r="L45" i="110"/>
  <c r="O86" i="111"/>
  <c r="O70" i="111" s="1"/>
  <c r="P86" i="111"/>
  <c r="P70" i="111" s="1"/>
  <c r="Q86" i="111"/>
  <c r="Q70" i="111" s="1"/>
  <c r="R86" i="111"/>
  <c r="R70" i="111" s="1"/>
  <c r="S86" i="111"/>
  <c r="S70" i="111" s="1"/>
  <c r="O89" i="111"/>
  <c r="P89" i="111"/>
  <c r="R89" i="111"/>
  <c r="S89" i="111"/>
  <c r="O93" i="111"/>
  <c r="Q93" i="111"/>
  <c r="O94" i="111"/>
  <c r="P94" i="111"/>
  <c r="Q94" i="111"/>
  <c r="R94" i="111"/>
  <c r="S94" i="111"/>
  <c r="O95" i="111"/>
  <c r="R95" i="111"/>
  <c r="S95" i="111"/>
  <c r="N93" i="111"/>
  <c r="N86" i="111"/>
  <c r="N70" i="111" s="1"/>
  <c r="N87" i="111"/>
  <c r="N89" i="111" s="1"/>
  <c r="N90" i="111"/>
  <c r="N94" i="111"/>
  <c r="N95" i="111"/>
  <c r="Z35" i="111"/>
  <c r="U93" i="111"/>
  <c r="O28" i="111"/>
  <c r="Q29" i="110"/>
  <c r="Q36" i="110"/>
  <c r="Q15" i="110" s="1"/>
  <c r="R29" i="110"/>
  <c r="S29" i="110"/>
  <c r="T24" i="111"/>
  <c r="U24" i="111"/>
  <c r="V29" i="110"/>
  <c r="X24" i="111"/>
  <c r="Y29" i="110"/>
  <c r="Z24" i="111"/>
  <c r="Z36" i="110"/>
  <c r="AB24" i="111"/>
  <c r="AC29" i="110"/>
  <c r="AD29" i="110"/>
  <c r="AE29" i="110"/>
  <c r="O16" i="111"/>
  <c r="P20" i="110"/>
  <c r="Q20" i="110"/>
  <c r="R20" i="110"/>
  <c r="S16" i="111"/>
  <c r="X20" i="110"/>
  <c r="T20" i="110"/>
  <c r="U16" i="111"/>
  <c r="V20" i="110"/>
  <c r="W16" i="111"/>
  <c r="Y16" i="111"/>
  <c r="Z19" i="110"/>
  <c r="Z20" i="110"/>
  <c r="AA15" i="111"/>
  <c r="AB20" i="110"/>
  <c r="AC20" i="110"/>
  <c r="AD20" i="110"/>
  <c r="AD21" i="110"/>
  <c r="AE19" i="110"/>
  <c r="AE21" i="110"/>
  <c r="M93" i="111"/>
  <c r="P28" i="111"/>
  <c r="P45" i="110"/>
  <c r="R45" i="110"/>
  <c r="U28" i="111"/>
  <c r="U37" i="111"/>
  <c r="V36" i="110"/>
  <c r="W28" i="111"/>
  <c r="X28" i="111"/>
  <c r="Y36" i="110"/>
  <c r="Y15" i="110" s="1"/>
  <c r="Y37" i="111"/>
  <c r="AA36" i="110"/>
  <c r="AB28" i="111"/>
  <c r="AE36" i="110"/>
  <c r="AH59" i="111"/>
  <c r="AH81" i="111"/>
  <c r="AH80" i="111"/>
  <c r="AH82" i="111"/>
  <c r="AH84" i="111"/>
  <c r="C49" i="111"/>
  <c r="D49" i="111"/>
  <c r="E49" i="111"/>
  <c r="C41" i="110"/>
  <c r="G28" i="111"/>
  <c r="AC61" i="110"/>
  <c r="T42" i="110"/>
  <c r="T60" i="110" s="1"/>
  <c r="T41" i="110"/>
  <c r="T59" i="110" s="1"/>
  <c r="T44" i="110"/>
  <c r="T40" i="110"/>
  <c r="U34" i="111"/>
  <c r="V34" i="111"/>
  <c r="W42" i="110"/>
  <c r="W60" i="110" s="1"/>
  <c r="Y34" i="111"/>
  <c r="Z34" i="111"/>
  <c r="AA42" i="110"/>
  <c r="AA60" i="110" s="1"/>
  <c r="AB42" i="110"/>
  <c r="AB60" i="110" s="1"/>
  <c r="D28" i="110"/>
  <c r="D28" i="111"/>
  <c r="D45" i="110"/>
  <c r="D31" i="110" s="1"/>
  <c r="H44" i="110"/>
  <c r="H62" i="110" s="1"/>
  <c r="AH73" i="110"/>
  <c r="D95" i="111"/>
  <c r="F95" i="111"/>
  <c r="G95" i="111"/>
  <c r="H95" i="111"/>
  <c r="I95" i="111"/>
  <c r="K95" i="111"/>
  <c r="L95" i="111"/>
  <c r="M95" i="111"/>
  <c r="T95" i="111"/>
  <c r="W95" i="111"/>
  <c r="Y95" i="111"/>
  <c r="Z95" i="111"/>
  <c r="AF95" i="111"/>
  <c r="B95" i="111"/>
  <c r="C94" i="111"/>
  <c r="D94" i="111"/>
  <c r="E94" i="111"/>
  <c r="F94" i="111"/>
  <c r="G94" i="111"/>
  <c r="H94" i="111"/>
  <c r="I94" i="111"/>
  <c r="J94" i="111"/>
  <c r="K94" i="111"/>
  <c r="L94" i="111"/>
  <c r="M94" i="111"/>
  <c r="T94" i="111"/>
  <c r="B94" i="111"/>
  <c r="C28" i="111"/>
  <c r="E93" i="111"/>
  <c r="H93" i="111"/>
  <c r="I93" i="111"/>
  <c r="J37" i="110"/>
  <c r="J39" i="110"/>
  <c r="J32" i="111"/>
  <c r="J44" i="110"/>
  <c r="K34" i="111"/>
  <c r="J86" i="111"/>
  <c r="J70" i="111" s="1"/>
  <c r="J35" i="111"/>
  <c r="M35" i="111"/>
  <c r="N35" i="111"/>
  <c r="O35" i="111"/>
  <c r="P35" i="111"/>
  <c r="Q35" i="111"/>
  <c r="T35" i="111"/>
  <c r="U35" i="111"/>
  <c r="X35" i="111"/>
  <c r="Y35" i="111"/>
  <c r="V35" i="111"/>
  <c r="J46" i="110"/>
  <c r="J65" i="110" s="1"/>
  <c r="I39" i="111"/>
  <c r="K46" i="110"/>
  <c r="K65" i="110" s="1"/>
  <c r="L46" i="110"/>
  <c r="L65" i="110" s="1"/>
  <c r="N46" i="110"/>
  <c r="N65" i="110" s="1"/>
  <c r="K37" i="110"/>
  <c r="K40" i="110"/>
  <c r="K33" i="111"/>
  <c r="K86" i="111"/>
  <c r="K70" i="111" s="1"/>
  <c r="K35" i="111"/>
  <c r="B35" i="111"/>
  <c r="C35" i="111"/>
  <c r="D35" i="111"/>
  <c r="E35" i="111"/>
  <c r="G35" i="111"/>
  <c r="H35" i="111"/>
  <c r="I35" i="111"/>
  <c r="L35" i="111"/>
  <c r="W35" i="111"/>
  <c r="AA35" i="111"/>
  <c r="AB35" i="111"/>
  <c r="AB71" i="111" s="1"/>
  <c r="AC35" i="111"/>
  <c r="L93" i="111"/>
  <c r="T93" i="111"/>
  <c r="V93" i="111"/>
  <c r="W93" i="111"/>
  <c r="X93" i="111"/>
  <c r="Y93" i="111"/>
  <c r="Z93" i="111"/>
  <c r="AF93" i="111"/>
  <c r="AF63" i="111" s="1"/>
  <c r="B93" i="111"/>
  <c r="C23" i="111"/>
  <c r="H28" i="110"/>
  <c r="I37" i="111"/>
  <c r="J23" i="111"/>
  <c r="J24" i="111"/>
  <c r="A31" i="110"/>
  <c r="A30" i="110"/>
  <c r="AH49" i="110"/>
  <c r="J10" i="23"/>
  <c r="J43" i="23" s="1"/>
  <c r="D24" i="29"/>
  <c r="K24" i="29" s="1"/>
  <c r="D19" i="29"/>
  <c r="K19" i="29" s="1"/>
  <c r="D20" i="29"/>
  <c r="K20" i="29" s="1"/>
  <c r="D18" i="29"/>
  <c r="K18" i="29" s="1"/>
  <c r="D21" i="29"/>
  <c r="K21" i="29" s="1"/>
  <c r="D22" i="29"/>
  <c r="K22" i="29" s="1"/>
  <c r="D23" i="29"/>
  <c r="K23" i="29" s="1"/>
  <c r="D25" i="29"/>
  <c r="K25" i="29" s="1"/>
  <c r="D26" i="29"/>
  <c r="K26" i="29" s="1"/>
  <c r="D27" i="29"/>
  <c r="K27" i="29" s="1"/>
  <c r="D28" i="29"/>
  <c r="K28" i="29" s="1"/>
  <c r="D29" i="29"/>
  <c r="K29" i="29" s="1"/>
  <c r="D30" i="29"/>
  <c r="K30" i="29" s="1"/>
  <c r="D31" i="29"/>
  <c r="K31" i="29" s="1"/>
  <c r="D32" i="29"/>
  <c r="K32" i="29" s="1"/>
  <c r="D33" i="29"/>
  <c r="K33" i="29" s="1"/>
  <c r="D34" i="29"/>
  <c r="K34" i="29" s="1"/>
  <c r="AF84" i="110"/>
  <c r="AF96" i="110" s="1"/>
  <c r="M86" i="111"/>
  <c r="M70" i="111" s="1"/>
  <c r="AJ33" i="111"/>
  <c r="U103" i="110"/>
  <c r="U105" i="110" s="1"/>
  <c r="P39" i="110"/>
  <c r="P57" i="110" s="1"/>
  <c r="C29" i="111"/>
  <c r="C36" i="111"/>
  <c r="C45" i="110"/>
  <c r="C31" i="110" s="1"/>
  <c r="C39" i="111"/>
  <c r="D39" i="111"/>
  <c r="B46" i="110"/>
  <c r="G46" i="110"/>
  <c r="G65" i="110" s="1"/>
  <c r="H39" i="111"/>
  <c r="O46" i="110"/>
  <c r="P39" i="111"/>
  <c r="Q39" i="111"/>
  <c r="T46" i="110"/>
  <c r="U46" i="110"/>
  <c r="U65" i="110" s="1"/>
  <c r="V46" i="110"/>
  <c r="V65" i="110" s="1"/>
  <c r="W46" i="110"/>
  <c r="W65" i="110" s="1"/>
  <c r="X39" i="111"/>
  <c r="AA39" i="111"/>
  <c r="AB39" i="111"/>
  <c r="AB75" i="111" s="1"/>
  <c r="AC39" i="111"/>
  <c r="E37" i="110"/>
  <c r="I29" i="111"/>
  <c r="I31" i="111"/>
  <c r="L42" i="110"/>
  <c r="L60" i="110" s="1"/>
  <c r="M42" i="110"/>
  <c r="M60" i="110" s="1"/>
  <c r="I36" i="111"/>
  <c r="I47" i="110"/>
  <c r="L29" i="111"/>
  <c r="O29" i="111"/>
  <c r="Z37" i="110"/>
  <c r="AA37" i="110"/>
  <c r="AB37" i="110"/>
  <c r="P40" i="110"/>
  <c r="P41" i="110"/>
  <c r="P59" i="110" s="1"/>
  <c r="N7" i="31"/>
  <c r="B41" i="110" s="1"/>
  <c r="E41" i="110"/>
  <c r="M33" i="111"/>
  <c r="N33" i="111"/>
  <c r="O41" i="110"/>
  <c r="Q42" i="110"/>
  <c r="Q40" i="111"/>
  <c r="R41" i="110"/>
  <c r="R59" i="110" s="1"/>
  <c r="R39" i="110"/>
  <c r="R57" i="110" s="1"/>
  <c r="R40" i="110"/>
  <c r="R42" i="110"/>
  <c r="R60" i="110" s="1"/>
  <c r="R61" i="110"/>
  <c r="S41" i="110"/>
  <c r="S59" i="110" s="1"/>
  <c r="U41" i="110"/>
  <c r="U59" i="110" s="1"/>
  <c r="S39" i="110"/>
  <c r="S57" i="110" s="1"/>
  <c r="S40" i="110"/>
  <c r="S42" i="110"/>
  <c r="S60" i="110" s="1"/>
  <c r="S61" i="110"/>
  <c r="S40" i="111"/>
  <c r="V33" i="111"/>
  <c r="X41" i="110"/>
  <c r="X59" i="110" s="1"/>
  <c r="Z41" i="110"/>
  <c r="Z59" i="110" s="1"/>
  <c r="AA41" i="110"/>
  <c r="AA59" i="110" s="1"/>
  <c r="AC39" i="110"/>
  <c r="AC57" i="110" s="1"/>
  <c r="AC32" i="111"/>
  <c r="AC42" i="110"/>
  <c r="AC60" i="110" s="1"/>
  <c r="AC40" i="111"/>
  <c r="P61" i="110"/>
  <c r="P36" i="111"/>
  <c r="P40" i="111"/>
  <c r="AD42" i="110"/>
  <c r="AD60" i="110" s="1"/>
  <c r="AD44" i="110"/>
  <c r="AD62" i="110" s="1"/>
  <c r="Z86" i="111"/>
  <c r="Z70" i="111" s="1"/>
  <c r="Y86" i="111"/>
  <c r="Y70" i="111" s="1"/>
  <c r="X86" i="111"/>
  <c r="X70" i="111" s="1"/>
  <c r="W86" i="111"/>
  <c r="W70" i="111" s="1"/>
  <c r="V86" i="111"/>
  <c r="V70" i="111" s="1"/>
  <c r="U86" i="111"/>
  <c r="U70" i="111" s="1"/>
  <c r="T86" i="111"/>
  <c r="T70" i="111" s="1"/>
  <c r="L86" i="111"/>
  <c r="L70" i="111" s="1"/>
  <c r="I86" i="111"/>
  <c r="I70" i="111" s="1"/>
  <c r="H86" i="111"/>
  <c r="H70" i="111" s="1"/>
  <c r="G86" i="111"/>
  <c r="G70" i="111" s="1"/>
  <c r="F86" i="111"/>
  <c r="F70" i="111" s="1"/>
  <c r="E86" i="111"/>
  <c r="E70" i="111" s="1"/>
  <c r="B86" i="111"/>
  <c r="C86" i="111"/>
  <c r="C70" i="111" s="1"/>
  <c r="AG97" i="111"/>
  <c r="AC90" i="111"/>
  <c r="AB90" i="111"/>
  <c r="G90" i="111"/>
  <c r="H90" i="111"/>
  <c r="I90" i="111"/>
  <c r="J90" i="111"/>
  <c r="K90" i="111"/>
  <c r="L90" i="111"/>
  <c r="M90" i="111"/>
  <c r="T90" i="111"/>
  <c r="U90" i="111"/>
  <c r="V90" i="111"/>
  <c r="W90" i="111"/>
  <c r="X90" i="111"/>
  <c r="AG88" i="111"/>
  <c r="AC87" i="111"/>
  <c r="AC89" i="111" s="1"/>
  <c r="AB87" i="111"/>
  <c r="AB89" i="111" s="1"/>
  <c r="AA87" i="111"/>
  <c r="AA89" i="111" s="1"/>
  <c r="Z87" i="111"/>
  <c r="Z89" i="111" s="1"/>
  <c r="Y87" i="111"/>
  <c r="Y89" i="111" s="1"/>
  <c r="X87" i="111"/>
  <c r="X89" i="111" s="1"/>
  <c r="W87" i="111"/>
  <c r="W89" i="111" s="1"/>
  <c r="V87" i="111"/>
  <c r="V89" i="111" s="1"/>
  <c r="U87" i="111"/>
  <c r="U89" i="111" s="1"/>
  <c r="T87" i="111"/>
  <c r="T89" i="111" s="1"/>
  <c r="M87" i="111"/>
  <c r="M89" i="111" s="1"/>
  <c r="L87" i="111"/>
  <c r="L89" i="111" s="1"/>
  <c r="K87" i="111"/>
  <c r="K89" i="111" s="1"/>
  <c r="J87" i="111"/>
  <c r="J89" i="111" s="1"/>
  <c r="I87" i="111"/>
  <c r="I89" i="111" s="1"/>
  <c r="H87" i="111"/>
  <c r="H89" i="111" s="1"/>
  <c r="G87" i="111"/>
  <c r="F89" i="111"/>
  <c r="E89" i="111"/>
  <c r="D89" i="111"/>
  <c r="C89" i="111"/>
  <c r="B89" i="111"/>
  <c r="AH79" i="111"/>
  <c r="AH78" i="111"/>
  <c r="AH83" i="111" s="1"/>
  <c r="AI83" i="111" s="1"/>
  <c r="AI77" i="111"/>
  <c r="AI76" i="111"/>
  <c r="O42" i="110"/>
  <c r="J47" i="110"/>
  <c r="F61" i="110"/>
  <c r="AI65" i="111"/>
  <c r="H40" i="111"/>
  <c r="AG38" i="111"/>
  <c r="H31" i="111"/>
  <c r="H32" i="111"/>
  <c r="AG20" i="111"/>
  <c r="N29" i="110"/>
  <c r="AD28" i="110"/>
  <c r="M7" i="31"/>
  <c r="M38" i="31" s="1"/>
  <c r="L49" i="111"/>
  <c r="K49" i="111"/>
  <c r="N49" i="111"/>
  <c r="O49" i="111"/>
  <c r="G49" i="111"/>
  <c r="H49" i="111"/>
  <c r="J49" i="111"/>
  <c r="R49" i="111"/>
  <c r="S49" i="111"/>
  <c r="T103" i="110"/>
  <c r="T105" i="110" s="1"/>
  <c r="M103" i="110"/>
  <c r="M105" i="110" s="1"/>
  <c r="F103" i="110"/>
  <c r="F105" i="110" s="1"/>
  <c r="E103" i="110"/>
  <c r="E105" i="110" s="1"/>
  <c r="D103" i="110"/>
  <c r="D105" i="110" s="1"/>
  <c r="C103" i="110"/>
  <c r="C105" i="110" s="1"/>
  <c r="B106" i="110"/>
  <c r="C106" i="110"/>
  <c r="D106" i="110"/>
  <c r="E106" i="110"/>
  <c r="F106" i="110"/>
  <c r="G106" i="110"/>
  <c r="J106" i="110"/>
  <c r="K106" i="110"/>
  <c r="H106" i="110"/>
  <c r="I106" i="110"/>
  <c r="L106" i="110"/>
  <c r="M106" i="110"/>
  <c r="N106" i="110"/>
  <c r="O106" i="110"/>
  <c r="P106" i="110"/>
  <c r="Q106" i="110"/>
  <c r="R106" i="110"/>
  <c r="S106" i="110"/>
  <c r="T106" i="110"/>
  <c r="U106" i="110"/>
  <c r="V106" i="110"/>
  <c r="W106" i="110"/>
  <c r="X106" i="110"/>
  <c r="G61" i="110"/>
  <c r="H61" i="110"/>
  <c r="K61" i="110"/>
  <c r="L61" i="110"/>
  <c r="M61" i="110"/>
  <c r="N61" i="110"/>
  <c r="U61" i="110"/>
  <c r="X61" i="110"/>
  <c r="Y61" i="110"/>
  <c r="V61" i="110"/>
  <c r="W61" i="110"/>
  <c r="Z61" i="110"/>
  <c r="AA61" i="110"/>
  <c r="AB61" i="110"/>
  <c r="AD61" i="110"/>
  <c r="AE61" i="110"/>
  <c r="H47" i="110"/>
  <c r="B103" i="110"/>
  <c r="B105" i="110" s="1"/>
  <c r="G103" i="110"/>
  <c r="H103" i="110"/>
  <c r="H105" i="110" s="1"/>
  <c r="I103" i="110"/>
  <c r="I105" i="110" s="1"/>
  <c r="J103" i="110"/>
  <c r="J105" i="110" s="1"/>
  <c r="K103" i="110"/>
  <c r="K105" i="110" s="1"/>
  <c r="L103" i="110"/>
  <c r="L105" i="110" s="1"/>
  <c r="N103" i="110"/>
  <c r="N105" i="110" s="1"/>
  <c r="O103" i="110"/>
  <c r="O105" i="110" s="1"/>
  <c r="P103" i="110"/>
  <c r="P105" i="110" s="1"/>
  <c r="Q103" i="110"/>
  <c r="Q105" i="110" s="1"/>
  <c r="R103" i="110"/>
  <c r="R105" i="110" s="1"/>
  <c r="S103" i="110"/>
  <c r="S105" i="110" s="1"/>
  <c r="V103" i="110"/>
  <c r="V105" i="110" s="1"/>
  <c r="W103" i="110"/>
  <c r="W105" i="110" s="1"/>
  <c r="X103" i="110"/>
  <c r="X105" i="110" s="1"/>
  <c r="Y103" i="110"/>
  <c r="Y105" i="110" s="1"/>
  <c r="Z103" i="110"/>
  <c r="Z105" i="110" s="1"/>
  <c r="AA103" i="110"/>
  <c r="AA105" i="110" s="1"/>
  <c r="AB103" i="110"/>
  <c r="AB105" i="110" s="1"/>
  <c r="AC103" i="110"/>
  <c r="AC105" i="110" s="1"/>
  <c r="AD103" i="110"/>
  <c r="AD105" i="110" s="1"/>
  <c r="AE103" i="110"/>
  <c r="AE105" i="110" s="1"/>
  <c r="B7" i="109"/>
  <c r="C7" i="109" s="1"/>
  <c r="E7" i="109"/>
  <c r="J7" i="109"/>
  <c r="M7" i="109"/>
  <c r="E8" i="109"/>
  <c r="J8" i="109"/>
  <c r="M8" i="109"/>
  <c r="E9" i="109"/>
  <c r="J9" i="109"/>
  <c r="J10" i="109"/>
  <c r="M9" i="109"/>
  <c r="E10" i="109"/>
  <c r="M10" i="109"/>
  <c r="E11" i="109"/>
  <c r="J11" i="109"/>
  <c r="E12" i="109"/>
  <c r="J12" i="109"/>
  <c r="M12" i="109"/>
  <c r="E13" i="109"/>
  <c r="J13" i="109"/>
  <c r="M13" i="109"/>
  <c r="E14" i="109"/>
  <c r="J15" i="109"/>
  <c r="J14" i="109"/>
  <c r="M14" i="109"/>
  <c r="E15" i="109"/>
  <c r="M15" i="109"/>
  <c r="E16" i="109"/>
  <c r="J16" i="109"/>
  <c r="M16" i="109"/>
  <c r="E17" i="109"/>
  <c r="J17" i="109"/>
  <c r="M17" i="109"/>
  <c r="E18" i="109"/>
  <c r="J18" i="109"/>
  <c r="M18" i="109"/>
  <c r="E19" i="109"/>
  <c r="J19" i="109"/>
  <c r="J20" i="109"/>
  <c r="M19" i="109"/>
  <c r="E20" i="109"/>
  <c r="M20" i="109"/>
  <c r="N20" i="109"/>
  <c r="E21" i="109"/>
  <c r="J21" i="109"/>
  <c r="M21" i="109"/>
  <c r="N21" i="109"/>
  <c r="E22" i="109"/>
  <c r="J22" i="109"/>
  <c r="M22" i="109"/>
  <c r="N22" i="109"/>
  <c r="E23" i="109"/>
  <c r="J23" i="109"/>
  <c r="J24" i="109"/>
  <c r="M23" i="109"/>
  <c r="N23" i="109"/>
  <c r="E24" i="109"/>
  <c r="M24" i="109"/>
  <c r="N24" i="109"/>
  <c r="E25" i="109"/>
  <c r="J25" i="109"/>
  <c r="M25" i="109"/>
  <c r="N25" i="109"/>
  <c r="E26" i="109"/>
  <c r="J26" i="109"/>
  <c r="M26" i="109"/>
  <c r="N26" i="109"/>
  <c r="E27" i="109"/>
  <c r="J27" i="109"/>
  <c r="M27" i="109"/>
  <c r="N27" i="109"/>
  <c r="E28" i="109"/>
  <c r="J28" i="109"/>
  <c r="M28" i="109"/>
  <c r="N28" i="109"/>
  <c r="E29" i="109"/>
  <c r="J30" i="109"/>
  <c r="J29" i="109"/>
  <c r="M29" i="109"/>
  <c r="N29" i="109"/>
  <c r="E30" i="109"/>
  <c r="M30" i="109"/>
  <c r="N30" i="109"/>
  <c r="E31" i="109"/>
  <c r="J31" i="109"/>
  <c r="J32" i="109"/>
  <c r="M31" i="109"/>
  <c r="N31" i="109"/>
  <c r="E32" i="109"/>
  <c r="M32" i="109"/>
  <c r="N32" i="109"/>
  <c r="E33" i="109"/>
  <c r="J34" i="109"/>
  <c r="J33" i="109"/>
  <c r="M33" i="109"/>
  <c r="N33" i="109"/>
  <c r="E34" i="109"/>
  <c r="M34" i="109"/>
  <c r="N34" i="109"/>
  <c r="C7" i="31"/>
  <c r="D7" i="31"/>
  <c r="E7" i="31"/>
  <c r="E38" i="31" s="1"/>
  <c r="I7" i="31"/>
  <c r="B40" i="111" s="1"/>
  <c r="K7" i="31"/>
  <c r="B31" i="111" s="1"/>
  <c r="Q7" i="31"/>
  <c r="U7" i="31"/>
  <c r="U38" i="31" s="1"/>
  <c r="C16" i="111"/>
  <c r="D47" i="110"/>
  <c r="D40" i="110"/>
  <c r="E20" i="110"/>
  <c r="E27" i="110" s="1"/>
  <c r="E24" i="111"/>
  <c r="E40" i="111"/>
  <c r="G16" i="111"/>
  <c r="G40" i="111"/>
  <c r="H20" i="110"/>
  <c r="I20" i="110"/>
  <c r="J20" i="110"/>
  <c r="K20" i="110"/>
  <c r="L16" i="111"/>
  <c r="L47" i="110"/>
  <c r="L39" i="110"/>
  <c r="L57" i="110" s="1"/>
  <c r="L32" i="111"/>
  <c r="L44" i="110"/>
  <c r="L62" i="110" s="1"/>
  <c r="M16" i="111"/>
  <c r="M24" i="111"/>
  <c r="M47" i="110"/>
  <c r="M31" i="111"/>
  <c r="M32" i="111"/>
  <c r="M36" i="111"/>
  <c r="AB32" i="111"/>
  <c r="AB67" i="111" s="1"/>
  <c r="O40" i="110"/>
  <c r="O36" i="111"/>
  <c r="T31" i="111"/>
  <c r="U32" i="111"/>
  <c r="V32" i="111"/>
  <c r="W40" i="110"/>
  <c r="X32" i="111"/>
  <c r="Y40" i="110"/>
  <c r="Z40" i="110"/>
  <c r="AA40" i="110"/>
  <c r="M37" i="111"/>
  <c r="N16" i="111"/>
  <c r="N40" i="111"/>
  <c r="P31" i="111"/>
  <c r="O32" i="111"/>
  <c r="N37" i="111"/>
  <c r="O40" i="111"/>
  <c r="O39" i="110"/>
  <c r="U47" i="110"/>
  <c r="U39" i="110"/>
  <c r="U57" i="110" s="1"/>
  <c r="V40" i="111"/>
  <c r="W47" i="110"/>
  <c r="W31" i="111"/>
  <c r="W36" i="111"/>
  <c r="X47" i="110"/>
  <c r="X39" i="110"/>
  <c r="X57" i="110" s="1"/>
  <c r="X36" i="111"/>
  <c r="Y47" i="110"/>
  <c r="Y39" i="110"/>
  <c r="Y57" i="110" s="1"/>
  <c r="Y44" i="110"/>
  <c r="Y62" i="110" s="1"/>
  <c r="Z40" i="111"/>
  <c r="Z39" i="110"/>
  <c r="Z57" i="110" s="1"/>
  <c r="Z44" i="110"/>
  <c r="Z62" i="110" s="1"/>
  <c r="AA36" i="111"/>
  <c r="AB47" i="110"/>
  <c r="AB44" i="110"/>
  <c r="AB62" i="110" s="1"/>
  <c r="AE44" i="110"/>
  <c r="AE62" i="110" s="1"/>
  <c r="AD47" i="110"/>
  <c r="AD39" i="110"/>
  <c r="AD57" i="110" s="1"/>
  <c r="AE47" i="110"/>
  <c r="AE100" i="110"/>
  <c r="D7" i="29"/>
  <c r="E7" i="29"/>
  <c r="E38" i="29" s="1"/>
  <c r="D8" i="29"/>
  <c r="D9" i="29"/>
  <c r="K9" i="29" s="1"/>
  <c r="D10" i="29"/>
  <c r="K10" i="29" s="1"/>
  <c r="D11" i="29"/>
  <c r="D14" i="29"/>
  <c r="D15" i="29"/>
  <c r="K15" i="29" s="1"/>
  <c r="D16" i="29"/>
  <c r="K16" i="29" s="1"/>
  <c r="D17" i="29"/>
  <c r="K17" i="29" s="1"/>
  <c r="M10" i="23"/>
  <c r="N10" i="23"/>
  <c r="N43" i="23" s="1"/>
  <c r="O10" i="23"/>
  <c r="O43" i="23" s="1"/>
  <c r="O1" i="27"/>
  <c r="B100" i="110"/>
  <c r="Z100" i="110"/>
  <c r="S100" i="110"/>
  <c r="L100" i="110"/>
  <c r="G100" i="110"/>
  <c r="AA100" i="110"/>
  <c r="AB100" i="110"/>
  <c r="H100" i="110"/>
  <c r="K100" i="110"/>
  <c r="E100" i="110"/>
  <c r="T100" i="110"/>
  <c r="F100" i="110"/>
  <c r="U100" i="110"/>
  <c r="Q100" i="110"/>
  <c r="R100" i="110"/>
  <c r="W100" i="110"/>
  <c r="AC100" i="110"/>
  <c r="AD100" i="110"/>
  <c r="O100" i="110"/>
  <c r="N100" i="110"/>
  <c r="C100" i="110"/>
  <c r="P100" i="110"/>
  <c r="V100" i="110"/>
  <c r="J100" i="110"/>
  <c r="I100" i="110"/>
  <c r="D86" i="111"/>
  <c r="D70" i="111" s="1"/>
  <c r="D100" i="110"/>
  <c r="M100" i="110"/>
  <c r="AH99" i="110"/>
  <c r="F93" i="111"/>
  <c r="AH104" i="110"/>
  <c r="AF9" i="111"/>
  <c r="W74" i="111"/>
  <c r="J93" i="111"/>
  <c r="AI70" i="111"/>
  <c r="Q89" i="111"/>
  <c r="AB16" i="111"/>
  <c r="P49" i="111"/>
  <c r="AD46" i="110"/>
  <c r="AD65" i="110" s="1"/>
  <c r="M49" i="111"/>
  <c r="Q49" i="111"/>
  <c r="I49" i="111"/>
  <c r="AJ64" i="110"/>
  <c r="H92" i="110"/>
  <c r="H93" i="110"/>
  <c r="H56" i="110"/>
  <c r="H74" i="111"/>
  <c r="C95" i="111"/>
  <c r="L93" i="110"/>
  <c r="O56" i="110"/>
  <c r="Z92" i="110"/>
  <c r="Z56" i="110"/>
  <c r="Z93" i="110"/>
  <c r="U56" i="110"/>
  <c r="U93" i="110"/>
  <c r="M56" i="110"/>
  <c r="M93" i="110"/>
  <c r="V56" i="110"/>
  <c r="R92" i="110"/>
  <c r="R56" i="110"/>
  <c r="R93" i="110"/>
  <c r="R74" i="111"/>
  <c r="P92" i="110"/>
  <c r="P56" i="110"/>
  <c r="X93" i="110"/>
  <c r="X92" i="110"/>
  <c r="X56" i="110"/>
  <c r="N93" i="110"/>
  <c r="N74" i="111"/>
  <c r="N92" i="110"/>
  <c r="N56" i="110"/>
  <c r="K56" i="110"/>
  <c r="K93" i="110"/>
  <c r="G93" i="110"/>
  <c r="G56" i="110"/>
  <c r="F56" i="110"/>
  <c r="F93" i="110"/>
  <c r="Y92" i="110"/>
  <c r="I74" i="111"/>
  <c r="I93" i="110"/>
  <c r="I92" i="110"/>
  <c r="AA56" i="110"/>
  <c r="Y56" i="110"/>
  <c r="Y93" i="110"/>
  <c r="I61" i="110"/>
  <c r="G47" i="110"/>
  <c r="G19" i="109"/>
  <c r="D19" i="109" s="1"/>
  <c r="G20" i="109"/>
  <c r="D20" i="109" s="1"/>
  <c r="I37" i="110"/>
  <c r="AE93" i="110"/>
  <c r="AE56" i="110"/>
  <c r="AE92" i="110"/>
  <c r="AE54" i="110" l="1"/>
  <c r="AE15" i="110"/>
  <c r="V30" i="110"/>
  <c r="V15" i="110"/>
  <c r="K7" i="29"/>
  <c r="D38" i="29"/>
  <c r="F38" i="31"/>
  <c r="B71" i="110"/>
  <c r="I7" i="29"/>
  <c r="K13" i="29"/>
  <c r="H84" i="110" s="1"/>
  <c r="H96" i="110" s="1"/>
  <c r="I13" i="29"/>
  <c r="K11" i="29"/>
  <c r="F54" i="111" s="1"/>
  <c r="F84" i="111" s="1"/>
  <c r="I11" i="29"/>
  <c r="K12" i="29"/>
  <c r="G84" i="110" s="1"/>
  <c r="G96" i="110" s="1"/>
  <c r="I12" i="29"/>
  <c r="K14" i="29"/>
  <c r="I84" i="110" s="1"/>
  <c r="I96" i="110" s="1"/>
  <c r="I14" i="29"/>
  <c r="Z7" i="31"/>
  <c r="AG35" i="111"/>
  <c r="D38" i="31"/>
  <c r="G7" i="31"/>
  <c r="S7" i="31" s="1"/>
  <c r="H7" i="29"/>
  <c r="H38" i="29" s="1"/>
  <c r="Q30" i="110"/>
  <c r="F54" i="110"/>
  <c r="W84" i="110"/>
  <c r="W96" i="110" s="1"/>
  <c r="X84" i="110"/>
  <c r="X96" i="110" s="1"/>
  <c r="P84" i="110"/>
  <c r="P96" i="110" s="1"/>
  <c r="Q54" i="111"/>
  <c r="J54" i="111"/>
  <c r="K8" i="29"/>
  <c r="I8" i="29"/>
  <c r="U84" i="110"/>
  <c r="U96" i="110" s="1"/>
  <c r="T84" i="110"/>
  <c r="T96" i="110" s="1"/>
  <c r="AB63" i="111"/>
  <c r="AB62" i="111"/>
  <c r="B79" i="110"/>
  <c r="AG47" i="111"/>
  <c r="AE79" i="110" s="1"/>
  <c r="S54" i="111"/>
  <c r="S84" i="111" s="1"/>
  <c r="G89" i="111"/>
  <c r="AG87" i="111"/>
  <c r="AG89" i="111" s="1"/>
  <c r="M43" i="23"/>
  <c r="M84" i="110"/>
  <c r="M96" i="110" s="1"/>
  <c r="N84" i="110"/>
  <c r="N96" i="110" s="1"/>
  <c r="L84" i="110"/>
  <c r="L96" i="110" s="1"/>
  <c r="B70" i="111"/>
  <c r="AG86" i="111"/>
  <c r="B84" i="110"/>
  <c r="B96" i="110" s="1"/>
  <c r="D84" i="110"/>
  <c r="D96" i="110" s="1"/>
  <c r="AF54" i="111"/>
  <c r="AF84" i="111" s="1"/>
  <c r="U54" i="111"/>
  <c r="U84" i="111" s="1"/>
  <c r="T54" i="111"/>
  <c r="AE54" i="111"/>
  <c r="AC54" i="111"/>
  <c r="AC84" i="111" s="1"/>
  <c r="V54" i="111"/>
  <c r="V84" i="111" s="1"/>
  <c r="W54" i="111"/>
  <c r="W84" i="111" s="1"/>
  <c r="Y54" i="111"/>
  <c r="Y84" i="111" s="1"/>
  <c r="Z54" i="111"/>
  <c r="Z84" i="111" s="1"/>
  <c r="AA54" i="111"/>
  <c r="AA84" i="111" s="1"/>
  <c r="AD54" i="111"/>
  <c r="X54" i="111"/>
  <c r="X84" i="111" s="1"/>
  <c r="AB54" i="111"/>
  <c r="AB84" i="111" s="1"/>
  <c r="E84" i="110"/>
  <c r="E96" i="110" s="1"/>
  <c r="AC81" i="111"/>
  <c r="AC82" i="111"/>
  <c r="AC75" i="111"/>
  <c r="AC80" i="111"/>
  <c r="AC71" i="111"/>
  <c r="AC74" i="111"/>
  <c r="AC67" i="111"/>
  <c r="Y71" i="111"/>
  <c r="Y69" i="111"/>
  <c r="Y74" i="111"/>
  <c r="Y73" i="111"/>
  <c r="AA80" i="111"/>
  <c r="AA71" i="111"/>
  <c r="AA74" i="111"/>
  <c r="AA81" i="111"/>
  <c r="AA72" i="111"/>
  <c r="AA73" i="111"/>
  <c r="AA82" i="111"/>
  <c r="AA75" i="111"/>
  <c r="AF68" i="111"/>
  <c r="AF26" i="111"/>
  <c r="AF80" i="111"/>
  <c r="AF59" i="111"/>
  <c r="AF69" i="111"/>
  <c r="AF74" i="111"/>
  <c r="AF67" i="111"/>
  <c r="AF72" i="111"/>
  <c r="AF75" i="111"/>
  <c r="AF73" i="111"/>
  <c r="AF71" i="111"/>
  <c r="AF62" i="111"/>
  <c r="AF81" i="111"/>
  <c r="AF82" i="111"/>
  <c r="Z69" i="111"/>
  <c r="Z74" i="111"/>
  <c r="Z71" i="111"/>
  <c r="S19" i="110"/>
  <c r="S26" i="110" s="1"/>
  <c r="I19" i="110"/>
  <c r="E19" i="110"/>
  <c r="H19" i="110"/>
  <c r="W19" i="110"/>
  <c r="R38" i="31"/>
  <c r="Q19" i="110"/>
  <c r="Q26" i="110" s="1"/>
  <c r="J19" i="110"/>
  <c r="J26" i="110" s="1"/>
  <c r="R52" i="111"/>
  <c r="R101" i="111" s="1"/>
  <c r="U19" i="110"/>
  <c r="U26" i="110" s="1"/>
  <c r="O19" i="110"/>
  <c r="O26" i="110" s="1"/>
  <c r="AB19" i="110"/>
  <c r="X15" i="111"/>
  <c r="N38" i="109"/>
  <c r="G19" i="110"/>
  <c r="L19" i="110"/>
  <c r="L26" i="110" s="1"/>
  <c r="M38" i="109"/>
  <c r="J38" i="109"/>
  <c r="C15" i="111"/>
  <c r="B37" i="111"/>
  <c r="Q38" i="31"/>
  <c r="D19" i="110"/>
  <c r="B15" i="111"/>
  <c r="C38" i="109"/>
  <c r="T7" i="31"/>
  <c r="T38" i="31" s="1"/>
  <c r="Q52" i="111"/>
  <c r="Q101" i="111" s="1"/>
  <c r="Q116" i="110"/>
  <c r="AA58" i="110"/>
  <c r="S58" i="110"/>
  <c r="Z58" i="110"/>
  <c r="Y58" i="110"/>
  <c r="W58" i="110"/>
  <c r="K58" i="110"/>
  <c r="T58" i="110"/>
  <c r="O58" i="110"/>
  <c r="G58" i="110"/>
  <c r="R58" i="110"/>
  <c r="P58" i="110"/>
  <c r="AA54" i="110"/>
  <c r="V54" i="110"/>
  <c r="Q47" i="110"/>
  <c r="Z31" i="111"/>
  <c r="L37" i="110"/>
  <c r="E15" i="111"/>
  <c r="E21" i="111" s="1"/>
  <c r="C21" i="110"/>
  <c r="X17" i="111"/>
  <c r="I29" i="110"/>
  <c r="Z21" i="110"/>
  <c r="Z22" i="110" s="1"/>
  <c r="Z90" i="110" s="1"/>
  <c r="S17" i="111"/>
  <c r="R23" i="111"/>
  <c r="R21" i="110"/>
  <c r="Q23" i="111"/>
  <c r="B96" i="111"/>
  <c r="V21" i="110"/>
  <c r="F21" i="110"/>
  <c r="H42" i="110"/>
  <c r="H60" i="110" s="1"/>
  <c r="H69" i="110" s="1"/>
  <c r="B20" i="110"/>
  <c r="C29" i="110"/>
  <c r="H38" i="31"/>
  <c r="Q17" i="111"/>
  <c r="Y28" i="110"/>
  <c r="L17" i="111"/>
  <c r="Z28" i="110"/>
  <c r="I21" i="110"/>
  <c r="AB28" i="110"/>
  <c r="X23" i="111"/>
  <c r="X25" i="111" s="1"/>
  <c r="X26" i="111" s="1"/>
  <c r="P21" i="110"/>
  <c r="O23" i="111"/>
  <c r="G21" i="110"/>
  <c r="E17" i="111"/>
  <c r="B85" i="110"/>
  <c r="AE85" i="110"/>
  <c r="W23" i="111"/>
  <c r="T28" i="110"/>
  <c r="K21" i="110"/>
  <c r="M29" i="110"/>
  <c r="Y80" i="111"/>
  <c r="O17" i="111"/>
  <c r="N15" i="111"/>
  <c r="N21" i="111" s="1"/>
  <c r="N19" i="110"/>
  <c r="L23" i="111"/>
  <c r="N21" i="110"/>
  <c r="AC28" i="110"/>
  <c r="D21" i="110"/>
  <c r="Y21" i="110"/>
  <c r="W17" i="111"/>
  <c r="AA21" i="110"/>
  <c r="N28" i="110"/>
  <c r="H17" i="111"/>
  <c r="K23" i="111"/>
  <c r="K25" i="111" s="1"/>
  <c r="K26" i="111" s="1"/>
  <c r="G42" i="110"/>
  <c r="U17" i="111"/>
  <c r="M17" i="111"/>
  <c r="G28" i="109"/>
  <c r="S63" i="110"/>
  <c r="O71" i="111"/>
  <c r="O84" i="110"/>
  <c r="O96" i="110" s="1"/>
  <c r="K45" i="110"/>
  <c r="K31" i="110" s="1"/>
  <c r="K29" i="110"/>
  <c r="Z28" i="111"/>
  <c r="Z62" i="111" s="1"/>
  <c r="Y20" i="110"/>
  <c r="P47" i="110"/>
  <c r="AD63" i="110"/>
  <c r="Q46" i="110"/>
  <c r="AB23" i="111"/>
  <c r="AB25" i="111" s="1"/>
  <c r="AB26" i="111" s="1"/>
  <c r="X63" i="111"/>
  <c r="T39" i="111"/>
  <c r="AA30" i="110"/>
  <c r="O44" i="110"/>
  <c r="O62" i="110" s="1"/>
  <c r="I39" i="110"/>
  <c r="I57" i="110" s="1"/>
  <c r="E33" i="111"/>
  <c r="J40" i="111"/>
  <c r="AE116" i="110"/>
  <c r="Z17" i="111"/>
  <c r="G71" i="110"/>
  <c r="K18" i="109"/>
  <c r="R39" i="111"/>
  <c r="R75" i="111" s="1"/>
  <c r="G37" i="110"/>
  <c r="F17" i="111"/>
  <c r="D46" i="110"/>
  <c r="D65" i="110" s="1"/>
  <c r="K7" i="109"/>
  <c r="U33" i="111"/>
  <c r="U68" i="111" s="1"/>
  <c r="N47" i="110"/>
  <c r="AA29" i="111"/>
  <c r="AA64" i="111" s="1"/>
  <c r="AA46" i="110"/>
  <c r="AA65" i="110" s="1"/>
  <c r="AC34" i="111"/>
  <c r="AC69" i="111" s="1"/>
  <c r="AA34" i="111"/>
  <c r="AA69" i="111" s="1"/>
  <c r="V29" i="111"/>
  <c r="V64" i="111" s="1"/>
  <c r="U96" i="111"/>
  <c r="Q28" i="110"/>
  <c r="Q37" i="111"/>
  <c r="K23" i="109"/>
  <c r="H39" i="110"/>
  <c r="H57" i="110" s="1"/>
  <c r="O36" i="110"/>
  <c r="O15" i="110" s="1"/>
  <c r="C36" i="110"/>
  <c r="C15" i="110" s="1"/>
  <c r="T34" i="111"/>
  <c r="V28" i="111"/>
  <c r="V62" i="111" s="1"/>
  <c r="N17" i="111"/>
  <c r="Z54" i="110"/>
  <c r="R37" i="111"/>
  <c r="R73" i="111" s="1"/>
  <c r="Z16" i="111"/>
  <c r="U37" i="110"/>
  <c r="X46" i="110"/>
  <c r="X65" i="110" s="1"/>
  <c r="H40" i="110"/>
  <c r="Q45" i="110"/>
  <c r="Q31" i="110" s="1"/>
  <c r="K31" i="109"/>
  <c r="I14" i="109"/>
  <c r="D34" i="111"/>
  <c r="U40" i="111"/>
  <c r="O20" i="110"/>
  <c r="I46" i="110"/>
  <c r="I65" i="110" s="1"/>
  <c r="R96" i="111"/>
  <c r="Q96" i="111"/>
  <c r="K80" i="111"/>
  <c r="AC47" i="110"/>
  <c r="X40" i="111"/>
  <c r="T37" i="110"/>
  <c r="R47" i="110"/>
  <c r="B65" i="110"/>
  <c r="Q16" i="111"/>
  <c r="N23" i="111"/>
  <c r="N52" i="111"/>
  <c r="N101" i="111" s="1"/>
  <c r="P34" i="111"/>
  <c r="P69" i="111" s="1"/>
  <c r="S34" i="111"/>
  <c r="S69" i="111" s="1"/>
  <c r="I45" i="110"/>
  <c r="I31" i="110" s="1"/>
  <c r="D63" i="110"/>
  <c r="D37" i="111"/>
  <c r="C37" i="110"/>
  <c r="O47" i="110"/>
  <c r="Z32" i="111"/>
  <c r="Z67" i="111" s="1"/>
  <c r="J15" i="111"/>
  <c r="M20" i="110"/>
  <c r="L81" i="111"/>
  <c r="U31" i="111"/>
  <c r="U66" i="111" s="1"/>
  <c r="I24" i="109"/>
  <c r="P46" i="110"/>
  <c r="P65" i="110" s="1"/>
  <c r="I31" i="109"/>
  <c r="I18" i="109"/>
  <c r="Q24" i="111"/>
  <c r="Q28" i="111"/>
  <c r="Q63" i="111" s="1"/>
  <c r="K8" i="109"/>
  <c r="B19" i="110"/>
  <c r="K17" i="109"/>
  <c r="K16" i="111"/>
  <c r="O28" i="110"/>
  <c r="W44" i="110"/>
  <c r="W62" i="110" s="1"/>
  <c r="W69" i="110" s="1"/>
  <c r="Y17" i="111"/>
  <c r="U45" i="110"/>
  <c r="K24" i="109"/>
  <c r="F67" i="111"/>
  <c r="N39" i="111"/>
  <c r="N75" i="111" s="1"/>
  <c r="F40" i="110"/>
  <c r="AA17" i="111"/>
  <c r="M41" i="110"/>
  <c r="M59" i="110" s="1"/>
  <c r="M52" i="111"/>
  <c r="M101" i="111" s="1"/>
  <c r="E21" i="110"/>
  <c r="J16" i="111"/>
  <c r="H37" i="111"/>
  <c r="H73" i="111" s="1"/>
  <c r="G39" i="111"/>
  <c r="G75" i="111" s="1"/>
  <c r="I22" i="109"/>
  <c r="L64" i="111"/>
  <c r="P71" i="111"/>
  <c r="U64" i="111"/>
  <c r="AE45" i="110"/>
  <c r="X19" i="110"/>
  <c r="W15" i="111"/>
  <c r="D23" i="111"/>
  <c r="I17" i="109"/>
  <c r="I23" i="109"/>
  <c r="P44" i="110"/>
  <c r="P62" i="110" s="1"/>
  <c r="S39" i="111"/>
  <c r="S75" i="111" s="1"/>
  <c r="V41" i="110"/>
  <c r="V59" i="110" s="1"/>
  <c r="AA19" i="110"/>
  <c r="S47" i="110"/>
  <c r="K32" i="111"/>
  <c r="K67" i="111" s="1"/>
  <c r="G15" i="111"/>
  <c r="G21" i="111" s="1"/>
  <c r="I11" i="109"/>
  <c r="U63" i="111"/>
  <c r="I15" i="111"/>
  <c r="U42" i="110"/>
  <c r="U60" i="110" s="1"/>
  <c r="K22" i="109"/>
  <c r="V67" i="111"/>
  <c r="H63" i="110"/>
  <c r="L96" i="111"/>
  <c r="K37" i="111"/>
  <c r="K73" i="111" s="1"/>
  <c r="P37" i="111"/>
  <c r="P73" i="111" s="1"/>
  <c r="U21" i="110"/>
  <c r="G17" i="109"/>
  <c r="D17" i="109" s="1"/>
  <c r="M39" i="110"/>
  <c r="M57" i="110" s="1"/>
  <c r="N45" i="110"/>
  <c r="S29" i="111"/>
  <c r="S64" i="111" s="1"/>
  <c r="M28" i="111"/>
  <c r="M62" i="111" s="1"/>
  <c r="T96" i="111"/>
  <c r="E29" i="111"/>
  <c r="Y28" i="111"/>
  <c r="Y63" i="111" s="1"/>
  <c r="D31" i="111"/>
  <c r="O27" i="109"/>
  <c r="R27" i="109" s="1"/>
  <c r="J29" i="111"/>
  <c r="AE39" i="110"/>
  <c r="AC46" i="110"/>
  <c r="AC65" i="110" s="1"/>
  <c r="AC31" i="111"/>
  <c r="AB40" i="110"/>
  <c r="I34" i="109"/>
  <c r="G33" i="109"/>
  <c r="D33" i="109" s="1"/>
  <c r="AA71" i="110"/>
  <c r="AA23" i="111"/>
  <c r="Z23" i="111"/>
  <c r="Z25" i="111" s="1"/>
  <c r="Z26" i="111" s="1"/>
  <c r="AA28" i="110"/>
  <c r="X36" i="110"/>
  <c r="X15" i="110" s="1"/>
  <c r="I27" i="109"/>
  <c r="U74" i="111"/>
  <c r="U81" i="111"/>
  <c r="I26" i="109"/>
  <c r="T39" i="110"/>
  <c r="T57" i="110" s="1"/>
  <c r="R28" i="110"/>
  <c r="X29" i="110"/>
  <c r="E47" i="110"/>
  <c r="W39" i="111"/>
  <c r="W75" i="111" s="1"/>
  <c r="Y31" i="111"/>
  <c r="AB40" i="111"/>
  <c r="AA32" i="111"/>
  <c r="AA67" i="111" s="1"/>
  <c r="Q34" i="111"/>
  <c r="R36" i="111"/>
  <c r="R72" i="111" s="1"/>
  <c r="X44" i="110"/>
  <c r="X62" i="110" s="1"/>
  <c r="M34" i="111"/>
  <c r="M69" i="111" s="1"/>
  <c r="N24" i="111"/>
  <c r="H46" i="110"/>
  <c r="H65" i="110" s="1"/>
  <c r="U36" i="110"/>
  <c r="U15" i="110" s="1"/>
  <c r="U15" i="111"/>
  <c r="N42" i="110"/>
  <c r="N60" i="110" s="1"/>
  <c r="M44" i="110"/>
  <c r="M62" i="110" s="1"/>
  <c r="M69" i="110" s="1"/>
  <c r="P17" i="111"/>
  <c r="J36" i="111"/>
  <c r="I40" i="111"/>
  <c r="I16" i="109"/>
  <c r="R34" i="111"/>
  <c r="R69" i="111" s="1"/>
  <c r="L21" i="110"/>
  <c r="AA33" i="111"/>
  <c r="AA68" i="111" s="1"/>
  <c r="X31" i="111"/>
  <c r="Z29" i="111"/>
  <c r="Z64" i="111" s="1"/>
  <c r="G36" i="110"/>
  <c r="G15" i="110" s="1"/>
  <c r="X40" i="110"/>
  <c r="U29" i="110"/>
  <c r="T32" i="111"/>
  <c r="O15" i="111"/>
  <c r="L37" i="111"/>
  <c r="L73" i="111" s="1"/>
  <c r="N34" i="111"/>
  <c r="N69" i="111" s="1"/>
  <c r="G44" i="110"/>
  <c r="G62" i="110" s="1"/>
  <c r="G33" i="111"/>
  <c r="G68" i="111" s="1"/>
  <c r="O37" i="111"/>
  <c r="O73" i="111" s="1"/>
  <c r="B39" i="110"/>
  <c r="D39" i="110"/>
  <c r="D57" i="110" s="1"/>
  <c r="K28" i="110"/>
  <c r="R17" i="111"/>
  <c r="Q15" i="111"/>
  <c r="M36" i="110"/>
  <c r="M15" i="110" s="1"/>
  <c r="AB46" i="110"/>
  <c r="AB65" i="110" s="1"/>
  <c r="S15" i="111"/>
  <c r="G32" i="111"/>
  <c r="G67" i="111" s="1"/>
  <c r="I16" i="111"/>
  <c r="V17" i="111"/>
  <c r="K20" i="109"/>
  <c r="X33" i="111"/>
  <c r="X68" i="111" s="1"/>
  <c r="S24" i="111"/>
  <c r="S20" i="110"/>
  <c r="R36" i="110"/>
  <c r="J29" i="110"/>
  <c r="K17" i="111"/>
  <c r="J39" i="111"/>
  <c r="I52" i="111"/>
  <c r="I101" i="111" s="1"/>
  <c r="G34" i="111"/>
  <c r="G69" i="111" s="1"/>
  <c r="F29" i="110"/>
  <c r="F16" i="111"/>
  <c r="G12" i="109"/>
  <c r="D12" i="109" s="1"/>
  <c r="F41" i="110"/>
  <c r="F59" i="110" s="1"/>
  <c r="H16" i="111"/>
  <c r="H41" i="110"/>
  <c r="H59" i="110" s="1"/>
  <c r="B56" i="110"/>
  <c r="R71" i="111"/>
  <c r="B59" i="110"/>
  <c r="O67" i="111"/>
  <c r="M80" i="111"/>
  <c r="M74" i="111"/>
  <c r="K13" i="109"/>
  <c r="I10" i="109"/>
  <c r="C52" i="111"/>
  <c r="C101" i="111" s="1"/>
  <c r="B36" i="110"/>
  <c r="B15" i="110" s="1"/>
  <c r="O21" i="110"/>
  <c r="C44" i="110"/>
  <c r="C62" i="110" s="1"/>
  <c r="I28" i="109"/>
  <c r="K16" i="109"/>
  <c r="K14" i="109"/>
  <c r="O39" i="111"/>
  <c r="O75" i="111" s="1"/>
  <c r="K21" i="109"/>
  <c r="M40" i="110"/>
  <c r="K12" i="109"/>
  <c r="AC16" i="111"/>
  <c r="H36" i="111"/>
  <c r="H72" i="111" s="1"/>
  <c r="Z30" i="110"/>
  <c r="L34" i="111"/>
  <c r="L69" i="111" s="1"/>
  <c r="C24" i="111"/>
  <c r="C25" i="111" s="1"/>
  <c r="I25" i="109"/>
  <c r="I19" i="109"/>
  <c r="K25" i="109"/>
  <c r="AB36" i="111"/>
  <c r="AB72" i="111" s="1"/>
  <c r="K32" i="109"/>
  <c r="G13" i="109"/>
  <c r="D13" i="109" s="1"/>
  <c r="X28" i="110"/>
  <c r="L40" i="110"/>
  <c r="O37" i="110"/>
  <c r="Y42" i="110"/>
  <c r="Y60" i="110" s="1"/>
  <c r="K29" i="111"/>
  <c r="K64" i="111" s="1"/>
  <c r="E39" i="110"/>
  <c r="E57" i="110" s="1"/>
  <c r="S52" i="111"/>
  <c r="S101" i="111" s="1"/>
  <c r="K81" i="111"/>
  <c r="AB71" i="110"/>
  <c r="AC24" i="111"/>
  <c r="AC25" i="111" s="1"/>
  <c r="AC26" i="111" s="1"/>
  <c r="AB29" i="110"/>
  <c r="AB29" i="111"/>
  <c r="AB64" i="111" s="1"/>
  <c r="AB15" i="111"/>
  <c r="AB21" i="111" s="1"/>
  <c r="AD36" i="110"/>
  <c r="AD15" i="110" s="1"/>
  <c r="AD40" i="110"/>
  <c r="G32" i="109"/>
  <c r="D32" i="109" s="1"/>
  <c r="Z37" i="111"/>
  <c r="Z73" i="111" s="1"/>
  <c r="Z42" i="110"/>
  <c r="Z60" i="110" s="1"/>
  <c r="Z69" i="110" s="1"/>
  <c r="AA24" i="111"/>
  <c r="Z29" i="110"/>
  <c r="AA84" i="110"/>
  <c r="AA96" i="110" s="1"/>
  <c r="Y40" i="111"/>
  <c r="G29" i="109"/>
  <c r="D29" i="109" s="1"/>
  <c r="X16" i="111"/>
  <c r="W28" i="110"/>
  <c r="W20" i="110"/>
  <c r="W21" i="110"/>
  <c r="V40" i="110"/>
  <c r="V42" i="110"/>
  <c r="V60" i="110" s="1"/>
  <c r="G26" i="109"/>
  <c r="D26" i="109" s="1"/>
  <c r="S71" i="111"/>
  <c r="T16" i="111"/>
  <c r="T23" i="111"/>
  <c r="T25" i="111" s="1"/>
  <c r="O63" i="111"/>
  <c r="R16" i="111"/>
  <c r="S84" i="110"/>
  <c r="S96" i="110" s="1"/>
  <c r="O45" i="110"/>
  <c r="P54" i="111"/>
  <c r="P84" i="111" s="1"/>
  <c r="M45" i="110"/>
  <c r="M63" i="110" s="1"/>
  <c r="N54" i="111"/>
  <c r="N84" i="111" s="1"/>
  <c r="M96" i="111"/>
  <c r="M54" i="111"/>
  <c r="M84" i="111" s="1"/>
  <c r="K96" i="111"/>
  <c r="L52" i="111"/>
  <c r="K39" i="111"/>
  <c r="K75" i="111" s="1"/>
  <c r="L15" i="111"/>
  <c r="K82" i="111"/>
  <c r="K68" i="111"/>
  <c r="K71" i="111"/>
  <c r="K69" i="111"/>
  <c r="K74" i="111"/>
  <c r="K84" i="110"/>
  <c r="K54" i="111"/>
  <c r="K84" i="111" s="1"/>
  <c r="K15" i="109"/>
  <c r="H21" i="110"/>
  <c r="J28" i="110"/>
  <c r="J31" i="111"/>
  <c r="H24" i="111"/>
  <c r="I15" i="109"/>
  <c r="H15" i="111"/>
  <c r="G64" i="111"/>
  <c r="I13" i="109"/>
  <c r="G20" i="110"/>
  <c r="D40" i="111"/>
  <c r="F62" i="110"/>
  <c r="F28" i="110"/>
  <c r="E54" i="111"/>
  <c r="I9" i="109"/>
  <c r="D54" i="111"/>
  <c r="F46" i="110"/>
  <c r="F65" i="110" s="1"/>
  <c r="D36" i="111"/>
  <c r="D32" i="111"/>
  <c r="K9" i="109"/>
  <c r="C17" i="111"/>
  <c r="C19" i="110"/>
  <c r="B47" i="110"/>
  <c r="C46" i="110"/>
  <c r="C65" i="110" s="1"/>
  <c r="B52" i="111"/>
  <c r="B45" i="110"/>
  <c r="I7" i="109"/>
  <c r="B33" i="111"/>
  <c r="V36" i="111"/>
  <c r="V72" i="111" s="1"/>
  <c r="V44" i="110"/>
  <c r="V62" i="110" s="1"/>
  <c r="K39" i="110"/>
  <c r="K57" i="110" s="1"/>
  <c r="K31" i="111"/>
  <c r="K66" i="111" s="1"/>
  <c r="G45" i="110"/>
  <c r="G37" i="111"/>
  <c r="L28" i="111"/>
  <c r="L62" i="111" s="1"/>
  <c r="P16" i="111"/>
  <c r="Y36" i="111"/>
  <c r="Y72" i="111" s="1"/>
  <c r="D36" i="110"/>
  <c r="J40" i="110"/>
  <c r="B21" i="110"/>
  <c r="B17" i="111"/>
  <c r="K10" i="109"/>
  <c r="C40" i="110"/>
  <c r="C58" i="110" s="1"/>
  <c r="C32" i="111"/>
  <c r="G23" i="111"/>
  <c r="G28" i="110"/>
  <c r="D24" i="111"/>
  <c r="D29" i="110"/>
  <c r="AC45" i="110"/>
  <c r="T21" i="110"/>
  <c r="T17" i="111"/>
  <c r="F45" i="110"/>
  <c r="F37" i="111"/>
  <c r="F73" i="111" s="1"/>
  <c r="H37" i="110"/>
  <c r="H29" i="111"/>
  <c r="H64" i="111" s="1"/>
  <c r="AB45" i="110"/>
  <c r="Y71" i="110"/>
  <c r="Y96" i="111"/>
  <c r="I71" i="110"/>
  <c r="I96" i="111"/>
  <c r="AC33" i="111"/>
  <c r="AC68" i="111" s="1"/>
  <c r="AC41" i="110"/>
  <c r="AC59" i="110" s="1"/>
  <c r="X42" i="110"/>
  <c r="X60" i="110" s="1"/>
  <c r="X34" i="111"/>
  <c r="X69" i="111" s="1"/>
  <c r="S28" i="111"/>
  <c r="S96" i="111"/>
  <c r="N71" i="110"/>
  <c r="T29" i="110"/>
  <c r="L36" i="110"/>
  <c r="L15" i="110" s="1"/>
  <c r="Y32" i="111"/>
  <c r="Y67" i="111" s="1"/>
  <c r="H34" i="111"/>
  <c r="H69" i="111" s="1"/>
  <c r="W39" i="110"/>
  <c r="W57" i="110" s="1"/>
  <c r="C33" i="111"/>
  <c r="D15" i="111"/>
  <c r="D21" i="111" s="1"/>
  <c r="P96" i="111"/>
  <c r="N41" i="110"/>
  <c r="N59" i="110" s="1"/>
  <c r="R29" i="111"/>
  <c r="R64" i="111" s="1"/>
  <c r="S36" i="110"/>
  <c r="Y45" i="110"/>
  <c r="P32" i="111"/>
  <c r="P67" i="111" s="1"/>
  <c r="AD71" i="110"/>
  <c r="K42" i="110"/>
  <c r="K60" i="110" s="1"/>
  <c r="AC37" i="111"/>
  <c r="AC73" i="111" s="1"/>
  <c r="H23" i="111"/>
  <c r="J96" i="111"/>
  <c r="Z15" i="111"/>
  <c r="AB34" i="111"/>
  <c r="AB69" i="111" s="1"/>
  <c r="R24" i="111"/>
  <c r="AA44" i="110"/>
  <c r="AA62" i="110" s="1"/>
  <c r="AA69" i="110" s="1"/>
  <c r="G31" i="111"/>
  <c r="G66" i="111" s="1"/>
  <c r="G39" i="110"/>
  <c r="L33" i="111"/>
  <c r="L68" i="111" s="1"/>
  <c r="L41" i="110"/>
  <c r="L59" i="110" s="1"/>
  <c r="D29" i="111"/>
  <c r="D37" i="110"/>
  <c r="Z46" i="110"/>
  <c r="Z65" i="110" s="1"/>
  <c r="Z39" i="111"/>
  <c r="Z75" i="111" s="1"/>
  <c r="C31" i="111"/>
  <c r="Y19" i="110"/>
  <c r="Y15" i="111"/>
  <c r="P23" i="111"/>
  <c r="P28" i="110"/>
  <c r="L63" i="110"/>
  <c r="L31" i="110"/>
  <c r="J28" i="111"/>
  <c r="J63" i="111" s="1"/>
  <c r="J36" i="110"/>
  <c r="F34" i="111"/>
  <c r="F69" i="111" s="1"/>
  <c r="V71" i="110"/>
  <c r="V96" i="111"/>
  <c r="O33" i="111"/>
  <c r="O68" i="111" s="1"/>
  <c r="J25" i="111"/>
  <c r="M40" i="111"/>
  <c r="O96" i="111"/>
  <c r="G24" i="111"/>
  <c r="M21" i="110"/>
  <c r="U40" i="110"/>
  <c r="Q21" i="110"/>
  <c r="Z36" i="111"/>
  <c r="Z72" i="111" s="1"/>
  <c r="L28" i="110"/>
  <c r="T40" i="111"/>
  <c r="T47" i="110"/>
  <c r="N20" i="110"/>
  <c r="P33" i="111"/>
  <c r="P68" i="111" s="1"/>
  <c r="Y39" i="111"/>
  <c r="Y75" i="111" s="1"/>
  <c r="Y46" i="110"/>
  <c r="Y65" i="110" s="1"/>
  <c r="P36" i="110"/>
  <c r="P15" i="110" s="1"/>
  <c r="AC19" i="110"/>
  <c r="AC15" i="111"/>
  <c r="U20" i="110"/>
  <c r="R19" i="110"/>
  <c r="R15" i="111"/>
  <c r="G34" i="109"/>
  <c r="D34" i="109" s="1"/>
  <c r="G22" i="109"/>
  <c r="D22" i="109" s="1"/>
  <c r="K11" i="109"/>
  <c r="AB69" i="110"/>
  <c r="W40" i="111"/>
  <c r="AB84" i="110"/>
  <c r="AB96" i="110" s="1"/>
  <c r="AH103" i="110"/>
  <c r="AH105" i="110" s="1"/>
  <c r="J84" i="110"/>
  <c r="J96" i="110" s="1"/>
  <c r="D52" i="111"/>
  <c r="D101" i="111" s="1"/>
  <c r="L54" i="111"/>
  <c r="L84" i="111" s="1"/>
  <c r="G63" i="111"/>
  <c r="D58" i="110"/>
  <c r="F80" i="111"/>
  <c r="F68" i="111"/>
  <c r="D60" i="110"/>
  <c r="D93" i="110"/>
  <c r="D61" i="110"/>
  <c r="F74" i="111"/>
  <c r="R80" i="111"/>
  <c r="U69" i="111"/>
  <c r="D56" i="110"/>
  <c r="F72" i="111"/>
  <c r="F71" i="111"/>
  <c r="R81" i="111"/>
  <c r="U62" i="111"/>
  <c r="F81" i="111"/>
  <c r="F66" i="111"/>
  <c r="U73" i="111"/>
  <c r="U80" i="111"/>
  <c r="AE20" i="110"/>
  <c r="AE22" i="110" s="1"/>
  <c r="AE90" i="110" s="1"/>
  <c r="AD41" i="110"/>
  <c r="AC84" i="110"/>
  <c r="AC96" i="110" s="1"/>
  <c r="Y24" i="111"/>
  <c r="Z96" i="111"/>
  <c r="Z33" i="111"/>
  <c r="Z68" i="111" s="1"/>
  <c r="Z45" i="110"/>
  <c r="Z84" i="110"/>
  <c r="Z96" i="110" s="1"/>
  <c r="X21" i="110"/>
  <c r="X80" i="111"/>
  <c r="X75" i="111"/>
  <c r="K28" i="109"/>
  <c r="V84" i="110"/>
  <c r="V96" i="110" s="1"/>
  <c r="V39" i="111"/>
  <c r="V75" i="111" s="1"/>
  <c r="V16" i="111"/>
  <c r="W32" i="111"/>
  <c r="W67" i="111" s="1"/>
  <c r="V24" i="111"/>
  <c r="U39" i="111"/>
  <c r="U75" i="111" s="1"/>
  <c r="P31" i="110"/>
  <c r="P63" i="110"/>
  <c r="G16" i="109"/>
  <c r="H67" i="111"/>
  <c r="H75" i="111"/>
  <c r="H68" i="111"/>
  <c r="I64" i="111"/>
  <c r="H66" i="111"/>
  <c r="I80" i="111"/>
  <c r="H80" i="111"/>
  <c r="H81" i="111"/>
  <c r="H82" i="111"/>
  <c r="H71" i="111"/>
  <c r="C28" i="110"/>
  <c r="C37" i="111"/>
  <c r="C96" i="111"/>
  <c r="C112" i="110"/>
  <c r="AH112" i="110" s="1"/>
  <c r="G7" i="109"/>
  <c r="D7" i="109" s="1"/>
  <c r="C20" i="110"/>
  <c r="C92" i="110"/>
  <c r="C64" i="111"/>
  <c r="X62" i="111"/>
  <c r="C59" i="110"/>
  <c r="C63" i="110"/>
  <c r="L67" i="111"/>
  <c r="C61" i="110"/>
  <c r="L71" i="111"/>
  <c r="I81" i="111"/>
  <c r="X72" i="111"/>
  <c r="X74" i="111"/>
  <c r="X71" i="111"/>
  <c r="C57" i="110"/>
  <c r="D62" i="110"/>
  <c r="I75" i="111"/>
  <c r="X81" i="111"/>
  <c r="L74" i="111"/>
  <c r="AD69" i="110"/>
  <c r="C93" i="110"/>
  <c r="X67" i="111"/>
  <c r="N28" i="111"/>
  <c r="N62" i="111" s="1"/>
  <c r="N36" i="110"/>
  <c r="N15" i="110" s="1"/>
  <c r="Q40" i="110"/>
  <c r="Q32" i="111"/>
  <c r="AC29" i="111"/>
  <c r="AC64" i="111" s="1"/>
  <c r="AC37" i="110"/>
  <c r="P37" i="110"/>
  <c r="P29" i="111"/>
  <c r="P64" i="111" s="1"/>
  <c r="H28" i="111"/>
  <c r="H63" i="111" s="1"/>
  <c r="J34" i="111"/>
  <c r="J42" i="110"/>
  <c r="J60" i="110" s="1"/>
  <c r="AE71" i="110"/>
  <c r="AE26" i="110" s="1"/>
  <c r="W71" i="110"/>
  <c r="W96" i="111"/>
  <c r="M28" i="110"/>
  <c r="M23" i="111"/>
  <c r="M25" i="111" s="1"/>
  <c r="M26" i="111" s="1"/>
  <c r="B39" i="111"/>
  <c r="B28" i="110"/>
  <c r="AE42" i="110"/>
  <c r="AE60" i="110" s="1"/>
  <c r="AE69" i="110" s="1"/>
  <c r="V31" i="111"/>
  <c r="V66" i="111" s="1"/>
  <c r="V39" i="110"/>
  <c r="V57" i="110" s="1"/>
  <c r="B40" i="110"/>
  <c r="B32" i="111"/>
  <c r="L29" i="110"/>
  <c r="L24" i="111"/>
  <c r="M46" i="110"/>
  <c r="M65" i="110" s="1"/>
  <c r="M39" i="111"/>
  <c r="M75" i="111" s="1"/>
  <c r="V28" i="110"/>
  <c r="V23" i="111"/>
  <c r="Q36" i="111"/>
  <c r="Q44" i="110"/>
  <c r="R32" i="111"/>
  <c r="R67" i="111" s="1"/>
  <c r="J17" i="111"/>
  <c r="J21" i="110"/>
  <c r="E42" i="110"/>
  <c r="E60" i="110" s="1"/>
  <c r="E34" i="111"/>
  <c r="AC40" i="110"/>
  <c r="W37" i="111"/>
  <c r="W73" i="111" s="1"/>
  <c r="W45" i="110"/>
  <c r="Y23" i="111"/>
  <c r="F29" i="111"/>
  <c r="F64" i="111" s="1"/>
  <c r="F37" i="110"/>
  <c r="X29" i="111"/>
  <c r="X64" i="111" s="1"/>
  <c r="X37" i="110"/>
  <c r="G17" i="111"/>
  <c r="E62" i="110"/>
  <c r="E36" i="111"/>
  <c r="M15" i="111"/>
  <c r="M19" i="110"/>
  <c r="M26" i="110" s="1"/>
  <c r="Q39" i="110"/>
  <c r="S31" i="111"/>
  <c r="S66" i="111" s="1"/>
  <c r="Q31" i="111"/>
  <c r="T33" i="111"/>
  <c r="W34" i="111"/>
  <c r="W69" i="111" s="1"/>
  <c r="N36" i="111"/>
  <c r="N72" i="111" s="1"/>
  <c r="N44" i="110"/>
  <c r="N62" i="110" s="1"/>
  <c r="AE40" i="110"/>
  <c r="AE58" i="110" s="1"/>
  <c r="P42" i="110"/>
  <c r="P60" i="110" s="1"/>
  <c r="W36" i="110"/>
  <c r="W15" i="110" s="1"/>
  <c r="C42" i="110"/>
  <c r="C60" i="110" s="1"/>
  <c r="C34" i="111"/>
  <c r="L39" i="111"/>
  <c r="L75" i="111" s="1"/>
  <c r="Z47" i="110"/>
  <c r="H36" i="110"/>
  <c r="H15" i="110" s="1"/>
  <c r="V47" i="110"/>
  <c r="O38" i="31"/>
  <c r="R31" i="111"/>
  <c r="R66" i="111" s="1"/>
  <c r="N31" i="111"/>
  <c r="N66" i="111" s="1"/>
  <c r="O31" i="111"/>
  <c r="O66" i="111" s="1"/>
  <c r="N39" i="110"/>
  <c r="N57" i="110" s="1"/>
  <c r="AE41" i="110"/>
  <c r="AE59" i="110" s="1"/>
  <c r="C47" i="110"/>
  <c r="C40" i="111"/>
  <c r="AB36" i="110"/>
  <c r="AB15" i="110" s="1"/>
  <c r="AC21" i="110"/>
  <c r="AC17" i="111"/>
  <c r="AA16" i="111"/>
  <c r="AA20" i="110"/>
  <c r="F47" i="110"/>
  <c r="F40" i="111"/>
  <c r="B34" i="111"/>
  <c r="B42" i="110"/>
  <c r="B60" i="110" s="1"/>
  <c r="T36" i="111"/>
  <c r="Y37" i="110"/>
  <c r="Y29" i="111"/>
  <c r="Y64" i="111" s="1"/>
  <c r="Y30" i="110"/>
  <c r="I29" i="109"/>
  <c r="L31" i="111"/>
  <c r="L66" i="111" s="1"/>
  <c r="S21" i="110"/>
  <c r="K41" i="110"/>
  <c r="K59" i="110" s="1"/>
  <c r="AA21" i="111"/>
  <c r="AA31" i="111"/>
  <c r="AA39" i="110"/>
  <c r="AA57" i="110" s="1"/>
  <c r="K47" i="110"/>
  <c r="K40" i="111"/>
  <c r="I21" i="109"/>
  <c r="I20" i="109"/>
  <c r="O20" i="109"/>
  <c r="R20" i="109" s="1"/>
  <c r="B36" i="111"/>
  <c r="B44" i="110"/>
  <c r="B62" i="110" s="1"/>
  <c r="N37" i="110"/>
  <c r="N29" i="111"/>
  <c r="N64" i="111" s="1"/>
  <c r="I42" i="110"/>
  <c r="I60" i="110" s="1"/>
  <c r="I34" i="111"/>
  <c r="I69" i="111" s="1"/>
  <c r="AE46" i="110"/>
  <c r="AE65" i="110" s="1"/>
  <c r="E36" i="110"/>
  <c r="E28" i="111"/>
  <c r="E63" i="111" s="1"/>
  <c r="AA28" i="111"/>
  <c r="AA63" i="111" s="1"/>
  <c r="G15" i="109"/>
  <c r="D15" i="109" s="1"/>
  <c r="Y33" i="111"/>
  <c r="Y68" i="111" s="1"/>
  <c r="Y41" i="110"/>
  <c r="Y59" i="110" s="1"/>
  <c r="T37" i="111"/>
  <c r="T45" i="110"/>
  <c r="Y54" i="110"/>
  <c r="AE30" i="110"/>
  <c r="S37" i="111"/>
  <c r="S73" i="111" s="1"/>
  <c r="AB39" i="110"/>
  <c r="AB57" i="110" s="1"/>
  <c r="AB31" i="111"/>
  <c r="I17" i="111"/>
  <c r="B16" i="111"/>
  <c r="I33" i="109"/>
  <c r="I32" i="109"/>
  <c r="G11" i="109"/>
  <c r="D11" i="109" s="1"/>
  <c r="G10" i="109"/>
  <c r="D10" i="109" s="1"/>
  <c r="M29" i="111"/>
  <c r="M64" i="111" s="1"/>
  <c r="M37" i="110"/>
  <c r="I33" i="111"/>
  <c r="I68" i="111" s="1"/>
  <c r="I41" i="110"/>
  <c r="I59" i="110" s="1"/>
  <c r="I23" i="111"/>
  <c r="I25" i="111" s="1"/>
  <c r="I26" i="111" s="1"/>
  <c r="I28" i="110"/>
  <c r="J37" i="111"/>
  <c r="J45" i="110"/>
  <c r="J31" i="110" s="1"/>
  <c r="J33" i="111"/>
  <c r="J41" i="110"/>
  <c r="J59" i="110" s="1"/>
  <c r="P15" i="111"/>
  <c r="P19" i="110"/>
  <c r="P29" i="110"/>
  <c r="P24" i="111"/>
  <c r="H96" i="111"/>
  <c r="H71" i="110"/>
  <c r="E29" i="110"/>
  <c r="AG90" i="111"/>
  <c r="G14" i="109"/>
  <c r="D14" i="109" s="1"/>
  <c r="D17" i="111"/>
  <c r="AH106" i="110"/>
  <c r="I12" i="109"/>
  <c r="B28" i="111"/>
  <c r="B63" i="111" s="1"/>
  <c r="P63" i="111"/>
  <c r="L36" i="111"/>
  <c r="L72" i="111" s="1"/>
  <c r="K19" i="109"/>
  <c r="Z26" i="110"/>
  <c r="I30" i="109"/>
  <c r="Y84" i="110"/>
  <c r="Y96" i="110" s="1"/>
  <c r="W63" i="111"/>
  <c r="W72" i="111"/>
  <c r="W80" i="111"/>
  <c r="W71" i="111"/>
  <c r="W81" i="111"/>
  <c r="W62" i="111"/>
  <c r="G24" i="109"/>
  <c r="D24" i="109" s="1"/>
  <c r="R69" i="110"/>
  <c r="R63" i="111"/>
  <c r="G18" i="109"/>
  <c r="F30" i="110"/>
  <c r="F28" i="111"/>
  <c r="F63" i="111" s="1"/>
  <c r="E37" i="111"/>
  <c r="E45" i="110"/>
  <c r="E31" i="110" s="1"/>
  <c r="E71" i="110"/>
  <c r="E28" i="110"/>
  <c r="F25" i="111"/>
  <c r="F26" i="111" s="1"/>
  <c r="E23" i="111"/>
  <c r="E25" i="111" s="1"/>
  <c r="E16" i="111"/>
  <c r="E116" i="110"/>
  <c r="AG95" i="111"/>
  <c r="I8" i="109"/>
  <c r="I72" i="111"/>
  <c r="N80" i="111"/>
  <c r="N68" i="111"/>
  <c r="N81" i="111"/>
  <c r="N71" i="111"/>
  <c r="N73" i="111"/>
  <c r="I71" i="111"/>
  <c r="T65" i="110"/>
  <c r="O69" i="111"/>
  <c r="P81" i="111"/>
  <c r="O81" i="111"/>
  <c r="P75" i="111"/>
  <c r="P66" i="111"/>
  <c r="V80" i="111"/>
  <c r="O62" i="111"/>
  <c r="J61" i="110"/>
  <c r="J62" i="110"/>
  <c r="V68" i="111"/>
  <c r="V69" i="111"/>
  <c r="O64" i="111"/>
  <c r="J56" i="110"/>
  <c r="V74" i="111"/>
  <c r="J57" i="110"/>
  <c r="I66" i="111"/>
  <c r="M73" i="111"/>
  <c r="M81" i="111"/>
  <c r="O80" i="111"/>
  <c r="M71" i="111"/>
  <c r="T93" i="110"/>
  <c r="S81" i="111"/>
  <c r="U67" i="111"/>
  <c r="I73" i="111"/>
  <c r="F75" i="111"/>
  <c r="L80" i="111"/>
  <c r="V81" i="111"/>
  <c r="M68" i="111"/>
  <c r="T56" i="110"/>
  <c r="M72" i="111"/>
  <c r="T61" i="110"/>
  <c r="O74" i="111"/>
  <c r="M66" i="111"/>
  <c r="V71" i="111"/>
  <c r="T62" i="110"/>
  <c r="F60" i="110"/>
  <c r="E40" i="110"/>
  <c r="E32" i="111"/>
  <c r="L38" i="31"/>
  <c r="E46" i="110"/>
  <c r="E65" i="110" s="1"/>
  <c r="E39" i="111"/>
  <c r="V45" i="110"/>
  <c r="V37" i="111"/>
  <c r="Q41" i="110"/>
  <c r="S33" i="111"/>
  <c r="S68" i="111" s="1"/>
  <c r="Q33" i="111"/>
  <c r="R33" i="111"/>
  <c r="S32" i="111"/>
  <c r="S67" i="111" s="1"/>
  <c r="X71" i="110"/>
  <c r="X96" i="111"/>
  <c r="R71" i="110"/>
  <c r="U44" i="110"/>
  <c r="U36" i="111"/>
  <c r="U72" i="111" s="1"/>
  <c r="I40" i="110"/>
  <c r="I32" i="111"/>
  <c r="I67" i="111" s="1"/>
  <c r="R31" i="110"/>
  <c r="R63" i="110"/>
  <c r="D20" i="110"/>
  <c r="D16" i="111"/>
  <c r="K30" i="109"/>
  <c r="K29" i="109"/>
  <c r="K26" i="109"/>
  <c r="K27" i="109"/>
  <c r="L69" i="110"/>
  <c r="Q37" i="110"/>
  <c r="Q29" i="111"/>
  <c r="K36" i="111"/>
  <c r="K72" i="111" s="1"/>
  <c r="K44" i="110"/>
  <c r="K62" i="110" s="1"/>
  <c r="X45" i="110"/>
  <c r="X37" i="111"/>
  <c r="W29" i="111"/>
  <c r="W64" i="111" s="1"/>
  <c r="W37" i="110"/>
  <c r="AC71" i="110"/>
  <c r="AC36" i="110"/>
  <c r="AC15" i="110" s="1"/>
  <c r="J38" i="31"/>
  <c r="AC28" i="111"/>
  <c r="AC63" i="111" s="1"/>
  <c r="K19" i="110"/>
  <c r="K26" i="110" s="1"/>
  <c r="C38" i="31"/>
  <c r="K15" i="111"/>
  <c r="M67" i="111"/>
  <c r="AA40" i="111"/>
  <c r="AA47" i="110"/>
  <c r="N40" i="110"/>
  <c r="N32" i="111"/>
  <c r="AD37" i="110"/>
  <c r="B37" i="110"/>
  <c r="B29" i="111"/>
  <c r="AD19" i="110"/>
  <c r="L40" i="111"/>
  <c r="K36" i="110"/>
  <c r="K15" i="110" s="1"/>
  <c r="K28" i="111"/>
  <c r="K63" i="111" s="1"/>
  <c r="AA45" i="110"/>
  <c r="G30" i="109"/>
  <c r="D30" i="109" s="1"/>
  <c r="G8" i="109"/>
  <c r="D8" i="109" s="1"/>
  <c r="D41" i="110"/>
  <c r="D33" i="111"/>
  <c r="I28" i="111"/>
  <c r="I63" i="111" s="1"/>
  <c r="I36" i="110"/>
  <c r="I15" i="110" s="1"/>
  <c r="S23" i="111"/>
  <c r="S28" i="110"/>
  <c r="F15" i="111"/>
  <c r="F19" i="110"/>
  <c r="T36" i="110"/>
  <c r="T28" i="111"/>
  <c r="T63" i="111" s="1"/>
  <c r="W41" i="110"/>
  <c r="W59" i="110" s="1"/>
  <c r="W33" i="111"/>
  <c r="W68" i="111" s="1"/>
  <c r="T19" i="110"/>
  <c r="T15" i="111"/>
  <c r="U23" i="111"/>
  <c r="U25" i="111" s="1"/>
  <c r="U26" i="111" s="1"/>
  <c r="U28" i="110"/>
  <c r="AB41" i="110"/>
  <c r="AB59" i="110" s="1"/>
  <c r="AB33" i="111"/>
  <c r="AB68" i="111" s="1"/>
  <c r="I44" i="110"/>
  <c r="AB17" i="111"/>
  <c r="AB21" i="110"/>
  <c r="W29" i="110"/>
  <c r="W24" i="111"/>
  <c r="S36" i="111"/>
  <c r="S72" i="111" s="1"/>
  <c r="AE28" i="110"/>
  <c r="K33" i="109"/>
  <c r="K34" i="109"/>
  <c r="AC36" i="111"/>
  <c r="AC72" i="111" s="1"/>
  <c r="AC44" i="110"/>
  <c r="AC62" i="110" s="1"/>
  <c r="AC69" i="110" s="1"/>
  <c r="V19" i="110"/>
  <c r="V15" i="111"/>
  <c r="O29" i="110"/>
  <c r="O24" i="111"/>
  <c r="F71" i="110"/>
  <c r="F96" i="111"/>
  <c r="G23" i="109"/>
  <c r="D23" i="109" s="1"/>
  <c r="E59" i="110"/>
  <c r="G31" i="109"/>
  <c r="D31" i="109" s="1"/>
  <c r="G25" i="109"/>
  <c r="D25" i="109" s="1"/>
  <c r="S65" i="110"/>
  <c r="F82" i="111"/>
  <c r="F101" i="111"/>
  <c r="T116" i="110"/>
  <c r="I116" i="110"/>
  <c r="Z116" i="110"/>
  <c r="J52" i="111"/>
  <c r="J101" i="111" s="1"/>
  <c r="Q84" i="110"/>
  <c r="AD84" i="110"/>
  <c r="AD96" i="110" s="1"/>
  <c r="B54" i="111"/>
  <c r="G80" i="111"/>
  <c r="AE84" i="110"/>
  <c r="AE96" i="110" s="1"/>
  <c r="S80" i="111"/>
  <c r="R54" i="111"/>
  <c r="R84" i="111" s="1"/>
  <c r="R84" i="110"/>
  <c r="R96" i="110" s="1"/>
  <c r="G81" i="111"/>
  <c r="G62" i="111"/>
  <c r="G82" i="111"/>
  <c r="G74" i="111"/>
  <c r="G72" i="111"/>
  <c r="G71" i="111"/>
  <c r="E56" i="110"/>
  <c r="E93" i="110"/>
  <c r="E61" i="110"/>
  <c r="E92" i="110"/>
  <c r="Z81" i="111"/>
  <c r="Z80" i="111"/>
  <c r="Y81" i="111"/>
  <c r="U71" i="111"/>
  <c r="G21" i="109"/>
  <c r="D21" i="109" s="1"/>
  <c r="R62" i="111"/>
  <c r="P80" i="111"/>
  <c r="P62" i="111"/>
  <c r="P72" i="111"/>
  <c r="P74" i="111"/>
  <c r="N38" i="31"/>
  <c r="O57" i="110"/>
  <c r="O60" i="110"/>
  <c r="O59" i="110"/>
  <c r="O116" i="110"/>
  <c r="P52" i="111"/>
  <c r="O101" i="111"/>
  <c r="O82" i="111"/>
  <c r="O54" i="111"/>
  <c r="O61" i="110"/>
  <c r="O72" i="111"/>
  <c r="O65" i="110"/>
  <c r="W54" i="110" l="1"/>
  <c r="F84" i="110"/>
  <c r="F96" i="110" s="1"/>
  <c r="H54" i="111"/>
  <c r="H84" i="111" s="1"/>
  <c r="I54" i="111"/>
  <c r="I84" i="111" s="1"/>
  <c r="AD59" i="110"/>
  <c r="AD50" i="110"/>
  <c r="AH85" i="110"/>
  <c r="K96" i="110"/>
  <c r="G54" i="111"/>
  <c r="G84" i="111" s="1"/>
  <c r="S50" i="110"/>
  <c r="G54" i="110"/>
  <c r="G50" i="110"/>
  <c r="G60" i="110"/>
  <c r="G69" i="110" s="1"/>
  <c r="AH42" i="110"/>
  <c r="AH100" i="110" s="1"/>
  <c r="AJ100" i="110" s="1"/>
  <c r="AH20" i="110"/>
  <c r="AH21" i="110"/>
  <c r="R22" i="110"/>
  <c r="R90" i="110" s="1"/>
  <c r="Q50" i="110"/>
  <c r="G38" i="31"/>
  <c r="L30" i="110"/>
  <c r="L32" i="110" s="1"/>
  <c r="Q32" i="110"/>
  <c r="I10" i="23"/>
  <c r="Z38" i="31"/>
  <c r="S54" i="110"/>
  <c r="E54" i="110"/>
  <c r="AH29" i="110"/>
  <c r="C69" i="110"/>
  <c r="H30" i="110"/>
  <c r="H32" i="110" s="1"/>
  <c r="O30" i="110"/>
  <c r="D54" i="110"/>
  <c r="C30" i="110"/>
  <c r="C32" i="110" s="1"/>
  <c r="AH19" i="110"/>
  <c r="C54" i="111"/>
  <c r="AC62" i="111"/>
  <c r="Y62" i="111"/>
  <c r="Y78" i="111" s="1"/>
  <c r="C54" i="110"/>
  <c r="C68" i="110" s="1"/>
  <c r="C84" i="110"/>
  <c r="C96" i="110" s="1"/>
  <c r="B22" i="110"/>
  <c r="B90" i="110" s="1"/>
  <c r="AA62" i="111"/>
  <c r="AA78" i="111" s="1"/>
  <c r="Z63" i="111"/>
  <c r="AH71" i="110"/>
  <c r="AH41" i="110"/>
  <c r="AH40" i="110"/>
  <c r="E26" i="110"/>
  <c r="B63" i="110"/>
  <c r="AH45" i="110"/>
  <c r="B54" i="110"/>
  <c r="AH36" i="110"/>
  <c r="AH15" i="110" s="1"/>
  <c r="B57" i="110"/>
  <c r="AH39" i="110"/>
  <c r="AH28" i="110"/>
  <c r="AH37" i="110"/>
  <c r="AB26" i="110"/>
  <c r="H22" i="110"/>
  <c r="H90" i="110" s="1"/>
  <c r="W26" i="110"/>
  <c r="AF79" i="111"/>
  <c r="Q22" i="110"/>
  <c r="Q90" i="110" s="1"/>
  <c r="H26" i="110"/>
  <c r="L18" i="109"/>
  <c r="E22" i="110"/>
  <c r="E90" i="110" s="1"/>
  <c r="S38" i="31"/>
  <c r="I22" i="110"/>
  <c r="I90" i="110" s="1"/>
  <c r="X21" i="111"/>
  <c r="AG15" i="111"/>
  <c r="I26" i="110"/>
  <c r="B21" i="111"/>
  <c r="C21" i="111"/>
  <c r="C18" i="111"/>
  <c r="C59" i="111" s="1"/>
  <c r="D26" i="110"/>
  <c r="G26" i="110"/>
  <c r="L22" i="110"/>
  <c r="L90" i="110" s="1"/>
  <c r="D18" i="109"/>
  <c r="O18" i="109" s="1"/>
  <c r="R18" i="109" s="1"/>
  <c r="D16" i="109"/>
  <c r="O16" i="109" s="1"/>
  <c r="R16" i="109" s="1"/>
  <c r="R50" i="110"/>
  <c r="D28" i="109"/>
  <c r="O28" i="109" s="1"/>
  <c r="R28" i="109" s="1"/>
  <c r="R82" i="111"/>
  <c r="J22" i="110"/>
  <c r="J90" i="110" s="1"/>
  <c r="B101" i="111"/>
  <c r="AG52" i="111"/>
  <c r="AG101" i="111" s="1"/>
  <c r="K38" i="109"/>
  <c r="D40" i="31"/>
  <c r="D43" i="31" s="1"/>
  <c r="D45" i="31" s="1"/>
  <c r="D47" i="31" s="1"/>
  <c r="D49" i="31" s="1"/>
  <c r="G38" i="109"/>
  <c r="P22" i="110"/>
  <c r="P90" i="110" s="1"/>
  <c r="T50" i="110"/>
  <c r="B74" i="111"/>
  <c r="K50" i="110"/>
  <c r="Y50" i="110"/>
  <c r="O50" i="110"/>
  <c r="P50" i="110"/>
  <c r="AE57" i="110"/>
  <c r="AE50" i="110"/>
  <c r="W50" i="110"/>
  <c r="N50" i="110"/>
  <c r="D50" i="110"/>
  <c r="Z50" i="110"/>
  <c r="AA50" i="110"/>
  <c r="C50" i="110"/>
  <c r="V58" i="110"/>
  <c r="V50" i="110"/>
  <c r="J58" i="110"/>
  <c r="J50" i="110"/>
  <c r="X58" i="110"/>
  <c r="X50" i="110"/>
  <c r="AD58" i="110"/>
  <c r="L58" i="110"/>
  <c r="L50" i="110"/>
  <c r="AC58" i="110"/>
  <c r="AC50" i="110"/>
  <c r="H58" i="110"/>
  <c r="H50" i="110"/>
  <c r="F58" i="110"/>
  <c r="F50" i="110"/>
  <c r="U58" i="110"/>
  <c r="U50" i="110"/>
  <c r="M58" i="110"/>
  <c r="M50" i="110"/>
  <c r="I58" i="110"/>
  <c r="I50" i="110"/>
  <c r="E58" i="110"/>
  <c r="E50" i="110"/>
  <c r="AB58" i="110"/>
  <c r="AB50" i="110"/>
  <c r="B58" i="110"/>
  <c r="W18" i="111"/>
  <c r="W59" i="111" s="1"/>
  <c r="X18" i="111"/>
  <c r="X59" i="111" s="1"/>
  <c r="B26" i="110"/>
  <c r="F22" i="110"/>
  <c r="F90" i="110" s="1"/>
  <c r="L18" i="111"/>
  <c r="L59" i="111" s="1"/>
  <c r="S18" i="111"/>
  <c r="S59" i="111" s="1"/>
  <c r="G18" i="111"/>
  <c r="G59" i="111" s="1"/>
  <c r="T75" i="111"/>
  <c r="N18" i="111"/>
  <c r="N59" i="111" s="1"/>
  <c r="M18" i="111"/>
  <c r="M59" i="111" s="1"/>
  <c r="R25" i="111"/>
  <c r="R26" i="111" s="1"/>
  <c r="O18" i="111"/>
  <c r="O59" i="111" s="1"/>
  <c r="I38" i="109"/>
  <c r="L20" i="109"/>
  <c r="K63" i="110"/>
  <c r="W25" i="111"/>
  <c r="W26" i="111" s="1"/>
  <c r="V63" i="111"/>
  <c r="L25" i="111"/>
  <c r="L26" i="111" s="1"/>
  <c r="Q25" i="111"/>
  <c r="L31" i="109"/>
  <c r="Y22" i="110"/>
  <c r="Y90" i="110" s="1"/>
  <c r="P25" i="111"/>
  <c r="P26" i="111" s="1"/>
  <c r="AA22" i="110"/>
  <c r="AA90" i="110" s="1"/>
  <c r="I63" i="110"/>
  <c r="M63" i="111"/>
  <c r="M78" i="111" s="1"/>
  <c r="O54" i="110"/>
  <c r="X69" i="110"/>
  <c r="Z18" i="111"/>
  <c r="Z59" i="111" s="1"/>
  <c r="F18" i="111"/>
  <c r="F59" i="111" s="1"/>
  <c r="L22" i="109"/>
  <c r="O21" i="109"/>
  <c r="R21" i="109" s="1"/>
  <c r="L24" i="109"/>
  <c r="L16" i="109"/>
  <c r="L11" i="109"/>
  <c r="L7" i="109"/>
  <c r="L8" i="109"/>
  <c r="O8" i="109"/>
  <c r="R8" i="109" s="1"/>
  <c r="U21" i="111"/>
  <c r="I21" i="111"/>
  <c r="J21" i="111"/>
  <c r="L34" i="109"/>
  <c r="L23" i="109"/>
  <c r="L17" i="109"/>
  <c r="O22" i="110"/>
  <c r="O90" i="110" s="1"/>
  <c r="O12" i="109"/>
  <c r="R12" i="109" s="1"/>
  <c r="L26" i="109"/>
  <c r="N25" i="111"/>
  <c r="N26" i="111" s="1"/>
  <c r="N63" i="111"/>
  <c r="O24" i="109"/>
  <c r="R24" i="109" s="1"/>
  <c r="N82" i="111"/>
  <c r="C22" i="110"/>
  <c r="C90" i="110" s="1"/>
  <c r="Q21" i="111"/>
  <c r="M82" i="111"/>
  <c r="O17" i="109"/>
  <c r="R17" i="109" s="1"/>
  <c r="O9" i="109"/>
  <c r="R9" i="109" s="1"/>
  <c r="L27" i="109"/>
  <c r="X22" i="110"/>
  <c r="X90" i="110" s="1"/>
  <c r="L14" i="109"/>
  <c r="O21" i="111"/>
  <c r="AE31" i="110"/>
  <c r="AE32" i="110" s="1"/>
  <c r="AE63" i="110"/>
  <c r="P21" i="111"/>
  <c r="R21" i="111"/>
  <c r="AB18" i="111"/>
  <c r="AB59" i="111" s="1"/>
  <c r="Q18" i="111"/>
  <c r="H25" i="111"/>
  <c r="H26" i="111" s="1"/>
  <c r="X26" i="110"/>
  <c r="L19" i="109"/>
  <c r="L32" i="109"/>
  <c r="I82" i="111"/>
  <c r="AA26" i="110"/>
  <c r="AA18" i="111"/>
  <c r="AA59" i="111" s="1"/>
  <c r="U31" i="110"/>
  <c r="U63" i="110"/>
  <c r="O26" i="109"/>
  <c r="R26" i="109" s="1"/>
  <c r="M31" i="110"/>
  <c r="H21" i="111"/>
  <c r="H18" i="111"/>
  <c r="H59" i="111" s="1"/>
  <c r="D66" i="111"/>
  <c r="D25" i="111"/>
  <c r="D26" i="111" s="1"/>
  <c r="B18" i="111"/>
  <c r="B59" i="111" s="1"/>
  <c r="L21" i="109"/>
  <c r="Z21" i="111"/>
  <c r="S21" i="111"/>
  <c r="D69" i="111"/>
  <c r="X30" i="110"/>
  <c r="X54" i="110"/>
  <c r="D67" i="111"/>
  <c r="D80" i="111"/>
  <c r="B72" i="111"/>
  <c r="B84" i="111"/>
  <c r="B26" i="111"/>
  <c r="D81" i="111"/>
  <c r="D73" i="111"/>
  <c r="D72" i="111"/>
  <c r="B66" i="111"/>
  <c r="D84" i="111"/>
  <c r="D74" i="111"/>
  <c r="D75" i="111"/>
  <c r="Y18" i="111"/>
  <c r="Y59" i="111" s="1"/>
  <c r="S116" i="110"/>
  <c r="O23" i="109"/>
  <c r="R23" i="109" s="1"/>
  <c r="L54" i="110"/>
  <c r="S25" i="111"/>
  <c r="S26" i="111" s="1"/>
  <c r="J18" i="111"/>
  <c r="J59" i="111" s="1"/>
  <c r="L25" i="109"/>
  <c r="L28" i="109"/>
  <c r="L21" i="111"/>
  <c r="L63" i="111"/>
  <c r="L78" i="111" s="1"/>
  <c r="L30" i="109"/>
  <c r="P18" i="111"/>
  <c r="P59" i="111" s="1"/>
  <c r="L12" i="109"/>
  <c r="I18" i="111"/>
  <c r="I59" i="111" s="1"/>
  <c r="E63" i="110"/>
  <c r="D82" i="111"/>
  <c r="N69" i="110"/>
  <c r="O7" i="109"/>
  <c r="R7" i="109" s="1"/>
  <c r="R38" i="109" s="1"/>
  <c r="B30" i="110"/>
  <c r="AC26" i="110"/>
  <c r="O31" i="110"/>
  <c r="O63" i="110"/>
  <c r="G22" i="110"/>
  <c r="G90" i="110" s="1"/>
  <c r="S22" i="110"/>
  <c r="S90" i="110" s="1"/>
  <c r="N22" i="110"/>
  <c r="N90" i="110" s="1"/>
  <c r="O13" i="109"/>
  <c r="R13" i="109" s="1"/>
  <c r="S62" i="111"/>
  <c r="S63" i="111"/>
  <c r="U30" i="110"/>
  <c r="U54" i="110"/>
  <c r="O33" i="109"/>
  <c r="R33" i="109" s="1"/>
  <c r="O15" i="109"/>
  <c r="R15" i="109" s="1"/>
  <c r="G30" i="110"/>
  <c r="H54" i="110"/>
  <c r="W21" i="111"/>
  <c r="U22" i="110"/>
  <c r="U90" i="110" s="1"/>
  <c r="N31" i="110"/>
  <c r="N63" i="110"/>
  <c r="U18" i="111"/>
  <c r="U59" i="111" s="1"/>
  <c r="O14" i="109"/>
  <c r="R14" i="109" s="1"/>
  <c r="L101" i="111"/>
  <c r="L82" i="111"/>
  <c r="F116" i="110"/>
  <c r="AD30" i="110"/>
  <c r="AD32" i="110" s="1"/>
  <c r="AD54" i="110"/>
  <c r="AC31" i="110"/>
  <c r="AC63" i="110"/>
  <c r="AC116" i="110"/>
  <c r="AC18" i="111"/>
  <c r="AC59" i="111" s="1"/>
  <c r="AA25" i="111"/>
  <c r="AA26" i="111" s="1"/>
  <c r="AA79" i="111"/>
  <c r="Y25" i="111"/>
  <c r="Y26" i="111" s="1"/>
  <c r="O32" i="109"/>
  <c r="R32" i="109" s="1"/>
  <c r="O25" i="109"/>
  <c r="R25" i="109" s="1"/>
  <c r="P30" i="110"/>
  <c r="P32" i="110" s="1"/>
  <c r="P54" i="110"/>
  <c r="P68" i="110" s="1"/>
  <c r="R79" i="111"/>
  <c r="S82" i="111"/>
  <c r="M30" i="110"/>
  <c r="M54" i="110"/>
  <c r="L13" i="109"/>
  <c r="B67" i="111"/>
  <c r="B73" i="111"/>
  <c r="B69" i="111"/>
  <c r="B82" i="111"/>
  <c r="B64" i="111"/>
  <c r="B80" i="111"/>
  <c r="B75" i="111"/>
  <c r="C80" i="111"/>
  <c r="B68" i="111"/>
  <c r="W82" i="111"/>
  <c r="V69" i="110"/>
  <c r="R18" i="111"/>
  <c r="R59" i="111" s="1"/>
  <c r="R54" i="110"/>
  <c r="R68" i="110" s="1"/>
  <c r="R30" i="110"/>
  <c r="R32" i="110" s="1"/>
  <c r="J30" i="110"/>
  <c r="J32" i="110" s="1"/>
  <c r="J54" i="110"/>
  <c r="J63" i="110"/>
  <c r="O11" i="109"/>
  <c r="R11" i="109" s="1"/>
  <c r="L10" i="109"/>
  <c r="D64" i="111"/>
  <c r="D71" i="111"/>
  <c r="D62" i="111"/>
  <c r="C73" i="111"/>
  <c r="C81" i="111"/>
  <c r="B71" i="111"/>
  <c r="R26" i="110"/>
  <c r="P26" i="110"/>
  <c r="Y21" i="111"/>
  <c r="G42" i="111"/>
  <c r="L15" i="109"/>
  <c r="AB79" i="111"/>
  <c r="K69" i="110"/>
  <c r="AB78" i="111"/>
  <c r="AC22" i="110"/>
  <c r="AC90" i="110" s="1"/>
  <c r="AB30" i="110"/>
  <c r="AB54" i="110"/>
  <c r="AB116" i="110"/>
  <c r="AB31" i="110"/>
  <c r="AB63" i="110"/>
  <c r="AA42" i="111"/>
  <c r="Z42" i="111"/>
  <c r="O31" i="109"/>
  <c r="R31" i="109" s="1"/>
  <c r="Y82" i="111"/>
  <c r="Z82" i="111"/>
  <c r="Y31" i="110"/>
  <c r="Y32" i="110" s="1"/>
  <c r="Y63" i="110"/>
  <c r="Y68" i="110" s="1"/>
  <c r="Z31" i="110"/>
  <c r="Z32" i="110" s="1"/>
  <c r="Z63" i="110"/>
  <c r="Z68" i="110" s="1"/>
  <c r="Y116" i="110"/>
  <c r="O29" i="109"/>
  <c r="R29" i="109" s="1"/>
  <c r="W22" i="110"/>
  <c r="W90" i="110" s="1"/>
  <c r="T26" i="111"/>
  <c r="V25" i="111"/>
  <c r="V26" i="111" s="1"/>
  <c r="T18" i="111"/>
  <c r="T59" i="111" s="1"/>
  <c r="P69" i="110"/>
  <c r="O22" i="109"/>
  <c r="R22" i="109" s="1"/>
  <c r="P42" i="111"/>
  <c r="O42" i="111"/>
  <c r="N26" i="110"/>
  <c r="M21" i="111"/>
  <c r="K54" i="110"/>
  <c r="K116" i="110"/>
  <c r="K62" i="111"/>
  <c r="K78" i="111" s="1"/>
  <c r="K79" i="111"/>
  <c r="H42" i="111"/>
  <c r="H116" i="110"/>
  <c r="J42" i="111"/>
  <c r="H62" i="111"/>
  <c r="H78" i="111" s="1"/>
  <c r="G73" i="111"/>
  <c r="G78" i="111" s="1"/>
  <c r="G31" i="110"/>
  <c r="G63" i="110"/>
  <c r="G57" i="110"/>
  <c r="G25" i="111"/>
  <c r="G26" i="111" s="1"/>
  <c r="F31" i="110"/>
  <c r="F32" i="110" s="1"/>
  <c r="F63" i="110"/>
  <c r="F79" i="111"/>
  <c r="F69" i="110"/>
  <c r="F62" i="111"/>
  <c r="F78" i="111" s="1"/>
  <c r="F42" i="111"/>
  <c r="O10" i="109"/>
  <c r="R10" i="109" s="1"/>
  <c r="L9" i="109"/>
  <c r="F26" i="110"/>
  <c r="D30" i="110"/>
  <c r="D32" i="110" s="1"/>
  <c r="AG17" i="111"/>
  <c r="B31" i="110"/>
  <c r="C26" i="110"/>
  <c r="U42" i="111"/>
  <c r="D69" i="110"/>
  <c r="Y26" i="110"/>
  <c r="AD26" i="110"/>
  <c r="AC21" i="111"/>
  <c r="M42" i="111"/>
  <c r="S30" i="110"/>
  <c r="S32" i="110" s="1"/>
  <c r="C75" i="111"/>
  <c r="C66" i="111"/>
  <c r="C74" i="111"/>
  <c r="C68" i="111"/>
  <c r="C82" i="111"/>
  <c r="C69" i="111"/>
  <c r="H79" i="111"/>
  <c r="AD116" i="110"/>
  <c r="AC54" i="110"/>
  <c r="AF101" i="111"/>
  <c r="X79" i="111"/>
  <c r="W31" i="110"/>
  <c r="W63" i="110"/>
  <c r="W68" i="110" s="1"/>
  <c r="AG24" i="111"/>
  <c r="V18" i="111"/>
  <c r="V59" i="111" s="1"/>
  <c r="AG34" i="111"/>
  <c r="AG96" i="111"/>
  <c r="V82" i="111"/>
  <c r="V116" i="110"/>
  <c r="U82" i="111"/>
  <c r="U116" i="110"/>
  <c r="T31" i="110"/>
  <c r="T63" i="110"/>
  <c r="T71" i="111"/>
  <c r="AG36" i="111"/>
  <c r="N30" i="110"/>
  <c r="N54" i="110"/>
  <c r="N79" i="111"/>
  <c r="O19" i="109"/>
  <c r="R19" i="109" s="1"/>
  <c r="AG31" i="111"/>
  <c r="B62" i="111"/>
  <c r="C72" i="111"/>
  <c r="C26" i="111"/>
  <c r="C71" i="111"/>
  <c r="C62" i="111"/>
  <c r="C67" i="111"/>
  <c r="C42" i="111"/>
  <c r="L79" i="111"/>
  <c r="X42" i="111"/>
  <c r="X73" i="111"/>
  <c r="X78" i="111" s="1"/>
  <c r="AG37" i="111"/>
  <c r="S79" i="111"/>
  <c r="AB42" i="111"/>
  <c r="Y42" i="111"/>
  <c r="I79" i="111"/>
  <c r="M22" i="110"/>
  <c r="M90" i="110" s="1"/>
  <c r="X31" i="110"/>
  <c r="X63" i="110"/>
  <c r="L33" i="109"/>
  <c r="D18" i="111"/>
  <c r="D59" i="111" s="1"/>
  <c r="P79" i="111"/>
  <c r="L42" i="111"/>
  <c r="T21" i="111"/>
  <c r="AG39" i="111"/>
  <c r="E30" i="110"/>
  <c r="E32" i="110" s="1"/>
  <c r="AH47" i="110"/>
  <c r="W30" i="110"/>
  <c r="O30" i="109"/>
  <c r="R30" i="109" s="1"/>
  <c r="L29" i="109"/>
  <c r="AD22" i="110"/>
  <c r="AD90" i="110" s="1"/>
  <c r="X82" i="111"/>
  <c r="AB22" i="110"/>
  <c r="AB90" i="110" s="1"/>
  <c r="AC42" i="111"/>
  <c r="AC79" i="111"/>
  <c r="W78" i="111"/>
  <c r="W79" i="111"/>
  <c r="E22" i="111"/>
  <c r="E18" i="111"/>
  <c r="E59" i="111" s="1"/>
  <c r="I62" i="110"/>
  <c r="I69" i="110" s="1"/>
  <c r="AH44" i="110"/>
  <c r="Y69" i="110"/>
  <c r="V79" i="111"/>
  <c r="J64" i="111"/>
  <c r="J72" i="111"/>
  <c r="J66" i="111"/>
  <c r="J62" i="111"/>
  <c r="J69" i="111"/>
  <c r="J80" i="111"/>
  <c r="J84" i="111"/>
  <c r="J81" i="111"/>
  <c r="J73" i="111"/>
  <c r="J74" i="111"/>
  <c r="J75" i="111"/>
  <c r="J71" i="111"/>
  <c r="J68" i="111"/>
  <c r="J82" i="111"/>
  <c r="J26" i="111"/>
  <c r="J67" i="111"/>
  <c r="T72" i="111"/>
  <c r="T66" i="111"/>
  <c r="T81" i="111"/>
  <c r="T80" i="111"/>
  <c r="T68" i="111"/>
  <c r="T67" i="111"/>
  <c r="T74" i="111"/>
  <c r="T84" i="111"/>
  <c r="T69" i="111"/>
  <c r="T73" i="111"/>
  <c r="J69" i="110"/>
  <c r="M79" i="111"/>
  <c r="O78" i="111"/>
  <c r="T69" i="110"/>
  <c r="T64" i="111"/>
  <c r="AG23" i="111"/>
  <c r="Y79" i="111"/>
  <c r="AH46" i="110"/>
  <c r="T62" i="111"/>
  <c r="T42" i="111"/>
  <c r="D59" i="110"/>
  <c r="K42" i="111"/>
  <c r="N58" i="110"/>
  <c r="R42" i="111"/>
  <c r="R68" i="111"/>
  <c r="R78" i="111" s="1"/>
  <c r="V73" i="111"/>
  <c r="V42" i="111"/>
  <c r="S62" i="110"/>
  <c r="T54" i="110"/>
  <c r="T30" i="110"/>
  <c r="K30" i="110"/>
  <c r="K32" i="110" s="1"/>
  <c r="V31" i="110"/>
  <c r="V32" i="110" s="1"/>
  <c r="V63" i="110"/>
  <c r="S42" i="111"/>
  <c r="U78" i="111"/>
  <c r="O25" i="111"/>
  <c r="O26" i="111" s="1"/>
  <c r="AG16" i="111"/>
  <c r="U62" i="110"/>
  <c r="W42" i="111"/>
  <c r="D22" i="110"/>
  <c r="D90" i="110" s="1"/>
  <c r="AG40" i="111"/>
  <c r="K21" i="111"/>
  <c r="K18" i="111"/>
  <c r="K59" i="111" s="1"/>
  <c r="T22" i="110"/>
  <c r="T90" i="110" s="1"/>
  <c r="T26" i="110"/>
  <c r="I30" i="110"/>
  <c r="I32" i="110" s="1"/>
  <c r="I54" i="110"/>
  <c r="D42" i="111"/>
  <c r="D68" i="111"/>
  <c r="AC30" i="110"/>
  <c r="AG33" i="111"/>
  <c r="V22" i="110"/>
  <c r="V90" i="110" s="1"/>
  <c r="V26" i="110"/>
  <c r="V21" i="111"/>
  <c r="F21" i="111"/>
  <c r="I62" i="111"/>
  <c r="I78" i="111" s="1"/>
  <c r="I42" i="111"/>
  <c r="AG28" i="111"/>
  <c r="AA63" i="110"/>
  <c r="AA68" i="110" s="1"/>
  <c r="AA31" i="110"/>
  <c r="AA32" i="110" s="1"/>
  <c r="B42" i="111"/>
  <c r="N67" i="111"/>
  <c r="N42" i="111"/>
  <c r="K22" i="110"/>
  <c r="K90" i="110" s="1"/>
  <c r="Q42" i="111"/>
  <c r="AG32" i="111"/>
  <c r="E42" i="111"/>
  <c r="T82" i="111"/>
  <c r="T101" i="111"/>
  <c r="G116" i="110"/>
  <c r="D116" i="110"/>
  <c r="G79" i="111"/>
  <c r="E66" i="111"/>
  <c r="E75" i="111"/>
  <c r="E72" i="111"/>
  <c r="E73" i="111"/>
  <c r="E84" i="111"/>
  <c r="E80" i="111"/>
  <c r="E67" i="111"/>
  <c r="E68" i="111"/>
  <c r="E74" i="111"/>
  <c r="E81" i="111"/>
  <c r="E26" i="111"/>
  <c r="E82" i="111"/>
  <c r="E71" i="111"/>
  <c r="E64" i="111"/>
  <c r="E69" i="111"/>
  <c r="E62" i="111"/>
  <c r="E69" i="110"/>
  <c r="Z79" i="111"/>
  <c r="U79" i="111"/>
  <c r="P116" i="110"/>
  <c r="P101" i="111"/>
  <c r="P82" i="111"/>
  <c r="P78" i="111"/>
  <c r="O69" i="110"/>
  <c r="O79" i="111"/>
  <c r="O84" i="111"/>
  <c r="AG54" i="111" l="1"/>
  <c r="F68" i="110"/>
  <c r="AH84" i="110"/>
  <c r="C84" i="111"/>
  <c r="AH22" i="110"/>
  <c r="O32" i="110"/>
  <c r="I43" i="23"/>
  <c r="AH31" i="110"/>
  <c r="AH30" i="110"/>
  <c r="AH26" i="110"/>
  <c r="D38" i="109"/>
  <c r="AE68" i="110"/>
  <c r="AC32" i="110"/>
  <c r="B32" i="110"/>
  <c r="AD68" i="110"/>
  <c r="V68" i="110"/>
  <c r="E68" i="110"/>
  <c r="Z78" i="111"/>
  <c r="L68" i="110"/>
  <c r="H68" i="110"/>
  <c r="M68" i="110"/>
  <c r="K68" i="110"/>
  <c r="V78" i="111"/>
  <c r="L38" i="109"/>
  <c r="O34" i="109"/>
  <c r="O38" i="109" s="1"/>
  <c r="O68" i="110"/>
  <c r="M32" i="110"/>
  <c r="N78" i="111"/>
  <c r="U32" i="110"/>
  <c r="X68" i="110"/>
  <c r="X32" i="110"/>
  <c r="N32" i="110"/>
  <c r="S78" i="111"/>
  <c r="D79" i="111"/>
  <c r="J68" i="110"/>
  <c r="G32" i="110"/>
  <c r="AC68" i="110"/>
  <c r="B79" i="111"/>
  <c r="B78" i="111"/>
  <c r="AG25" i="111"/>
  <c r="AB32" i="110"/>
  <c r="G68" i="110"/>
  <c r="D68" i="110"/>
  <c r="N68" i="110"/>
  <c r="AB68" i="110"/>
  <c r="T32" i="110"/>
  <c r="AC78" i="111"/>
  <c r="T68" i="110"/>
  <c r="T79" i="111"/>
  <c r="W32" i="110"/>
  <c r="C79" i="111"/>
  <c r="I68" i="110"/>
  <c r="AG21" i="111"/>
  <c r="AG18" i="111"/>
  <c r="AH21" i="111"/>
  <c r="J79" i="111"/>
  <c r="J78" i="111"/>
  <c r="T78" i="111"/>
  <c r="S69" i="110"/>
  <c r="S68" i="110"/>
  <c r="E79" i="111"/>
  <c r="U69" i="110"/>
  <c r="U68" i="110"/>
  <c r="AI26" i="110"/>
  <c r="E78" i="111"/>
  <c r="AH96" i="110" l="1"/>
  <c r="AH32" i="110"/>
  <c r="R34" i="109"/>
  <c r="D93" i="111" l="1"/>
  <c r="D63" i="111" s="1"/>
  <c r="D78" i="111" s="1"/>
  <c r="C93" i="111" l="1"/>
  <c r="AG93" i="111" l="1"/>
  <c r="AG63" i="111" s="1"/>
  <c r="C63" i="111"/>
  <c r="C78" i="111" s="1"/>
  <c r="AI63" i="111" l="1"/>
  <c r="H5" i="32" a="1"/>
  <c r="F29" i="30" s="1"/>
  <c r="G29" i="30" s="1"/>
  <c r="L7" i="29" a="1"/>
  <c r="M14" i="29" s="1"/>
  <c r="P10" i="23" a="1"/>
  <c r="Q40" i="23" s="1"/>
  <c r="R40" i="23" s="1"/>
  <c r="S40" i="23" s="1"/>
  <c r="T40" i="23" s="1"/>
  <c r="Q9" i="111"/>
  <c r="Q74" i="111" s="1"/>
  <c r="Q61" i="110"/>
  <c r="Q59" i="110"/>
  <c r="Q62" i="110"/>
  <c r="Q54" i="110"/>
  <c r="Q93" i="110"/>
  <c r="K29" i="23" s="1"/>
  <c r="Q92" i="110"/>
  <c r="Q60" i="110"/>
  <c r="Q65" i="110"/>
  <c r="Q57" i="110"/>
  <c r="Q58" i="110"/>
  <c r="Q56" i="110"/>
  <c r="Q63" i="110"/>
  <c r="Q96" i="110"/>
  <c r="F7" i="28" a="1"/>
  <c r="G27" i="28" s="1"/>
  <c r="AA7" i="31" a="1"/>
  <c r="AB13" i="31" s="1"/>
  <c r="Q8" i="111"/>
  <c r="AG8" i="111" s="1"/>
  <c r="AI8" i="111" s="1"/>
  <c r="Q22" i="23" l="1"/>
  <c r="R22" i="23" s="1"/>
  <c r="S22" i="23" s="1"/>
  <c r="T22" i="23" s="1"/>
  <c r="Q28" i="23"/>
  <c r="R28" i="23" s="1"/>
  <c r="S28" i="23" s="1"/>
  <c r="T28" i="23" s="1"/>
  <c r="AH90" i="110"/>
  <c r="AH62" i="110"/>
  <c r="AJ62" i="110" s="1"/>
  <c r="AK26" i="110"/>
  <c r="Q69" i="110"/>
  <c r="G26" i="28"/>
  <c r="G28" i="28"/>
  <c r="G33" i="28"/>
  <c r="Q71" i="111"/>
  <c r="G21" i="28"/>
  <c r="G16" i="28"/>
  <c r="AH91" i="110"/>
  <c r="AK91" i="110" s="1"/>
  <c r="G31" i="28"/>
  <c r="G9" i="28"/>
  <c r="G14" i="28"/>
  <c r="AH57" i="110"/>
  <c r="AJ57" i="110" s="1"/>
  <c r="G29" i="28"/>
  <c r="AH65" i="110"/>
  <c r="AJ65" i="110" s="1"/>
  <c r="AH55" i="110"/>
  <c r="AJ55" i="110" s="1"/>
  <c r="AH60" i="110"/>
  <c r="AJ60" i="110" s="1"/>
  <c r="AH59" i="110"/>
  <c r="AJ59" i="110" s="1"/>
  <c r="G15" i="28"/>
  <c r="G36" i="28"/>
  <c r="G12" i="28"/>
  <c r="Q14" i="23"/>
  <c r="R14" i="23" s="1"/>
  <c r="S14" i="23" s="1"/>
  <c r="T14" i="23" s="1"/>
  <c r="Q12" i="23"/>
  <c r="R12" i="23" s="1"/>
  <c r="S12" i="23" s="1"/>
  <c r="T12" i="23" s="1"/>
  <c r="Q67" i="111"/>
  <c r="Q37" i="23"/>
  <c r="R37" i="23" s="1"/>
  <c r="S37" i="23" s="1"/>
  <c r="T37" i="23" s="1"/>
  <c r="Q35" i="23"/>
  <c r="R35" i="23" s="1"/>
  <c r="S35" i="23" s="1"/>
  <c r="T35" i="23" s="1"/>
  <c r="Q75" i="111"/>
  <c r="Q36" i="23"/>
  <c r="R36" i="23" s="1"/>
  <c r="S36" i="23" s="1"/>
  <c r="T36" i="23" s="1"/>
  <c r="Q16" i="23"/>
  <c r="R16" i="23" s="1"/>
  <c r="S16" i="23" s="1"/>
  <c r="T16" i="23" s="1"/>
  <c r="Q21" i="23"/>
  <c r="R21" i="23" s="1"/>
  <c r="S21" i="23" s="1"/>
  <c r="T21" i="23" s="1"/>
  <c r="Q24" i="23"/>
  <c r="R24" i="23" s="1"/>
  <c r="S24" i="23" s="1"/>
  <c r="T24" i="23" s="1"/>
  <c r="Q26" i="111"/>
  <c r="Q17" i="23"/>
  <c r="R17" i="23" s="1"/>
  <c r="S17" i="23" s="1"/>
  <c r="T17" i="23" s="1"/>
  <c r="Q72" i="111"/>
  <c r="AJ8" i="110"/>
  <c r="Q23" i="23"/>
  <c r="R23" i="23" s="1"/>
  <c r="S23" i="23" s="1"/>
  <c r="T23" i="23" s="1"/>
  <c r="Q26" i="23"/>
  <c r="R26" i="23" s="1"/>
  <c r="S26" i="23" s="1"/>
  <c r="T26" i="23" s="1"/>
  <c r="Q25" i="23"/>
  <c r="R25" i="23" s="1"/>
  <c r="S25" i="23" s="1"/>
  <c r="T25" i="23" s="1"/>
  <c r="Q64" i="111"/>
  <c r="Q80" i="111"/>
  <c r="Q30" i="23"/>
  <c r="R30" i="23" s="1"/>
  <c r="S30" i="23" s="1"/>
  <c r="T30" i="23" s="1"/>
  <c r="Q33" i="23"/>
  <c r="R33" i="23" s="1"/>
  <c r="S33" i="23" s="1"/>
  <c r="T33" i="23" s="1"/>
  <c r="Q19" i="23"/>
  <c r="R19" i="23" s="1"/>
  <c r="S19" i="23" s="1"/>
  <c r="T19" i="23" s="1"/>
  <c r="Q18" i="23"/>
  <c r="R18" i="23" s="1"/>
  <c r="S18" i="23" s="1"/>
  <c r="T18" i="23" s="1"/>
  <c r="Q68" i="110"/>
  <c r="Q84" i="111"/>
  <c r="Q29" i="23"/>
  <c r="R29" i="23" s="1"/>
  <c r="S29" i="23" s="1"/>
  <c r="T29" i="23" s="1"/>
  <c r="Q11" i="23"/>
  <c r="R11" i="23" s="1"/>
  <c r="S11" i="23" s="1"/>
  <c r="T11" i="23" s="1"/>
  <c r="Q68" i="111"/>
  <c r="Q59" i="111"/>
  <c r="Q32" i="23"/>
  <c r="R32" i="23" s="1"/>
  <c r="S32" i="23" s="1"/>
  <c r="T32" i="23" s="1"/>
  <c r="Q31" i="23"/>
  <c r="R31" i="23" s="1"/>
  <c r="S31" i="23" s="1"/>
  <c r="T31" i="23" s="1"/>
  <c r="AG9" i="111"/>
  <c r="AG62" i="111" s="1"/>
  <c r="AI62" i="111" s="1"/>
  <c r="Q15" i="23"/>
  <c r="R15" i="23" s="1"/>
  <c r="S15" i="23" s="1"/>
  <c r="T15" i="23" s="1"/>
  <c r="Q27" i="23"/>
  <c r="R27" i="23" s="1"/>
  <c r="S27" i="23" s="1"/>
  <c r="T27" i="23" s="1"/>
  <c r="Q39" i="23"/>
  <c r="R39" i="23" s="1"/>
  <c r="S39" i="23" s="1"/>
  <c r="T39" i="23" s="1"/>
  <c r="Q13" i="23"/>
  <c r="R13" i="23" s="1"/>
  <c r="S13" i="23" s="1"/>
  <c r="T13" i="23" s="1"/>
  <c r="Q82" i="111"/>
  <c r="Q38" i="23"/>
  <c r="R38" i="23" s="1"/>
  <c r="S38" i="23" s="1"/>
  <c r="T38" i="23" s="1"/>
  <c r="Q20" i="23"/>
  <c r="R20" i="23" s="1"/>
  <c r="S20" i="23" s="1"/>
  <c r="T20" i="23" s="1"/>
  <c r="Q34" i="23"/>
  <c r="R34" i="23" s="1"/>
  <c r="S34" i="23" s="1"/>
  <c r="T34" i="23" s="1"/>
  <c r="G22" i="28"/>
  <c r="G11" i="28"/>
  <c r="G32" i="28"/>
  <c r="G19" i="28"/>
  <c r="M22" i="29"/>
  <c r="F28" i="30"/>
  <c r="G28" i="30" s="1"/>
  <c r="F21" i="30"/>
  <c r="G21" i="30" s="1"/>
  <c r="AB19" i="31"/>
  <c r="AB27" i="31"/>
  <c r="AB33" i="31"/>
  <c r="AF29" i="111" s="1"/>
  <c r="M26" i="29"/>
  <c r="M10" i="29"/>
  <c r="F17" i="30"/>
  <c r="G17" i="30" s="1"/>
  <c r="F18" i="30"/>
  <c r="G18" i="30" s="1"/>
  <c r="F10" i="30"/>
  <c r="G10" i="30" s="1"/>
  <c r="AB18" i="31"/>
  <c r="AB23" i="31"/>
  <c r="G17" i="28"/>
  <c r="Q73" i="111"/>
  <c r="M19" i="29"/>
  <c r="M21" i="29"/>
  <c r="F26" i="30"/>
  <c r="G26" i="30" s="1"/>
  <c r="AB34" i="31"/>
  <c r="M28" i="29"/>
  <c r="M25" i="29"/>
  <c r="M29" i="29"/>
  <c r="F24" i="30"/>
  <c r="G24" i="30" s="1"/>
  <c r="AB21" i="31"/>
  <c r="M34" i="29"/>
  <c r="M9" i="29"/>
  <c r="F13" i="30"/>
  <c r="G13" i="30" s="1"/>
  <c r="AB30" i="31"/>
  <c r="G20" i="28"/>
  <c r="G37" i="28"/>
  <c r="Q62" i="111"/>
  <c r="M8" i="29"/>
  <c r="M33" i="29"/>
  <c r="F22" i="30"/>
  <c r="G22" i="30" s="1"/>
  <c r="F31" i="30"/>
  <c r="G31" i="30" s="1"/>
  <c r="AH54" i="110"/>
  <c r="AB17" i="31"/>
  <c r="F32" i="30"/>
  <c r="G32" i="30" s="1"/>
  <c r="AB26" i="31"/>
  <c r="F14" i="30"/>
  <c r="G14" i="30" s="1"/>
  <c r="AB8" i="31"/>
  <c r="M16" i="29"/>
  <c r="M17" i="29"/>
  <c r="F36" i="30"/>
  <c r="G36" i="30" s="1"/>
  <c r="AB31" i="31"/>
  <c r="AD29" i="111" s="1"/>
  <c r="AB16" i="31"/>
  <c r="G30" i="28"/>
  <c r="M18" i="29"/>
  <c r="G34" i="28"/>
  <c r="M12" i="29"/>
  <c r="F27" i="30"/>
  <c r="G27" i="30" s="1"/>
  <c r="F11" i="30"/>
  <c r="G11" i="30" s="1"/>
  <c r="G35" i="28"/>
  <c r="G10" i="28"/>
  <c r="AH63" i="110"/>
  <c r="AJ63" i="110" s="1"/>
  <c r="M30" i="29"/>
  <c r="M36" i="29"/>
  <c r="F16" i="30"/>
  <c r="G16" i="30" s="1"/>
  <c r="AB15" i="31"/>
  <c r="G24" i="28"/>
  <c r="G13" i="28"/>
  <c r="AH56" i="110"/>
  <c r="AJ56" i="110" s="1"/>
  <c r="M31" i="29"/>
  <c r="M11" i="29"/>
  <c r="F15" i="30"/>
  <c r="G15" i="30" s="1"/>
  <c r="F20" i="30"/>
  <c r="G20" i="30" s="1"/>
  <c r="AB22" i="31"/>
  <c r="G23" i="28"/>
  <c r="G8" i="28"/>
  <c r="M15" i="29"/>
  <c r="F34" i="30"/>
  <c r="G34" i="30" s="1"/>
  <c r="F30" i="30"/>
  <c r="G30" i="30" s="1"/>
  <c r="AB25" i="31"/>
  <c r="AB35" i="31"/>
  <c r="M24" i="29"/>
  <c r="AB9" i="31"/>
  <c r="M13" i="29"/>
  <c r="AB14" i="31"/>
  <c r="AB20" i="31"/>
  <c r="G25" i="28"/>
  <c r="Q81" i="111"/>
  <c r="AH58" i="110"/>
  <c r="AJ58" i="110" s="1"/>
  <c r="M20" i="29"/>
  <c r="F8" i="30"/>
  <c r="G8" i="30" s="1"/>
  <c r="F33" i="30"/>
  <c r="G33" i="30" s="1"/>
  <c r="AB12" i="31"/>
  <c r="AB28" i="31"/>
  <c r="G18" i="28"/>
  <c r="Q66" i="111"/>
  <c r="M32" i="29"/>
  <c r="F25" i="30"/>
  <c r="G25" i="30" s="1"/>
  <c r="Q69" i="111"/>
  <c r="M27" i="29"/>
  <c r="F9" i="30"/>
  <c r="G9" i="30" s="1"/>
  <c r="F23" i="30"/>
  <c r="G23" i="30" s="1"/>
  <c r="M23" i="29"/>
  <c r="F12" i="30"/>
  <c r="G12" i="30" s="1"/>
  <c r="AB36" i="31"/>
  <c r="AB29" i="31"/>
  <c r="AB32" i="31"/>
  <c r="AE29" i="111" s="1"/>
  <c r="AE42" i="111" s="1"/>
  <c r="M35" i="29"/>
  <c r="F19" i="30"/>
  <c r="G19" i="30" s="1"/>
  <c r="AB24" i="31"/>
  <c r="AB11" i="31"/>
  <c r="AB10" i="31"/>
  <c r="F35" i="30"/>
  <c r="G35" i="30" s="1"/>
  <c r="AG67" i="111" l="1"/>
  <c r="AI67" i="111" s="1"/>
  <c r="AF42" i="111"/>
  <c r="AF64" i="111"/>
  <c r="AF78" i="111" s="1"/>
  <c r="AJ21" i="111"/>
  <c r="AG84" i="111"/>
  <c r="AI84" i="111" s="1"/>
  <c r="AG74" i="111"/>
  <c r="AI74" i="111" s="1"/>
  <c r="AG66" i="111"/>
  <c r="AI66" i="111" s="1"/>
  <c r="AG71" i="111"/>
  <c r="AI71" i="111" s="1"/>
  <c r="AG72" i="111"/>
  <c r="AI72" i="111" s="1"/>
  <c r="AG59" i="111"/>
  <c r="AI59" i="111" s="1"/>
  <c r="AG75" i="111"/>
  <c r="AI75" i="111" s="1"/>
  <c r="AG68" i="111"/>
  <c r="AI68" i="111" s="1"/>
  <c r="AG69" i="111"/>
  <c r="AG82" i="111"/>
  <c r="AI82" i="111" s="1"/>
  <c r="AG73" i="111"/>
  <c r="AI73" i="111" s="1"/>
  <c r="AG80" i="111"/>
  <c r="AI80" i="111" s="1"/>
  <c r="Q79" i="111"/>
  <c r="AJ90" i="110"/>
  <c r="AK90" i="110"/>
  <c r="Q78" i="111"/>
  <c r="M38" i="29"/>
  <c r="O38" i="29" s="1"/>
  <c r="AK92" i="110"/>
  <c r="AJ92" i="110"/>
  <c r="AK96" i="110"/>
  <c r="AJ96" i="110"/>
  <c r="AD42" i="111"/>
  <c r="AG29" i="111"/>
  <c r="AG64" i="111" s="1"/>
  <c r="AJ54" i="110"/>
  <c r="AG42" i="111" l="1"/>
  <c r="AG79" i="111"/>
  <c r="AI69" i="111"/>
  <c r="AI79" i="111" s="1"/>
  <c r="AI64" i="111"/>
  <c r="AG78" i="111"/>
  <c r="AI78" i="111" s="1"/>
  <c r="S39" i="28" l="1"/>
  <c r="S38" i="28"/>
  <c r="S37" i="28"/>
  <c r="S36" i="28"/>
  <c r="S35" i="28"/>
  <c r="S34" i="28"/>
  <c r="S33" i="28"/>
  <c r="S32" i="28"/>
  <c r="S31" i="28"/>
  <c r="S30" i="28"/>
  <c r="S29" i="28"/>
  <c r="S28" i="28"/>
  <c r="S27" i="28"/>
  <c r="S26" i="28"/>
  <c r="S25" i="28"/>
  <c r="S24" i="28"/>
  <c r="S23" i="28"/>
  <c r="S22" i="28"/>
  <c r="S21" i="28"/>
  <c r="S20" i="28"/>
  <c r="S19" i="28"/>
  <c r="S18" i="28"/>
  <c r="S17" i="28"/>
  <c r="S16" i="28"/>
  <c r="S15" i="28"/>
  <c r="S14" i="28"/>
  <c r="S13" i="28"/>
  <c r="S12" i="28"/>
  <c r="S11" i="28"/>
  <c r="S10" i="28"/>
  <c r="S9" i="28"/>
  <c r="S8" i="28"/>
  <c r="S7" i="28"/>
  <c r="O7" i="28"/>
  <c r="F7" i="28"/>
  <c r="E7" i="28"/>
  <c r="H5" i="32"/>
  <c r="AA7" i="31"/>
  <c r="L7" i="29"/>
  <c r="M7" i="29" s="1"/>
  <c r="P10" i="23"/>
  <c r="B83" i="110"/>
  <c r="B82" i="110"/>
  <c r="AH82" i="110" s="1"/>
  <c r="B81" i="110"/>
  <c r="AH81" i="110" s="1"/>
  <c r="AH77" i="110" s="1"/>
  <c r="AH75" i="110" s="1"/>
  <c r="B78" i="110" s="1"/>
  <c r="AH78" i="110" s="1"/>
  <c r="AH95" i="110" s="1"/>
  <c r="AK95" i="110" s="1"/>
  <c r="B80" i="110"/>
  <c r="B77" i="110"/>
  <c r="B76" i="110"/>
  <c r="B75" i="110"/>
  <c r="B43" i="110"/>
  <c r="E38" i="28" l="1"/>
  <c r="K10" i="23"/>
  <c r="K43" i="23" s="1"/>
  <c r="F7" i="30"/>
  <c r="H36" i="32"/>
  <c r="F38" i="28"/>
  <c r="G7" i="28"/>
  <c r="P43" i="23"/>
  <c r="Q44" i="23" s="1"/>
  <c r="R44" i="23" s="1"/>
  <c r="S44" i="23" s="1"/>
  <c r="Q10" i="23"/>
  <c r="R10" i="23" s="1"/>
  <c r="S10" i="23" s="1"/>
  <c r="AB7" i="31"/>
  <c r="AA38" i="31"/>
  <c r="AB38" i="31" s="1"/>
  <c r="AD38" i="31" s="1"/>
  <c r="B94" i="110"/>
  <c r="B116" i="110"/>
  <c r="AH80" i="110"/>
  <c r="B50" i="110"/>
  <c r="AH50" i="110" s="1"/>
  <c r="AH43" i="110"/>
  <c r="AH61" i="110" s="1"/>
  <c r="B61" i="110"/>
  <c r="B93" i="110"/>
  <c r="AH76" i="110"/>
  <c r="AH93" i="110" s="1"/>
  <c r="B49" i="111"/>
  <c r="T10" i="23" l="1"/>
  <c r="T44" i="23"/>
  <c r="G38" i="28"/>
  <c r="F38" i="30"/>
  <c r="G38" i="30" s="1"/>
  <c r="I38" i="30" s="1"/>
  <c r="G7" i="30"/>
  <c r="AH83" i="110" s="1"/>
  <c r="AH140" i="110" s="1"/>
  <c r="AJ93" i="110"/>
  <c r="AK93" i="110"/>
  <c r="AG49" i="111"/>
  <c r="AG81" i="111" s="1"/>
  <c r="AI81" i="111" s="1"/>
  <c r="B81" i="111"/>
  <c r="B68" i="110"/>
  <c r="B69" i="110"/>
  <c r="AH69" i="110"/>
  <c r="AH68" i="110"/>
  <c r="AJ61" i="110"/>
  <c r="AH116" i="110"/>
  <c r="AH94" i="110" l="1"/>
  <c r="AK94" i="110" s="1"/>
  <c r="AJ94" i="110"/>
  <c r="AJ68" i="110"/>
  <c r="AJ69" i="1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Alexander Dominguez-Ramon</author>
  </authors>
  <commentList>
    <comment ref="AD9" authorId="0" shapeId="0" xr:uid="{CCA3D7E4-4195-4D57-92A7-EE9D4E69D455}">
      <text>
        <r>
          <rPr>
            <b/>
            <sz val="9"/>
            <color indexed="81"/>
            <rFont val="Tahoma"/>
            <family val="2"/>
          </rPr>
          <t>Alexander Dominguez-Ramon:</t>
        </r>
        <r>
          <rPr>
            <sz val="9"/>
            <color indexed="81"/>
            <rFont val="Tahoma"/>
            <family val="2"/>
          </rPr>
          <t xml:space="preserve">
Totalizer Failure</t>
        </r>
      </text>
    </comment>
    <comment ref="AD33" authorId="0" shapeId="0" xr:uid="{95C1DABE-57DF-4FF3-998A-AA3B924D8EDA}">
      <text>
        <r>
          <rPr>
            <b/>
            <sz val="9"/>
            <color indexed="81"/>
            <rFont val="Tahoma"/>
            <family val="2"/>
          </rPr>
          <t>Alexander Dominguez-Ramon:</t>
        </r>
        <r>
          <rPr>
            <sz val="9"/>
            <color indexed="81"/>
            <rFont val="Tahoma"/>
            <family val="2"/>
          </rPr>
          <t xml:space="preserve">
Meter is going backwards</t>
        </r>
      </text>
    </comment>
    <comment ref="AD36" authorId="0" shapeId="0" xr:uid="{314007CE-7E55-4A1C-9CA1-C6BB295D32E8}">
      <text>
        <r>
          <rPr>
            <b/>
            <sz val="9"/>
            <color indexed="81"/>
            <rFont val="Tahoma"/>
            <family val="2"/>
          </rPr>
          <t>Alexander Dominguez-Ramon:</t>
        </r>
        <r>
          <rPr>
            <sz val="9"/>
            <color indexed="81"/>
            <rFont val="Tahoma"/>
            <family val="2"/>
          </rPr>
          <t xml:space="preserve">
METER FAULTY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boyd</author>
  </authors>
  <commentList>
    <comment ref="S4" authorId="0" shapeId="0" xr:uid="{00000000-0006-0000-0500-000001000000}">
      <text>
        <r>
          <rPr>
            <b/>
            <sz val="8"/>
            <color indexed="81"/>
            <rFont val="Tahoma"/>
            <family val="2"/>
          </rPr>
          <t>Note: this is not truly accurate since this includes the service water reading on the inlet and not the outlet side (meters to be installed there)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boyd</author>
  </authors>
  <commentList>
    <comment ref="C4" authorId="0" shapeId="0" xr:uid="{00000000-0006-0000-0600-000001000000}">
      <text>
        <r>
          <rPr>
            <b/>
            <sz val="8"/>
            <color indexed="81"/>
            <rFont val="Tahoma"/>
            <family val="2"/>
          </rPr>
          <t xml:space="preserve">Note: Unit of measurement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Anthony Foresyth</author>
  </authors>
  <commentList>
    <comment ref="A79" authorId="0" shapeId="0" xr:uid="{00000000-0006-0000-0900-000005000000}">
      <text>
        <r>
          <rPr>
            <b/>
            <sz val="9"/>
            <color indexed="81"/>
            <rFont val="Tahoma"/>
            <family val="2"/>
          </rPr>
          <t>RAntoine:</t>
        </r>
        <r>
          <rPr>
            <sz val="9"/>
            <color indexed="81"/>
            <rFont val="Tahoma"/>
            <family val="2"/>
          </rPr>
          <t xml:space="preserve">
Line deleted by MD on April 20, 2011. Do not reinsert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Alexander Dominguez-Ramon</author>
    <author>Kaylil Baptiste</author>
    <author>Anthony Foresyth</author>
    <author>Delano Pasea</author>
  </authors>
  <commentList>
    <comment ref="X42" authorId="0" shapeId="0" xr:uid="{D200CCA4-5A3B-4ABF-9D4A-6C0BCF27AD5A}">
      <text>
        <r>
          <rPr>
            <b/>
            <sz val="12"/>
            <color indexed="81"/>
            <rFont val="Tahoma"/>
            <family val="2"/>
          </rPr>
          <t>Alexander Dominguez-Ramon:</t>
        </r>
        <r>
          <rPr>
            <sz val="12"/>
            <color indexed="81"/>
            <rFont val="Tahoma"/>
            <family val="2"/>
          </rPr>
          <t xml:space="preserve">
New Modulating Valve Connected last Saturday</t>
        </r>
      </text>
    </comment>
    <comment ref="E44" authorId="1" shapeId="0" xr:uid="{0494C8BC-B5D4-4A72-9FA6-E3C7C03DA7DC}">
      <text>
        <r>
          <rPr>
            <b/>
            <sz val="9"/>
            <color indexed="81"/>
            <rFont val="Tahoma"/>
            <family val="2"/>
          </rPr>
          <t>Kaylil Baptiste:</t>
        </r>
        <r>
          <rPr>
            <sz val="9"/>
            <color indexed="81"/>
            <rFont val="Tahoma"/>
            <family val="2"/>
          </rPr>
          <t xml:space="preserve">
CIP</t>
        </r>
      </text>
    </comment>
    <comment ref="AE44" authorId="0" shapeId="0" xr:uid="{7F13906F-2FE9-4733-8988-2D938D0EDC6F}">
      <text>
        <r>
          <rPr>
            <b/>
            <sz val="14"/>
            <color indexed="81"/>
            <rFont val="Tahoma"/>
            <family val="2"/>
          </rPr>
          <t>Alexander Dominguez-Ramon:</t>
        </r>
        <r>
          <rPr>
            <sz val="14"/>
            <color indexed="81"/>
            <rFont val="Tahoma"/>
            <family val="2"/>
          </rPr>
          <t xml:space="preserve">
</t>
        </r>
        <r>
          <rPr>
            <sz val="16"/>
            <color indexed="81"/>
            <rFont val="Tahoma"/>
            <family val="2"/>
          </rPr>
          <t>For recipes with high PU values, the pasteurizer control algorithm performs more frequent temperature adjustments by switching the suction point between TK2–TK6 and TK3–TK5. This increases the likelihood of fresh water entering the system. In addition, the filters have not been cleaned frequently enough, which affects tank-level control and contributes to tank overflow.</t>
        </r>
        <r>
          <rPr>
            <sz val="14"/>
            <color indexed="81"/>
            <rFont val="Tahoma"/>
            <family val="2"/>
          </rPr>
          <t xml:space="preserve">
</t>
        </r>
      </text>
    </comment>
    <comment ref="A69" authorId="2" shapeId="0" xr:uid="{ED9D378C-2650-49E3-9B15-6A52CFC9A936}">
      <text>
        <r>
          <rPr>
            <b/>
            <sz val="9"/>
            <color indexed="81"/>
            <rFont val="Tahoma"/>
            <family val="2"/>
          </rPr>
          <t>RAntoine:</t>
        </r>
        <r>
          <rPr>
            <sz val="9"/>
            <color indexed="81"/>
            <rFont val="Tahoma"/>
            <family val="2"/>
          </rPr>
          <t xml:space="preserve">
Line deleted by MD on April 20, 2011. Do not reinsert</t>
        </r>
      </text>
    </comment>
    <comment ref="B74" authorId="3" shapeId="0" xr:uid="{37CEE4E6-B440-4C7C-AFE3-82A5182C8763}">
      <text>
        <r>
          <rPr>
            <sz val="12"/>
            <color indexed="81"/>
            <rFont val="Tahoma"/>
            <family val="2"/>
          </rPr>
          <t xml:space="preserve">Tank A 8400kgs
Tank B 0kgs
Tank C 18300 Kgs
mobile approx 0 Kgs 
</t>
        </r>
      </text>
    </comment>
    <comment ref="C74" authorId="3" shapeId="0" xr:uid="{DD60F4FF-7291-4761-9D3A-F93E8EAFEC4F}">
      <text>
        <r>
          <rPr>
            <sz val="12"/>
            <color indexed="81"/>
            <rFont val="Tahoma"/>
            <family val="2"/>
          </rPr>
          <t xml:space="preserve">Tank A 5600kgs
Tank B 0kgs
Tank C 18300 Kgs
mobile approx 0 Kgs 
</t>
        </r>
      </text>
    </comment>
    <comment ref="D74" authorId="3" shapeId="0" xr:uid="{C6719442-840A-4FDA-8FA2-839942FD8BA1}">
      <text>
        <r>
          <rPr>
            <sz val="12"/>
            <color indexed="81"/>
            <rFont val="Tahoma"/>
            <family val="2"/>
          </rPr>
          <t xml:space="preserve">Tank A3100kgs
Tank B 0kgs
Tank C 18300 Kgs
mobile approx 0 Kgs 
</t>
        </r>
      </text>
    </comment>
    <comment ref="E74" authorId="3" shapeId="0" xr:uid="{CC7F2E65-743E-4BA6-86BD-F6873FE51D16}">
      <text>
        <r>
          <rPr>
            <sz val="12"/>
            <color indexed="81"/>
            <rFont val="Tahoma"/>
            <family val="2"/>
          </rPr>
          <t xml:space="preserve">Tank A 0kgs
Tank B 0kgs
Tank C 18300 Kgs
mobile approx 0 Kgs 
</t>
        </r>
      </text>
    </comment>
    <comment ref="F74" authorId="3" shapeId="0" xr:uid="{E4D5553C-82BD-4BB3-9562-9A18162D84ED}">
      <text>
        <r>
          <rPr>
            <sz val="12"/>
            <color indexed="81"/>
            <rFont val="Tahoma"/>
            <family val="2"/>
          </rPr>
          <t xml:space="preserve">Tank A 0kgs
Tank B 0kgs
Tank C 18300 Kgs
mobile approx 0 Kgs 
</t>
        </r>
      </text>
    </comment>
    <comment ref="G74" authorId="3" shapeId="0" xr:uid="{45A9784C-B8D8-41FC-BE21-AFA562EBBC09}">
      <text>
        <r>
          <rPr>
            <sz val="12"/>
            <color indexed="81"/>
            <rFont val="Tahoma"/>
            <family val="2"/>
          </rPr>
          <t xml:space="preserve">Tank A 0kgs
Tank B 0kgs
Tank C 18300 Kgs
mobile approx 0 Kgs 
</t>
        </r>
      </text>
    </comment>
    <comment ref="H74" authorId="3" shapeId="0" xr:uid="{F6AA4CA4-072F-4DAD-AE14-D827CD59D495}">
      <text>
        <r>
          <rPr>
            <sz val="12"/>
            <color indexed="81"/>
            <rFont val="Tahoma"/>
            <family val="2"/>
          </rPr>
          <t xml:space="preserve">Tank A 0kgs
Tank B 0kgs
Tank C 16700 Kgs
mobile approx 17900 Kgs 
</t>
        </r>
      </text>
    </comment>
    <comment ref="I74" authorId="3" shapeId="0" xr:uid="{87368F62-61E6-490E-B83D-369ACD5B5184}">
      <text>
        <r>
          <rPr>
            <sz val="12"/>
            <color indexed="81"/>
            <rFont val="Tahoma"/>
            <family val="2"/>
          </rPr>
          <t xml:space="preserve">Tank A 0kgs
Tank B 0kgs
Tank C 15100 Kgs
mobile approx 17900 Kgs 
</t>
        </r>
      </text>
    </comment>
    <comment ref="J74" authorId="3" shapeId="0" xr:uid="{C8AC65D1-C35A-4FA3-82B7-0F52FE984608}">
      <text>
        <r>
          <rPr>
            <sz val="12"/>
            <color indexed="81"/>
            <rFont val="Tahoma"/>
            <family val="2"/>
          </rPr>
          <t xml:space="preserve">Tank A 0kgs
Tank B 0kgs
Tank C 13000 Kgs
mobile approx 16800 Kgs 
</t>
        </r>
      </text>
    </comment>
    <comment ref="K74" authorId="3" shapeId="0" xr:uid="{37E18866-EDF2-447B-B373-8399D415CD6D}">
      <text>
        <r>
          <rPr>
            <sz val="12"/>
            <color indexed="81"/>
            <rFont val="Tahoma"/>
            <family val="2"/>
          </rPr>
          <t>Tank A 11100kgs
Tank B 3000kgs
Tank C 12600 Kgs
mobile approx 0Kgs 
 0 kgs unaccounted for.</t>
        </r>
      </text>
    </comment>
    <comment ref="L74" authorId="3" shapeId="0" xr:uid="{D762D83D-FCA3-4412-90C1-9CF0C4249DAD}">
      <text>
        <r>
          <rPr>
            <sz val="12"/>
            <color indexed="81"/>
            <rFont val="Tahoma"/>
            <family val="2"/>
          </rPr>
          <t>Tank A 11100kgs
Tank B 2600kgs
Tank C 12600 Kgs
mobile approx 0Kgs 
3500kgs unaccounted for.</t>
        </r>
      </text>
    </comment>
    <comment ref="M74" authorId="3" shapeId="0" xr:uid="{B353F0C9-D691-437E-827A-A6E33F97F1A4}">
      <text>
        <r>
          <rPr>
            <sz val="12"/>
            <color indexed="81"/>
            <rFont val="Tahoma"/>
            <family val="2"/>
          </rPr>
          <t>Tank A 11100kgs
Tank B 2300kgs
Tank C 12600 Kgs
mobile approx 0Kgs 
 0kgs unaccounted for.</t>
        </r>
      </text>
    </comment>
    <comment ref="N74" authorId="3" shapeId="0" xr:uid="{12286469-2753-495F-A929-50AD59CEC448}">
      <text>
        <r>
          <rPr>
            <sz val="12"/>
            <color indexed="81"/>
            <rFont val="Tahoma"/>
            <family val="2"/>
          </rPr>
          <t xml:space="preserve">Tank A 11100 kgs
Tank B 1800 kgs
Tank C 12600 Kgs
mobile approx 18700 Kgs 
</t>
        </r>
      </text>
    </comment>
    <comment ref="O74" authorId="3" shapeId="0" xr:uid="{3579C55E-0FBF-4192-BCFC-921D0BB0B8A1}">
      <text>
        <r>
          <rPr>
            <sz val="12"/>
            <color indexed="81"/>
            <rFont val="Tahoma"/>
            <family val="2"/>
          </rPr>
          <t xml:space="preserve">Tank A 11100 kgs
Tank B 0 kgs
Tank C 12600 Kgs
mobile approx 18700Kgs 
</t>
        </r>
      </text>
    </comment>
    <comment ref="P74" authorId="3" shapeId="0" xr:uid="{497CA2F5-E232-4C79-AB7B-E6B03F30EA7B}">
      <text>
        <r>
          <rPr>
            <sz val="12"/>
            <color indexed="81"/>
            <rFont val="Tahoma"/>
            <family val="2"/>
          </rPr>
          <t xml:space="preserve">Tank A 9900 kgs
Tank B 0 kgs
Tank C 11000 Kgs
mobile approx 18700Kgs 
</t>
        </r>
      </text>
    </comment>
    <comment ref="Q74" authorId="3" shapeId="0" xr:uid="{2940B241-7E42-4733-BC9B-3E4EE2009090}">
      <text>
        <r>
          <rPr>
            <sz val="12"/>
            <color indexed="81"/>
            <rFont val="Tahoma"/>
            <family val="2"/>
          </rPr>
          <t xml:space="preserve">Tank A 9900 kgs
Tank B 1750 kgs (2900)
Tank C 24900 Kgs
mobile approx 0Kgs 
</t>
        </r>
      </text>
    </comment>
    <comment ref="R74" authorId="3" shapeId="0" xr:uid="{3CAAD8C2-5289-4425-A384-8CA39027544D}">
      <text>
        <r>
          <rPr>
            <sz val="12"/>
            <color indexed="81"/>
            <rFont val="Tahoma"/>
            <family val="2"/>
          </rPr>
          <t xml:space="preserve">Tank A 9900 kgs
Tank B 600 kgs
Tank C 24900 Kgs
mobile approx 0Kgs 
</t>
        </r>
      </text>
    </comment>
    <comment ref="S74" authorId="3" shapeId="0" xr:uid="{102419E4-2DFE-4B13-B9F2-2592C3A6C853}">
      <text>
        <r>
          <rPr>
            <sz val="12"/>
            <color indexed="81"/>
            <rFont val="Tahoma"/>
            <family val="2"/>
          </rPr>
          <t>Tank A 8700 kgs
Tank B 0 kgs
Tank C 24900 Kgs
mobile approx 0Kgs 
Adjustment from full and empty mobile weight from port vs difference using tare weight
18700 -17800=900</t>
        </r>
      </text>
    </comment>
    <comment ref="T74" authorId="3" shapeId="0" xr:uid="{BDED0FC3-5B48-4973-ACAA-D5D888B3963C}">
      <text>
        <r>
          <rPr>
            <sz val="12"/>
            <color indexed="81"/>
            <rFont val="Tahoma"/>
            <family val="2"/>
          </rPr>
          <t xml:space="preserve">Tank A 8700 kgs
Tank B 0 kgs
Tank C 24900 Kgs
mobile approx 0Kgs 
</t>
        </r>
      </text>
    </comment>
    <comment ref="U74" authorId="3" shapeId="0" xr:uid="{979BC0A3-1D36-4BDA-A652-B23152F33605}">
      <text>
        <r>
          <rPr>
            <sz val="12"/>
            <color indexed="81"/>
            <rFont val="Tahoma"/>
            <family val="2"/>
          </rPr>
          <t xml:space="preserve">Tank A 7900 kgs
Tank B 0 kgs
Tank C 24900 Kgs
mobile approx 0Kgs 
</t>
        </r>
      </text>
    </comment>
    <comment ref="V74" authorId="3" shapeId="0" xr:uid="{B5B936DE-B1CF-4152-A9CC-59F71CE5A92B}">
      <text>
        <r>
          <rPr>
            <sz val="12"/>
            <color indexed="81"/>
            <rFont val="Tahoma"/>
            <family val="2"/>
          </rPr>
          <t xml:space="preserve">Tank A 5700 kgs
Tank B 0 kgs
Tank C 24900 Kgs
mobile approx 0Kgs 
</t>
        </r>
      </text>
    </comment>
    <comment ref="W74" authorId="3" shapeId="0" xr:uid="{E1DC69D8-C82D-44DD-B72D-8C2E4CC13758}">
      <text>
        <r>
          <rPr>
            <sz val="12"/>
            <color indexed="81"/>
            <rFont val="Tahoma"/>
            <family val="2"/>
          </rPr>
          <t xml:space="preserve">Tank A 3700 kgs
Tank B 0 kgs
Tank C 24000 Kgs
mobile approx 0Kgs 
</t>
        </r>
      </text>
    </comment>
    <comment ref="X74" authorId="3" shapeId="0" xr:uid="{D50A6E9E-4A58-4E3C-B5F1-95A7BDB97EED}">
      <text>
        <r>
          <rPr>
            <sz val="12"/>
            <color indexed="81"/>
            <rFont val="Tahoma"/>
            <family val="2"/>
          </rPr>
          <t xml:space="preserve">Tank A 2000 kgs
Tank B 0 kgs
Tank C 24000 Kgs
mobile approx 0Kgs 
</t>
        </r>
      </text>
    </comment>
    <comment ref="Y74" authorId="3" shapeId="0" xr:uid="{851E3506-15DC-49AE-A71B-D0CA2042111B}">
      <text>
        <r>
          <rPr>
            <sz val="12"/>
            <color indexed="81"/>
            <rFont val="Tahoma"/>
            <family val="2"/>
          </rPr>
          <t xml:space="preserve">Tank A0 kgs
Tank B 0 kgs
Tank C23600 Kgs
mobile approx 0Kgs 
</t>
        </r>
      </text>
    </comment>
    <comment ref="Z74" authorId="3" shapeId="0" xr:uid="{669E8CA0-15A4-49D5-A8EC-C9762D03130D}">
      <text>
        <r>
          <rPr>
            <sz val="12"/>
            <color indexed="81"/>
            <rFont val="Tahoma"/>
            <family val="2"/>
          </rPr>
          <t xml:space="preserve">Tank A0 kgs
Tank B 0 kgs
Tank C21600 Kgs
mobile approx 0Kgs 
</t>
        </r>
      </text>
    </comment>
    <comment ref="AA74" authorId="3" shapeId="0" xr:uid="{2ABB41A4-0DFC-479B-B517-5BD0AD5B182A}">
      <text>
        <r>
          <rPr>
            <sz val="12"/>
            <color indexed="81"/>
            <rFont val="Tahoma"/>
            <family val="2"/>
          </rPr>
          <t xml:space="preserve">Tank A0 kgs
Tank B 0 kgs
Tank C21600 Kgs
mobile approx 0Kgs 
</t>
        </r>
      </text>
    </comment>
    <comment ref="AB74" authorId="3" shapeId="0" xr:uid="{0380CF21-FF6A-4B18-A0DA-078E1325F242}">
      <text>
        <r>
          <rPr>
            <sz val="12"/>
            <color indexed="81"/>
            <rFont val="Tahoma"/>
            <family val="2"/>
          </rPr>
          <t xml:space="preserve">Tank A0 kgs
Tank B 0 kgs
Tank C21600 Kgs
mobile approx 17700
Kgs 
</t>
        </r>
      </text>
    </comment>
    <comment ref="AC74" authorId="3" shapeId="0" xr:uid="{6A85655B-5E74-4269-8517-2D8512F4483D}">
      <text>
        <r>
          <rPr>
            <sz val="12"/>
            <color indexed="81"/>
            <rFont val="Tahoma"/>
            <family val="2"/>
          </rPr>
          <t xml:space="preserve">Tank A0 kgs
Tank B 0 kgs
Tank C20000 Kgs
mobile approx 17700Kgs 
</t>
        </r>
      </text>
    </comment>
    <comment ref="AD74" authorId="3" shapeId="0" xr:uid="{0B58E19E-A2D4-421B-9F74-7650DDE43659}">
      <text>
        <r>
          <rPr>
            <sz val="12"/>
            <color indexed="81"/>
            <rFont val="Tahoma"/>
            <family val="2"/>
          </rPr>
          <t xml:space="preserve">Tank A 11400 kgs
Tank B 2000 kgs
Tank C 20000 Kgs
mobile approx 0 Kgs
800 Kgs unaccounted for 
</t>
        </r>
      </text>
    </comment>
    <comment ref="AE74" authorId="3" shapeId="0" xr:uid="{4520CC19-51F6-4209-B4D4-8FC96E2E8C31}">
      <text>
        <r>
          <rPr>
            <sz val="12"/>
            <color indexed="81"/>
            <rFont val="Tahoma"/>
            <family val="2"/>
          </rPr>
          <t xml:space="preserve">Tank A 11400 kgs
Tank B 0 kgs
Tank C 20000 Kgs
mobile approx 0 Kgs
800 Kgs unaccounted for 
</t>
        </r>
      </text>
    </comment>
    <comment ref="AF74" authorId="3" shapeId="0" xr:uid="{47BF2C30-654A-445A-AEDE-5C775B81EF63}">
      <text>
        <r>
          <rPr>
            <sz val="12"/>
            <color indexed="81"/>
            <rFont val="Tahoma"/>
            <family val="2"/>
          </rPr>
          <t xml:space="preserve">Tank A 8900 kgs
Tank B 0 kgs
Tank C 20000 Kgs
mobile approx 0 Kgs
800 Kgs unaccounted for 
</t>
        </r>
      </text>
    </comment>
    <comment ref="AG74" authorId="3" shapeId="0" xr:uid="{796C4723-C66B-48A8-A008-37B64F80043E}">
      <text>
        <r>
          <rPr>
            <sz val="12"/>
            <color indexed="81"/>
            <rFont val="Tahoma"/>
            <family val="2"/>
          </rPr>
          <t xml:space="preserve">Tank A7000 kgs
Tank B 0 kgs
Tank C 20000 Kgs
mobile approx 0 Kgs
800 Kgs unaccounted for 
</t>
        </r>
      </text>
    </comment>
    <comment ref="K75" authorId="0" shapeId="0" xr:uid="{FF55E5D2-27BD-41AA-A852-D6BFD47281E7}">
      <text>
        <r>
          <rPr>
            <b/>
            <sz val="14"/>
            <color indexed="81"/>
            <rFont val="Tahoma"/>
            <family val="2"/>
          </rPr>
          <t>Alexander Dominguez-Ramon:</t>
        </r>
        <r>
          <rPr>
            <sz val="14"/>
            <color indexed="81"/>
            <rFont val="Tahoma"/>
            <family val="2"/>
          </rPr>
          <t xml:space="preserve">
New configuration parameters have been adjusted on Totalizer Flowmeter Prowirl R200 (density, temperature)
4:00 PM</t>
        </r>
      </text>
    </comment>
    <comment ref="AE75" authorId="0" shapeId="0" xr:uid="{74FDFA5D-8177-4812-AE6C-B2B9327380BE}">
      <text>
        <r>
          <rPr>
            <b/>
            <sz val="9"/>
            <color indexed="81"/>
            <rFont val="Tahoma"/>
            <family val="2"/>
          </rPr>
          <t>Alexander Dominguez-Ramon:</t>
        </r>
        <r>
          <rPr>
            <sz val="9"/>
            <color indexed="81"/>
            <rFont val="Tahoma"/>
            <family val="2"/>
          </rPr>
          <t xml:space="preserve">
Reading Ne Flowmeter</t>
        </r>
      </text>
    </comment>
    <comment ref="L80" authorId="0" shapeId="0" xr:uid="{B0250DD2-493F-4236-BB48-D902450D067E}">
      <text>
        <r>
          <rPr>
            <b/>
            <sz val="16"/>
            <color indexed="81"/>
            <rFont val="Tahoma"/>
            <family val="2"/>
          </rPr>
          <t>Alexander Dominguez-Ramon:
Yesterday 2/11/2026 the Setpoint of the RU2 Hanbell Screw Compressor was setted at -2 °C at 8:30 am.
Temperature On: 0 °C
Temperature Off: -2 °C</t>
        </r>
        <r>
          <rPr>
            <sz val="9"/>
            <color indexed="81"/>
            <rFont val="Tahoma"/>
            <family val="2"/>
          </rPr>
          <t xml:space="preserve">
</t>
        </r>
      </text>
    </comment>
    <comment ref="W90" authorId="1" shapeId="0" xr:uid="{493F54FC-4E25-467E-BABB-AEBE303B5712}">
      <text>
        <r>
          <rPr>
            <b/>
            <sz val="9"/>
            <color indexed="81"/>
            <rFont val="Tahoma"/>
            <family val="2"/>
          </rPr>
          <t>Kaylil Baptiste:</t>
        </r>
        <r>
          <rPr>
            <sz val="9"/>
            <color indexed="81"/>
            <rFont val="Tahoma"/>
            <family val="2"/>
          </rPr>
          <t xml:space="preserve">
Test on RO plant for Caribe cocktails
Soft drink buffer tank emptied 3 times</t>
        </r>
      </text>
    </comment>
    <comment ref="W94" authorId="1" shapeId="0" xr:uid="{055F7D2C-2AAC-4A22-B8BE-67A8FF7D9BEC}">
      <text>
        <r>
          <rPr>
            <b/>
            <sz val="9"/>
            <color indexed="81"/>
            <rFont val="Tahoma"/>
            <family val="2"/>
          </rPr>
          <t>Kaylil Baptiste:</t>
        </r>
        <r>
          <rPr>
            <sz val="9"/>
            <color indexed="81"/>
            <rFont val="Tahoma"/>
            <family val="2"/>
          </rPr>
          <t xml:space="preserve">
low case output
RU 4 running for entire day production</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<sst xmlns="http://schemas.openxmlformats.org/spreadsheetml/2006/main" count="644" uniqueCount="330">
  <si>
    <t>UTILITY ANALYSIS</t>
  </si>
  <si>
    <t>GRENADA BREWERIES LIMITED</t>
  </si>
  <si>
    <t>MONTH:</t>
  </si>
  <si>
    <t>WATER</t>
  </si>
  <si>
    <t>FUEL</t>
  </si>
  <si>
    <t>BREWED</t>
  </si>
  <si>
    <t>BOTTLED</t>
  </si>
  <si>
    <t>DATE</t>
  </si>
  <si>
    <t>KEGS</t>
  </si>
  <si>
    <t>Fuel</t>
  </si>
  <si>
    <t>OTHER</t>
  </si>
  <si>
    <t>UTILITY RATIOS</t>
  </si>
  <si>
    <t xml:space="preserve">TOTAL </t>
  </si>
  <si>
    <t>KWH/Hl</t>
  </si>
  <si>
    <t>Elect</t>
  </si>
  <si>
    <t>Water</t>
  </si>
  <si>
    <t>Litres/hl</t>
  </si>
  <si>
    <t>PRODUCTION - HL</t>
  </si>
  <si>
    <t>Nawasa</t>
  </si>
  <si>
    <t>Total</t>
  </si>
  <si>
    <t>hl</t>
  </si>
  <si>
    <t>Kwhr</t>
  </si>
  <si>
    <t>ELECT.</t>
  </si>
  <si>
    <t>Boilers tot.</t>
  </si>
  <si>
    <t>Boiler 2</t>
  </si>
  <si>
    <t>Gen. meter</t>
  </si>
  <si>
    <t>Tank level</t>
  </si>
  <si>
    <t>Boiler 1</t>
  </si>
  <si>
    <t>Gen</t>
  </si>
  <si>
    <t>Meter1</t>
  </si>
  <si>
    <t>Meter 2</t>
  </si>
  <si>
    <t>Gen Meter</t>
  </si>
  <si>
    <t>(Imp. gals)</t>
  </si>
  <si>
    <t xml:space="preserve">  (inches)</t>
  </si>
  <si>
    <t>Hrs</t>
  </si>
  <si>
    <t>Hrs.</t>
  </si>
  <si>
    <t>(Kwhr)</t>
  </si>
  <si>
    <t>-</t>
  </si>
  <si>
    <t xml:space="preserve">Gen. </t>
  </si>
  <si>
    <t xml:space="preserve">Gen </t>
  </si>
  <si>
    <t>Boiler 1 sp.</t>
  </si>
  <si>
    <t>Boiler 2 sp.</t>
  </si>
  <si>
    <t>Gen. sp</t>
  </si>
  <si>
    <t>Daily cons.</t>
  </si>
  <si>
    <t>Cons ( l )</t>
  </si>
  <si>
    <t>cons (l/hr)</t>
  </si>
  <si>
    <t>Cons.(l/hr)</t>
  </si>
  <si>
    <t>(litres)</t>
  </si>
  <si>
    <t>Total Prod.</t>
  </si>
  <si>
    <t xml:space="preserve">Grenlec </t>
  </si>
  <si>
    <t xml:space="preserve">In -house </t>
  </si>
  <si>
    <t>In-feed (Kwhr)</t>
  </si>
  <si>
    <t>Gen. (Kwhr)</t>
  </si>
  <si>
    <t>Plant Cons</t>
  </si>
  <si>
    <t>Comments</t>
  </si>
  <si>
    <t>total</t>
  </si>
  <si>
    <t>CO2</t>
  </si>
  <si>
    <t>TOTAL ( Hls)</t>
  </si>
  <si>
    <t xml:space="preserve"> </t>
  </si>
  <si>
    <t>USAGE (kwh)</t>
  </si>
  <si>
    <t>USAGE (Hl)</t>
  </si>
  <si>
    <t>USAGE (l)</t>
  </si>
  <si>
    <t>Tot.(Hl)</t>
  </si>
  <si>
    <t>Hl/Hl</t>
  </si>
  <si>
    <t>Hl/hl</t>
  </si>
  <si>
    <t>USAGE (Kg.)</t>
  </si>
  <si>
    <t xml:space="preserve">CO2 </t>
  </si>
  <si>
    <t>kg./Hl</t>
  </si>
  <si>
    <t>OTHER (Filtered)</t>
  </si>
  <si>
    <t>Transferred</t>
  </si>
  <si>
    <t>Brewed</t>
  </si>
  <si>
    <t>Permeate #1</t>
  </si>
  <si>
    <t>Permeate #2</t>
  </si>
  <si>
    <t>Brewhouse</t>
  </si>
  <si>
    <t>RO - Well</t>
  </si>
  <si>
    <t>RO - Nawasa</t>
  </si>
  <si>
    <t>Service Water</t>
  </si>
  <si>
    <t xml:space="preserve">Nawasa Daily </t>
  </si>
  <si>
    <t>Total Permeate</t>
  </si>
  <si>
    <t>Water KPI (Hl/Hl)</t>
  </si>
  <si>
    <t>KEGS (Hl)</t>
  </si>
  <si>
    <t>BOTTLED (Hl)</t>
  </si>
  <si>
    <t>Gals.</t>
  </si>
  <si>
    <t>Hl</t>
  </si>
  <si>
    <t>L</t>
  </si>
  <si>
    <t>MTD</t>
  </si>
  <si>
    <t>NAWASA Cost/gal</t>
  </si>
  <si>
    <t>Add basic charge</t>
  </si>
  <si>
    <t>Proxy NAWASA water Cost</t>
  </si>
  <si>
    <t>Proxy sewage charge (2/3)</t>
  </si>
  <si>
    <t>Proxy MTD NAWASA cost</t>
  </si>
  <si>
    <t>kg.</t>
  </si>
  <si>
    <t>Thursday</t>
  </si>
  <si>
    <t>Friday</t>
  </si>
  <si>
    <t>Saturday</t>
  </si>
  <si>
    <t>Sunday</t>
  </si>
  <si>
    <t>Monday</t>
  </si>
  <si>
    <t>Tuesday</t>
  </si>
  <si>
    <t>Wednesday</t>
  </si>
  <si>
    <t>CIP Process</t>
  </si>
  <si>
    <t>Bottle Washer</t>
  </si>
  <si>
    <t xml:space="preserve">Boiler </t>
  </si>
  <si>
    <t>∑ Service Water to Processes</t>
  </si>
  <si>
    <r>
      <t>Nawasa Meter (m</t>
    </r>
    <r>
      <rPr>
        <b/>
        <vertAlign val="superscript"/>
        <sz val="12"/>
        <color indexed="9"/>
        <rFont val="Arial"/>
        <family val="2"/>
      </rPr>
      <t>3</t>
    </r>
    <r>
      <rPr>
        <b/>
        <sz val="12"/>
        <color indexed="9"/>
        <rFont val="Arial"/>
        <family val="2"/>
      </rPr>
      <t>)</t>
    </r>
  </si>
  <si>
    <r>
      <t>Annandale Supply (m</t>
    </r>
    <r>
      <rPr>
        <b/>
        <vertAlign val="superscript"/>
        <sz val="12"/>
        <color indexed="9"/>
        <rFont val="Arial"/>
        <family val="2"/>
      </rPr>
      <t>3</t>
    </r>
    <r>
      <rPr>
        <b/>
        <sz val="12"/>
        <color indexed="9"/>
        <rFont val="Arial"/>
        <family val="2"/>
      </rPr>
      <t>)</t>
    </r>
  </si>
  <si>
    <r>
      <t>Brewhouse Meter (m</t>
    </r>
    <r>
      <rPr>
        <b/>
        <vertAlign val="superscript"/>
        <sz val="12"/>
        <color indexed="9"/>
        <rFont val="Arial"/>
        <family val="2"/>
      </rPr>
      <t>3</t>
    </r>
    <r>
      <rPr>
        <b/>
        <sz val="12"/>
        <color indexed="9"/>
        <rFont val="Arial"/>
        <family val="2"/>
      </rPr>
      <t>)</t>
    </r>
  </si>
  <si>
    <r>
      <t>Pasteuriser (m</t>
    </r>
    <r>
      <rPr>
        <b/>
        <vertAlign val="superscript"/>
        <sz val="12"/>
        <color indexed="9"/>
        <rFont val="Arial"/>
        <family val="2"/>
      </rPr>
      <t>3</t>
    </r>
    <r>
      <rPr>
        <b/>
        <sz val="12"/>
        <color indexed="9"/>
        <rFont val="Arial"/>
        <family val="2"/>
      </rPr>
      <t>)</t>
    </r>
  </si>
  <si>
    <r>
      <t>(m</t>
    </r>
    <r>
      <rPr>
        <b/>
        <vertAlign val="superscript"/>
        <sz val="12"/>
        <color indexed="9"/>
        <rFont val="Arial"/>
        <family val="2"/>
      </rPr>
      <t>3</t>
    </r>
    <r>
      <rPr>
        <b/>
        <sz val="12"/>
        <color indexed="9"/>
        <rFont val="Arial"/>
        <family val="2"/>
      </rPr>
      <t>)</t>
    </r>
  </si>
  <si>
    <r>
      <t>Well Supply (m</t>
    </r>
    <r>
      <rPr>
        <b/>
        <vertAlign val="superscript"/>
        <sz val="12"/>
        <color indexed="9"/>
        <rFont val="Arial"/>
        <family val="2"/>
      </rPr>
      <t>3</t>
    </r>
    <r>
      <rPr>
        <b/>
        <sz val="12"/>
        <color indexed="9"/>
        <rFont val="Arial"/>
        <family val="2"/>
      </rPr>
      <t>)</t>
    </r>
  </si>
  <si>
    <r>
      <t>Nawasa Supply (m</t>
    </r>
    <r>
      <rPr>
        <b/>
        <vertAlign val="superscript"/>
        <sz val="12"/>
        <color indexed="9"/>
        <rFont val="Arial"/>
        <family val="2"/>
      </rPr>
      <t>3</t>
    </r>
    <r>
      <rPr>
        <b/>
        <sz val="12"/>
        <color indexed="9"/>
        <rFont val="Arial"/>
        <family val="2"/>
      </rPr>
      <t>)</t>
    </r>
  </si>
  <si>
    <r>
      <t>Annanale Supply (m</t>
    </r>
    <r>
      <rPr>
        <b/>
        <vertAlign val="superscript"/>
        <sz val="12"/>
        <color indexed="9"/>
        <rFont val="Arial"/>
        <family val="2"/>
      </rPr>
      <t>3</t>
    </r>
    <r>
      <rPr>
        <b/>
        <sz val="12"/>
        <color indexed="9"/>
        <rFont val="Arial"/>
        <family val="2"/>
      </rPr>
      <t>)</t>
    </r>
  </si>
  <si>
    <r>
      <t>Service Water Received (m</t>
    </r>
    <r>
      <rPr>
        <b/>
        <vertAlign val="superscript"/>
        <sz val="12"/>
        <color indexed="9"/>
        <rFont val="Arial"/>
        <family val="2"/>
      </rPr>
      <t>3</t>
    </r>
    <r>
      <rPr>
        <b/>
        <sz val="12"/>
        <color indexed="9"/>
        <rFont val="Arial"/>
        <family val="2"/>
      </rPr>
      <t>)</t>
    </r>
  </si>
  <si>
    <r>
      <t>Brewhouse / Old Pepsi Area (m</t>
    </r>
    <r>
      <rPr>
        <b/>
        <vertAlign val="superscript"/>
        <sz val="12"/>
        <color indexed="9"/>
        <rFont val="Arial"/>
        <family val="2"/>
      </rPr>
      <t>3</t>
    </r>
    <r>
      <rPr>
        <b/>
        <sz val="12"/>
        <color indexed="9"/>
        <rFont val="Arial"/>
        <family val="2"/>
      </rPr>
      <t>)</t>
    </r>
  </si>
  <si>
    <r>
      <t>Permeate Produced (m</t>
    </r>
    <r>
      <rPr>
        <b/>
        <vertAlign val="superscript"/>
        <sz val="12"/>
        <color indexed="9"/>
        <rFont val="Arial"/>
        <family val="2"/>
      </rPr>
      <t>3</t>
    </r>
    <r>
      <rPr>
        <b/>
        <sz val="12"/>
        <color indexed="9"/>
        <rFont val="Arial"/>
        <family val="2"/>
      </rPr>
      <t>)</t>
    </r>
  </si>
  <si>
    <r>
      <t>CIP Process (m</t>
    </r>
    <r>
      <rPr>
        <b/>
        <vertAlign val="superscript"/>
        <sz val="12"/>
        <color indexed="9"/>
        <rFont val="Arial"/>
        <family val="2"/>
      </rPr>
      <t>3</t>
    </r>
    <r>
      <rPr>
        <b/>
        <sz val="12"/>
        <color indexed="9"/>
        <rFont val="Arial"/>
        <family val="2"/>
      </rPr>
      <t>)</t>
    </r>
  </si>
  <si>
    <r>
      <t>Bottles Washer (m</t>
    </r>
    <r>
      <rPr>
        <b/>
        <vertAlign val="superscript"/>
        <sz val="12"/>
        <color indexed="9"/>
        <rFont val="Arial"/>
        <family val="2"/>
      </rPr>
      <t>3</t>
    </r>
    <r>
      <rPr>
        <b/>
        <sz val="12"/>
        <color indexed="9"/>
        <rFont val="Arial"/>
        <family val="2"/>
      </rPr>
      <t>)</t>
    </r>
  </si>
  <si>
    <r>
      <t>Boiler Supply (m</t>
    </r>
    <r>
      <rPr>
        <b/>
        <vertAlign val="superscript"/>
        <sz val="12"/>
        <color indexed="9"/>
        <rFont val="Arial"/>
        <family val="2"/>
      </rPr>
      <t>3</t>
    </r>
    <r>
      <rPr>
        <b/>
        <sz val="12"/>
        <color indexed="9"/>
        <rFont val="Arial"/>
        <family val="2"/>
      </rPr>
      <t>)</t>
    </r>
  </si>
  <si>
    <r>
      <t>Supply (m</t>
    </r>
    <r>
      <rPr>
        <b/>
        <vertAlign val="superscript"/>
        <sz val="10"/>
        <color indexed="9"/>
        <rFont val="Arial"/>
        <family val="2"/>
      </rPr>
      <t>3</t>
    </r>
    <r>
      <rPr>
        <b/>
        <sz val="10"/>
        <color indexed="9"/>
        <rFont val="Arial"/>
        <family val="2"/>
      </rPr>
      <t>)</t>
    </r>
  </si>
  <si>
    <r>
      <t>Consump. (m</t>
    </r>
    <r>
      <rPr>
        <b/>
        <vertAlign val="superscript"/>
        <sz val="10"/>
        <color indexed="9"/>
        <rFont val="Arial"/>
        <family val="2"/>
      </rPr>
      <t>3</t>
    </r>
    <r>
      <rPr>
        <b/>
        <sz val="10"/>
        <color indexed="9"/>
        <rFont val="Arial"/>
        <family val="2"/>
      </rPr>
      <t>)</t>
    </r>
  </si>
  <si>
    <r>
      <t>Consump (m</t>
    </r>
    <r>
      <rPr>
        <b/>
        <vertAlign val="superscript"/>
        <sz val="10"/>
        <color indexed="9"/>
        <rFont val="Arial"/>
        <family val="2"/>
      </rPr>
      <t>3</t>
    </r>
    <r>
      <rPr>
        <b/>
        <sz val="10"/>
        <color indexed="9"/>
        <rFont val="Arial"/>
        <family val="2"/>
      </rPr>
      <t>)</t>
    </r>
  </si>
  <si>
    <r>
      <t>Intake (m</t>
    </r>
    <r>
      <rPr>
        <b/>
        <vertAlign val="superscript"/>
        <sz val="10"/>
        <color indexed="9"/>
        <rFont val="Arial"/>
        <family val="2"/>
      </rPr>
      <t>3</t>
    </r>
    <r>
      <rPr>
        <b/>
        <sz val="10"/>
        <color indexed="9"/>
        <rFont val="Arial"/>
        <family val="2"/>
      </rPr>
      <t>)</t>
    </r>
  </si>
  <si>
    <r>
      <t>(m</t>
    </r>
    <r>
      <rPr>
        <b/>
        <vertAlign val="superscript"/>
        <sz val="10"/>
        <color indexed="9"/>
        <rFont val="Arial"/>
        <family val="2"/>
      </rPr>
      <t>3</t>
    </r>
    <r>
      <rPr>
        <b/>
        <sz val="10"/>
        <color indexed="9"/>
        <rFont val="Arial"/>
        <family val="2"/>
      </rPr>
      <t>)</t>
    </r>
  </si>
  <si>
    <r>
      <t>Produced (m</t>
    </r>
    <r>
      <rPr>
        <b/>
        <vertAlign val="superscript"/>
        <sz val="10"/>
        <color indexed="9"/>
        <rFont val="Arial"/>
        <family val="2"/>
      </rPr>
      <t>3</t>
    </r>
    <r>
      <rPr>
        <b/>
        <sz val="10"/>
        <color indexed="9"/>
        <rFont val="Arial"/>
        <family val="2"/>
      </rPr>
      <t>)</t>
    </r>
  </si>
  <si>
    <t>Area</t>
  </si>
  <si>
    <t>Nawasa Supply</t>
  </si>
  <si>
    <t>Annanale Supply</t>
  </si>
  <si>
    <t>Brewhouse / Old Pepsi Area</t>
  </si>
  <si>
    <t>Pasteuriser</t>
  </si>
  <si>
    <t>Bottles Washer</t>
  </si>
  <si>
    <t>Boiler Supply</t>
  </si>
  <si>
    <t>Permeate Produced</t>
  </si>
  <si>
    <t>Days</t>
  </si>
  <si>
    <t>Electricity (Kwh.)</t>
  </si>
  <si>
    <t>Fuel (L)</t>
  </si>
  <si>
    <t>Utilities Daily Consumption</t>
  </si>
  <si>
    <t>Product Type</t>
  </si>
  <si>
    <t>Cases Produced</t>
  </si>
  <si>
    <t>Total water consumption</t>
  </si>
  <si>
    <t>HL produced</t>
  </si>
  <si>
    <t>Well Supply (from filtered water)</t>
  </si>
  <si>
    <t>Consumption detail</t>
  </si>
  <si>
    <t>Mon</t>
  </si>
  <si>
    <t>Tue</t>
  </si>
  <si>
    <t>Wed</t>
  </si>
  <si>
    <t>Thu</t>
  </si>
  <si>
    <t>Fri</t>
  </si>
  <si>
    <t>Sat</t>
  </si>
  <si>
    <t>Sun</t>
  </si>
  <si>
    <t xml:space="preserve">Raw Water In - Nawasa </t>
  </si>
  <si>
    <t>Into RO</t>
  </si>
  <si>
    <t>_</t>
  </si>
  <si>
    <t>Theoretical permeate</t>
  </si>
  <si>
    <t>Water consumption</t>
  </si>
  <si>
    <t>Target</t>
  </si>
  <si>
    <r>
      <t>Bottle  Filler (m</t>
    </r>
    <r>
      <rPr>
        <b/>
        <vertAlign val="superscript"/>
        <sz val="12"/>
        <color indexed="9"/>
        <rFont val="Arial"/>
        <family val="2"/>
      </rPr>
      <t>3</t>
    </r>
    <r>
      <rPr>
        <b/>
        <sz val="12"/>
        <color indexed="9"/>
        <rFont val="Arial"/>
        <family val="2"/>
      </rPr>
      <t>)</t>
    </r>
  </si>
  <si>
    <t>Bottle  Filler</t>
  </si>
  <si>
    <r>
      <t>Bottle Filler (m</t>
    </r>
    <r>
      <rPr>
        <b/>
        <vertAlign val="superscript"/>
        <sz val="12"/>
        <color indexed="9"/>
        <rFont val="Arial"/>
        <family val="2"/>
      </rPr>
      <t>3</t>
    </r>
    <r>
      <rPr>
        <b/>
        <sz val="12"/>
        <color indexed="9"/>
        <rFont val="Arial"/>
        <family val="2"/>
      </rPr>
      <t>)</t>
    </r>
  </si>
  <si>
    <r>
      <t>RO # 1 Totaliser (m</t>
    </r>
    <r>
      <rPr>
        <b/>
        <vertAlign val="superscript"/>
        <sz val="12"/>
        <color indexed="9"/>
        <rFont val="Arial"/>
        <family val="2"/>
      </rPr>
      <t>3</t>
    </r>
    <r>
      <rPr>
        <b/>
        <sz val="12"/>
        <color indexed="9"/>
        <rFont val="Arial"/>
        <family val="2"/>
      </rPr>
      <t>)</t>
    </r>
  </si>
  <si>
    <r>
      <t>RO # 2 Totaliser (m</t>
    </r>
    <r>
      <rPr>
        <b/>
        <vertAlign val="superscript"/>
        <sz val="12"/>
        <color indexed="9"/>
        <rFont val="Arial"/>
        <family val="2"/>
      </rPr>
      <t>3</t>
    </r>
    <r>
      <rPr>
        <b/>
        <sz val="12"/>
        <color indexed="9"/>
        <rFont val="Arial"/>
        <family val="2"/>
      </rPr>
      <t>)</t>
    </r>
  </si>
  <si>
    <r>
      <t>Water into RO #1          (m</t>
    </r>
    <r>
      <rPr>
        <vertAlign val="superscript"/>
        <sz val="10"/>
        <color indexed="9"/>
        <rFont val="Arial"/>
        <family val="2"/>
      </rPr>
      <t>3</t>
    </r>
    <r>
      <rPr>
        <sz val="10"/>
        <color indexed="9"/>
        <rFont val="Arial"/>
        <family val="2"/>
      </rPr>
      <t>)</t>
    </r>
  </si>
  <si>
    <r>
      <t>Water into RO #2          (m</t>
    </r>
    <r>
      <rPr>
        <vertAlign val="superscript"/>
        <sz val="10"/>
        <color indexed="9"/>
        <rFont val="Arial"/>
        <family val="2"/>
      </rPr>
      <t>3</t>
    </r>
    <r>
      <rPr>
        <sz val="10"/>
        <color indexed="9"/>
        <rFont val="Arial"/>
        <family val="2"/>
      </rPr>
      <t>)</t>
    </r>
  </si>
  <si>
    <t>Tanks on Collection</t>
  </si>
  <si>
    <r>
      <t>Recovered  Water (m</t>
    </r>
    <r>
      <rPr>
        <b/>
        <vertAlign val="superscript"/>
        <sz val="12"/>
        <color indexed="9"/>
        <rFont val="Arial"/>
        <family val="2"/>
      </rPr>
      <t>3</t>
    </r>
    <r>
      <rPr>
        <b/>
        <sz val="12"/>
        <color indexed="9"/>
        <rFont val="Arial"/>
        <family val="2"/>
      </rPr>
      <t>)</t>
    </r>
  </si>
  <si>
    <r>
      <t>Service Supply to Plant  (m</t>
    </r>
    <r>
      <rPr>
        <b/>
        <vertAlign val="superscript"/>
        <sz val="12"/>
        <color indexed="9"/>
        <rFont val="Arial"/>
        <family val="2"/>
      </rPr>
      <t>3</t>
    </r>
    <r>
      <rPr>
        <b/>
        <sz val="12"/>
        <color indexed="9"/>
        <rFont val="Arial"/>
        <family val="2"/>
      </rPr>
      <t xml:space="preserve">) </t>
    </r>
  </si>
  <si>
    <r>
      <t>Service Water Supply to Plant (m</t>
    </r>
    <r>
      <rPr>
        <b/>
        <vertAlign val="superscript"/>
        <sz val="12"/>
        <color indexed="9"/>
        <rFont val="Arial"/>
        <family val="2"/>
      </rPr>
      <t>3</t>
    </r>
    <r>
      <rPr>
        <b/>
        <sz val="12"/>
        <color indexed="9"/>
        <rFont val="Arial"/>
        <family val="2"/>
      </rPr>
      <t>)</t>
    </r>
  </si>
  <si>
    <t xml:space="preserve">Service Water Plant Supply </t>
  </si>
  <si>
    <t>Backwash Supply</t>
  </si>
  <si>
    <t>Total Water Supply</t>
  </si>
  <si>
    <t>Water Consumption detail</t>
  </si>
  <si>
    <t>Bottle Filler</t>
  </si>
  <si>
    <t>Consumption (Filler) (kg)</t>
  </si>
  <si>
    <t>Filtration/Cellars</t>
  </si>
  <si>
    <t>Spent Grains/Wash-down Areas</t>
  </si>
  <si>
    <t>Processing/Cellars</t>
  </si>
  <si>
    <r>
      <t>Cellars/Filtration              (m</t>
    </r>
    <r>
      <rPr>
        <b/>
        <vertAlign val="superscript"/>
        <sz val="12"/>
        <color indexed="9"/>
        <rFont val="Arial"/>
        <family val="2"/>
      </rPr>
      <t>3</t>
    </r>
    <r>
      <rPr>
        <b/>
        <sz val="12"/>
        <color indexed="9"/>
        <rFont val="Arial"/>
        <family val="2"/>
      </rPr>
      <t xml:space="preserve">) </t>
    </r>
  </si>
  <si>
    <r>
      <t>Cellars/Process Areas (m</t>
    </r>
    <r>
      <rPr>
        <b/>
        <vertAlign val="superscript"/>
        <sz val="12"/>
        <color indexed="9"/>
        <rFont val="Arial"/>
        <family val="2"/>
      </rPr>
      <t>3</t>
    </r>
    <r>
      <rPr>
        <b/>
        <sz val="12"/>
        <color indexed="9"/>
        <rFont val="Arial"/>
        <family val="2"/>
      </rPr>
      <t>)</t>
    </r>
  </si>
  <si>
    <r>
      <t>Cellars/Process Area (m</t>
    </r>
    <r>
      <rPr>
        <b/>
        <vertAlign val="superscript"/>
        <sz val="12"/>
        <color indexed="9"/>
        <rFont val="Arial"/>
        <family val="2"/>
      </rPr>
      <t>3</t>
    </r>
    <r>
      <rPr>
        <b/>
        <sz val="12"/>
        <color indexed="9"/>
        <rFont val="Arial"/>
        <family val="2"/>
      </rPr>
      <t>)</t>
    </r>
  </si>
  <si>
    <r>
      <t>Filtration/Cellars (m</t>
    </r>
    <r>
      <rPr>
        <b/>
        <vertAlign val="superscript"/>
        <sz val="12"/>
        <color indexed="9"/>
        <rFont val="Arial"/>
        <family val="2"/>
      </rPr>
      <t>3</t>
    </r>
    <r>
      <rPr>
        <b/>
        <sz val="12"/>
        <color indexed="9"/>
        <rFont val="Arial"/>
        <family val="2"/>
      </rPr>
      <t>)</t>
    </r>
  </si>
  <si>
    <r>
      <t>Rus (m</t>
    </r>
    <r>
      <rPr>
        <b/>
        <vertAlign val="superscript"/>
        <sz val="12"/>
        <color indexed="9"/>
        <rFont val="Arial"/>
        <family val="2"/>
      </rPr>
      <t>3</t>
    </r>
    <r>
      <rPr>
        <b/>
        <sz val="12"/>
        <color indexed="9"/>
        <rFont val="Arial"/>
        <family val="2"/>
      </rPr>
      <t>)</t>
    </r>
  </si>
  <si>
    <r>
      <t>Washdown Area (m</t>
    </r>
    <r>
      <rPr>
        <b/>
        <vertAlign val="superscript"/>
        <sz val="12"/>
        <color indexed="9"/>
        <rFont val="Arial"/>
        <family val="2"/>
      </rPr>
      <t>3</t>
    </r>
    <r>
      <rPr>
        <b/>
        <sz val="12"/>
        <color indexed="9"/>
        <rFont val="Arial"/>
        <family val="2"/>
      </rPr>
      <t>)</t>
    </r>
  </si>
  <si>
    <r>
      <t>Water Plant-Well # 1  (m</t>
    </r>
    <r>
      <rPr>
        <b/>
        <vertAlign val="superscript"/>
        <sz val="12"/>
        <color indexed="9"/>
        <rFont val="Arial"/>
        <family val="2"/>
      </rPr>
      <t>3</t>
    </r>
    <r>
      <rPr>
        <b/>
        <sz val="12"/>
        <color indexed="9"/>
        <rFont val="Arial"/>
        <family val="2"/>
      </rPr>
      <t>)</t>
    </r>
  </si>
  <si>
    <t>CO2 TANKS' READING</t>
  </si>
  <si>
    <t>Tank "A"</t>
  </si>
  <si>
    <t>Tank "B"</t>
  </si>
  <si>
    <t>Mobile Tanker</t>
  </si>
  <si>
    <t>(Kg.)</t>
  </si>
  <si>
    <t>.</t>
  </si>
  <si>
    <t>CO2 Scrubber</t>
  </si>
  <si>
    <t>Whirlpool</t>
  </si>
  <si>
    <t>Electricity (Kwh./Hl.)    KPI</t>
  </si>
  <si>
    <t>Fuel (L/Hl.)                  KPI</t>
  </si>
  <si>
    <r>
      <t>Water (m</t>
    </r>
    <r>
      <rPr>
        <b/>
        <vertAlign val="superscript"/>
        <sz val="10"/>
        <rFont val="Arial"/>
        <family val="2"/>
      </rPr>
      <t>3</t>
    </r>
    <r>
      <rPr>
        <b/>
        <sz val="10"/>
        <rFont val="Arial"/>
        <family val="2"/>
      </rPr>
      <t>)</t>
    </r>
  </si>
  <si>
    <r>
      <t>Total water consumption (M</t>
    </r>
    <r>
      <rPr>
        <b/>
        <vertAlign val="superscript"/>
        <sz val="10"/>
        <rFont val="Arial"/>
        <family val="2"/>
      </rPr>
      <t>3</t>
    </r>
    <r>
      <rPr>
        <b/>
        <sz val="10"/>
        <rFont val="Arial"/>
        <family val="2"/>
      </rPr>
      <t>)</t>
    </r>
  </si>
  <si>
    <r>
      <t>CO</t>
    </r>
    <r>
      <rPr>
        <b/>
        <vertAlign val="subscript"/>
        <sz val="10"/>
        <rFont val="Arial"/>
        <family val="2"/>
      </rPr>
      <t>2</t>
    </r>
    <r>
      <rPr>
        <b/>
        <sz val="10"/>
        <rFont val="Arial"/>
        <family val="2"/>
      </rPr>
      <t xml:space="preserve"> (kg.) (Tank Gauges)</t>
    </r>
  </si>
  <si>
    <r>
      <t>CO</t>
    </r>
    <r>
      <rPr>
        <b/>
        <vertAlign val="subscript"/>
        <sz val="10"/>
        <rFont val="Arial"/>
        <family val="2"/>
      </rPr>
      <t>2</t>
    </r>
    <r>
      <rPr>
        <b/>
        <sz val="10"/>
        <rFont val="Arial"/>
        <family val="2"/>
      </rPr>
      <t xml:space="preserve"> (kg.) (Ex. Vap'r)</t>
    </r>
  </si>
  <si>
    <r>
      <t>CO</t>
    </r>
    <r>
      <rPr>
        <vertAlign val="subscript"/>
        <sz val="10"/>
        <rFont val="Arial"/>
        <family val="2"/>
      </rPr>
      <t>2</t>
    </r>
    <r>
      <rPr>
        <sz val="10"/>
        <rFont val="Arial"/>
        <family val="2"/>
      </rPr>
      <t xml:space="preserve"> (kg.) (Filler)</t>
    </r>
  </si>
  <si>
    <r>
      <t>Water consumption (M</t>
    </r>
    <r>
      <rPr>
        <b/>
        <vertAlign val="superscript"/>
        <sz val="10"/>
        <rFont val="Arial"/>
        <family val="2"/>
      </rPr>
      <t>3</t>
    </r>
    <r>
      <rPr>
        <b/>
        <sz val="10"/>
        <rFont val="Arial"/>
        <family val="2"/>
      </rPr>
      <t>)</t>
    </r>
  </si>
  <si>
    <r>
      <t>CO</t>
    </r>
    <r>
      <rPr>
        <b/>
        <vertAlign val="subscript"/>
        <sz val="10"/>
        <rFont val="Arial"/>
        <family val="2"/>
      </rPr>
      <t>2</t>
    </r>
    <r>
      <rPr>
        <b/>
        <sz val="10"/>
        <rFont val="Arial"/>
        <family val="2"/>
      </rPr>
      <t xml:space="preserve"> (kg./Hl.)                 KPI</t>
    </r>
  </si>
  <si>
    <r>
      <t>CO</t>
    </r>
    <r>
      <rPr>
        <b/>
        <vertAlign val="subscript"/>
        <sz val="9"/>
        <rFont val="Arial"/>
        <family val="2"/>
      </rPr>
      <t>2</t>
    </r>
    <r>
      <rPr>
        <b/>
        <sz val="9"/>
        <rFont val="Arial"/>
        <family val="2"/>
      </rPr>
      <t xml:space="preserve"> Filler (kg./Hl.)                KPI</t>
    </r>
  </si>
  <si>
    <r>
      <t>Water Recovered (m</t>
    </r>
    <r>
      <rPr>
        <b/>
        <vertAlign val="superscript"/>
        <sz val="10"/>
        <rFont val="Arial"/>
        <family val="2"/>
      </rPr>
      <t>3</t>
    </r>
    <r>
      <rPr>
        <b/>
        <sz val="10"/>
        <rFont val="Arial"/>
        <family val="2"/>
      </rPr>
      <t>)</t>
    </r>
  </si>
  <si>
    <t>Personnel Consumption</t>
  </si>
  <si>
    <t>Refrigeration Unit</t>
  </si>
  <si>
    <t>Diff</t>
  </si>
  <si>
    <t>Bottling Hall water</t>
  </si>
  <si>
    <r>
      <t>CO</t>
    </r>
    <r>
      <rPr>
        <b/>
        <vertAlign val="subscript"/>
        <sz val="10"/>
        <rFont val="Arial"/>
        <family val="2"/>
      </rPr>
      <t>2</t>
    </r>
    <r>
      <rPr>
        <b/>
        <sz val="10"/>
        <rFont val="Arial"/>
        <family val="2"/>
      </rPr>
      <t xml:space="preserve"> to Liqufier (kg.)</t>
    </r>
  </si>
  <si>
    <t>CO2 recovered (Kg - liquid)</t>
  </si>
  <si>
    <t>CO2 liquid conversion efficiency</t>
  </si>
  <si>
    <r>
      <t>Supply to Washdown Area (m</t>
    </r>
    <r>
      <rPr>
        <b/>
        <vertAlign val="superscript"/>
        <sz val="12"/>
        <color indexed="9"/>
        <rFont val="Arial"/>
        <family val="2"/>
      </rPr>
      <t>3</t>
    </r>
    <r>
      <rPr>
        <b/>
        <sz val="12"/>
        <color indexed="9"/>
        <rFont val="Arial"/>
        <family val="2"/>
      </rPr>
      <t>)</t>
    </r>
  </si>
  <si>
    <r>
      <t>Supply to RUs (m</t>
    </r>
    <r>
      <rPr>
        <b/>
        <vertAlign val="superscript"/>
        <sz val="12"/>
        <color indexed="9"/>
        <rFont val="Arial"/>
        <family val="2"/>
      </rPr>
      <t>3</t>
    </r>
    <r>
      <rPr>
        <b/>
        <sz val="12"/>
        <color indexed="9"/>
        <rFont val="Arial"/>
        <family val="2"/>
      </rPr>
      <t>)</t>
    </r>
  </si>
  <si>
    <r>
      <t>CO2 Scrubber (m</t>
    </r>
    <r>
      <rPr>
        <b/>
        <vertAlign val="superscript"/>
        <sz val="12"/>
        <color indexed="9"/>
        <rFont val="Arial"/>
        <family val="2"/>
      </rPr>
      <t>3</t>
    </r>
    <r>
      <rPr>
        <b/>
        <sz val="12"/>
        <color indexed="9"/>
        <rFont val="Arial"/>
        <family val="2"/>
      </rPr>
      <t>)</t>
    </r>
  </si>
  <si>
    <r>
      <t>CO2 Scrubber (m</t>
    </r>
    <r>
      <rPr>
        <b/>
        <vertAlign val="superscript"/>
        <sz val="12"/>
        <color indexed="9"/>
        <rFont val="Arial"/>
        <family val="2"/>
      </rPr>
      <t>3</t>
    </r>
    <r>
      <rPr>
        <b/>
        <sz val="12"/>
        <color indexed="9"/>
        <rFont val="Arial"/>
        <family val="2"/>
      </rPr>
      <t>)</t>
    </r>
  </si>
  <si>
    <t xml:space="preserve">   </t>
  </si>
  <si>
    <t>ENTRIES FOR DAILY CONS. MONITOR</t>
  </si>
  <si>
    <t>Hls Brewed</t>
  </si>
  <si>
    <t>Product</t>
  </si>
  <si>
    <t>Brewhouse (Hls brewed)</t>
  </si>
  <si>
    <t>No. of Brews</t>
  </si>
  <si>
    <t>Total Bottles Washed</t>
  </si>
  <si>
    <t>Bottle Washer (Including rejects)</t>
  </si>
  <si>
    <t>Monthly Target</t>
  </si>
  <si>
    <t>Cellars/Filtration</t>
  </si>
  <si>
    <r>
      <t>Water (m</t>
    </r>
    <r>
      <rPr>
        <b/>
        <vertAlign val="superscript"/>
        <sz val="20"/>
        <rFont val="Arial"/>
        <family val="2"/>
      </rPr>
      <t>3</t>
    </r>
    <r>
      <rPr>
        <b/>
        <sz val="20"/>
        <rFont val="Arial"/>
        <family val="2"/>
      </rPr>
      <t>)</t>
    </r>
  </si>
  <si>
    <r>
      <t>Total water consumption (M</t>
    </r>
    <r>
      <rPr>
        <b/>
        <vertAlign val="superscript"/>
        <sz val="20"/>
        <rFont val="Arial"/>
        <family val="2"/>
      </rPr>
      <t>3</t>
    </r>
    <r>
      <rPr>
        <b/>
        <sz val="20"/>
        <rFont val="Arial"/>
        <family val="2"/>
      </rPr>
      <t>)</t>
    </r>
  </si>
  <si>
    <r>
      <t>CO</t>
    </r>
    <r>
      <rPr>
        <b/>
        <vertAlign val="subscript"/>
        <sz val="20"/>
        <rFont val="Arial"/>
        <family val="2"/>
      </rPr>
      <t>2</t>
    </r>
    <r>
      <rPr>
        <b/>
        <sz val="20"/>
        <rFont val="Arial"/>
        <family val="2"/>
      </rPr>
      <t xml:space="preserve"> (kg.) (Ex. Vap'r)</t>
    </r>
  </si>
  <si>
    <r>
      <t>Water consumption (M</t>
    </r>
    <r>
      <rPr>
        <b/>
        <vertAlign val="superscript"/>
        <sz val="20"/>
        <rFont val="Arial"/>
        <family val="2"/>
      </rPr>
      <t>3</t>
    </r>
    <r>
      <rPr>
        <b/>
        <sz val="20"/>
        <rFont val="Arial"/>
        <family val="2"/>
      </rPr>
      <t>)</t>
    </r>
  </si>
  <si>
    <r>
      <t>CO</t>
    </r>
    <r>
      <rPr>
        <b/>
        <vertAlign val="subscript"/>
        <sz val="20"/>
        <rFont val="Arial"/>
        <family val="2"/>
      </rPr>
      <t>2</t>
    </r>
    <r>
      <rPr>
        <b/>
        <sz val="20"/>
        <rFont val="Arial"/>
        <family val="2"/>
      </rPr>
      <t xml:space="preserve"> (kg./Hl.)                 KPI</t>
    </r>
  </si>
  <si>
    <r>
      <t>CO</t>
    </r>
    <r>
      <rPr>
        <b/>
        <vertAlign val="subscript"/>
        <sz val="20"/>
        <rFont val="Arial"/>
        <family val="2"/>
      </rPr>
      <t>2</t>
    </r>
    <r>
      <rPr>
        <b/>
        <sz val="20"/>
        <rFont val="Arial"/>
        <family val="2"/>
      </rPr>
      <t xml:space="preserve"> to Liqufier (kg.)</t>
    </r>
  </si>
  <si>
    <r>
      <t>Water Recovered (m</t>
    </r>
    <r>
      <rPr>
        <b/>
        <vertAlign val="superscript"/>
        <sz val="20"/>
        <rFont val="Arial"/>
        <family val="2"/>
      </rPr>
      <t>3</t>
    </r>
    <r>
      <rPr>
        <b/>
        <sz val="20"/>
        <rFont val="Arial"/>
        <family val="2"/>
      </rPr>
      <t>)</t>
    </r>
  </si>
  <si>
    <t>Brewhouse/Filtration/Cellar</t>
  </si>
  <si>
    <t>Spent grains/wash-down area</t>
  </si>
  <si>
    <t xml:space="preserve">  </t>
  </si>
  <si>
    <t xml:space="preserve">                                                                                                                                                                                                                                                                                                                                                                                                   </t>
  </si>
  <si>
    <t>Diff.</t>
  </si>
  <si>
    <t>Water Plant Total (Before Sand Filter)</t>
  </si>
  <si>
    <r>
      <rPr>
        <b/>
        <sz val="12"/>
        <rFont val="Arial"/>
        <family val="2"/>
      </rPr>
      <t>Service</t>
    </r>
    <r>
      <rPr>
        <sz val="12"/>
        <rFont val="Arial"/>
        <family val="2"/>
      </rPr>
      <t xml:space="preserve"> </t>
    </r>
    <r>
      <rPr>
        <b/>
        <sz val="12"/>
        <color rgb="FF92D050"/>
        <rFont val="Arial"/>
        <family val="2"/>
      </rPr>
      <t>227.3</t>
    </r>
    <r>
      <rPr>
        <sz val="12"/>
        <color rgb="FF92D050"/>
        <rFont val="Arial"/>
        <family val="2"/>
      </rPr>
      <t xml:space="preserve"> </t>
    </r>
    <r>
      <rPr>
        <sz val="12"/>
        <rFont val="Arial"/>
        <family val="2"/>
      </rPr>
      <t>cubic meters (2273 Hls)</t>
    </r>
    <r>
      <rPr>
        <b/>
        <sz val="12"/>
        <rFont val="Arial"/>
        <family val="2"/>
      </rPr>
      <t>Filtered</t>
    </r>
    <r>
      <rPr>
        <sz val="12"/>
        <rFont val="Arial"/>
        <family val="2"/>
      </rPr>
      <t xml:space="preserve"> </t>
    </r>
    <r>
      <rPr>
        <b/>
        <sz val="12"/>
        <color rgb="FF00B0F0"/>
        <rFont val="Arial"/>
        <family val="2"/>
      </rPr>
      <t>189.3</t>
    </r>
    <r>
      <rPr>
        <sz val="12"/>
        <rFont val="Arial"/>
        <family val="2"/>
      </rPr>
      <t xml:space="preserve"> cubic meters(1893 Hls)</t>
    </r>
  </si>
  <si>
    <r>
      <t>CO</t>
    </r>
    <r>
      <rPr>
        <b/>
        <vertAlign val="subscript"/>
        <sz val="20"/>
        <rFont val="Arial"/>
        <family val="2"/>
      </rPr>
      <t>2</t>
    </r>
    <r>
      <rPr>
        <b/>
        <sz val="20"/>
        <rFont val="Arial"/>
        <family val="2"/>
      </rPr>
      <t xml:space="preserve"> (kg.)Consumption Meter</t>
    </r>
  </si>
  <si>
    <t>Steam Mass Flow Meter</t>
  </si>
  <si>
    <t>Steam Mass Flow</t>
  </si>
  <si>
    <t xml:space="preserve">Steam Mass Flow Reading </t>
  </si>
  <si>
    <r>
      <t>Water Plant-Nawasa Annadale             (m</t>
    </r>
    <r>
      <rPr>
        <b/>
        <vertAlign val="superscript"/>
        <sz val="12"/>
        <color indexed="9"/>
        <rFont val="Arial"/>
        <family val="2"/>
      </rPr>
      <t>3</t>
    </r>
    <r>
      <rPr>
        <b/>
        <sz val="12"/>
        <color indexed="9"/>
        <rFont val="Arial"/>
        <family val="2"/>
      </rPr>
      <t>)</t>
    </r>
  </si>
  <si>
    <t xml:space="preserve">                                                                                                                                                         </t>
  </si>
  <si>
    <r>
      <t>CO</t>
    </r>
    <r>
      <rPr>
        <b/>
        <vertAlign val="subscript"/>
        <sz val="20"/>
        <rFont val="Arial"/>
        <family val="2"/>
      </rPr>
      <t>2</t>
    </r>
    <r>
      <rPr>
        <b/>
        <sz val="20"/>
        <rFont val="Arial"/>
        <family val="2"/>
      </rPr>
      <t xml:space="preserve"> (kg.) Filler</t>
    </r>
  </si>
  <si>
    <r>
      <t>RO Water Plant Nawasa (m</t>
    </r>
    <r>
      <rPr>
        <b/>
        <vertAlign val="superscript"/>
        <sz val="12"/>
        <color indexed="9"/>
        <rFont val="Arial"/>
        <family val="2"/>
      </rPr>
      <t>3</t>
    </r>
    <r>
      <rPr>
        <b/>
        <sz val="12"/>
        <color indexed="9"/>
        <rFont val="Arial"/>
        <family val="2"/>
      </rPr>
      <t>)</t>
    </r>
  </si>
  <si>
    <t>Plant Cons. USAGE (Hl.)</t>
  </si>
  <si>
    <t>TOTAL</t>
  </si>
  <si>
    <r>
      <t>Bottles Filler (m</t>
    </r>
    <r>
      <rPr>
        <b/>
        <vertAlign val="superscript"/>
        <sz val="12"/>
        <color indexed="9"/>
        <rFont val="Arial"/>
        <family val="2"/>
      </rPr>
      <t>3</t>
    </r>
    <r>
      <rPr>
        <b/>
        <sz val="12"/>
        <color indexed="9"/>
        <rFont val="Arial"/>
        <family val="2"/>
      </rPr>
      <t>)</t>
    </r>
  </si>
  <si>
    <t>Total Prod.(HL)</t>
  </si>
  <si>
    <t>TARGET</t>
  </si>
  <si>
    <t>Total Cons. (KW-HR)</t>
  </si>
  <si>
    <t>Fuel(Litres/HL)</t>
  </si>
  <si>
    <r>
      <t>TOTAL SUPPLY  (M</t>
    </r>
    <r>
      <rPr>
        <b/>
        <vertAlign val="superscript"/>
        <sz val="10"/>
        <rFont val="Arial"/>
        <family val="2"/>
      </rPr>
      <t>3</t>
    </r>
    <r>
      <rPr>
        <b/>
        <sz val="10"/>
        <rFont val="Arial"/>
        <family val="2"/>
      </rPr>
      <t>)</t>
    </r>
  </si>
  <si>
    <t>%</t>
  </si>
  <si>
    <r>
      <t>CO</t>
    </r>
    <r>
      <rPr>
        <b/>
        <vertAlign val="subscript"/>
        <sz val="10"/>
        <color rgb="FFFFFFFF"/>
        <rFont val="Arial"/>
        <family val="2"/>
      </rPr>
      <t>2</t>
    </r>
    <r>
      <rPr>
        <b/>
        <sz val="10"/>
        <color indexed="9"/>
        <rFont val="Arial"/>
        <family val="2"/>
      </rPr>
      <t xml:space="preserve"> ( Kg./HL)</t>
    </r>
  </si>
  <si>
    <t>FILLER</t>
  </si>
  <si>
    <t>FILLER Cons. (Kg.)</t>
  </si>
  <si>
    <t>(liters)</t>
  </si>
  <si>
    <t>KPI. Elect (KW-H/Hl)</t>
  </si>
  <si>
    <t>ELECTRICITY GRENLEC</t>
  </si>
  <si>
    <t>CARIB GENSET</t>
  </si>
  <si>
    <t>ELECTRICITY TOTAL</t>
  </si>
  <si>
    <t>METER 1</t>
  </si>
  <si>
    <t>METER 2</t>
  </si>
  <si>
    <t>AVE.</t>
  </si>
  <si>
    <t>Consumption (Totalizer Flowmeter)</t>
  </si>
  <si>
    <t>(kg)</t>
  </si>
  <si>
    <t>TAYLOR WHARTON CALIBRATION TANK</t>
  </si>
  <si>
    <t>inH2O</t>
  </si>
  <si>
    <t>LBS_CO2</t>
  </si>
  <si>
    <t>KG_CO2</t>
  </si>
  <si>
    <r>
      <t>READING Today (inH</t>
    </r>
    <r>
      <rPr>
        <b/>
        <vertAlign val="subscript"/>
        <sz val="10"/>
        <color rgb="FFEE0000"/>
        <rFont val="Calibri"/>
        <family val="2"/>
        <scheme val="minor"/>
      </rPr>
      <t>2</t>
    </r>
    <r>
      <rPr>
        <b/>
        <sz val="10"/>
        <color rgb="FFEE0000"/>
        <rFont val="Calibri"/>
        <family val="2"/>
        <scheme val="minor"/>
      </rPr>
      <t>O)</t>
    </r>
  </si>
  <si>
    <t>TANK C</t>
  </si>
  <si>
    <t>TANK A</t>
  </si>
  <si>
    <t>TANK B</t>
  </si>
  <si>
    <t>STOCK (KG)</t>
  </si>
  <si>
    <t>TOTAL CONSUMPTION (KG)</t>
  </si>
  <si>
    <t>POUNDS</t>
  </si>
  <si>
    <t>KG</t>
  </si>
  <si>
    <t>READING 00:30 hrs (inH2O)</t>
  </si>
  <si>
    <t>QUANTITY (KG)</t>
  </si>
  <si>
    <t>Tank "C"</t>
  </si>
  <si>
    <t>INPUTS MOBILE(kg)</t>
  </si>
  <si>
    <t>(pounds)</t>
  </si>
  <si>
    <t>CO2 (kg.) (Ex. Vap'r Flowmeter)</t>
  </si>
  <si>
    <t>CO2 (kg.) (Ex. Vap'r Calculation)</t>
  </si>
  <si>
    <r>
      <t>CO</t>
    </r>
    <r>
      <rPr>
        <b/>
        <vertAlign val="subscript"/>
        <sz val="20"/>
        <rFont val="Arial"/>
        <family val="2"/>
      </rPr>
      <t>2</t>
    </r>
    <r>
      <rPr>
        <b/>
        <sz val="20"/>
        <rFont val="Arial"/>
        <family val="2"/>
      </rPr>
      <t xml:space="preserve"> Filler (kg./Hl.)    KPI</t>
    </r>
  </si>
  <si>
    <t>BMF Cons. (Kg.)</t>
  </si>
  <si>
    <t>NOT READY</t>
  </si>
  <si>
    <t>CO2 Totalizer</t>
  </si>
  <si>
    <t>Solar System</t>
  </si>
  <si>
    <t xml:space="preserve">Solar System CARIB </t>
  </si>
  <si>
    <t>% (Solar/Total Usage)</t>
  </si>
  <si>
    <t>Electricity GRENLEC (Kwh.)</t>
  </si>
  <si>
    <t>Consumption (BBT SECTION) (kg)</t>
  </si>
  <si>
    <r>
      <t>CO</t>
    </r>
    <r>
      <rPr>
        <b/>
        <vertAlign val="subscript"/>
        <sz val="14"/>
        <rFont val="Arial"/>
        <family val="2"/>
      </rPr>
      <t>2</t>
    </r>
    <r>
      <rPr>
        <b/>
        <sz val="14"/>
        <rFont val="Arial"/>
        <family val="2"/>
      </rPr>
      <t xml:space="preserve"> (kg.) (FILLER)</t>
    </r>
  </si>
  <si>
    <t>DAILY FUEL CONSUMPTION FOR  JULY 2026</t>
  </si>
  <si>
    <t>DAILY  ELECTRICITY  CONSUMPTION FOR  JULY 2026</t>
  </si>
  <si>
    <t>CO2 Daily Consumption for JULY 2026</t>
  </si>
  <si>
    <t>PRODUCTION FOR JULY 2026</t>
  </si>
  <si>
    <t>DAILY WATER CONSUMPTION FOR JULY 2026</t>
  </si>
  <si>
    <t>Electricity PV System Target= 1229 (Kwh)</t>
  </si>
  <si>
    <r>
      <rPr>
        <b/>
        <sz val="20"/>
        <color rgb="FF0000FF"/>
        <rFont val="Arial"/>
        <family val="2"/>
      </rPr>
      <t>CB</t>
    </r>
    <r>
      <rPr>
        <b/>
        <sz val="20"/>
        <color theme="9" tint="-0.249977111117893"/>
        <rFont val="Arial"/>
        <family val="2"/>
      </rPr>
      <t>/VM</t>
    </r>
  </si>
  <si>
    <t>CB/MK</t>
  </si>
  <si>
    <r>
      <t>VM/</t>
    </r>
    <r>
      <rPr>
        <b/>
        <sz val="20"/>
        <color rgb="FF0000FF"/>
        <rFont val="Arial"/>
        <family val="2"/>
      </rPr>
      <t>CB</t>
    </r>
  </si>
  <si>
    <r>
      <rPr>
        <b/>
        <sz val="20"/>
        <color rgb="FF0000FF"/>
        <rFont val="Arial"/>
        <family val="2"/>
      </rPr>
      <t>CB/</t>
    </r>
    <r>
      <rPr>
        <b/>
        <sz val="20"/>
        <color rgb="FF00A44A"/>
        <rFont val="Arial"/>
        <family val="2"/>
      </rPr>
      <t>ST</t>
    </r>
  </si>
  <si>
    <t>GU</t>
  </si>
  <si>
    <t>ST</t>
  </si>
  <si>
    <t>CB</t>
  </si>
  <si>
    <t>GU/CB</t>
  </si>
  <si>
    <r>
      <t>ST/</t>
    </r>
    <r>
      <rPr>
        <b/>
        <sz val="20"/>
        <color rgb="FF0000FF"/>
        <rFont val="Arial"/>
        <family val="2"/>
      </rPr>
      <t>CB</t>
    </r>
  </si>
  <si>
    <r>
      <rPr>
        <b/>
        <sz val="20"/>
        <color rgb="FF0000FF"/>
        <rFont val="Arial"/>
        <family val="2"/>
      </rPr>
      <t>CB</t>
    </r>
    <r>
      <rPr>
        <b/>
        <sz val="20"/>
        <color rgb="FF00B050"/>
        <rFont val="Arial"/>
        <family val="2"/>
      </rPr>
      <t>/ShL/</t>
    </r>
    <r>
      <rPr>
        <b/>
        <sz val="20"/>
        <color theme="5"/>
        <rFont val="Arial"/>
        <family val="2"/>
      </rPr>
      <t>ShG</t>
    </r>
  </si>
  <si>
    <r>
      <t>ShG/</t>
    </r>
    <r>
      <rPr>
        <b/>
        <sz val="20"/>
        <color rgb="FFFF0000"/>
        <rFont val="Arial"/>
        <family val="2"/>
      </rPr>
      <t>ShS</t>
    </r>
  </si>
  <si>
    <r>
      <rPr>
        <b/>
        <sz val="20"/>
        <color rgb="FFC00000"/>
        <rFont val="Arial"/>
        <family val="2"/>
      </rPr>
      <t>MK</t>
    </r>
    <r>
      <rPr>
        <b/>
        <sz val="20"/>
        <color rgb="FF0000FF"/>
        <rFont val="Arial"/>
        <family val="2"/>
      </rPr>
      <t>/</t>
    </r>
    <r>
      <rPr>
        <b/>
        <sz val="20"/>
        <color rgb="FFFF0000"/>
        <rFont val="Arial"/>
        <family val="2"/>
      </rPr>
      <t>GN</t>
    </r>
  </si>
  <si>
    <r>
      <rPr>
        <b/>
        <sz val="20"/>
        <color rgb="FFFF0000"/>
        <rFont val="Arial"/>
        <family val="2"/>
      </rPr>
      <t>GN</t>
    </r>
    <r>
      <rPr>
        <b/>
        <sz val="20"/>
        <color rgb="FF00A44A"/>
        <rFont val="Arial"/>
        <family val="2"/>
      </rPr>
      <t>/ST</t>
    </r>
  </si>
  <si>
    <t>ST/CB</t>
  </si>
  <si>
    <t>CB/ST</t>
  </si>
  <si>
    <r>
      <rPr>
        <b/>
        <sz val="20"/>
        <color rgb="FF00A44A"/>
        <rFont val="Arial"/>
        <family val="2"/>
      </rPr>
      <t>ST/</t>
    </r>
    <r>
      <rPr>
        <b/>
        <sz val="20"/>
        <color rgb="FF170EC2"/>
        <rFont val="Arial"/>
        <family val="2"/>
      </rPr>
      <t>CB</t>
    </r>
  </si>
  <si>
    <t>CB/SM</t>
  </si>
  <si>
    <r>
      <t>CO</t>
    </r>
    <r>
      <rPr>
        <b/>
        <vertAlign val="subscript"/>
        <sz val="12"/>
        <rFont val="Arial"/>
        <family val="2"/>
      </rPr>
      <t>2</t>
    </r>
    <r>
      <rPr>
        <b/>
        <sz val="12"/>
        <rFont val="Arial"/>
        <family val="2"/>
      </rPr>
      <t xml:space="preserve"> (kg.) (BBT / Carbo Cooler SECTION)</t>
    </r>
  </si>
  <si>
    <t>SM</t>
  </si>
  <si>
    <r>
      <rPr>
        <b/>
        <sz val="20"/>
        <color rgb="FF0000FF"/>
        <rFont val="Arial"/>
        <family val="2"/>
      </rPr>
      <t>CB</t>
    </r>
    <r>
      <rPr>
        <b/>
        <sz val="20"/>
        <color rgb="FFFF8FE2"/>
        <rFont val="Arial"/>
        <family val="2"/>
      </rPr>
      <t>/Ting Pk</t>
    </r>
  </si>
  <si>
    <r>
      <t>CO</t>
    </r>
    <r>
      <rPr>
        <b/>
        <vertAlign val="subscript"/>
        <sz val="12"/>
        <rFont val="Arial"/>
        <family val="2"/>
      </rPr>
      <t>2</t>
    </r>
    <r>
      <rPr>
        <b/>
        <sz val="12"/>
        <rFont val="Arial"/>
        <family val="2"/>
      </rPr>
      <t xml:space="preserve"> (kg.) (Fermenters/other areas?) Calculated</t>
    </r>
  </si>
  <si>
    <t>Ting Pk</t>
  </si>
  <si>
    <t>CB/ ST</t>
  </si>
  <si>
    <r>
      <rPr>
        <b/>
        <sz val="20"/>
        <color rgb="FFFFC000"/>
        <rFont val="Arial"/>
        <family val="2"/>
      </rPr>
      <t>Martini</t>
    </r>
    <r>
      <rPr>
        <b/>
        <sz val="20"/>
        <color theme="5" tint="-0.249977111117893"/>
        <rFont val="Arial"/>
        <family val="2"/>
      </rPr>
      <t>/</t>
    </r>
    <r>
      <rPr>
        <b/>
        <sz val="20"/>
        <color rgb="FF7030A0"/>
        <rFont val="Arial"/>
        <family val="2"/>
      </rPr>
      <t>Royale</t>
    </r>
  </si>
  <si>
    <t>Royale</t>
  </si>
  <si>
    <t>VM</t>
  </si>
  <si>
    <t>CB/CB ex</t>
  </si>
  <si>
    <r>
      <rPr>
        <b/>
        <sz val="20"/>
        <color rgb="FF0000FF"/>
        <rFont val="Arial"/>
        <family val="2"/>
      </rPr>
      <t>CB</t>
    </r>
    <r>
      <rPr>
        <b/>
        <sz val="20"/>
        <color theme="5" tint="-0.249977111117893"/>
        <rFont val="Arial"/>
        <family val="2"/>
      </rPr>
      <t>/</t>
    </r>
    <r>
      <rPr>
        <b/>
        <sz val="20"/>
        <color rgb="FF00A44A"/>
        <rFont val="Arial"/>
        <family val="2"/>
      </rPr>
      <t>VM</t>
    </r>
  </si>
  <si>
    <r>
      <t>VM/ST/</t>
    </r>
    <r>
      <rPr>
        <b/>
        <sz val="20"/>
        <color rgb="FF170EC2"/>
        <rFont val="Arial"/>
        <family val="2"/>
      </rPr>
      <t>CB</t>
    </r>
  </si>
  <si>
    <t>kegs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</si>
</sst>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_(&quot;$&quot;* \(#,##0.00\);_(&quot;$&quot;* &quot;-&quot;??_);_(@_)"/>
    <numFmt numFmtId="43" formatCode="_(* #,##0.00_);_(* \(#,##0.00\);_(* &quot;-&quot;??_);_(@_)"/>
    <numFmt numFmtId="164" formatCode="0.0"/>
    <numFmt numFmtId="165" formatCode="#,##0.0"/>
    <numFmt numFmtId="166" formatCode="#,##0.000000"/>
    <numFmt numFmtId="167" formatCode="_(* #,##0_);_(* \(#,##0\);_(* &quot;-&quot;??_);_(@_)"/>
    <numFmt numFmtId="168" formatCode="_(&quot;$&quot;* #,##0_);_(&quot;$&quot;* \(#,##0\);_(&quot;$&quot;* &quot;-&quot;??_);_(@_)"/>
    <numFmt numFmtId="169" formatCode="#,##0.0_);[Red]\(#,##0.0\)"/>
    <numFmt numFmtId="170" formatCode="0.0%"/>
    <numFmt numFmtId="171" formatCode="[$-409]mmmm\-yy;@"/>
    <numFmt numFmtId="172" formatCode="[$-409]mmmm\ d\,\ yyyy;@"/>
  </numFmts>
  <fonts count="151" x14ac:knownFonts="1">
    <font>
      <sz val="10"/>
      <name val="Arial"/>
    </font>
    <font>
      <sz val="10"/>
      <name val="Arial"/>
      <family val="2"/>
    </font>
    <font>
      <sz val="8"/>
      <name val="Arial"/>
      <family val="2"/>
    </font>
    <font>
      <b/>
      <sz val="10"/>
      <name val="Arial"/>
      <family val="2"/>
    </font>
    <font>
      <b/>
      <sz val="8"/>
      <name val="Arial"/>
      <family val="2"/>
    </font>
    <font>
      <b/>
      <sz val="8"/>
      <name val="Lucida Sans Unicode"/>
      <family val="2"/>
    </font>
    <font>
      <u/>
      <sz val="12"/>
      <name val="Arial"/>
      <family val="2"/>
    </font>
    <font>
      <sz val="12"/>
      <name val="Arial"/>
      <family val="2"/>
    </font>
    <font>
      <b/>
      <u/>
      <sz val="14"/>
      <name val="Arial"/>
      <family val="2"/>
    </font>
    <font>
      <b/>
      <sz val="12"/>
      <name val="Arial"/>
      <family val="2"/>
    </font>
    <font>
      <sz val="12"/>
      <name val="Arial"/>
      <family val="2"/>
    </font>
    <font>
      <sz val="12"/>
      <name val="Lucida Sans Unicode"/>
      <family val="2"/>
    </font>
    <font>
      <sz val="12"/>
      <color indexed="17"/>
      <name val="Arial"/>
      <family val="2"/>
    </font>
    <font>
      <u/>
      <sz val="12"/>
      <color indexed="17"/>
      <name val="Arial"/>
      <family val="2"/>
    </font>
    <font>
      <sz val="12"/>
      <color indexed="10"/>
      <name val="Arial"/>
      <family val="2"/>
    </font>
    <font>
      <sz val="12"/>
      <color indexed="12"/>
      <name val="Arial"/>
      <family val="2"/>
    </font>
    <font>
      <b/>
      <sz val="8"/>
      <color indexed="81"/>
      <name val="Tahoma"/>
      <family val="2"/>
    </font>
    <font>
      <b/>
      <u/>
      <sz val="12"/>
      <name val="Arial"/>
      <family val="2"/>
    </font>
    <font>
      <sz val="12"/>
      <color indexed="9"/>
      <name val="Arial"/>
      <family val="2"/>
    </font>
    <font>
      <b/>
      <sz val="12"/>
      <color indexed="9"/>
      <name val="Arial"/>
      <family val="2"/>
    </font>
    <font>
      <b/>
      <u/>
      <sz val="12"/>
      <color indexed="9"/>
      <name val="Arial"/>
      <family val="2"/>
    </font>
    <font>
      <b/>
      <vertAlign val="superscript"/>
      <sz val="12"/>
      <color indexed="9"/>
      <name val="Arial"/>
      <family val="2"/>
    </font>
    <font>
      <b/>
      <sz val="8"/>
      <color indexed="9"/>
      <name val="Arial"/>
      <family val="2"/>
    </font>
    <font>
      <sz val="8"/>
      <color indexed="9"/>
      <name val="Arial"/>
      <family val="2"/>
    </font>
    <font>
      <i/>
      <sz val="8"/>
      <color indexed="9"/>
      <name val="Arial"/>
      <family val="2"/>
    </font>
    <font>
      <b/>
      <sz val="8"/>
      <color indexed="9"/>
      <name val="Arial"/>
      <family val="2"/>
    </font>
    <font>
      <b/>
      <sz val="10"/>
      <color indexed="9"/>
      <name val="Arial"/>
      <family val="2"/>
    </font>
    <font>
      <b/>
      <sz val="12"/>
      <color indexed="12"/>
      <name val="Arial"/>
      <family val="2"/>
    </font>
    <font>
      <sz val="11"/>
      <color indexed="12"/>
      <name val="Arial"/>
      <family val="2"/>
    </font>
    <font>
      <b/>
      <sz val="11"/>
      <color indexed="12"/>
      <name val="Arial"/>
      <family val="2"/>
    </font>
    <font>
      <sz val="10"/>
      <color indexed="9"/>
      <name val="Arial"/>
      <family val="2"/>
    </font>
    <font>
      <b/>
      <vertAlign val="superscript"/>
      <sz val="10"/>
      <color indexed="9"/>
      <name val="Arial"/>
      <family val="2"/>
    </font>
    <font>
      <sz val="8"/>
      <name val="Arial"/>
      <family val="2"/>
    </font>
    <font>
      <sz val="10"/>
      <name val="Arial"/>
      <family val="2"/>
    </font>
    <font>
      <sz val="12"/>
      <color indexed="10"/>
      <name val="Arial"/>
      <family val="2"/>
    </font>
    <font>
      <b/>
      <u/>
      <sz val="10"/>
      <name val="Arial"/>
      <family val="2"/>
    </font>
    <font>
      <sz val="10"/>
      <color indexed="30"/>
      <name val="Arial"/>
      <family val="2"/>
    </font>
    <font>
      <u/>
      <sz val="10"/>
      <name val="Arial"/>
      <family val="2"/>
    </font>
    <font>
      <u/>
      <sz val="12"/>
      <color indexed="9"/>
      <name val="Arial"/>
      <family val="2"/>
    </font>
    <font>
      <vertAlign val="superscript"/>
      <sz val="10"/>
      <color indexed="9"/>
      <name val="Arial"/>
      <family val="2"/>
    </font>
    <font>
      <b/>
      <vertAlign val="superscript"/>
      <sz val="10"/>
      <name val="Arial"/>
      <family val="2"/>
    </font>
    <font>
      <b/>
      <vertAlign val="subscript"/>
      <sz val="10"/>
      <name val="Arial"/>
      <family val="2"/>
    </font>
    <font>
      <vertAlign val="subscript"/>
      <sz val="10"/>
      <name val="Arial"/>
      <family val="2"/>
    </font>
    <font>
      <b/>
      <sz val="9"/>
      <name val="Arial"/>
      <family val="2"/>
    </font>
    <font>
      <b/>
      <vertAlign val="subscript"/>
      <sz val="9"/>
      <name val="Arial"/>
      <family val="2"/>
    </font>
    <font>
      <sz val="9"/>
      <color indexed="81"/>
      <name val="Tahoma"/>
      <family val="2"/>
    </font>
    <font>
      <b/>
      <sz val="9"/>
      <color indexed="81"/>
      <name val="Tahoma"/>
      <family val="2"/>
    </font>
    <font>
      <i/>
      <sz val="8"/>
      <name val="Arial"/>
      <family val="2"/>
    </font>
    <font>
      <sz val="10"/>
      <color indexed="10"/>
      <name val="Arial"/>
      <family val="2"/>
    </font>
    <font>
      <sz val="10"/>
      <name val="Arial"/>
      <family val="2"/>
    </font>
    <font>
      <b/>
      <sz val="12"/>
      <color indexed="9"/>
      <name val="Arial"/>
      <family val="2"/>
    </font>
    <font>
      <b/>
      <sz val="16"/>
      <name val="Arial"/>
      <family val="2"/>
    </font>
    <font>
      <sz val="14"/>
      <name val="Arial"/>
      <family val="2"/>
    </font>
    <font>
      <b/>
      <sz val="14"/>
      <name val="Arial"/>
      <family val="2"/>
    </font>
    <font>
      <sz val="16"/>
      <name val="Arial"/>
      <family val="2"/>
    </font>
    <font>
      <sz val="16"/>
      <color indexed="8"/>
      <name val="Arial"/>
      <family val="2"/>
    </font>
    <font>
      <sz val="16"/>
      <color theme="1"/>
      <name val="Arial"/>
      <family val="2"/>
    </font>
    <font>
      <sz val="14"/>
      <color indexed="30"/>
      <name val="Arial"/>
      <family val="2"/>
    </font>
    <font>
      <b/>
      <sz val="16"/>
      <color indexed="30"/>
      <name val="Arial"/>
      <family val="2"/>
    </font>
    <font>
      <b/>
      <sz val="12"/>
      <color indexed="30"/>
      <name val="Arial"/>
      <family val="2"/>
    </font>
    <font>
      <u/>
      <sz val="14"/>
      <name val="Arial"/>
      <family val="2"/>
    </font>
    <font>
      <sz val="14"/>
      <color theme="1"/>
      <name val="Arial"/>
      <family val="2"/>
    </font>
    <font>
      <b/>
      <sz val="14"/>
      <color indexed="9"/>
      <name val="Arial"/>
      <family val="2"/>
    </font>
    <font>
      <b/>
      <sz val="16"/>
      <color theme="1"/>
      <name val="Arial"/>
      <family val="2"/>
    </font>
    <font>
      <sz val="14"/>
      <color indexed="10"/>
      <name val="Arial"/>
      <family val="2"/>
    </font>
    <font>
      <b/>
      <sz val="14"/>
      <color indexed="10"/>
      <name val="Arial"/>
      <family val="2"/>
    </font>
    <font>
      <i/>
      <sz val="14"/>
      <color indexed="10"/>
      <name val="Arial"/>
      <family val="2"/>
    </font>
    <font>
      <i/>
      <sz val="14"/>
      <name val="Arial"/>
      <family val="2"/>
    </font>
    <font>
      <sz val="14"/>
      <color indexed="9"/>
      <name val="Arial"/>
      <family val="2"/>
    </font>
    <font>
      <sz val="16"/>
      <color rgb="FF0000FF"/>
      <name val="Arial"/>
      <family val="2"/>
    </font>
    <font>
      <b/>
      <sz val="12"/>
      <color theme="5" tint="-0.499984740745262"/>
      <name val="Arial"/>
      <family val="2"/>
    </font>
    <font>
      <b/>
      <sz val="8"/>
      <color theme="5" tint="-0.499984740745262"/>
      <name val="Arial"/>
      <family val="2"/>
    </font>
    <font>
      <b/>
      <sz val="10"/>
      <color theme="5" tint="-0.499984740745262"/>
      <name val="Arial"/>
      <family val="2"/>
    </font>
    <font>
      <b/>
      <i/>
      <sz val="14"/>
      <name val="Arial"/>
      <family val="2"/>
    </font>
    <font>
      <b/>
      <sz val="14"/>
      <color theme="1"/>
      <name val="Arial"/>
      <family val="2"/>
    </font>
    <font>
      <b/>
      <sz val="20"/>
      <name val="Arial"/>
      <family val="2"/>
    </font>
    <font>
      <sz val="20"/>
      <name val="Arial"/>
      <family val="2"/>
    </font>
    <font>
      <b/>
      <u/>
      <sz val="20"/>
      <name val="Arial"/>
      <family val="2"/>
    </font>
    <font>
      <sz val="20"/>
      <color theme="1"/>
      <name val="Arial"/>
      <family val="2"/>
    </font>
    <font>
      <sz val="20"/>
      <color indexed="30"/>
      <name val="Arial"/>
      <family val="2"/>
    </font>
    <font>
      <b/>
      <sz val="20"/>
      <color indexed="30"/>
      <name val="Arial"/>
      <family val="2"/>
    </font>
    <font>
      <b/>
      <sz val="20"/>
      <color theme="1"/>
      <name val="Arial"/>
      <family val="2"/>
    </font>
    <font>
      <b/>
      <i/>
      <sz val="20"/>
      <name val="Arial"/>
      <family val="2"/>
    </font>
    <font>
      <i/>
      <sz val="20"/>
      <name val="Arial"/>
      <family val="2"/>
    </font>
    <font>
      <b/>
      <vertAlign val="superscript"/>
      <sz val="20"/>
      <name val="Arial"/>
      <family val="2"/>
    </font>
    <font>
      <u/>
      <sz val="20"/>
      <name val="Arial"/>
      <family val="2"/>
    </font>
    <font>
      <b/>
      <sz val="20"/>
      <color indexed="9"/>
      <name val="Arial"/>
      <family val="2"/>
    </font>
    <font>
      <sz val="20"/>
      <color indexed="9"/>
      <name val="Arial"/>
      <family val="2"/>
    </font>
    <font>
      <b/>
      <vertAlign val="subscript"/>
      <sz val="20"/>
      <name val="Arial"/>
      <family val="2"/>
    </font>
    <font>
      <sz val="20"/>
      <color indexed="10"/>
      <name val="Arial"/>
      <family val="2"/>
    </font>
    <font>
      <b/>
      <sz val="20"/>
      <color indexed="10"/>
      <name val="Arial"/>
      <family val="2"/>
    </font>
    <font>
      <i/>
      <sz val="20"/>
      <color indexed="10"/>
      <name val="Arial"/>
      <family val="2"/>
    </font>
    <font>
      <sz val="18"/>
      <name val="Arial"/>
      <family val="2"/>
    </font>
    <font>
      <b/>
      <i/>
      <sz val="20"/>
      <color theme="1"/>
      <name val="Arial"/>
      <family val="2"/>
    </font>
    <font>
      <i/>
      <sz val="20"/>
      <color theme="1"/>
      <name val="Arial"/>
      <family val="2"/>
    </font>
    <font>
      <b/>
      <sz val="20"/>
      <color rgb="FFFF0000"/>
      <name val="Arial"/>
      <family val="2"/>
    </font>
    <font>
      <b/>
      <sz val="20"/>
      <color rgb="FF0000FF"/>
      <name val="Arial"/>
      <family val="2"/>
    </font>
    <font>
      <b/>
      <i/>
      <sz val="20"/>
      <color rgb="FFFF0000"/>
      <name val="Arial"/>
      <family val="2"/>
    </font>
    <font>
      <b/>
      <sz val="12"/>
      <color rgb="FF92D050"/>
      <name val="Arial"/>
      <family val="2"/>
    </font>
    <font>
      <sz val="12"/>
      <color rgb="FF92D050"/>
      <name val="Arial"/>
      <family val="2"/>
    </font>
    <font>
      <b/>
      <sz val="12"/>
      <color rgb="FF00B0F0"/>
      <name val="Arial"/>
      <family val="2"/>
    </font>
    <font>
      <b/>
      <i/>
      <sz val="20"/>
      <color theme="5" tint="0.39997558519241921"/>
      <name val="Arial"/>
      <family val="2"/>
    </font>
    <font>
      <sz val="20"/>
      <color rgb="FFFF0000"/>
      <name val="Arial"/>
      <family val="2"/>
    </font>
    <font>
      <b/>
      <sz val="20"/>
      <color theme="9" tint="-0.249977111117893"/>
      <name val="Arial"/>
      <family val="2"/>
    </font>
    <font>
      <b/>
      <sz val="20"/>
      <color rgb="FF00A44A"/>
      <name val="Arial"/>
      <family val="2"/>
    </font>
    <font>
      <sz val="12"/>
      <color theme="1"/>
      <name val="Arial"/>
      <family val="2"/>
    </font>
    <font>
      <sz val="14"/>
      <color indexed="12"/>
      <name val="Arial"/>
      <family val="2"/>
    </font>
    <font>
      <b/>
      <sz val="14"/>
      <color rgb="FFFF0000"/>
      <name val="Arial"/>
      <family val="2"/>
    </font>
    <font>
      <sz val="14"/>
      <color rgb="FFFF0000"/>
      <name val="Arial"/>
      <family val="2"/>
    </font>
    <font>
      <b/>
      <sz val="14"/>
      <color indexed="12"/>
      <name val="Arial"/>
      <family val="2"/>
    </font>
    <font>
      <b/>
      <vertAlign val="subscript"/>
      <sz val="10"/>
      <color rgb="FFFFFFFF"/>
      <name val="Arial"/>
      <family val="2"/>
    </font>
    <font>
      <b/>
      <sz val="10"/>
      <color theme="0"/>
      <name val="Arial"/>
      <family val="2"/>
    </font>
    <font>
      <b/>
      <sz val="12"/>
      <color rgb="FFFF0000"/>
      <name val="Arial"/>
      <family val="2"/>
    </font>
    <font>
      <b/>
      <sz val="12"/>
      <color rgb="FF0000FF"/>
      <name val="Arial"/>
      <family val="2"/>
    </font>
    <font>
      <sz val="12"/>
      <color rgb="FF0000FF"/>
      <name val="Arial"/>
      <family val="2"/>
    </font>
    <font>
      <b/>
      <sz val="11"/>
      <color indexed="9"/>
      <name val="Arial"/>
      <family val="2"/>
    </font>
    <font>
      <sz val="11"/>
      <name val="Arial"/>
      <family val="2"/>
    </font>
    <font>
      <sz val="11"/>
      <color rgb="FFFF0000"/>
      <name val="Calibri"/>
      <family val="2"/>
      <scheme val="minor"/>
    </font>
    <font>
      <b/>
      <sz val="11"/>
      <color theme="1"/>
      <name val="Calibri"/>
      <family val="2"/>
      <scheme val="minor"/>
    </font>
    <font>
      <b/>
      <i/>
      <sz val="11"/>
      <color rgb="FFEE0000"/>
      <name val="Calibri"/>
      <family val="2"/>
      <scheme val="minor"/>
    </font>
    <font>
      <b/>
      <sz val="10"/>
      <color rgb="FFEE0000"/>
      <name val="Calibri"/>
      <family val="2"/>
      <scheme val="minor"/>
    </font>
    <font>
      <b/>
      <vertAlign val="subscript"/>
      <sz val="10"/>
      <color rgb="FFEE0000"/>
      <name val="Calibri"/>
      <family val="2"/>
      <scheme val="minor"/>
    </font>
    <font>
      <b/>
      <sz val="9"/>
      <color rgb="FFFF0000"/>
      <name val="Calibri"/>
      <family val="2"/>
      <scheme val="minor"/>
    </font>
    <font>
      <b/>
      <sz val="11"/>
      <color rgb="FFFF0000"/>
      <name val="Calibri"/>
      <family val="2"/>
      <scheme val="minor"/>
    </font>
    <font>
      <b/>
      <sz val="10"/>
      <color rgb="FFFF0000"/>
      <name val="Calibri"/>
      <family val="2"/>
      <scheme val="minor"/>
    </font>
    <font>
      <b/>
      <sz val="11"/>
      <color rgb="FFEE0000"/>
      <name val="Calibri"/>
      <family val="2"/>
      <scheme val="minor"/>
    </font>
    <font>
      <sz val="11"/>
      <color rgb="FFEE0000"/>
      <name val="Calibri"/>
      <family val="2"/>
      <scheme val="minor"/>
    </font>
    <font>
      <b/>
      <sz val="12"/>
      <color rgb="FFEE0000"/>
      <name val="Arial"/>
      <family val="2"/>
    </font>
    <font>
      <sz val="11"/>
      <color rgb="FF0000FF"/>
      <name val="Calibri"/>
      <family val="2"/>
      <scheme val="minor"/>
    </font>
    <font>
      <sz val="12"/>
      <color rgb="FF170EC2"/>
      <name val="Arial"/>
      <family val="2"/>
    </font>
    <font>
      <b/>
      <vertAlign val="subscript"/>
      <sz val="14"/>
      <name val="Arial"/>
      <family val="2"/>
    </font>
    <font>
      <b/>
      <sz val="14"/>
      <color indexed="81"/>
      <name val="Tahoma"/>
      <family val="2"/>
    </font>
    <font>
      <sz val="14"/>
      <color indexed="81"/>
      <name val="Tahoma"/>
      <family val="2"/>
    </font>
    <font>
      <b/>
      <sz val="20"/>
      <color theme="9" tint="-0.499984740745262"/>
      <name val="Arial"/>
      <family val="2"/>
    </font>
    <font>
      <b/>
      <vertAlign val="subscript"/>
      <sz val="12"/>
      <name val="Arial"/>
      <family val="2"/>
    </font>
    <font>
      <sz val="12"/>
      <color rgb="FFFF0000"/>
      <name val="Arial"/>
      <family val="2"/>
    </font>
    <font>
      <b/>
      <sz val="20"/>
      <color rgb="FFC00000"/>
      <name val="Arial"/>
      <family val="2"/>
    </font>
    <font>
      <sz val="12"/>
      <color indexed="81"/>
      <name val="Tahoma"/>
      <family val="2"/>
    </font>
    <font>
      <b/>
      <sz val="12"/>
      <name val="Lucida Sans Unicode"/>
      <family val="2"/>
    </font>
    <font>
      <b/>
      <sz val="16"/>
      <color indexed="81"/>
      <name val="Tahoma"/>
      <family val="2"/>
    </font>
    <font>
      <b/>
      <sz val="12"/>
      <color indexed="81"/>
      <name val="Tahoma"/>
      <family val="2"/>
    </font>
    <font>
      <b/>
      <sz val="20"/>
      <color rgb="FF00B050"/>
      <name val="Arial"/>
      <family val="2"/>
    </font>
    <font>
      <sz val="20"/>
      <name val="Tahoma"/>
      <family val="2"/>
    </font>
    <font>
      <b/>
      <sz val="18"/>
      <name val="Arial"/>
      <family val="2"/>
    </font>
    <font>
      <b/>
      <sz val="20"/>
      <color theme="5" tint="-0.249977111117893"/>
      <name val="Arial"/>
      <family val="2"/>
    </font>
    <font>
      <b/>
      <sz val="20"/>
      <color theme="5"/>
      <name val="Arial"/>
      <family val="2"/>
    </font>
    <font>
      <b/>
      <sz val="20"/>
      <color rgb="FF170EC2"/>
      <name val="Arial"/>
      <family val="2"/>
    </font>
    <font>
      <b/>
      <sz val="20"/>
      <color rgb="FFFF8FE2"/>
      <name val="Arial"/>
      <family val="2"/>
    </font>
    <font>
      <b/>
      <sz val="20"/>
      <color rgb="FF7030A0"/>
      <name val="Arial"/>
      <family val="2"/>
    </font>
    <font>
      <b/>
      <sz val="20"/>
      <color rgb="FFFFC000"/>
      <name val="Arial"/>
      <family val="2"/>
    </font>
    <font>
      <sz val="16"/>
      <color indexed="81"/>
      <name val="Tahoma"/>
      <family val="2"/>
    </font>
  </fonts>
  <fills count="42">
    <fill>
      <patternFill patternType="none"/>
    </fill>
    <fill>
      <patternFill patternType="gray125"/>
    </fill>
    <fill>
      <patternFill patternType="solid">
        <fgColor indexed="13"/>
        <bgColor indexed="64"/>
      </patternFill>
    </fill>
    <fill>
      <patternFill patternType="solid">
        <fgColor indexed="9"/>
        <bgColor indexed="64"/>
      </patternFill>
    </fill>
    <fill>
      <patternFill patternType="solid">
        <fgColor indexed="12"/>
        <bgColor indexed="64"/>
      </patternFill>
    </fill>
    <fill>
      <patternFill patternType="solid">
        <fgColor indexed="44"/>
        <bgColor indexed="64"/>
      </patternFill>
    </fill>
    <fill>
      <patternFill patternType="solid">
        <fgColor indexed="22"/>
        <bgColor indexed="64"/>
      </patternFill>
    </fill>
    <fill>
      <patternFill patternType="solid">
        <fgColor indexed="50"/>
        <bgColor indexed="64"/>
      </patternFill>
    </fill>
    <fill>
      <patternFill patternType="solid">
        <fgColor indexed="42"/>
        <bgColor indexed="64"/>
      </patternFill>
    </fill>
    <fill>
      <patternFill patternType="solid">
        <fgColor indexed="55"/>
        <bgColor indexed="64"/>
      </patternFill>
    </fill>
    <fill>
      <patternFill patternType="solid">
        <fgColor indexed="18"/>
        <bgColor indexed="64"/>
      </patternFill>
    </fill>
    <fill>
      <patternFill patternType="solid">
        <fgColor indexed="14"/>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rgb="FF00B0F0"/>
        <bgColor indexed="64"/>
      </patternFill>
    </fill>
    <fill>
      <patternFill patternType="solid">
        <fgColor rgb="FF92D050"/>
        <bgColor indexed="64"/>
      </patternFill>
    </fill>
    <fill>
      <patternFill patternType="gray0625">
        <bgColor theme="0" tint="-4.9989318521683403E-2"/>
      </patternFill>
    </fill>
    <fill>
      <patternFill patternType="solid">
        <fgColor theme="9" tint="0.59999389629810485"/>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rgb="FFFFC000"/>
        <bgColor indexed="64"/>
      </patternFill>
    </fill>
    <fill>
      <patternFill patternType="solid">
        <fgColor theme="6" tint="-0.249977111117893"/>
        <bgColor indexed="64"/>
      </patternFill>
    </fill>
    <fill>
      <patternFill patternType="solid">
        <fgColor theme="5" tint="0.59999389629810485"/>
        <bgColor indexed="64"/>
      </patternFill>
    </fill>
    <fill>
      <patternFill patternType="solid">
        <fgColor rgb="FFFF0000"/>
        <bgColor indexed="64"/>
      </patternFill>
    </fill>
    <fill>
      <patternFill patternType="solid">
        <fgColor theme="7" tint="0.79998168889431442"/>
        <bgColor indexed="64"/>
      </patternFill>
    </fill>
    <fill>
      <patternFill patternType="solid">
        <fgColor theme="0"/>
        <bgColor indexed="64"/>
      </patternFill>
    </fill>
    <fill>
      <patternFill patternType="solid">
        <fgColor rgb="FF0000FF"/>
        <bgColor indexed="64"/>
      </patternFill>
    </fill>
    <fill>
      <patternFill patternType="solid">
        <fgColor theme="3" tint="0.59999389629810485"/>
        <bgColor indexed="64"/>
      </patternFill>
    </fill>
    <fill>
      <patternFill patternType="gray0625">
        <bgColor theme="0"/>
      </patternFill>
    </fill>
    <fill>
      <patternFill patternType="solid">
        <fgColor theme="4" tint="0.59999389629810485"/>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1"/>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4" tint="0.39997558519241921"/>
        <bgColor indexed="64"/>
      </patternFill>
    </fill>
  </fills>
  <borders count="126">
    <border>
      <left/>
      <right/>
      <top/>
      <bottom/>
      <diagonal/>
    </border>
    <border>
      <left style="medium">
        <color indexed="8"/>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64"/>
      </left>
      <right style="thin">
        <color indexed="64"/>
      </right>
      <top/>
      <bottom/>
      <diagonal/>
    </border>
    <border>
      <left/>
      <right/>
      <top/>
      <bottom style="thin">
        <color indexed="8"/>
      </bottom>
      <diagonal/>
    </border>
    <border>
      <left style="thin">
        <color indexed="64"/>
      </left>
      <right/>
      <top/>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style="medium">
        <color indexed="8"/>
      </right>
      <top/>
      <bottom/>
      <diagonal/>
    </border>
    <border>
      <left/>
      <right style="medium">
        <color indexed="8"/>
      </right>
      <top/>
      <bottom/>
      <diagonal/>
    </border>
    <border>
      <left style="medium">
        <color indexed="8"/>
      </left>
      <right style="medium">
        <color indexed="8"/>
      </right>
      <top/>
      <bottom style="medium">
        <color indexed="8"/>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diagonal/>
    </border>
    <border>
      <left/>
      <right style="thin">
        <color indexed="64"/>
      </right>
      <top/>
      <bottom/>
      <diagonal/>
    </border>
    <border>
      <left/>
      <right/>
      <top style="thin">
        <color indexed="64"/>
      </top>
      <bottom/>
      <diagonal/>
    </border>
    <border>
      <left/>
      <right/>
      <top/>
      <bottom style="thin">
        <color indexed="64"/>
      </bottom>
      <diagonal/>
    </border>
    <border>
      <left style="thin">
        <color indexed="8"/>
      </left>
      <right/>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medium">
        <color indexed="8"/>
      </top>
      <bottom/>
      <diagonal/>
    </border>
    <border>
      <left style="medium">
        <color indexed="8"/>
      </left>
      <right style="thin">
        <color indexed="8"/>
      </right>
      <top/>
      <bottom/>
      <diagonal/>
    </border>
    <border>
      <left style="medium">
        <color indexed="8"/>
      </left>
      <right style="thin">
        <color indexed="8"/>
      </right>
      <top/>
      <bottom style="thin">
        <color indexed="8"/>
      </bottom>
      <diagonal/>
    </border>
    <border>
      <left/>
      <right style="thin">
        <color indexed="64"/>
      </right>
      <top/>
      <bottom style="medium">
        <color indexed="64"/>
      </bottom>
      <diagonal/>
    </border>
    <border>
      <left/>
      <right style="thin">
        <color indexed="8"/>
      </right>
      <top/>
      <bottom style="thin">
        <color indexed="8"/>
      </bottom>
      <diagonal/>
    </border>
    <border>
      <left style="thin">
        <color indexed="58"/>
      </left>
      <right style="thin">
        <color indexed="58"/>
      </right>
      <top style="thin">
        <color indexed="58"/>
      </top>
      <bottom style="thin">
        <color indexed="58"/>
      </bottom>
      <diagonal/>
    </border>
    <border>
      <left style="medium">
        <color indexed="58"/>
      </left>
      <right style="thin">
        <color indexed="58"/>
      </right>
      <top style="thin">
        <color indexed="58"/>
      </top>
      <bottom style="thin">
        <color indexed="58"/>
      </bottom>
      <diagonal/>
    </border>
    <border>
      <left/>
      <right/>
      <top style="thin">
        <color indexed="64"/>
      </top>
      <bottom style="medium">
        <color indexed="64"/>
      </bottom>
      <diagonal/>
    </border>
    <border>
      <left/>
      <right style="thin">
        <color indexed="58"/>
      </right>
      <top style="thin">
        <color indexed="58"/>
      </top>
      <bottom style="thin">
        <color indexed="58"/>
      </bottom>
      <diagonal/>
    </border>
    <border>
      <left/>
      <right style="thin">
        <color indexed="64"/>
      </right>
      <top style="thin">
        <color indexed="64"/>
      </top>
      <bottom style="thin">
        <color indexed="64"/>
      </bottom>
      <diagonal/>
    </border>
    <border>
      <left/>
      <right/>
      <top/>
      <bottom style="medium">
        <color indexed="58"/>
      </bottom>
      <diagonal/>
    </border>
    <border>
      <left/>
      <right style="thin">
        <color indexed="64"/>
      </right>
      <top/>
      <bottom style="medium">
        <color indexed="58"/>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8"/>
      </left>
      <right style="thin">
        <color indexed="8"/>
      </right>
      <top style="medium">
        <color indexed="8"/>
      </top>
      <bottom style="thin">
        <color indexed="64"/>
      </bottom>
      <diagonal/>
    </border>
    <border>
      <left style="thin">
        <color indexed="8"/>
      </left>
      <right style="thin">
        <color indexed="8"/>
      </right>
      <top style="thin">
        <color indexed="64"/>
      </top>
      <bottom style="thin">
        <color indexed="8"/>
      </bottom>
      <diagonal/>
    </border>
    <border>
      <left style="medium">
        <color indexed="8"/>
      </left>
      <right style="thin">
        <color indexed="8"/>
      </right>
      <top style="medium">
        <color indexed="8"/>
      </top>
      <bottom/>
      <diagonal/>
    </border>
    <border>
      <left style="thin">
        <color indexed="8"/>
      </left>
      <right style="medium">
        <color indexed="8"/>
      </right>
      <top style="medium">
        <color indexed="8"/>
      </top>
      <bottom/>
      <diagonal/>
    </border>
    <border>
      <left style="thin">
        <color indexed="8"/>
      </left>
      <right style="medium">
        <color indexed="8"/>
      </right>
      <top/>
      <bottom style="thin">
        <color indexed="8"/>
      </bottom>
      <diagonal/>
    </border>
    <border>
      <left/>
      <right/>
      <top style="thin">
        <color auto="1"/>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thin">
        <color auto="1"/>
      </top>
      <bottom style="thin">
        <color auto="1"/>
      </bottom>
      <diagonal/>
    </border>
    <border>
      <left style="medium">
        <color indexed="64"/>
      </left>
      <right/>
      <top style="thin">
        <color auto="1"/>
      </top>
      <bottom/>
      <diagonal/>
    </border>
    <border>
      <left/>
      <right style="thin">
        <color indexed="64"/>
      </right>
      <top style="medium">
        <color indexed="64"/>
      </top>
      <bottom style="thin">
        <color indexed="64"/>
      </bottom>
      <diagonal/>
    </border>
    <border>
      <left style="medium">
        <color indexed="8"/>
      </left>
      <right/>
      <top/>
      <bottom style="thin">
        <color indexed="64"/>
      </bottom>
      <diagonal/>
    </border>
    <border>
      <left style="medium">
        <color indexed="64"/>
      </left>
      <right style="medium">
        <color indexed="8"/>
      </right>
      <top/>
      <bottom/>
      <diagonal/>
    </border>
    <border>
      <left style="medium">
        <color indexed="8"/>
      </left>
      <right style="medium">
        <color indexed="64"/>
      </right>
      <top/>
      <bottom/>
      <diagonal/>
    </border>
    <border>
      <left style="medium">
        <color indexed="64"/>
      </left>
      <right style="medium">
        <color indexed="8"/>
      </right>
      <top/>
      <bottom style="medium">
        <color indexed="64"/>
      </bottom>
      <diagonal/>
    </border>
    <border>
      <left/>
      <right style="medium">
        <color indexed="8"/>
      </right>
      <top/>
      <bottom style="medium">
        <color indexed="64"/>
      </bottom>
      <diagonal/>
    </border>
    <border>
      <left style="medium">
        <color indexed="8"/>
      </left>
      <right style="medium">
        <color indexed="64"/>
      </right>
      <top/>
      <bottom style="medium">
        <color indexed="64"/>
      </bottom>
      <diagonal/>
    </border>
    <border>
      <left/>
      <right/>
      <top/>
      <bottom style="medium">
        <color indexed="64"/>
      </bottom>
      <diagonal/>
    </border>
    <border>
      <left/>
      <right/>
      <top style="dotted">
        <color theme="0" tint="-0.499984740745262"/>
      </top>
      <bottom style="dotted">
        <color theme="0" tint="-0.499984740745262"/>
      </bottom>
      <diagonal/>
    </border>
    <border>
      <left/>
      <right/>
      <top/>
      <bottom style="dotted">
        <color theme="0" tint="-0.499984740745262"/>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top style="thin">
        <color indexed="58"/>
      </top>
      <bottom/>
      <diagonal/>
    </border>
    <border>
      <left/>
      <right style="thin">
        <color indexed="58"/>
      </right>
      <top style="thin">
        <color indexed="58"/>
      </top>
      <bottom style="thin">
        <color indexed="58"/>
      </bottom>
      <diagonal/>
    </border>
    <border>
      <left style="medium">
        <color indexed="58"/>
      </left>
      <right style="thin">
        <color indexed="58"/>
      </right>
      <top style="thin">
        <color indexed="58"/>
      </top>
      <bottom style="thin">
        <color indexed="58"/>
      </bottom>
      <diagonal/>
    </border>
    <border>
      <left style="medium">
        <color indexed="58"/>
      </left>
      <right/>
      <top style="thin">
        <color indexed="58"/>
      </top>
      <bottom style="thin">
        <color indexed="58"/>
      </bottom>
      <diagonal/>
    </border>
    <border>
      <left style="thin">
        <color indexed="64"/>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0" fontId="7" fillId="0" borderId="0"/>
    <xf numFmtId="9" fontId="49" fillId="0" borderId="0" applyFont="0" applyFill="0" applyBorder="0" applyAlignment="0" applyProtection="0"/>
    <xf numFmtId="172" fontId="1" fillId="0" borderId="0"/>
  </cellStyleXfs>
  <cellXfs count="972">
    <xf numFmtId="0" fontId="0" fillId="0" borderId="0" xfId="0"/>
    <xf numFmtId="0" fontId="3" fillId="0" borderId="0" xfId="0" applyFont="1"/>
    <xf numFmtId="0" fontId="2" fillId="0" borderId="0" xfId="0" applyFont="1"/>
    <xf numFmtId="17" fontId="3" fillId="0" borderId="0" xfId="0" applyNumberFormat="1" applyFont="1"/>
    <xf numFmtId="0" fontId="5" fillId="0" borderId="0" xfId="0" applyFont="1"/>
    <xf numFmtId="0" fontId="7" fillId="0" borderId="0" xfId="0" applyFont="1" applyAlignment="1">
      <alignment horizontal="center"/>
    </xf>
    <xf numFmtId="0" fontId="10" fillId="0" borderId="0" xfId="0" applyFont="1"/>
    <xf numFmtId="0" fontId="11" fillId="0" borderId="0" xfId="0" applyFont="1"/>
    <xf numFmtId="0" fontId="7" fillId="0" borderId="0" xfId="3"/>
    <xf numFmtId="0" fontId="6" fillId="0" borderId="0" xfId="3" applyFont="1"/>
    <xf numFmtId="37" fontId="7" fillId="0" borderId="0" xfId="3" applyNumberFormat="1" applyAlignment="1">
      <alignment horizontal="center"/>
    </xf>
    <xf numFmtId="0" fontId="7" fillId="0" borderId="0" xfId="3" applyAlignment="1">
      <alignment horizontal="center"/>
    </xf>
    <xf numFmtId="0" fontId="3" fillId="0" borderId="0" xfId="3" applyFont="1"/>
    <xf numFmtId="39" fontId="7" fillId="0" borderId="0" xfId="3" applyNumberFormat="1" applyAlignment="1">
      <alignment horizontal="center"/>
    </xf>
    <xf numFmtId="0" fontId="3" fillId="0" borderId="0" xfId="0" applyFont="1" applyAlignment="1">
      <alignment horizontal="left"/>
    </xf>
    <xf numFmtId="3" fontId="7" fillId="0" borderId="0" xfId="3" applyNumberFormat="1" applyAlignment="1">
      <alignment horizontal="center"/>
    </xf>
    <xf numFmtId="0" fontId="15" fillId="0" borderId="5" xfId="3" applyFont="1" applyBorder="1" applyAlignment="1">
      <alignment horizontal="center"/>
    </xf>
    <xf numFmtId="3" fontId="7" fillId="0" borderId="0" xfId="3" applyNumberFormat="1"/>
    <xf numFmtId="0" fontId="7" fillId="0" borderId="6" xfId="3" applyBorder="1" applyAlignment="1">
      <alignment horizontal="center"/>
    </xf>
    <xf numFmtId="0" fontId="9" fillId="0" borderId="0" xfId="0" applyFont="1"/>
    <xf numFmtId="3" fontId="9" fillId="0" borderId="0" xfId="0" applyNumberFormat="1" applyFont="1" applyAlignment="1">
      <alignment horizontal="center"/>
    </xf>
    <xf numFmtId="0" fontId="7" fillId="0" borderId="8" xfId="3" applyBorder="1" applyAlignment="1">
      <alignment horizontal="center"/>
    </xf>
    <xf numFmtId="166" fontId="7" fillId="0" borderId="0" xfId="3" applyNumberFormat="1"/>
    <xf numFmtId="167" fontId="7" fillId="0" borderId="0" xfId="1" applyNumberFormat="1" applyFont="1"/>
    <xf numFmtId="0" fontId="9" fillId="2" borderId="0" xfId="3" applyFont="1" applyFill="1"/>
    <xf numFmtId="0" fontId="14" fillId="0" borderId="9" xfId="0" applyFont="1" applyBorder="1" applyAlignment="1">
      <alignment horizontal="center"/>
    </xf>
    <xf numFmtId="4" fontId="7" fillId="0" borderId="10" xfId="3" applyNumberFormat="1" applyBorder="1"/>
    <xf numFmtId="0" fontId="0" fillId="0" borderId="0" xfId="0" applyAlignment="1">
      <alignment horizontal="center"/>
    </xf>
    <xf numFmtId="168" fontId="9" fillId="2" borderId="0" xfId="2" applyNumberFormat="1" applyFont="1" applyFill="1"/>
    <xf numFmtId="0" fontId="7" fillId="2" borderId="0" xfId="3" applyFill="1"/>
    <xf numFmtId="37" fontId="7" fillId="0" borderId="0" xfId="3" applyNumberFormat="1"/>
    <xf numFmtId="3" fontId="15" fillId="0" borderId="4" xfId="3" applyNumberFormat="1" applyFont="1" applyBorder="1" applyAlignment="1">
      <alignment horizontal="center"/>
    </xf>
    <xf numFmtId="2" fontId="7" fillId="0" borderId="0" xfId="3" applyNumberFormat="1"/>
    <xf numFmtId="2" fontId="7" fillId="0" borderId="0" xfId="3" applyNumberFormat="1" applyAlignment="1">
      <alignment horizontal="center"/>
    </xf>
    <xf numFmtId="0" fontId="19" fillId="4" borderId="0" xfId="3" applyFont="1" applyFill="1" applyAlignment="1">
      <alignment horizontal="center"/>
    </xf>
    <xf numFmtId="0" fontId="0" fillId="5" borderId="0" xfId="0" applyFill="1"/>
    <xf numFmtId="0" fontId="15" fillId="0" borderId="0" xfId="3" applyFont="1" applyAlignment="1">
      <alignment horizontal="center"/>
    </xf>
    <xf numFmtId="2" fontId="15" fillId="0" borderId="3" xfId="3" applyNumberFormat="1" applyFont="1" applyBorder="1" applyAlignment="1">
      <alignment horizontal="center"/>
    </xf>
    <xf numFmtId="2" fontId="15" fillId="0" borderId="5" xfId="3" applyNumberFormat="1" applyFont="1" applyBorder="1" applyAlignment="1">
      <alignment horizontal="center"/>
    </xf>
    <xf numFmtId="0" fontId="19" fillId="4" borderId="27" xfId="3" applyFont="1" applyFill="1" applyBorder="1" applyAlignment="1">
      <alignment horizontal="center"/>
    </xf>
    <xf numFmtId="37" fontId="19" fillId="4" borderId="28" xfId="3" applyNumberFormat="1" applyFont="1" applyFill="1" applyBorder="1" applyAlignment="1">
      <alignment horizontal="center"/>
    </xf>
    <xf numFmtId="0" fontId="27" fillId="0" borderId="0" xfId="3" applyFont="1"/>
    <xf numFmtId="0" fontId="28" fillId="0" borderId="5" xfId="3" applyFont="1" applyBorder="1" applyAlignment="1">
      <alignment horizontal="center"/>
    </xf>
    <xf numFmtId="37" fontId="28" fillId="0" borderId="6" xfId="3" applyNumberFormat="1" applyFont="1" applyBorder="1" applyAlignment="1">
      <alignment horizontal="center"/>
    </xf>
    <xf numFmtId="37" fontId="28" fillId="0" borderId="30" xfId="3" applyNumberFormat="1" applyFont="1" applyBorder="1" applyAlignment="1">
      <alignment horizontal="center"/>
    </xf>
    <xf numFmtId="0" fontId="28" fillId="0" borderId="3" xfId="3" applyFont="1" applyBorder="1" applyAlignment="1">
      <alignment horizontal="center"/>
    </xf>
    <xf numFmtId="0" fontId="28" fillId="0" borderId="0" xfId="3" applyFont="1" applyAlignment="1">
      <alignment horizontal="center"/>
    </xf>
    <xf numFmtId="3" fontId="15" fillId="0" borderId="3" xfId="3" applyNumberFormat="1" applyFont="1" applyBorder="1" applyAlignment="1">
      <alignment horizontal="center"/>
    </xf>
    <xf numFmtId="0" fontId="19" fillId="4" borderId="31" xfId="3" applyFont="1" applyFill="1" applyBorder="1" applyAlignment="1">
      <alignment horizontal="center" vertical="center" wrapText="1"/>
    </xf>
    <xf numFmtId="0" fontId="19" fillId="4" borderId="4" xfId="0" applyFont="1" applyFill="1" applyBorder="1" applyAlignment="1">
      <alignment horizontal="center" vertical="center" wrapText="1"/>
    </xf>
    <xf numFmtId="0" fontId="19" fillId="4" borderId="4" xfId="3" applyFont="1" applyFill="1" applyBorder="1" applyAlignment="1">
      <alignment horizontal="center" vertical="center" wrapText="1"/>
    </xf>
    <xf numFmtId="0" fontId="15" fillId="0" borderId="32" xfId="3" applyFont="1" applyBorder="1" applyAlignment="1">
      <alignment horizontal="center"/>
    </xf>
    <xf numFmtId="3" fontId="15" fillId="0" borderId="6" xfId="3" applyNumberFormat="1" applyFont="1" applyBorder="1" applyAlignment="1">
      <alignment horizontal="center"/>
    </xf>
    <xf numFmtId="0" fontId="25" fillId="4" borderId="34" xfId="3" applyFont="1" applyFill="1" applyBorder="1"/>
    <xf numFmtId="0" fontId="18" fillId="0" borderId="5" xfId="3" applyFont="1" applyBorder="1" applyAlignment="1">
      <alignment horizontal="center"/>
    </xf>
    <xf numFmtId="3" fontId="28" fillId="0" borderId="3" xfId="3" applyNumberFormat="1" applyFont="1" applyBorder="1" applyAlignment="1">
      <alignment horizontal="center"/>
    </xf>
    <xf numFmtId="37" fontId="28" fillId="0" borderId="35" xfId="3" applyNumberFormat="1" applyFont="1" applyBorder="1" applyAlignment="1">
      <alignment horizontal="center"/>
    </xf>
    <xf numFmtId="37" fontId="28" fillId="0" borderId="4" xfId="3" applyNumberFormat="1" applyFont="1" applyBorder="1" applyAlignment="1">
      <alignment horizontal="center"/>
    </xf>
    <xf numFmtId="37" fontId="29" fillId="0" borderId="4" xfId="3" applyNumberFormat="1" applyFont="1" applyBorder="1" applyAlignment="1">
      <alignment horizontal="center"/>
    </xf>
    <xf numFmtId="0" fontId="28" fillId="0" borderId="4" xfId="3" applyFont="1" applyBorder="1"/>
    <xf numFmtId="2" fontId="28" fillId="0" borderId="3" xfId="3" applyNumberFormat="1" applyFont="1" applyBorder="1" applyAlignment="1">
      <alignment horizontal="center"/>
    </xf>
    <xf numFmtId="3" fontId="28" fillId="0" borderId="5" xfId="3" applyNumberFormat="1" applyFont="1" applyBorder="1" applyAlignment="1">
      <alignment horizontal="center"/>
    </xf>
    <xf numFmtId="0" fontId="28" fillId="0" borderId="6" xfId="3" applyFont="1" applyBorder="1"/>
    <xf numFmtId="3" fontId="29" fillId="0" borderId="3" xfId="3" applyNumberFormat="1" applyFont="1" applyBorder="1" applyAlignment="1">
      <alignment horizontal="center"/>
    </xf>
    <xf numFmtId="3" fontId="29" fillId="0" borderId="5" xfId="3" applyNumberFormat="1" applyFont="1" applyBorder="1" applyAlignment="1">
      <alignment horizontal="center"/>
    </xf>
    <xf numFmtId="3" fontId="28" fillId="0" borderId="0" xfId="3" applyNumberFormat="1" applyFont="1" applyAlignment="1">
      <alignment horizontal="center"/>
    </xf>
    <xf numFmtId="0" fontId="17" fillId="0" borderId="0" xfId="3" applyFont="1"/>
    <xf numFmtId="0" fontId="19" fillId="4" borderId="5" xfId="3" applyFont="1" applyFill="1" applyBorder="1"/>
    <xf numFmtId="0" fontId="26" fillId="4" borderId="5" xfId="3" applyFont="1" applyFill="1" applyBorder="1" applyAlignment="1">
      <alignment horizontal="center"/>
    </xf>
    <xf numFmtId="0" fontId="26" fillId="4" borderId="5" xfId="3" applyFont="1" applyFill="1" applyBorder="1"/>
    <xf numFmtId="0" fontId="19" fillId="4" borderId="5" xfId="3" applyFont="1" applyFill="1" applyBorder="1" applyAlignment="1">
      <alignment horizontal="center"/>
    </xf>
    <xf numFmtId="0" fontId="22" fillId="4" borderId="26" xfId="3" applyFont="1" applyFill="1" applyBorder="1"/>
    <xf numFmtId="3" fontId="7" fillId="0" borderId="0" xfId="3" applyNumberFormat="1" applyAlignment="1">
      <alignment horizontal="left"/>
    </xf>
    <xf numFmtId="0" fontId="34" fillId="0" borderId="0" xfId="3" applyFont="1"/>
    <xf numFmtId="0" fontId="35" fillId="0" borderId="0" xfId="0" applyFont="1"/>
    <xf numFmtId="3" fontId="3" fillId="0" borderId="0" xfId="0" applyNumberFormat="1" applyFont="1" applyAlignment="1">
      <alignment horizontal="center"/>
    </xf>
    <xf numFmtId="0" fontId="36" fillId="0" borderId="0" xfId="0" applyFont="1"/>
    <xf numFmtId="0" fontId="37" fillId="0" borderId="0" xfId="0" applyFont="1"/>
    <xf numFmtId="0" fontId="3" fillId="6" borderId="0" xfId="0" applyFont="1" applyFill="1"/>
    <xf numFmtId="3" fontId="15" fillId="0" borderId="29" xfId="3" applyNumberFormat="1" applyFont="1" applyBorder="1" applyAlignment="1">
      <alignment horizontal="center"/>
    </xf>
    <xf numFmtId="0" fontId="30" fillId="4" borderId="4" xfId="0" applyFont="1" applyFill="1" applyBorder="1" applyAlignment="1">
      <alignment horizontal="center" vertical="center" wrapText="1"/>
    </xf>
    <xf numFmtId="0" fontId="1" fillId="0" borderId="0" xfId="0" applyFont="1"/>
    <xf numFmtId="0" fontId="1" fillId="0" borderId="0" xfId="0" applyFont="1" applyAlignment="1">
      <alignment horizontal="center"/>
    </xf>
    <xf numFmtId="17" fontId="1" fillId="0" borderId="0" xfId="0" applyNumberFormat="1" applyFont="1" applyAlignment="1">
      <alignment horizontal="left"/>
    </xf>
    <xf numFmtId="167" fontId="1" fillId="0" borderId="0" xfId="1" applyNumberFormat="1" applyAlignment="1">
      <alignment horizontal="center"/>
    </xf>
    <xf numFmtId="0" fontId="3" fillId="0" borderId="0" xfId="0" applyFont="1" applyAlignment="1">
      <alignment horizontal="center"/>
    </xf>
    <xf numFmtId="3" fontId="1" fillId="0" borderId="0" xfId="0" applyNumberFormat="1" applyFont="1" applyAlignment="1">
      <alignment horizontal="center"/>
    </xf>
    <xf numFmtId="0" fontId="1" fillId="2" borderId="0" xfId="0" applyFont="1" applyFill="1"/>
    <xf numFmtId="0" fontId="1" fillId="6" borderId="0" xfId="0" applyFont="1" applyFill="1"/>
    <xf numFmtId="0" fontId="47" fillId="0" borderId="0" xfId="0" applyFont="1"/>
    <xf numFmtId="0" fontId="48" fillId="0" borderId="0" xfId="0" applyFont="1"/>
    <xf numFmtId="0" fontId="48" fillId="2" borderId="0" xfId="0" applyFont="1" applyFill="1"/>
    <xf numFmtId="0" fontId="1" fillId="3" borderId="0" xfId="0" applyFont="1" applyFill="1" applyAlignment="1">
      <alignment horizontal="center"/>
    </xf>
    <xf numFmtId="167" fontId="1" fillId="3" borderId="0" xfId="1" applyNumberFormat="1" applyFill="1" applyAlignment="1">
      <alignment horizontal="center"/>
    </xf>
    <xf numFmtId="0" fontId="1" fillId="3" borderId="0" xfId="0" applyFont="1" applyFill="1"/>
    <xf numFmtId="0" fontId="52" fillId="0" borderId="0" xfId="0" applyFont="1" applyAlignment="1">
      <alignment horizontal="center"/>
    </xf>
    <xf numFmtId="0" fontId="52" fillId="3" borderId="0" xfId="0" applyFont="1" applyFill="1" applyAlignment="1">
      <alignment horizontal="center"/>
    </xf>
    <xf numFmtId="17" fontId="8" fillId="0" borderId="0" xfId="0" applyNumberFormat="1" applyFont="1" applyAlignment="1">
      <alignment horizontal="left" wrapText="1"/>
    </xf>
    <xf numFmtId="17" fontId="52" fillId="0" borderId="0" xfId="0" applyNumberFormat="1" applyFont="1" applyAlignment="1">
      <alignment horizontal="left" wrapText="1"/>
    </xf>
    <xf numFmtId="167" fontId="54" fillId="0" borderId="0" xfId="1" applyNumberFormat="1" applyFont="1" applyAlignment="1">
      <alignment horizontal="center"/>
    </xf>
    <xf numFmtId="167" fontId="54" fillId="0" borderId="0" xfId="1" applyNumberFormat="1" applyFont="1" applyAlignment="1">
      <alignment horizontal="right"/>
    </xf>
    <xf numFmtId="167" fontId="55" fillId="0" borderId="0" xfId="1" applyNumberFormat="1" applyFont="1" applyAlignment="1">
      <alignment horizontal="center"/>
    </xf>
    <xf numFmtId="167" fontId="54" fillId="0" borderId="0" xfId="1" applyNumberFormat="1" applyFont="1" applyAlignment="1">
      <alignment horizontal="center" vertical="center"/>
    </xf>
    <xf numFmtId="0" fontId="57" fillId="0" borderId="0" xfId="0" applyFont="1"/>
    <xf numFmtId="0" fontId="52" fillId="0" borderId="0" xfId="0" applyFont="1"/>
    <xf numFmtId="0" fontId="53" fillId="0" borderId="0" xfId="0" applyFont="1"/>
    <xf numFmtId="0" fontId="8" fillId="0" borderId="27" xfId="0" applyFont="1" applyBorder="1"/>
    <xf numFmtId="0" fontId="60" fillId="0" borderId="0" xfId="0" applyFont="1" applyAlignment="1">
      <alignment horizontal="center"/>
    </xf>
    <xf numFmtId="0" fontId="60" fillId="3" borderId="0" xfId="0" applyFont="1" applyFill="1" applyAlignment="1">
      <alignment horizontal="center"/>
    </xf>
    <xf numFmtId="0" fontId="52" fillId="0" borderId="0" xfId="3" applyFont="1" applyAlignment="1">
      <alignment vertical="center" wrapText="1"/>
    </xf>
    <xf numFmtId="3" fontId="52" fillId="0" borderId="0" xfId="3" applyNumberFormat="1" applyFont="1" applyAlignment="1">
      <alignment horizontal="center"/>
    </xf>
    <xf numFmtId="3" fontId="52" fillId="3" borderId="0" xfId="3" applyNumberFormat="1" applyFont="1" applyFill="1" applyAlignment="1">
      <alignment horizontal="center"/>
    </xf>
    <xf numFmtId="3" fontId="52" fillId="0" borderId="28" xfId="3" applyNumberFormat="1" applyFont="1" applyBorder="1" applyAlignment="1">
      <alignment horizontal="center"/>
    </xf>
    <xf numFmtId="0" fontId="61" fillId="0" borderId="28" xfId="3" applyFont="1" applyBorder="1" applyAlignment="1">
      <alignment horizontal="center"/>
    </xf>
    <xf numFmtId="0" fontId="52" fillId="0" borderId="28" xfId="3" applyFont="1" applyBorder="1" applyAlignment="1">
      <alignment horizontal="center"/>
    </xf>
    <xf numFmtId="0" fontId="52" fillId="3" borderId="28" xfId="3" applyFont="1" applyFill="1" applyBorder="1" applyAlignment="1">
      <alignment horizontal="center"/>
    </xf>
    <xf numFmtId="1" fontId="52" fillId="0" borderId="28" xfId="3" applyNumberFormat="1" applyFont="1" applyBorder="1" applyAlignment="1">
      <alignment horizontal="center"/>
    </xf>
    <xf numFmtId="0" fontId="53" fillId="6" borderId="0" xfId="3" applyFont="1" applyFill="1" applyAlignment="1">
      <alignment vertical="center" wrapText="1"/>
    </xf>
    <xf numFmtId="3" fontId="51" fillId="6" borderId="0" xfId="0" applyNumberFormat="1" applyFont="1" applyFill="1" applyAlignment="1">
      <alignment horizontal="center"/>
    </xf>
    <xf numFmtId="3" fontId="52" fillId="0" borderId="0" xfId="0" applyNumberFormat="1" applyFont="1" applyAlignment="1">
      <alignment horizontal="center"/>
    </xf>
    <xf numFmtId="3" fontId="52" fillId="3" borderId="0" xfId="0" applyNumberFormat="1" applyFont="1" applyFill="1" applyAlignment="1">
      <alignment horizontal="center"/>
    </xf>
    <xf numFmtId="0" fontId="52" fillId="0" borderId="0" xfId="3" applyFont="1" applyAlignment="1">
      <alignment horizontal="left" vertical="center" wrapText="1"/>
    </xf>
    <xf numFmtId="0" fontId="52" fillId="0" borderId="28" xfId="3" applyFont="1" applyBorder="1" applyAlignment="1">
      <alignment vertical="center" wrapText="1"/>
    </xf>
    <xf numFmtId="3" fontId="52" fillId="3" borderId="28" xfId="3" applyNumberFormat="1" applyFont="1" applyFill="1" applyBorder="1" applyAlignment="1">
      <alignment horizontal="center"/>
    </xf>
    <xf numFmtId="0" fontId="53" fillId="6" borderId="0" xfId="3" applyFont="1" applyFill="1" applyAlignment="1">
      <alignment horizontal="left" vertical="center" wrapText="1"/>
    </xf>
    <xf numFmtId="164" fontId="52" fillId="0" borderId="0" xfId="0" applyNumberFormat="1" applyFont="1" applyAlignment="1">
      <alignment horizontal="center"/>
    </xf>
    <xf numFmtId="0" fontId="53" fillId="0" borderId="28" xfId="3" applyFont="1" applyBorder="1" applyAlignment="1">
      <alignment vertical="center" wrapText="1"/>
    </xf>
    <xf numFmtId="0" fontId="52" fillId="0" borderId="0" xfId="3" applyFont="1" applyAlignment="1">
      <alignment horizontal="center"/>
    </xf>
    <xf numFmtId="0" fontId="52" fillId="3" borderId="0" xfId="3" applyFont="1" applyFill="1" applyAlignment="1">
      <alignment horizontal="center"/>
    </xf>
    <xf numFmtId="0" fontId="52" fillId="7" borderId="0" xfId="3" applyFont="1" applyFill="1" applyAlignment="1">
      <alignment horizontal="left" vertical="center" wrapText="1"/>
    </xf>
    <xf numFmtId="0" fontId="52" fillId="6" borderId="0" xfId="3" applyFont="1" applyFill="1" applyAlignment="1">
      <alignment vertical="center" wrapText="1"/>
    </xf>
    <xf numFmtId="3" fontId="52" fillId="6" borderId="0" xfId="3" applyNumberFormat="1" applyFont="1" applyFill="1" applyAlignment="1">
      <alignment horizontal="center"/>
    </xf>
    <xf numFmtId="0" fontId="52" fillId="6" borderId="0" xfId="3" applyFont="1" applyFill="1" applyAlignment="1">
      <alignment horizontal="left" vertical="center" wrapText="1"/>
    </xf>
    <xf numFmtId="3" fontId="52" fillId="6" borderId="0" xfId="0" applyNumberFormat="1" applyFont="1" applyFill="1" applyAlignment="1">
      <alignment horizontal="center"/>
    </xf>
    <xf numFmtId="3" fontId="52" fillId="7" borderId="0" xfId="3" applyNumberFormat="1" applyFont="1" applyFill="1" applyAlignment="1">
      <alignment horizontal="center"/>
    </xf>
    <xf numFmtId="0" fontId="52" fillId="2" borderId="0" xfId="3" applyFont="1" applyFill="1" applyAlignment="1">
      <alignment horizontal="left" vertical="center" wrapText="1"/>
    </xf>
    <xf numFmtId="3" fontId="52" fillId="2" borderId="0" xfId="3" applyNumberFormat="1" applyFont="1" applyFill="1" applyAlignment="1">
      <alignment horizontal="center"/>
    </xf>
    <xf numFmtId="0" fontId="53" fillId="6" borderId="0" xfId="0" applyFont="1" applyFill="1"/>
    <xf numFmtId="3" fontId="51" fillId="6" borderId="27" xfId="0" applyNumberFormat="1" applyFont="1" applyFill="1" applyBorder="1" applyAlignment="1">
      <alignment horizontal="center"/>
    </xf>
    <xf numFmtId="0" fontId="53" fillId="0" borderId="0" xfId="3" applyFont="1" applyAlignment="1">
      <alignment horizontal="left" vertical="center" wrapText="1"/>
    </xf>
    <xf numFmtId="3" fontId="56" fillId="0" borderId="0" xfId="0" applyNumberFormat="1" applyFont="1" applyAlignment="1">
      <alignment horizontal="center"/>
    </xf>
    <xf numFmtId="37" fontId="51" fillId="6" borderId="0" xfId="0" applyNumberFormat="1" applyFont="1" applyFill="1" applyAlignment="1">
      <alignment horizontal="center"/>
    </xf>
    <xf numFmtId="0" fontId="54" fillId="0" borderId="0" xfId="0" applyFont="1" applyAlignment="1">
      <alignment horizontal="center"/>
    </xf>
    <xf numFmtId="37" fontId="51" fillId="6" borderId="0" xfId="3" applyNumberFormat="1" applyFont="1" applyFill="1" applyAlignment="1">
      <alignment horizontal="center"/>
    </xf>
    <xf numFmtId="165" fontId="51" fillId="6" borderId="0" xfId="0" applyNumberFormat="1" applyFont="1" applyFill="1" applyAlignment="1">
      <alignment horizontal="center"/>
    </xf>
    <xf numFmtId="165" fontId="52" fillId="0" borderId="0" xfId="0" applyNumberFormat="1" applyFont="1" applyAlignment="1">
      <alignment horizontal="center"/>
    </xf>
    <xf numFmtId="0" fontId="64" fillId="0" borderId="0" xfId="3" applyFont="1" applyAlignment="1">
      <alignment horizontal="left" vertical="center" wrapText="1"/>
    </xf>
    <xf numFmtId="165" fontId="64" fillId="0" borderId="0" xfId="0" applyNumberFormat="1" applyFont="1" applyAlignment="1">
      <alignment horizontal="center"/>
    </xf>
    <xf numFmtId="165" fontId="52" fillId="2" borderId="0" xfId="0" applyNumberFormat="1" applyFont="1" applyFill="1" applyAlignment="1">
      <alignment horizontal="center"/>
    </xf>
    <xf numFmtId="0" fontId="64" fillId="2" borderId="0" xfId="3" applyFont="1" applyFill="1" applyAlignment="1">
      <alignment horizontal="left" vertical="center" wrapText="1"/>
    </xf>
    <xf numFmtId="165" fontId="64" fillId="2" borderId="0" xfId="0" applyNumberFormat="1" applyFont="1" applyFill="1" applyAlignment="1">
      <alignment horizontal="center"/>
    </xf>
    <xf numFmtId="0" fontId="53" fillId="0" borderId="27" xfId="3" applyFont="1" applyBorder="1" applyAlignment="1">
      <alignment horizontal="left" shrinkToFit="1"/>
    </xf>
    <xf numFmtId="165" fontId="53" fillId="0" borderId="27" xfId="0" applyNumberFormat="1" applyFont="1" applyBorder="1" applyAlignment="1">
      <alignment horizontal="center"/>
    </xf>
    <xf numFmtId="0" fontId="66" fillId="0" borderId="38" xfId="3" applyFont="1" applyBorder="1" applyAlignment="1">
      <alignment horizontal="left" wrapText="1"/>
    </xf>
    <xf numFmtId="164" fontId="67" fillId="0" borderId="38" xfId="0" applyNumberFormat="1" applyFont="1" applyBorder="1" applyAlignment="1">
      <alignment horizontal="center"/>
    </xf>
    <xf numFmtId="164" fontId="51" fillId="6" borderId="0" xfId="0" applyNumberFormat="1" applyFont="1" applyFill="1" applyAlignment="1">
      <alignment horizontal="center"/>
    </xf>
    <xf numFmtId="0" fontId="53" fillId="8" borderId="0" xfId="0" applyFont="1" applyFill="1"/>
    <xf numFmtId="43" fontId="51" fillId="8" borderId="0" xfId="0" applyNumberFormat="1" applyFont="1" applyFill="1"/>
    <xf numFmtId="0" fontId="51" fillId="0" borderId="0" xfId="0" applyFont="1" applyAlignment="1">
      <alignment horizontal="center"/>
    </xf>
    <xf numFmtId="37" fontId="52" fillId="0" borderId="0" xfId="0" applyNumberFormat="1" applyFont="1" applyAlignment="1">
      <alignment horizontal="center"/>
    </xf>
    <xf numFmtId="170" fontId="52" fillId="0" borderId="0" xfId="4" applyNumberFormat="1" applyFont="1" applyAlignment="1">
      <alignment horizontal="center"/>
    </xf>
    <xf numFmtId="0" fontId="68" fillId="0" borderId="0" xfId="0" applyFont="1" applyAlignment="1">
      <alignment horizontal="center"/>
    </xf>
    <xf numFmtId="0" fontId="1" fillId="2" borderId="0" xfId="0" applyFont="1" applyFill="1" applyAlignment="1">
      <alignment horizontal="center"/>
    </xf>
    <xf numFmtId="167" fontId="69" fillId="0" borderId="0" xfId="1" applyNumberFormat="1" applyFont="1" applyAlignment="1">
      <alignment horizontal="center"/>
    </xf>
    <xf numFmtId="0" fontId="61" fillId="13" borderId="0" xfId="0" applyFont="1" applyFill="1"/>
    <xf numFmtId="164" fontId="61" fillId="13" borderId="0" xfId="0" applyNumberFormat="1" applyFont="1" applyFill="1" applyAlignment="1">
      <alignment horizontal="center"/>
    </xf>
    <xf numFmtId="0" fontId="61" fillId="13" borderId="0" xfId="0" applyFont="1" applyFill="1" applyAlignment="1">
      <alignment horizontal="center"/>
    </xf>
    <xf numFmtId="0" fontId="67" fillId="13" borderId="0" xfId="3" applyFont="1" applyFill="1" applyAlignment="1">
      <alignment vertical="center" wrapText="1"/>
    </xf>
    <xf numFmtId="165" fontId="67" fillId="13" borderId="0" xfId="0" applyNumberFormat="1" applyFont="1" applyFill="1" applyAlignment="1">
      <alignment horizontal="center"/>
    </xf>
    <xf numFmtId="0" fontId="67" fillId="14" borderId="0" xfId="3" applyFont="1" applyFill="1" applyAlignment="1">
      <alignment horizontal="left" vertical="center" wrapText="1"/>
    </xf>
    <xf numFmtId="165" fontId="67" fillId="14" borderId="0" xfId="0" applyNumberFormat="1" applyFont="1" applyFill="1" applyAlignment="1">
      <alignment horizontal="center"/>
    </xf>
    <xf numFmtId="0" fontId="67" fillId="14" borderId="0" xfId="0" applyFont="1" applyFill="1"/>
    <xf numFmtId="3" fontId="67" fillId="14" borderId="0" xfId="0" applyNumberFormat="1" applyFont="1" applyFill="1" applyAlignment="1">
      <alignment horizontal="center"/>
    </xf>
    <xf numFmtId="0" fontId="52" fillId="13" borderId="0" xfId="0" applyFont="1" applyFill="1"/>
    <xf numFmtId="0" fontId="52" fillId="13" borderId="0" xfId="0" applyFont="1" applyFill="1" applyAlignment="1">
      <alignment horizontal="center"/>
    </xf>
    <xf numFmtId="3" fontId="51" fillId="18" borderId="0" xfId="0" applyNumberFormat="1" applyFont="1" applyFill="1" applyAlignment="1">
      <alignment horizontal="center"/>
    </xf>
    <xf numFmtId="167" fontId="56" fillId="0" borderId="0" xfId="1" applyNumberFormat="1" applyFont="1" applyAlignment="1">
      <alignment horizontal="center"/>
    </xf>
    <xf numFmtId="3" fontId="81" fillId="0" borderId="0" xfId="0" applyNumberFormat="1" applyFont="1" applyAlignment="1">
      <alignment horizontal="center"/>
    </xf>
    <xf numFmtId="3" fontId="81" fillId="12" borderId="0" xfId="0" applyNumberFormat="1" applyFont="1" applyFill="1" applyAlignment="1">
      <alignment horizontal="center"/>
    </xf>
    <xf numFmtId="3" fontId="51" fillId="0" borderId="27" xfId="0" applyNumberFormat="1" applyFont="1" applyBorder="1" applyAlignment="1">
      <alignment horizontal="center"/>
    </xf>
    <xf numFmtId="3" fontId="51" fillId="0" borderId="54" xfId="0" applyNumberFormat="1" applyFont="1" applyBorder="1" applyAlignment="1">
      <alignment horizontal="center"/>
    </xf>
    <xf numFmtId="0" fontId="53" fillId="22" borderId="0" xfId="0" applyFont="1" applyFill="1"/>
    <xf numFmtId="0" fontId="1" fillId="22" borderId="0" xfId="0" applyFont="1" applyFill="1"/>
    <xf numFmtId="171" fontId="75" fillId="0" borderId="0" xfId="0" applyNumberFormat="1" applyFont="1"/>
    <xf numFmtId="3" fontId="15" fillId="0" borderId="0" xfId="3" applyNumberFormat="1" applyFont="1" applyAlignment="1">
      <alignment horizontal="center"/>
    </xf>
    <xf numFmtId="3" fontId="15" fillId="0" borderId="5" xfId="3" applyNumberFormat="1" applyFont="1" applyBorder="1" applyAlignment="1">
      <alignment horizontal="center"/>
    </xf>
    <xf numFmtId="0" fontId="52" fillId="23" borderId="0" xfId="0" applyFont="1" applyFill="1"/>
    <xf numFmtId="3" fontId="56" fillId="23" borderId="0" xfId="0" applyNumberFormat="1" applyFont="1" applyFill="1" applyAlignment="1">
      <alignment horizontal="center"/>
    </xf>
    <xf numFmtId="0" fontId="1" fillId="23" borderId="0" xfId="0" applyFont="1" applyFill="1"/>
    <xf numFmtId="0" fontId="7" fillId="0" borderId="0" xfId="3" applyAlignment="1">
      <alignment horizontal="center" vertical="center"/>
    </xf>
    <xf numFmtId="3" fontId="7" fillId="0" borderId="0" xfId="3" applyNumberFormat="1" applyAlignment="1">
      <alignment horizontal="center" vertical="center"/>
    </xf>
    <xf numFmtId="0" fontId="0" fillId="0" borderId="0" xfId="0" applyAlignment="1">
      <alignment horizontal="center" vertical="center"/>
    </xf>
    <xf numFmtId="3" fontId="15" fillId="0" borderId="37" xfId="3" applyNumberFormat="1" applyFont="1" applyBorder="1" applyAlignment="1">
      <alignment horizontal="center" vertical="center"/>
    </xf>
    <xf numFmtId="0" fontId="1" fillId="15" borderId="0" xfId="0" applyFont="1" applyFill="1"/>
    <xf numFmtId="0" fontId="1" fillId="15" borderId="0" xfId="0" applyFont="1" applyFill="1" applyAlignment="1">
      <alignment horizontal="center"/>
    </xf>
    <xf numFmtId="167" fontId="54" fillId="15" borderId="0" xfId="1" applyNumberFormat="1" applyFont="1" applyFill="1" applyAlignment="1">
      <alignment horizontal="center" vertical="center"/>
    </xf>
    <xf numFmtId="167" fontId="54" fillId="15" borderId="0" xfId="1" applyNumberFormat="1" applyFont="1" applyFill="1" applyAlignment="1">
      <alignment horizontal="center"/>
    </xf>
    <xf numFmtId="167" fontId="69" fillId="15" borderId="0" xfId="1" applyNumberFormat="1" applyFont="1" applyFill="1" applyAlignment="1">
      <alignment horizontal="center"/>
    </xf>
    <xf numFmtId="3" fontId="52" fillId="15" borderId="0" xfId="3" applyNumberFormat="1" applyFont="1" applyFill="1" applyAlignment="1">
      <alignment horizontal="center"/>
    </xf>
    <xf numFmtId="0" fontId="52" fillId="15" borderId="0" xfId="0" applyFont="1" applyFill="1" applyAlignment="1">
      <alignment horizontal="center"/>
    </xf>
    <xf numFmtId="37" fontId="52" fillId="15" borderId="0" xfId="0" applyNumberFormat="1" applyFont="1" applyFill="1" applyAlignment="1">
      <alignment horizontal="center"/>
    </xf>
    <xf numFmtId="164" fontId="61" fillId="15" borderId="0" xfId="0" applyNumberFormat="1" applyFont="1" applyFill="1" applyAlignment="1">
      <alignment horizontal="center"/>
    </xf>
    <xf numFmtId="0" fontId="61" fillId="15" borderId="0" xfId="0" applyFont="1" applyFill="1" applyAlignment="1">
      <alignment horizontal="center"/>
    </xf>
    <xf numFmtId="0" fontId="3" fillId="0" borderId="0" xfId="0" applyFont="1" applyAlignment="1">
      <alignment horizontal="center" vertical="center"/>
    </xf>
    <xf numFmtId="0" fontId="53" fillId="0" borderId="0" xfId="0" applyFont="1" applyAlignment="1">
      <alignment horizontal="center" vertical="center"/>
    </xf>
    <xf numFmtId="167" fontId="8" fillId="0" borderId="0" xfId="1" applyNumberFormat="1" applyFont="1" applyAlignment="1">
      <alignment horizontal="center" vertical="center"/>
    </xf>
    <xf numFmtId="3" fontId="51" fillId="2" borderId="0" xfId="0" applyNumberFormat="1" applyFont="1" applyFill="1" applyAlignment="1">
      <alignment horizontal="center" vertical="center"/>
    </xf>
    <xf numFmtId="3" fontId="9" fillId="0" borderId="0" xfId="0" applyNumberFormat="1" applyFont="1" applyAlignment="1">
      <alignment horizontal="center" vertical="center"/>
    </xf>
    <xf numFmtId="3" fontId="51" fillId="0" borderId="0" xfId="0" applyNumberFormat="1" applyFont="1" applyAlignment="1">
      <alignment horizontal="center" vertical="center"/>
    </xf>
    <xf numFmtId="0" fontId="58" fillId="0" borderId="0" xfId="0" applyFont="1" applyAlignment="1">
      <alignment horizontal="center" vertical="center"/>
    </xf>
    <xf numFmtId="0" fontId="59" fillId="0" borderId="0" xfId="0" applyFont="1" applyAlignment="1">
      <alignment horizontal="center" vertical="center"/>
    </xf>
    <xf numFmtId="0" fontId="8" fillId="0" borderId="0" xfId="0" applyFont="1" applyAlignment="1">
      <alignment horizontal="center" vertical="center"/>
    </xf>
    <xf numFmtId="0" fontId="35" fillId="0" borderId="0" xfId="0" applyFont="1" applyAlignment="1">
      <alignment horizontal="center" vertical="center"/>
    </xf>
    <xf numFmtId="3" fontId="53" fillId="0" borderId="0" xfId="0" applyNumberFormat="1" applyFont="1" applyAlignment="1">
      <alignment horizontal="center" vertical="center"/>
    </xf>
    <xf numFmtId="3" fontId="3" fillId="0" borderId="0" xfId="0" applyNumberFormat="1" applyFont="1" applyAlignment="1">
      <alignment horizontal="center" vertical="center"/>
    </xf>
    <xf numFmtId="3" fontId="53" fillId="0" borderId="28" xfId="0" applyNumberFormat="1" applyFont="1" applyBorder="1" applyAlignment="1">
      <alignment horizontal="center" vertical="center"/>
    </xf>
    <xf numFmtId="3" fontId="3" fillId="0" borderId="28" xfId="0" applyNumberFormat="1" applyFont="1" applyBorder="1" applyAlignment="1">
      <alignment horizontal="center" vertical="center"/>
    </xf>
    <xf numFmtId="3" fontId="51" fillId="6" borderId="0" xfId="0" applyNumberFormat="1" applyFont="1" applyFill="1" applyAlignment="1">
      <alignment horizontal="center" vertical="center"/>
    </xf>
    <xf numFmtId="3" fontId="62" fillId="0" borderId="0" xfId="0" applyNumberFormat="1" applyFont="1" applyAlignment="1">
      <alignment horizontal="center" vertical="center"/>
    </xf>
    <xf numFmtId="2" fontId="52" fillId="0" borderId="0" xfId="0" applyNumberFormat="1" applyFont="1" applyAlignment="1">
      <alignment horizontal="center" vertical="center"/>
    </xf>
    <xf numFmtId="3" fontId="53" fillId="6" borderId="0" xfId="0" applyNumberFormat="1" applyFont="1" applyFill="1" applyAlignment="1">
      <alignment horizontal="center" vertical="center"/>
    </xf>
    <xf numFmtId="3" fontId="52" fillId="7" borderId="0" xfId="3" applyNumberFormat="1" applyFont="1" applyFill="1" applyAlignment="1">
      <alignment horizontal="center" vertical="center"/>
    </xf>
    <xf numFmtId="3" fontId="53" fillId="2" borderId="0" xfId="0" applyNumberFormat="1" applyFont="1" applyFill="1" applyAlignment="1">
      <alignment horizontal="center" vertical="center"/>
    </xf>
    <xf numFmtId="3" fontId="51" fillId="6" borderId="27" xfId="0" applyNumberFormat="1" applyFont="1" applyFill="1" applyBorder="1" applyAlignment="1">
      <alignment horizontal="center" vertical="center"/>
    </xf>
    <xf numFmtId="38" fontId="3" fillId="0" borderId="0" xfId="0" applyNumberFormat="1" applyFont="1" applyAlignment="1">
      <alignment horizontal="center" vertical="center"/>
    </xf>
    <xf numFmtId="3" fontId="63" fillId="22" borderId="0" xfId="0" applyNumberFormat="1" applyFont="1" applyFill="1" applyAlignment="1">
      <alignment horizontal="center" vertical="center"/>
    </xf>
    <xf numFmtId="3" fontId="54" fillId="22" borderId="0" xfId="0" applyNumberFormat="1" applyFont="1" applyFill="1" applyAlignment="1">
      <alignment horizontal="center" vertical="center"/>
    </xf>
    <xf numFmtId="3" fontId="63" fillId="0" borderId="0" xfId="0" applyNumberFormat="1" applyFont="1" applyAlignment="1">
      <alignment horizontal="center" vertical="center"/>
    </xf>
    <xf numFmtId="3" fontId="63" fillId="23" borderId="0" xfId="0" applyNumberFormat="1" applyFont="1" applyFill="1" applyAlignment="1">
      <alignment horizontal="center" vertical="center"/>
    </xf>
    <xf numFmtId="3" fontId="51" fillId="23" borderId="0" xfId="0" applyNumberFormat="1" applyFont="1" applyFill="1" applyAlignment="1">
      <alignment horizontal="center" vertical="center"/>
    </xf>
    <xf numFmtId="3" fontId="63" fillId="6" borderId="0" xfId="0" applyNumberFormat="1" applyFont="1" applyFill="1" applyAlignment="1">
      <alignment horizontal="center" vertical="center"/>
    </xf>
    <xf numFmtId="165" fontId="51" fillId="2" borderId="0" xfId="0" applyNumberFormat="1" applyFont="1" applyFill="1" applyAlignment="1">
      <alignment horizontal="center" vertical="center"/>
    </xf>
    <xf numFmtId="165" fontId="51" fillId="6" borderId="0" xfId="0" applyNumberFormat="1" applyFont="1" applyFill="1" applyAlignment="1">
      <alignment horizontal="center" vertical="center"/>
    </xf>
    <xf numFmtId="167" fontId="3" fillId="0" borderId="0" xfId="1" applyNumberFormat="1" applyFont="1" applyAlignment="1">
      <alignment horizontal="center" vertical="center"/>
    </xf>
    <xf numFmtId="165" fontId="53" fillId="0" borderId="0" xfId="1" applyNumberFormat="1" applyFont="1" applyAlignment="1">
      <alignment horizontal="center" vertical="center"/>
    </xf>
    <xf numFmtId="169" fontId="53" fillId="0" borderId="0" xfId="1" applyNumberFormat="1" applyFont="1" applyAlignment="1">
      <alignment horizontal="center" vertical="center"/>
    </xf>
    <xf numFmtId="165" fontId="73" fillId="13" borderId="0" xfId="1" applyNumberFormat="1" applyFont="1" applyFill="1" applyAlignment="1">
      <alignment horizontal="center" vertical="center"/>
    </xf>
    <xf numFmtId="169" fontId="73" fillId="13" borderId="0" xfId="1" applyNumberFormat="1" applyFont="1" applyFill="1" applyAlignment="1">
      <alignment horizontal="center" vertical="center"/>
    </xf>
    <xf numFmtId="165" fontId="65" fillId="0" borderId="0" xfId="1" applyNumberFormat="1" applyFont="1" applyAlignment="1">
      <alignment horizontal="center" vertical="center"/>
    </xf>
    <xf numFmtId="169" fontId="65" fillId="0" borderId="0" xfId="1" applyNumberFormat="1" applyFont="1" applyAlignment="1">
      <alignment horizontal="center" vertical="center"/>
    </xf>
    <xf numFmtId="165" fontId="53" fillId="2" borderId="0" xfId="1" applyNumberFormat="1" applyFont="1" applyFill="1" applyAlignment="1">
      <alignment horizontal="center" vertical="center"/>
    </xf>
    <xf numFmtId="169" fontId="53" fillId="2" borderId="0" xfId="1" applyNumberFormat="1" applyFont="1" applyFill="1" applyAlignment="1">
      <alignment horizontal="center" vertical="center"/>
    </xf>
    <xf numFmtId="165" fontId="65" fillId="2" borderId="0" xfId="1" applyNumberFormat="1" applyFont="1" applyFill="1" applyAlignment="1">
      <alignment horizontal="center" vertical="center"/>
    </xf>
    <xf numFmtId="169" fontId="65" fillId="2" borderId="0" xfId="1" applyNumberFormat="1" applyFont="1" applyFill="1" applyAlignment="1">
      <alignment horizontal="center" vertical="center"/>
    </xf>
    <xf numFmtId="165" fontId="73" fillId="14" borderId="0" xfId="1" applyNumberFormat="1" applyFont="1" applyFill="1" applyAlignment="1">
      <alignment horizontal="center" vertical="center"/>
    </xf>
    <xf numFmtId="169" fontId="73" fillId="14" borderId="0" xfId="1" applyNumberFormat="1" applyFont="1" applyFill="1" applyAlignment="1">
      <alignment horizontal="center" vertical="center"/>
    </xf>
    <xf numFmtId="165" fontId="53" fillId="0" borderId="27" xfId="0" applyNumberFormat="1" applyFont="1" applyBorder="1" applyAlignment="1">
      <alignment horizontal="center" vertical="center"/>
    </xf>
    <xf numFmtId="164" fontId="67" fillId="0" borderId="38" xfId="0" applyNumberFormat="1" applyFont="1" applyBorder="1" applyAlignment="1">
      <alignment horizontal="center" vertical="center"/>
    </xf>
    <xf numFmtId="4" fontId="51" fillId="2" borderId="0" xfId="0" applyNumberFormat="1" applyFont="1" applyFill="1" applyAlignment="1">
      <alignment horizontal="center" vertical="center"/>
    </xf>
    <xf numFmtId="4" fontId="51" fillId="6" borderId="0" xfId="0" applyNumberFormat="1" applyFont="1" applyFill="1" applyAlignment="1">
      <alignment horizontal="center" vertical="center"/>
    </xf>
    <xf numFmtId="165" fontId="51" fillId="3" borderId="0" xfId="0" applyNumberFormat="1" applyFont="1" applyFill="1" applyAlignment="1">
      <alignment horizontal="center" vertical="center"/>
    </xf>
    <xf numFmtId="3" fontId="73" fillId="14" borderId="0" xfId="0" applyNumberFormat="1" applyFont="1" applyFill="1" applyAlignment="1">
      <alignment horizontal="center" vertical="center"/>
    </xf>
    <xf numFmtId="170" fontId="52" fillId="0" borderId="0" xfId="4" applyNumberFormat="1" applyFont="1" applyAlignment="1">
      <alignment horizontal="center" vertical="center"/>
    </xf>
    <xf numFmtId="164" fontId="74" fillId="13" borderId="0" xfId="0" applyNumberFormat="1" applyFont="1" applyFill="1" applyAlignment="1">
      <alignment horizontal="center" vertical="center"/>
    </xf>
    <xf numFmtId="0" fontId="74" fillId="13" borderId="0" xfId="0" applyFont="1" applyFill="1" applyAlignment="1">
      <alignment horizontal="center" vertical="center"/>
    </xf>
    <xf numFmtId="0" fontId="53" fillId="13" borderId="0" xfId="0" applyFont="1" applyFill="1" applyAlignment="1">
      <alignment horizontal="center" vertical="center"/>
    </xf>
    <xf numFmtId="37" fontId="52" fillId="0" borderId="0" xfId="0" applyNumberFormat="1" applyFont="1" applyAlignment="1">
      <alignment horizontal="center" vertical="center"/>
    </xf>
    <xf numFmtId="0" fontId="1" fillId="0" borderId="0" xfId="0" applyFont="1" applyAlignment="1">
      <alignment horizontal="center" vertical="center"/>
    </xf>
    <xf numFmtId="0" fontId="7" fillId="0" borderId="0" xfId="0" applyFont="1" applyAlignment="1">
      <alignment horizontal="center" vertical="center"/>
    </xf>
    <xf numFmtId="0" fontId="36" fillId="0" borderId="0" xfId="0" applyFont="1" applyAlignment="1">
      <alignment horizontal="center" vertical="center"/>
    </xf>
    <xf numFmtId="0" fontId="37" fillId="0" borderId="0" xfId="0" applyFont="1" applyAlignment="1">
      <alignment horizontal="center" vertical="center"/>
    </xf>
    <xf numFmtId="0" fontId="1" fillId="0" borderId="28" xfId="0" applyFont="1" applyBorder="1" applyAlignment="1">
      <alignment horizontal="center" vertical="center"/>
    </xf>
    <xf numFmtId="0" fontId="51" fillId="6" borderId="0" xfId="0" applyFont="1" applyFill="1" applyAlignment="1">
      <alignment horizontal="center" vertical="center"/>
    </xf>
    <xf numFmtId="0" fontId="3" fillId="6" borderId="0" xfId="0" applyFont="1" applyFill="1" applyAlignment="1">
      <alignment horizontal="center" vertical="center"/>
    </xf>
    <xf numFmtId="0" fontId="52" fillId="0" borderId="0" xfId="0" applyFont="1" applyAlignment="1">
      <alignment horizontal="center" vertical="center"/>
    </xf>
    <xf numFmtId="0" fontId="30" fillId="0" borderId="0" xfId="0" applyFont="1" applyAlignment="1">
      <alignment horizontal="center" vertical="center"/>
    </xf>
    <xf numFmtId="0" fontId="52" fillId="2" borderId="0" xfId="0" applyFont="1" applyFill="1" applyAlignment="1">
      <alignment horizontal="center" vertical="center"/>
    </xf>
    <xf numFmtId="0" fontId="1" fillId="2" borderId="0" xfId="0" applyFont="1" applyFill="1" applyAlignment="1">
      <alignment horizontal="center" vertical="center"/>
    </xf>
    <xf numFmtId="0" fontId="52" fillId="0" borderId="28" xfId="0" applyFont="1" applyBorder="1" applyAlignment="1">
      <alignment horizontal="center" vertical="center"/>
    </xf>
    <xf numFmtId="0" fontId="54" fillId="6" borderId="0" xfId="0" applyFont="1" applyFill="1" applyAlignment="1">
      <alignment horizontal="center" vertical="center"/>
    </xf>
    <xf numFmtId="0" fontId="1" fillId="6" borderId="0" xfId="0" applyFont="1" applyFill="1" applyAlignment="1">
      <alignment horizontal="center" vertical="center"/>
    </xf>
    <xf numFmtId="0" fontId="1" fillId="22" borderId="0" xfId="0" applyFont="1" applyFill="1" applyAlignment="1">
      <alignment horizontal="center" vertical="center"/>
    </xf>
    <xf numFmtId="0" fontId="54" fillId="0" borderId="0" xfId="0" applyFont="1" applyAlignment="1">
      <alignment horizontal="center" vertical="center"/>
    </xf>
    <xf numFmtId="0" fontId="54" fillId="23" borderId="0" xfId="0" applyFont="1" applyFill="1" applyAlignment="1">
      <alignment horizontal="center" vertical="center"/>
    </xf>
    <xf numFmtId="0" fontId="1" fillId="23" borderId="0" xfId="0" applyFont="1" applyFill="1" applyAlignment="1">
      <alignment horizontal="center" vertical="center"/>
    </xf>
    <xf numFmtId="40" fontId="51" fillId="9" borderId="0" xfId="0" applyNumberFormat="1" applyFont="1" applyFill="1" applyAlignment="1">
      <alignment horizontal="center" vertical="center"/>
    </xf>
    <xf numFmtId="0" fontId="48" fillId="0" borderId="0" xfId="0" applyFont="1" applyAlignment="1">
      <alignment horizontal="center" vertical="center"/>
    </xf>
    <xf numFmtId="0" fontId="48" fillId="2" borderId="0" xfId="0" applyFont="1" applyFill="1" applyAlignment="1">
      <alignment horizontal="center" vertical="center"/>
    </xf>
    <xf numFmtId="0" fontId="47" fillId="0" borderId="0" xfId="0" applyFont="1" applyAlignment="1">
      <alignment horizontal="center" vertical="center"/>
    </xf>
    <xf numFmtId="40" fontId="51" fillId="6" borderId="0" xfId="0" applyNumberFormat="1" applyFont="1" applyFill="1" applyAlignment="1">
      <alignment horizontal="center" vertical="center"/>
    </xf>
    <xf numFmtId="43" fontId="51" fillId="8" borderId="0" xfId="0" applyNumberFormat="1" applyFont="1" applyFill="1" applyAlignment="1">
      <alignment horizontal="center" vertical="center"/>
    </xf>
    <xf numFmtId="3" fontId="67" fillId="14" borderId="0" xfId="0" applyNumberFormat="1" applyFont="1" applyFill="1" applyAlignment="1">
      <alignment horizontal="center" vertical="center"/>
    </xf>
    <xf numFmtId="0" fontId="61" fillId="13" borderId="0" xfId="0" applyFont="1" applyFill="1" applyAlignment="1">
      <alignment horizontal="center" vertical="center"/>
    </xf>
    <xf numFmtId="0" fontId="52" fillId="13" borderId="0" xfId="0" applyFont="1" applyFill="1" applyAlignment="1">
      <alignment horizontal="center" vertical="center"/>
    </xf>
    <xf numFmtId="0" fontId="76" fillId="0" borderId="0" xfId="0" applyFont="1" applyAlignment="1">
      <alignment horizontal="center" vertical="center"/>
    </xf>
    <xf numFmtId="0" fontId="77" fillId="0" borderId="0" xfId="0" applyFont="1" applyAlignment="1">
      <alignment horizontal="center" vertical="center"/>
    </xf>
    <xf numFmtId="3" fontId="75" fillId="27" borderId="0" xfId="0" applyNumberFormat="1" applyFont="1" applyFill="1" applyAlignment="1">
      <alignment horizontal="center" vertical="center"/>
    </xf>
    <xf numFmtId="3" fontId="77" fillId="0" borderId="0" xfId="0" applyNumberFormat="1" applyFont="1" applyAlignment="1">
      <alignment horizontal="center" vertical="center"/>
    </xf>
    <xf numFmtId="0" fontId="15" fillId="0" borderId="5" xfId="0" applyFont="1" applyBorder="1" applyAlignment="1">
      <alignment horizontal="center"/>
    </xf>
    <xf numFmtId="2" fontId="3" fillId="0" borderId="0" xfId="3" applyNumberFormat="1" applyFont="1"/>
    <xf numFmtId="2" fontId="4" fillId="0" borderId="0" xfId="3" applyNumberFormat="1" applyFont="1"/>
    <xf numFmtId="2" fontId="10" fillId="0" borderId="0" xfId="3" applyNumberFormat="1" applyFont="1" applyAlignment="1">
      <alignment horizontal="center"/>
    </xf>
    <xf numFmtId="2" fontId="10" fillId="0" borderId="0" xfId="3" applyNumberFormat="1" applyFont="1"/>
    <xf numFmtId="0" fontId="7" fillId="0" borderId="0" xfId="3" applyAlignment="1">
      <alignment wrapText="1"/>
    </xf>
    <xf numFmtId="0" fontId="52" fillId="0" borderId="0" xfId="3" applyFont="1"/>
    <xf numFmtId="0" fontId="106" fillId="0" borderId="0" xfId="3" applyFont="1" applyAlignment="1">
      <alignment horizontal="center"/>
    </xf>
    <xf numFmtId="3" fontId="106" fillId="0" borderId="0" xfId="3" applyNumberFormat="1" applyFont="1" applyAlignment="1">
      <alignment horizontal="center"/>
    </xf>
    <xf numFmtId="3" fontId="107" fillId="0" borderId="0" xfId="3" applyNumberFormat="1" applyFont="1" applyAlignment="1">
      <alignment horizontal="center"/>
    </xf>
    <xf numFmtId="3" fontId="10" fillId="0" borderId="3" xfId="3" applyNumberFormat="1" applyFont="1" applyBorder="1" applyAlignment="1">
      <alignment horizontal="center"/>
    </xf>
    <xf numFmtId="0" fontId="108" fillId="0" borderId="0" xfId="3" applyFont="1"/>
    <xf numFmtId="0" fontId="107" fillId="16" borderId="0" xfId="3" applyFont="1" applyFill="1" applyAlignment="1">
      <alignment horizontal="center"/>
    </xf>
    <xf numFmtId="3" fontId="107" fillId="16" borderId="0" xfId="3" applyNumberFormat="1" applyFont="1" applyFill="1" applyAlignment="1">
      <alignment horizontal="center"/>
    </xf>
    <xf numFmtId="0" fontId="15" fillId="0" borderId="3" xfId="3" applyFont="1" applyBorder="1" applyAlignment="1">
      <alignment horizontal="center"/>
    </xf>
    <xf numFmtId="0" fontId="15" fillId="0" borderId="3" xfId="0" applyFont="1" applyBorder="1" applyAlignment="1">
      <alignment horizontal="center"/>
    </xf>
    <xf numFmtId="2" fontId="22" fillId="4" borderId="5" xfId="3" applyNumberFormat="1" applyFont="1" applyFill="1" applyBorder="1"/>
    <xf numFmtId="0" fontId="22" fillId="4" borderId="5" xfId="3" applyFont="1" applyFill="1" applyBorder="1"/>
    <xf numFmtId="0" fontId="7" fillId="0" borderId="55" xfId="3" applyBorder="1"/>
    <xf numFmtId="0" fontId="19" fillId="4" borderId="56" xfId="3" applyFont="1" applyFill="1" applyBorder="1" applyAlignment="1">
      <alignment horizontal="center"/>
    </xf>
    <xf numFmtId="2" fontId="22" fillId="4" borderId="56" xfId="3" applyNumberFormat="1" applyFont="1" applyFill="1" applyBorder="1"/>
    <xf numFmtId="0" fontId="22" fillId="4" borderId="56" xfId="3" applyFont="1" applyFill="1" applyBorder="1"/>
    <xf numFmtId="3" fontId="22" fillId="4" borderId="57" xfId="3" applyNumberFormat="1" applyFont="1" applyFill="1" applyBorder="1"/>
    <xf numFmtId="0" fontId="7" fillId="0" borderId="58" xfId="3" applyBorder="1"/>
    <xf numFmtId="3" fontId="22" fillId="4" borderId="59" xfId="3" applyNumberFormat="1" applyFont="1" applyFill="1" applyBorder="1"/>
    <xf numFmtId="0" fontId="9" fillId="0" borderId="0" xfId="3" applyFont="1" applyAlignment="1">
      <alignment horizontal="center" vertical="center"/>
    </xf>
    <xf numFmtId="0" fontId="53" fillId="0" borderId="0" xfId="3" applyFont="1" applyAlignment="1">
      <alignment horizontal="center" vertical="center"/>
    </xf>
    <xf numFmtId="3" fontId="15" fillId="0" borderId="0" xfId="3" applyNumberFormat="1" applyFont="1" applyAlignment="1">
      <alignment horizontal="center" vertical="center"/>
    </xf>
    <xf numFmtId="4" fontId="7" fillId="0" borderId="0" xfId="3" applyNumberFormat="1"/>
    <xf numFmtId="167" fontId="7" fillId="0" borderId="0" xfId="1" applyNumberFormat="1" applyFont="1" applyBorder="1"/>
    <xf numFmtId="168" fontId="9" fillId="2" borderId="0" xfId="2" applyNumberFormat="1" applyFont="1" applyFill="1" applyBorder="1"/>
    <xf numFmtId="0" fontId="7" fillId="18" borderId="6" xfId="3" applyFill="1" applyBorder="1" applyAlignment="1">
      <alignment horizontal="center" vertical="center"/>
    </xf>
    <xf numFmtId="0" fontId="7" fillId="18" borderId="6" xfId="3" applyFill="1" applyBorder="1" applyAlignment="1">
      <alignment horizontal="center"/>
    </xf>
    <xf numFmtId="0" fontId="4" fillId="18" borderId="7" xfId="3" applyFont="1" applyFill="1" applyBorder="1"/>
    <xf numFmtId="3" fontId="15" fillId="18" borderId="6" xfId="3" applyNumberFormat="1" applyFont="1" applyFill="1" applyBorder="1" applyAlignment="1">
      <alignment horizontal="center" vertical="center"/>
    </xf>
    <xf numFmtId="3" fontId="15" fillId="18" borderId="6" xfId="3" applyNumberFormat="1" applyFont="1" applyFill="1" applyBorder="1" applyAlignment="1">
      <alignment horizontal="center"/>
    </xf>
    <xf numFmtId="4" fontId="15" fillId="18" borderId="7" xfId="3" applyNumberFormat="1" applyFont="1" applyFill="1" applyBorder="1" applyAlignment="1">
      <alignment horizontal="center"/>
    </xf>
    <xf numFmtId="3" fontId="106" fillId="18" borderId="0" xfId="3" applyNumberFormat="1" applyFont="1" applyFill="1" applyAlignment="1">
      <alignment horizontal="center"/>
    </xf>
    <xf numFmtId="2" fontId="7" fillId="0" borderId="0" xfId="3" applyNumberFormat="1" applyAlignment="1">
      <alignment horizontal="center" vertical="center"/>
    </xf>
    <xf numFmtId="164" fontId="7" fillId="0" borderId="0" xfId="3" applyNumberFormat="1" applyAlignment="1">
      <alignment horizontal="center" vertical="center"/>
    </xf>
    <xf numFmtId="164" fontId="108" fillId="0" borderId="0" xfId="3" applyNumberFormat="1" applyFont="1" applyAlignment="1">
      <alignment horizontal="center" vertical="center"/>
    </xf>
    <xf numFmtId="4" fontId="15" fillId="15" borderId="48" xfId="3" applyNumberFormat="1" applyFont="1" applyFill="1" applyBorder="1" applyAlignment="1">
      <alignment horizontal="center"/>
    </xf>
    <xf numFmtId="3" fontId="107" fillId="15" borderId="64" xfId="3" applyNumberFormat="1" applyFont="1" applyFill="1" applyBorder="1" applyAlignment="1">
      <alignment horizontal="center"/>
    </xf>
    <xf numFmtId="4" fontId="107" fillId="15" borderId="65" xfId="3" applyNumberFormat="1" applyFont="1" applyFill="1" applyBorder="1" applyAlignment="1">
      <alignment horizontal="center"/>
    </xf>
    <xf numFmtId="0" fontId="34" fillId="0" borderId="0" xfId="3" applyFont="1" applyAlignment="1">
      <alignment horizontal="center" vertical="center"/>
    </xf>
    <xf numFmtId="0" fontId="107" fillId="16" borderId="0" xfId="3" applyFont="1" applyFill="1" applyAlignment="1">
      <alignment horizontal="center" vertical="center"/>
    </xf>
    <xf numFmtId="164" fontId="52" fillId="0" borderId="0" xfId="3" applyNumberFormat="1" applyFont="1" applyAlignment="1">
      <alignment horizontal="center" vertical="center"/>
    </xf>
    <xf numFmtId="1" fontId="0" fillId="0" borderId="0" xfId="0" applyNumberFormat="1"/>
    <xf numFmtId="1" fontId="0" fillId="0" borderId="0" xfId="0" applyNumberFormat="1" applyAlignment="1">
      <alignment horizontal="center" vertical="center"/>
    </xf>
    <xf numFmtId="37" fontId="0" fillId="0" borderId="0" xfId="0" applyNumberFormat="1"/>
    <xf numFmtId="0" fontId="9" fillId="0" borderId="0" xfId="3" applyFont="1"/>
    <xf numFmtId="4" fontId="106" fillId="15" borderId="5" xfId="3" applyNumberFormat="1" applyFont="1" applyFill="1" applyBorder="1" applyAlignment="1">
      <alignment horizontal="center"/>
    </xf>
    <xf numFmtId="2" fontId="0" fillId="0" borderId="0" xfId="0" applyNumberFormat="1" applyAlignment="1">
      <alignment horizontal="center"/>
    </xf>
    <xf numFmtId="2" fontId="1" fillId="0" borderId="0" xfId="0" applyNumberFormat="1" applyFont="1" applyAlignment="1">
      <alignment horizontal="center"/>
    </xf>
    <xf numFmtId="2" fontId="109" fillId="16" borderId="5" xfId="3" applyNumberFormat="1" applyFont="1" applyFill="1" applyBorder="1" applyAlignment="1">
      <alignment horizontal="center"/>
    </xf>
    <xf numFmtId="164" fontId="7" fillId="0" borderId="0" xfId="3" applyNumberFormat="1"/>
    <xf numFmtId="164" fontId="34" fillId="0" borderId="0" xfId="3" applyNumberFormat="1" applyFont="1" applyAlignment="1">
      <alignment horizontal="center" vertical="center"/>
    </xf>
    <xf numFmtId="37" fontId="112" fillId="16" borderId="30" xfId="3" applyNumberFormat="1" applyFont="1" applyFill="1" applyBorder="1" applyAlignment="1">
      <alignment horizontal="center"/>
    </xf>
    <xf numFmtId="2" fontId="0" fillId="0" borderId="0" xfId="0" applyNumberFormat="1"/>
    <xf numFmtId="1" fontId="7" fillId="0" borderId="0" xfId="3" applyNumberFormat="1"/>
    <xf numFmtId="0" fontId="70" fillId="12" borderId="55" xfId="3" applyFont="1" applyFill="1" applyBorder="1" applyAlignment="1">
      <alignment horizontal="center"/>
    </xf>
    <xf numFmtId="0" fontId="70" fillId="12" borderId="56" xfId="3" applyFont="1" applyFill="1" applyBorder="1" applyAlignment="1">
      <alignment horizontal="center"/>
    </xf>
    <xf numFmtId="4" fontId="15" fillId="18" borderId="59" xfId="3" applyNumberFormat="1" applyFont="1" applyFill="1" applyBorder="1" applyAlignment="1">
      <alignment horizontal="center"/>
    </xf>
    <xf numFmtId="0" fontId="29" fillId="0" borderId="61" xfId="3" applyFont="1" applyBorder="1" applyAlignment="1">
      <alignment horizontal="center"/>
    </xf>
    <xf numFmtId="37" fontId="107" fillId="16" borderId="61" xfId="3" applyNumberFormat="1" applyFont="1" applyFill="1" applyBorder="1" applyAlignment="1">
      <alignment horizontal="center"/>
    </xf>
    <xf numFmtId="1" fontId="107" fillId="16" borderId="61" xfId="3" applyNumberFormat="1" applyFont="1" applyFill="1" applyBorder="1" applyAlignment="1">
      <alignment horizontal="center"/>
    </xf>
    <xf numFmtId="4" fontId="107" fillId="18" borderId="62" xfId="3" applyNumberFormat="1" applyFont="1" applyFill="1" applyBorder="1" applyAlignment="1">
      <alignment horizontal="center"/>
    </xf>
    <xf numFmtId="0" fontId="70" fillId="12" borderId="60" xfId="3" applyFont="1" applyFill="1" applyBorder="1" applyAlignment="1">
      <alignment horizontal="center"/>
    </xf>
    <xf numFmtId="0" fontId="70" fillId="12" borderId="61" xfId="3" applyFont="1" applyFill="1" applyBorder="1" applyAlignment="1">
      <alignment horizontal="center"/>
    </xf>
    <xf numFmtId="0" fontId="113" fillId="12" borderId="61" xfId="3" applyFont="1" applyFill="1" applyBorder="1" applyAlignment="1">
      <alignment horizontal="center"/>
    </xf>
    <xf numFmtId="3" fontId="107" fillId="16" borderId="64" xfId="3" applyNumberFormat="1" applyFont="1" applyFill="1" applyBorder="1" applyAlignment="1">
      <alignment horizontal="center"/>
    </xf>
    <xf numFmtId="2" fontId="6" fillId="0" borderId="0" xfId="3" applyNumberFormat="1" applyFont="1"/>
    <xf numFmtId="2" fontId="19" fillId="4" borderId="27" xfId="3" applyNumberFormat="1" applyFont="1" applyFill="1" applyBorder="1" applyAlignment="1">
      <alignment horizontal="center"/>
    </xf>
    <xf numFmtId="2" fontId="19" fillId="4" borderId="0" xfId="3" applyNumberFormat="1" applyFont="1" applyFill="1" applyAlignment="1">
      <alignment horizontal="center"/>
    </xf>
    <xf numFmtId="2" fontId="19" fillId="4" borderId="28" xfId="3" applyNumberFormat="1" applyFont="1" applyFill="1" applyBorder="1" applyAlignment="1">
      <alignment horizontal="center"/>
    </xf>
    <xf numFmtId="0" fontId="17" fillId="0" borderId="0" xfId="3" applyFont="1" applyAlignment="1">
      <alignment horizontal="center" vertical="center"/>
    </xf>
    <xf numFmtId="0" fontId="12" fillId="0" borderId="0" xfId="3" applyFont="1" applyAlignment="1">
      <alignment horizontal="center" vertical="center"/>
    </xf>
    <xf numFmtId="0" fontId="13" fillId="0" borderId="0" xfId="3" applyFont="1" applyAlignment="1">
      <alignment horizontal="center" vertical="center"/>
    </xf>
    <xf numFmtId="0" fontId="6" fillId="0" borderId="0" xfId="3" applyFont="1" applyAlignment="1">
      <alignment horizontal="center" vertical="center"/>
    </xf>
    <xf numFmtId="0" fontId="19" fillId="4" borderId="12" xfId="3" applyFont="1" applyFill="1" applyBorder="1" applyAlignment="1">
      <alignment horizontal="center" vertical="center"/>
    </xf>
    <xf numFmtId="0" fontId="19" fillId="4" borderId="13" xfId="3" applyFont="1" applyFill="1" applyBorder="1" applyAlignment="1">
      <alignment horizontal="center" vertical="center"/>
    </xf>
    <xf numFmtId="0" fontId="19" fillId="4" borderId="14" xfId="3" applyFont="1" applyFill="1" applyBorder="1" applyAlignment="1">
      <alignment horizontal="center" vertical="center"/>
    </xf>
    <xf numFmtId="0" fontId="20" fillId="4" borderId="14" xfId="3" applyFont="1" applyFill="1" applyBorder="1" applyAlignment="1">
      <alignment horizontal="center" vertical="center"/>
    </xf>
    <xf numFmtId="0" fontId="19" fillId="4" borderId="15" xfId="3" applyFont="1" applyFill="1" applyBorder="1" applyAlignment="1">
      <alignment horizontal="center" vertical="center"/>
    </xf>
    <xf numFmtId="0" fontId="19" fillId="4" borderId="1" xfId="3" applyFont="1" applyFill="1" applyBorder="1" applyAlignment="1">
      <alignment horizontal="center" vertical="center"/>
    </xf>
    <xf numFmtId="0" fontId="19" fillId="4" borderId="0" xfId="3" applyFont="1" applyFill="1" applyAlignment="1">
      <alignment horizontal="center" vertical="center"/>
    </xf>
    <xf numFmtId="0" fontId="38" fillId="4" borderId="0" xfId="3" applyFont="1" applyFill="1" applyAlignment="1">
      <alignment horizontal="center" vertical="center"/>
    </xf>
    <xf numFmtId="0" fontId="19" fillId="4" borderId="16" xfId="3" applyFont="1" applyFill="1" applyBorder="1" applyAlignment="1">
      <alignment horizontal="center" vertical="center"/>
    </xf>
    <xf numFmtId="0" fontId="19" fillId="4" borderId="17" xfId="3" applyFont="1" applyFill="1" applyBorder="1" applyAlignment="1">
      <alignment horizontal="center" vertical="center"/>
    </xf>
    <xf numFmtId="0" fontId="9" fillId="0" borderId="17" xfId="3" applyFont="1" applyBorder="1" applyAlignment="1">
      <alignment horizontal="center" vertical="center"/>
    </xf>
    <xf numFmtId="0" fontId="19" fillId="4" borderId="18" xfId="3" applyFont="1" applyFill="1" applyBorder="1" applyAlignment="1">
      <alignment horizontal="center" vertical="center"/>
    </xf>
    <xf numFmtId="0" fontId="7" fillId="0" borderId="5" xfId="3" applyBorder="1" applyAlignment="1">
      <alignment horizontal="center" vertical="center"/>
    </xf>
    <xf numFmtId="0" fontId="7" fillId="26" borderId="0" xfId="3" applyFill="1" applyAlignment="1">
      <alignment horizontal="center" vertical="center"/>
    </xf>
    <xf numFmtId="3" fontId="15" fillId="0" borderId="36" xfId="3" applyNumberFormat="1" applyFont="1" applyBorder="1" applyAlignment="1">
      <alignment horizontal="center" vertical="center"/>
    </xf>
    <xf numFmtId="37" fontId="7" fillId="0" borderId="0" xfId="3" applyNumberFormat="1" applyAlignment="1">
      <alignment horizontal="center" vertical="center"/>
    </xf>
    <xf numFmtId="0" fontId="7" fillId="20" borderId="0" xfId="3" applyFill="1" applyAlignment="1">
      <alignment horizontal="center" vertical="center"/>
    </xf>
    <xf numFmtId="0" fontId="22" fillId="4" borderId="5" xfId="0" applyFont="1" applyFill="1" applyBorder="1" applyAlignment="1">
      <alignment horizontal="center"/>
    </xf>
    <xf numFmtId="0" fontId="23" fillId="4" borderId="5" xfId="0" applyFont="1" applyFill="1" applyBorder="1" applyAlignment="1">
      <alignment horizontal="center"/>
    </xf>
    <xf numFmtId="0" fontId="24" fillId="4" borderId="5" xfId="0" applyFont="1" applyFill="1" applyBorder="1" applyAlignment="1">
      <alignment horizontal="center"/>
    </xf>
    <xf numFmtId="0" fontId="10" fillId="5" borderId="5" xfId="0" applyFont="1" applyFill="1" applyBorder="1" applyAlignment="1">
      <alignment horizontal="center"/>
    </xf>
    <xf numFmtId="3" fontId="15" fillId="31" borderId="37" xfId="3" applyNumberFormat="1" applyFont="1" applyFill="1" applyBorder="1" applyAlignment="1">
      <alignment horizontal="center" vertical="center"/>
    </xf>
    <xf numFmtId="37" fontId="109" fillId="16" borderId="60" xfId="3" applyNumberFormat="1" applyFont="1" applyFill="1" applyBorder="1" applyAlignment="1">
      <alignment horizontal="center"/>
    </xf>
    <xf numFmtId="37" fontId="29" fillId="0" borderId="3" xfId="3" applyNumberFormat="1" applyFont="1" applyBorder="1" applyAlignment="1">
      <alignment horizontal="center"/>
    </xf>
    <xf numFmtId="39" fontId="29" fillId="0" borderId="3" xfId="3" applyNumberFormat="1" applyFont="1" applyBorder="1" applyAlignment="1">
      <alignment horizontal="center"/>
    </xf>
    <xf numFmtId="0" fontId="22" fillId="4" borderId="44" xfId="0" applyFont="1" applyFill="1" applyBorder="1" applyAlignment="1">
      <alignment horizontal="center"/>
    </xf>
    <xf numFmtId="0" fontId="22" fillId="4" borderId="58" xfId="0" applyFont="1" applyFill="1" applyBorder="1" applyAlignment="1">
      <alignment horizontal="center"/>
    </xf>
    <xf numFmtId="2" fontId="22" fillId="4" borderId="40" xfId="0" applyNumberFormat="1" applyFont="1" applyFill="1" applyBorder="1" applyAlignment="1">
      <alignment horizontal="center"/>
    </xf>
    <xf numFmtId="2" fontId="7" fillId="33" borderId="40" xfId="0" applyNumberFormat="1" applyFont="1" applyFill="1" applyBorder="1" applyAlignment="1">
      <alignment horizontal="center"/>
    </xf>
    <xf numFmtId="2" fontId="7" fillId="33" borderId="75" xfId="0" applyNumberFormat="1" applyFont="1" applyFill="1" applyBorder="1" applyAlignment="1">
      <alignment horizontal="center"/>
    </xf>
    <xf numFmtId="3" fontId="11" fillId="0" borderId="0" xfId="0" applyNumberFormat="1" applyFont="1" applyAlignment="1">
      <alignment horizontal="center" vertical="center"/>
    </xf>
    <xf numFmtId="3" fontId="7" fillId="0" borderId="0" xfId="0" applyNumberFormat="1" applyFont="1" applyAlignment="1">
      <alignment horizontal="center" vertical="center"/>
    </xf>
    <xf numFmtId="2" fontId="7" fillId="33" borderId="60" xfId="0" applyNumberFormat="1" applyFont="1" applyFill="1" applyBorder="1" applyAlignment="1">
      <alignment horizontal="center"/>
    </xf>
    <xf numFmtId="2" fontId="7" fillId="33" borderId="61" xfId="0" applyNumberFormat="1" applyFont="1" applyFill="1" applyBorder="1" applyAlignment="1">
      <alignment horizontal="center"/>
    </xf>
    <xf numFmtId="2" fontId="7" fillId="33" borderId="62" xfId="0" applyNumberFormat="1" applyFont="1" applyFill="1" applyBorder="1" applyAlignment="1">
      <alignment horizontal="center"/>
    </xf>
    <xf numFmtId="1" fontId="22" fillId="4" borderId="59" xfId="0" applyNumberFormat="1" applyFont="1" applyFill="1" applyBorder="1" applyAlignment="1">
      <alignment horizontal="center"/>
    </xf>
    <xf numFmtId="1" fontId="10" fillId="0" borderId="0" xfId="0" applyNumberFormat="1" applyFont="1"/>
    <xf numFmtId="1" fontId="0" fillId="0" borderId="0" xfId="0" applyNumberFormat="1" applyAlignment="1">
      <alignment horizontal="center"/>
    </xf>
    <xf numFmtId="1" fontId="9" fillId="0" borderId="0" xfId="0" applyNumberFormat="1" applyFont="1" applyAlignment="1">
      <alignment horizontal="center"/>
    </xf>
    <xf numFmtId="1" fontId="2" fillId="0" borderId="0" xfId="0" applyNumberFormat="1" applyFont="1"/>
    <xf numFmtId="2" fontId="115" fillId="16" borderId="55" xfId="0" applyNumberFormat="1" applyFont="1" applyFill="1" applyBorder="1" applyAlignment="1">
      <alignment horizontal="center"/>
    </xf>
    <xf numFmtId="0" fontId="115" fillId="16" borderId="56" xfId="0" applyFont="1" applyFill="1" applyBorder="1" applyAlignment="1">
      <alignment horizontal="center"/>
    </xf>
    <xf numFmtId="0" fontId="115" fillId="16" borderId="57" xfId="0" applyFont="1" applyFill="1" applyBorder="1" applyAlignment="1">
      <alignment horizontal="center"/>
    </xf>
    <xf numFmtId="2" fontId="0" fillId="16" borderId="58" xfId="0" applyNumberFormat="1" applyFill="1" applyBorder="1" applyAlignment="1">
      <alignment horizontal="center"/>
    </xf>
    <xf numFmtId="0" fontId="0" fillId="16" borderId="5" xfId="0" applyFill="1" applyBorder="1" applyAlignment="1">
      <alignment horizontal="center"/>
    </xf>
    <xf numFmtId="0" fontId="0" fillId="16" borderId="59" xfId="0" applyFill="1" applyBorder="1" applyAlignment="1">
      <alignment horizontal="center"/>
    </xf>
    <xf numFmtId="2" fontId="10" fillId="0" borderId="0" xfId="0" applyNumberFormat="1" applyFont="1"/>
    <xf numFmtId="2" fontId="2" fillId="0" borderId="0" xfId="0" applyNumberFormat="1" applyFont="1"/>
    <xf numFmtId="2" fontId="7" fillId="0" borderId="76" xfId="0" applyNumberFormat="1" applyFont="1" applyBorder="1"/>
    <xf numFmtId="2" fontId="7" fillId="0" borderId="77" xfId="0" applyNumberFormat="1" applyFont="1" applyBorder="1"/>
    <xf numFmtId="2" fontId="7" fillId="0" borderId="78" xfId="0" applyNumberFormat="1" applyFont="1" applyBorder="1"/>
    <xf numFmtId="0" fontId="50" fillId="29" borderId="11" xfId="3" applyFont="1" applyFill="1" applyBorder="1" applyAlignment="1">
      <alignment horizontal="center" vertical="center" wrapText="1"/>
    </xf>
    <xf numFmtId="3" fontId="0" fillId="0" borderId="0" xfId="0" applyNumberFormat="1" applyAlignment="1">
      <alignment horizontal="center" vertical="center"/>
    </xf>
    <xf numFmtId="3" fontId="0" fillId="31" borderId="0" xfId="0" applyNumberFormat="1" applyFill="1" applyAlignment="1">
      <alignment horizontal="center" vertical="center"/>
    </xf>
    <xf numFmtId="0" fontId="118" fillId="16" borderId="22" xfId="0" applyFont="1" applyFill="1" applyBorder="1" applyAlignment="1">
      <alignment horizontal="center" vertical="center"/>
    </xf>
    <xf numFmtId="0" fontId="118" fillId="16" borderId="19" xfId="0" applyFont="1" applyFill="1" applyBorder="1" applyAlignment="1">
      <alignment horizontal="center" vertical="center"/>
    </xf>
    <xf numFmtId="3" fontId="118" fillId="16" borderId="47" xfId="0" applyNumberFormat="1" applyFont="1" applyFill="1" applyBorder="1" applyAlignment="1">
      <alignment horizontal="center" vertical="center"/>
    </xf>
    <xf numFmtId="3" fontId="117" fillId="31" borderId="0" xfId="0" applyNumberFormat="1" applyFont="1" applyFill="1" applyAlignment="1">
      <alignment horizontal="center" vertical="center"/>
    </xf>
    <xf numFmtId="0" fontId="123" fillId="13" borderId="56" xfId="0" applyFont="1" applyFill="1" applyBorder="1" applyAlignment="1">
      <alignment horizontal="center" vertical="center"/>
    </xf>
    <xf numFmtId="0" fontId="0" fillId="16" borderId="55" xfId="0" applyFill="1" applyBorder="1" applyAlignment="1">
      <alignment horizontal="center" vertical="center"/>
    </xf>
    <xf numFmtId="0" fontId="0" fillId="16" borderId="56" xfId="0" applyFill="1" applyBorder="1" applyAlignment="1">
      <alignment horizontal="center" vertical="center"/>
    </xf>
    <xf numFmtId="3" fontId="0" fillId="16" borderId="57" xfId="0" applyNumberFormat="1" applyFill="1" applyBorder="1" applyAlignment="1">
      <alignment horizontal="center" vertical="center"/>
    </xf>
    <xf numFmtId="3" fontId="120" fillId="16" borderId="85" xfId="0" applyNumberFormat="1" applyFont="1" applyFill="1" applyBorder="1" applyAlignment="1">
      <alignment horizontal="center" vertical="center"/>
    </xf>
    <xf numFmtId="3" fontId="125" fillId="16" borderId="85" xfId="0" applyNumberFormat="1" applyFont="1" applyFill="1" applyBorder="1" applyAlignment="1">
      <alignment horizontal="center" vertical="center"/>
    </xf>
    <xf numFmtId="0" fontId="122" fillId="13" borderId="87" xfId="0" applyFont="1" applyFill="1" applyBorder="1" applyAlignment="1">
      <alignment horizontal="center" vertical="center" wrapText="1"/>
    </xf>
    <xf numFmtId="0" fontId="0" fillId="16" borderId="89" xfId="0" applyFill="1" applyBorder="1" applyAlignment="1">
      <alignment horizontal="center" vertical="center"/>
    </xf>
    <xf numFmtId="0" fontId="0" fillId="16" borderId="85" xfId="0" applyFill="1" applyBorder="1" applyAlignment="1">
      <alignment horizontal="center" vertical="center"/>
    </xf>
    <xf numFmtId="3" fontId="0" fillId="16" borderId="90" xfId="0" applyNumberFormat="1" applyFill="1" applyBorder="1" applyAlignment="1">
      <alignment horizontal="center" vertical="center"/>
    </xf>
    <xf numFmtId="1" fontId="0" fillId="31" borderId="56" xfId="0" applyNumberFormat="1" applyFill="1" applyBorder="1" applyAlignment="1">
      <alignment horizontal="center" vertical="center"/>
    </xf>
    <xf numFmtId="1" fontId="0" fillId="0" borderId="90" xfId="0" applyNumberFormat="1" applyBorder="1" applyAlignment="1">
      <alignment horizontal="center" vertical="center"/>
    </xf>
    <xf numFmtId="0" fontId="0" fillId="0" borderId="92" xfId="0" applyBorder="1" applyAlignment="1">
      <alignment horizontal="center" vertical="center"/>
    </xf>
    <xf numFmtId="3" fontId="0" fillId="0" borderId="92" xfId="0" applyNumberFormat="1" applyBorder="1" applyAlignment="1">
      <alignment horizontal="center" vertical="center"/>
    </xf>
    <xf numFmtId="1" fontId="0" fillId="0" borderId="93" xfId="0" applyNumberFormat="1" applyBorder="1" applyAlignment="1">
      <alignment horizontal="center" vertical="center"/>
    </xf>
    <xf numFmtId="0" fontId="0" fillId="16" borderId="91" xfId="0" applyFill="1" applyBorder="1" applyAlignment="1">
      <alignment horizontal="center" vertical="center"/>
    </xf>
    <xf numFmtId="0" fontId="0" fillId="16" borderId="92" xfId="0" applyFill="1" applyBorder="1" applyAlignment="1">
      <alignment horizontal="center" vertical="center"/>
    </xf>
    <xf numFmtId="14" fontId="0" fillId="0" borderId="72" xfId="0" applyNumberFormat="1" applyBorder="1" applyAlignment="1">
      <alignment horizontal="center" vertical="center"/>
    </xf>
    <xf numFmtId="14" fontId="0" fillId="0" borderId="94" xfId="0" applyNumberFormat="1" applyBorder="1" applyAlignment="1">
      <alignment horizontal="center" vertical="center"/>
    </xf>
    <xf numFmtId="3" fontId="15" fillId="16" borderId="0" xfId="3" applyNumberFormat="1" applyFont="1" applyFill="1" applyAlignment="1">
      <alignment horizontal="center" vertical="center"/>
    </xf>
    <xf numFmtId="3" fontId="15" fillId="16" borderId="40" xfId="3" applyNumberFormat="1" applyFont="1" applyFill="1" applyBorder="1" applyAlignment="1">
      <alignment horizontal="center" vertical="center"/>
    </xf>
    <xf numFmtId="3" fontId="128" fillId="31" borderId="56" xfId="0" applyNumberFormat="1" applyFont="1" applyFill="1" applyBorder="1" applyAlignment="1">
      <alignment horizontal="center" vertical="center" wrapText="1"/>
    </xf>
    <xf numFmtId="37" fontId="128" fillId="22" borderId="55" xfId="0" applyNumberFormat="1" applyFont="1" applyFill="1" applyBorder="1" applyAlignment="1">
      <alignment horizontal="center" vertical="center" wrapText="1"/>
    </xf>
    <xf numFmtId="0" fontId="0" fillId="0" borderId="23" xfId="0" applyBorder="1" applyAlignment="1">
      <alignment horizontal="center" vertical="center"/>
    </xf>
    <xf numFmtId="0" fontId="0" fillId="0" borderId="24" xfId="0" applyBorder="1" applyAlignment="1">
      <alignment horizontal="center" vertical="center"/>
    </xf>
    <xf numFmtId="0" fontId="122" fillId="22" borderId="86" xfId="0" applyFont="1" applyFill="1" applyBorder="1" applyAlignment="1">
      <alignment horizontal="center" vertical="center" wrapText="1"/>
    </xf>
    <xf numFmtId="1" fontId="122" fillId="22" borderId="88" xfId="0" applyNumberFormat="1" applyFont="1" applyFill="1" applyBorder="1" applyAlignment="1">
      <alignment horizontal="center" vertical="center" wrapText="1"/>
    </xf>
    <xf numFmtId="1" fontId="126" fillId="22" borderId="57" xfId="0" applyNumberFormat="1" applyFont="1" applyFill="1" applyBorder="1" applyAlignment="1">
      <alignment horizontal="center" vertical="center"/>
    </xf>
    <xf numFmtId="1" fontId="126" fillId="22" borderId="65" xfId="0" applyNumberFormat="1" applyFont="1" applyFill="1" applyBorder="1" applyAlignment="1">
      <alignment horizontal="center" vertical="center"/>
    </xf>
    <xf numFmtId="37" fontId="128" fillId="13" borderId="56" xfId="0" applyNumberFormat="1" applyFont="1" applyFill="1" applyBorder="1" applyAlignment="1">
      <alignment horizontal="center" vertical="center" wrapText="1"/>
    </xf>
    <xf numFmtId="0" fontId="123" fillId="36" borderId="96" xfId="0" applyFont="1" applyFill="1" applyBorder="1" applyAlignment="1">
      <alignment horizontal="center" vertical="center"/>
    </xf>
    <xf numFmtId="0" fontId="122" fillId="36" borderId="75" xfId="0" applyFont="1" applyFill="1" applyBorder="1" applyAlignment="1">
      <alignment horizontal="center" vertical="center" wrapText="1"/>
    </xf>
    <xf numFmtId="37" fontId="128" fillId="36" borderId="96" xfId="0" applyNumberFormat="1" applyFont="1" applyFill="1" applyBorder="1" applyAlignment="1">
      <alignment horizontal="center" vertical="center" wrapText="1"/>
    </xf>
    <xf numFmtId="1" fontId="0" fillId="0" borderId="88" xfId="0" applyNumberFormat="1" applyBorder="1" applyAlignment="1">
      <alignment horizontal="center" vertical="center"/>
    </xf>
    <xf numFmtId="4" fontId="15" fillId="18" borderId="48" xfId="3" applyNumberFormat="1" applyFont="1" applyFill="1" applyBorder="1" applyAlignment="1">
      <alignment horizontal="center"/>
    </xf>
    <xf numFmtId="0" fontId="7" fillId="31" borderId="5" xfId="3" applyFill="1" applyBorder="1" applyAlignment="1">
      <alignment horizontal="center" vertical="center"/>
    </xf>
    <xf numFmtId="0" fontId="129" fillId="31" borderId="5" xfId="3" applyFont="1" applyFill="1" applyBorder="1" applyAlignment="1">
      <alignment horizontal="center" vertical="center"/>
    </xf>
    <xf numFmtId="3" fontId="129" fillId="31" borderId="37" xfId="3" applyNumberFormat="1" applyFont="1" applyFill="1" applyBorder="1" applyAlignment="1">
      <alignment horizontal="center" vertical="center"/>
    </xf>
    <xf numFmtId="0" fontId="7" fillId="31" borderId="40" xfId="3" applyFill="1" applyBorder="1" applyAlignment="1">
      <alignment horizontal="center" vertical="center"/>
    </xf>
    <xf numFmtId="37" fontId="15" fillId="31" borderId="36" xfId="3" applyNumberFormat="1" applyFont="1" applyFill="1" applyBorder="1" applyAlignment="1">
      <alignment horizontal="center" vertical="center"/>
    </xf>
    <xf numFmtId="37" fontId="15" fillId="31" borderId="39" xfId="3" applyNumberFormat="1" applyFont="1" applyFill="1" applyBorder="1" applyAlignment="1">
      <alignment horizontal="center" vertical="center"/>
    </xf>
    <xf numFmtId="0" fontId="7" fillId="31" borderId="0" xfId="3" applyFill="1" applyAlignment="1">
      <alignment horizontal="center" vertical="center"/>
    </xf>
    <xf numFmtId="0" fontId="19" fillId="4" borderId="97" xfId="3" applyFont="1" applyFill="1" applyBorder="1" applyAlignment="1">
      <alignment horizontal="center" vertical="center"/>
    </xf>
    <xf numFmtId="0" fontId="19" fillId="4" borderId="28" xfId="3" applyFont="1" applyFill="1" applyBorder="1" applyAlignment="1">
      <alignment horizontal="center" vertical="center"/>
    </xf>
    <xf numFmtId="0" fontId="9" fillId="0" borderId="101" xfId="3" applyFont="1" applyBorder="1" applyAlignment="1">
      <alignment horizontal="center" vertical="center"/>
    </xf>
    <xf numFmtId="0" fontId="76" fillId="0" borderId="0" xfId="0" applyFont="1"/>
    <xf numFmtId="0" fontId="75" fillId="0" borderId="0" xfId="0" applyFont="1" applyAlignment="1">
      <alignment horizontal="center" vertical="center"/>
    </xf>
    <xf numFmtId="0" fontId="78" fillId="0" borderId="0" xfId="0" applyFont="1" applyAlignment="1">
      <alignment horizontal="center" vertical="center"/>
    </xf>
    <xf numFmtId="0" fontId="78" fillId="2" borderId="0" xfId="0" applyFont="1" applyFill="1" applyAlignment="1">
      <alignment horizontal="center" vertical="center"/>
    </xf>
    <xf numFmtId="0" fontId="75" fillId="0" borderId="0" xfId="0" applyFont="1"/>
    <xf numFmtId="0" fontId="78" fillId="3" borderId="0" xfId="0" applyFont="1" applyFill="1" applyAlignment="1">
      <alignment horizontal="center" vertical="center"/>
    </xf>
    <xf numFmtId="171" fontId="75" fillId="0" borderId="0" xfId="0" applyNumberFormat="1" applyFont="1" applyAlignment="1">
      <alignment horizontal="center" vertical="center"/>
    </xf>
    <xf numFmtId="0" fontId="76" fillId="15" borderId="0" xfId="0" applyFont="1" applyFill="1" applyAlignment="1">
      <alignment horizontal="center" vertical="center"/>
    </xf>
    <xf numFmtId="17" fontId="77" fillId="0" borderId="0" xfId="0" applyNumberFormat="1" applyFont="1" applyAlignment="1">
      <alignment horizontal="left" wrapText="1"/>
    </xf>
    <xf numFmtId="167" fontId="77" fillId="15" borderId="0" xfId="1" applyNumberFormat="1" applyFont="1" applyFill="1" applyBorder="1" applyAlignment="1">
      <alignment horizontal="center" vertical="center"/>
    </xf>
    <xf numFmtId="167" fontId="77" fillId="0" borderId="0" xfId="1" applyNumberFormat="1" applyFont="1" applyBorder="1" applyAlignment="1">
      <alignment horizontal="center" vertical="center"/>
    </xf>
    <xf numFmtId="0" fontId="77" fillId="0" borderId="0" xfId="0" applyFont="1"/>
    <xf numFmtId="17" fontId="76" fillId="0" borderId="0" xfId="0" applyNumberFormat="1" applyFont="1" applyAlignment="1">
      <alignment horizontal="center" wrapText="1"/>
    </xf>
    <xf numFmtId="3" fontId="75" fillId="2" borderId="0" xfId="0" applyNumberFormat="1" applyFont="1" applyFill="1" applyAlignment="1">
      <alignment horizontal="center" vertical="center"/>
    </xf>
    <xf numFmtId="0" fontId="79" fillId="0" borderId="0" xfId="0" applyFont="1" applyAlignment="1">
      <alignment horizontal="center" vertical="center"/>
    </xf>
    <xf numFmtId="0" fontId="79" fillId="0" borderId="0" xfId="0" applyFont="1" applyAlignment="1">
      <alignment horizontal="center"/>
    </xf>
    <xf numFmtId="17" fontId="76" fillId="0" borderId="0" xfId="0" applyNumberFormat="1" applyFont="1" applyAlignment="1">
      <alignment horizontal="left" wrapText="1"/>
    </xf>
    <xf numFmtId="3" fontId="75" fillId="0" borderId="0" xfId="0" applyNumberFormat="1" applyFont="1" applyAlignment="1">
      <alignment horizontal="center" vertical="center"/>
    </xf>
    <xf numFmtId="3" fontId="76" fillId="0" borderId="0" xfId="0" applyNumberFormat="1" applyFont="1" applyAlignment="1">
      <alignment horizontal="center" vertical="center"/>
    </xf>
    <xf numFmtId="0" fontId="79" fillId="0" borderId="0" xfId="0" applyFont="1"/>
    <xf numFmtId="0" fontId="80" fillId="0" borderId="0" xfId="0" applyFont="1" applyAlignment="1">
      <alignment horizontal="center" vertical="center"/>
    </xf>
    <xf numFmtId="0" fontId="79" fillId="21" borderId="0" xfId="0" applyFont="1" applyFill="1"/>
    <xf numFmtId="0" fontId="80" fillId="21" borderId="0" xfId="0" applyFont="1" applyFill="1" applyAlignment="1">
      <alignment horizontal="center" vertical="center"/>
    </xf>
    <xf numFmtId="0" fontId="76" fillId="21" borderId="0" xfId="0" applyFont="1" applyFill="1" applyAlignment="1">
      <alignment horizontal="center" vertical="center"/>
    </xf>
    <xf numFmtId="0" fontId="79" fillId="12" borderId="0" xfId="0" applyFont="1" applyFill="1"/>
    <xf numFmtId="0" fontId="81" fillId="0" borderId="0" xfId="0" applyFont="1"/>
    <xf numFmtId="164" fontId="78" fillId="0" borderId="0" xfId="0" applyNumberFormat="1" applyFont="1" applyAlignment="1">
      <alignment horizontal="center" vertical="center"/>
    </xf>
    <xf numFmtId="164" fontId="78" fillId="31" borderId="0" xfId="0" applyNumberFormat="1" applyFont="1" applyFill="1" applyAlignment="1">
      <alignment horizontal="center" vertical="center"/>
    </xf>
    <xf numFmtId="164" fontId="81" fillId="0" borderId="0" xfId="0" applyNumberFormat="1" applyFont="1" applyAlignment="1">
      <alignment horizontal="center" vertical="center"/>
    </xf>
    <xf numFmtId="0" fontId="81" fillId="0" borderId="0" xfId="0" applyFont="1" applyAlignment="1">
      <alignment horizontal="center" vertical="center"/>
    </xf>
    <xf numFmtId="0" fontId="78" fillId="0" borderId="0" xfId="0" applyFont="1"/>
    <xf numFmtId="0" fontId="78" fillId="31" borderId="0" xfId="0" applyFont="1" applyFill="1" applyAlignment="1">
      <alignment horizontal="center" vertical="center"/>
    </xf>
    <xf numFmtId="0" fontId="82" fillId="15" borderId="0" xfId="3" applyFont="1" applyFill="1" applyAlignment="1">
      <alignment vertical="center" wrapText="1"/>
    </xf>
    <xf numFmtId="165" fontId="83" fillId="15" borderId="0" xfId="0" applyNumberFormat="1" applyFont="1" applyFill="1" applyAlignment="1">
      <alignment horizontal="center" vertical="center"/>
    </xf>
    <xf numFmtId="165" fontId="94" fillId="15" borderId="0" xfId="0" applyNumberFormat="1" applyFont="1" applyFill="1" applyAlignment="1">
      <alignment horizontal="center" vertical="center"/>
    </xf>
    <xf numFmtId="165" fontId="82" fillId="15" borderId="0" xfId="1" applyNumberFormat="1" applyFont="1" applyFill="1" applyBorder="1" applyAlignment="1">
      <alignment horizontal="center" vertical="center"/>
    </xf>
    <xf numFmtId="169" fontId="97" fillId="15" borderId="0" xfId="1" applyNumberFormat="1" applyFont="1" applyFill="1" applyBorder="1" applyAlignment="1">
      <alignment horizontal="center" vertical="center"/>
    </xf>
    <xf numFmtId="0" fontId="76" fillId="15" borderId="0" xfId="0" applyFont="1" applyFill="1"/>
    <xf numFmtId="0" fontId="85" fillId="0" borderId="0" xfId="0" applyFont="1" applyAlignment="1">
      <alignment horizontal="center" vertical="center"/>
    </xf>
    <xf numFmtId="0" fontId="85" fillId="0" borderId="0" xfId="0" applyFont="1"/>
    <xf numFmtId="0" fontId="76" fillId="0" borderId="0" xfId="3" applyFont="1" applyAlignment="1">
      <alignment vertical="center" wrapText="1"/>
    </xf>
    <xf numFmtId="3" fontId="76" fillId="0" borderId="0" xfId="3" applyNumberFormat="1" applyFont="1" applyAlignment="1">
      <alignment horizontal="center" vertical="center"/>
    </xf>
    <xf numFmtId="3" fontId="78" fillId="0" borderId="0" xfId="3" applyNumberFormat="1" applyFont="1" applyAlignment="1">
      <alignment horizontal="center" vertical="center"/>
    </xf>
    <xf numFmtId="3" fontId="78" fillId="31" borderId="0" xfId="3" applyNumberFormat="1" applyFont="1" applyFill="1" applyAlignment="1">
      <alignment horizontal="center" vertical="center"/>
    </xf>
    <xf numFmtId="1" fontId="78" fillId="0" borderId="0" xfId="3" applyNumberFormat="1" applyFont="1" applyAlignment="1">
      <alignment horizontal="center" vertical="center"/>
    </xf>
    <xf numFmtId="1" fontId="81" fillId="0" borderId="0" xfId="3" applyNumberFormat="1" applyFont="1" applyAlignment="1">
      <alignment horizontal="center" vertical="center"/>
    </xf>
    <xf numFmtId="0" fontId="75" fillId="15" borderId="0" xfId="3" applyFont="1" applyFill="1" applyAlignment="1">
      <alignment vertical="center" wrapText="1"/>
    </xf>
    <xf numFmtId="3" fontId="75" fillId="15" borderId="0" xfId="0" applyNumberFormat="1" applyFont="1" applyFill="1" applyAlignment="1">
      <alignment horizontal="center" vertical="center"/>
    </xf>
    <xf numFmtId="3" fontId="81" fillId="15" borderId="0" xfId="0" applyNumberFormat="1" applyFont="1" applyFill="1" applyAlignment="1">
      <alignment horizontal="center" vertical="center"/>
    </xf>
    <xf numFmtId="3" fontId="75" fillId="16" borderId="0" xfId="0" applyNumberFormat="1" applyFont="1" applyFill="1" applyAlignment="1">
      <alignment horizontal="center" vertical="center"/>
    </xf>
    <xf numFmtId="0" fontId="75" fillId="15" borderId="0" xfId="0" applyFont="1" applyFill="1" applyAlignment="1">
      <alignment horizontal="center" vertical="center"/>
    </xf>
    <xf numFmtId="0" fontId="75" fillId="15" borderId="0" xfId="0" applyFont="1" applyFill="1"/>
    <xf numFmtId="0" fontId="75" fillId="0" borderId="0" xfId="3" applyFont="1" applyAlignment="1">
      <alignment vertical="center" wrapText="1"/>
    </xf>
    <xf numFmtId="3" fontId="81" fillId="0" borderId="0" xfId="0" applyNumberFormat="1" applyFont="1" applyAlignment="1">
      <alignment horizontal="center" vertical="center"/>
    </xf>
    <xf numFmtId="3" fontId="78" fillId="0" borderId="0" xfId="0" applyNumberFormat="1" applyFont="1" applyAlignment="1">
      <alignment horizontal="center" vertical="center"/>
    </xf>
    <xf numFmtId="0" fontId="76" fillId="0" borderId="0" xfId="3" applyFont="1" applyAlignment="1">
      <alignment horizontal="left" vertical="center" wrapText="1"/>
    </xf>
    <xf numFmtId="3" fontId="86" fillId="0" borderId="0" xfId="0" applyNumberFormat="1" applyFont="1" applyAlignment="1">
      <alignment horizontal="center" vertical="center"/>
    </xf>
    <xf numFmtId="0" fontId="87" fillId="0" borderId="0" xfId="0" applyFont="1" applyAlignment="1">
      <alignment horizontal="center" vertical="center"/>
    </xf>
    <xf numFmtId="0" fontId="75" fillId="20" borderId="0" xfId="3" applyFont="1" applyFill="1" applyAlignment="1">
      <alignment horizontal="left" vertical="center" wrapText="1"/>
    </xf>
    <xf numFmtId="3" fontId="75" fillId="20" borderId="0" xfId="0" applyNumberFormat="1" applyFont="1" applyFill="1" applyAlignment="1">
      <alignment horizontal="center" vertical="center"/>
    </xf>
    <xf numFmtId="3" fontId="81" fillId="20" borderId="0" xfId="0" applyNumberFormat="1" applyFont="1" applyFill="1" applyAlignment="1">
      <alignment horizontal="center" vertical="center"/>
    </xf>
    <xf numFmtId="0" fontId="75" fillId="20" borderId="0" xfId="0" applyFont="1" applyFill="1" applyAlignment="1">
      <alignment horizontal="center" vertical="center"/>
    </xf>
    <xf numFmtId="0" fontId="75" fillId="20" borderId="0" xfId="0" applyFont="1" applyFill="1"/>
    <xf numFmtId="0" fontId="75" fillId="0" borderId="0" xfId="3" applyFont="1" applyAlignment="1">
      <alignment horizontal="left" vertical="center" wrapText="1"/>
    </xf>
    <xf numFmtId="164" fontId="76" fillId="0" borderId="0" xfId="0" applyNumberFormat="1" applyFont="1" applyAlignment="1">
      <alignment horizontal="center" vertical="center"/>
    </xf>
    <xf numFmtId="164" fontId="75" fillId="0" borderId="0" xfId="0" applyNumberFormat="1" applyFont="1" applyAlignment="1">
      <alignment horizontal="center" vertical="center"/>
    </xf>
    <xf numFmtId="2" fontId="76" fillId="0" borderId="0" xfId="0" applyNumberFormat="1" applyFont="1" applyAlignment="1">
      <alignment horizontal="center" vertical="center"/>
    </xf>
    <xf numFmtId="0" fontId="76" fillId="16" borderId="0" xfId="3" applyFont="1" applyFill="1" applyAlignment="1">
      <alignment vertical="center" wrapText="1"/>
    </xf>
    <xf numFmtId="0" fontId="76" fillId="0" borderId="0" xfId="3" applyFont="1" applyAlignment="1">
      <alignment horizontal="center" vertical="center"/>
    </xf>
    <xf numFmtId="0" fontId="92" fillId="15" borderId="0" xfId="3" applyFont="1" applyFill="1" applyAlignment="1">
      <alignment horizontal="left" vertical="center" wrapText="1"/>
    </xf>
    <xf numFmtId="3" fontId="76" fillId="15" borderId="0" xfId="0" applyNumberFormat="1" applyFont="1" applyFill="1" applyAlignment="1">
      <alignment horizontal="center" vertical="center"/>
    </xf>
    <xf numFmtId="0" fontId="76" fillId="15" borderId="0" xfId="3" applyFont="1" applyFill="1" applyAlignment="1">
      <alignment horizontal="left" vertical="center" wrapText="1"/>
    </xf>
    <xf numFmtId="3" fontId="76" fillId="15" borderId="0" xfId="3" applyNumberFormat="1" applyFont="1" applyFill="1" applyAlignment="1">
      <alignment horizontal="center" vertical="center"/>
    </xf>
    <xf numFmtId="3" fontId="75" fillId="0" borderId="0" xfId="3" applyNumberFormat="1" applyFont="1" applyAlignment="1">
      <alignment horizontal="center" vertical="center"/>
    </xf>
    <xf numFmtId="1" fontId="76" fillId="0" borderId="0" xfId="3" applyNumberFormat="1" applyFont="1" applyAlignment="1">
      <alignment horizontal="center" vertical="center"/>
    </xf>
    <xf numFmtId="1" fontId="76" fillId="15" borderId="0" xfId="0" applyNumberFormat="1" applyFont="1" applyFill="1" applyAlignment="1">
      <alignment horizontal="center" vertical="center"/>
    </xf>
    <xf numFmtId="1" fontId="75" fillId="0" borderId="0" xfId="3" applyNumberFormat="1" applyFont="1" applyAlignment="1">
      <alignment horizontal="center" vertical="center"/>
    </xf>
    <xf numFmtId="1" fontId="75" fillId="15" borderId="0" xfId="0" applyNumberFormat="1" applyFont="1" applyFill="1" applyAlignment="1">
      <alignment horizontal="center" vertical="center"/>
    </xf>
    <xf numFmtId="165" fontId="76" fillId="0" borderId="0" xfId="0" applyNumberFormat="1" applyFont="1" applyAlignment="1">
      <alignment horizontal="center" vertical="center"/>
    </xf>
    <xf numFmtId="165" fontId="75" fillId="26" borderId="0" xfId="1" applyNumberFormat="1" applyFont="1" applyFill="1" applyBorder="1" applyAlignment="1">
      <alignment horizontal="center" vertical="center"/>
    </xf>
    <xf numFmtId="169" fontId="75" fillId="0" borderId="0" xfId="1" applyNumberFormat="1" applyFont="1" applyBorder="1" applyAlignment="1">
      <alignment horizontal="center" vertical="center"/>
    </xf>
    <xf numFmtId="0" fontId="54" fillId="15" borderId="0" xfId="3" applyFont="1" applyFill="1" applyAlignment="1">
      <alignment horizontal="left" vertical="center" wrapText="1"/>
    </xf>
    <xf numFmtId="165" fontId="76" fillId="15" borderId="0" xfId="0" applyNumberFormat="1" applyFont="1" applyFill="1" applyAlignment="1">
      <alignment horizontal="center" vertical="center"/>
    </xf>
    <xf numFmtId="165" fontId="75" fillId="15" borderId="0" xfId="1" applyNumberFormat="1" applyFont="1" applyFill="1" applyBorder="1" applyAlignment="1">
      <alignment horizontal="center" vertical="center"/>
    </xf>
    <xf numFmtId="169" fontId="75" fillId="15" borderId="0" xfId="1" applyNumberFormat="1" applyFont="1" applyFill="1" applyBorder="1" applyAlignment="1">
      <alignment horizontal="center" vertical="center"/>
    </xf>
    <xf numFmtId="0" fontId="89" fillId="15" borderId="0" xfId="0" applyFont="1" applyFill="1" applyAlignment="1">
      <alignment horizontal="center" vertical="center"/>
    </xf>
    <xf numFmtId="0" fontId="89" fillId="15" borderId="0" xfId="0" applyFont="1" applyFill="1"/>
    <xf numFmtId="0" fontId="76" fillId="12" borderId="0" xfId="3" applyFont="1" applyFill="1" applyAlignment="1">
      <alignment horizontal="left" vertical="center" wrapText="1"/>
    </xf>
    <xf numFmtId="165" fontId="75" fillId="0" borderId="0" xfId="1" applyNumberFormat="1" applyFont="1" applyBorder="1" applyAlignment="1">
      <alignment horizontal="center" vertical="center"/>
    </xf>
    <xf numFmtId="165" fontId="75" fillId="12" borderId="0" xfId="1" applyNumberFormat="1" applyFont="1" applyFill="1" applyBorder="1" applyAlignment="1">
      <alignment horizontal="center" vertical="center"/>
    </xf>
    <xf numFmtId="169" fontId="75" fillId="12" borderId="0" xfId="1" applyNumberFormat="1" applyFont="1" applyFill="1" applyBorder="1" applyAlignment="1">
      <alignment horizontal="center" vertical="center"/>
    </xf>
    <xf numFmtId="0" fontId="76" fillId="12" borderId="0" xfId="0" applyFont="1" applyFill="1" applyAlignment="1">
      <alignment horizontal="center" vertical="center"/>
    </xf>
    <xf numFmtId="0" fontId="76" fillId="12" borderId="0" xfId="0" applyFont="1" applyFill="1"/>
    <xf numFmtId="0" fontId="76" fillId="15" borderId="0" xfId="3" applyFont="1" applyFill="1" applyAlignment="1">
      <alignment vertical="center" wrapText="1"/>
    </xf>
    <xf numFmtId="0" fontId="78" fillId="12" borderId="0" xfId="3" applyFont="1" applyFill="1" applyAlignment="1">
      <alignment horizontal="left" vertical="center" wrapText="1"/>
    </xf>
    <xf numFmtId="165" fontId="81" fillId="12" borderId="0" xfId="1" applyNumberFormat="1" applyFont="1" applyFill="1" applyBorder="1" applyAlignment="1">
      <alignment horizontal="center" vertical="center"/>
    </xf>
    <xf numFmtId="169" fontId="81" fillId="12" borderId="0" xfId="1" applyNumberFormat="1" applyFont="1" applyFill="1" applyBorder="1" applyAlignment="1">
      <alignment horizontal="center" vertical="center"/>
    </xf>
    <xf numFmtId="0" fontId="78" fillId="12" borderId="0" xfId="0" applyFont="1" applyFill="1" applyAlignment="1">
      <alignment horizontal="center" vertical="center"/>
    </xf>
    <xf numFmtId="0" fontId="78" fillId="12" borderId="0" xfId="0" applyFont="1" applyFill="1"/>
    <xf numFmtId="0" fontId="76" fillId="16" borderId="0" xfId="3" applyFont="1" applyFill="1" applyAlignment="1">
      <alignment horizontal="left" vertical="center" wrapText="1"/>
    </xf>
    <xf numFmtId="165" fontId="76" fillId="31" borderId="0" xfId="0" applyNumberFormat="1" applyFont="1" applyFill="1" applyAlignment="1">
      <alignment horizontal="center" vertical="center"/>
    </xf>
    <xf numFmtId="165" fontId="76" fillId="15" borderId="0" xfId="1" applyNumberFormat="1" applyFont="1" applyFill="1" applyBorder="1" applyAlignment="1">
      <alignment horizontal="center" vertical="center"/>
    </xf>
    <xf numFmtId="0" fontId="89" fillId="0" borderId="0" xfId="3" applyFont="1" applyAlignment="1">
      <alignment horizontal="left" vertical="center" wrapText="1"/>
    </xf>
    <xf numFmtId="165" fontId="90" fillId="0" borderId="0" xfId="1" applyNumberFormat="1" applyFont="1" applyBorder="1" applyAlignment="1">
      <alignment horizontal="center" vertical="center"/>
    </xf>
    <xf numFmtId="169" fontId="90" fillId="0" borderId="0" xfId="1" applyNumberFormat="1" applyFont="1" applyBorder="1" applyAlignment="1">
      <alignment horizontal="center" vertical="center"/>
    </xf>
    <xf numFmtId="0" fontId="89" fillId="0" borderId="0" xfId="0" applyFont="1" applyAlignment="1">
      <alignment horizontal="center" vertical="center"/>
    </xf>
    <xf numFmtId="0" fontId="89" fillId="0" borderId="0" xfId="0" applyFont="1"/>
    <xf numFmtId="4" fontId="76" fillId="15" borderId="0" xfId="0" applyNumberFormat="1" applyFont="1" applyFill="1" applyAlignment="1">
      <alignment horizontal="center" vertical="center"/>
    </xf>
    <xf numFmtId="165" fontId="89" fillId="0" borderId="0" xfId="0" applyNumberFormat="1" applyFont="1" applyAlignment="1">
      <alignment horizontal="center" vertical="center"/>
    </xf>
    <xf numFmtId="165" fontId="78" fillId="0" borderId="0" xfId="0" applyNumberFormat="1" applyFont="1" applyAlignment="1">
      <alignment horizontal="center" vertical="center"/>
    </xf>
    <xf numFmtId="0" fontId="89" fillId="15" borderId="0" xfId="3" applyFont="1" applyFill="1" applyAlignment="1">
      <alignment horizontal="left" vertical="center" wrapText="1"/>
    </xf>
    <xf numFmtId="165" fontId="89" fillId="15" borderId="0" xfId="0" applyNumberFormat="1" applyFont="1" applyFill="1" applyAlignment="1">
      <alignment horizontal="center" vertical="center"/>
    </xf>
    <xf numFmtId="165" fontId="78" fillId="15" borderId="0" xfId="0" applyNumberFormat="1" applyFont="1" applyFill="1" applyAlignment="1">
      <alignment horizontal="center" vertical="center"/>
    </xf>
    <xf numFmtId="165" fontId="90" fillId="15" borderId="0" xfId="1" applyNumberFormat="1" applyFont="1" applyFill="1" applyBorder="1" applyAlignment="1">
      <alignment horizontal="center" vertical="center"/>
    </xf>
    <xf numFmtId="169" fontId="90" fillId="15" borderId="0" xfId="1" applyNumberFormat="1" applyFont="1" applyFill="1" applyBorder="1" applyAlignment="1">
      <alignment horizontal="center" vertical="center"/>
    </xf>
    <xf numFmtId="0" fontId="75" fillId="0" borderId="0" xfId="3" applyFont="1" applyAlignment="1">
      <alignment horizontal="left" shrinkToFit="1"/>
    </xf>
    <xf numFmtId="165" fontId="75" fillId="0" borderId="0" xfId="0" applyNumberFormat="1" applyFont="1" applyAlignment="1">
      <alignment horizontal="center" vertical="center"/>
    </xf>
    <xf numFmtId="165" fontId="81" fillId="0" borderId="0" xfId="0" applyNumberFormat="1" applyFont="1" applyAlignment="1">
      <alignment horizontal="center" vertical="center"/>
    </xf>
    <xf numFmtId="0" fontId="91" fillId="0" borderId="0" xfId="3" applyFont="1" applyAlignment="1">
      <alignment horizontal="left" wrapText="1"/>
    </xf>
    <xf numFmtId="164" fontId="83" fillId="0" borderId="0" xfId="0" applyNumberFormat="1" applyFont="1" applyAlignment="1">
      <alignment horizontal="center" vertical="center"/>
    </xf>
    <xf numFmtId="164" fontId="94" fillId="0" borderId="0" xfId="0" applyNumberFormat="1" applyFont="1" applyAlignment="1">
      <alignment horizontal="center" vertical="center"/>
    </xf>
    <xf numFmtId="0" fontId="83" fillId="0" borderId="0" xfId="0" applyFont="1" applyAlignment="1">
      <alignment horizontal="center" vertical="center"/>
    </xf>
    <xf numFmtId="0" fontId="83" fillId="0" borderId="0" xfId="0" applyFont="1"/>
    <xf numFmtId="0" fontId="75" fillId="25" borderId="0" xfId="3" applyFont="1" applyFill="1" applyAlignment="1">
      <alignment horizontal="center" vertical="center" wrapText="1"/>
    </xf>
    <xf numFmtId="3" fontId="75" fillId="25" borderId="0" xfId="3" applyNumberFormat="1" applyFont="1" applyFill="1" applyAlignment="1">
      <alignment horizontal="center" vertical="center"/>
    </xf>
    <xf numFmtId="3" fontId="81" fillId="25" borderId="0" xfId="3" applyNumberFormat="1" applyFont="1" applyFill="1" applyAlignment="1">
      <alignment horizontal="center" vertical="center"/>
    </xf>
    <xf numFmtId="3" fontId="75" fillId="25" borderId="0" xfId="0" applyNumberFormat="1" applyFont="1" applyFill="1" applyAlignment="1">
      <alignment horizontal="center" vertical="center"/>
    </xf>
    <xf numFmtId="0" fontId="75" fillId="25" borderId="0" xfId="0" applyFont="1" applyFill="1" applyAlignment="1">
      <alignment horizontal="center" vertical="center"/>
    </xf>
    <xf numFmtId="0" fontId="75" fillId="25" borderId="0" xfId="0" applyFont="1" applyFill="1"/>
    <xf numFmtId="0" fontId="75" fillId="19" borderId="0" xfId="0" applyFont="1" applyFill="1"/>
    <xf numFmtId="38" fontId="75" fillId="0" borderId="0" xfId="0" applyNumberFormat="1" applyFont="1" applyAlignment="1">
      <alignment horizontal="center" vertical="center"/>
    </xf>
    <xf numFmtId="3" fontId="75" fillId="14" borderId="0" xfId="0" applyNumberFormat="1" applyFont="1" applyFill="1" applyAlignment="1">
      <alignment horizontal="center"/>
    </xf>
    <xf numFmtId="3" fontId="75" fillId="35" borderId="0" xfId="0" applyNumberFormat="1" applyFont="1" applyFill="1" applyAlignment="1">
      <alignment horizontal="center" vertical="center"/>
    </xf>
    <xf numFmtId="3" fontId="76" fillId="35" borderId="0" xfId="0" applyNumberFormat="1" applyFont="1" applyFill="1" applyAlignment="1">
      <alignment horizontal="center" vertical="center"/>
    </xf>
    <xf numFmtId="3" fontId="75" fillId="35" borderId="0" xfId="0" applyNumberFormat="1" applyFont="1" applyFill="1"/>
    <xf numFmtId="3" fontId="75" fillId="35" borderId="0" xfId="1" applyNumberFormat="1" applyFont="1" applyFill="1" applyBorder="1" applyAlignment="1">
      <alignment horizontal="center" vertical="center"/>
    </xf>
    <xf numFmtId="3" fontId="76" fillId="35" borderId="0" xfId="0" applyNumberFormat="1" applyFont="1" applyFill="1"/>
    <xf numFmtId="0" fontId="75" fillId="23" borderId="0" xfId="0" applyFont="1" applyFill="1" applyAlignment="1">
      <alignment vertical="center"/>
    </xf>
    <xf numFmtId="3" fontId="81" fillId="23" borderId="0" xfId="0" applyNumberFormat="1" applyFont="1" applyFill="1" applyAlignment="1">
      <alignment horizontal="center" vertical="center"/>
    </xf>
    <xf numFmtId="3" fontId="75" fillId="23" borderId="0" xfId="0" applyNumberFormat="1" applyFont="1" applyFill="1" applyAlignment="1">
      <alignment horizontal="center" vertical="center"/>
    </xf>
    <xf numFmtId="0" fontId="75" fillId="23" borderId="0" xfId="0" applyFont="1" applyFill="1" applyAlignment="1">
      <alignment horizontal="center" vertical="center"/>
    </xf>
    <xf numFmtId="3" fontId="81" fillId="37" borderId="0" xfId="0" applyNumberFormat="1" applyFont="1" applyFill="1" applyAlignment="1">
      <alignment horizontal="center" vertical="center"/>
    </xf>
    <xf numFmtId="0" fontId="75" fillId="26" borderId="0" xfId="0" applyFont="1" applyFill="1"/>
    <xf numFmtId="3" fontId="75" fillId="30" borderId="0" xfId="0" applyNumberFormat="1" applyFont="1" applyFill="1" applyAlignment="1">
      <alignment horizontal="center" vertical="center"/>
    </xf>
    <xf numFmtId="3" fontId="81" fillId="30" borderId="0" xfId="0" applyNumberFormat="1" applyFont="1" applyFill="1" applyAlignment="1">
      <alignment horizontal="center" vertical="center"/>
    </xf>
    <xf numFmtId="3" fontId="81" fillId="14" borderId="0" xfId="0" applyNumberFormat="1" applyFont="1" applyFill="1" applyAlignment="1">
      <alignment horizontal="center" vertical="center"/>
    </xf>
    <xf numFmtId="37" fontId="75" fillId="25" borderId="0" xfId="0" applyNumberFormat="1" applyFont="1" applyFill="1" applyAlignment="1">
      <alignment horizontal="center" vertical="center"/>
    </xf>
    <xf numFmtId="37" fontId="81" fillId="25" borderId="0" xfId="0" applyNumberFormat="1" applyFont="1" applyFill="1" applyAlignment="1">
      <alignment horizontal="center" vertical="center"/>
    </xf>
    <xf numFmtId="0" fontId="76" fillId="25" borderId="0" xfId="0" applyFont="1" applyFill="1" applyAlignment="1">
      <alignment horizontal="center" vertical="center"/>
    </xf>
    <xf numFmtId="0" fontId="76" fillId="25" borderId="0" xfId="0" applyFont="1" applyFill="1"/>
    <xf numFmtId="37" fontId="102" fillId="25" borderId="0" xfId="0" applyNumberFormat="1" applyFont="1" applyFill="1" applyAlignment="1">
      <alignment horizontal="center" vertical="center"/>
    </xf>
    <xf numFmtId="0" fontId="78" fillId="25" borderId="0" xfId="0" applyFont="1" applyFill="1" applyAlignment="1">
      <alignment horizontal="center" vertical="center"/>
    </xf>
    <xf numFmtId="9" fontId="78" fillId="25" borderId="0" xfId="4" applyFont="1" applyFill="1" applyBorder="1" applyAlignment="1">
      <alignment horizontal="center" vertical="center"/>
    </xf>
    <xf numFmtId="37" fontId="75" fillId="25" borderId="0" xfId="3" applyNumberFormat="1" applyFont="1" applyFill="1" applyAlignment="1">
      <alignment horizontal="center" vertical="center"/>
    </xf>
    <xf numFmtId="37" fontId="81" fillId="25" borderId="0" xfId="3" applyNumberFormat="1" applyFont="1" applyFill="1" applyAlignment="1">
      <alignment horizontal="center" vertical="center"/>
    </xf>
    <xf numFmtId="3" fontId="81" fillId="25" borderId="0" xfId="0" applyNumberFormat="1" applyFont="1" applyFill="1" applyAlignment="1">
      <alignment horizontal="center" vertical="center"/>
    </xf>
    <xf numFmtId="3" fontId="75" fillId="22" borderId="0" xfId="0" applyNumberFormat="1" applyFont="1" applyFill="1" applyAlignment="1">
      <alignment horizontal="center" vertical="center"/>
    </xf>
    <xf numFmtId="3" fontId="81" fillId="22" borderId="0" xfId="0" applyNumberFormat="1" applyFont="1" applyFill="1" applyAlignment="1">
      <alignment horizontal="center" vertical="center"/>
    </xf>
    <xf numFmtId="0" fontId="76" fillId="22" borderId="0" xfId="0" applyFont="1" applyFill="1" applyAlignment="1">
      <alignment horizontal="center" vertical="center"/>
    </xf>
    <xf numFmtId="0" fontId="76" fillId="22" borderId="0" xfId="0" applyFont="1" applyFill="1"/>
    <xf numFmtId="0" fontId="75" fillId="24" borderId="0" xfId="3" applyFont="1" applyFill="1" applyAlignment="1">
      <alignment horizontal="left" vertical="center" wrapText="1"/>
    </xf>
    <xf numFmtId="165" fontId="81" fillId="24" borderId="0" xfId="0" applyNumberFormat="1" applyFont="1" applyFill="1" applyAlignment="1">
      <alignment horizontal="center" vertical="center"/>
    </xf>
    <xf numFmtId="164" fontId="75" fillId="24" borderId="0" xfId="0" applyNumberFormat="1" applyFont="1" applyFill="1" applyAlignment="1">
      <alignment horizontal="center" vertical="center"/>
    </xf>
    <xf numFmtId="0" fontId="76" fillId="24" borderId="0" xfId="0" applyFont="1" applyFill="1" applyAlignment="1">
      <alignment horizontal="center" vertical="center"/>
    </xf>
    <xf numFmtId="0" fontId="75" fillId="24" borderId="0" xfId="0" applyFont="1" applyFill="1" applyAlignment="1">
      <alignment horizontal="center" vertical="center"/>
    </xf>
    <xf numFmtId="0" fontId="75" fillId="24" borderId="0" xfId="0" applyFont="1" applyFill="1"/>
    <xf numFmtId="0" fontId="76" fillId="24" borderId="0" xfId="3" applyFont="1" applyFill="1" applyAlignment="1">
      <alignment vertical="center" wrapText="1"/>
    </xf>
    <xf numFmtId="0" fontId="78" fillId="24" borderId="0" xfId="0" applyFont="1" applyFill="1" applyAlignment="1">
      <alignment horizontal="center" vertical="center"/>
    </xf>
    <xf numFmtId="0" fontId="76" fillId="24" borderId="0" xfId="0" applyFont="1" applyFill="1"/>
    <xf numFmtId="0" fontId="76" fillId="24" borderId="0" xfId="0" applyFont="1" applyFill="1" applyAlignment="1">
      <alignment vertical="center"/>
    </xf>
    <xf numFmtId="0" fontId="75" fillId="24" borderId="0" xfId="0" applyFont="1" applyFill="1" applyAlignment="1">
      <alignment vertical="center"/>
    </xf>
    <xf numFmtId="0" fontId="81" fillId="24" borderId="0" xfId="0" applyFont="1" applyFill="1" applyAlignment="1">
      <alignment horizontal="center" vertical="center"/>
    </xf>
    <xf numFmtId="3" fontId="83" fillId="0" borderId="0" xfId="0" applyNumberFormat="1" applyFont="1" applyAlignment="1">
      <alignment horizontal="center" vertical="center"/>
    </xf>
    <xf numFmtId="3" fontId="94" fillId="0" borderId="0" xfId="0" applyNumberFormat="1" applyFont="1" applyAlignment="1">
      <alignment horizontal="center" vertical="center"/>
    </xf>
    <xf numFmtId="3" fontId="82" fillId="24" borderId="0" xfId="0" applyNumberFormat="1" applyFont="1" applyFill="1" applyAlignment="1">
      <alignment horizontal="center" vertical="center"/>
    </xf>
    <xf numFmtId="3" fontId="82" fillId="0" borderId="0" xfId="0" applyNumberFormat="1" applyFont="1" applyAlignment="1">
      <alignment horizontal="center" vertical="center"/>
    </xf>
    <xf numFmtId="0" fontId="83" fillId="15" borderId="0" xfId="3" applyFont="1" applyFill="1" applyAlignment="1">
      <alignment horizontal="left" vertical="center" wrapText="1"/>
    </xf>
    <xf numFmtId="169" fontId="82" fillId="15" borderId="0" xfId="1" applyNumberFormat="1" applyFont="1" applyFill="1" applyBorder="1" applyAlignment="1">
      <alignment horizontal="center" vertical="center"/>
    </xf>
    <xf numFmtId="0" fontId="83" fillId="0" borderId="0" xfId="3" applyFont="1" applyAlignment="1">
      <alignment horizontal="left" vertical="center" wrapText="1"/>
    </xf>
    <xf numFmtId="165" fontId="83" fillId="0" borderId="0" xfId="0" applyNumberFormat="1" applyFont="1" applyAlignment="1">
      <alignment horizontal="center" vertical="center"/>
    </xf>
    <xf numFmtId="165" fontId="94" fillId="0" borderId="0" xfId="0" applyNumberFormat="1" applyFont="1" applyAlignment="1">
      <alignment horizontal="center" vertical="center"/>
    </xf>
    <xf numFmtId="165" fontId="82" fillId="0" borderId="0" xfId="1" applyNumberFormat="1" applyFont="1" applyBorder="1" applyAlignment="1">
      <alignment horizontal="center" vertical="center"/>
    </xf>
    <xf numFmtId="169" fontId="82" fillId="0" borderId="0" xfId="1" applyNumberFormat="1" applyFont="1" applyBorder="1" applyAlignment="1">
      <alignment horizontal="center" vertical="center"/>
    </xf>
    <xf numFmtId="37" fontId="76" fillId="0" borderId="0" xfId="0" applyNumberFormat="1" applyFont="1" applyAlignment="1">
      <alignment horizontal="center" vertical="center"/>
    </xf>
    <xf numFmtId="37" fontId="78" fillId="0" borderId="0" xfId="0" applyNumberFormat="1" applyFont="1" applyAlignment="1">
      <alignment horizontal="center" vertical="center"/>
    </xf>
    <xf numFmtId="170" fontId="76" fillId="0" borderId="0" xfId="4" applyNumberFormat="1" applyFont="1" applyBorder="1" applyAlignment="1">
      <alignment horizontal="center" vertical="center"/>
    </xf>
    <xf numFmtId="170" fontId="78" fillId="0" borderId="0" xfId="4" applyNumberFormat="1" applyFont="1" applyBorder="1" applyAlignment="1">
      <alignment horizontal="center" vertical="center"/>
    </xf>
    <xf numFmtId="4" fontId="75" fillId="24" borderId="0" xfId="0" applyNumberFormat="1" applyFont="1" applyFill="1" applyAlignment="1">
      <alignment horizontal="center" vertical="center"/>
    </xf>
    <xf numFmtId="4" fontId="81" fillId="24" borderId="0" xfId="0" applyNumberFormat="1" applyFont="1" applyFill="1" applyAlignment="1">
      <alignment horizontal="center" vertical="center"/>
    </xf>
    <xf numFmtId="4" fontId="76" fillId="24" borderId="0" xfId="0" applyNumberFormat="1" applyFont="1" applyFill="1" applyAlignment="1">
      <alignment horizontal="center" vertical="center"/>
    </xf>
    <xf numFmtId="4" fontId="78" fillId="24" borderId="0" xfId="0" applyNumberFormat="1" applyFont="1" applyFill="1" applyAlignment="1">
      <alignment horizontal="center" vertical="center"/>
    </xf>
    <xf numFmtId="3" fontId="76" fillId="16" borderId="0" xfId="3" applyNumberFormat="1" applyFont="1" applyFill="1" applyAlignment="1">
      <alignment horizontal="center" vertical="center"/>
    </xf>
    <xf numFmtId="0" fontId="75" fillId="0" borderId="79" xfId="0" applyFont="1" applyBorder="1" applyAlignment="1">
      <alignment horizontal="center" vertical="center"/>
    </xf>
    <xf numFmtId="2" fontId="75" fillId="24" borderId="70" xfId="0" applyNumberFormat="1" applyFont="1" applyFill="1" applyBorder="1" applyAlignment="1">
      <alignment horizontal="center" vertical="center"/>
    </xf>
    <xf numFmtId="2" fontId="95" fillId="24" borderId="107" xfId="0" applyNumberFormat="1" applyFont="1" applyFill="1" applyBorder="1" applyAlignment="1">
      <alignment horizontal="center" vertical="center"/>
    </xf>
    <xf numFmtId="0" fontId="75" fillId="0" borderId="106" xfId="0" applyFont="1" applyBorder="1" applyAlignment="1">
      <alignment horizontal="center" vertical="center"/>
    </xf>
    <xf numFmtId="164" fontId="75" fillId="24" borderId="108" xfId="0" applyNumberFormat="1" applyFont="1" applyFill="1" applyBorder="1" applyAlignment="1">
      <alignment horizontal="center" vertical="center"/>
    </xf>
    <xf numFmtId="164" fontId="75" fillId="24" borderId="109" xfId="0" applyNumberFormat="1" applyFont="1" applyFill="1" applyBorder="1" applyAlignment="1">
      <alignment horizontal="center" vertical="center"/>
    </xf>
    <xf numFmtId="0" fontId="75" fillId="0" borderId="80" xfId="0" applyFont="1" applyBorder="1" applyAlignment="1">
      <alignment horizontal="center" vertical="center"/>
    </xf>
    <xf numFmtId="169" fontId="75" fillId="24" borderId="28" xfId="0" applyNumberFormat="1" applyFont="1" applyFill="1" applyBorder="1" applyAlignment="1">
      <alignment horizontal="center" vertical="center"/>
    </xf>
    <xf numFmtId="0" fontId="76" fillId="0" borderId="106" xfId="0" applyFont="1" applyBorder="1" applyAlignment="1">
      <alignment horizontal="center" vertical="center"/>
    </xf>
    <xf numFmtId="1" fontId="75" fillId="24" borderId="108" xfId="0" applyNumberFormat="1" applyFont="1" applyFill="1" applyBorder="1" applyAlignment="1">
      <alignment horizontal="center" vertical="center"/>
    </xf>
    <xf numFmtId="1" fontId="75" fillId="24" borderId="109" xfId="0" applyNumberFormat="1" applyFont="1" applyFill="1" applyBorder="1" applyAlignment="1">
      <alignment horizontal="center" vertical="center"/>
    </xf>
    <xf numFmtId="167" fontId="96" fillId="31" borderId="0" xfId="1" applyNumberFormat="1" applyFont="1" applyFill="1" applyAlignment="1">
      <alignment horizontal="center" vertical="center"/>
    </xf>
    <xf numFmtId="2" fontId="75" fillId="24" borderId="110" xfId="0" applyNumberFormat="1" applyFont="1" applyFill="1" applyBorder="1" applyAlignment="1">
      <alignment horizontal="center" vertical="center"/>
    </xf>
    <xf numFmtId="164" fontId="75" fillId="24" borderId="111" xfId="1" applyNumberFormat="1" applyFont="1" applyFill="1" applyBorder="1" applyAlignment="1">
      <alignment horizontal="center" vertical="center"/>
    </xf>
    <xf numFmtId="0" fontId="76" fillId="24" borderId="112" xfId="0" applyFont="1" applyFill="1" applyBorder="1" applyAlignment="1">
      <alignment horizontal="center" vertical="center"/>
    </xf>
    <xf numFmtId="1" fontId="75" fillId="24" borderId="111" xfId="0" applyNumberFormat="1" applyFont="1" applyFill="1" applyBorder="1" applyAlignment="1">
      <alignment horizontal="center" vertical="center"/>
    </xf>
    <xf numFmtId="164" fontId="75" fillId="24" borderId="111" xfId="0" applyNumberFormat="1" applyFont="1" applyFill="1" applyBorder="1" applyAlignment="1">
      <alignment horizontal="center" vertical="center"/>
    </xf>
    <xf numFmtId="169" fontId="75" fillId="24" borderId="112" xfId="0" applyNumberFormat="1" applyFont="1" applyFill="1" applyBorder="1" applyAlignment="1">
      <alignment horizontal="center" vertical="center"/>
    </xf>
    <xf numFmtId="40" fontId="75" fillId="24" borderId="112" xfId="0" applyNumberFormat="1" applyFont="1" applyFill="1" applyBorder="1" applyAlignment="1">
      <alignment horizontal="center" vertical="center"/>
    </xf>
    <xf numFmtId="169" fontId="75" fillId="24" borderId="113" xfId="0" applyNumberFormat="1" applyFont="1" applyFill="1" applyBorder="1" applyAlignment="1">
      <alignment horizontal="center" vertical="center"/>
    </xf>
    <xf numFmtId="1" fontId="78" fillId="31" borderId="0" xfId="1" applyNumberFormat="1" applyFont="1" applyFill="1" applyAlignment="1">
      <alignment horizontal="center" vertical="center"/>
    </xf>
    <xf numFmtId="167" fontId="93" fillId="34" borderId="104" xfId="1" applyNumberFormat="1" applyFont="1" applyFill="1" applyBorder="1" applyAlignment="1">
      <alignment horizontal="center" vertical="center"/>
    </xf>
    <xf numFmtId="4" fontId="15" fillId="0" borderId="59" xfId="3" applyNumberFormat="1" applyFont="1" applyBorder="1" applyAlignment="1">
      <alignment horizontal="center"/>
    </xf>
    <xf numFmtId="1" fontId="78" fillId="31" borderId="0" xfId="1" applyNumberFormat="1" applyFont="1" applyFill="1" applyBorder="1" applyAlignment="1">
      <alignment horizontal="center" vertical="center"/>
    </xf>
    <xf numFmtId="1" fontId="104" fillId="31" borderId="0" xfId="1" applyNumberFormat="1" applyFont="1" applyFill="1" applyAlignment="1">
      <alignment horizontal="center" vertical="center"/>
    </xf>
    <xf numFmtId="1" fontId="96" fillId="31" borderId="0" xfId="1" applyNumberFormat="1" applyFont="1" applyFill="1" applyAlignment="1">
      <alignment horizontal="center" vertical="center"/>
    </xf>
    <xf numFmtId="167" fontId="104" fillId="31" borderId="0" xfId="1" applyNumberFormat="1" applyFont="1" applyFill="1" applyAlignment="1">
      <alignment horizontal="center" vertical="center"/>
    </xf>
    <xf numFmtId="167" fontId="93" fillId="31" borderId="104" xfId="1" applyNumberFormat="1" applyFont="1" applyFill="1" applyBorder="1" applyAlignment="1">
      <alignment horizontal="center" vertical="center"/>
    </xf>
    <xf numFmtId="167" fontId="93" fillId="34" borderId="0" xfId="1" applyNumberFormat="1" applyFont="1" applyFill="1" applyBorder="1" applyAlignment="1">
      <alignment horizontal="center" vertical="center"/>
    </xf>
    <xf numFmtId="167" fontId="103" fillId="31" borderId="0" xfId="1" applyNumberFormat="1" applyFont="1" applyFill="1" applyBorder="1" applyAlignment="1">
      <alignment horizontal="center" vertical="center"/>
    </xf>
    <xf numFmtId="0" fontId="15" fillId="31" borderId="5" xfId="3" applyFont="1" applyFill="1" applyBorder="1" applyAlignment="1">
      <alignment horizontal="center"/>
    </xf>
    <xf numFmtId="164" fontId="105" fillId="31" borderId="5" xfId="0" applyNumberFormat="1" applyFont="1" applyFill="1" applyBorder="1" applyAlignment="1">
      <alignment horizontal="center" vertical="center"/>
    </xf>
    <xf numFmtId="0" fontId="15" fillId="31" borderId="5" xfId="0" applyFont="1" applyFill="1" applyBorder="1" applyAlignment="1">
      <alignment horizontal="center"/>
    </xf>
    <xf numFmtId="3" fontId="15" fillId="31" borderId="59" xfId="3" applyNumberFormat="1" applyFont="1" applyFill="1" applyBorder="1" applyAlignment="1">
      <alignment horizontal="center"/>
    </xf>
    <xf numFmtId="164" fontId="15" fillId="31" borderId="5" xfId="3" applyNumberFormat="1" applyFont="1" applyFill="1" applyBorder="1" applyAlignment="1">
      <alignment horizontal="center"/>
    </xf>
    <xf numFmtId="0" fontId="15" fillId="31" borderId="32" xfId="3" applyFont="1" applyFill="1" applyBorder="1" applyAlignment="1">
      <alignment horizontal="center"/>
    </xf>
    <xf numFmtId="3" fontId="15" fillId="31" borderId="6" xfId="3" applyNumberFormat="1" applyFont="1" applyFill="1" applyBorder="1" applyAlignment="1">
      <alignment horizontal="center"/>
    </xf>
    <xf numFmtId="3" fontId="15" fillId="31" borderId="4" xfId="3" applyNumberFormat="1" applyFont="1" applyFill="1" applyBorder="1" applyAlignment="1">
      <alignment horizontal="center"/>
    </xf>
    <xf numFmtId="3" fontId="15" fillId="31" borderId="29" xfId="3" applyNumberFormat="1" applyFont="1" applyFill="1" applyBorder="1" applyAlignment="1">
      <alignment horizontal="center"/>
    </xf>
    <xf numFmtId="0" fontId="7" fillId="31" borderId="58" xfId="3" applyFill="1" applyBorder="1"/>
    <xf numFmtId="167" fontId="93" fillId="34" borderId="105" xfId="1" applyNumberFormat="1" applyFont="1" applyFill="1" applyBorder="1" applyAlignment="1">
      <alignment horizontal="center" vertical="center"/>
    </xf>
    <xf numFmtId="167" fontId="95" fillId="31" borderId="0" xfId="1" applyNumberFormat="1" applyFont="1" applyFill="1" applyAlignment="1">
      <alignment horizontal="center" vertical="center"/>
    </xf>
    <xf numFmtId="0" fontId="9" fillId="37" borderId="0" xfId="0" applyFont="1" applyFill="1" applyAlignment="1">
      <alignment vertical="center"/>
    </xf>
    <xf numFmtId="1" fontId="96" fillId="31" borderId="0" xfId="1" applyNumberFormat="1" applyFont="1" applyFill="1" applyBorder="1" applyAlignment="1">
      <alignment horizontal="center" vertical="center"/>
    </xf>
    <xf numFmtId="3" fontId="75" fillId="25" borderId="0" xfId="0" applyNumberFormat="1" applyFont="1" applyFill="1"/>
    <xf numFmtId="3" fontId="0" fillId="0" borderId="0" xfId="0" applyNumberFormat="1"/>
    <xf numFmtId="3" fontId="7" fillId="0" borderId="0" xfId="0" applyNumberFormat="1" applyFont="1" applyAlignment="1">
      <alignment horizontal="center"/>
    </xf>
    <xf numFmtId="3" fontId="0" fillId="0" borderId="0" xfId="0" applyNumberFormat="1" applyAlignment="1">
      <alignment horizontal="center"/>
    </xf>
    <xf numFmtId="3" fontId="2" fillId="0" borderId="0" xfId="0" applyNumberFormat="1" applyFont="1"/>
    <xf numFmtId="3" fontId="1" fillId="0" borderId="0" xfId="0" applyNumberFormat="1" applyFont="1"/>
    <xf numFmtId="3" fontId="81" fillId="25" borderId="0" xfId="4" applyNumberFormat="1" applyFont="1" applyFill="1" applyBorder="1" applyAlignment="1">
      <alignment horizontal="center" vertical="center"/>
    </xf>
    <xf numFmtId="9" fontId="0" fillId="0" borderId="0" xfId="0" applyNumberFormat="1"/>
    <xf numFmtId="9" fontId="11" fillId="0" borderId="0" xfId="0" applyNumberFormat="1" applyFont="1"/>
    <xf numFmtId="9" fontId="2" fillId="0" borderId="0" xfId="0" applyNumberFormat="1" applyFont="1"/>
    <xf numFmtId="9" fontId="1" fillId="0" borderId="0" xfId="0" applyNumberFormat="1" applyFont="1"/>
    <xf numFmtId="3" fontId="109" fillId="0" borderId="3" xfId="3" applyNumberFormat="1" applyFont="1" applyBorder="1" applyAlignment="1">
      <alignment horizontal="center"/>
    </xf>
    <xf numFmtId="3" fontId="107" fillId="16" borderId="3" xfId="3" applyNumberFormat="1" applyFont="1" applyFill="1" applyBorder="1" applyAlignment="1">
      <alignment horizontal="center"/>
    </xf>
    <xf numFmtId="0" fontId="15" fillId="31" borderId="119" xfId="3" applyFont="1" applyFill="1" applyBorder="1" applyAlignment="1">
      <alignment horizontal="center"/>
    </xf>
    <xf numFmtId="37" fontId="28" fillId="31" borderId="119" xfId="3" applyNumberFormat="1" applyFont="1" applyFill="1" applyBorder="1" applyAlignment="1">
      <alignment horizontal="center"/>
    </xf>
    <xf numFmtId="3" fontId="7" fillId="31" borderId="119" xfId="3" applyNumberFormat="1" applyFill="1" applyBorder="1" applyAlignment="1">
      <alignment horizontal="center"/>
    </xf>
    <xf numFmtId="3" fontId="28" fillId="31" borderId="119" xfId="3" applyNumberFormat="1" applyFont="1" applyFill="1" applyBorder="1" applyAlignment="1">
      <alignment horizontal="center"/>
    </xf>
    <xf numFmtId="165" fontId="83" fillId="31" borderId="0" xfId="0" applyNumberFormat="1" applyFont="1" applyFill="1" applyAlignment="1">
      <alignment horizontal="center" vertical="center"/>
    </xf>
    <xf numFmtId="165" fontId="94" fillId="31" borderId="0" xfId="0" applyNumberFormat="1" applyFont="1" applyFill="1" applyAlignment="1">
      <alignment horizontal="center" vertical="center"/>
    </xf>
    <xf numFmtId="0" fontId="7" fillId="31" borderId="5" xfId="0" applyFont="1" applyFill="1" applyBorder="1" applyAlignment="1">
      <alignment horizontal="center"/>
    </xf>
    <xf numFmtId="3" fontId="7" fillId="31" borderId="5" xfId="0" applyNumberFormat="1" applyFont="1" applyFill="1" applyBorder="1" applyAlignment="1">
      <alignment horizontal="center"/>
    </xf>
    <xf numFmtId="9" fontId="7" fillId="31" borderId="117" xfId="0" applyNumberFormat="1" applyFont="1" applyFill="1" applyBorder="1" applyAlignment="1">
      <alignment horizontal="center"/>
    </xf>
    <xf numFmtId="3" fontId="7" fillId="31" borderId="44" xfId="0" quotePrefix="1" applyNumberFormat="1" applyFont="1" applyFill="1" applyBorder="1" applyAlignment="1">
      <alignment horizontal="center"/>
    </xf>
    <xf numFmtId="3" fontId="7" fillId="31" borderId="58" xfId="0" applyNumberFormat="1" applyFont="1" applyFill="1" applyBorder="1" applyAlignment="1">
      <alignment horizontal="center"/>
    </xf>
    <xf numFmtId="1" fontId="7" fillId="31" borderId="59" xfId="0" applyNumberFormat="1" applyFont="1" applyFill="1" applyBorder="1" applyAlignment="1">
      <alignment horizontal="center"/>
    </xf>
    <xf numFmtId="167" fontId="93" fillId="31" borderId="105" xfId="1" applyNumberFormat="1" applyFont="1" applyFill="1" applyBorder="1" applyAlignment="1">
      <alignment horizontal="center" vertical="center"/>
    </xf>
    <xf numFmtId="0" fontId="81" fillId="31" borderId="0" xfId="0" applyFont="1" applyFill="1" applyAlignment="1">
      <alignment horizontal="center" vertical="center"/>
    </xf>
    <xf numFmtId="0" fontId="138" fillId="0" borderId="0" xfId="0" applyFont="1" applyAlignment="1">
      <alignment horizontal="right"/>
    </xf>
    <xf numFmtId="3" fontId="138" fillId="0" borderId="0" xfId="0" applyNumberFormat="1" applyFont="1" applyAlignment="1">
      <alignment horizontal="center" vertical="center"/>
    </xf>
    <xf numFmtId="9" fontId="7" fillId="31" borderId="0" xfId="0" applyNumberFormat="1" applyFont="1" applyFill="1" applyAlignment="1">
      <alignment horizontal="center"/>
    </xf>
    <xf numFmtId="167" fontId="101" fillId="34" borderId="105" xfId="1" applyNumberFormat="1" applyFont="1" applyFill="1" applyBorder="1" applyAlignment="1">
      <alignment horizontal="center" vertical="center"/>
    </xf>
    <xf numFmtId="0" fontId="7" fillId="31" borderId="23" xfId="3" applyFill="1" applyBorder="1"/>
    <xf numFmtId="0" fontId="15" fillId="31" borderId="24" xfId="3" applyFont="1" applyFill="1" applyBorder="1" applyAlignment="1">
      <alignment horizontal="center"/>
    </xf>
    <xf numFmtId="164" fontId="105" fillId="31" borderId="24" xfId="0" applyNumberFormat="1" applyFont="1" applyFill="1" applyBorder="1" applyAlignment="1">
      <alignment horizontal="center" vertical="center"/>
    </xf>
    <xf numFmtId="0" fontId="15" fillId="31" borderId="24" xfId="0" applyFont="1" applyFill="1" applyBorder="1" applyAlignment="1">
      <alignment horizontal="center"/>
    </xf>
    <xf numFmtId="0" fontId="107" fillId="31" borderId="24" xfId="3" applyFont="1" applyFill="1" applyBorder="1" applyAlignment="1">
      <alignment horizontal="center"/>
    </xf>
    <xf numFmtId="3" fontId="107" fillId="31" borderId="63" xfId="3" applyNumberFormat="1" applyFont="1" applyFill="1" applyBorder="1" applyAlignment="1">
      <alignment horizontal="center"/>
    </xf>
    <xf numFmtId="37" fontId="7" fillId="31" borderId="5" xfId="3" applyNumberFormat="1" applyFill="1" applyBorder="1" applyAlignment="1">
      <alignment horizontal="center"/>
    </xf>
    <xf numFmtId="0" fontId="28" fillId="31" borderId="71" xfId="3" applyFont="1" applyFill="1" applyBorder="1" applyAlignment="1">
      <alignment horizontal="center"/>
    </xf>
    <xf numFmtId="37" fontId="28" fillId="31" borderId="5" xfId="3" applyNumberFormat="1" applyFont="1" applyFill="1" applyBorder="1" applyAlignment="1">
      <alignment horizontal="center"/>
    </xf>
    <xf numFmtId="39" fontId="28" fillId="31" borderId="5" xfId="3" applyNumberFormat="1" applyFont="1" applyFill="1" applyBorder="1" applyAlignment="1">
      <alignment horizontal="center"/>
    </xf>
    <xf numFmtId="1" fontId="28" fillId="31" borderId="5" xfId="3" applyNumberFormat="1" applyFont="1" applyFill="1" applyBorder="1" applyAlignment="1">
      <alignment horizontal="center"/>
    </xf>
    <xf numFmtId="4" fontId="9" fillId="0" borderId="0" xfId="0" applyNumberFormat="1" applyFont="1" applyAlignment="1">
      <alignment horizontal="center"/>
    </xf>
    <xf numFmtId="37" fontId="15" fillId="31" borderId="5" xfId="3" applyNumberFormat="1" applyFont="1" applyFill="1" applyBorder="1" applyAlignment="1">
      <alignment horizontal="center"/>
    </xf>
    <xf numFmtId="3" fontId="15" fillId="31" borderId="5" xfId="3" applyNumberFormat="1" applyFont="1" applyFill="1" applyBorder="1" applyAlignment="1">
      <alignment horizontal="center"/>
    </xf>
    <xf numFmtId="3" fontId="15" fillId="31" borderId="115" xfId="3" applyNumberFormat="1" applyFont="1" applyFill="1" applyBorder="1" applyAlignment="1">
      <alignment horizontal="center"/>
    </xf>
    <xf numFmtId="37" fontId="15" fillId="31" borderId="46" xfId="3" applyNumberFormat="1" applyFont="1" applyFill="1" applyBorder="1" applyAlignment="1">
      <alignment horizontal="center"/>
    </xf>
    <xf numFmtId="1" fontId="15" fillId="31" borderId="3" xfId="3" applyNumberFormat="1" applyFont="1" applyFill="1" applyBorder="1" applyAlignment="1">
      <alignment horizontal="center"/>
    </xf>
    <xf numFmtId="1" fontId="141" fillId="31" borderId="0" xfId="1" applyNumberFormat="1" applyFont="1" applyFill="1" applyAlignment="1">
      <alignment horizontal="center" vertical="center"/>
    </xf>
    <xf numFmtId="37" fontId="28" fillId="31" borderId="58" xfId="3" applyNumberFormat="1" applyFont="1" applyFill="1" applyBorder="1" applyAlignment="1">
      <alignment horizontal="center"/>
    </xf>
    <xf numFmtId="1" fontId="15" fillId="31" borderId="5" xfId="3" applyNumberFormat="1" applyFont="1" applyFill="1" applyBorder="1" applyAlignment="1">
      <alignment horizontal="center"/>
    </xf>
    <xf numFmtId="0" fontId="142" fillId="0" borderId="0" xfId="0" applyFont="1" applyAlignment="1">
      <alignment horizontal="center" vertical="center"/>
    </xf>
    <xf numFmtId="1" fontId="103" fillId="31" borderId="0" xfId="1" applyNumberFormat="1" applyFont="1" applyFill="1" applyBorder="1" applyAlignment="1">
      <alignment horizontal="center" vertical="center"/>
    </xf>
    <xf numFmtId="4" fontId="0" fillId="0" borderId="0" xfId="0" applyNumberFormat="1"/>
    <xf numFmtId="10" fontId="9" fillId="26" borderId="3" xfId="0" applyNumberFormat="1" applyFont="1" applyFill="1" applyBorder="1" applyAlignment="1">
      <alignment horizontal="center"/>
    </xf>
    <xf numFmtId="0" fontId="116" fillId="31" borderId="71" xfId="3" applyFont="1" applyFill="1" applyBorder="1" applyAlignment="1">
      <alignment horizontal="center"/>
    </xf>
    <xf numFmtId="0" fontId="28" fillId="18" borderId="71" xfId="3" applyFont="1" applyFill="1" applyBorder="1" applyAlignment="1">
      <alignment horizontal="center"/>
    </xf>
    <xf numFmtId="37" fontId="28" fillId="18" borderId="58" xfId="3" applyNumberFormat="1" applyFont="1" applyFill="1" applyBorder="1" applyAlignment="1">
      <alignment horizontal="center"/>
    </xf>
    <xf numFmtId="37" fontId="28" fillId="18" borderId="5" xfId="3" applyNumberFormat="1" applyFont="1" applyFill="1" applyBorder="1" applyAlignment="1">
      <alignment horizontal="center"/>
    </xf>
    <xf numFmtId="39" fontId="28" fillId="18" borderId="5" xfId="3" applyNumberFormat="1" applyFont="1" applyFill="1" applyBorder="1" applyAlignment="1">
      <alignment horizontal="center"/>
    </xf>
    <xf numFmtId="1" fontId="28" fillId="18" borderId="5" xfId="3" applyNumberFormat="1" applyFont="1" applyFill="1" applyBorder="1" applyAlignment="1">
      <alignment horizontal="center"/>
    </xf>
    <xf numFmtId="0" fontId="15" fillId="18" borderId="5" xfId="3" applyFont="1" applyFill="1" applyBorder="1" applyAlignment="1">
      <alignment horizontal="center"/>
    </xf>
    <xf numFmtId="164" fontId="105" fillId="18" borderId="5" xfId="0" applyNumberFormat="1" applyFont="1" applyFill="1" applyBorder="1" applyAlignment="1">
      <alignment horizontal="center" vertical="center"/>
    </xf>
    <xf numFmtId="0" fontId="15" fillId="18" borderId="5" xfId="0" applyFont="1" applyFill="1" applyBorder="1" applyAlignment="1">
      <alignment horizontal="center"/>
    </xf>
    <xf numFmtId="3" fontId="15" fillId="18" borderId="59" xfId="3" applyNumberFormat="1" applyFont="1" applyFill="1" applyBorder="1" applyAlignment="1">
      <alignment horizontal="center"/>
    </xf>
    <xf numFmtId="164" fontId="15" fillId="18" borderId="5" xfId="3" applyNumberFormat="1" applyFont="1" applyFill="1" applyBorder="1" applyAlignment="1">
      <alignment horizontal="center"/>
    </xf>
    <xf numFmtId="3" fontId="75" fillId="37" borderId="0" xfId="0" applyNumberFormat="1" applyFont="1" applyFill="1" applyAlignment="1">
      <alignment horizontal="center" vertical="center"/>
    </xf>
    <xf numFmtId="0" fontId="75" fillId="37" borderId="0" xfId="0" applyFont="1" applyFill="1" applyAlignment="1">
      <alignment horizontal="center" vertical="center"/>
    </xf>
    <xf numFmtId="0" fontId="75" fillId="37" borderId="0" xfId="0" applyFont="1" applyFill="1"/>
    <xf numFmtId="0" fontId="75" fillId="22" borderId="0" xfId="0" applyFont="1" applyFill="1" applyAlignment="1">
      <alignment horizontal="left"/>
    </xf>
    <xf numFmtId="3" fontId="7" fillId="31" borderId="60" xfId="0" applyNumberFormat="1" applyFont="1" applyFill="1" applyBorder="1" applyAlignment="1">
      <alignment horizontal="center"/>
    </xf>
    <xf numFmtId="3" fontId="7" fillId="31" borderId="61" xfId="0" applyNumberFormat="1" applyFont="1" applyFill="1" applyBorder="1" applyAlignment="1">
      <alignment horizontal="center"/>
    </xf>
    <xf numFmtId="1" fontId="7" fillId="31" borderId="62" xfId="0" applyNumberFormat="1" applyFont="1" applyFill="1" applyBorder="1" applyAlignment="1">
      <alignment horizontal="center"/>
    </xf>
    <xf numFmtId="37" fontId="15" fillId="18" borderId="5" xfId="3" applyNumberFormat="1" applyFont="1" applyFill="1" applyBorder="1" applyAlignment="1">
      <alignment horizontal="center"/>
    </xf>
    <xf numFmtId="3" fontId="15" fillId="18" borderId="5" xfId="3" applyNumberFormat="1" applyFont="1" applyFill="1" applyBorder="1" applyAlignment="1">
      <alignment horizontal="center"/>
    </xf>
    <xf numFmtId="3" fontId="15" fillId="18" borderId="115" xfId="3" applyNumberFormat="1" applyFont="1" applyFill="1" applyBorder="1" applyAlignment="1">
      <alignment horizontal="center"/>
    </xf>
    <xf numFmtId="37" fontId="15" fillId="18" borderId="46" xfId="3" applyNumberFormat="1" applyFont="1" applyFill="1" applyBorder="1" applyAlignment="1">
      <alignment horizontal="center"/>
    </xf>
    <xf numFmtId="1" fontId="15" fillId="18" borderId="3" xfId="3" applyNumberFormat="1" applyFont="1" applyFill="1" applyBorder="1" applyAlignment="1">
      <alignment horizontal="center"/>
    </xf>
    <xf numFmtId="167" fontId="33" fillId="31" borderId="5" xfId="0" applyNumberFormat="1" applyFont="1" applyFill="1" applyBorder="1" applyAlignment="1">
      <alignment horizontal="center"/>
    </xf>
    <xf numFmtId="0" fontId="15" fillId="18" borderId="119" xfId="3" applyFont="1" applyFill="1" applyBorder="1" applyAlignment="1">
      <alignment horizontal="center"/>
    </xf>
    <xf numFmtId="37" fontId="28" fillId="18" borderId="119" xfId="3" applyNumberFormat="1" applyFont="1" applyFill="1" applyBorder="1" applyAlignment="1">
      <alignment horizontal="center"/>
    </xf>
    <xf numFmtId="3" fontId="28" fillId="18" borderId="119" xfId="3" applyNumberFormat="1" applyFont="1" applyFill="1" applyBorder="1" applyAlignment="1">
      <alignment horizontal="center"/>
    </xf>
    <xf numFmtId="3" fontId="143" fillId="25" borderId="0" xfId="0" applyNumberFormat="1" applyFont="1" applyFill="1"/>
    <xf numFmtId="1" fontId="144" fillId="31" borderId="0" xfId="1" applyNumberFormat="1" applyFont="1" applyFill="1" applyAlignment="1">
      <alignment horizontal="center" vertical="center"/>
    </xf>
    <xf numFmtId="3" fontId="75" fillId="20" borderId="0" xfId="0" applyNumberFormat="1" applyFont="1" applyFill="1" applyAlignment="1">
      <alignment horizontal="center"/>
    </xf>
    <xf numFmtId="2" fontId="75" fillId="26" borderId="0" xfId="0" applyNumberFormat="1" applyFont="1" applyFill="1" applyAlignment="1">
      <alignment horizontal="center" vertical="center"/>
    </xf>
    <xf numFmtId="0" fontId="75" fillId="26" borderId="0" xfId="0" applyFont="1" applyFill="1" applyAlignment="1">
      <alignment horizontal="center" vertical="center"/>
    </xf>
    <xf numFmtId="0" fontId="96" fillId="0" borderId="0" xfId="0" applyFont="1" applyAlignment="1">
      <alignment horizontal="center" vertical="center"/>
    </xf>
    <xf numFmtId="1" fontId="78" fillId="0" borderId="0" xfId="1" applyNumberFormat="1" applyFont="1" applyFill="1" applyAlignment="1">
      <alignment horizontal="center" vertical="center"/>
    </xf>
    <xf numFmtId="3" fontId="75" fillId="26" borderId="0" xfId="0" applyNumberFormat="1" applyFont="1" applyFill="1" applyAlignment="1">
      <alignment horizontal="center"/>
    </xf>
    <xf numFmtId="1" fontId="104" fillId="31" borderId="0" xfId="1" applyNumberFormat="1" applyFont="1" applyFill="1" applyBorder="1" applyAlignment="1">
      <alignment horizontal="center" vertical="center"/>
    </xf>
    <xf numFmtId="3" fontId="75" fillId="30" borderId="0" xfId="0" applyNumberFormat="1" applyFont="1" applyFill="1" applyAlignment="1">
      <alignment horizontal="center"/>
    </xf>
    <xf numFmtId="1" fontId="145" fillId="31" borderId="0" xfId="1" applyNumberFormat="1" applyFont="1" applyFill="1" applyAlignment="1">
      <alignment horizontal="center" vertical="center"/>
    </xf>
    <xf numFmtId="3" fontId="75" fillId="19" borderId="0" xfId="0" applyNumberFormat="1" applyFont="1" applyFill="1" applyAlignment="1">
      <alignment horizontal="center"/>
    </xf>
    <xf numFmtId="3" fontId="95" fillId="19" borderId="0" xfId="0" applyNumberFormat="1" applyFont="1" applyFill="1" applyAlignment="1">
      <alignment horizontal="center"/>
    </xf>
    <xf numFmtId="3" fontId="75" fillId="39" borderId="0" xfId="0" applyNumberFormat="1" applyFont="1" applyFill="1" applyAlignment="1">
      <alignment horizontal="center"/>
    </xf>
    <xf numFmtId="0" fontId="7" fillId="18" borderId="5" xfId="0" applyFont="1" applyFill="1" applyBorder="1" applyAlignment="1">
      <alignment horizontal="center"/>
    </xf>
    <xf numFmtId="3" fontId="7" fillId="18" borderId="5" xfId="0" applyNumberFormat="1" applyFont="1" applyFill="1" applyBorder="1" applyAlignment="1">
      <alignment horizontal="center"/>
    </xf>
    <xf numFmtId="9" fontId="7" fillId="18" borderId="117" xfId="0" applyNumberFormat="1" applyFont="1" applyFill="1" applyBorder="1" applyAlignment="1">
      <alignment horizontal="center"/>
    </xf>
    <xf numFmtId="37" fontId="7" fillId="18" borderId="5" xfId="3" applyNumberFormat="1" applyFill="1" applyBorder="1" applyAlignment="1">
      <alignment horizontal="center"/>
    </xf>
    <xf numFmtId="3" fontId="7" fillId="18" borderId="44" xfId="0" quotePrefix="1" applyNumberFormat="1" applyFont="1" applyFill="1" applyBorder="1" applyAlignment="1">
      <alignment horizontal="center"/>
    </xf>
    <xf numFmtId="3" fontId="7" fillId="18" borderId="58" xfId="0" applyNumberFormat="1" applyFont="1" applyFill="1" applyBorder="1" applyAlignment="1">
      <alignment horizontal="center"/>
    </xf>
    <xf numFmtId="1" fontId="7" fillId="18" borderId="59" xfId="0" applyNumberFormat="1" applyFont="1" applyFill="1" applyBorder="1" applyAlignment="1">
      <alignment horizontal="center"/>
    </xf>
    <xf numFmtId="3" fontId="75" fillId="40" borderId="0" xfId="0" applyNumberFormat="1" applyFont="1" applyFill="1" applyAlignment="1">
      <alignment horizontal="center"/>
    </xf>
    <xf numFmtId="3" fontId="95" fillId="20" borderId="0" xfId="0" applyNumberFormat="1" applyFont="1" applyFill="1" applyAlignment="1">
      <alignment horizontal="center"/>
    </xf>
    <xf numFmtId="0" fontId="9" fillId="41" borderId="0" xfId="0" applyFont="1" applyFill="1" applyAlignment="1">
      <alignment vertical="center"/>
    </xf>
    <xf numFmtId="3" fontId="78" fillId="41" borderId="0" xfId="0" applyNumberFormat="1" applyFont="1" applyFill="1" applyAlignment="1">
      <alignment horizontal="center" vertical="center"/>
    </xf>
    <xf numFmtId="3" fontId="81" fillId="41" borderId="0" xfId="0" applyNumberFormat="1" applyFont="1" applyFill="1" applyAlignment="1">
      <alignment horizontal="center" vertical="center"/>
    </xf>
    <xf numFmtId="3" fontId="75" fillId="41" borderId="0" xfId="0" applyNumberFormat="1" applyFont="1" applyFill="1" applyAlignment="1">
      <alignment horizontal="center" vertical="center"/>
    </xf>
    <xf numFmtId="0" fontId="76" fillId="41" borderId="0" xfId="0" applyFont="1" applyFill="1" applyAlignment="1">
      <alignment horizontal="center" vertical="center"/>
    </xf>
    <xf numFmtId="0" fontId="76" fillId="41" borderId="0" xfId="0" applyFont="1" applyFill="1"/>
    <xf numFmtId="3" fontId="75" fillId="13" borderId="0" xfId="0" applyNumberFormat="1" applyFont="1" applyFill="1" applyAlignment="1">
      <alignment horizontal="center"/>
    </xf>
    <xf numFmtId="37" fontId="81" fillId="26" borderId="0" xfId="0" applyNumberFormat="1" applyFont="1" applyFill="1" applyAlignment="1">
      <alignment horizontal="center" vertical="center"/>
    </xf>
    <xf numFmtId="1" fontId="147" fillId="31" borderId="0" xfId="1" applyNumberFormat="1" applyFont="1" applyFill="1" applyAlignment="1">
      <alignment horizontal="center" vertical="center"/>
    </xf>
    <xf numFmtId="1" fontId="148" fillId="0" borderId="0" xfId="1" applyNumberFormat="1" applyFont="1" applyFill="1" applyAlignment="1">
      <alignment horizontal="center" vertical="center"/>
    </xf>
    <xf numFmtId="1" fontId="144" fillId="0" borderId="0" xfId="1" applyNumberFormat="1" applyFont="1" applyFill="1" applyAlignment="1">
      <alignment horizontal="center" vertical="center"/>
    </xf>
    <xf numFmtId="3" fontId="15" fillId="0" borderId="122" xfId="3" applyNumberFormat="1" applyFont="1" applyBorder="1" applyAlignment="1">
      <alignment horizontal="center" vertical="center"/>
    </xf>
    <xf numFmtId="3" fontId="15" fillId="0" borderId="123" xfId="3" applyNumberFormat="1" applyFont="1" applyBorder="1" applyAlignment="1">
      <alignment horizontal="center" vertical="center"/>
    </xf>
    <xf numFmtId="3" fontId="15" fillId="17" borderId="123" xfId="3" applyNumberFormat="1" applyFont="1" applyFill="1" applyBorder="1" applyAlignment="1">
      <alignment horizontal="center" vertical="center"/>
    </xf>
    <xf numFmtId="3" fontId="15" fillId="16" borderId="123" xfId="3" applyNumberFormat="1" applyFont="1" applyFill="1" applyBorder="1" applyAlignment="1">
      <alignment horizontal="center" vertical="center"/>
    </xf>
    <xf numFmtId="3" fontId="135" fillId="38" borderId="123" xfId="3" applyNumberFormat="1" applyFont="1" applyFill="1" applyBorder="1" applyAlignment="1">
      <alignment horizontal="center" vertical="center"/>
    </xf>
    <xf numFmtId="3" fontId="15" fillId="30" borderId="123" xfId="3" applyNumberFormat="1" applyFont="1" applyFill="1" applyBorder="1" applyAlignment="1">
      <alignment horizontal="center" vertical="center"/>
    </xf>
    <xf numFmtId="3" fontId="7" fillId="0" borderId="123" xfId="3" applyNumberFormat="1" applyBorder="1" applyAlignment="1">
      <alignment horizontal="center" vertical="center"/>
    </xf>
    <xf numFmtId="3" fontId="15" fillId="28" borderId="123" xfId="3" applyNumberFormat="1" applyFont="1" applyFill="1" applyBorder="1" applyAlignment="1">
      <alignment horizontal="center" vertical="center"/>
    </xf>
    <xf numFmtId="3" fontId="15" fillId="20" borderId="123" xfId="3" applyNumberFormat="1" applyFont="1" applyFill="1" applyBorder="1" applyAlignment="1">
      <alignment horizontal="center" vertical="center"/>
    </xf>
    <xf numFmtId="3" fontId="15" fillId="23" borderId="123" xfId="3" applyNumberFormat="1" applyFont="1" applyFill="1" applyBorder="1" applyAlignment="1">
      <alignment horizontal="center" vertical="center"/>
    </xf>
    <xf numFmtId="3" fontId="15" fillId="0" borderId="124" xfId="3" applyNumberFormat="1" applyFont="1" applyBorder="1" applyAlignment="1">
      <alignment horizontal="center" vertical="center"/>
    </xf>
    <xf numFmtId="3" fontId="15" fillId="38" borderId="123" xfId="3" applyNumberFormat="1" applyFont="1" applyFill="1" applyBorder="1" applyAlignment="1">
      <alignment horizontal="center" vertical="center"/>
    </xf>
    <xf numFmtId="3" fontId="129" fillId="0" borderId="123" xfId="3" applyNumberFormat="1" applyFont="1" applyBorder="1" applyAlignment="1">
      <alignment horizontal="center" vertical="center"/>
    </xf>
    <xf numFmtId="3" fontId="135" fillId="0" borderId="123" xfId="3" applyNumberFormat="1" applyFont="1" applyBorder="1" applyAlignment="1">
      <alignment horizontal="center" vertical="center"/>
    </xf>
    <xf numFmtId="3" fontId="114" fillId="16" borderId="123" xfId="3" applyNumberFormat="1" applyFont="1" applyFill="1" applyBorder="1" applyAlignment="1">
      <alignment horizontal="center" vertical="center"/>
    </xf>
    <xf numFmtId="3" fontId="114" fillId="0" borderId="123" xfId="3" applyNumberFormat="1" applyFont="1" applyBorder="1" applyAlignment="1">
      <alignment horizontal="center" vertical="center"/>
    </xf>
    <xf numFmtId="3" fontId="7" fillId="31" borderId="125" xfId="0" applyNumberFormat="1" applyFont="1" applyFill="1" applyBorder="1" applyAlignment="1">
      <alignment horizontal="center"/>
    </xf>
    <xf numFmtId="3" fontId="7" fillId="18" borderId="125" xfId="0" applyNumberFormat="1" applyFont="1" applyFill="1" applyBorder="1" applyAlignment="1">
      <alignment horizontal="center"/>
    </xf>
    <xf numFmtId="3" fontId="15" fillId="31" borderId="123" xfId="3" applyNumberFormat="1" applyFont="1" applyFill="1" applyBorder="1" applyAlignment="1">
      <alignment horizontal="center" vertical="center"/>
    </xf>
    <xf numFmtId="167" fontId="103" fillId="31" borderId="0" xfId="1" applyNumberFormat="1" applyFont="1" applyFill="1" applyAlignment="1">
      <alignment horizontal="center" vertical="center"/>
    </xf>
    <xf numFmtId="3" fontId="95" fillId="14" borderId="0" xfId="0" applyNumberFormat="1" applyFont="1" applyFill="1" applyAlignment="1">
      <alignment horizontal="center"/>
    </xf>
    <xf numFmtId="165" fontId="76" fillId="26" borderId="0" xfId="0" applyNumberFormat="1" applyFont="1" applyFill="1" applyAlignment="1">
      <alignment horizontal="center" vertical="center"/>
    </xf>
    <xf numFmtId="165" fontId="75" fillId="20" borderId="0" xfId="1" applyNumberFormat="1" applyFont="1" applyFill="1" applyBorder="1" applyAlignment="1">
      <alignment horizontal="center" vertical="center"/>
    </xf>
    <xf numFmtId="164" fontId="83" fillId="26" borderId="0" xfId="0" applyNumberFormat="1" applyFont="1" applyFill="1" applyAlignment="1">
      <alignment horizontal="center" vertical="center"/>
    </xf>
    <xf numFmtId="1" fontId="81" fillId="16" borderId="0" xfId="1" applyNumberFormat="1" applyFont="1" applyFill="1" applyAlignment="1">
      <alignment horizontal="center" vertical="center"/>
    </xf>
    <xf numFmtId="1" fontId="78" fillId="16" borderId="0" xfId="1" applyNumberFormat="1" applyFont="1" applyFill="1" applyAlignment="1">
      <alignment horizontal="center" vertical="center"/>
    </xf>
    <xf numFmtId="1" fontId="133" fillId="16" borderId="0" xfId="1" applyNumberFormat="1" applyFont="1" applyFill="1" applyAlignment="1">
      <alignment horizontal="center" vertical="center"/>
    </xf>
    <xf numFmtId="0" fontId="77" fillId="0" borderId="0" xfId="0" applyFont="1" applyAlignment="1">
      <alignment horizontal="center" vertical="center" wrapText="1"/>
    </xf>
    <xf numFmtId="0" fontId="50" fillId="10" borderId="43" xfId="3" applyFont="1" applyFill="1" applyBorder="1" applyAlignment="1">
      <alignment horizontal="center" vertical="center" wrapText="1"/>
    </xf>
    <xf numFmtId="0" fontId="50" fillId="10" borderId="9" xfId="3" applyFont="1" applyFill="1" applyBorder="1" applyAlignment="1">
      <alignment horizontal="center" vertical="center" wrapText="1"/>
    </xf>
    <xf numFmtId="0" fontId="50" fillId="10" borderId="26" xfId="3" applyFont="1" applyFill="1" applyBorder="1" applyAlignment="1">
      <alignment horizontal="center" vertical="center" wrapText="1"/>
    </xf>
    <xf numFmtId="0" fontId="50" fillId="29" borderId="11" xfId="3" applyFont="1" applyFill="1" applyBorder="1" applyAlignment="1">
      <alignment horizontal="center" vertical="center" wrapText="1"/>
    </xf>
    <xf numFmtId="0" fontId="9" fillId="11" borderId="28" xfId="3" applyFont="1" applyFill="1" applyBorder="1" applyAlignment="1">
      <alignment horizontal="center" vertical="center"/>
    </xf>
    <xf numFmtId="3" fontId="7" fillId="0" borderId="121" xfId="3" applyNumberFormat="1" applyBorder="1" applyAlignment="1">
      <alignment horizontal="center" vertical="center"/>
    </xf>
    <xf numFmtId="3" fontId="7" fillId="0" borderId="0" xfId="3" applyNumberFormat="1" applyAlignment="1">
      <alignment horizontal="center" vertical="center"/>
    </xf>
    <xf numFmtId="0" fontId="19" fillId="4" borderId="76" xfId="3" applyFont="1" applyFill="1" applyBorder="1" applyAlignment="1">
      <alignment horizontal="center" vertical="center"/>
    </xf>
    <xf numFmtId="0" fontId="19" fillId="4" borderId="77" xfId="3" applyFont="1" applyFill="1" applyBorder="1" applyAlignment="1">
      <alignment horizontal="center" vertical="center"/>
    </xf>
    <xf numFmtId="0" fontId="19" fillId="4" borderId="78" xfId="3" applyFont="1" applyFill="1" applyBorder="1" applyAlignment="1">
      <alignment horizontal="center" vertical="center"/>
    </xf>
    <xf numFmtId="0" fontId="9" fillId="0" borderId="99" xfId="3" applyFont="1" applyBorder="1" applyAlignment="1">
      <alignment horizontal="center" vertical="center" wrapText="1"/>
    </xf>
    <xf numFmtId="0" fontId="1" fillId="0" borderId="102" xfId="0" applyFont="1" applyBorder="1" applyAlignment="1">
      <alignment horizontal="center" vertical="center" wrapText="1"/>
    </xf>
    <xf numFmtId="0" fontId="19" fillId="4" borderId="0" xfId="3" applyFont="1" applyFill="1" applyAlignment="1">
      <alignment horizontal="center" vertical="center" wrapText="1"/>
    </xf>
    <xf numFmtId="0" fontId="19" fillId="4" borderId="41" xfId="3" applyFont="1" applyFill="1" applyBorder="1" applyAlignment="1">
      <alignment horizontal="center" vertical="center" wrapText="1"/>
    </xf>
    <xf numFmtId="0" fontId="0" fillId="0" borderId="0" xfId="0" applyAlignment="1">
      <alignment horizontal="center" vertical="center" wrapText="1"/>
    </xf>
    <xf numFmtId="0" fontId="26" fillId="4" borderId="0" xfId="0" applyFont="1" applyFill="1" applyAlignment="1">
      <alignment horizontal="center" vertical="center"/>
    </xf>
    <xf numFmtId="0" fontId="17" fillId="0" borderId="0" xfId="3" applyFont="1" applyAlignment="1">
      <alignment horizontal="center" vertical="center"/>
    </xf>
    <xf numFmtId="0" fontId="8" fillId="0" borderId="0" xfId="3" applyFont="1" applyAlignment="1">
      <alignment horizontal="center" vertical="center"/>
    </xf>
    <xf numFmtId="0" fontId="19" fillId="4" borderId="0" xfId="3" applyFont="1" applyFill="1" applyAlignment="1">
      <alignment horizontal="center" vertical="center"/>
    </xf>
    <xf numFmtId="0" fontId="19" fillId="4" borderId="41" xfId="3" applyFont="1" applyFill="1" applyBorder="1" applyAlignment="1">
      <alignment horizontal="center" vertical="center"/>
    </xf>
    <xf numFmtId="0" fontId="19" fillId="4" borderId="26" xfId="3" applyFont="1" applyFill="1" applyBorder="1" applyAlignment="1">
      <alignment horizontal="center" vertical="center"/>
    </xf>
    <xf numFmtId="0" fontId="19" fillId="4" borderId="42" xfId="3" applyFont="1" applyFill="1" applyBorder="1" applyAlignment="1">
      <alignment horizontal="center" vertical="center"/>
    </xf>
    <xf numFmtId="0" fontId="19" fillId="20" borderId="0" xfId="3" applyFont="1" applyFill="1" applyAlignment="1">
      <alignment horizontal="center" vertical="center" wrapText="1"/>
    </xf>
    <xf numFmtId="0" fontId="19" fillId="4" borderId="11" xfId="3" applyFont="1" applyFill="1" applyBorder="1" applyAlignment="1">
      <alignment horizontal="center" vertical="center" wrapText="1"/>
    </xf>
    <xf numFmtId="0" fontId="7" fillId="0" borderId="0" xfId="3" applyAlignment="1">
      <alignment horizontal="center" vertical="center"/>
    </xf>
    <xf numFmtId="0" fontId="9" fillId="0" borderId="98" xfId="3" applyFont="1" applyBorder="1" applyAlignment="1">
      <alignment horizontal="center" vertical="center" wrapText="1"/>
    </xf>
    <xf numFmtId="0" fontId="1" fillId="0" borderId="100" xfId="0" applyFont="1" applyBorder="1" applyAlignment="1">
      <alignment horizontal="center" vertical="center" wrapText="1"/>
    </xf>
    <xf numFmtId="0" fontId="22" fillId="4" borderId="116" xfId="0" applyFont="1" applyFill="1" applyBorder="1" applyAlignment="1">
      <alignment horizontal="center" vertical="center"/>
    </xf>
    <xf numFmtId="0" fontId="22" fillId="4" borderId="9" xfId="0" applyFont="1" applyFill="1" applyBorder="1" applyAlignment="1">
      <alignment horizontal="center" vertical="center"/>
    </xf>
    <xf numFmtId="0" fontId="22" fillId="4" borderId="3" xfId="0" applyFont="1" applyFill="1" applyBorder="1" applyAlignment="1">
      <alignment horizontal="center" vertical="center"/>
    </xf>
    <xf numFmtId="0" fontId="0" fillId="0" borderId="0" xfId="0" applyAlignment="1">
      <alignment horizontal="center"/>
    </xf>
    <xf numFmtId="0" fontId="22" fillId="4" borderId="40" xfId="0" applyFont="1" applyFill="1" applyBorder="1" applyAlignment="1">
      <alignment horizontal="center"/>
    </xf>
    <xf numFmtId="0" fontId="22" fillId="4" borderId="5" xfId="0" applyFont="1" applyFill="1" applyBorder="1" applyAlignment="1">
      <alignment horizontal="center"/>
    </xf>
    <xf numFmtId="0" fontId="22" fillId="4" borderId="5" xfId="0" applyFont="1" applyFill="1" applyBorder="1" applyAlignment="1">
      <alignment horizontal="center" vertical="center" wrapText="1"/>
    </xf>
    <xf numFmtId="0" fontId="22" fillId="4" borderId="72" xfId="0" applyFont="1" applyFill="1" applyBorder="1" applyAlignment="1">
      <alignment horizontal="center"/>
    </xf>
    <xf numFmtId="0" fontId="22" fillId="4" borderId="73" xfId="0" applyFont="1" applyFill="1" applyBorder="1" applyAlignment="1">
      <alignment horizontal="center"/>
    </xf>
    <xf numFmtId="0" fontId="22" fillId="4" borderId="74" xfId="0" applyFont="1" applyFill="1" applyBorder="1" applyAlignment="1">
      <alignment horizontal="center"/>
    </xf>
    <xf numFmtId="9" fontId="22" fillId="4" borderId="118" xfId="0" applyNumberFormat="1" applyFont="1" applyFill="1" applyBorder="1" applyAlignment="1">
      <alignment horizontal="center" vertical="center" wrapText="1"/>
    </xf>
    <xf numFmtId="9" fontId="22" fillId="4" borderId="9" xfId="0" applyNumberFormat="1" applyFont="1" applyFill="1" applyBorder="1" applyAlignment="1">
      <alignment horizontal="center" vertical="center" wrapText="1"/>
    </xf>
    <xf numFmtId="9" fontId="22" fillId="4" borderId="3" xfId="0" applyNumberFormat="1" applyFont="1" applyFill="1" applyBorder="1" applyAlignment="1">
      <alignment horizontal="center" vertical="center" wrapText="1"/>
    </xf>
    <xf numFmtId="0" fontId="22" fillId="4" borderId="118" xfId="0" applyFont="1" applyFill="1" applyBorder="1" applyAlignment="1">
      <alignment horizontal="center" vertical="center" wrapText="1"/>
    </xf>
    <xf numFmtId="0" fontId="22" fillId="4" borderId="9" xfId="0" applyFont="1" applyFill="1" applyBorder="1" applyAlignment="1">
      <alignment horizontal="center" vertical="center" wrapText="1"/>
    </xf>
    <xf numFmtId="0" fontId="22" fillId="4" borderId="3" xfId="0" applyFont="1" applyFill="1" applyBorder="1" applyAlignment="1">
      <alignment horizontal="center" vertical="center" wrapText="1"/>
    </xf>
    <xf numFmtId="3" fontId="22" fillId="4" borderId="118" xfId="0" applyNumberFormat="1" applyFont="1" applyFill="1" applyBorder="1" applyAlignment="1">
      <alignment horizontal="center" vertical="center" wrapText="1"/>
    </xf>
    <xf numFmtId="3" fontId="22" fillId="4" borderId="9" xfId="0" applyNumberFormat="1" applyFont="1" applyFill="1" applyBorder="1" applyAlignment="1">
      <alignment horizontal="center" vertical="center" wrapText="1"/>
    </xf>
    <xf numFmtId="3" fontId="22" fillId="4" borderId="3" xfId="0" applyNumberFormat="1" applyFont="1" applyFill="1" applyBorder="1" applyAlignment="1">
      <alignment horizontal="center" vertical="center" wrapText="1"/>
    </xf>
    <xf numFmtId="0" fontId="26" fillId="4" borderId="22" xfId="3" applyFont="1" applyFill="1" applyBorder="1" applyAlignment="1">
      <alignment horizontal="center" vertical="center" wrapText="1"/>
    </xf>
    <xf numFmtId="0" fontId="26" fillId="4" borderId="46" xfId="0" applyFont="1" applyFill="1" applyBorder="1" applyAlignment="1">
      <alignment horizontal="center" vertical="center" wrapText="1"/>
    </xf>
    <xf numFmtId="0" fontId="26" fillId="4" borderId="19" xfId="3" applyFont="1" applyFill="1" applyBorder="1" applyAlignment="1">
      <alignment horizontal="center" vertical="center" wrapText="1"/>
    </xf>
    <xf numFmtId="0" fontId="26" fillId="4" borderId="3" xfId="3" applyFont="1" applyFill="1" applyBorder="1" applyAlignment="1">
      <alignment horizontal="center" vertical="center" wrapText="1"/>
    </xf>
    <xf numFmtId="0" fontId="17" fillId="0" borderId="0" xfId="3" applyFont="1" applyAlignment="1">
      <alignment horizontal="center"/>
    </xf>
    <xf numFmtId="0" fontId="3" fillId="0" borderId="0" xfId="0" applyFont="1" applyAlignment="1">
      <alignment horizontal="center"/>
    </xf>
    <xf numFmtId="1" fontId="72" fillId="18" borderId="56" xfId="3" applyNumberFormat="1" applyFont="1" applyFill="1" applyBorder="1" applyAlignment="1">
      <alignment horizontal="center" wrapText="1"/>
    </xf>
    <xf numFmtId="1" fontId="72" fillId="18" borderId="61" xfId="3" applyNumberFormat="1" applyFont="1" applyFill="1" applyBorder="1" applyAlignment="1">
      <alignment horizontal="center" wrapText="1"/>
    </xf>
    <xf numFmtId="0" fontId="71" fillId="18" borderId="57" xfId="3" applyFont="1" applyFill="1" applyBorder="1" applyAlignment="1">
      <alignment horizontal="center" vertical="center" wrapText="1"/>
    </xf>
    <xf numFmtId="0" fontId="71" fillId="18" borderId="62" xfId="3" applyFont="1" applyFill="1" applyBorder="1" applyAlignment="1">
      <alignment horizontal="center" vertical="center" wrapText="1"/>
    </xf>
    <xf numFmtId="0" fontId="70" fillId="12" borderId="20" xfId="3" applyFont="1" applyFill="1" applyBorder="1" applyAlignment="1">
      <alignment horizontal="center" vertical="center"/>
    </xf>
    <xf numFmtId="0" fontId="70" fillId="12" borderId="21" xfId="3" applyFont="1" applyFill="1" applyBorder="1" applyAlignment="1">
      <alignment horizontal="center" vertical="center"/>
    </xf>
    <xf numFmtId="0" fontId="7" fillId="18" borderId="72" xfId="3" applyFill="1" applyBorder="1" applyAlignment="1">
      <alignment horizontal="center"/>
    </xf>
    <xf numFmtId="0" fontId="7" fillId="18" borderId="73" xfId="3" applyFill="1" applyBorder="1" applyAlignment="1">
      <alignment horizontal="center"/>
    </xf>
    <xf numFmtId="0" fontId="7" fillId="18" borderId="74" xfId="3" applyFill="1" applyBorder="1" applyAlignment="1">
      <alignment horizontal="center"/>
    </xf>
    <xf numFmtId="0" fontId="9" fillId="18" borderId="52" xfId="3" applyFont="1" applyFill="1" applyBorder="1" applyAlignment="1">
      <alignment horizontal="center" vertical="center" wrapText="1"/>
    </xf>
    <xf numFmtId="0" fontId="9" fillId="18" borderId="53" xfId="3" applyFont="1" applyFill="1" applyBorder="1" applyAlignment="1">
      <alignment horizontal="center" vertical="center" wrapText="1"/>
    </xf>
    <xf numFmtId="0" fontId="3" fillId="18" borderId="31" xfId="3" applyFont="1" applyFill="1" applyBorder="1" applyAlignment="1">
      <alignment horizontal="center" vertical="center" wrapText="1"/>
    </xf>
    <xf numFmtId="0" fontId="3" fillId="18" borderId="4" xfId="3" applyFont="1" applyFill="1" applyBorder="1" applyAlignment="1">
      <alignment horizontal="center" vertical="center" wrapText="1"/>
    </xf>
    <xf numFmtId="0" fontId="19" fillId="4" borderId="31" xfId="3" applyFont="1" applyFill="1" applyBorder="1" applyAlignment="1">
      <alignment horizontal="center" vertical="center" wrapText="1"/>
    </xf>
    <xf numFmtId="0" fontId="19" fillId="4" borderId="4" xfId="3" applyFont="1" applyFill="1" applyBorder="1" applyAlignment="1">
      <alignment horizontal="center" vertical="center" wrapText="1"/>
    </xf>
    <xf numFmtId="0" fontId="9" fillId="18" borderId="31" xfId="3" applyFont="1" applyFill="1" applyBorder="1" applyAlignment="1">
      <alignment horizontal="center" vertical="center" wrapText="1"/>
    </xf>
    <xf numFmtId="0" fontId="9" fillId="18" borderId="4" xfId="3" applyFont="1" applyFill="1" applyBorder="1" applyAlignment="1">
      <alignment horizontal="center" vertical="center" wrapText="1"/>
    </xf>
    <xf numFmtId="0" fontId="0" fillId="0" borderId="4" xfId="0" applyBorder="1" applyAlignment="1">
      <alignment horizontal="center" vertical="center" wrapText="1"/>
    </xf>
    <xf numFmtId="0" fontId="19" fillId="4" borderId="49" xfId="3" applyFont="1" applyFill="1" applyBorder="1" applyAlignment="1">
      <alignment horizontal="center" vertical="center" wrapText="1"/>
    </xf>
    <xf numFmtId="0" fontId="19" fillId="4" borderId="50" xfId="0" applyFont="1" applyFill="1" applyBorder="1" applyAlignment="1">
      <alignment horizontal="center" vertical="center" wrapText="1"/>
    </xf>
    <xf numFmtId="0" fontId="19" fillId="4" borderId="4" xfId="0" applyFont="1" applyFill="1" applyBorder="1" applyAlignment="1">
      <alignment horizontal="center" vertical="center" wrapText="1"/>
    </xf>
    <xf numFmtId="0" fontId="19" fillId="4" borderId="51" xfId="3" applyFont="1" applyFill="1" applyBorder="1" applyAlignment="1">
      <alignment horizontal="center" vertical="center"/>
    </xf>
    <xf numFmtId="0" fontId="19" fillId="4" borderId="33" xfId="3" applyFont="1" applyFill="1" applyBorder="1" applyAlignment="1">
      <alignment horizontal="center" vertical="center"/>
    </xf>
    <xf numFmtId="0" fontId="17" fillId="0" borderId="44" xfId="3" applyFont="1" applyBorder="1" applyAlignment="1">
      <alignment horizontal="center"/>
    </xf>
    <xf numFmtId="0" fontId="3" fillId="0" borderId="45" xfId="0" applyFont="1" applyBorder="1" applyAlignment="1">
      <alignment horizontal="center"/>
    </xf>
    <xf numFmtId="0" fontId="3" fillId="0" borderId="114" xfId="0" applyFont="1" applyBorder="1" applyAlignment="1">
      <alignment horizontal="center"/>
    </xf>
    <xf numFmtId="0" fontId="3" fillId="0" borderId="40" xfId="0" applyFont="1" applyBorder="1" applyAlignment="1">
      <alignment horizontal="center"/>
    </xf>
    <xf numFmtId="0" fontId="19" fillId="15" borderId="22" xfId="3" applyFont="1" applyFill="1" applyBorder="1" applyAlignment="1">
      <alignment horizontal="center" vertical="center" wrapText="1"/>
    </xf>
    <xf numFmtId="0" fontId="19" fillId="15" borderId="66" xfId="3" applyFont="1" applyFill="1" applyBorder="1" applyAlignment="1">
      <alignment horizontal="center" vertical="center" wrapText="1"/>
    </xf>
    <xf numFmtId="0" fontId="19" fillId="15" borderId="23" xfId="3" applyFont="1" applyFill="1" applyBorder="1" applyAlignment="1">
      <alignment horizontal="center" vertical="center" wrapText="1"/>
    </xf>
    <xf numFmtId="0" fontId="26" fillId="15" borderId="19" xfId="3" applyFont="1" applyFill="1" applyBorder="1" applyAlignment="1">
      <alignment horizontal="center" vertical="center" wrapText="1"/>
    </xf>
    <xf numFmtId="0" fontId="26" fillId="15" borderId="9" xfId="3" applyFont="1" applyFill="1" applyBorder="1" applyAlignment="1">
      <alignment horizontal="center" vertical="center" wrapText="1"/>
    </xf>
    <xf numFmtId="0" fontId="26" fillId="15" borderId="24" xfId="3" applyFont="1" applyFill="1" applyBorder="1" applyAlignment="1">
      <alignment horizontal="center" vertical="center" wrapText="1"/>
    </xf>
    <xf numFmtId="0" fontId="22" fillId="15" borderId="47" xfId="3" applyFont="1" applyFill="1" applyBorder="1" applyAlignment="1">
      <alignment horizontal="center" vertical="center"/>
    </xf>
    <xf numFmtId="0" fontId="22" fillId="15" borderId="67" xfId="3" applyFont="1" applyFill="1" applyBorder="1" applyAlignment="1">
      <alignment horizontal="center" vertical="center"/>
    </xf>
    <xf numFmtId="0" fontId="22" fillId="15" borderId="63" xfId="3" applyFont="1" applyFill="1" applyBorder="1" applyAlignment="1">
      <alignment horizontal="center" vertical="center"/>
    </xf>
    <xf numFmtId="164" fontId="7" fillId="0" borderId="69" xfId="3" applyNumberFormat="1" applyBorder="1" applyAlignment="1">
      <alignment horizontal="center" vertical="center"/>
    </xf>
    <xf numFmtId="0" fontId="19" fillId="4" borderId="25" xfId="3" applyFont="1" applyFill="1" applyBorder="1" applyAlignment="1">
      <alignment horizontal="center" vertical="center"/>
    </xf>
    <xf numFmtId="0" fontId="19" fillId="4" borderId="11" xfId="3" applyFont="1" applyFill="1" applyBorder="1" applyAlignment="1">
      <alignment horizontal="center" vertical="center"/>
    </xf>
    <xf numFmtId="0" fontId="19" fillId="4" borderId="2" xfId="3" applyFont="1" applyFill="1" applyBorder="1" applyAlignment="1">
      <alignment horizontal="center" vertical="center"/>
    </xf>
    <xf numFmtId="2" fontId="17" fillId="0" borderId="0" xfId="3" applyNumberFormat="1" applyFont="1" applyAlignment="1">
      <alignment horizontal="center"/>
    </xf>
    <xf numFmtId="0" fontId="26" fillId="4" borderId="66" xfId="0" applyFont="1" applyFill="1" applyBorder="1" applyAlignment="1">
      <alignment horizontal="center" vertical="center" wrapText="1"/>
    </xf>
    <xf numFmtId="0" fontId="26" fillId="4" borderId="47" xfId="3" applyFont="1" applyFill="1" applyBorder="1" applyAlignment="1">
      <alignment horizontal="center" vertical="center" wrapText="1"/>
    </xf>
    <xf numFmtId="0" fontId="30" fillId="4" borderId="48" xfId="0" applyFont="1" applyFill="1" applyBorder="1" applyAlignment="1">
      <alignment horizontal="center" vertical="center" wrapText="1"/>
    </xf>
    <xf numFmtId="0" fontId="26" fillId="4" borderId="9" xfId="3" applyFont="1" applyFill="1" applyBorder="1" applyAlignment="1">
      <alignment horizontal="center" vertical="center" wrapText="1"/>
    </xf>
    <xf numFmtId="3" fontId="72" fillId="18" borderId="55" xfId="3" applyNumberFormat="1" applyFont="1" applyFill="1" applyBorder="1" applyAlignment="1">
      <alignment horizontal="center" vertical="center" wrapText="1"/>
    </xf>
    <xf numFmtId="3" fontId="72" fillId="18" borderId="120" xfId="3" applyNumberFormat="1" applyFont="1" applyFill="1" applyBorder="1" applyAlignment="1">
      <alignment horizontal="center" vertical="center" wrapText="1"/>
    </xf>
    <xf numFmtId="0" fontId="111" fillId="32" borderId="68" xfId="0" applyFont="1" applyFill="1" applyBorder="1" applyAlignment="1">
      <alignment horizontal="center" vertical="center" wrapText="1"/>
    </xf>
    <xf numFmtId="0" fontId="111" fillId="32" borderId="67" xfId="0" applyFont="1" applyFill="1" applyBorder="1" applyAlignment="1">
      <alignment horizontal="center" vertical="center" wrapText="1"/>
    </xf>
    <xf numFmtId="0" fontId="122" fillId="16" borderId="56" xfId="0" applyFont="1" applyFill="1" applyBorder="1" applyAlignment="1">
      <alignment horizontal="center" vertical="center" wrapText="1"/>
    </xf>
    <xf numFmtId="0" fontId="122" fillId="16" borderId="87" xfId="0" applyFont="1" applyFill="1" applyBorder="1" applyAlignment="1">
      <alignment horizontal="center" vertical="center" wrapText="1"/>
    </xf>
    <xf numFmtId="0" fontId="124" fillId="16" borderId="57" xfId="0" applyFont="1" applyFill="1" applyBorder="1" applyAlignment="1">
      <alignment horizontal="center" vertical="center" wrapText="1"/>
    </xf>
    <xf numFmtId="0" fontId="124" fillId="16" borderId="88" xfId="0" applyFont="1" applyFill="1" applyBorder="1" applyAlignment="1">
      <alignment horizontal="center" vertical="center" wrapText="1"/>
    </xf>
    <xf numFmtId="0" fontId="127" fillId="16" borderId="79" xfId="0" applyFont="1" applyFill="1" applyBorder="1" applyAlignment="1">
      <alignment horizontal="center"/>
    </xf>
    <xf numFmtId="0" fontId="127" fillId="16" borderId="80" xfId="0" applyFont="1" applyFill="1" applyBorder="1" applyAlignment="1">
      <alignment horizontal="center"/>
    </xf>
    <xf numFmtId="0" fontId="127" fillId="16" borderId="81" xfId="0" applyFont="1" applyFill="1" applyBorder="1" applyAlignment="1">
      <alignment horizontal="center"/>
    </xf>
    <xf numFmtId="0" fontId="119" fillId="16" borderId="79" xfId="0" applyFont="1" applyFill="1" applyBorder="1" applyAlignment="1">
      <alignment horizontal="center" vertical="center" wrapText="1"/>
    </xf>
    <xf numFmtId="0" fontId="119" fillId="16" borderId="80" xfId="0" applyFont="1" applyFill="1" applyBorder="1" applyAlignment="1">
      <alignment horizontal="center" vertical="center" wrapText="1"/>
    </xf>
    <xf numFmtId="0" fontId="119" fillId="16" borderId="81" xfId="0" applyFont="1" applyFill="1" applyBorder="1" applyAlignment="1">
      <alignment horizontal="center" vertical="center" wrapText="1"/>
    </xf>
    <xf numFmtId="3" fontId="120" fillId="16" borderId="82" xfId="0" applyNumberFormat="1" applyFont="1" applyFill="1" applyBorder="1" applyAlignment="1">
      <alignment horizontal="center" vertical="center"/>
    </xf>
    <xf numFmtId="3" fontId="120" fillId="16" borderId="83" xfId="0" applyNumberFormat="1" applyFont="1" applyFill="1" applyBorder="1" applyAlignment="1">
      <alignment horizontal="center" vertical="center"/>
    </xf>
    <xf numFmtId="3" fontId="120" fillId="16" borderId="84" xfId="0" applyNumberFormat="1" applyFont="1" applyFill="1" applyBorder="1" applyAlignment="1">
      <alignment horizontal="center" vertical="center"/>
    </xf>
    <xf numFmtId="0" fontId="122" fillId="16" borderId="72" xfId="0" applyFont="1" applyFill="1" applyBorder="1" applyAlignment="1">
      <alignment horizontal="center" vertical="center"/>
    </xf>
    <xf numFmtId="0" fontId="122" fillId="16" borderId="95" xfId="0" applyFont="1" applyFill="1" applyBorder="1" applyAlignment="1">
      <alignment horizontal="center" vertical="center"/>
    </xf>
    <xf numFmtId="0" fontId="123" fillId="22" borderId="55" xfId="0" applyFont="1" applyFill="1" applyBorder="1" applyAlignment="1">
      <alignment horizontal="center" vertical="center"/>
    </xf>
    <xf numFmtId="0" fontId="123" fillId="22" borderId="57" xfId="0" applyFont="1" applyFill="1" applyBorder="1" applyAlignment="1">
      <alignment horizontal="center" vertical="center"/>
    </xf>
    <xf numFmtId="3" fontId="122" fillId="16" borderId="56" xfId="0" applyNumberFormat="1" applyFont="1" applyFill="1" applyBorder="1" applyAlignment="1">
      <alignment horizontal="center" vertical="center" wrapText="1"/>
    </xf>
    <xf numFmtId="3" fontId="122" fillId="16" borderId="87" xfId="0" applyNumberFormat="1" applyFont="1" applyFill="1" applyBorder="1" applyAlignment="1">
      <alignment horizontal="center" vertical="center" wrapText="1"/>
    </xf>
    <xf numFmtId="0" fontId="95" fillId="16" borderId="103" xfId="0" applyFont="1" applyFill="1" applyBorder="1" applyAlignment="1">
      <alignment horizontal="center" vertical="center"/>
    </xf>
    <xf numFmtId="167" fontId="69" fillId="0" borderId="0" xfId="1" applyNumberFormat="1" applyFont="1" applyAlignment="1">
      <alignment horizontal="center"/>
    </xf>
  </cellXfs>
  <cellStyles count="6">
    <cellStyle name="Comma" xfId="1" builtinId="3"/>
    <cellStyle name="Currency" xfId="2" builtinId="4"/>
    <cellStyle name="Normal" xfId="0" builtinId="0"/>
    <cellStyle name="Normal 2" xfId="5" xr:uid="{00000000-0005-0000-0000-000003000000}"/>
    <cellStyle name="Normal_February04" xfId="3" xr:uid="{00000000-0005-0000-0000-000004000000}"/>
    <cellStyle name="Percent" xfId="4" builtinId="5"/>
  </cellStyles>
  <dxfs count="102">
    <dxf>
      <font>
        <color rgb="FFFF0000"/>
      </font>
      <fill>
        <patternFill>
          <bgColor rgb="FFFFC7CE"/>
        </patternFill>
      </fill>
    </dxf>
    <dxf>
      <font>
        <b/>
        <i val="0"/>
        <color rgb="FFFF0000"/>
      </font>
    </dxf>
    <dxf>
      <font>
        <b/>
        <i val="0"/>
        <color rgb="FF00A44A"/>
      </font>
    </dxf>
    <dxf>
      <font>
        <color rgb="FFFF0000"/>
      </font>
      <fill>
        <patternFill>
          <bgColor rgb="FFFFC7CE"/>
        </patternFill>
      </fill>
    </dxf>
    <dxf>
      <font>
        <color auto="1"/>
      </font>
      <numFmt numFmtId="2" formatCode="0.00"/>
    </dxf>
    <dxf>
      <font>
        <color rgb="FFFF0000"/>
      </font>
    </dxf>
    <dxf>
      <font>
        <b/>
        <i val="0"/>
        <color rgb="FFFF0000"/>
      </font>
    </dxf>
    <dxf>
      <font>
        <color auto="1"/>
      </font>
    </dxf>
    <dxf>
      <font>
        <b/>
        <i val="0"/>
        <color rgb="FFFF0000"/>
      </font>
    </dxf>
    <dxf>
      <font>
        <b/>
        <i val="0"/>
        <color rgb="FFFF0000"/>
      </font>
    </dxf>
    <dxf>
      <font>
        <b/>
        <i val="0"/>
        <color rgb="FFFF0000"/>
      </font>
    </dxf>
    <dxf>
      <font>
        <color rgb="FFFF0000"/>
      </font>
      <fill>
        <patternFill>
          <bgColor rgb="FFFFC7CE"/>
        </patternFill>
      </fill>
    </dxf>
    <dxf>
      <font>
        <b/>
        <i val="0"/>
        <color rgb="FFFF0000"/>
      </font>
      <numFmt numFmtId="2" formatCode="0.00"/>
      <fill>
        <patternFill>
          <bgColor theme="8" tint="0.39994506668294322"/>
        </patternFill>
      </fill>
    </dxf>
    <dxf>
      <font>
        <color rgb="FFFF0000"/>
      </font>
    </dxf>
    <dxf>
      <font>
        <b/>
        <i val="0"/>
        <color rgb="FFFF0000"/>
      </font>
    </dxf>
    <dxf>
      <font>
        <b/>
        <i val="0"/>
        <color rgb="FFFF0000"/>
      </font>
    </dxf>
    <dxf>
      <font>
        <b/>
        <i val="0"/>
        <color rgb="FFFF0000"/>
      </font>
    </dxf>
    <dxf>
      <font>
        <b/>
        <i val="0"/>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b/>
        <i val="0"/>
        <color rgb="FFFF0000"/>
      </font>
    </dxf>
    <dxf>
      <font>
        <b/>
        <i val="0"/>
        <color rgb="FFFF0000"/>
      </font>
    </dxf>
    <dxf>
      <font>
        <color rgb="FFFF0000"/>
      </font>
    </dxf>
    <dxf>
      <font>
        <color rgb="FFFF0000"/>
      </font>
    </dxf>
    <dxf>
      <font>
        <color auto="1"/>
      </font>
    </dxf>
    <dxf>
      <font>
        <color rgb="FFFF0000"/>
      </font>
    </dxf>
    <dxf>
      <font>
        <color rgb="FFFF0000"/>
      </font>
    </dxf>
    <dxf>
      <font>
        <color rgb="FFFF0000"/>
      </font>
    </dxf>
    <dxf>
      <font>
        <b/>
        <i val="0"/>
        <color rgb="FFC00000"/>
      </font>
    </dxf>
    <dxf>
      <font>
        <b/>
        <i val="0"/>
        <color rgb="FF00A44A"/>
      </font>
    </dxf>
    <dxf>
      <font>
        <b/>
        <i/>
        <condense val="0"/>
        <extend val="0"/>
        <color indexed="10"/>
      </font>
    </dxf>
    <dxf>
      <font>
        <b/>
        <i/>
        <condense val="0"/>
        <extend val="0"/>
        <color indexed="10"/>
      </font>
    </dxf>
    <dxf>
      <font>
        <b/>
        <i val="0"/>
        <color rgb="FFFF0000"/>
      </font>
    </dxf>
    <dxf>
      <font>
        <b/>
        <i val="0"/>
        <color rgb="FFFF0000"/>
      </font>
    </dxf>
    <dxf>
      <font>
        <color rgb="FF9C0006"/>
      </font>
      <fill>
        <patternFill>
          <bgColor rgb="FFFFC7CE"/>
        </patternFill>
      </fill>
    </dxf>
    <dxf>
      <font>
        <color rgb="FF9C0006"/>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
      <font>
        <color auto="1"/>
      </font>
      <fill>
        <patternFill>
          <bgColor rgb="FFC00000"/>
        </patternFill>
      </fill>
    </dxf>
  </dxfs>
  <tableStyles count="0" defaultTableStyle="TableStyleMedium9" defaultPivotStyle="PivotStyleLight16"/>
  <colors>
    <mruColors>
      <color rgb="FF0000FF"/>
      <color rgb="FF00A44A"/>
      <color rgb="FFFF8FE2"/>
      <color rgb="FFC09200"/>
      <color rgb="FF170EC2"/>
      <color rgb="FFFF3300"/>
      <color rgb="FFD43ABE"/>
      <color rgb="FFFFFF99"/>
      <color rgb="FFFF5050"/>
      <color rgb="FF99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b="1" i="0" u="none" strike="noStrike" kern="1200" cap="none" baseline="0">
                <a:solidFill>
                  <a:sysClr val="window" lastClr="FFFFFF">
                    <a:lumMod val="85000"/>
                  </a:sysClr>
                </a:solidFill>
              </a:rPr>
              <a:t>CBG ELECTRICITY DAYLI CONSUMPTION (KW-H). JULY 2026</a:t>
            </a:r>
          </a:p>
        </c:rich>
      </c:tx>
      <c:layout>
        <c:manualLayout>
          <c:xMode val="edge"/>
          <c:yMode val="edge"/>
          <c:x val="0.26816640976136419"/>
          <c:y val="2.1474950595256753E-2"/>
        </c:manualLayout>
      </c:layout>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2.6370480777413205E-2"/>
          <c:y val="6.2145341339896611E-2"/>
          <c:w val="0.94630320171094728"/>
          <c:h val="0.82229716704912292"/>
        </c:manualLayout>
      </c:layout>
      <c:areaChart>
        <c:grouping val="stacked"/>
        <c:varyColors val="0"/>
        <c:ser>
          <c:idx val="0"/>
          <c:order val="0"/>
          <c:tx>
            <c:strRef>
              <c:f>'Utility Analysis July 2026'!$D$7</c:f>
              <c:strCache>
                <c:ptCount val="1"/>
                <c:pt idx="0">
                  <c:v>ELECTRICITY GRENLEC</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'Utility Analysis July 2026'!$D$10:$D$40</c:f>
              <c:numCache>
                <c:formatCode>#,##0</c:formatCode>
                <c:ptCount val="31"/>
                <c:pt idx="0">
                  <c:v>6440</c:v>
                </c:pt>
                <c:pt idx="1">
                  <c:v>8601</c:v>
                </c:pt>
                <c:pt idx="2">
                  <c:v>8712</c:v>
                </c:pt>
                <c:pt idx="3">
                  <c:v>3652</c:v>
                </c:pt>
                <c:pt idx="4">
                  <c:v>5363</c:v>
                </c:pt>
                <c:pt idx="5">
                  <c:v>7179</c:v>
                </c:pt>
                <c:pt idx="6">
                  <c:v>8166</c:v>
                </c:pt>
                <c:pt idx="7">
                  <c:v>10084</c:v>
                </c:pt>
                <c:pt idx="8">
                  <c:v>6592</c:v>
                </c:pt>
                <c:pt idx="9">
                  <c:v>7603</c:v>
                </c:pt>
                <c:pt idx="10">
                  <c:v>3837</c:v>
                </c:pt>
                <c:pt idx="11">
                  <c:v>4845</c:v>
                </c:pt>
                <c:pt idx="12">
                  <c:v>8262</c:v>
                </c:pt>
                <c:pt idx="13">
                  <c:v>8508</c:v>
                </c:pt>
                <c:pt idx="14">
                  <c:v>8647</c:v>
                </c:pt>
                <c:pt idx="15">
                  <c:v>7504</c:v>
                </c:pt>
                <c:pt idx="16">
                  <c:v>7017</c:v>
                </c:pt>
                <c:pt idx="17">
                  <c:v>3504</c:v>
                </c:pt>
                <c:pt idx="18">
                  <c:v>4779</c:v>
                </c:pt>
                <c:pt idx="19">
                  <c:v>8371</c:v>
                </c:pt>
                <c:pt idx="20">
                  <c:v>10629</c:v>
                </c:pt>
                <c:pt idx="21">
                  <c:v>7013</c:v>
                </c:pt>
                <c:pt idx="22">
                  <c:v>8070</c:v>
                </c:pt>
                <c:pt idx="23">
                  <c:v>7948</c:v>
                </c:pt>
                <c:pt idx="24">
                  <c:v>2705</c:v>
                </c:pt>
                <c:pt idx="25">
                  <c:v>3192</c:v>
                </c:pt>
                <c:pt idx="26">
                  <c:v>7688</c:v>
                </c:pt>
                <c:pt idx="27">
                  <c:v>8951</c:v>
                </c:pt>
                <c:pt idx="28">
                  <c:v>8672</c:v>
                </c:pt>
                <c:pt idx="29">
                  <c:v>9708</c:v>
                </c:pt>
                <c:pt idx="30">
                  <c:v>8223</c:v>
                </c:pt>
              </c:numCache>
            </c:numRef>
          </c:val>
          <c:extLst>
            <c:ext xmlns:c16="http://schemas.microsoft.com/office/drawing/2014/chart" uri="{C3380CC4-5D6E-409C-BE32-E72D297353CC}">
              <c16:uniqueId val="{00000000-20E6-4CBF-8F73-8D650B3F304A}"/>
            </c:ext>
          </c:extLst>
        </c:ser>
        <c:ser>
          <c:idx val="1"/>
          <c:order val="1"/>
          <c:tx>
            <c:strRef>
              <c:f>'Utility Analysis July 2026'!$E$7</c:f>
              <c:strCache>
                <c:ptCount val="1"/>
                <c:pt idx="0">
                  <c:v>Solar System CARIB </c:v>
                </c:pt>
              </c:strCache>
            </c:strRef>
          </c:tx>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s>
            <c:dLbl>
              <c:idx val="3"/>
              <c:layout>
                <c:manualLayout>
                  <c:x val="-6.4367816558007539E-3"/>
                  <c:y val="2.643070842493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E86-4A57-B641-2BC2DD1EB91E}"/>
                </c:ext>
              </c:extLst>
            </c:dLbl>
            <c:dLbl>
              <c:idx val="8"/>
              <c:layout>
                <c:manualLayout>
                  <c:x val="-3.218390827900377E-3"/>
                  <c:y val="-2.47787891483731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0E6-4CBF-8F73-8D650B3F304A}"/>
                </c:ext>
              </c:extLst>
            </c:dLbl>
            <c:dLbl>
              <c:idx val="12"/>
              <c:layout>
                <c:manualLayout>
                  <c:x val="-4.5057471590606224E-3"/>
                  <c:y val="-3.30383855311642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20E6-4CBF-8F73-8D650B3F304A}"/>
                </c:ext>
              </c:extLst>
            </c:dLbl>
            <c:dLbl>
              <c:idx val="14"/>
              <c:layout>
                <c:manualLayout>
                  <c:x val="7.7241379869609052E-3"/>
                  <c:y val="-9.91151565934927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0E6-4CBF-8F73-8D650B3F304A}"/>
                </c:ext>
              </c:extLst>
            </c:dLbl>
            <c:dLbl>
              <c:idx val="23"/>
              <c:layout>
                <c:manualLayout>
                  <c:x val="0"/>
                  <c:y val="-2.14749505952567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20E6-4CBF-8F73-8D650B3F304A}"/>
                </c:ext>
              </c:extLst>
            </c:dLbl>
            <c:dLbl>
              <c:idx val="25"/>
              <c:layout>
                <c:manualLayout>
                  <c:x val="-6.4367816558007543E-4"/>
                  <c:y val="-1.98230313186985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0E6-4CBF-8F73-8D650B3F304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'Utility Analysis July 2026'!$E$10:$E$40</c:f>
              <c:numCache>
                <c:formatCode>#,##0</c:formatCode>
                <c:ptCount val="31"/>
                <c:pt idx="0">
                  <c:v>1524</c:v>
                </c:pt>
                <c:pt idx="1">
                  <c:v>1499</c:v>
                </c:pt>
                <c:pt idx="2">
                  <c:v>534.4</c:v>
                </c:pt>
                <c:pt idx="3">
                  <c:v>1458</c:v>
                </c:pt>
                <c:pt idx="4">
                  <c:v>1074.4000000000001</c:v>
                </c:pt>
                <c:pt idx="5">
                  <c:v>1149.0999999999999</c:v>
                </c:pt>
                <c:pt idx="6">
                  <c:v>1453.3</c:v>
                </c:pt>
                <c:pt idx="7">
                  <c:v>1338.1</c:v>
                </c:pt>
                <c:pt idx="8">
                  <c:v>1304</c:v>
                </c:pt>
                <c:pt idx="9">
                  <c:v>1399.9</c:v>
                </c:pt>
                <c:pt idx="10">
                  <c:v>511.9</c:v>
                </c:pt>
                <c:pt idx="11">
                  <c:v>335.7</c:v>
                </c:pt>
                <c:pt idx="12">
                  <c:v>740.4</c:v>
                </c:pt>
                <c:pt idx="13">
                  <c:v>1492</c:v>
                </c:pt>
                <c:pt idx="14">
                  <c:v>1417.2</c:v>
                </c:pt>
                <c:pt idx="15">
                  <c:v>1433.1</c:v>
                </c:pt>
                <c:pt idx="16">
                  <c:v>1416.5</c:v>
                </c:pt>
                <c:pt idx="17">
                  <c:v>1383</c:v>
                </c:pt>
                <c:pt idx="18">
                  <c:v>912</c:v>
                </c:pt>
                <c:pt idx="19">
                  <c:v>1231.4000000000001</c:v>
                </c:pt>
                <c:pt idx="20">
                  <c:v>1420.4</c:v>
                </c:pt>
                <c:pt idx="21">
                  <c:v>1441.2</c:v>
                </c:pt>
                <c:pt idx="22">
                  <c:v>1365.8</c:v>
                </c:pt>
                <c:pt idx="23">
                  <c:v>1458.2</c:v>
                </c:pt>
                <c:pt idx="24">
                  <c:v>1418.4</c:v>
                </c:pt>
                <c:pt idx="25">
                  <c:v>1582.6</c:v>
                </c:pt>
                <c:pt idx="26">
                  <c:v>1394.9</c:v>
                </c:pt>
                <c:pt idx="27">
                  <c:v>1091.4000000000001</c:v>
                </c:pt>
                <c:pt idx="28">
                  <c:v>1593.7</c:v>
                </c:pt>
                <c:pt idx="29">
                  <c:v>1507.1</c:v>
                </c:pt>
                <c:pt idx="30">
                  <c:v>1320.9</c:v>
                </c:pt>
              </c:numCache>
            </c:numRef>
          </c:val>
          <c:extLst>
            <c:ext xmlns:c16="http://schemas.microsoft.com/office/drawing/2014/chart" uri="{C3380CC4-5D6E-409C-BE32-E72D297353CC}">
              <c16:uniqueId val="{00000001-20E6-4CBF-8F73-8D650B3F304A}"/>
            </c:ext>
          </c:extLst>
        </c:ser>
        <c:dLbls>
          <c:showLegendKey val="0"/>
          <c:showVal val="0"/>
          <c:showCatName val="0"/>
          <c:showSerName val="0"/>
          <c:showPercent val="0"/>
          <c:showBubbleSize val="0"/>
        </c:dLbls>
        <c:axId val="286901231"/>
        <c:axId val="306063599"/>
      </c:areaChart>
      <c:lineChart>
        <c:grouping val="standard"/>
        <c:varyColors val="0"/>
        <c:ser>
          <c:idx val="2"/>
          <c:order val="2"/>
          <c:tx>
            <c:strRef>
              <c:f>'Utility Analysis July 2026'!$F$7</c:f>
              <c:strCache>
                <c:ptCount val="1"/>
                <c:pt idx="0">
                  <c:v>% (Solar/Total Usage)</c:v>
                </c:pt>
              </c:strCache>
            </c:strRef>
          </c:tx>
          <c:spPr>
            <a:ln w="12700" cap="rnd">
              <a:solidFill>
                <a:schemeClr val="accent3"/>
              </a:solidFill>
              <a:round/>
            </a:ln>
            <a:effectLst>
              <a:outerShdw blurRad="40000" dist="23000" dir="5400000" rotWithShape="0">
                <a:srgbClr val="000000">
                  <a:alpha val="35000"/>
                </a:srgbClr>
              </a:outerShdw>
            </a:effectLst>
          </c:spPr>
          <c:marker>
            <c:symbol val="none"/>
          </c:marker>
          <c:dLbls>
            <c:dLbl>
              <c:idx val="12"/>
              <c:layout>
                <c:manualLayout>
                  <c:x val="-5.7641633144296378E-3"/>
                  <c:y val="2.36638086728883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20E6-4CBF-8F73-8D650B3F304A}"/>
                </c:ext>
              </c:extLst>
            </c:dLbl>
            <c:dLbl>
              <c:idx val="14"/>
              <c:layout>
                <c:manualLayout>
                  <c:x val="-2.50745082818319E-2"/>
                  <c:y val="-9.37457685827586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0E6-4CBF-8F73-8D650B3F304A}"/>
                </c:ext>
              </c:extLst>
            </c:dLbl>
            <c:dLbl>
              <c:idx val="18"/>
              <c:layout>
                <c:manualLayout>
                  <c:x val="-1.1557266804650317E-2"/>
                  <c:y val="-3.25014467300908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20E6-4CBF-8F73-8D650B3F304A}"/>
                </c:ext>
              </c:extLst>
            </c:dLbl>
            <c:dLbl>
              <c:idx val="20"/>
              <c:layout>
                <c:manualLayout>
                  <c:x val="-1.1557266804650222E-2"/>
                  <c:y val="-1.76341732410669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0E6-4CBF-8F73-8D650B3F304A}"/>
                </c:ext>
              </c:extLst>
            </c:dLbl>
            <c:dLbl>
              <c:idx val="23"/>
              <c:layout>
                <c:manualLayout>
                  <c:x val="-1.6063013963710845E-2"/>
                  <c:y val="3.85310821619121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20E6-4CBF-8F73-8D650B3F304A}"/>
                </c:ext>
              </c:extLst>
            </c:dLbl>
            <c:dLbl>
              <c:idx val="25"/>
              <c:layout>
                <c:manualLayout>
                  <c:x val="-1.220094497023058E-2"/>
                  <c:y val="3.52272436087957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0E6-4CBF-8F73-8D650B3F304A}"/>
                </c:ext>
              </c:extLst>
            </c:dLbl>
            <c:dLbl>
              <c:idx val="26"/>
              <c:layout>
                <c:manualLayout>
                  <c:x val="-1.1557266804650317E-2"/>
                  <c:y val="3.85310821619122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15-4577-A2B3-FE7C9E7D2FB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'Utility Analysis July 2026'!$F$10:$F$40</c:f>
              <c:numCache>
                <c:formatCode>0%</c:formatCode>
                <c:ptCount val="31"/>
                <c:pt idx="0">
                  <c:v>0.19136112506278252</c:v>
                </c:pt>
                <c:pt idx="1">
                  <c:v>0.14841584158415841</c:v>
                </c:pt>
                <c:pt idx="2">
                  <c:v>5.7795466343658071E-2</c:v>
                </c:pt>
                <c:pt idx="3">
                  <c:v>0.28532289628180041</c:v>
                </c:pt>
                <c:pt idx="4">
                  <c:v>0.16689967999502908</c:v>
                </c:pt>
                <c:pt idx="5">
                  <c:v>0.13797865059257211</c:v>
                </c:pt>
                <c:pt idx="6">
                  <c:v>0.15108167954009127</c:v>
                </c:pt>
                <c:pt idx="7">
                  <c:v>0.11715008623633132</c:v>
                </c:pt>
                <c:pt idx="8">
                  <c:v>0.1651469098277609</c:v>
                </c:pt>
                <c:pt idx="9">
                  <c:v>0.15549434071243712</c:v>
                </c:pt>
                <c:pt idx="10">
                  <c:v>0.11770792614224287</c:v>
                </c:pt>
                <c:pt idx="11">
                  <c:v>6.4798193294342457E-2</c:v>
                </c:pt>
                <c:pt idx="12">
                  <c:v>8.224473473740336E-2</c:v>
                </c:pt>
                <c:pt idx="13">
                  <c:v>0.1492</c:v>
                </c:pt>
                <c:pt idx="14">
                  <c:v>0.14081596152699669</c:v>
                </c:pt>
                <c:pt idx="15">
                  <c:v>0.16035402983070568</c:v>
                </c:pt>
                <c:pt idx="16">
                  <c:v>0.16796110748799431</c:v>
                </c:pt>
                <c:pt idx="17">
                  <c:v>0.28299570288520565</c:v>
                </c:pt>
                <c:pt idx="18">
                  <c:v>0.16025303110173958</c:v>
                </c:pt>
                <c:pt idx="19">
                  <c:v>0.12823877363992336</c:v>
                </c:pt>
                <c:pt idx="20">
                  <c:v>0.11788138828489386</c:v>
                </c:pt>
                <c:pt idx="21">
                  <c:v>0.17047148163043221</c:v>
                </c:pt>
                <c:pt idx="22">
                  <c:v>0.14474660336166514</c:v>
                </c:pt>
                <c:pt idx="23">
                  <c:v>0.155025408772937</c:v>
                </c:pt>
                <c:pt idx="24">
                  <c:v>0.3439879710918175</c:v>
                </c:pt>
                <c:pt idx="25">
                  <c:v>0.33146232145101157</c:v>
                </c:pt>
                <c:pt idx="26">
                  <c:v>0.15357429895738148</c:v>
                </c:pt>
                <c:pt idx="27">
                  <c:v>0.10867920019118937</c:v>
                </c:pt>
                <c:pt idx="28">
                  <c:v>0.15524513671741819</c:v>
                </c:pt>
                <c:pt idx="29">
                  <c:v>0.13438132517766224</c:v>
                </c:pt>
                <c:pt idx="30">
                  <c:v>0.13840253984220288</c:v>
                </c:pt>
              </c:numCache>
            </c:numRef>
          </c:val>
          <c:smooth val="0"/>
          <c:extLst>
            <c:ext xmlns:c16="http://schemas.microsoft.com/office/drawing/2014/chart" uri="{C3380CC4-5D6E-409C-BE32-E72D297353CC}">
              <c16:uniqueId val="{00000002-20E6-4CBF-8F73-8D650B3F304A}"/>
            </c:ext>
          </c:extLst>
        </c:ser>
        <c:dLbls>
          <c:showLegendKey val="0"/>
          <c:showVal val="0"/>
          <c:showCatName val="0"/>
          <c:showSerName val="0"/>
          <c:showPercent val="0"/>
          <c:showBubbleSize val="0"/>
        </c:dLbls>
        <c:marker val="1"/>
        <c:smooth val="0"/>
        <c:axId val="1623692863"/>
        <c:axId val="1623692383"/>
      </c:lineChart>
      <c:catAx>
        <c:axId val="286901231"/>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6063599"/>
        <c:crosses val="autoZero"/>
        <c:auto val="1"/>
        <c:lblAlgn val="ctr"/>
        <c:lblOffset val="100"/>
        <c:noMultiLvlLbl val="0"/>
      </c:catAx>
      <c:valAx>
        <c:axId val="30606359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en-US"/>
          </a:p>
        </c:txPr>
        <c:crossAx val="286901231"/>
        <c:crosses val="autoZero"/>
        <c:crossBetween val="midCat"/>
      </c:valAx>
      <c:valAx>
        <c:axId val="1623692383"/>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1623692863"/>
        <c:crosses val="max"/>
        <c:crossBetween val="between"/>
      </c:valAx>
      <c:catAx>
        <c:axId val="1623692863"/>
        <c:scaling>
          <c:orientation val="minMax"/>
        </c:scaling>
        <c:delete val="1"/>
        <c:axPos val="b"/>
        <c:majorTickMark val="none"/>
        <c:minorTickMark val="none"/>
        <c:tickLblPos val="nextTo"/>
        <c:crossAx val="162369238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40820</xdr:colOff>
      <xdr:row>44</xdr:row>
      <xdr:rowOff>54437</xdr:rowOff>
    </xdr:from>
    <xdr:to>
      <xdr:col>28</xdr:col>
      <xdr:colOff>54427</xdr:colOff>
      <xdr:row>91</xdr:row>
      <xdr:rowOff>13606</xdr:rowOff>
    </xdr:to>
    <xdr:graphicFrame macro="">
      <xdr:nvGraphicFramePr>
        <xdr:cNvPr id="3" name="Chart 2">
          <a:extLst>
            <a:ext uri="{FF2B5EF4-FFF2-40B4-BE49-F238E27FC236}">
              <a16:creationId xmlns:a16="http://schemas.microsoft.com/office/drawing/2014/main" id="{76FCCDFF-ADF4-E0EE-1517-78B332903B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37</xdr:col>
      <xdr:colOff>0</xdr:colOff>
      <xdr:row>78</xdr:row>
      <xdr:rowOff>0</xdr:rowOff>
    </xdr:from>
    <xdr:to>
      <xdr:col>37</xdr:col>
      <xdr:colOff>304800</xdr:colOff>
      <xdr:row>79</xdr:row>
      <xdr:rowOff>304800</xdr:rowOff>
    </xdr:to>
    <xdr:sp macro="" textlink="">
      <xdr:nvSpPr>
        <xdr:cNvPr id="7334" name="avatar">
          <a:extLst>
            <a:ext uri="{FF2B5EF4-FFF2-40B4-BE49-F238E27FC236}">
              <a16:creationId xmlns:a16="http://schemas.microsoft.com/office/drawing/2014/main" id="{5A891EAA-57A7-421D-AA31-B6ECC7F03C90}"/>
            </a:ext>
          </a:extLst>
        </xdr:cNvPr>
        <xdr:cNvSpPr>
          <a:spLocks noChangeAspect="1" noChangeArrowheads="1"/>
        </xdr:cNvSpPr>
      </xdr:nvSpPr>
      <xdr:spPr bwMode="auto">
        <a:xfrm>
          <a:off x="22793325" y="22850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30</v>
    <v>8</v>
    <v>0</v>
    <v>1</v>
  </rv>
  <rv s="1">
    <v>8</v>
    <v>1</v>
  </rv>
</rvData>
</file>

<file path=xl/richData/rdrichvaluestructure.xml><?xml version="1.0" encoding="utf-8"?>
<rvStructures xmlns="http://schemas.microsoft.com/office/spreadsheetml/2017/richdata" count="2">
  <s t="_error">
    <k n="colOffset" t="i"/>
    <k n="errorType" t="i"/>
    <k n="rwOffset" t="i"/>
    <k n="subType" t="i"/>
  </s>
  <s t="_error">
    <k n="errorType" t="i"/>
    <k n="propagated" t="b"/>
  </s>
</rvStructur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xml"/><Relationship Id="rId1" Type="http://schemas.openxmlformats.org/officeDocument/2006/relationships/printerSettings" Target="../printerSettings/printerSettings10.bin"/><Relationship Id="rId4"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ransitionEvaluation="1" codeName="Sheet1">
    <pageSetUpPr fitToPage="1"/>
  </sheetPr>
  <dimension ref="A1:AR414"/>
  <sheetViews>
    <sheetView showGridLines="0" defaultGridColor="0" topLeftCell="S26" colorId="22" zoomScale="115" zoomScaleNormal="115" zoomScaleSheetLayoutView="80" workbookViewId="0">
      <selection activeCell="AD43" sqref="AD43"/>
    </sheetView>
  </sheetViews>
  <sheetFormatPr defaultColWidth="16.28515625" defaultRowHeight="15" x14ac:dyDescent="0.2"/>
  <cols>
    <col min="1" max="1" width="8.28515625" style="189" customWidth="1"/>
    <col min="2" max="3" width="25" style="189" customWidth="1"/>
    <col min="4" max="4" width="18.7109375" style="189" customWidth="1"/>
    <col min="5" max="5" width="19.5703125" style="189" customWidth="1"/>
    <col min="6" max="6" width="17.42578125" style="189" customWidth="1"/>
    <col min="7" max="7" width="16.7109375" style="189" customWidth="1"/>
    <col min="8" max="8" width="13.140625" style="189" customWidth="1"/>
    <col min="9" max="9" width="17.140625" style="189" customWidth="1"/>
    <col min="10" max="10" width="15.42578125" style="189" customWidth="1"/>
    <col min="11" max="11" width="17.7109375" style="189" customWidth="1"/>
    <col min="12" max="12" width="22.7109375" style="189" customWidth="1"/>
    <col min="13" max="13" width="20.7109375" style="189" customWidth="1"/>
    <col min="14" max="14" width="25" style="189" customWidth="1"/>
    <col min="15" max="15" width="19.7109375" style="189" customWidth="1"/>
    <col min="16" max="16" width="18.42578125" style="189" customWidth="1"/>
    <col min="17" max="17" width="20.28515625" style="189" customWidth="1"/>
    <col min="18" max="18" width="18.7109375" style="189" customWidth="1"/>
    <col min="19" max="19" width="21" style="189" customWidth="1"/>
    <col min="20" max="20" width="19.28515625" style="189" customWidth="1"/>
    <col min="21" max="21" width="18" style="189" customWidth="1"/>
    <col min="22" max="22" width="19.42578125" style="383" customWidth="1"/>
    <col min="23" max="23" width="15.7109375" style="189" customWidth="1"/>
    <col min="24" max="24" width="17.28515625" style="189" customWidth="1"/>
    <col min="25" max="25" width="19.5703125" style="189" customWidth="1"/>
    <col min="26" max="26" width="17.5703125" style="189" customWidth="1"/>
    <col min="27" max="27" width="19.42578125" style="189" customWidth="1"/>
    <col min="28" max="28" width="15.42578125" style="189" bestFit="1" customWidth="1"/>
    <col min="29" max="29" width="16.7109375" style="189" customWidth="1"/>
    <col min="30" max="30" width="18" style="189" customWidth="1"/>
    <col min="31" max="31" width="16.5703125" style="189" customWidth="1"/>
    <col min="32" max="33" width="19.28515625" style="189" customWidth="1"/>
    <col min="34" max="34" width="14.28515625" style="189" customWidth="1"/>
    <col min="35" max="35" width="16.28515625" style="189"/>
    <col min="36" max="36" width="17.5703125" style="189" bestFit="1" customWidth="1"/>
    <col min="37" max="37" width="17.5703125" style="189" customWidth="1"/>
    <col min="38" max="40" width="16.28515625" style="189"/>
    <col min="41" max="41" width="16.28515625" style="189" customWidth="1"/>
    <col min="42" max="16384" width="16.28515625" style="189"/>
  </cols>
  <sheetData>
    <row r="1" spans="1:44" ht="18" x14ac:dyDescent="0.2">
      <c r="B1" s="866" t="s">
        <v>212</v>
      </c>
      <c r="C1" s="866"/>
      <c r="D1" s="866"/>
      <c r="E1" s="866"/>
      <c r="F1" s="866"/>
      <c r="G1" s="866"/>
      <c r="H1" s="866"/>
      <c r="I1" s="866"/>
      <c r="J1" s="866"/>
      <c r="K1" s="866"/>
      <c r="L1" s="866"/>
      <c r="M1" s="866"/>
      <c r="N1" s="363"/>
      <c r="O1" s="867" t="str">
        <f>B1</f>
        <v>ENTRIES FOR DAILY CONS. MONITOR</v>
      </c>
      <c r="P1" s="867"/>
      <c r="Q1" s="867"/>
      <c r="R1" s="867"/>
      <c r="S1" s="867"/>
      <c r="T1" s="867"/>
      <c r="U1" s="867"/>
      <c r="V1" s="867"/>
      <c r="W1" s="867"/>
      <c r="X1" s="867"/>
      <c r="Y1" s="867"/>
      <c r="Z1" s="867"/>
      <c r="AA1" s="867"/>
      <c r="AB1" s="867"/>
    </row>
    <row r="2" spans="1:44" ht="16.5" thickBot="1" x14ac:dyDescent="0.25">
      <c r="C2" s="364"/>
      <c r="F2" s="365"/>
      <c r="G2" s="366"/>
      <c r="O2" s="874" t="s">
        <v>234</v>
      </c>
      <c r="P2" s="874"/>
      <c r="Q2" s="874"/>
      <c r="R2" s="874"/>
      <c r="S2" s="874"/>
      <c r="T2" s="874"/>
      <c r="U2" s="874"/>
      <c r="V2" s="874"/>
    </row>
    <row r="3" spans="1:44" ht="20.100000000000001" customHeight="1" x14ac:dyDescent="0.2">
      <c r="A3" s="367"/>
      <c r="B3" s="368"/>
      <c r="C3" s="369"/>
      <c r="D3" s="369" t="s">
        <v>4</v>
      </c>
      <c r="E3" s="369"/>
      <c r="F3" s="370"/>
      <c r="G3" s="370"/>
      <c r="H3" s="371"/>
      <c r="I3" s="368"/>
      <c r="J3" s="369" t="s">
        <v>22</v>
      </c>
      <c r="K3" s="370"/>
      <c r="L3" s="857" t="s">
        <v>56</v>
      </c>
      <c r="M3" s="858"/>
      <c r="N3" s="859"/>
      <c r="O3" s="868" t="s">
        <v>3</v>
      </c>
      <c r="P3" s="868"/>
      <c r="Q3" s="868"/>
      <c r="R3" s="868"/>
      <c r="S3" s="868"/>
      <c r="T3" s="868"/>
      <c r="U3" s="868"/>
      <c r="V3" s="868"/>
      <c r="W3" s="868"/>
      <c r="X3" s="868"/>
      <c r="Y3" s="868"/>
      <c r="Z3" s="868"/>
      <c r="AA3" s="868"/>
      <c r="AB3" s="868"/>
      <c r="AC3" s="868"/>
      <c r="AD3" s="373"/>
      <c r="AE3" s="374"/>
      <c r="AF3" s="373"/>
      <c r="AG3" s="852" t="s">
        <v>209</v>
      </c>
      <c r="AH3" s="850" t="s">
        <v>207</v>
      </c>
      <c r="AI3" s="850" t="s">
        <v>208</v>
      </c>
      <c r="AJ3" s="853" t="s">
        <v>236</v>
      </c>
      <c r="AK3" s="418"/>
      <c r="AL3" s="854" t="s">
        <v>181</v>
      </c>
      <c r="AM3" s="854"/>
      <c r="AN3" s="854"/>
      <c r="AO3" s="854"/>
    </row>
    <row r="4" spans="1:44" ht="20.100000000000001" customHeight="1" x14ac:dyDescent="0.2">
      <c r="A4" s="375"/>
      <c r="B4" s="372" t="s">
        <v>23</v>
      </c>
      <c r="C4" s="373" t="s">
        <v>27</v>
      </c>
      <c r="D4" s="373" t="s">
        <v>25</v>
      </c>
      <c r="E4" s="373" t="s">
        <v>26</v>
      </c>
      <c r="F4" s="373" t="s">
        <v>27</v>
      </c>
      <c r="G4" s="373" t="s">
        <v>24</v>
      </c>
      <c r="H4" s="376" t="s">
        <v>28</v>
      </c>
      <c r="I4" s="372" t="s">
        <v>29</v>
      </c>
      <c r="J4" s="373" t="s">
        <v>30</v>
      </c>
      <c r="K4" s="373" t="s">
        <v>31</v>
      </c>
      <c r="L4" s="875" t="s">
        <v>292</v>
      </c>
      <c r="M4" s="377" t="s">
        <v>263</v>
      </c>
      <c r="N4" s="860" t="s">
        <v>170</v>
      </c>
      <c r="O4" s="862" t="s">
        <v>103</v>
      </c>
      <c r="P4" s="862" t="s">
        <v>104</v>
      </c>
      <c r="Q4" s="862" t="s">
        <v>163</v>
      </c>
      <c r="R4" s="862" t="s">
        <v>174</v>
      </c>
      <c r="S4" s="862" t="s">
        <v>105</v>
      </c>
      <c r="T4" s="862" t="s">
        <v>175</v>
      </c>
      <c r="U4" s="862" t="s">
        <v>106</v>
      </c>
      <c r="V4" s="872" t="s">
        <v>239</v>
      </c>
      <c r="W4" s="862" t="s">
        <v>180</v>
      </c>
      <c r="X4" s="373" t="s">
        <v>99</v>
      </c>
      <c r="Y4" s="373" t="s">
        <v>100</v>
      </c>
      <c r="Z4" s="373" t="s">
        <v>101</v>
      </c>
      <c r="AA4" s="868" t="s">
        <v>71</v>
      </c>
      <c r="AB4" s="870" t="s">
        <v>72</v>
      </c>
      <c r="AC4" s="873" t="s">
        <v>154</v>
      </c>
      <c r="AD4" s="862" t="s">
        <v>157</v>
      </c>
      <c r="AE4" s="862" t="s">
        <v>158</v>
      </c>
      <c r="AF4" s="862" t="s">
        <v>162</v>
      </c>
      <c r="AG4" s="852"/>
      <c r="AH4" s="851"/>
      <c r="AI4" s="851"/>
      <c r="AJ4" s="853"/>
      <c r="AK4" s="418"/>
      <c r="AL4" s="379" t="s">
        <v>279</v>
      </c>
      <c r="AM4" s="379" t="s">
        <v>182</v>
      </c>
      <c r="AN4" s="379" t="s">
        <v>183</v>
      </c>
      <c r="AO4" s="379" t="s">
        <v>184</v>
      </c>
    </row>
    <row r="5" spans="1:44" ht="20.100000000000001" customHeight="1" thickBot="1" x14ac:dyDescent="0.25">
      <c r="A5" s="378" t="s">
        <v>7</v>
      </c>
      <c r="B5" s="372" t="s">
        <v>255</v>
      </c>
      <c r="C5" s="373" t="s">
        <v>255</v>
      </c>
      <c r="D5" s="373" t="s">
        <v>32</v>
      </c>
      <c r="E5" s="373" t="s">
        <v>33</v>
      </c>
      <c r="F5" s="373" t="s">
        <v>34</v>
      </c>
      <c r="G5" s="373" t="s">
        <v>34</v>
      </c>
      <c r="H5" s="376" t="s">
        <v>35</v>
      </c>
      <c r="I5" s="467" t="s">
        <v>36</v>
      </c>
      <c r="J5" s="468" t="s">
        <v>36</v>
      </c>
      <c r="K5" s="468" t="s">
        <v>36</v>
      </c>
      <c r="L5" s="876"/>
      <c r="M5" s="469" t="s">
        <v>264</v>
      </c>
      <c r="N5" s="861"/>
      <c r="O5" s="863"/>
      <c r="P5" s="862"/>
      <c r="Q5" s="862"/>
      <c r="R5" s="862"/>
      <c r="S5" s="863"/>
      <c r="T5" s="863"/>
      <c r="U5" s="863"/>
      <c r="V5" s="872"/>
      <c r="W5" s="864"/>
      <c r="X5" s="373" t="s">
        <v>107</v>
      </c>
      <c r="Y5" s="373" t="s">
        <v>107</v>
      </c>
      <c r="Z5" s="373" t="s">
        <v>107</v>
      </c>
      <c r="AA5" s="869"/>
      <c r="AB5" s="871"/>
      <c r="AC5" s="873"/>
      <c r="AD5" s="862"/>
      <c r="AE5" s="862"/>
      <c r="AF5" s="865"/>
      <c r="AG5" s="852"/>
      <c r="AH5" s="851"/>
      <c r="AI5" s="851"/>
      <c r="AJ5" s="853"/>
      <c r="AK5" s="418"/>
      <c r="AL5" s="379" t="s">
        <v>266</v>
      </c>
      <c r="AM5" s="379" t="s">
        <v>185</v>
      </c>
      <c r="AN5" s="379" t="s">
        <v>185</v>
      </c>
      <c r="AO5" s="379" t="s">
        <v>281</v>
      </c>
    </row>
    <row r="6" spans="1:44" ht="26.1" customHeight="1" x14ac:dyDescent="0.2">
      <c r="A6" s="379">
        <v>1</v>
      </c>
      <c r="B6" s="822">
        <v>8296880</v>
      </c>
      <c r="C6" s="823"/>
      <c r="D6" s="823"/>
      <c r="E6" s="823">
        <v>64</v>
      </c>
      <c r="F6" s="823">
        <v>9818.2999999999993</v>
      </c>
      <c r="G6" s="823">
        <v>68225</v>
      </c>
      <c r="H6" s="824"/>
      <c r="I6" s="825">
        <v>1275845</v>
      </c>
      <c r="J6" s="826"/>
      <c r="K6" s="824">
        <v>468000</v>
      </c>
      <c r="L6" s="823">
        <v>48242.18</v>
      </c>
      <c r="M6" s="827">
        <v>502510.38</v>
      </c>
      <c r="N6" s="825">
        <v>70845.179999999993</v>
      </c>
      <c r="O6" s="828">
        <v>239094</v>
      </c>
      <c r="P6" s="829">
        <v>71771</v>
      </c>
      <c r="Q6" s="823">
        <v>973280</v>
      </c>
      <c r="R6" s="823"/>
      <c r="S6" s="823">
        <v>86793</v>
      </c>
      <c r="T6" s="823"/>
      <c r="U6" s="823">
        <v>252</v>
      </c>
      <c r="V6" s="830">
        <v>1351661</v>
      </c>
      <c r="W6" s="823"/>
      <c r="X6" s="831">
        <v>46205</v>
      </c>
      <c r="Y6" s="823">
        <v>64265</v>
      </c>
      <c r="Z6" s="823">
        <v>14156</v>
      </c>
      <c r="AA6" s="823">
        <v>97122</v>
      </c>
      <c r="AB6" s="823"/>
      <c r="AC6" s="823">
        <v>5518</v>
      </c>
      <c r="AD6" s="823">
        <v>263573</v>
      </c>
      <c r="AE6" s="823"/>
      <c r="AF6" s="825"/>
      <c r="AG6" s="823"/>
      <c r="AH6" s="823"/>
      <c r="AI6" s="832"/>
      <c r="AJ6" s="823">
        <v>7369202.8509999998</v>
      </c>
      <c r="AK6" s="444"/>
      <c r="AL6" s="464"/>
      <c r="AM6" s="465"/>
      <c r="AN6" s="464"/>
      <c r="AO6" s="464"/>
    </row>
    <row r="7" spans="1:44" ht="26.1" customHeight="1" x14ac:dyDescent="0.2">
      <c r="A7" s="379">
        <v>2</v>
      </c>
      <c r="B7" s="822">
        <v>8299720</v>
      </c>
      <c r="C7" s="823"/>
      <c r="D7" s="823"/>
      <c r="E7" s="823">
        <v>64</v>
      </c>
      <c r="F7" s="823">
        <v>9839.4</v>
      </c>
      <c r="G7" s="823">
        <v>68225</v>
      </c>
      <c r="H7" s="824"/>
      <c r="I7" s="825">
        <v>1282285</v>
      </c>
      <c r="J7" s="833"/>
      <c r="K7" s="824">
        <v>468000</v>
      </c>
      <c r="L7" s="823">
        <v>49225.89</v>
      </c>
      <c r="M7" s="827">
        <v>505237.47</v>
      </c>
      <c r="N7" s="825">
        <v>71138.77</v>
      </c>
      <c r="O7" s="828">
        <v>239360</v>
      </c>
      <c r="P7" s="829">
        <v>71948</v>
      </c>
      <c r="Q7" s="823">
        <v>973498</v>
      </c>
      <c r="R7" s="823"/>
      <c r="S7" s="834">
        <v>86947</v>
      </c>
      <c r="T7" s="823"/>
      <c r="U7" s="823">
        <v>255</v>
      </c>
      <c r="V7" s="830">
        <v>1351849</v>
      </c>
      <c r="W7" s="823"/>
      <c r="X7" s="831">
        <v>46247</v>
      </c>
      <c r="Y7" s="823">
        <v>64329</v>
      </c>
      <c r="Z7" s="823">
        <v>14171</v>
      </c>
      <c r="AA7" s="823">
        <v>97122</v>
      </c>
      <c r="AB7" s="823"/>
      <c r="AC7" s="823">
        <v>5537</v>
      </c>
      <c r="AD7" s="823">
        <v>263573</v>
      </c>
      <c r="AE7" s="823"/>
      <c r="AF7" s="825"/>
      <c r="AG7" s="823"/>
      <c r="AH7" s="823"/>
      <c r="AI7" s="832"/>
      <c r="AJ7" s="823">
        <v>7369202.8509999998</v>
      </c>
      <c r="AK7" s="445"/>
      <c r="AL7" s="461"/>
      <c r="AM7" s="460"/>
      <c r="AN7" s="460"/>
      <c r="AO7" s="460"/>
    </row>
    <row r="8" spans="1:44" ht="26.1" customHeight="1" x14ac:dyDescent="0.2">
      <c r="A8" s="379">
        <v>3</v>
      </c>
      <c r="B8" s="822">
        <v>8303170</v>
      </c>
      <c r="C8" s="823"/>
      <c r="D8" s="823"/>
      <c r="E8" s="823">
        <v>64</v>
      </c>
      <c r="F8" s="823">
        <v>9860.7999999999993</v>
      </c>
      <c r="G8" s="823">
        <v>68225</v>
      </c>
      <c r="H8" s="824"/>
      <c r="I8" s="825">
        <v>1290886</v>
      </c>
      <c r="J8" s="833"/>
      <c r="K8" s="824">
        <v>468000</v>
      </c>
      <c r="L8" s="823">
        <v>49786.92</v>
      </c>
      <c r="M8" s="827">
        <v>507678.46</v>
      </c>
      <c r="N8" s="825">
        <v>71585.36</v>
      </c>
      <c r="O8" s="828">
        <v>239629</v>
      </c>
      <c r="P8" s="829">
        <v>72161</v>
      </c>
      <c r="Q8" s="823">
        <v>973745</v>
      </c>
      <c r="R8" s="823"/>
      <c r="S8" s="823">
        <v>87167</v>
      </c>
      <c r="T8" s="823"/>
      <c r="U8" s="823">
        <v>262</v>
      </c>
      <c r="V8" s="830">
        <v>1352069</v>
      </c>
      <c r="W8" s="823"/>
      <c r="X8" s="831">
        <v>46297</v>
      </c>
      <c r="Y8" s="823">
        <v>64412</v>
      </c>
      <c r="Z8" s="823">
        <v>14189</v>
      </c>
      <c r="AA8" s="823">
        <v>97122</v>
      </c>
      <c r="AB8" s="823"/>
      <c r="AC8" s="823">
        <v>5567</v>
      </c>
      <c r="AD8" s="823">
        <v>263573</v>
      </c>
      <c r="AE8" s="823"/>
      <c r="AF8" s="825"/>
      <c r="AG8" s="823"/>
      <c r="AH8" s="823"/>
      <c r="AI8" s="832"/>
      <c r="AJ8" s="823">
        <v>7369202.8509999998</v>
      </c>
      <c r="AK8" s="445"/>
      <c r="AL8" s="461"/>
      <c r="AM8" s="460"/>
      <c r="AN8" s="460"/>
      <c r="AO8" s="460"/>
    </row>
    <row r="9" spans="1:44" ht="26.1" customHeight="1" x14ac:dyDescent="0.2">
      <c r="A9" s="379">
        <v>4</v>
      </c>
      <c r="B9" s="822">
        <v>8306160</v>
      </c>
      <c r="C9" s="823"/>
      <c r="D9" s="823"/>
      <c r="E9" s="823">
        <v>64</v>
      </c>
      <c r="F9" s="823">
        <v>9880.7000000000007</v>
      </c>
      <c r="G9" s="823">
        <v>68225</v>
      </c>
      <c r="H9" s="824"/>
      <c r="I9" s="825">
        <v>1299598</v>
      </c>
      <c r="J9" s="833"/>
      <c r="K9" s="824">
        <v>468000</v>
      </c>
      <c r="L9" s="823">
        <v>50298.22</v>
      </c>
      <c r="M9" s="827">
        <v>509591.38</v>
      </c>
      <c r="N9" s="825">
        <v>71795.41</v>
      </c>
      <c r="O9" s="828">
        <v>239636</v>
      </c>
      <c r="P9" s="829">
        <v>72304</v>
      </c>
      <c r="Q9" s="823">
        <v>973931</v>
      </c>
      <c r="R9" s="823"/>
      <c r="S9" s="823">
        <v>87307</v>
      </c>
      <c r="T9" s="823"/>
      <c r="U9" s="823">
        <v>264</v>
      </c>
      <c r="V9" s="830">
        <v>1352218</v>
      </c>
      <c r="W9" s="823"/>
      <c r="X9" s="831">
        <v>46316</v>
      </c>
      <c r="Y9" s="823">
        <v>64498</v>
      </c>
      <c r="Z9" s="823">
        <v>14206</v>
      </c>
      <c r="AA9" s="823">
        <v>97122</v>
      </c>
      <c r="AB9" s="823"/>
      <c r="AC9" s="823">
        <v>5590</v>
      </c>
      <c r="AD9" s="835">
        <v>263568</v>
      </c>
      <c r="AE9" s="823"/>
      <c r="AF9" s="825"/>
      <c r="AG9" s="823"/>
      <c r="AH9" s="823"/>
      <c r="AI9" s="823"/>
      <c r="AJ9" s="823">
        <v>7369284.8159999996</v>
      </c>
      <c r="AK9" s="444"/>
      <c r="AL9" s="462"/>
      <c r="AM9" s="460"/>
      <c r="AN9" s="460"/>
      <c r="AO9" s="388"/>
    </row>
    <row r="10" spans="1:44" ht="26.1" customHeight="1" x14ac:dyDescent="0.2">
      <c r="A10" s="379">
        <v>5</v>
      </c>
      <c r="B10" s="822">
        <v>8307100</v>
      </c>
      <c r="C10" s="823"/>
      <c r="D10" s="823"/>
      <c r="E10" s="823">
        <v>64</v>
      </c>
      <c r="F10" s="823">
        <v>9887.4</v>
      </c>
      <c r="G10" s="823">
        <v>68225</v>
      </c>
      <c r="H10" s="824"/>
      <c r="I10" s="825">
        <v>1303250</v>
      </c>
      <c r="J10" s="833"/>
      <c r="K10" s="824">
        <v>468000</v>
      </c>
      <c r="L10" s="823">
        <v>50298.22</v>
      </c>
      <c r="M10" s="827">
        <v>509591.38</v>
      </c>
      <c r="N10" s="825">
        <v>71795.41</v>
      </c>
      <c r="O10" s="828">
        <v>239657</v>
      </c>
      <c r="P10" s="829">
        <v>72488</v>
      </c>
      <c r="Q10" s="823">
        <v>974012</v>
      </c>
      <c r="R10" s="823"/>
      <c r="S10" s="823">
        <v>87371</v>
      </c>
      <c r="T10" s="823"/>
      <c r="U10" s="823">
        <v>300</v>
      </c>
      <c r="V10" s="830">
        <v>1352412</v>
      </c>
      <c r="W10" s="823"/>
      <c r="X10" s="831">
        <v>46316</v>
      </c>
      <c r="Y10" s="823">
        <v>64503</v>
      </c>
      <c r="Z10" s="823">
        <v>14212</v>
      </c>
      <c r="AA10" s="823">
        <v>97122</v>
      </c>
      <c r="AB10" s="823"/>
      <c r="AC10" s="823">
        <v>5590</v>
      </c>
      <c r="AD10" s="835">
        <v>263568</v>
      </c>
      <c r="AE10" s="823"/>
      <c r="AF10" s="825"/>
      <c r="AG10" s="823"/>
      <c r="AH10" s="823"/>
      <c r="AI10" s="823"/>
      <c r="AJ10" s="823">
        <v>7369294.3930000002</v>
      </c>
      <c r="AK10" s="444"/>
      <c r="AL10" s="462"/>
      <c r="AM10" s="460"/>
      <c r="AN10" s="460"/>
      <c r="AO10" s="388"/>
    </row>
    <row r="11" spans="1:44" ht="25.15" customHeight="1" x14ac:dyDescent="0.2">
      <c r="A11" s="379">
        <v>6</v>
      </c>
      <c r="B11" s="823">
        <v>8308580</v>
      </c>
      <c r="C11" s="823"/>
      <c r="D11" s="823"/>
      <c r="E11" s="823">
        <v>64</v>
      </c>
      <c r="F11" s="823">
        <v>9896.4</v>
      </c>
      <c r="G11" s="823">
        <v>68225</v>
      </c>
      <c r="H11" s="824"/>
      <c r="I11" s="825">
        <v>1308613</v>
      </c>
      <c r="J11" s="833"/>
      <c r="K11" s="824">
        <v>468000</v>
      </c>
      <c r="L11" s="823">
        <v>50340.57</v>
      </c>
      <c r="M11" s="827">
        <v>509699.38</v>
      </c>
      <c r="N11" s="825">
        <v>71811.710000000006</v>
      </c>
      <c r="O11" s="828">
        <v>239658</v>
      </c>
      <c r="P11" s="829">
        <v>72529</v>
      </c>
      <c r="Q11" s="823">
        <v>974101</v>
      </c>
      <c r="R11" s="823"/>
      <c r="S11" s="823">
        <v>87378</v>
      </c>
      <c r="T11" s="823"/>
      <c r="U11" s="823">
        <v>303</v>
      </c>
      <c r="V11" s="830">
        <v>1352454</v>
      </c>
      <c r="W11" s="823"/>
      <c r="X11" s="831">
        <v>46317</v>
      </c>
      <c r="Y11" s="823">
        <v>64537</v>
      </c>
      <c r="Z11" s="823">
        <v>14226</v>
      </c>
      <c r="AA11" s="823">
        <v>97122</v>
      </c>
      <c r="AB11" s="823"/>
      <c r="AC11" s="823">
        <v>5591</v>
      </c>
      <c r="AD11" s="835">
        <v>263555</v>
      </c>
      <c r="AE11" s="823"/>
      <c r="AF11" s="825"/>
      <c r="AG11" s="823"/>
      <c r="AH11" s="823"/>
      <c r="AI11" s="823"/>
      <c r="AJ11" s="823">
        <v>7369729.8289999999</v>
      </c>
      <c r="AK11" s="444"/>
      <c r="AL11" s="462"/>
      <c r="AM11" s="460"/>
      <c r="AN11" s="460"/>
      <c r="AO11" s="388"/>
    </row>
    <row r="12" spans="1:44" ht="26.25" customHeight="1" x14ac:dyDescent="0.2">
      <c r="A12" s="379">
        <v>7</v>
      </c>
      <c r="B12" s="822">
        <v>8310990</v>
      </c>
      <c r="C12" s="823"/>
      <c r="D12" s="823"/>
      <c r="E12" s="823">
        <v>64</v>
      </c>
      <c r="F12" s="823">
        <v>9911.7999999999993</v>
      </c>
      <c r="G12" s="823">
        <v>68225</v>
      </c>
      <c r="H12" s="824"/>
      <c r="I12" s="825">
        <v>1315792</v>
      </c>
      <c r="J12" s="833"/>
      <c r="K12" s="824">
        <v>468000</v>
      </c>
      <c r="L12" s="823">
        <v>51246.97</v>
      </c>
      <c r="M12" s="827">
        <v>511528.81</v>
      </c>
      <c r="N12" s="825">
        <v>72023.41</v>
      </c>
      <c r="O12" s="828">
        <v>239783</v>
      </c>
      <c r="P12" s="829">
        <v>72717</v>
      </c>
      <c r="Q12" s="823">
        <v>974327</v>
      </c>
      <c r="R12" s="823"/>
      <c r="S12" s="823">
        <v>87483</v>
      </c>
      <c r="T12" s="823"/>
      <c r="U12" s="823">
        <v>309</v>
      </c>
      <c r="V12" s="830">
        <v>1352651</v>
      </c>
      <c r="W12" s="823"/>
      <c r="X12" s="831">
        <v>46382</v>
      </c>
      <c r="Y12" s="823">
        <v>64613</v>
      </c>
      <c r="Z12" s="823">
        <v>14253</v>
      </c>
      <c r="AA12" s="823">
        <v>97122</v>
      </c>
      <c r="AB12" s="823"/>
      <c r="AC12" s="823">
        <v>5620</v>
      </c>
      <c r="AD12" s="823">
        <v>263558</v>
      </c>
      <c r="AE12" s="823"/>
      <c r="AF12" s="825"/>
      <c r="AG12" s="823"/>
      <c r="AH12" s="823"/>
      <c r="AI12" s="823"/>
      <c r="AJ12" s="823">
        <v>7369729.8289999999</v>
      </c>
      <c r="AK12" s="444"/>
      <c r="AL12" s="462"/>
      <c r="AM12" s="460"/>
      <c r="AN12" s="460"/>
      <c r="AO12" s="388"/>
    </row>
    <row r="13" spans="1:44" ht="27" customHeight="1" x14ac:dyDescent="0.2">
      <c r="A13" s="379">
        <v>8</v>
      </c>
      <c r="B13" s="822">
        <v>8313800</v>
      </c>
      <c r="C13" s="823"/>
      <c r="D13" s="823"/>
      <c r="E13" s="823">
        <v>64</v>
      </c>
      <c r="F13" s="823">
        <v>9931</v>
      </c>
      <c r="G13" s="823">
        <v>68225</v>
      </c>
      <c r="H13" s="824"/>
      <c r="I13" s="825">
        <v>1323958</v>
      </c>
      <c r="J13" s="833"/>
      <c r="K13" s="824">
        <v>468000</v>
      </c>
      <c r="L13" s="823">
        <v>51888.07</v>
      </c>
      <c r="M13" s="827">
        <v>512905.5</v>
      </c>
      <c r="N13" s="825">
        <v>72141.08</v>
      </c>
      <c r="O13" s="828">
        <v>240050</v>
      </c>
      <c r="P13" s="829">
        <v>72841</v>
      </c>
      <c r="Q13" s="823">
        <v>974472</v>
      </c>
      <c r="R13" s="823"/>
      <c r="S13" s="823">
        <v>87619</v>
      </c>
      <c r="T13" s="823"/>
      <c r="U13" s="823">
        <v>316</v>
      </c>
      <c r="V13" s="830">
        <v>1352781</v>
      </c>
      <c r="W13" s="823"/>
      <c r="X13" s="831">
        <v>46398</v>
      </c>
      <c r="Y13" s="823">
        <v>64662</v>
      </c>
      <c r="Z13" s="823">
        <v>14282</v>
      </c>
      <c r="AA13" s="823">
        <v>97122</v>
      </c>
      <c r="AB13" s="823"/>
      <c r="AC13" s="823">
        <v>5636</v>
      </c>
      <c r="AD13" s="823">
        <v>263613</v>
      </c>
      <c r="AE13" s="823"/>
      <c r="AF13" s="825"/>
      <c r="AG13" s="823"/>
      <c r="AH13" s="823"/>
      <c r="AI13" s="823"/>
      <c r="AJ13" s="823">
        <v>7369758.8550000004</v>
      </c>
      <c r="AK13" s="192"/>
      <c r="AL13" s="462"/>
      <c r="AM13" s="460"/>
      <c r="AN13" s="460"/>
      <c r="AO13" s="388"/>
    </row>
    <row r="14" spans="1:44" s="380" customFormat="1" ht="26.1" customHeight="1" x14ac:dyDescent="0.2">
      <c r="A14" s="379">
        <v>9</v>
      </c>
      <c r="B14" s="822">
        <v>8317310</v>
      </c>
      <c r="C14" s="823"/>
      <c r="D14" s="823"/>
      <c r="E14" s="823">
        <v>64</v>
      </c>
      <c r="F14" s="823">
        <v>9951.2000000000007</v>
      </c>
      <c r="G14" s="823">
        <v>68225</v>
      </c>
      <c r="H14" s="824"/>
      <c r="I14" s="825">
        <v>1334042</v>
      </c>
      <c r="J14" s="833"/>
      <c r="K14" s="824">
        <v>468000</v>
      </c>
      <c r="L14" s="823">
        <v>52910.04</v>
      </c>
      <c r="M14" s="823">
        <v>516105.19</v>
      </c>
      <c r="N14" s="825">
        <v>72421.320000000007</v>
      </c>
      <c r="O14" s="828">
        <v>240051</v>
      </c>
      <c r="P14" s="829">
        <v>72958</v>
      </c>
      <c r="Q14" s="823">
        <v>974696</v>
      </c>
      <c r="R14" s="823"/>
      <c r="S14" s="823">
        <v>87813</v>
      </c>
      <c r="T14" s="823"/>
      <c r="U14" s="823">
        <v>321</v>
      </c>
      <c r="V14" s="830">
        <v>1352904</v>
      </c>
      <c r="W14" s="823"/>
      <c r="X14" s="831">
        <v>46433</v>
      </c>
      <c r="Y14" s="823">
        <v>64743</v>
      </c>
      <c r="Z14" s="823">
        <v>14314</v>
      </c>
      <c r="AA14" s="823">
        <v>97122</v>
      </c>
      <c r="AB14" s="823"/>
      <c r="AC14" s="823">
        <v>5668</v>
      </c>
      <c r="AD14" s="823">
        <v>263673</v>
      </c>
      <c r="AE14" s="823"/>
      <c r="AF14" s="825"/>
      <c r="AG14" s="823"/>
      <c r="AH14" s="823"/>
      <c r="AI14" s="823"/>
      <c r="AJ14" s="823">
        <v>7369758.8550000004</v>
      </c>
      <c r="AK14" s="192"/>
      <c r="AL14" s="462"/>
      <c r="AM14" s="460"/>
      <c r="AN14" s="460"/>
      <c r="AO14" s="388"/>
      <c r="AP14" s="189"/>
      <c r="AQ14" s="189"/>
      <c r="AR14" s="189"/>
    </row>
    <row r="15" spans="1:44" ht="26.1" customHeight="1" x14ac:dyDescent="0.2">
      <c r="A15" s="379">
        <v>10</v>
      </c>
      <c r="B15" s="822">
        <v>8319820</v>
      </c>
      <c r="C15" s="823"/>
      <c r="D15" s="823"/>
      <c r="E15" s="823">
        <v>64</v>
      </c>
      <c r="F15" s="823">
        <v>9970.7000000000007</v>
      </c>
      <c r="G15" s="823">
        <v>68225</v>
      </c>
      <c r="H15" s="824"/>
      <c r="I15" s="836">
        <v>1340634</v>
      </c>
      <c r="J15" s="826"/>
      <c r="K15" s="824">
        <v>468000</v>
      </c>
      <c r="L15" s="823">
        <v>53307</v>
      </c>
      <c r="M15" s="827">
        <v>517705.91</v>
      </c>
      <c r="N15" s="825">
        <v>72579.13</v>
      </c>
      <c r="O15" s="828">
        <v>240264</v>
      </c>
      <c r="P15" s="829">
        <v>73153</v>
      </c>
      <c r="Q15" s="823">
        <v>974908</v>
      </c>
      <c r="R15" s="823"/>
      <c r="S15" s="823">
        <v>87878</v>
      </c>
      <c r="T15" s="823"/>
      <c r="U15" s="823">
        <v>321</v>
      </c>
      <c r="V15" s="830">
        <v>1353108</v>
      </c>
      <c r="W15" s="823"/>
      <c r="X15" s="831">
        <v>46485</v>
      </c>
      <c r="Y15" s="823">
        <v>64816</v>
      </c>
      <c r="Z15" s="823">
        <v>14342</v>
      </c>
      <c r="AA15" s="823">
        <v>97122</v>
      </c>
      <c r="AB15" s="823"/>
      <c r="AC15" s="823">
        <v>5689</v>
      </c>
      <c r="AD15" s="823">
        <v>263676</v>
      </c>
      <c r="AE15" s="823"/>
      <c r="AF15" s="825"/>
      <c r="AG15" s="823"/>
      <c r="AH15" s="823"/>
      <c r="AI15" s="823"/>
      <c r="AJ15" s="823">
        <v>7369758.8550000004</v>
      </c>
      <c r="AK15" s="192"/>
      <c r="AL15" s="462"/>
      <c r="AM15" s="388"/>
      <c r="AN15" s="388"/>
      <c r="AO15" s="388"/>
    </row>
    <row r="16" spans="1:44" ht="26.1" customHeight="1" x14ac:dyDescent="0.2">
      <c r="A16" s="379">
        <v>11</v>
      </c>
      <c r="B16" s="822">
        <v>8322770</v>
      </c>
      <c r="C16" s="823"/>
      <c r="D16" s="823"/>
      <c r="E16" s="823">
        <v>64</v>
      </c>
      <c r="F16" s="823">
        <v>9989.6</v>
      </c>
      <c r="G16" s="823">
        <v>68225</v>
      </c>
      <c r="H16" s="824"/>
      <c r="I16" s="825">
        <v>1348237</v>
      </c>
      <c r="J16" s="826"/>
      <c r="K16" s="824">
        <v>468000</v>
      </c>
      <c r="L16" s="823">
        <v>54036.04</v>
      </c>
      <c r="M16" s="827">
        <v>519534.59</v>
      </c>
      <c r="N16" s="825">
        <v>72780.289999999994</v>
      </c>
      <c r="O16" s="828">
        <v>240498</v>
      </c>
      <c r="P16" s="829">
        <v>73332</v>
      </c>
      <c r="Q16" s="823">
        <v>975095</v>
      </c>
      <c r="R16" s="823"/>
      <c r="S16" s="823">
        <v>88042</v>
      </c>
      <c r="T16" s="823"/>
      <c r="U16" s="823">
        <v>323</v>
      </c>
      <c r="V16" s="830">
        <v>1353296</v>
      </c>
      <c r="W16" s="823"/>
      <c r="X16" s="831">
        <v>46515</v>
      </c>
      <c r="Y16" s="823">
        <v>64886</v>
      </c>
      <c r="Z16" s="823">
        <v>14375</v>
      </c>
      <c r="AA16" s="823">
        <v>97122</v>
      </c>
      <c r="AB16" s="823"/>
      <c r="AC16" s="823">
        <v>5712</v>
      </c>
      <c r="AD16" s="823">
        <v>263676</v>
      </c>
      <c r="AE16" s="823"/>
      <c r="AF16" s="825"/>
      <c r="AG16" s="823"/>
      <c r="AH16" s="823"/>
      <c r="AI16" s="823"/>
      <c r="AJ16" s="823">
        <v>7369758.8550000004</v>
      </c>
      <c r="AK16" s="192"/>
      <c r="AL16" s="462"/>
      <c r="AM16" s="388"/>
      <c r="AN16" s="388"/>
      <c r="AO16" s="388"/>
    </row>
    <row r="17" spans="1:41" ht="26.1" customHeight="1" x14ac:dyDescent="0.2">
      <c r="A17" s="379">
        <v>12</v>
      </c>
      <c r="B17" s="822">
        <v>8324770</v>
      </c>
      <c r="C17" s="823"/>
      <c r="D17" s="823"/>
      <c r="E17" s="823">
        <v>64</v>
      </c>
      <c r="F17" s="823">
        <v>10004</v>
      </c>
      <c r="G17" s="823">
        <v>68225</v>
      </c>
      <c r="H17" s="824"/>
      <c r="I17" s="825">
        <v>1352074</v>
      </c>
      <c r="J17" s="826"/>
      <c r="K17" s="824">
        <v>468000</v>
      </c>
      <c r="L17" s="823">
        <v>54036.04</v>
      </c>
      <c r="M17" s="827">
        <v>519676.67</v>
      </c>
      <c r="N17" s="825">
        <v>72780.289999999994</v>
      </c>
      <c r="O17" s="828">
        <v>240498</v>
      </c>
      <c r="P17" s="829">
        <v>73429</v>
      </c>
      <c r="Q17" s="823">
        <v>975195</v>
      </c>
      <c r="R17" s="823"/>
      <c r="S17" s="823">
        <v>88138</v>
      </c>
      <c r="T17" s="823"/>
      <c r="U17" s="823">
        <v>323</v>
      </c>
      <c r="V17" s="830">
        <v>1353396</v>
      </c>
      <c r="W17" s="823"/>
      <c r="X17" s="831">
        <v>46515</v>
      </c>
      <c r="Y17" s="823">
        <v>64927</v>
      </c>
      <c r="Z17" s="823">
        <v>14388</v>
      </c>
      <c r="AA17" s="823">
        <v>97122</v>
      </c>
      <c r="AB17" s="823"/>
      <c r="AC17" s="823">
        <v>5717</v>
      </c>
      <c r="AD17" s="823">
        <v>263676</v>
      </c>
      <c r="AE17" s="823"/>
      <c r="AF17" s="825"/>
      <c r="AG17" s="823"/>
      <c r="AH17" s="823"/>
      <c r="AI17" s="823"/>
      <c r="AJ17" s="823">
        <v>7369758.8550000004</v>
      </c>
      <c r="AK17" s="192"/>
      <c r="AL17" s="462"/>
      <c r="AM17" s="388"/>
      <c r="AN17" s="388"/>
      <c r="AO17" s="388"/>
    </row>
    <row r="18" spans="1:41" ht="26.1" customHeight="1" x14ac:dyDescent="0.2">
      <c r="A18" s="379">
        <v>13</v>
      </c>
      <c r="B18" s="822">
        <v>8327250</v>
      </c>
      <c r="C18" s="823"/>
      <c r="D18" s="823"/>
      <c r="E18" s="823">
        <v>64</v>
      </c>
      <c r="F18" s="823">
        <v>10023.48</v>
      </c>
      <c r="G18" s="823">
        <v>68225</v>
      </c>
      <c r="H18" s="824"/>
      <c r="I18" s="825">
        <v>1356919</v>
      </c>
      <c r="J18" s="826"/>
      <c r="K18" s="824">
        <v>468000</v>
      </c>
      <c r="L18" s="823">
        <v>54036.04</v>
      </c>
      <c r="M18" s="827">
        <v>519676.67</v>
      </c>
      <c r="N18" s="825">
        <v>72780.289999999994</v>
      </c>
      <c r="O18" s="828">
        <v>240747</v>
      </c>
      <c r="P18" s="829">
        <v>73645</v>
      </c>
      <c r="Q18" s="823">
        <v>975627</v>
      </c>
      <c r="R18" s="823"/>
      <c r="S18" s="823">
        <v>88197</v>
      </c>
      <c r="T18" s="823"/>
      <c r="U18" s="823">
        <v>323</v>
      </c>
      <c r="V18" s="830">
        <v>1353622</v>
      </c>
      <c r="W18" s="823"/>
      <c r="X18" s="831">
        <v>46525</v>
      </c>
      <c r="Y18" s="823">
        <v>64927</v>
      </c>
      <c r="Z18" s="823">
        <v>14403</v>
      </c>
      <c r="AA18" s="823">
        <v>97122</v>
      </c>
      <c r="AB18" s="823"/>
      <c r="AC18" s="823">
        <v>5717</v>
      </c>
      <c r="AD18" s="823">
        <v>263676</v>
      </c>
      <c r="AE18" s="823"/>
      <c r="AF18" s="825"/>
      <c r="AG18" s="823"/>
      <c r="AH18" s="823"/>
      <c r="AI18" s="823"/>
      <c r="AJ18" s="823">
        <v>7369758.8550000004</v>
      </c>
      <c r="AK18" s="192"/>
      <c r="AL18" s="462"/>
      <c r="AM18" s="388"/>
      <c r="AN18" s="388"/>
      <c r="AO18" s="388"/>
    </row>
    <row r="19" spans="1:41" ht="26.1" customHeight="1" x14ac:dyDescent="0.2">
      <c r="A19" s="379">
        <v>14</v>
      </c>
      <c r="B19" s="822">
        <v>8329530</v>
      </c>
      <c r="C19" s="823"/>
      <c r="D19" s="823"/>
      <c r="E19" s="823">
        <v>64</v>
      </c>
      <c r="F19" s="823">
        <v>10040</v>
      </c>
      <c r="G19" s="823">
        <v>68225</v>
      </c>
      <c r="H19" s="824"/>
      <c r="I19" s="825">
        <v>1365181</v>
      </c>
      <c r="J19" s="826"/>
      <c r="K19" s="824">
        <v>468000</v>
      </c>
      <c r="L19" s="823">
        <v>54242.37</v>
      </c>
      <c r="M19" s="827">
        <v>521143.41</v>
      </c>
      <c r="N19" s="825">
        <v>72993.3</v>
      </c>
      <c r="O19" s="828">
        <v>240947</v>
      </c>
      <c r="P19" s="829">
        <v>73725</v>
      </c>
      <c r="Q19" s="823">
        <v>975702</v>
      </c>
      <c r="R19" s="823"/>
      <c r="S19" s="823">
        <v>88232</v>
      </c>
      <c r="T19" s="823"/>
      <c r="U19" s="823">
        <v>328</v>
      </c>
      <c r="V19" s="830">
        <v>1353706</v>
      </c>
      <c r="W19" s="823"/>
      <c r="X19" s="831">
        <v>46575</v>
      </c>
      <c r="Y19" s="823">
        <v>65015</v>
      </c>
      <c r="Z19" s="823">
        <v>14420</v>
      </c>
      <c r="AA19" s="823">
        <v>97122</v>
      </c>
      <c r="AB19" s="823"/>
      <c r="AC19" s="823">
        <v>5743</v>
      </c>
      <c r="AD19" s="823">
        <v>263676</v>
      </c>
      <c r="AE19" s="823"/>
      <c r="AF19" s="825"/>
      <c r="AG19" s="823"/>
      <c r="AH19" s="823"/>
      <c r="AI19" s="823"/>
      <c r="AJ19" s="823">
        <v>7369758.8550000004</v>
      </c>
      <c r="AK19" s="192"/>
      <c r="AL19" s="388"/>
      <c r="AM19" s="388"/>
      <c r="AN19" s="388"/>
      <c r="AO19" s="388"/>
    </row>
    <row r="20" spans="1:41" ht="26.1" customHeight="1" x14ac:dyDescent="0.2">
      <c r="A20" s="379">
        <v>15</v>
      </c>
      <c r="B20" s="822">
        <v>8333150</v>
      </c>
      <c r="C20" s="823"/>
      <c r="D20" s="823"/>
      <c r="E20" s="823">
        <v>64</v>
      </c>
      <c r="F20" s="823">
        <v>10062.1</v>
      </c>
      <c r="G20" s="823">
        <v>68225</v>
      </c>
      <c r="H20" s="824"/>
      <c r="I20" s="825">
        <v>1373689</v>
      </c>
      <c r="J20" s="826"/>
      <c r="K20" s="824">
        <v>468000</v>
      </c>
      <c r="L20" s="823">
        <v>54674.27</v>
      </c>
      <c r="M20" s="827">
        <v>523362.81</v>
      </c>
      <c r="N20" s="825">
        <v>73303.16</v>
      </c>
      <c r="O20" s="828">
        <v>241144</v>
      </c>
      <c r="P20" s="829">
        <v>73864</v>
      </c>
      <c r="Q20" s="823">
        <v>976173</v>
      </c>
      <c r="R20" s="823"/>
      <c r="S20" s="823">
        <v>88438</v>
      </c>
      <c r="T20" s="823"/>
      <c r="U20" s="823">
        <v>331</v>
      </c>
      <c r="V20" s="830">
        <v>1353843</v>
      </c>
      <c r="W20" s="823"/>
      <c r="X20" s="831">
        <v>46598</v>
      </c>
      <c r="Y20" s="823">
        <v>65134</v>
      </c>
      <c r="Z20" s="823">
        <v>14444</v>
      </c>
      <c r="AA20" s="823">
        <v>97122</v>
      </c>
      <c r="AB20" s="823"/>
      <c r="AC20" s="823">
        <v>5774</v>
      </c>
      <c r="AD20" s="823">
        <v>263679</v>
      </c>
      <c r="AE20" s="823"/>
      <c r="AF20" s="825"/>
      <c r="AG20" s="823"/>
      <c r="AH20" s="823"/>
      <c r="AI20" s="823"/>
      <c r="AJ20" s="823">
        <v>7369758.8550000004</v>
      </c>
      <c r="AK20" s="192"/>
      <c r="AL20" s="388"/>
      <c r="AM20" s="388"/>
      <c r="AN20" s="388"/>
      <c r="AO20" s="388"/>
    </row>
    <row r="21" spans="1:41" ht="26.1" customHeight="1" x14ac:dyDescent="0.2">
      <c r="A21" s="379">
        <v>16</v>
      </c>
      <c r="B21" s="822">
        <v>8336140</v>
      </c>
      <c r="C21" s="823"/>
      <c r="D21" s="823"/>
      <c r="E21" s="823">
        <v>64</v>
      </c>
      <c r="F21" s="823">
        <v>10082.9</v>
      </c>
      <c r="G21" s="823">
        <v>68225</v>
      </c>
      <c r="H21" s="824"/>
      <c r="I21" s="825">
        <v>1382336</v>
      </c>
      <c r="J21" s="826"/>
      <c r="K21" s="824">
        <v>468000</v>
      </c>
      <c r="L21" s="823">
        <v>55084.36</v>
      </c>
      <c r="M21" s="827">
        <v>525158.18000000005</v>
      </c>
      <c r="N21" s="825">
        <v>73570.55</v>
      </c>
      <c r="O21" s="828">
        <v>241502</v>
      </c>
      <c r="P21" s="829">
        <v>74032</v>
      </c>
      <c r="Q21" s="823">
        <v>976360</v>
      </c>
      <c r="R21" s="823"/>
      <c r="S21" s="823">
        <v>88589</v>
      </c>
      <c r="T21" s="823"/>
      <c r="U21" s="823">
        <v>334</v>
      </c>
      <c r="V21" s="830">
        <v>1354020</v>
      </c>
      <c r="W21" s="823"/>
      <c r="X21" s="831">
        <v>46620</v>
      </c>
      <c r="Y21" s="823">
        <v>65231</v>
      </c>
      <c r="Z21" s="823">
        <v>14465</v>
      </c>
      <c r="AA21" s="823">
        <v>97122</v>
      </c>
      <c r="AB21" s="823"/>
      <c r="AC21" s="823">
        <v>5799</v>
      </c>
      <c r="AD21" s="823">
        <v>263679</v>
      </c>
      <c r="AE21" s="823"/>
      <c r="AF21" s="825"/>
      <c r="AG21" s="823"/>
      <c r="AH21" s="823"/>
      <c r="AI21" s="823"/>
      <c r="AJ21" s="823">
        <v>7369758.8550000004</v>
      </c>
      <c r="AK21" s="192"/>
      <c r="AL21" s="388"/>
      <c r="AM21" s="388"/>
      <c r="AN21" s="388"/>
      <c r="AO21" s="388"/>
    </row>
    <row r="22" spans="1:41" ht="26.1" customHeight="1" x14ac:dyDescent="0.2">
      <c r="A22" s="379">
        <v>17</v>
      </c>
      <c r="B22" s="822">
        <v>8339050</v>
      </c>
      <c r="C22" s="823"/>
      <c r="D22" s="823"/>
      <c r="E22" s="823">
        <v>64</v>
      </c>
      <c r="F22" s="823">
        <v>10101.700000000001</v>
      </c>
      <c r="G22" s="823">
        <v>68225</v>
      </c>
      <c r="H22" s="824"/>
      <c r="I22" s="825">
        <v>1389840</v>
      </c>
      <c r="J22" s="826"/>
      <c r="K22" s="824">
        <v>468000</v>
      </c>
      <c r="L22" s="823">
        <v>55783.27</v>
      </c>
      <c r="M22" s="827">
        <v>527398.68999999994</v>
      </c>
      <c r="N22" s="825">
        <v>73789.23</v>
      </c>
      <c r="O22" s="828">
        <v>241638</v>
      </c>
      <c r="P22" s="829">
        <v>74229</v>
      </c>
      <c r="Q22" s="823">
        <v>976516</v>
      </c>
      <c r="R22" s="823"/>
      <c r="S22" s="823">
        <v>88754</v>
      </c>
      <c r="T22" s="823"/>
      <c r="U22" s="823">
        <v>335</v>
      </c>
      <c r="V22" s="830">
        <v>1354217</v>
      </c>
      <c r="W22" s="823"/>
      <c r="X22" s="831">
        <v>46666</v>
      </c>
      <c r="Y22" s="823">
        <v>65301</v>
      </c>
      <c r="Z22" s="823">
        <v>14484</v>
      </c>
      <c r="AA22" s="823">
        <v>97122</v>
      </c>
      <c r="AB22" s="823"/>
      <c r="AC22" s="823">
        <v>5826</v>
      </c>
      <c r="AD22" s="823">
        <v>263705</v>
      </c>
      <c r="AE22" s="823"/>
      <c r="AF22" s="825"/>
      <c r="AG22" s="823"/>
      <c r="AH22" s="823"/>
      <c r="AI22" s="823"/>
      <c r="AJ22" s="823">
        <v>7369758.8550000004</v>
      </c>
      <c r="AK22" s="192"/>
      <c r="AL22" s="388"/>
      <c r="AM22" s="388"/>
      <c r="AN22" s="388"/>
      <c r="AO22" s="388"/>
    </row>
    <row r="23" spans="1:41" ht="26.1" customHeight="1" x14ac:dyDescent="0.2">
      <c r="A23" s="379">
        <v>18</v>
      </c>
      <c r="B23" s="822">
        <v>8341880</v>
      </c>
      <c r="C23" s="823"/>
      <c r="D23" s="823"/>
      <c r="E23" s="823">
        <v>64</v>
      </c>
      <c r="F23" s="823">
        <v>10121.1</v>
      </c>
      <c r="G23" s="823">
        <v>68225</v>
      </c>
      <c r="H23" s="824"/>
      <c r="I23" s="825">
        <v>1396857</v>
      </c>
      <c r="J23" s="826"/>
      <c r="K23" s="824">
        <v>468000</v>
      </c>
      <c r="L23" s="823">
        <v>56601.65</v>
      </c>
      <c r="M23" s="827">
        <v>528475.18999999994</v>
      </c>
      <c r="N23" s="825">
        <v>73830.69</v>
      </c>
      <c r="O23" s="828">
        <v>241712</v>
      </c>
      <c r="P23" s="829">
        <v>74491</v>
      </c>
      <c r="Q23" s="823">
        <v>976708</v>
      </c>
      <c r="R23" s="823"/>
      <c r="S23" s="823">
        <v>88918</v>
      </c>
      <c r="T23" s="823"/>
      <c r="U23" s="823">
        <v>337</v>
      </c>
      <c r="V23" s="830">
        <v>1354492</v>
      </c>
      <c r="W23" s="823"/>
      <c r="X23" s="831">
        <v>46713</v>
      </c>
      <c r="Y23" s="823">
        <v>65325</v>
      </c>
      <c r="Z23" s="823">
        <v>14503</v>
      </c>
      <c r="AA23" s="823">
        <v>97122</v>
      </c>
      <c r="AB23" s="823"/>
      <c r="AC23" s="823">
        <v>5835</v>
      </c>
      <c r="AD23" s="823">
        <v>263735</v>
      </c>
      <c r="AE23" s="823"/>
      <c r="AF23" s="825"/>
      <c r="AG23" s="823"/>
      <c r="AH23" s="823"/>
      <c r="AI23" s="823"/>
      <c r="AJ23" s="823">
        <v>7369758.8550000004</v>
      </c>
      <c r="AK23" s="192"/>
      <c r="AL23" s="388"/>
      <c r="AM23" s="388"/>
      <c r="AN23" s="388"/>
      <c r="AO23" s="388"/>
    </row>
    <row r="24" spans="1:41" ht="26.1" customHeight="1" x14ac:dyDescent="0.2">
      <c r="A24" s="379">
        <v>19</v>
      </c>
      <c r="B24" s="822">
        <v>8342720</v>
      </c>
      <c r="C24" s="823"/>
      <c r="D24" s="823"/>
      <c r="E24" s="823">
        <v>64</v>
      </c>
      <c r="F24" s="823">
        <v>10126.9</v>
      </c>
      <c r="G24" s="823">
        <v>68225</v>
      </c>
      <c r="H24" s="824"/>
      <c r="I24" s="825">
        <v>1400361</v>
      </c>
      <c r="J24" s="826"/>
      <c r="K24" s="824">
        <v>468000</v>
      </c>
      <c r="L24" s="823">
        <v>56601.65</v>
      </c>
      <c r="M24" s="827">
        <v>528475.18999999994</v>
      </c>
      <c r="N24" s="825">
        <v>73830.69</v>
      </c>
      <c r="O24" s="828">
        <v>241742</v>
      </c>
      <c r="P24" s="829">
        <v>74598</v>
      </c>
      <c r="Q24" s="823">
        <v>976779</v>
      </c>
      <c r="R24" s="823"/>
      <c r="S24" s="823">
        <v>88958</v>
      </c>
      <c r="T24" s="823"/>
      <c r="U24" s="823">
        <v>337</v>
      </c>
      <c r="V24" s="830">
        <v>1354604</v>
      </c>
      <c r="W24" s="823"/>
      <c r="X24" s="831">
        <v>46714</v>
      </c>
      <c r="Y24" s="823">
        <v>65353</v>
      </c>
      <c r="Z24" s="823">
        <v>14510</v>
      </c>
      <c r="AA24" s="823">
        <v>97122</v>
      </c>
      <c r="AB24" s="823"/>
      <c r="AC24" s="823">
        <v>5865</v>
      </c>
      <c r="AD24" s="823">
        <v>263735</v>
      </c>
      <c r="AE24" s="823"/>
      <c r="AF24" s="825"/>
      <c r="AG24" s="823"/>
      <c r="AH24" s="823"/>
      <c r="AI24" s="823"/>
      <c r="AJ24" s="823">
        <v>7369758.8550000004</v>
      </c>
      <c r="AK24" s="192"/>
      <c r="AL24" s="388"/>
      <c r="AM24" s="388"/>
      <c r="AN24" s="388"/>
      <c r="AO24" s="388"/>
    </row>
    <row r="25" spans="1:41" ht="26.1" customHeight="1" x14ac:dyDescent="0.2">
      <c r="A25" s="379">
        <v>20</v>
      </c>
      <c r="B25" s="822">
        <v>8344730</v>
      </c>
      <c r="C25" s="823"/>
      <c r="D25" s="823"/>
      <c r="E25" s="823">
        <v>64</v>
      </c>
      <c r="F25" s="823">
        <v>10141.200000000001</v>
      </c>
      <c r="G25" s="823">
        <v>68225</v>
      </c>
      <c r="H25" s="824"/>
      <c r="I25" s="825">
        <v>1405140</v>
      </c>
      <c r="J25" s="826"/>
      <c r="K25" s="824">
        <v>468000</v>
      </c>
      <c r="L25" s="823">
        <v>56722.89</v>
      </c>
      <c r="M25" s="827">
        <v>528773.06000000006</v>
      </c>
      <c r="N25" s="825">
        <v>73830.69</v>
      </c>
      <c r="O25" s="828">
        <v>241784</v>
      </c>
      <c r="P25" s="829">
        <v>74665</v>
      </c>
      <c r="Q25" s="837">
        <v>976828</v>
      </c>
      <c r="R25" s="823"/>
      <c r="S25" s="823">
        <v>89016</v>
      </c>
      <c r="T25" s="823"/>
      <c r="U25" s="823">
        <v>337</v>
      </c>
      <c r="V25" s="830">
        <v>1354675</v>
      </c>
      <c r="W25" s="823"/>
      <c r="X25" s="831">
        <v>46740</v>
      </c>
      <c r="Y25" s="823">
        <v>65353</v>
      </c>
      <c r="Z25" s="823">
        <v>14522</v>
      </c>
      <c r="AA25" s="823">
        <v>97122</v>
      </c>
      <c r="AB25" s="823"/>
      <c r="AC25" s="823">
        <v>5865</v>
      </c>
      <c r="AD25" s="823">
        <v>263735</v>
      </c>
      <c r="AE25" s="823"/>
      <c r="AF25" s="825"/>
      <c r="AG25" s="823"/>
      <c r="AH25" s="823"/>
      <c r="AI25" s="823"/>
      <c r="AJ25" s="823">
        <v>7369758.8550000004</v>
      </c>
      <c r="AK25" s="192"/>
      <c r="AL25" s="388"/>
      <c r="AM25" s="388"/>
      <c r="AN25" s="388"/>
      <c r="AO25" s="388"/>
    </row>
    <row r="26" spans="1:41" ht="26.1" customHeight="1" x14ac:dyDescent="0.2">
      <c r="A26" s="379">
        <v>21</v>
      </c>
      <c r="B26" s="822">
        <v>8348050</v>
      </c>
      <c r="C26" s="823"/>
      <c r="D26" s="823"/>
      <c r="E26" s="823">
        <v>64</v>
      </c>
      <c r="F26" s="823">
        <v>10162.200000000001</v>
      </c>
      <c r="G26" s="823">
        <v>68225</v>
      </c>
      <c r="H26" s="824"/>
      <c r="I26" s="825">
        <v>1413511</v>
      </c>
      <c r="J26" s="826"/>
      <c r="K26" s="824">
        <v>468000</v>
      </c>
      <c r="L26" s="823">
        <v>57781.85</v>
      </c>
      <c r="M26" s="827">
        <v>531080.25</v>
      </c>
      <c r="N26" s="825">
        <v>74072.289999999994</v>
      </c>
      <c r="O26" s="828">
        <v>241915</v>
      </c>
      <c r="P26" s="829">
        <v>74822</v>
      </c>
      <c r="Q26" s="837">
        <v>977044</v>
      </c>
      <c r="R26" s="823"/>
      <c r="S26" s="823">
        <v>89113</v>
      </c>
      <c r="T26" s="823"/>
      <c r="U26" s="823">
        <v>341</v>
      </c>
      <c r="V26" s="830">
        <v>1354844</v>
      </c>
      <c r="W26" s="823"/>
      <c r="X26" s="831">
        <v>46790</v>
      </c>
      <c r="Y26" s="823">
        <v>65444</v>
      </c>
      <c r="Z26" s="823">
        <v>14544</v>
      </c>
      <c r="AA26" s="823">
        <v>97122</v>
      </c>
      <c r="AB26" s="823"/>
      <c r="AC26" s="823">
        <v>5866</v>
      </c>
      <c r="AD26" s="823">
        <v>263742</v>
      </c>
      <c r="AE26" s="823"/>
      <c r="AF26" s="825"/>
      <c r="AG26" s="823"/>
      <c r="AH26" s="823"/>
      <c r="AI26" s="823"/>
      <c r="AJ26" s="823">
        <v>7369792.6739999996</v>
      </c>
      <c r="AK26" s="192"/>
      <c r="AL26" s="388"/>
      <c r="AM26" s="388"/>
      <c r="AN26" s="388"/>
      <c r="AO26" s="388"/>
    </row>
    <row r="27" spans="1:41" ht="26.1" customHeight="1" x14ac:dyDescent="0.2">
      <c r="A27" s="379">
        <v>22</v>
      </c>
      <c r="B27" s="822">
        <v>8352010</v>
      </c>
      <c r="C27" s="823"/>
      <c r="D27" s="823"/>
      <c r="E27" s="823">
        <v>64</v>
      </c>
      <c r="F27" s="823">
        <v>10185.9</v>
      </c>
      <c r="G27" s="823">
        <v>68225</v>
      </c>
      <c r="H27" s="824"/>
      <c r="I27" s="825">
        <v>1424140</v>
      </c>
      <c r="J27" s="826"/>
      <c r="K27" s="824">
        <v>468000</v>
      </c>
      <c r="L27" s="823">
        <v>58876.13</v>
      </c>
      <c r="M27" s="827">
        <v>534230.41</v>
      </c>
      <c r="N27" s="825">
        <v>74386.83</v>
      </c>
      <c r="O27" s="828">
        <v>242204</v>
      </c>
      <c r="P27" s="829">
        <v>74943</v>
      </c>
      <c r="Q27" s="823">
        <v>977355</v>
      </c>
      <c r="R27" s="823"/>
      <c r="S27" s="823">
        <v>89349</v>
      </c>
      <c r="T27" s="823"/>
      <c r="U27" s="823">
        <v>346</v>
      </c>
      <c r="V27" s="830">
        <v>1354966</v>
      </c>
      <c r="W27" s="823"/>
      <c r="X27" s="831">
        <v>46856</v>
      </c>
      <c r="Y27" s="823">
        <v>65545</v>
      </c>
      <c r="Z27" s="823">
        <v>14568</v>
      </c>
      <c r="AA27" s="823">
        <v>97122</v>
      </c>
      <c r="AB27" s="823"/>
      <c r="AC27" s="823">
        <v>5889</v>
      </c>
      <c r="AD27" s="823">
        <v>263768</v>
      </c>
      <c r="AE27" s="823"/>
      <c r="AF27" s="825"/>
      <c r="AG27" s="823"/>
      <c r="AH27" s="823"/>
      <c r="AI27" s="823"/>
      <c r="AJ27" s="823">
        <v>7369792.6739999996</v>
      </c>
      <c r="AK27" s="192"/>
      <c r="AL27" s="388"/>
      <c r="AM27" s="388"/>
      <c r="AN27" s="388"/>
      <c r="AO27" s="388"/>
    </row>
    <row r="28" spans="1:41" ht="26.1" customHeight="1" x14ac:dyDescent="0.2">
      <c r="A28" s="379">
        <v>23</v>
      </c>
      <c r="B28" s="822">
        <v>8354990</v>
      </c>
      <c r="C28" s="823"/>
      <c r="D28" s="823"/>
      <c r="E28" s="823">
        <v>64</v>
      </c>
      <c r="F28" s="823">
        <v>10205</v>
      </c>
      <c r="G28" s="823">
        <v>68225</v>
      </c>
      <c r="H28" s="824"/>
      <c r="I28" s="825">
        <v>1431153</v>
      </c>
      <c r="J28" s="826"/>
      <c r="K28" s="824">
        <v>468000</v>
      </c>
      <c r="L28" s="823">
        <v>59583.15</v>
      </c>
      <c r="M28" s="827">
        <v>535736.13</v>
      </c>
      <c r="N28" s="825">
        <v>74474.740000000005</v>
      </c>
      <c r="O28" s="828">
        <v>242383</v>
      </c>
      <c r="P28" s="829">
        <v>75158</v>
      </c>
      <c r="Q28" s="823">
        <v>977491</v>
      </c>
      <c r="R28" s="823"/>
      <c r="S28" s="823">
        <v>89491</v>
      </c>
      <c r="T28" s="823"/>
      <c r="U28" s="823">
        <v>348</v>
      </c>
      <c r="V28" s="830">
        <v>1355191</v>
      </c>
      <c r="W28" s="823"/>
      <c r="X28" s="831">
        <v>46882</v>
      </c>
      <c r="Y28" s="823">
        <v>65601</v>
      </c>
      <c r="Z28" s="823">
        <v>14569</v>
      </c>
      <c r="AA28" s="823">
        <v>97122</v>
      </c>
      <c r="AB28" s="823"/>
      <c r="AC28" s="823">
        <v>5898</v>
      </c>
      <c r="AD28" s="823">
        <v>263820</v>
      </c>
      <c r="AE28" s="823"/>
      <c r="AF28" s="825"/>
      <c r="AG28" s="823"/>
      <c r="AH28" s="823"/>
      <c r="AI28" s="823"/>
      <c r="AJ28" s="823">
        <v>7369792.6739999996</v>
      </c>
      <c r="AK28" s="192"/>
      <c r="AL28" s="388"/>
      <c r="AM28" s="388"/>
      <c r="AN28" s="388"/>
      <c r="AO28" s="388"/>
    </row>
    <row r="29" spans="1:41" ht="26.1" customHeight="1" x14ac:dyDescent="0.2">
      <c r="A29" s="379">
        <v>24</v>
      </c>
      <c r="B29" s="822">
        <v>8358220</v>
      </c>
      <c r="C29" s="823"/>
      <c r="D29" s="823"/>
      <c r="E29" s="823">
        <v>64</v>
      </c>
      <c r="F29" s="823">
        <v>10225.4</v>
      </c>
      <c r="G29" s="823">
        <v>68225</v>
      </c>
      <c r="H29" s="824"/>
      <c r="I29" s="825">
        <v>1439223</v>
      </c>
      <c r="J29" s="826"/>
      <c r="K29" s="824">
        <v>468000</v>
      </c>
      <c r="L29" s="823">
        <v>60196.03</v>
      </c>
      <c r="M29" s="827">
        <v>537772.78</v>
      </c>
      <c r="N29" s="825">
        <v>74626.98</v>
      </c>
      <c r="O29" s="828">
        <v>242532</v>
      </c>
      <c r="P29" s="829">
        <v>75361</v>
      </c>
      <c r="Q29" s="823">
        <v>977650</v>
      </c>
      <c r="R29" s="823"/>
      <c r="S29" s="823">
        <v>89750</v>
      </c>
      <c r="T29" s="823"/>
      <c r="U29" s="823">
        <v>350</v>
      </c>
      <c r="V29" s="830">
        <v>1355403</v>
      </c>
      <c r="W29" s="823"/>
      <c r="X29" s="831">
        <v>46919</v>
      </c>
      <c r="Y29" s="823">
        <v>65665</v>
      </c>
      <c r="Z29" s="823">
        <v>14609</v>
      </c>
      <c r="AA29" s="823">
        <v>97122</v>
      </c>
      <c r="AB29" s="823"/>
      <c r="AC29" s="823">
        <v>5917</v>
      </c>
      <c r="AD29" s="823">
        <v>263820</v>
      </c>
      <c r="AE29" s="823"/>
      <c r="AF29" s="825"/>
      <c r="AG29" s="823"/>
      <c r="AH29" s="823"/>
      <c r="AI29" s="823"/>
      <c r="AJ29" s="823">
        <v>7369792.6739999996</v>
      </c>
      <c r="AK29" s="192"/>
      <c r="AL29" s="388"/>
      <c r="AM29" s="388"/>
      <c r="AN29" s="388"/>
      <c r="AO29" s="388"/>
    </row>
    <row r="30" spans="1:41" ht="26.1" customHeight="1" x14ac:dyDescent="0.2">
      <c r="A30" s="379">
        <v>25</v>
      </c>
      <c r="B30" s="822">
        <v>8361060</v>
      </c>
      <c r="C30" s="823"/>
      <c r="D30" s="823"/>
      <c r="E30" s="823">
        <v>64</v>
      </c>
      <c r="F30" s="823">
        <v>10240.200000000001</v>
      </c>
      <c r="G30" s="823">
        <v>68225</v>
      </c>
      <c r="H30" s="824"/>
      <c r="I30" s="825">
        <v>1447171</v>
      </c>
      <c r="J30" s="826"/>
      <c r="K30" s="824">
        <v>468000</v>
      </c>
      <c r="L30" s="823">
        <v>60400.51</v>
      </c>
      <c r="M30" s="827">
        <v>538560.5</v>
      </c>
      <c r="N30" s="825">
        <v>74689.240000000005</v>
      </c>
      <c r="O30" s="828">
        <v>242765</v>
      </c>
      <c r="P30" s="829">
        <v>75565</v>
      </c>
      <c r="Q30" s="823">
        <v>977808</v>
      </c>
      <c r="R30" s="823"/>
      <c r="S30" s="823">
        <v>89870</v>
      </c>
      <c r="T30" s="823"/>
      <c r="U30" s="823">
        <v>353</v>
      </c>
      <c r="V30" s="830">
        <v>1355657</v>
      </c>
      <c r="W30" s="823"/>
      <c r="X30" s="831">
        <v>46968</v>
      </c>
      <c r="Y30" s="823">
        <v>65712</v>
      </c>
      <c r="Z30" s="823">
        <v>14627</v>
      </c>
      <c r="AA30" s="823">
        <v>97122</v>
      </c>
      <c r="AB30" s="823"/>
      <c r="AC30" s="823">
        <v>5928</v>
      </c>
      <c r="AD30" s="823">
        <v>263820</v>
      </c>
      <c r="AE30" s="823"/>
      <c r="AF30" s="825"/>
      <c r="AG30" s="823"/>
      <c r="AH30" s="823"/>
      <c r="AI30" s="823"/>
      <c r="AJ30" s="823">
        <v>7369792.6739999996</v>
      </c>
      <c r="AK30" s="192"/>
      <c r="AL30" s="388"/>
      <c r="AM30" s="388"/>
      <c r="AN30" s="388"/>
      <c r="AO30" s="388"/>
    </row>
    <row r="31" spans="1:41" ht="26.1" customHeight="1" x14ac:dyDescent="0.2">
      <c r="A31" s="379">
        <v>26</v>
      </c>
      <c r="B31" s="822">
        <v>8361510</v>
      </c>
      <c r="C31" s="823"/>
      <c r="D31" s="823"/>
      <c r="E31" s="823">
        <v>64</v>
      </c>
      <c r="F31" s="823">
        <v>10248</v>
      </c>
      <c r="G31" s="823">
        <v>68225</v>
      </c>
      <c r="H31" s="824"/>
      <c r="I31" s="825">
        <v>1449876</v>
      </c>
      <c r="J31" s="826"/>
      <c r="K31" s="824">
        <v>468000</v>
      </c>
      <c r="L31" s="823">
        <v>60400.57</v>
      </c>
      <c r="M31" s="827">
        <v>538560.5</v>
      </c>
      <c r="N31" s="825">
        <v>74689.240000000005</v>
      </c>
      <c r="O31" s="828">
        <v>242892</v>
      </c>
      <c r="P31" s="829">
        <v>75701</v>
      </c>
      <c r="Q31" s="823">
        <v>977890</v>
      </c>
      <c r="R31" s="823"/>
      <c r="S31" s="823">
        <v>89871</v>
      </c>
      <c r="T31" s="823"/>
      <c r="U31" s="823">
        <v>353</v>
      </c>
      <c r="V31" s="830">
        <v>1355760</v>
      </c>
      <c r="W31" s="823"/>
      <c r="X31" s="831">
        <v>46968</v>
      </c>
      <c r="Y31" s="823">
        <v>65743</v>
      </c>
      <c r="Z31" s="823">
        <v>14630</v>
      </c>
      <c r="AA31" s="823">
        <v>97122</v>
      </c>
      <c r="AB31" s="823"/>
      <c r="AC31" s="823">
        <v>5928</v>
      </c>
      <c r="AD31" s="823">
        <v>263820</v>
      </c>
      <c r="AE31" s="823"/>
      <c r="AF31" s="825"/>
      <c r="AG31" s="823"/>
      <c r="AH31" s="823"/>
      <c r="AI31" s="823"/>
      <c r="AJ31" s="823">
        <v>7369792.6739999996</v>
      </c>
      <c r="AK31" s="192"/>
      <c r="AL31" s="388"/>
      <c r="AM31" s="388"/>
      <c r="AN31" s="388"/>
      <c r="AO31" s="388"/>
    </row>
    <row r="32" spans="1:41" ht="26.1" customHeight="1" x14ac:dyDescent="0.2">
      <c r="A32" s="379">
        <v>27</v>
      </c>
      <c r="B32" s="822">
        <v>8362450</v>
      </c>
      <c r="C32" s="823"/>
      <c r="D32" s="823"/>
      <c r="E32" s="823">
        <v>64</v>
      </c>
      <c r="F32" s="823">
        <v>10254.6</v>
      </c>
      <c r="G32" s="823">
        <v>68225</v>
      </c>
      <c r="H32" s="824"/>
      <c r="I32" s="825">
        <v>1453068</v>
      </c>
      <c r="J32" s="826"/>
      <c r="K32" s="824">
        <v>468000</v>
      </c>
      <c r="L32" s="823">
        <v>60408.68</v>
      </c>
      <c r="M32" s="827">
        <v>538762.56000000006</v>
      </c>
      <c r="N32" s="825">
        <v>74689.240000000005</v>
      </c>
      <c r="O32" s="828">
        <v>242892</v>
      </c>
      <c r="P32" s="829">
        <v>75701</v>
      </c>
      <c r="Q32" s="823">
        <v>977921</v>
      </c>
      <c r="R32" s="823"/>
      <c r="S32" s="840">
        <v>89875</v>
      </c>
      <c r="T32" s="823"/>
      <c r="U32" s="823">
        <v>353</v>
      </c>
      <c r="V32" s="830">
        <v>1355760</v>
      </c>
      <c r="W32" s="823"/>
      <c r="X32" s="831">
        <v>46976</v>
      </c>
      <c r="Y32" s="823">
        <v>65743</v>
      </c>
      <c r="Z32" s="823">
        <v>14654</v>
      </c>
      <c r="AA32" s="823">
        <v>97122</v>
      </c>
      <c r="AB32" s="823"/>
      <c r="AC32" s="823">
        <v>5928</v>
      </c>
      <c r="AD32" s="823">
        <v>263820</v>
      </c>
      <c r="AE32" s="823"/>
      <c r="AF32" s="825"/>
      <c r="AG32" s="823"/>
      <c r="AH32" s="823"/>
      <c r="AI32" s="823"/>
      <c r="AJ32" s="823">
        <v>7369792.6739999996</v>
      </c>
      <c r="AK32" s="192"/>
      <c r="AL32" s="388"/>
      <c r="AM32" s="388"/>
      <c r="AN32" s="388"/>
      <c r="AO32" s="388"/>
    </row>
    <row r="33" spans="1:41" ht="26.1" customHeight="1" x14ac:dyDescent="0.2">
      <c r="A33" s="379">
        <v>28</v>
      </c>
      <c r="B33" s="822">
        <v>8365320</v>
      </c>
      <c r="C33" s="823"/>
      <c r="D33" s="823"/>
      <c r="E33" s="823">
        <v>64</v>
      </c>
      <c r="F33" s="823">
        <v>10274.4</v>
      </c>
      <c r="G33" s="823">
        <v>68225</v>
      </c>
      <c r="H33" s="824"/>
      <c r="I33" s="825">
        <v>1460756</v>
      </c>
      <c r="J33" s="826"/>
      <c r="K33" s="824">
        <v>468000</v>
      </c>
      <c r="L33" s="823">
        <v>60464.21</v>
      </c>
      <c r="M33" s="827">
        <v>540327.1</v>
      </c>
      <c r="N33" s="825">
        <v>74882.55</v>
      </c>
      <c r="O33" s="828">
        <v>242965</v>
      </c>
      <c r="P33" s="829">
        <v>75943</v>
      </c>
      <c r="Q33" s="823">
        <v>978145</v>
      </c>
      <c r="R33" s="823"/>
      <c r="S33" s="840">
        <v>89958</v>
      </c>
      <c r="T33" s="823"/>
      <c r="U33" s="823">
        <v>355</v>
      </c>
      <c r="V33" s="830">
        <v>1356014</v>
      </c>
      <c r="W33" s="823"/>
      <c r="X33" s="831">
        <v>46997</v>
      </c>
      <c r="Y33" s="823">
        <v>65863</v>
      </c>
      <c r="Z33" s="823">
        <v>14655</v>
      </c>
      <c r="AA33" s="823">
        <v>97122</v>
      </c>
      <c r="AB33" s="823"/>
      <c r="AC33" s="823">
        <v>5953</v>
      </c>
      <c r="AD33" s="823">
        <v>263788</v>
      </c>
      <c r="AE33" s="823"/>
      <c r="AF33" s="825"/>
      <c r="AG33" s="823"/>
      <c r="AH33" s="823"/>
      <c r="AI33" s="823"/>
      <c r="AJ33" s="823">
        <v>7369792.6739999996</v>
      </c>
      <c r="AK33" s="192"/>
      <c r="AL33" s="388"/>
      <c r="AM33" s="388"/>
      <c r="AN33" s="388"/>
      <c r="AO33" s="388"/>
    </row>
    <row r="34" spans="1:41" ht="26.1" customHeight="1" x14ac:dyDescent="0.2">
      <c r="A34" s="379">
        <v>29</v>
      </c>
      <c r="B34" s="822">
        <v>8368970</v>
      </c>
      <c r="C34" s="823"/>
      <c r="D34" s="823"/>
      <c r="E34" s="823">
        <v>64</v>
      </c>
      <c r="F34" s="823">
        <v>10295.9</v>
      </c>
      <c r="G34" s="823">
        <v>68225</v>
      </c>
      <c r="H34" s="824"/>
      <c r="I34" s="825">
        <v>1469707</v>
      </c>
      <c r="J34" s="826"/>
      <c r="K34" s="824">
        <v>468000</v>
      </c>
      <c r="L34" s="823">
        <v>62261.08</v>
      </c>
      <c r="M34" s="827">
        <v>543998.23</v>
      </c>
      <c r="N34" s="825">
        <v>75247.070000000007</v>
      </c>
      <c r="O34" s="828">
        <v>243088</v>
      </c>
      <c r="P34" s="829">
        <v>76161</v>
      </c>
      <c r="Q34" s="823">
        <v>978381</v>
      </c>
      <c r="R34" s="823"/>
      <c r="S34" s="823">
        <v>90114</v>
      </c>
      <c r="T34" s="823"/>
      <c r="U34" s="823">
        <v>356</v>
      </c>
      <c r="V34" s="830">
        <v>1356243</v>
      </c>
      <c r="W34" s="823"/>
      <c r="X34" s="831">
        <v>47034</v>
      </c>
      <c r="Y34" s="823">
        <v>65988</v>
      </c>
      <c r="Z34" s="823">
        <v>14678</v>
      </c>
      <c r="AA34" s="823">
        <v>97122</v>
      </c>
      <c r="AB34" s="823"/>
      <c r="AC34" s="823">
        <v>5980</v>
      </c>
      <c r="AD34" s="823">
        <v>263788</v>
      </c>
      <c r="AE34" s="823"/>
      <c r="AF34" s="825"/>
      <c r="AG34" s="823"/>
      <c r="AH34" s="823"/>
      <c r="AI34" s="823"/>
      <c r="AJ34" s="823">
        <v>7369792.6739999996</v>
      </c>
      <c r="AK34" s="192"/>
      <c r="AL34" s="388"/>
      <c r="AM34" s="388"/>
      <c r="AN34" s="388"/>
      <c r="AO34" s="388"/>
    </row>
    <row r="35" spans="1:41" ht="26.1" customHeight="1" x14ac:dyDescent="0.2">
      <c r="A35" s="379">
        <v>30</v>
      </c>
      <c r="B35" s="822">
        <v>8372280</v>
      </c>
      <c r="C35" s="823"/>
      <c r="D35" s="823"/>
      <c r="E35" s="823">
        <v>64</v>
      </c>
      <c r="F35" s="823">
        <v>10317.1</v>
      </c>
      <c r="G35" s="823">
        <v>68225</v>
      </c>
      <c r="H35" s="824"/>
      <c r="I35" s="825">
        <v>1478379</v>
      </c>
      <c r="J35" s="826"/>
      <c r="K35" s="824">
        <v>468000</v>
      </c>
      <c r="L35" s="823">
        <v>62610.3</v>
      </c>
      <c r="M35" s="827">
        <v>545894.31000000006</v>
      </c>
      <c r="N35" s="825">
        <v>75462.12</v>
      </c>
      <c r="O35" s="828">
        <v>243423</v>
      </c>
      <c r="P35" s="829">
        <v>76281</v>
      </c>
      <c r="Q35" s="823">
        <v>978618</v>
      </c>
      <c r="R35" s="823"/>
      <c r="S35" s="823">
        <v>90267</v>
      </c>
      <c r="T35" s="823"/>
      <c r="U35" s="823">
        <v>359</v>
      </c>
      <c r="V35" s="830">
        <v>1356369</v>
      </c>
      <c r="W35" s="823"/>
      <c r="X35" s="831">
        <v>47089</v>
      </c>
      <c r="Y35" s="823">
        <v>66057</v>
      </c>
      <c r="Z35" s="823">
        <v>14703</v>
      </c>
      <c r="AA35" s="823">
        <v>97122</v>
      </c>
      <c r="AB35" s="823"/>
      <c r="AC35" s="823">
        <v>5996</v>
      </c>
      <c r="AD35" s="823">
        <v>263788</v>
      </c>
      <c r="AE35" s="823"/>
      <c r="AF35" s="825"/>
      <c r="AG35" s="823"/>
      <c r="AH35" s="823"/>
      <c r="AI35" s="832"/>
      <c r="AJ35" s="823">
        <v>7369792.6739999996</v>
      </c>
      <c r="AK35" s="315"/>
      <c r="AL35" s="460"/>
      <c r="AM35" s="463"/>
      <c r="AN35" s="460"/>
      <c r="AO35" s="460"/>
    </row>
    <row r="36" spans="1:41" ht="26.1" customHeight="1" x14ac:dyDescent="0.2">
      <c r="A36" s="379">
        <v>31</v>
      </c>
      <c r="B36" s="822">
        <v>8376200</v>
      </c>
      <c r="C36" s="823"/>
      <c r="D36" s="823"/>
      <c r="E36" s="823">
        <v>64</v>
      </c>
      <c r="F36" s="823">
        <v>10339.9</v>
      </c>
      <c r="G36" s="823">
        <v>68225</v>
      </c>
      <c r="H36" s="824"/>
      <c r="I36" s="825">
        <v>1488087</v>
      </c>
      <c r="J36" s="826"/>
      <c r="K36" s="824">
        <v>468000</v>
      </c>
      <c r="L36" s="823">
        <v>63220.32</v>
      </c>
      <c r="M36" s="827">
        <v>548488.82999999996</v>
      </c>
      <c r="N36" s="825">
        <v>75728.38</v>
      </c>
      <c r="O36" s="828">
        <v>243658</v>
      </c>
      <c r="P36" s="829">
        <v>76393</v>
      </c>
      <c r="Q36" s="823">
        <v>978897</v>
      </c>
      <c r="R36" s="823"/>
      <c r="S36" s="823">
        <v>90437</v>
      </c>
      <c r="T36" s="823"/>
      <c r="U36" s="823">
        <v>365</v>
      </c>
      <c r="V36" s="830">
        <v>1356486</v>
      </c>
      <c r="W36" s="823"/>
      <c r="X36" s="831">
        <v>47147</v>
      </c>
      <c r="Y36" s="823">
        <v>66168</v>
      </c>
      <c r="Z36" s="823">
        <v>14728</v>
      </c>
      <c r="AA36" s="823">
        <v>97122</v>
      </c>
      <c r="AB36" s="823"/>
      <c r="AC36" s="823">
        <v>6020</v>
      </c>
      <c r="AD36" s="823">
        <v>263788</v>
      </c>
      <c r="AE36" s="823"/>
      <c r="AF36" s="825"/>
      <c r="AG36" s="823"/>
      <c r="AH36" s="823"/>
      <c r="AI36" s="832"/>
      <c r="AJ36" s="823">
        <v>7369792.6739999996</v>
      </c>
      <c r="AK36" s="444"/>
      <c r="AL36" s="464"/>
      <c r="AM36" s="465"/>
      <c r="AN36" s="464"/>
      <c r="AO36" s="464"/>
    </row>
    <row r="37" spans="1:41" ht="26.1" customHeight="1" x14ac:dyDescent="0.2">
      <c r="A37" s="379">
        <v>1</v>
      </c>
      <c r="B37" s="822">
        <v>8379250</v>
      </c>
      <c r="C37" s="823"/>
      <c r="D37" s="823"/>
      <c r="E37" s="823">
        <v>64</v>
      </c>
      <c r="F37" s="823">
        <v>10357.700000000001</v>
      </c>
      <c r="G37" s="823">
        <v>68225</v>
      </c>
      <c r="H37" s="824"/>
      <c r="I37" s="825">
        <v>1496310</v>
      </c>
      <c r="J37" s="833"/>
      <c r="K37" s="824">
        <v>468000</v>
      </c>
      <c r="L37" s="823">
        <v>63876.51</v>
      </c>
      <c r="M37" s="827">
        <v>550471</v>
      </c>
      <c r="N37" s="825">
        <v>75948.14</v>
      </c>
      <c r="O37" s="828">
        <v>243905</v>
      </c>
      <c r="P37" s="829">
        <v>76483</v>
      </c>
      <c r="Q37" s="823">
        <v>979132</v>
      </c>
      <c r="R37" s="823"/>
      <c r="S37" s="823">
        <v>90627</v>
      </c>
      <c r="T37" s="823"/>
      <c r="U37" s="823">
        <v>367</v>
      </c>
      <c r="V37" s="830">
        <v>1356580</v>
      </c>
      <c r="W37" s="823"/>
      <c r="X37" s="831">
        <v>47169</v>
      </c>
      <c r="Y37" s="823">
        <v>66288</v>
      </c>
      <c r="Z37" s="823">
        <v>14750</v>
      </c>
      <c r="AA37" s="823">
        <v>97122</v>
      </c>
      <c r="AB37" s="823"/>
      <c r="AC37" s="823">
        <v>6043</v>
      </c>
      <c r="AD37" s="823">
        <v>263788</v>
      </c>
      <c r="AE37" s="823"/>
      <c r="AF37" s="825"/>
      <c r="AG37" s="823"/>
      <c r="AH37" s="823"/>
      <c r="AI37" s="832"/>
      <c r="AJ37" s="823">
        <v>7369792.6739999996</v>
      </c>
      <c r="AK37" s="444"/>
      <c r="AL37" s="464"/>
      <c r="AM37" s="465"/>
      <c r="AN37" s="464"/>
      <c r="AO37" s="464"/>
    </row>
    <row r="38" spans="1:41" x14ac:dyDescent="0.2">
      <c r="B38" s="190"/>
      <c r="C38" s="190"/>
      <c r="G38" s="190"/>
      <c r="I38" s="855"/>
      <c r="J38" s="855"/>
      <c r="R38" s="190"/>
      <c r="S38" s="190"/>
      <c r="T38" s="190"/>
      <c r="U38" s="190"/>
      <c r="V38" s="190"/>
      <c r="W38" s="190"/>
      <c r="Z38" s="190"/>
      <c r="AA38" s="856"/>
      <c r="AB38" s="856"/>
      <c r="AC38" s="190"/>
      <c r="AD38" s="190"/>
      <c r="AI38" s="381"/>
      <c r="AJ38" s="315"/>
      <c r="AK38" s="315"/>
      <c r="AL38" s="466"/>
      <c r="AM38" s="466"/>
      <c r="AN38" s="466"/>
      <c r="AO38" s="466"/>
    </row>
    <row r="39" spans="1:41" x14ac:dyDescent="0.2">
      <c r="B39" s="190"/>
      <c r="G39" s="190"/>
      <c r="J39" s="190"/>
      <c r="V39" s="189"/>
      <c r="Z39" s="190"/>
      <c r="AA39" s="190"/>
      <c r="AC39" s="190"/>
      <c r="AF39" s="190"/>
      <c r="AG39" s="190"/>
      <c r="AH39" s="190"/>
      <c r="AL39" s="466"/>
      <c r="AM39" s="466"/>
      <c r="AN39" s="466"/>
      <c r="AO39" s="466"/>
    </row>
    <row r="40" spans="1:41" x14ac:dyDescent="0.2">
      <c r="B40" s="190"/>
      <c r="G40" s="190"/>
      <c r="I40" s="190"/>
      <c r="J40" s="190"/>
      <c r="K40" s="190"/>
      <c r="M40" s="190"/>
      <c r="O40" s="190"/>
      <c r="P40" s="190"/>
      <c r="Q40" s="190"/>
      <c r="V40" s="189"/>
      <c r="Y40" s="190"/>
      <c r="Z40" s="190"/>
      <c r="AL40" s="466"/>
      <c r="AM40" s="466"/>
      <c r="AN40" s="466"/>
      <c r="AO40" s="466"/>
    </row>
    <row r="41" spans="1:41" x14ac:dyDescent="0.2">
      <c r="B41" s="190"/>
      <c r="V41" s="189"/>
      <c r="AL41" s="466"/>
      <c r="AM41" s="466"/>
      <c r="AN41" s="466"/>
      <c r="AO41" s="466"/>
    </row>
    <row r="42" spans="1:41" x14ac:dyDescent="0.2">
      <c r="B42" s="190"/>
      <c r="J42" s="382"/>
      <c r="V42" s="189"/>
      <c r="AG42" s="189" t="s">
        <v>58</v>
      </c>
      <c r="AL42" s="466"/>
      <c r="AM42" s="466"/>
      <c r="AN42" s="466"/>
      <c r="AO42" s="466"/>
    </row>
    <row r="43" spans="1:41" x14ac:dyDescent="0.2">
      <c r="H43" s="382"/>
      <c r="J43" s="382"/>
      <c r="V43" s="189"/>
      <c r="AL43" s="466"/>
      <c r="AM43" s="466"/>
      <c r="AN43" s="466"/>
      <c r="AO43" s="466"/>
    </row>
    <row r="44" spans="1:41" x14ac:dyDescent="0.2">
      <c r="C44" s="189" t="s">
        <v>58</v>
      </c>
      <c r="V44" s="189"/>
      <c r="AL44" s="466"/>
      <c r="AM44" s="466"/>
      <c r="AN44" s="466"/>
      <c r="AO44" s="466"/>
    </row>
    <row r="45" spans="1:41" x14ac:dyDescent="0.2">
      <c r="I45" s="190"/>
      <c r="J45" s="190"/>
      <c r="V45" s="189"/>
      <c r="AL45" s="466"/>
      <c r="AM45" s="466"/>
      <c r="AN45" s="466"/>
      <c r="AO45" s="466"/>
    </row>
    <row r="46" spans="1:41" x14ac:dyDescent="0.2">
      <c r="V46" s="189"/>
      <c r="AL46" s="466"/>
      <c r="AM46" s="466"/>
      <c r="AN46" s="466"/>
      <c r="AO46" s="466"/>
    </row>
    <row r="47" spans="1:41" x14ac:dyDescent="0.2">
      <c r="V47" s="189"/>
      <c r="AL47" s="466"/>
      <c r="AM47" s="466"/>
      <c r="AN47" s="466"/>
      <c r="AO47" s="466"/>
    </row>
    <row r="48" spans="1:41" x14ac:dyDescent="0.2">
      <c r="V48" s="189"/>
      <c r="AL48" s="466"/>
      <c r="AM48" s="466"/>
      <c r="AN48" s="466"/>
      <c r="AO48" s="466"/>
    </row>
    <row r="49" spans="22:41" x14ac:dyDescent="0.2">
      <c r="V49" s="189"/>
      <c r="AL49" s="466"/>
      <c r="AM49" s="466"/>
      <c r="AN49" s="466"/>
      <c r="AO49" s="466"/>
    </row>
    <row r="50" spans="22:41" x14ac:dyDescent="0.2">
      <c r="V50" s="189"/>
      <c r="AL50" s="466"/>
      <c r="AM50" s="466"/>
      <c r="AN50" s="466"/>
      <c r="AO50" s="466"/>
    </row>
    <row r="51" spans="22:41" x14ac:dyDescent="0.2">
      <c r="V51" s="189"/>
      <c r="AL51" s="466"/>
      <c r="AM51" s="466"/>
      <c r="AN51" s="466"/>
      <c r="AO51" s="466"/>
    </row>
    <row r="52" spans="22:41" x14ac:dyDescent="0.2">
      <c r="V52" s="189"/>
      <c r="AL52" s="466"/>
      <c r="AM52" s="466"/>
      <c r="AN52" s="466"/>
      <c r="AO52" s="466"/>
    </row>
    <row r="53" spans="22:41" x14ac:dyDescent="0.2">
      <c r="V53" s="189"/>
      <c r="AL53" s="466"/>
      <c r="AM53" s="466"/>
      <c r="AN53" s="466"/>
      <c r="AO53" s="466"/>
    </row>
    <row r="54" spans="22:41" x14ac:dyDescent="0.2">
      <c r="V54" s="189"/>
      <c r="AL54" s="466"/>
      <c r="AM54" s="466"/>
      <c r="AN54" s="466"/>
      <c r="AO54" s="466"/>
    </row>
    <row r="55" spans="22:41" x14ac:dyDescent="0.2">
      <c r="V55" s="189"/>
      <c r="AL55" s="466"/>
      <c r="AM55" s="466"/>
      <c r="AN55" s="466"/>
      <c r="AO55" s="466"/>
    </row>
    <row r="56" spans="22:41" x14ac:dyDescent="0.2">
      <c r="V56" s="189"/>
      <c r="AL56" s="466"/>
      <c r="AM56" s="466"/>
      <c r="AN56" s="466"/>
      <c r="AO56" s="466"/>
    </row>
    <row r="57" spans="22:41" x14ac:dyDescent="0.2">
      <c r="V57" s="189"/>
      <c r="AL57" s="466"/>
      <c r="AM57" s="466"/>
      <c r="AN57" s="466"/>
      <c r="AO57" s="466"/>
    </row>
    <row r="58" spans="22:41" x14ac:dyDescent="0.2">
      <c r="V58" s="189"/>
      <c r="AL58" s="466"/>
      <c r="AM58" s="466"/>
      <c r="AN58" s="466"/>
      <c r="AO58" s="466"/>
    </row>
    <row r="59" spans="22:41" x14ac:dyDescent="0.2">
      <c r="V59" s="189"/>
      <c r="AL59" s="466"/>
      <c r="AM59" s="466"/>
      <c r="AN59" s="466"/>
      <c r="AO59" s="466"/>
    </row>
    <row r="60" spans="22:41" x14ac:dyDescent="0.2">
      <c r="V60" s="189"/>
      <c r="AL60" s="466"/>
      <c r="AM60" s="466"/>
      <c r="AN60" s="466"/>
      <c r="AO60" s="466"/>
    </row>
    <row r="61" spans="22:41" x14ac:dyDescent="0.2">
      <c r="V61" s="189"/>
      <c r="AL61" s="466"/>
      <c r="AM61" s="466"/>
      <c r="AN61" s="466"/>
      <c r="AO61" s="466"/>
    </row>
    <row r="62" spans="22:41" x14ac:dyDescent="0.2">
      <c r="V62" s="189"/>
      <c r="AL62" s="466"/>
      <c r="AM62" s="466"/>
      <c r="AN62" s="466"/>
      <c r="AO62" s="466"/>
    </row>
    <row r="63" spans="22:41" x14ac:dyDescent="0.2">
      <c r="V63" s="189"/>
      <c r="AL63" s="466"/>
      <c r="AM63" s="466"/>
      <c r="AN63" s="466"/>
      <c r="AO63" s="466"/>
    </row>
    <row r="64" spans="22:41" x14ac:dyDescent="0.2">
      <c r="V64" s="189"/>
      <c r="AL64" s="466"/>
      <c r="AM64" s="466"/>
      <c r="AN64" s="466"/>
      <c r="AO64" s="466"/>
    </row>
    <row r="65" spans="22:41" x14ac:dyDescent="0.2">
      <c r="V65" s="189"/>
      <c r="AL65" s="466"/>
      <c r="AM65" s="466"/>
      <c r="AN65" s="466"/>
      <c r="AO65" s="466"/>
    </row>
    <row r="66" spans="22:41" x14ac:dyDescent="0.2">
      <c r="V66" s="189"/>
      <c r="AL66" s="466"/>
      <c r="AM66" s="466"/>
      <c r="AN66" s="466"/>
      <c r="AO66" s="466"/>
    </row>
    <row r="67" spans="22:41" x14ac:dyDescent="0.2">
      <c r="V67" s="189"/>
      <c r="AL67" s="466"/>
      <c r="AM67" s="466"/>
      <c r="AN67" s="466"/>
      <c r="AO67" s="466"/>
    </row>
    <row r="68" spans="22:41" x14ac:dyDescent="0.2">
      <c r="V68" s="189"/>
      <c r="AL68" s="466"/>
      <c r="AM68" s="466"/>
      <c r="AN68" s="466"/>
      <c r="AO68" s="466"/>
    </row>
    <row r="69" spans="22:41" x14ac:dyDescent="0.2">
      <c r="V69" s="189"/>
      <c r="AL69" s="466"/>
      <c r="AM69" s="466"/>
      <c r="AN69" s="466"/>
      <c r="AO69" s="466"/>
    </row>
    <row r="70" spans="22:41" x14ac:dyDescent="0.2">
      <c r="V70" s="189"/>
      <c r="AL70" s="466"/>
      <c r="AM70" s="466"/>
      <c r="AN70" s="466"/>
      <c r="AO70" s="466"/>
    </row>
    <row r="71" spans="22:41" x14ac:dyDescent="0.2">
      <c r="V71" s="189"/>
      <c r="AL71" s="466"/>
      <c r="AM71" s="466"/>
      <c r="AN71" s="466"/>
      <c r="AO71" s="466"/>
    </row>
    <row r="72" spans="22:41" x14ac:dyDescent="0.2">
      <c r="V72" s="189"/>
      <c r="AL72" s="466"/>
      <c r="AM72" s="466"/>
      <c r="AN72" s="466"/>
      <c r="AO72" s="466"/>
    </row>
    <row r="73" spans="22:41" x14ac:dyDescent="0.2">
      <c r="V73" s="189"/>
      <c r="AL73" s="466"/>
      <c r="AM73" s="466"/>
      <c r="AN73" s="466"/>
      <c r="AO73" s="466"/>
    </row>
    <row r="74" spans="22:41" x14ac:dyDescent="0.2">
      <c r="V74" s="189"/>
      <c r="AL74" s="466"/>
      <c r="AM74" s="466"/>
      <c r="AN74" s="466"/>
      <c r="AO74" s="466"/>
    </row>
    <row r="75" spans="22:41" x14ac:dyDescent="0.2">
      <c r="V75" s="189"/>
      <c r="AL75" s="466"/>
      <c r="AM75" s="466"/>
      <c r="AN75" s="466"/>
      <c r="AO75" s="466"/>
    </row>
    <row r="76" spans="22:41" x14ac:dyDescent="0.2">
      <c r="V76" s="189"/>
      <c r="AL76" s="466"/>
      <c r="AM76" s="466"/>
      <c r="AN76" s="466"/>
      <c r="AO76" s="466"/>
    </row>
    <row r="77" spans="22:41" x14ac:dyDescent="0.2">
      <c r="V77" s="189"/>
      <c r="AL77" s="466"/>
      <c r="AM77" s="466"/>
      <c r="AN77" s="466"/>
      <c r="AO77" s="466"/>
    </row>
    <row r="78" spans="22:41" x14ac:dyDescent="0.2">
      <c r="V78" s="189"/>
      <c r="AL78" s="466"/>
      <c r="AM78" s="466"/>
      <c r="AN78" s="466"/>
      <c r="AO78" s="466"/>
    </row>
    <row r="79" spans="22:41" x14ac:dyDescent="0.2">
      <c r="V79" s="189"/>
      <c r="AL79" s="466"/>
      <c r="AM79" s="466"/>
      <c r="AN79" s="466"/>
      <c r="AO79" s="466"/>
    </row>
    <row r="80" spans="22:41" x14ac:dyDescent="0.2">
      <c r="V80" s="189"/>
      <c r="AL80" s="466"/>
      <c r="AM80" s="466"/>
      <c r="AN80" s="466"/>
      <c r="AO80" s="466"/>
    </row>
    <row r="81" spans="22:41" x14ac:dyDescent="0.2">
      <c r="V81" s="189"/>
      <c r="AL81" s="466"/>
      <c r="AM81" s="466"/>
      <c r="AN81" s="466"/>
      <c r="AO81" s="466"/>
    </row>
    <row r="82" spans="22:41" x14ac:dyDescent="0.2">
      <c r="V82" s="189"/>
      <c r="AL82" s="466"/>
      <c r="AM82" s="466"/>
      <c r="AN82" s="466"/>
      <c r="AO82" s="466"/>
    </row>
    <row r="83" spans="22:41" x14ac:dyDescent="0.2">
      <c r="V83" s="189"/>
      <c r="AL83" s="466"/>
      <c r="AM83" s="466"/>
      <c r="AN83" s="466"/>
      <c r="AO83" s="466"/>
    </row>
    <row r="84" spans="22:41" x14ac:dyDescent="0.2">
      <c r="V84" s="189"/>
      <c r="AL84" s="466"/>
      <c r="AM84" s="466"/>
      <c r="AN84" s="466"/>
      <c r="AO84" s="466"/>
    </row>
    <row r="85" spans="22:41" x14ac:dyDescent="0.2">
      <c r="V85" s="189"/>
      <c r="AL85" s="466"/>
      <c r="AM85" s="466"/>
      <c r="AN85" s="466"/>
      <c r="AO85" s="466"/>
    </row>
    <row r="86" spans="22:41" x14ac:dyDescent="0.2">
      <c r="V86" s="189"/>
      <c r="AL86" s="466"/>
      <c r="AM86" s="466"/>
      <c r="AN86" s="466"/>
      <c r="AO86" s="466"/>
    </row>
    <row r="87" spans="22:41" x14ac:dyDescent="0.2">
      <c r="V87" s="189"/>
      <c r="AL87" s="466"/>
      <c r="AM87" s="466"/>
      <c r="AN87" s="466"/>
      <c r="AO87" s="466"/>
    </row>
    <row r="88" spans="22:41" x14ac:dyDescent="0.2">
      <c r="V88" s="189"/>
      <c r="AL88" s="466"/>
      <c r="AM88" s="466"/>
      <c r="AN88" s="466"/>
      <c r="AO88" s="466"/>
    </row>
    <row r="89" spans="22:41" x14ac:dyDescent="0.2">
      <c r="V89" s="189"/>
      <c r="AL89" s="466"/>
      <c r="AM89" s="466"/>
      <c r="AN89" s="466"/>
      <c r="AO89" s="466"/>
    </row>
    <row r="90" spans="22:41" x14ac:dyDescent="0.2">
      <c r="V90" s="189"/>
      <c r="AL90" s="466"/>
      <c r="AM90" s="466"/>
      <c r="AN90" s="466"/>
      <c r="AO90" s="466"/>
    </row>
    <row r="91" spans="22:41" x14ac:dyDescent="0.2">
      <c r="V91" s="189"/>
      <c r="AL91" s="466"/>
      <c r="AM91" s="466"/>
      <c r="AN91" s="466"/>
      <c r="AO91" s="466"/>
    </row>
    <row r="92" spans="22:41" x14ac:dyDescent="0.2">
      <c r="V92" s="189"/>
      <c r="AL92" s="466"/>
      <c r="AM92" s="466"/>
      <c r="AN92" s="466"/>
      <c r="AO92" s="466"/>
    </row>
    <row r="93" spans="22:41" x14ac:dyDescent="0.2">
      <c r="V93" s="189"/>
      <c r="AL93" s="466"/>
      <c r="AM93" s="466"/>
      <c r="AN93" s="466"/>
      <c r="AO93" s="466"/>
    </row>
    <row r="94" spans="22:41" x14ac:dyDescent="0.2">
      <c r="V94" s="189"/>
      <c r="AL94" s="466"/>
      <c r="AM94" s="466"/>
      <c r="AN94" s="466"/>
      <c r="AO94" s="466"/>
    </row>
    <row r="95" spans="22:41" x14ac:dyDescent="0.2">
      <c r="V95" s="189"/>
      <c r="AL95" s="466"/>
      <c r="AM95" s="466"/>
      <c r="AN95" s="466"/>
      <c r="AO95" s="466"/>
    </row>
    <row r="96" spans="22:41" x14ac:dyDescent="0.2">
      <c r="V96" s="189"/>
      <c r="AL96" s="466"/>
      <c r="AM96" s="466"/>
      <c r="AN96" s="466"/>
      <c r="AO96" s="466"/>
    </row>
    <row r="97" spans="22:41" x14ac:dyDescent="0.2">
      <c r="V97" s="189"/>
      <c r="AL97" s="466"/>
      <c r="AM97" s="466"/>
      <c r="AN97" s="466"/>
      <c r="AO97" s="466"/>
    </row>
    <row r="98" spans="22:41" x14ac:dyDescent="0.2">
      <c r="V98" s="189"/>
      <c r="AL98" s="466"/>
      <c r="AM98" s="466"/>
      <c r="AN98" s="466"/>
      <c r="AO98" s="466"/>
    </row>
    <row r="99" spans="22:41" x14ac:dyDescent="0.2">
      <c r="V99" s="189"/>
      <c r="AL99" s="466"/>
      <c r="AM99" s="466"/>
      <c r="AN99" s="466"/>
      <c r="AO99" s="466"/>
    </row>
    <row r="100" spans="22:41" x14ac:dyDescent="0.2">
      <c r="V100" s="189"/>
      <c r="AL100" s="466"/>
      <c r="AM100" s="466"/>
      <c r="AN100" s="466"/>
      <c r="AO100" s="466"/>
    </row>
    <row r="101" spans="22:41" x14ac:dyDescent="0.2">
      <c r="V101" s="189"/>
      <c r="AL101" s="466"/>
      <c r="AM101" s="466"/>
      <c r="AN101" s="466"/>
      <c r="AO101" s="466"/>
    </row>
    <row r="102" spans="22:41" x14ac:dyDescent="0.2">
      <c r="V102" s="189"/>
      <c r="AL102" s="466"/>
      <c r="AM102" s="466"/>
      <c r="AN102" s="466"/>
      <c r="AO102" s="466"/>
    </row>
    <row r="103" spans="22:41" x14ac:dyDescent="0.2">
      <c r="V103" s="189"/>
      <c r="AL103" s="466"/>
      <c r="AM103" s="466"/>
      <c r="AN103" s="466"/>
      <c r="AO103" s="466"/>
    </row>
    <row r="104" spans="22:41" x14ac:dyDescent="0.2">
      <c r="V104" s="189"/>
      <c r="AL104" s="466"/>
      <c r="AM104" s="466"/>
      <c r="AN104" s="466"/>
      <c r="AO104" s="466"/>
    </row>
    <row r="105" spans="22:41" x14ac:dyDescent="0.2">
      <c r="V105" s="189"/>
      <c r="AL105" s="466"/>
      <c r="AM105" s="466"/>
      <c r="AN105" s="466"/>
      <c r="AO105" s="466"/>
    </row>
    <row r="106" spans="22:41" x14ac:dyDescent="0.2">
      <c r="V106" s="189"/>
      <c r="AL106" s="466"/>
      <c r="AM106" s="466"/>
      <c r="AN106" s="466"/>
      <c r="AO106" s="466"/>
    </row>
    <row r="107" spans="22:41" x14ac:dyDescent="0.2">
      <c r="V107" s="189"/>
      <c r="AL107" s="466"/>
      <c r="AM107" s="466"/>
      <c r="AN107" s="466"/>
      <c r="AO107" s="466"/>
    </row>
    <row r="108" spans="22:41" x14ac:dyDescent="0.2">
      <c r="V108" s="189"/>
      <c r="AL108" s="466"/>
      <c r="AM108" s="466"/>
      <c r="AN108" s="466"/>
      <c r="AO108" s="466"/>
    </row>
    <row r="109" spans="22:41" x14ac:dyDescent="0.2">
      <c r="V109" s="189"/>
      <c r="AL109" s="466"/>
      <c r="AM109" s="466"/>
      <c r="AN109" s="466"/>
      <c r="AO109" s="466"/>
    </row>
    <row r="110" spans="22:41" x14ac:dyDescent="0.2">
      <c r="V110" s="189"/>
      <c r="AL110" s="466"/>
      <c r="AM110" s="466"/>
      <c r="AN110" s="466"/>
      <c r="AO110" s="466"/>
    </row>
    <row r="111" spans="22:41" x14ac:dyDescent="0.2">
      <c r="V111" s="189"/>
      <c r="AL111" s="466"/>
      <c r="AM111" s="466"/>
      <c r="AN111" s="466"/>
      <c r="AO111" s="466"/>
    </row>
    <row r="112" spans="22:41" x14ac:dyDescent="0.2">
      <c r="V112" s="189"/>
      <c r="AL112" s="466"/>
      <c r="AM112" s="466"/>
      <c r="AN112" s="466"/>
      <c r="AO112" s="466"/>
    </row>
    <row r="113" spans="22:41" x14ac:dyDescent="0.2">
      <c r="V113" s="189"/>
      <c r="AL113" s="466"/>
      <c r="AM113" s="466"/>
      <c r="AN113" s="466"/>
      <c r="AO113" s="466"/>
    </row>
    <row r="114" spans="22:41" x14ac:dyDescent="0.2">
      <c r="V114" s="189"/>
      <c r="AL114" s="466"/>
      <c r="AM114" s="466"/>
      <c r="AN114" s="466"/>
      <c r="AO114" s="466"/>
    </row>
    <row r="115" spans="22:41" x14ac:dyDescent="0.2">
      <c r="V115" s="189"/>
      <c r="AL115" s="466"/>
      <c r="AM115" s="466"/>
      <c r="AN115" s="466"/>
      <c r="AO115" s="466"/>
    </row>
    <row r="116" spans="22:41" x14ac:dyDescent="0.2">
      <c r="V116" s="189"/>
      <c r="AL116" s="466"/>
      <c r="AM116" s="466"/>
      <c r="AN116" s="466"/>
      <c r="AO116" s="466"/>
    </row>
    <row r="117" spans="22:41" x14ac:dyDescent="0.2">
      <c r="V117" s="189"/>
      <c r="AL117" s="466"/>
      <c r="AM117" s="466"/>
      <c r="AN117" s="466"/>
      <c r="AO117" s="466"/>
    </row>
    <row r="118" spans="22:41" x14ac:dyDescent="0.2">
      <c r="V118" s="189"/>
      <c r="AL118" s="466"/>
      <c r="AM118" s="466"/>
      <c r="AN118" s="466"/>
      <c r="AO118" s="466"/>
    </row>
    <row r="119" spans="22:41" x14ac:dyDescent="0.2">
      <c r="V119" s="189"/>
      <c r="AL119" s="466"/>
      <c r="AM119" s="466"/>
      <c r="AN119" s="466"/>
      <c r="AO119" s="466"/>
    </row>
    <row r="120" spans="22:41" x14ac:dyDescent="0.2">
      <c r="V120" s="189"/>
      <c r="AL120" s="466"/>
      <c r="AM120" s="466"/>
      <c r="AN120" s="466"/>
      <c r="AO120" s="466"/>
    </row>
    <row r="121" spans="22:41" x14ac:dyDescent="0.2">
      <c r="V121" s="189"/>
      <c r="AL121" s="466"/>
      <c r="AM121" s="466"/>
      <c r="AN121" s="466"/>
      <c r="AO121" s="466"/>
    </row>
    <row r="122" spans="22:41" x14ac:dyDescent="0.2">
      <c r="V122" s="189"/>
      <c r="AL122" s="466"/>
      <c r="AM122" s="466"/>
      <c r="AN122" s="466"/>
      <c r="AO122" s="466"/>
    </row>
    <row r="123" spans="22:41" x14ac:dyDescent="0.2">
      <c r="V123" s="189"/>
      <c r="AL123" s="466"/>
      <c r="AM123" s="466"/>
      <c r="AN123" s="466"/>
      <c r="AO123" s="466"/>
    </row>
    <row r="124" spans="22:41" x14ac:dyDescent="0.2">
      <c r="V124" s="189"/>
      <c r="AL124" s="466"/>
      <c r="AM124" s="466"/>
      <c r="AN124" s="466"/>
      <c r="AO124" s="466"/>
    </row>
    <row r="125" spans="22:41" x14ac:dyDescent="0.2">
      <c r="V125" s="189"/>
      <c r="AL125" s="466"/>
      <c r="AM125" s="466"/>
      <c r="AN125" s="466"/>
      <c r="AO125" s="466"/>
    </row>
    <row r="126" spans="22:41" x14ac:dyDescent="0.2">
      <c r="V126" s="189"/>
      <c r="AL126" s="466"/>
      <c r="AM126" s="466"/>
      <c r="AN126" s="466"/>
      <c r="AO126" s="466"/>
    </row>
    <row r="127" spans="22:41" x14ac:dyDescent="0.2">
      <c r="V127" s="189"/>
      <c r="AL127" s="466"/>
      <c r="AM127" s="466"/>
      <c r="AN127" s="466"/>
      <c r="AO127" s="466"/>
    </row>
    <row r="128" spans="22:41" x14ac:dyDescent="0.2">
      <c r="V128" s="189"/>
      <c r="AL128" s="466"/>
      <c r="AM128" s="466"/>
      <c r="AN128" s="466"/>
      <c r="AO128" s="466"/>
    </row>
    <row r="129" spans="22:41" x14ac:dyDescent="0.2">
      <c r="V129" s="189"/>
      <c r="AL129" s="466"/>
      <c r="AM129" s="466"/>
      <c r="AN129" s="466"/>
      <c r="AO129" s="466"/>
    </row>
    <row r="130" spans="22:41" x14ac:dyDescent="0.2">
      <c r="V130" s="189"/>
      <c r="AL130" s="466"/>
      <c r="AM130" s="466"/>
      <c r="AN130" s="466"/>
      <c r="AO130" s="466"/>
    </row>
    <row r="131" spans="22:41" x14ac:dyDescent="0.2">
      <c r="V131" s="189"/>
      <c r="AL131" s="466"/>
      <c r="AM131" s="466"/>
      <c r="AN131" s="466"/>
      <c r="AO131" s="466"/>
    </row>
    <row r="132" spans="22:41" x14ac:dyDescent="0.2">
      <c r="V132" s="189"/>
      <c r="AL132" s="466"/>
      <c r="AM132" s="466"/>
      <c r="AN132" s="466"/>
      <c r="AO132" s="466"/>
    </row>
    <row r="133" spans="22:41" x14ac:dyDescent="0.2">
      <c r="V133" s="189"/>
      <c r="AL133" s="466"/>
      <c r="AM133" s="466"/>
      <c r="AN133" s="466"/>
      <c r="AO133" s="466"/>
    </row>
    <row r="134" spans="22:41" x14ac:dyDescent="0.2">
      <c r="V134" s="189"/>
      <c r="AL134" s="466"/>
      <c r="AM134" s="466"/>
      <c r="AN134" s="466"/>
      <c r="AO134" s="466"/>
    </row>
    <row r="135" spans="22:41" x14ac:dyDescent="0.2">
      <c r="V135" s="189"/>
      <c r="AL135" s="466"/>
      <c r="AM135" s="466"/>
      <c r="AN135" s="466"/>
      <c r="AO135" s="466"/>
    </row>
    <row r="136" spans="22:41" x14ac:dyDescent="0.2">
      <c r="V136" s="189"/>
      <c r="AL136" s="466"/>
      <c r="AM136" s="466"/>
      <c r="AN136" s="466"/>
      <c r="AO136" s="466"/>
    </row>
    <row r="137" spans="22:41" x14ac:dyDescent="0.2">
      <c r="V137" s="189"/>
      <c r="AL137" s="466"/>
      <c r="AM137" s="466"/>
      <c r="AN137" s="466"/>
      <c r="AO137" s="466"/>
    </row>
    <row r="138" spans="22:41" x14ac:dyDescent="0.2">
      <c r="V138" s="189"/>
      <c r="AL138" s="466"/>
      <c r="AM138" s="466"/>
      <c r="AN138" s="466"/>
      <c r="AO138" s="466"/>
    </row>
    <row r="139" spans="22:41" x14ac:dyDescent="0.2">
      <c r="V139" s="189"/>
      <c r="AL139" s="466"/>
      <c r="AM139" s="466"/>
      <c r="AN139" s="466"/>
      <c r="AO139" s="466"/>
    </row>
    <row r="140" spans="22:41" x14ac:dyDescent="0.2">
      <c r="V140" s="189"/>
      <c r="AL140" s="466"/>
      <c r="AM140" s="466"/>
      <c r="AN140" s="466"/>
      <c r="AO140" s="466"/>
    </row>
    <row r="141" spans="22:41" x14ac:dyDescent="0.2">
      <c r="V141" s="189"/>
      <c r="AL141" s="466"/>
      <c r="AM141" s="466"/>
      <c r="AN141" s="466"/>
      <c r="AO141" s="466"/>
    </row>
    <row r="142" spans="22:41" x14ac:dyDescent="0.2">
      <c r="V142" s="189"/>
      <c r="AL142" s="466"/>
      <c r="AM142" s="466"/>
      <c r="AN142" s="466"/>
      <c r="AO142" s="466"/>
    </row>
    <row r="143" spans="22:41" x14ac:dyDescent="0.2">
      <c r="V143" s="189"/>
      <c r="AL143" s="466"/>
      <c r="AM143" s="466"/>
      <c r="AN143" s="466"/>
      <c r="AO143" s="466"/>
    </row>
    <row r="144" spans="22:41" x14ac:dyDescent="0.2">
      <c r="V144" s="189"/>
      <c r="AL144" s="466"/>
      <c r="AM144" s="466"/>
      <c r="AN144" s="466"/>
      <c r="AO144" s="466"/>
    </row>
    <row r="145" spans="22:41" x14ac:dyDescent="0.2">
      <c r="V145" s="189"/>
      <c r="AL145" s="466"/>
      <c r="AM145" s="466"/>
      <c r="AN145" s="466"/>
      <c r="AO145" s="466"/>
    </row>
    <row r="146" spans="22:41" x14ac:dyDescent="0.2">
      <c r="V146" s="189"/>
      <c r="AL146" s="466"/>
      <c r="AM146" s="466"/>
      <c r="AN146" s="466"/>
      <c r="AO146" s="466"/>
    </row>
    <row r="147" spans="22:41" x14ac:dyDescent="0.2">
      <c r="V147" s="189"/>
      <c r="AL147" s="466"/>
      <c r="AM147" s="466"/>
      <c r="AN147" s="466"/>
      <c r="AO147" s="466"/>
    </row>
    <row r="148" spans="22:41" x14ac:dyDescent="0.2">
      <c r="V148" s="189"/>
      <c r="AL148" s="466"/>
      <c r="AM148" s="466"/>
      <c r="AN148" s="466"/>
      <c r="AO148" s="466"/>
    </row>
    <row r="149" spans="22:41" x14ac:dyDescent="0.2">
      <c r="V149" s="189"/>
      <c r="AL149" s="466"/>
      <c r="AM149" s="466"/>
      <c r="AN149" s="466"/>
      <c r="AO149" s="466"/>
    </row>
    <row r="150" spans="22:41" x14ac:dyDescent="0.2">
      <c r="V150" s="189"/>
      <c r="AL150" s="466"/>
      <c r="AM150" s="466"/>
      <c r="AN150" s="466"/>
      <c r="AO150" s="466"/>
    </row>
    <row r="151" spans="22:41" x14ac:dyDescent="0.2">
      <c r="V151" s="189"/>
      <c r="AL151" s="466"/>
      <c r="AM151" s="466"/>
      <c r="AN151" s="466"/>
      <c r="AO151" s="466"/>
    </row>
    <row r="152" spans="22:41" x14ac:dyDescent="0.2">
      <c r="V152" s="189"/>
      <c r="AL152" s="466"/>
      <c r="AM152" s="466"/>
      <c r="AN152" s="466"/>
      <c r="AO152" s="466"/>
    </row>
    <row r="153" spans="22:41" x14ac:dyDescent="0.2">
      <c r="V153" s="189"/>
      <c r="AL153" s="466"/>
      <c r="AM153" s="466"/>
      <c r="AN153" s="466"/>
      <c r="AO153" s="466"/>
    </row>
    <row r="154" spans="22:41" x14ac:dyDescent="0.2">
      <c r="V154" s="189"/>
      <c r="AL154" s="466"/>
      <c r="AM154" s="466"/>
      <c r="AN154" s="466"/>
      <c r="AO154" s="466"/>
    </row>
    <row r="155" spans="22:41" x14ac:dyDescent="0.2">
      <c r="V155" s="189"/>
      <c r="AL155" s="466"/>
      <c r="AM155" s="466"/>
      <c r="AN155" s="466"/>
      <c r="AO155" s="466"/>
    </row>
    <row r="156" spans="22:41" x14ac:dyDescent="0.2">
      <c r="V156" s="189"/>
      <c r="AL156" s="466"/>
      <c r="AM156" s="466"/>
      <c r="AN156" s="466"/>
      <c r="AO156" s="466"/>
    </row>
    <row r="157" spans="22:41" x14ac:dyDescent="0.2">
      <c r="V157" s="189"/>
      <c r="AL157" s="466"/>
      <c r="AM157" s="466"/>
      <c r="AN157" s="466"/>
      <c r="AO157" s="466"/>
    </row>
    <row r="158" spans="22:41" x14ac:dyDescent="0.2">
      <c r="V158" s="189"/>
      <c r="AL158" s="466"/>
      <c r="AM158" s="466"/>
      <c r="AN158" s="466"/>
      <c r="AO158" s="466"/>
    </row>
    <row r="159" spans="22:41" x14ac:dyDescent="0.2">
      <c r="V159" s="189"/>
      <c r="AL159" s="466"/>
      <c r="AM159" s="466"/>
      <c r="AN159" s="466"/>
      <c r="AO159" s="466"/>
    </row>
    <row r="160" spans="22:41" x14ac:dyDescent="0.2">
      <c r="V160" s="189"/>
      <c r="AL160" s="466"/>
      <c r="AM160" s="466"/>
      <c r="AN160" s="466"/>
      <c r="AO160" s="466"/>
    </row>
    <row r="161" spans="22:41" x14ac:dyDescent="0.2">
      <c r="V161" s="189"/>
      <c r="AL161" s="466"/>
      <c r="AM161" s="466"/>
      <c r="AN161" s="466"/>
      <c r="AO161" s="466"/>
    </row>
    <row r="162" spans="22:41" x14ac:dyDescent="0.2">
      <c r="V162" s="189"/>
    </row>
    <row r="163" spans="22:41" x14ac:dyDescent="0.2">
      <c r="V163" s="189"/>
    </row>
    <row r="164" spans="22:41" x14ac:dyDescent="0.2">
      <c r="V164" s="189"/>
    </row>
    <row r="165" spans="22:41" x14ac:dyDescent="0.2">
      <c r="V165" s="189"/>
    </row>
    <row r="166" spans="22:41" x14ac:dyDescent="0.2">
      <c r="V166" s="189"/>
    </row>
    <row r="167" spans="22:41" x14ac:dyDescent="0.2">
      <c r="V167" s="189"/>
    </row>
    <row r="168" spans="22:41" x14ac:dyDescent="0.2">
      <c r="V168" s="189"/>
    </row>
    <row r="169" spans="22:41" x14ac:dyDescent="0.2">
      <c r="V169" s="189"/>
    </row>
    <row r="170" spans="22:41" x14ac:dyDescent="0.2">
      <c r="V170" s="189"/>
    </row>
    <row r="171" spans="22:41" x14ac:dyDescent="0.2">
      <c r="V171" s="189"/>
    </row>
    <row r="172" spans="22:41" x14ac:dyDescent="0.2">
      <c r="V172" s="189"/>
    </row>
    <row r="173" spans="22:41" x14ac:dyDescent="0.2">
      <c r="V173" s="189"/>
    </row>
    <row r="174" spans="22:41" x14ac:dyDescent="0.2">
      <c r="V174" s="189"/>
    </row>
    <row r="175" spans="22:41" x14ac:dyDescent="0.2">
      <c r="V175" s="189"/>
    </row>
    <row r="176" spans="22:41" x14ac:dyDescent="0.2">
      <c r="V176" s="189"/>
    </row>
    <row r="177" s="189" customFormat="1" x14ac:dyDescent="0.2"/>
    <row r="178" s="189" customFormat="1" x14ac:dyDescent="0.2"/>
    <row r="179" s="189" customFormat="1" x14ac:dyDescent="0.2"/>
    <row r="180" s="189" customFormat="1" x14ac:dyDescent="0.2"/>
    <row r="181" s="189" customFormat="1" x14ac:dyDescent="0.2"/>
    <row r="182" s="189" customFormat="1" x14ac:dyDescent="0.2"/>
    <row r="183" s="189" customFormat="1" x14ac:dyDescent="0.2"/>
    <row r="184" s="189" customFormat="1" x14ac:dyDescent="0.2"/>
    <row r="185" s="189" customFormat="1" x14ac:dyDescent="0.2"/>
    <row r="186" s="189" customFormat="1" x14ac:dyDescent="0.2"/>
    <row r="187" s="189" customFormat="1" x14ac:dyDescent="0.2"/>
    <row r="188" s="189" customFormat="1" x14ac:dyDescent="0.2"/>
    <row r="189" s="189" customFormat="1" x14ac:dyDescent="0.2"/>
    <row r="190" s="189" customFormat="1" x14ac:dyDescent="0.2"/>
    <row r="191" s="189" customFormat="1" x14ac:dyDescent="0.2"/>
    <row r="192" s="189" customFormat="1" x14ac:dyDescent="0.2"/>
    <row r="193" s="189" customFormat="1" x14ac:dyDescent="0.2"/>
    <row r="194" s="189" customFormat="1" x14ac:dyDescent="0.2"/>
    <row r="195" s="189" customFormat="1" x14ac:dyDescent="0.2"/>
    <row r="196" s="189" customFormat="1" x14ac:dyDescent="0.2"/>
    <row r="197" s="189" customFormat="1" x14ac:dyDescent="0.2"/>
    <row r="198" s="189" customFormat="1" x14ac:dyDescent="0.2"/>
    <row r="199" s="189" customFormat="1" x14ac:dyDescent="0.2"/>
    <row r="200" s="189" customFormat="1" x14ac:dyDescent="0.2"/>
    <row r="201" s="189" customFormat="1" x14ac:dyDescent="0.2"/>
    <row r="202" s="189" customFormat="1" x14ac:dyDescent="0.2"/>
    <row r="203" s="189" customFormat="1" x14ac:dyDescent="0.2"/>
    <row r="204" s="189" customFormat="1" x14ac:dyDescent="0.2"/>
    <row r="205" s="189" customFormat="1" x14ac:dyDescent="0.2"/>
    <row r="206" s="189" customFormat="1" x14ac:dyDescent="0.2"/>
    <row r="207" s="189" customFormat="1" x14ac:dyDescent="0.2"/>
    <row r="208" s="189" customFormat="1" x14ac:dyDescent="0.2"/>
    <row r="209" s="189" customFormat="1" x14ac:dyDescent="0.2"/>
    <row r="210" s="189" customFormat="1" x14ac:dyDescent="0.2"/>
    <row r="211" s="189" customFormat="1" x14ac:dyDescent="0.2"/>
    <row r="212" s="189" customFormat="1" x14ac:dyDescent="0.2"/>
    <row r="213" s="189" customFormat="1" x14ac:dyDescent="0.2"/>
    <row r="214" s="189" customFormat="1" x14ac:dyDescent="0.2"/>
    <row r="215" s="189" customFormat="1" x14ac:dyDescent="0.2"/>
    <row r="216" s="189" customFormat="1" x14ac:dyDescent="0.2"/>
    <row r="217" s="189" customFormat="1" x14ac:dyDescent="0.2"/>
    <row r="218" s="189" customFormat="1" x14ac:dyDescent="0.2"/>
    <row r="219" s="189" customFormat="1" x14ac:dyDescent="0.2"/>
    <row r="220" s="189" customFormat="1" x14ac:dyDescent="0.2"/>
    <row r="221" s="189" customFormat="1" x14ac:dyDescent="0.2"/>
    <row r="222" s="189" customFormat="1" x14ac:dyDescent="0.2"/>
    <row r="223" s="189" customFormat="1" x14ac:dyDescent="0.2"/>
    <row r="224" s="189" customFormat="1" x14ac:dyDescent="0.2"/>
    <row r="225" s="189" customFormat="1" x14ac:dyDescent="0.2"/>
    <row r="226" s="189" customFormat="1" x14ac:dyDescent="0.2"/>
    <row r="227" s="189" customFormat="1" x14ac:dyDescent="0.2"/>
    <row r="228" s="189" customFormat="1" x14ac:dyDescent="0.2"/>
    <row r="229" s="189" customFormat="1" x14ac:dyDescent="0.2"/>
    <row r="230" s="189" customFormat="1" x14ac:dyDescent="0.2"/>
    <row r="231" s="189" customFormat="1" x14ac:dyDescent="0.2"/>
    <row r="232" s="189" customFormat="1" x14ac:dyDescent="0.2"/>
    <row r="233" s="189" customFormat="1" x14ac:dyDescent="0.2"/>
    <row r="234" s="189" customFormat="1" x14ac:dyDescent="0.2"/>
    <row r="235" s="189" customFormat="1" x14ac:dyDescent="0.2"/>
    <row r="236" s="189" customFormat="1" x14ac:dyDescent="0.2"/>
    <row r="237" s="189" customFormat="1" x14ac:dyDescent="0.2"/>
    <row r="238" s="189" customFormat="1" x14ac:dyDescent="0.2"/>
    <row r="239" s="189" customFormat="1" x14ac:dyDescent="0.2"/>
    <row r="240" s="189" customFormat="1" x14ac:dyDescent="0.2"/>
    <row r="241" s="189" customFormat="1" x14ac:dyDescent="0.2"/>
    <row r="242" s="189" customFormat="1" x14ac:dyDescent="0.2"/>
    <row r="243" s="189" customFormat="1" x14ac:dyDescent="0.2"/>
    <row r="244" s="189" customFormat="1" x14ac:dyDescent="0.2"/>
    <row r="245" s="189" customFormat="1" x14ac:dyDescent="0.2"/>
    <row r="246" s="189" customFormat="1" x14ac:dyDescent="0.2"/>
    <row r="247" s="189" customFormat="1" x14ac:dyDescent="0.2"/>
    <row r="248" s="189" customFormat="1" x14ac:dyDescent="0.2"/>
    <row r="249" s="189" customFormat="1" x14ac:dyDescent="0.2"/>
    <row r="250" s="189" customFormat="1" x14ac:dyDescent="0.2"/>
    <row r="251" s="189" customFormat="1" x14ac:dyDescent="0.2"/>
    <row r="252" s="189" customFormat="1" x14ac:dyDescent="0.2"/>
    <row r="253" s="189" customFormat="1" x14ac:dyDescent="0.2"/>
    <row r="254" s="189" customFormat="1" x14ac:dyDescent="0.2"/>
    <row r="255" s="189" customFormat="1" x14ac:dyDescent="0.2"/>
    <row r="256" s="189" customFormat="1" x14ac:dyDescent="0.2"/>
    <row r="257" s="189" customFormat="1" x14ac:dyDescent="0.2"/>
    <row r="258" s="189" customFormat="1" x14ac:dyDescent="0.2"/>
    <row r="259" s="189" customFormat="1" x14ac:dyDescent="0.2"/>
    <row r="260" s="189" customFormat="1" x14ac:dyDescent="0.2"/>
    <row r="261" s="189" customFormat="1" x14ac:dyDescent="0.2"/>
    <row r="262" s="189" customFormat="1" x14ac:dyDescent="0.2"/>
    <row r="263" s="189" customFormat="1" x14ac:dyDescent="0.2"/>
    <row r="264" s="189" customFormat="1" x14ac:dyDescent="0.2"/>
    <row r="265" s="189" customFormat="1" x14ac:dyDescent="0.2"/>
    <row r="266" s="189" customFormat="1" x14ac:dyDescent="0.2"/>
    <row r="267" s="189" customFormat="1" x14ac:dyDescent="0.2"/>
    <row r="268" s="189" customFormat="1" x14ac:dyDescent="0.2"/>
    <row r="269" s="189" customFormat="1" x14ac:dyDescent="0.2"/>
    <row r="270" s="189" customFormat="1" x14ac:dyDescent="0.2"/>
    <row r="271" s="189" customFormat="1" x14ac:dyDescent="0.2"/>
    <row r="272" s="189" customFormat="1" x14ac:dyDescent="0.2"/>
    <row r="273" s="189" customFormat="1" x14ac:dyDescent="0.2"/>
    <row r="274" s="189" customFormat="1" x14ac:dyDescent="0.2"/>
    <row r="275" s="189" customFormat="1" x14ac:dyDescent="0.2"/>
    <row r="276" s="189" customFormat="1" x14ac:dyDescent="0.2"/>
    <row r="277" s="189" customFormat="1" x14ac:dyDescent="0.2"/>
    <row r="278" s="189" customFormat="1" x14ac:dyDescent="0.2"/>
    <row r="279" s="189" customFormat="1" x14ac:dyDescent="0.2"/>
    <row r="280" s="189" customFormat="1" x14ac:dyDescent="0.2"/>
    <row r="281" s="189" customFormat="1" x14ac:dyDescent="0.2"/>
    <row r="282" s="189" customFormat="1" x14ac:dyDescent="0.2"/>
    <row r="283" s="189" customFormat="1" x14ac:dyDescent="0.2"/>
    <row r="284" s="189" customFormat="1" x14ac:dyDescent="0.2"/>
    <row r="285" s="189" customFormat="1" x14ac:dyDescent="0.2"/>
    <row r="286" s="189" customFormat="1" x14ac:dyDescent="0.2"/>
    <row r="287" s="189" customFormat="1" x14ac:dyDescent="0.2"/>
    <row r="288" s="189" customFormat="1" x14ac:dyDescent="0.2"/>
    <row r="289" s="189" customFormat="1" x14ac:dyDescent="0.2"/>
    <row r="290" s="189" customFormat="1" x14ac:dyDescent="0.2"/>
    <row r="291" s="189" customFormat="1" x14ac:dyDescent="0.2"/>
    <row r="292" s="189" customFormat="1" x14ac:dyDescent="0.2"/>
    <row r="293" s="189" customFormat="1" x14ac:dyDescent="0.2"/>
    <row r="294" s="189" customFormat="1" x14ac:dyDescent="0.2"/>
    <row r="295" s="189" customFormat="1" x14ac:dyDescent="0.2"/>
    <row r="296" s="189" customFormat="1" x14ac:dyDescent="0.2"/>
    <row r="297" s="189" customFormat="1" x14ac:dyDescent="0.2"/>
    <row r="298" s="189" customFormat="1" x14ac:dyDescent="0.2"/>
    <row r="299" s="189" customFormat="1" x14ac:dyDescent="0.2"/>
    <row r="300" s="189" customFormat="1" x14ac:dyDescent="0.2"/>
    <row r="301" s="189" customFormat="1" x14ac:dyDescent="0.2"/>
    <row r="302" s="189" customFormat="1" x14ac:dyDescent="0.2"/>
    <row r="303" s="189" customFormat="1" x14ac:dyDescent="0.2"/>
    <row r="304" s="189" customFormat="1" x14ac:dyDescent="0.2"/>
    <row r="305" s="189" customFormat="1" x14ac:dyDescent="0.2"/>
    <row r="306" s="189" customFormat="1" x14ac:dyDescent="0.2"/>
    <row r="307" s="189" customFormat="1" x14ac:dyDescent="0.2"/>
    <row r="308" s="189" customFormat="1" x14ac:dyDescent="0.2"/>
    <row r="309" s="189" customFormat="1" x14ac:dyDescent="0.2"/>
    <row r="310" s="189" customFormat="1" x14ac:dyDescent="0.2"/>
    <row r="311" s="189" customFormat="1" x14ac:dyDescent="0.2"/>
    <row r="312" s="189" customFormat="1" x14ac:dyDescent="0.2"/>
    <row r="313" s="189" customFormat="1" x14ac:dyDescent="0.2"/>
    <row r="314" s="189" customFormat="1" x14ac:dyDescent="0.2"/>
    <row r="315" s="189" customFormat="1" x14ac:dyDescent="0.2"/>
    <row r="316" s="189" customFormat="1" x14ac:dyDescent="0.2"/>
    <row r="317" s="189" customFormat="1" x14ac:dyDescent="0.2"/>
    <row r="318" s="189" customFormat="1" x14ac:dyDescent="0.2"/>
    <row r="319" s="189" customFormat="1" x14ac:dyDescent="0.2"/>
    <row r="320" s="189" customFormat="1" x14ac:dyDescent="0.2"/>
    <row r="321" s="189" customFormat="1" x14ac:dyDescent="0.2"/>
    <row r="322" s="189" customFormat="1" x14ac:dyDescent="0.2"/>
    <row r="323" s="189" customFormat="1" x14ac:dyDescent="0.2"/>
    <row r="324" s="189" customFormat="1" x14ac:dyDescent="0.2"/>
    <row r="325" s="189" customFormat="1" x14ac:dyDescent="0.2"/>
    <row r="326" s="189" customFormat="1" x14ac:dyDescent="0.2"/>
    <row r="327" s="189" customFormat="1" x14ac:dyDescent="0.2"/>
    <row r="328" s="189" customFormat="1" x14ac:dyDescent="0.2"/>
    <row r="329" s="189" customFormat="1" x14ac:dyDescent="0.2"/>
    <row r="330" s="189" customFormat="1" x14ac:dyDescent="0.2"/>
    <row r="331" s="189" customFormat="1" x14ac:dyDescent="0.2"/>
    <row r="332" s="189" customFormat="1" x14ac:dyDescent="0.2"/>
    <row r="333" s="189" customFormat="1" x14ac:dyDescent="0.2"/>
    <row r="334" s="189" customFormat="1" x14ac:dyDescent="0.2"/>
    <row r="335" s="189" customFormat="1" x14ac:dyDescent="0.2"/>
    <row r="336" s="189" customFormat="1" x14ac:dyDescent="0.2"/>
    <row r="337" s="189" customFormat="1" x14ac:dyDescent="0.2"/>
    <row r="338" s="189" customFormat="1" x14ac:dyDescent="0.2"/>
    <row r="339" s="189" customFormat="1" x14ac:dyDescent="0.2"/>
    <row r="340" s="189" customFormat="1" x14ac:dyDescent="0.2"/>
    <row r="341" s="189" customFormat="1" x14ac:dyDescent="0.2"/>
    <row r="342" s="189" customFormat="1" x14ac:dyDescent="0.2"/>
    <row r="343" s="189" customFormat="1" x14ac:dyDescent="0.2"/>
    <row r="344" s="189" customFormat="1" x14ac:dyDescent="0.2"/>
    <row r="345" s="189" customFormat="1" x14ac:dyDescent="0.2"/>
    <row r="346" s="189" customFormat="1" x14ac:dyDescent="0.2"/>
    <row r="347" s="189" customFormat="1" x14ac:dyDescent="0.2"/>
    <row r="348" s="189" customFormat="1" x14ac:dyDescent="0.2"/>
    <row r="349" s="189" customFormat="1" x14ac:dyDescent="0.2"/>
    <row r="350" s="189" customFormat="1" x14ac:dyDescent="0.2"/>
    <row r="351" s="189" customFormat="1" x14ac:dyDescent="0.2"/>
    <row r="352" s="189" customFormat="1" x14ac:dyDescent="0.2"/>
    <row r="353" s="189" customFormat="1" x14ac:dyDescent="0.2"/>
    <row r="354" s="189" customFormat="1" x14ac:dyDescent="0.2"/>
    <row r="355" s="189" customFormat="1" x14ac:dyDescent="0.2"/>
    <row r="356" s="189" customFormat="1" x14ac:dyDescent="0.2"/>
    <row r="357" s="189" customFormat="1" x14ac:dyDescent="0.2"/>
    <row r="358" s="189" customFormat="1" x14ac:dyDescent="0.2"/>
    <row r="359" s="189" customFormat="1" x14ac:dyDescent="0.2"/>
    <row r="360" s="189" customFormat="1" x14ac:dyDescent="0.2"/>
    <row r="361" s="189" customFormat="1" x14ac:dyDescent="0.2"/>
    <row r="362" s="189" customFormat="1" x14ac:dyDescent="0.2"/>
    <row r="363" s="189" customFormat="1" x14ac:dyDescent="0.2"/>
    <row r="364" s="189" customFormat="1" x14ac:dyDescent="0.2"/>
    <row r="365" s="189" customFormat="1" x14ac:dyDescent="0.2"/>
    <row r="366" s="189" customFormat="1" x14ac:dyDescent="0.2"/>
    <row r="367" s="189" customFormat="1" x14ac:dyDescent="0.2"/>
    <row r="368" s="189" customFormat="1" x14ac:dyDescent="0.2"/>
    <row r="369" s="189" customFormat="1" x14ac:dyDescent="0.2"/>
    <row r="370" s="189" customFormat="1" x14ac:dyDescent="0.2"/>
    <row r="371" s="189" customFormat="1" x14ac:dyDescent="0.2"/>
    <row r="372" s="189" customFormat="1" x14ac:dyDescent="0.2"/>
    <row r="373" s="189" customFormat="1" x14ac:dyDescent="0.2"/>
    <row r="374" s="189" customFormat="1" x14ac:dyDescent="0.2"/>
    <row r="375" s="189" customFormat="1" x14ac:dyDescent="0.2"/>
    <row r="376" s="189" customFormat="1" x14ac:dyDescent="0.2"/>
    <row r="377" s="189" customFormat="1" x14ac:dyDescent="0.2"/>
    <row r="378" s="189" customFormat="1" x14ac:dyDescent="0.2"/>
    <row r="379" s="189" customFormat="1" x14ac:dyDescent="0.2"/>
    <row r="380" s="189" customFormat="1" x14ac:dyDescent="0.2"/>
    <row r="381" s="189" customFormat="1" x14ac:dyDescent="0.2"/>
    <row r="382" s="189" customFormat="1" x14ac:dyDescent="0.2"/>
    <row r="383" s="189" customFormat="1" x14ac:dyDescent="0.2"/>
    <row r="384" s="189" customFormat="1" x14ac:dyDescent="0.2"/>
    <row r="385" s="189" customFormat="1" x14ac:dyDescent="0.2"/>
    <row r="386" s="189" customFormat="1" x14ac:dyDescent="0.2"/>
    <row r="387" s="189" customFormat="1" x14ac:dyDescent="0.2"/>
    <row r="388" s="189" customFormat="1" x14ac:dyDescent="0.2"/>
    <row r="389" s="189" customFormat="1" x14ac:dyDescent="0.2"/>
    <row r="390" s="189" customFormat="1" x14ac:dyDescent="0.2"/>
    <row r="391" s="189" customFormat="1" x14ac:dyDescent="0.2"/>
    <row r="392" s="189" customFormat="1" x14ac:dyDescent="0.2"/>
    <row r="393" s="189" customFormat="1" x14ac:dyDescent="0.2"/>
    <row r="394" s="189" customFormat="1" x14ac:dyDescent="0.2"/>
    <row r="395" s="189" customFormat="1" x14ac:dyDescent="0.2"/>
    <row r="396" s="189" customFormat="1" x14ac:dyDescent="0.2"/>
    <row r="397" s="189" customFormat="1" x14ac:dyDescent="0.2"/>
    <row r="398" s="189" customFormat="1" x14ac:dyDescent="0.2"/>
    <row r="399" s="189" customFormat="1" x14ac:dyDescent="0.2"/>
    <row r="400" s="189" customFormat="1" x14ac:dyDescent="0.2"/>
    <row r="401" s="189" customFormat="1" x14ac:dyDescent="0.2"/>
    <row r="402" s="189" customFormat="1" x14ac:dyDescent="0.2"/>
    <row r="403" s="189" customFormat="1" x14ac:dyDescent="0.2"/>
    <row r="404" s="189" customFormat="1" x14ac:dyDescent="0.2"/>
    <row r="405" s="189" customFormat="1" x14ac:dyDescent="0.2"/>
    <row r="406" s="189" customFormat="1" x14ac:dyDescent="0.2"/>
    <row r="407" s="189" customFormat="1" x14ac:dyDescent="0.2"/>
    <row r="408" s="189" customFormat="1" x14ac:dyDescent="0.2"/>
    <row r="409" s="189" customFormat="1" x14ac:dyDescent="0.2"/>
    <row r="410" s="189" customFormat="1" x14ac:dyDescent="0.2"/>
    <row r="411" s="189" customFormat="1" x14ac:dyDescent="0.2"/>
    <row r="412" s="189" customFormat="1" x14ac:dyDescent="0.2"/>
    <row r="413" s="189" customFormat="1" x14ac:dyDescent="0.2"/>
    <row r="414" s="189" customFormat="1" x14ac:dyDescent="0.2"/>
  </sheetData>
  <mergeCells count="29">
    <mergeCell ref="AF4:AF5"/>
    <mergeCell ref="AE4:AE5"/>
    <mergeCell ref="AD4:AD5"/>
    <mergeCell ref="B1:M1"/>
    <mergeCell ref="O1:AB1"/>
    <mergeCell ref="AA4:AA5"/>
    <mergeCell ref="AB4:AB5"/>
    <mergeCell ref="O4:O5"/>
    <mergeCell ref="R4:R5"/>
    <mergeCell ref="O3:AC3"/>
    <mergeCell ref="V4:V5"/>
    <mergeCell ref="Q4:Q5"/>
    <mergeCell ref="T4:T5"/>
    <mergeCell ref="AC4:AC5"/>
    <mergeCell ref="O2:V2"/>
    <mergeCell ref="L4:L5"/>
    <mergeCell ref="I38:J38"/>
    <mergeCell ref="AA38:AB38"/>
    <mergeCell ref="L3:N3"/>
    <mergeCell ref="N4:N5"/>
    <mergeCell ref="S4:S5"/>
    <mergeCell ref="U4:U5"/>
    <mergeCell ref="P4:P5"/>
    <mergeCell ref="W4:W5"/>
    <mergeCell ref="AH3:AH5"/>
    <mergeCell ref="AG3:AG5"/>
    <mergeCell ref="AI3:AI5"/>
    <mergeCell ref="AJ3:AJ5"/>
    <mergeCell ref="AL3:AO3"/>
  </mergeCells>
  <phoneticPr fontId="0" type="noConversion"/>
  <conditionalFormatting sqref="B6">
    <cfRule type="expression" dxfId="101" priority="8">
      <formula>B6&lt;#REF!</formula>
    </cfRule>
  </conditionalFormatting>
  <conditionalFormatting sqref="B7:B11">
    <cfRule type="expression" dxfId="100" priority="17">
      <formula>B7&lt;B6</formula>
    </cfRule>
  </conditionalFormatting>
  <conditionalFormatting sqref="B35:D35 B36:B37">
    <cfRule type="expression" dxfId="99" priority="34">
      <formula>B35&lt;#REF!</formula>
    </cfRule>
  </conditionalFormatting>
  <conditionalFormatting sqref="C6:D6">
    <cfRule type="expression" dxfId="98" priority="10">
      <formula>C6&lt;C5</formula>
    </cfRule>
  </conditionalFormatting>
  <conditionalFormatting sqref="C7:D7 H7:J7 R7 T7 W7 AB7 P8:P10 V8:V10">
    <cfRule type="expression" dxfId="97" priority="25">
      <formula>C7&lt;#REF!</formula>
    </cfRule>
  </conditionalFormatting>
  <conditionalFormatting sqref="C8:D14 V13:X14 B13:B34 C15:E31 C32:D34 E32:E37">
    <cfRule type="expression" dxfId="96" priority="21">
      <formula>B8&lt;B7</formula>
    </cfRule>
  </conditionalFormatting>
  <conditionalFormatting sqref="C36:D37">
    <cfRule type="expression" dxfId="95" priority="36">
      <formula>C36&lt;C35</formula>
    </cfRule>
  </conditionalFormatting>
  <conditionalFormatting sqref="E6:E14">
    <cfRule type="expression" dxfId="94" priority="2">
      <formula>E6&lt;E5</formula>
    </cfRule>
  </conditionalFormatting>
  <conditionalFormatting sqref="F6:F37 B11:B12">
    <cfRule type="expression" dxfId="93" priority="26">
      <formula>B6&lt;#REF!</formula>
    </cfRule>
  </conditionalFormatting>
  <conditionalFormatting sqref="G6:G37">
    <cfRule type="expression" dxfId="92" priority="18">
      <formula>G6&lt;G5</formula>
    </cfRule>
  </conditionalFormatting>
  <conditionalFormatting sqref="G6:O6">
    <cfRule type="expression" dxfId="91" priority="1">
      <formula>G6&lt;G5</formula>
    </cfRule>
  </conditionalFormatting>
  <conditionalFormatting sqref="H35:I35 P35:T35 W35:Y35 AB35 AE35:AI35 P36:P37 S36:S37 X36:Y37">
    <cfRule type="expression" dxfId="90" priority="33">
      <formula>H35&lt;#REF!</formula>
    </cfRule>
  </conditionalFormatting>
  <conditionalFormatting sqref="H8:J18 H19:I34">
    <cfRule type="expression" dxfId="89" priority="23">
      <formula>H8&lt;H7</formula>
    </cfRule>
  </conditionalFormatting>
  <conditionalFormatting sqref="J19:J35">
    <cfRule type="expression" dxfId="88" priority="27">
      <formula>J19&lt;J18</formula>
    </cfRule>
  </conditionalFormatting>
  <conditionalFormatting sqref="K7:L21 T8 AB8:AI27 O11:T22 M14:M21 V15:Z22 L22:M22 K22:K37 L23:Z27">
    <cfRule type="expression" dxfId="87" priority="13">
      <formula>K7&lt;K6</formula>
    </cfRule>
  </conditionalFormatting>
  <conditionalFormatting sqref="L28:AI28 L29:T33 U29:U37 AD29:AD37">
    <cfRule type="expression" dxfId="86" priority="29">
      <formula>L28&lt;L27</formula>
    </cfRule>
  </conditionalFormatting>
  <conditionalFormatting sqref="N7:O9 O10 N10:N22">
    <cfRule type="expression" dxfId="85" priority="15">
      <formula>N7&lt;N6</formula>
    </cfRule>
  </conditionalFormatting>
  <conditionalFormatting sqref="O35:O37 U35:V37">
    <cfRule type="expression" dxfId="84" priority="32">
      <formula>O35&lt;O34</formula>
    </cfRule>
  </conditionalFormatting>
  <conditionalFormatting sqref="P6:Q6 X6:Y6 S6:S8">
    <cfRule type="expression" dxfId="83" priority="7">
      <formula>P6&lt;#REF!</formula>
    </cfRule>
  </conditionalFormatting>
  <conditionalFormatting sqref="P7:Q7">
    <cfRule type="expression" dxfId="82" priority="19">
      <formula>P7&lt;P6</formula>
    </cfRule>
  </conditionalFormatting>
  <conditionalFormatting sqref="Q36">
    <cfRule type="expression" dxfId="81" priority="37">
      <formula>Q36&lt;#REF!</formula>
    </cfRule>
  </conditionalFormatting>
  <conditionalFormatting sqref="Q8:R8">
    <cfRule type="expression" dxfId="80" priority="24">
      <formula>Q8&lt;Q7</formula>
    </cfRule>
  </conditionalFormatting>
  <conditionalFormatting sqref="R6">
    <cfRule type="expression" dxfId="79" priority="9">
      <formula>R6&lt;R5</formula>
    </cfRule>
  </conditionalFormatting>
  <conditionalFormatting sqref="R36">
    <cfRule type="expression" dxfId="78" priority="35">
      <formula>R36&lt;R35</formula>
    </cfRule>
  </conditionalFormatting>
  <conditionalFormatting sqref="T6:W6 Z6 AB6">
    <cfRule type="expression" dxfId="77" priority="6">
      <formula>T6&lt;T5</formula>
    </cfRule>
  </conditionalFormatting>
  <conditionalFormatting sqref="V7">
    <cfRule type="expression" dxfId="76" priority="12">
      <formula>V7&lt;V6</formula>
    </cfRule>
  </conditionalFormatting>
  <conditionalFormatting sqref="V29:AC29 AE29:AI34 AA30:AC30 Z30:Z31 V30:Y34 AA31:AB31 AC31:AC37 Z32:AB34 O34:T34 L34:N37 G36:J37">
    <cfRule type="expression" dxfId="75" priority="30">
      <formula>G29&lt;G28</formula>
    </cfRule>
  </conditionalFormatting>
  <conditionalFormatting sqref="W8:W10 Q9:T10 V11:W12">
    <cfRule type="expression" dxfId="74" priority="20">
      <formula>Q8&lt;Q7</formula>
    </cfRule>
  </conditionalFormatting>
  <conditionalFormatting sqref="Y7:Z14">
    <cfRule type="expression" dxfId="73" priority="14">
      <formula>Y7&lt;Y6</formula>
    </cfRule>
  </conditionalFormatting>
  <conditionalFormatting sqref="Z35:Z37 T36:T37 W36:W37 AB36:AB37 AE36:AI37 Q37:R37">
    <cfRule type="expression" dxfId="72" priority="31">
      <formula>Q35&lt;Q34</formula>
    </cfRule>
  </conditionalFormatting>
  <conditionalFormatting sqref="AA6:AA10">
    <cfRule type="expression" dxfId="71" priority="3">
      <formula>AA6&lt;#REF!</formula>
    </cfRule>
  </conditionalFormatting>
  <conditionalFormatting sqref="AA6:AA37">
    <cfRule type="expression" dxfId="70" priority="11">
      <formula>AA6&lt;AA5</formula>
    </cfRule>
  </conditionalFormatting>
  <conditionalFormatting sqref="AA28:AA37">
    <cfRule type="expression" dxfId="69" priority="28">
      <formula>AA28&lt;#REF!</formula>
    </cfRule>
  </conditionalFormatting>
  <conditionalFormatting sqref="AC6:AC7">
    <cfRule type="expression" dxfId="68" priority="5">
      <formula>AC6&lt;AC5</formula>
    </cfRule>
  </conditionalFormatting>
  <conditionalFormatting sqref="AD6:AI6 U6:U22">
    <cfRule type="expression" dxfId="67" priority="4">
      <formula>U6&lt;U5</formula>
    </cfRule>
  </conditionalFormatting>
  <conditionalFormatting sqref="AD7:AI7 X7:X12 M7:M13">
    <cfRule type="expression" dxfId="66" priority="16">
      <formula>M7&lt;#REF!</formula>
    </cfRule>
  </conditionalFormatting>
  <conditionalFormatting sqref="AJ6:AJ37">
    <cfRule type="expression" dxfId="65" priority="22">
      <formula>AJ6&lt;AJ5</formula>
    </cfRule>
  </conditionalFormatting>
  <conditionalFormatting sqref="AK6:AK12">
    <cfRule type="expression" dxfId="64" priority="934">
      <formula>AK6&lt;AK5</formula>
    </cfRule>
  </conditionalFormatting>
  <conditionalFormatting sqref="AK13:AL15">
    <cfRule type="expression" dxfId="63" priority="1014">
      <formula>AK13&lt;#REF!</formula>
    </cfRule>
  </conditionalFormatting>
  <conditionalFormatting sqref="AL9:AL14 AL15:AN34 AK16:AK37">
    <cfRule type="expression" dxfId="62" priority="951">
      <formula>AK9&lt;AK8</formula>
    </cfRule>
  </conditionalFormatting>
  <conditionalFormatting sqref="AO9:AO34">
    <cfRule type="expression" dxfId="61" priority="959">
      <formula>AO9&lt;#REF!</formula>
    </cfRule>
  </conditionalFormatting>
  <pageMargins left="0.1" right="0.5" top="0.32" bottom="0.25" header="0.25" footer="0.25"/>
  <pageSetup paperSize="5" scale="26" orientation="landscape" horizontalDpi="4294967295" verticalDpi="4294967295" r:id="rId1"/>
  <headerFooter alignWithMargins="0"/>
  <rowBreaks count="1" manualBreakCount="1">
    <brk id="38" max="38" man="1"/>
  </rowBreaks>
  <colBreaks count="1" manualBreakCount="1">
    <brk id="39" max="39" man="1"/>
  </col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15"/>
  </sheetPr>
  <dimension ref="A2:AF54"/>
  <sheetViews>
    <sheetView showGridLines="0" topLeftCell="A7" zoomScale="70" zoomScaleNormal="70" zoomScaleSheetLayoutView="100" workbookViewId="0">
      <pane xSplit="1" ySplit="3" topLeftCell="B10" activePane="bottomRight" state="frozen"/>
      <selection activeCell="A7" sqref="A7"/>
      <selection pane="topRight" activeCell="B7" sqref="B7"/>
      <selection pane="bottomLeft" activeCell="A10" sqref="A10"/>
      <selection pane="bottomRight" activeCell="E10" sqref="E10:E40"/>
    </sheetView>
  </sheetViews>
  <sheetFormatPr defaultRowHeight="12.75" x14ac:dyDescent="0.2"/>
  <cols>
    <col min="1" max="1" width="8.28515625" bestFit="1" customWidth="1"/>
    <col min="2" max="3" width="8.28515625" customWidth="1"/>
    <col min="4" max="4" width="15.5703125" customWidth="1"/>
    <col min="5" max="5" width="15.5703125" style="707" customWidth="1"/>
    <col min="6" max="6" width="15.5703125" style="713" customWidth="1"/>
    <col min="7" max="8" width="15.5703125" customWidth="1"/>
    <col min="9" max="9" width="13.5703125" customWidth="1"/>
    <col min="10" max="10" width="13.42578125" customWidth="1"/>
    <col min="11" max="11" width="13.5703125" customWidth="1"/>
    <col min="13" max="13" width="13.5703125" customWidth="1"/>
    <col min="16" max="16" width="9.140625" style="335"/>
    <col min="17" max="17" width="9.140625" style="346"/>
  </cols>
  <sheetData>
    <row r="2" spans="1:20" x14ac:dyDescent="0.2">
      <c r="J2" s="14" t="s">
        <v>1</v>
      </c>
    </row>
    <row r="3" spans="1:20" x14ac:dyDescent="0.2">
      <c r="J3" s="1" t="s">
        <v>0</v>
      </c>
    </row>
    <row r="5" spans="1:20" x14ac:dyDescent="0.2">
      <c r="A5" s="1" t="s">
        <v>2</v>
      </c>
      <c r="B5" s="1"/>
      <c r="C5" s="1"/>
      <c r="I5" s="3">
        <v>39295</v>
      </c>
      <c r="K5" s="3"/>
    </row>
    <row r="6" spans="1:20" ht="13.5" thickBot="1" x14ac:dyDescent="0.25"/>
    <row r="7" spans="1:20" ht="12.75" customHeight="1" x14ac:dyDescent="0.2">
      <c r="A7" s="877" t="s">
        <v>7</v>
      </c>
      <c r="B7" s="384"/>
      <c r="C7" s="384"/>
      <c r="D7" s="890" t="s">
        <v>257</v>
      </c>
      <c r="E7" s="893" t="s">
        <v>289</v>
      </c>
      <c r="F7" s="887" t="s">
        <v>290</v>
      </c>
      <c r="G7" s="883" t="s">
        <v>258</v>
      </c>
      <c r="H7" s="883" t="s">
        <v>259</v>
      </c>
      <c r="I7" s="384" t="s">
        <v>3</v>
      </c>
      <c r="J7" s="384" t="s">
        <v>4</v>
      </c>
      <c r="K7" s="392" t="s">
        <v>56</v>
      </c>
      <c r="L7" s="884" t="s">
        <v>17</v>
      </c>
      <c r="M7" s="885"/>
      <c r="N7" s="885"/>
      <c r="O7" s="885"/>
      <c r="P7" s="886"/>
      <c r="Q7" s="881" t="s">
        <v>11</v>
      </c>
      <c r="R7" s="882"/>
      <c r="S7" s="882"/>
      <c r="T7" s="882"/>
    </row>
    <row r="8" spans="1:20" x14ac:dyDescent="0.2">
      <c r="A8" s="878"/>
      <c r="B8" s="385" t="s">
        <v>260</v>
      </c>
      <c r="C8" s="385" t="s">
        <v>261</v>
      </c>
      <c r="D8" s="891"/>
      <c r="E8" s="894"/>
      <c r="F8" s="888"/>
      <c r="G8" s="883"/>
      <c r="H8" s="883"/>
      <c r="I8" s="384"/>
      <c r="J8" s="384"/>
      <c r="K8" s="392"/>
      <c r="L8" s="393"/>
      <c r="M8" s="384"/>
      <c r="N8" s="384"/>
      <c r="O8" s="384"/>
      <c r="P8" s="402"/>
      <c r="Q8" s="394" t="s">
        <v>14</v>
      </c>
      <c r="R8" s="384" t="s">
        <v>15</v>
      </c>
      <c r="S8" s="384" t="s">
        <v>9</v>
      </c>
      <c r="T8" s="384" t="s">
        <v>66</v>
      </c>
    </row>
    <row r="9" spans="1:20" x14ac:dyDescent="0.2">
      <c r="A9" s="879"/>
      <c r="B9" s="386"/>
      <c r="C9" s="386"/>
      <c r="D9" s="892"/>
      <c r="E9" s="895"/>
      <c r="F9" s="889"/>
      <c r="G9" s="384" t="s">
        <v>59</v>
      </c>
      <c r="H9" s="384" t="s">
        <v>59</v>
      </c>
      <c r="I9" s="384" t="s">
        <v>60</v>
      </c>
      <c r="J9" s="384" t="s">
        <v>61</v>
      </c>
      <c r="K9" s="392" t="s">
        <v>65</v>
      </c>
      <c r="L9" s="393" t="s">
        <v>5</v>
      </c>
      <c r="M9" s="384" t="s">
        <v>6</v>
      </c>
      <c r="N9" s="384" t="s">
        <v>8</v>
      </c>
      <c r="O9" s="384" t="s">
        <v>10</v>
      </c>
      <c r="P9" s="402" t="s">
        <v>12</v>
      </c>
      <c r="Q9" s="394" t="s">
        <v>13</v>
      </c>
      <c r="R9" s="384" t="s">
        <v>64</v>
      </c>
      <c r="S9" s="384" t="s">
        <v>16</v>
      </c>
      <c r="T9" s="384" t="s">
        <v>67</v>
      </c>
    </row>
    <row r="10" spans="1:20" s="35" customFormat="1" ht="15" x14ac:dyDescent="0.2">
      <c r="A10" s="725">
        <v>1</v>
      </c>
      <c r="B10" s="725">
        <f>IF('Entries July 2026'!I7&lt;'Entries July 2026'!I6,"0",(IF('Entries July 2026'!I7&gt;='Entries July 2026'!I6,'Entries July 2026'!I7-'Entries July 2026'!I6,(999999-'Entries July 2026'!I6)+'Entries July 2026'!I7+1)))</f>
        <v>6440</v>
      </c>
      <c r="C10" s="725" t="str">
        <f>IF('Entries July 2026'!J7&lt;='Entries July 2026'!J6,"0",IF('Entries July 2026'!J7&gt;='Entries July 2026'!J6,'Entries July 2026'!J7-'Entries July 2026'!J6,(999999-'Entries July 2026'!J6)+'Entries July 2026'!J7+1))</f>
        <v>0</v>
      </c>
      <c r="D10" s="726">
        <f>B10+C10</f>
        <v>6440</v>
      </c>
      <c r="E10" s="838">
        <v>1524</v>
      </c>
      <c r="F10" s="727">
        <f>IF((E10+D10)=0,"0",E10/(D10+E10))</f>
        <v>0.19136112506278252</v>
      </c>
      <c r="G10" s="743">
        <f>IF('Entries July 2026'!K7&lt;'Entries July 2026'!K6,"0",IF('Entries July 2026'!K7&gt;='Entries July 2026'!K6,'Entries July 2026'!K7-'Entries July 2026'!K6,(999999-'Entries July 2026'!K6)+'Entries July 2026'!K7+1))</f>
        <v>0</v>
      </c>
      <c r="H10" s="726">
        <f>D10+G10+E10</f>
        <v>7964</v>
      </c>
      <c r="I10" s="743">
        <f>'Water '!Z7*10</f>
        <v>4430</v>
      </c>
      <c r="J10" s="726">
        <f>IF('Entries July 2026'!B7-'Entries July 2026'!B6&lt;1,"0",'Entries July 2026'!B7-'Entries July 2026'!B6)</f>
        <v>2840</v>
      </c>
      <c r="K10" s="728">
        <f>'CO2'!E7</f>
        <v>2800</v>
      </c>
      <c r="L10" s="729">
        <f>+'PROD.FIG. '!F5</f>
        <v>0</v>
      </c>
      <c r="M10" s="726">
        <f>+'PROD.FIG. '!C5</f>
        <v>0</v>
      </c>
      <c r="N10" s="726">
        <f>+'PROD.FIG. '!D5</f>
        <v>0</v>
      </c>
      <c r="O10" s="726">
        <f>+'PROD.FIG. '!E5</f>
        <v>0</v>
      </c>
      <c r="P10" s="730" cm="1">
        <f t="array" ref="P10:P40">TRANSPOSE('Daily KPIs'!B9:AF9)</f>
        <v>471.86520000000002</v>
      </c>
      <c r="Q10" s="395">
        <f>IF(P10=0,0,H10/P10)</f>
        <v>16.877701513059236</v>
      </c>
      <c r="R10" s="395">
        <f>IF(Q10=0,0,I10/P10)</f>
        <v>9.3882744478719768</v>
      </c>
      <c r="S10" s="395">
        <f>IF(R10=0,0,J10/P10)</f>
        <v>6.0186680433310187</v>
      </c>
      <c r="T10" s="395">
        <f>IF(S10=0,0,K10/P10)</f>
        <v>5.9338980708897369</v>
      </c>
    </row>
    <row r="11" spans="1:20" ht="15" x14ac:dyDescent="0.2">
      <c r="A11" s="725">
        <v>2</v>
      </c>
      <c r="B11" s="725">
        <f>IF('Entries July 2026'!I8&lt;'Entries July 2026'!I7,"0",(IF('Entries July 2026'!I8&gt;='Entries July 2026'!I7,'Entries July 2026'!I8-'Entries July 2026'!I7,(999999-'Entries July 2026'!I7)+'Entries July 2026'!I8+1)))</f>
        <v>8601</v>
      </c>
      <c r="C11" s="725" t="str">
        <f>IF('Entries July 2026'!J8&lt;='Entries July 2026'!J7,"0",IF('Entries July 2026'!J8&gt;='Entries July 2026'!J7,'Entries July 2026'!J8-'Entries July 2026'!J7,(999999-'Entries July 2026'!J7)+'Entries July 2026'!J8+1))</f>
        <v>0</v>
      </c>
      <c r="D11" s="726">
        <f t="shared" ref="D11:D40" si="0">B11+C11</f>
        <v>8601</v>
      </c>
      <c r="E11" s="838">
        <v>1499</v>
      </c>
      <c r="F11" s="727">
        <f t="shared" ref="F11:F40" si="1">IF((E11+D11)=0,"0",E11/(D11+E11))</f>
        <v>0.14841584158415841</v>
      </c>
      <c r="G11" s="743">
        <f>IF('Entries July 2026'!K8&lt;'Entries July 2026'!K7,"0",IF('Entries July 2026'!K8&gt;='Entries July 2026'!K7,'Entries July 2026'!K8-'Entries July 2026'!K7,(999999-'Entries July 2026'!K7)+'Entries July 2026'!K8+1))</f>
        <v>0</v>
      </c>
      <c r="H11" s="726">
        <f t="shared" ref="H11:H40" si="2">D11+G11+E11</f>
        <v>10100</v>
      </c>
      <c r="I11" s="743">
        <f>'Water '!Z8*10</f>
        <v>4820</v>
      </c>
      <c r="J11" s="726">
        <f>IF('Entries July 2026'!B8-'Entries July 2026'!B7&lt;1,"0",'Entries July 2026'!B8-'Entries July 2026'!B7)</f>
        <v>3450</v>
      </c>
      <c r="K11" s="728">
        <f>'CO2'!E8</f>
        <v>2500</v>
      </c>
      <c r="L11" s="729">
        <f>+'PROD.FIG. '!F6</f>
        <v>0</v>
      </c>
      <c r="M11" s="726">
        <f>+'PROD.FIG. '!C6</f>
        <v>0</v>
      </c>
      <c r="N11" s="726">
        <f>+'PROD.FIG. '!D6</f>
        <v>0</v>
      </c>
      <c r="O11" s="726">
        <f>+'PROD.FIG. '!E6</f>
        <v>0</v>
      </c>
      <c r="P11" s="730">
        <v>507.36840000000001</v>
      </c>
      <c r="Q11" s="395">
        <f t="shared" ref="Q11:Q40" si="3">IF(P11=0,0,H11/P11)</f>
        <v>19.906639830151029</v>
      </c>
      <c r="R11" s="395">
        <f t="shared" ref="R11:R40" si="4">IF(Q11=0,0,I11/P11)</f>
        <v>9.5000003941908879</v>
      </c>
      <c r="S11" s="395">
        <f t="shared" ref="S11:S40" si="5">IF(R11=0,0,J11/P11)</f>
        <v>6.799792813269411</v>
      </c>
      <c r="T11" s="395">
        <f t="shared" ref="T11:T40" si="6">IF(S11=0,0,K11/P11)</f>
        <v>4.9273860965720369</v>
      </c>
    </row>
    <row r="12" spans="1:20" s="35" customFormat="1" ht="15" x14ac:dyDescent="0.2">
      <c r="A12" s="725">
        <v>3</v>
      </c>
      <c r="B12" s="725">
        <f>IF('Entries July 2026'!I9&lt;'Entries July 2026'!I8,"0",(IF('Entries July 2026'!I9&gt;='Entries July 2026'!I8,'Entries July 2026'!I9-'Entries July 2026'!I8,(999999-'Entries July 2026'!I8)+'Entries July 2026'!I9+1)))</f>
        <v>8712</v>
      </c>
      <c r="C12" s="725" t="str">
        <f>IF('Entries July 2026'!J9&lt;='Entries July 2026'!J8,"0",IF('Entries July 2026'!J9&gt;='Entries July 2026'!J8,'Entries July 2026'!J9-'Entries July 2026'!J8,(999999-'Entries July 2026'!J8)+'Entries July 2026'!J9+1))</f>
        <v>0</v>
      </c>
      <c r="D12" s="726">
        <f t="shared" si="0"/>
        <v>8712</v>
      </c>
      <c r="E12" s="838">
        <v>534.4</v>
      </c>
      <c r="F12" s="727">
        <f t="shared" si="1"/>
        <v>5.7795466343658071E-2</v>
      </c>
      <c r="G12" s="743">
        <f>IF('Entries July 2026'!K9&lt;'Entries July 2026'!K8,"0",IF('Entries July 2026'!K9&gt;='Entries July 2026'!K8,'Entries July 2026'!K9-'Entries July 2026'!K8,(999999-'Entries July 2026'!K8)+'Entries July 2026'!K9+1))</f>
        <v>0</v>
      </c>
      <c r="H12" s="726">
        <f t="shared" si="2"/>
        <v>9246.4</v>
      </c>
      <c r="I12" s="743">
        <f>'Water '!Z9*10</f>
        <v>1500</v>
      </c>
      <c r="J12" s="726">
        <f>IF('Entries July 2026'!B9-'Entries July 2026'!B8&lt;1,"0",'Entries July 2026'!B9-'Entries July 2026'!B8)</f>
        <v>2990</v>
      </c>
      <c r="K12" s="728">
        <f>'CO2'!E9</f>
        <v>3100</v>
      </c>
      <c r="L12" s="729">
        <f>+'PROD.FIG. '!F7</f>
        <v>0</v>
      </c>
      <c r="M12" s="726">
        <f>+'PROD.FIG. '!C7</f>
        <v>0</v>
      </c>
      <c r="N12" s="726">
        <f>+'PROD.FIG. '!D7</f>
        <v>0</v>
      </c>
      <c r="O12" s="726">
        <f>+'PROD.FIG. '!E7</f>
        <v>0</v>
      </c>
      <c r="P12" s="730">
        <v>492.096</v>
      </c>
      <c r="Q12" s="395">
        <f t="shared" si="3"/>
        <v>18.789829626739497</v>
      </c>
      <c r="R12" s="395">
        <f t="shared" si="4"/>
        <v>3.0481857198595397</v>
      </c>
      <c r="S12" s="395">
        <f t="shared" si="5"/>
        <v>6.076050201586682</v>
      </c>
      <c r="T12" s="395">
        <f t="shared" si="6"/>
        <v>6.2995838210430488</v>
      </c>
    </row>
    <row r="13" spans="1:20" ht="15" x14ac:dyDescent="0.2">
      <c r="A13" s="802">
        <v>4</v>
      </c>
      <c r="B13" s="802">
        <f>IF('Entries July 2026'!I10&lt;'Entries July 2026'!I9,"0",(IF('Entries July 2026'!I10&gt;='Entries July 2026'!I9,'Entries July 2026'!I10-'Entries July 2026'!I9,(999999-'Entries July 2026'!I9)+'Entries July 2026'!I10+1)))</f>
        <v>3652</v>
      </c>
      <c r="C13" s="802" t="str">
        <f>IF('Entries July 2026'!J10&lt;='Entries July 2026'!J9,"0",IF('Entries July 2026'!J10&gt;='Entries July 2026'!J9,'Entries July 2026'!J10-'Entries July 2026'!J9,(999999-'Entries July 2026'!J9)+'Entries July 2026'!J10+1))</f>
        <v>0</v>
      </c>
      <c r="D13" s="803">
        <f t="shared" si="0"/>
        <v>3652</v>
      </c>
      <c r="E13" s="839">
        <v>1458</v>
      </c>
      <c r="F13" s="804">
        <f t="shared" si="1"/>
        <v>0.28532289628180041</v>
      </c>
      <c r="G13" s="805">
        <f>IF('Entries July 2026'!K10&lt;'Entries July 2026'!K9,"0",IF('Entries July 2026'!K10&gt;='Entries July 2026'!K9,'Entries July 2026'!K10-'Entries July 2026'!K9,(999999-'Entries July 2026'!K9)+'Entries July 2026'!K10+1))</f>
        <v>0</v>
      </c>
      <c r="H13" s="803">
        <f t="shared" si="2"/>
        <v>5110</v>
      </c>
      <c r="I13" s="805">
        <f>'Water '!Z10*10</f>
        <v>2050</v>
      </c>
      <c r="J13" s="803">
        <f>IF('Entries July 2026'!B10-'Entries July 2026'!B9&lt;1,"0",'Entries July 2026'!B10-'Entries July 2026'!B9)</f>
        <v>940</v>
      </c>
      <c r="K13" s="806">
        <f>'CO2'!E10</f>
        <v>0</v>
      </c>
      <c r="L13" s="807">
        <f>+'PROD.FIG. '!F8</f>
        <v>0</v>
      </c>
      <c r="M13" s="803">
        <f>+'PROD.FIG. '!C8</f>
        <v>0</v>
      </c>
      <c r="N13" s="803">
        <f>+'PROD.FIG. '!D8</f>
        <v>0</v>
      </c>
      <c r="O13" s="803">
        <f>+'PROD.FIG. '!E8</f>
        <v>0</v>
      </c>
      <c r="P13" s="808">
        <v>0</v>
      </c>
      <c r="Q13" s="395">
        <f t="shared" si="3"/>
        <v>0</v>
      </c>
      <c r="R13" s="395">
        <f t="shared" si="4"/>
        <v>0</v>
      </c>
      <c r="S13" s="395">
        <f t="shared" si="5"/>
        <v>0</v>
      </c>
      <c r="T13" s="395">
        <f t="shared" si="6"/>
        <v>0</v>
      </c>
    </row>
    <row r="14" spans="1:20" s="35" customFormat="1" ht="15" x14ac:dyDescent="0.2">
      <c r="A14" s="802">
        <v>5</v>
      </c>
      <c r="B14" s="802">
        <f>IF('Entries July 2026'!I11&lt;'Entries July 2026'!I10,"0",(IF('Entries July 2026'!I11&gt;='Entries July 2026'!I10,'Entries July 2026'!I11-'Entries July 2026'!I10,(999999-'Entries July 2026'!I10)+'Entries July 2026'!I11+1)))</f>
        <v>5363</v>
      </c>
      <c r="C14" s="802" t="str">
        <f>IF('Entries July 2026'!J11&lt;='Entries July 2026'!J10,"0",IF('Entries July 2026'!J11&gt;='Entries July 2026'!J10,'Entries July 2026'!J11-'Entries July 2026'!J10,(999999-'Entries July 2026'!J10)+'Entries July 2026'!J11+1))</f>
        <v>0</v>
      </c>
      <c r="D14" s="803">
        <f t="shared" si="0"/>
        <v>5363</v>
      </c>
      <c r="E14" s="839">
        <v>1074.4000000000001</v>
      </c>
      <c r="F14" s="804">
        <f t="shared" si="1"/>
        <v>0.16689967999502908</v>
      </c>
      <c r="G14" s="805">
        <f>IF('Entries July 2026'!K11&lt;'Entries July 2026'!K10,"0",IF('Entries July 2026'!K11&gt;='Entries July 2026'!K10,'Entries July 2026'!K11-'Entries July 2026'!K10,(999999-'Entries July 2026'!K10)+'Entries July 2026'!K11+1))</f>
        <v>0</v>
      </c>
      <c r="H14" s="803">
        <f t="shared" si="2"/>
        <v>6437.4</v>
      </c>
      <c r="I14" s="805">
        <f>'Water '!Z11*10</f>
        <v>420</v>
      </c>
      <c r="J14" s="803">
        <f>IF('Entries July 2026'!B11-'Entries July 2026'!B10&lt;1,"0",'Entries July 2026'!B11-'Entries July 2026'!B10)</f>
        <v>1480</v>
      </c>
      <c r="K14" s="806">
        <f>'CO2'!E11</f>
        <v>0</v>
      </c>
      <c r="L14" s="807">
        <f>+'PROD.FIG. '!F9</f>
        <v>0</v>
      </c>
      <c r="M14" s="803">
        <f>+'PROD.FIG. '!C9</f>
        <v>0</v>
      </c>
      <c r="N14" s="803">
        <f>+'PROD.FIG. '!D9</f>
        <v>0</v>
      </c>
      <c r="O14" s="803">
        <f>+'PROD.FIG. '!E9</f>
        <v>0</v>
      </c>
      <c r="P14" s="808">
        <v>0</v>
      </c>
      <c r="Q14" s="395">
        <f t="shared" si="3"/>
        <v>0</v>
      </c>
      <c r="R14" s="395">
        <f t="shared" si="4"/>
        <v>0</v>
      </c>
      <c r="S14" s="395">
        <f t="shared" si="5"/>
        <v>0</v>
      </c>
      <c r="T14" s="395">
        <f t="shared" si="6"/>
        <v>0</v>
      </c>
    </row>
    <row r="15" spans="1:20" ht="15" x14ac:dyDescent="0.2">
      <c r="A15" s="725">
        <v>6</v>
      </c>
      <c r="B15" s="725">
        <f>IF('Entries July 2026'!I12&lt;'Entries July 2026'!I11,"0",(IF('Entries July 2026'!I12&gt;='Entries July 2026'!I11,'Entries July 2026'!I12-'Entries July 2026'!I11,(999999-'Entries July 2026'!I11)+'Entries July 2026'!I12+1)))</f>
        <v>7179</v>
      </c>
      <c r="C15" s="725" t="str">
        <f>IF('Entries July 2026'!J12&lt;='Entries July 2026'!J11,"0",IF('Entries July 2026'!J12&gt;='Entries July 2026'!J11,'Entries July 2026'!J12-'Entries July 2026'!J11,(999999-'Entries July 2026'!J11)+'Entries July 2026'!J12+1))</f>
        <v>0</v>
      </c>
      <c r="D15" s="726">
        <f t="shared" si="0"/>
        <v>7179</v>
      </c>
      <c r="E15" s="838">
        <v>1149.0999999999999</v>
      </c>
      <c r="F15" s="727">
        <f t="shared" si="1"/>
        <v>0.13797865059257211</v>
      </c>
      <c r="G15" s="743">
        <f>IF('Entries July 2026'!K12&lt;'Entries July 2026'!K11,"0",IF('Entries July 2026'!K12&gt;='Entries July 2026'!K11,'Entries July 2026'!K12-'Entries July 2026'!K11,(999999-'Entries July 2026'!K11)+'Entries July 2026'!K12+1))</f>
        <v>0</v>
      </c>
      <c r="H15" s="726">
        <f t="shared" si="2"/>
        <v>8328.1</v>
      </c>
      <c r="I15" s="743">
        <f>'Water '!Z12*10</f>
        <v>3130</v>
      </c>
      <c r="J15" s="726">
        <f>IF('Entries July 2026'!B12-'Entries July 2026'!B11&lt;1,"0",'Entries July 2026'!B12-'Entries July 2026'!B11)</f>
        <v>2410</v>
      </c>
      <c r="K15" s="728">
        <f>'CO2'!E12</f>
        <v>1600</v>
      </c>
      <c r="L15" s="729">
        <f>+'PROD.FIG. '!F10</f>
        <v>0</v>
      </c>
      <c r="M15" s="726">
        <f>+'PROD.FIG. '!C10</f>
        <v>0</v>
      </c>
      <c r="N15" s="726">
        <f>+'PROD.FIG. '!D10</f>
        <v>0</v>
      </c>
      <c r="O15" s="726">
        <f>+'PROD.FIG. '!E10</f>
        <v>0</v>
      </c>
      <c r="P15" s="730">
        <v>410.78399999999999</v>
      </c>
      <c r="Q15" s="395">
        <f t="shared" si="3"/>
        <v>20.273671808054843</v>
      </c>
      <c r="R15" s="395">
        <f t="shared" si="4"/>
        <v>7.6195762249746828</v>
      </c>
      <c r="S15" s="395">
        <f t="shared" si="5"/>
        <v>5.8668302562904104</v>
      </c>
      <c r="T15" s="395">
        <f t="shared" si="6"/>
        <v>3.8949910415206044</v>
      </c>
    </row>
    <row r="16" spans="1:20" s="35" customFormat="1" ht="15" x14ac:dyDescent="0.2">
      <c r="A16" s="725">
        <v>7</v>
      </c>
      <c r="B16" s="725">
        <f>IF('Entries July 2026'!I13&lt;'Entries July 2026'!I12,"0",(IF('Entries July 2026'!I13&gt;='Entries July 2026'!I12,'Entries July 2026'!I13-'Entries July 2026'!I12,(999999-'Entries July 2026'!I12)+'Entries July 2026'!I13+1)))</f>
        <v>8166</v>
      </c>
      <c r="C16" s="725" t="str">
        <f>IF('Entries July 2026'!J13&lt;='Entries July 2026'!J12,"0",IF('Entries July 2026'!J13&gt;='Entries July 2026'!J12,'Entries July 2026'!J13-'Entries July 2026'!J12,(999999-'Entries July 2026'!J12)+'Entries July 2026'!J13+1))</f>
        <v>0</v>
      </c>
      <c r="D16" s="726">
        <f t="shared" si="0"/>
        <v>8166</v>
      </c>
      <c r="E16" s="838">
        <v>1453.3</v>
      </c>
      <c r="F16" s="727">
        <f t="shared" si="1"/>
        <v>0.15108167954009127</v>
      </c>
      <c r="G16" s="743">
        <f>IF('Entries July 2026'!K13&lt;'Entries July 2026'!K12,"0",IF('Entries July 2026'!K13&gt;='Entries July 2026'!K12,'Entries July 2026'!K13-'Entries July 2026'!K12,(999999-'Entries July 2026'!K12)+'Entries July 2026'!K13+1))</f>
        <v>0</v>
      </c>
      <c r="H16" s="726">
        <f t="shared" si="2"/>
        <v>9619.2999999999993</v>
      </c>
      <c r="I16" s="743">
        <f>'Water '!Z13*10</f>
        <v>3910</v>
      </c>
      <c r="J16" s="726">
        <f>IF('Entries July 2026'!B13-'Entries July 2026'!B12&lt;1,"0",'Entries July 2026'!B13-'Entries July 2026'!B12)</f>
        <v>2810</v>
      </c>
      <c r="K16" s="728">
        <f>'CO2'!E13</f>
        <v>1600</v>
      </c>
      <c r="L16" s="729">
        <f>+'PROD.FIG. '!F11</f>
        <v>0</v>
      </c>
      <c r="M16" s="726">
        <f>+'PROD.FIG. '!C11</f>
        <v>0</v>
      </c>
      <c r="N16" s="726">
        <f>+'PROD.FIG. '!D11</f>
        <v>0</v>
      </c>
      <c r="O16" s="726">
        <f>+'PROD.FIG. '!E11</f>
        <v>0</v>
      </c>
      <c r="P16" s="730">
        <v>209.88000000000002</v>
      </c>
      <c r="Q16" s="395">
        <f t="shared" si="3"/>
        <v>45.832380407852099</v>
      </c>
      <c r="R16" s="395">
        <f t="shared" si="4"/>
        <v>18.629693157995042</v>
      </c>
      <c r="S16" s="395">
        <f t="shared" si="5"/>
        <v>13.38860301124452</v>
      </c>
      <c r="T16" s="395">
        <f t="shared" si="6"/>
        <v>7.6234038498189429</v>
      </c>
    </row>
    <row r="17" spans="1:26" ht="15" x14ac:dyDescent="0.2">
      <c r="A17" s="725">
        <v>8</v>
      </c>
      <c r="B17" s="725">
        <f>IF('Entries July 2026'!I14&lt;'Entries July 2026'!I13,"0",(IF('Entries July 2026'!I14&gt;='Entries July 2026'!I13,'Entries July 2026'!I14-'Entries July 2026'!I13,(999999-'Entries July 2026'!I13)+'Entries July 2026'!I14+1)))</f>
        <v>10084</v>
      </c>
      <c r="C17" s="725" t="str">
        <f>IF('Entries July 2026'!J14&lt;='Entries July 2026'!J13,"0",IF('Entries July 2026'!J14&gt;='Entries July 2026'!J13,'Entries July 2026'!J14-'Entries July 2026'!J13,(999999-'Entries July 2026'!J13)+'Entries July 2026'!J14+1))</f>
        <v>0</v>
      </c>
      <c r="D17" s="726">
        <f t="shared" si="0"/>
        <v>10084</v>
      </c>
      <c r="E17" s="838">
        <v>1338.1</v>
      </c>
      <c r="F17" s="727">
        <f t="shared" si="1"/>
        <v>0.11715008623633132</v>
      </c>
      <c r="G17" s="743">
        <f>IF('Entries July 2026'!K14&lt;'Entries July 2026'!K13,"0",IF('Entries July 2026'!K14&gt;='Entries July 2026'!K13,'Entries July 2026'!K14-'Entries July 2026'!K13,(999999-'Entries July 2026'!K13)+'Entries July 2026'!K14+1))</f>
        <v>0</v>
      </c>
      <c r="H17" s="726">
        <f t="shared" si="2"/>
        <v>11422.1</v>
      </c>
      <c r="I17" s="743">
        <f>'Water '!Z14*10</f>
        <v>1180</v>
      </c>
      <c r="J17" s="726">
        <f>IF('Entries July 2026'!B14-'Entries July 2026'!B13&lt;1,"0",'Entries July 2026'!B14-'Entries July 2026'!B13)</f>
        <v>3510</v>
      </c>
      <c r="K17" s="728">
        <f>'CO2'!E14</f>
        <v>3200</v>
      </c>
      <c r="L17" s="729">
        <f>+'PROD.FIG. '!F12</f>
        <v>0</v>
      </c>
      <c r="M17" s="726">
        <f>+'PROD.FIG. '!C12</f>
        <v>0</v>
      </c>
      <c r="N17" s="726">
        <f>+'PROD.FIG. '!D12</f>
        <v>0</v>
      </c>
      <c r="O17" s="726">
        <f>+'PROD.FIG. '!E12</f>
        <v>0</v>
      </c>
      <c r="P17" s="730">
        <v>376.72800000000001</v>
      </c>
      <c r="Q17" s="395">
        <f t="shared" si="3"/>
        <v>30.319222356713599</v>
      </c>
      <c r="R17" s="395">
        <f>IF(Q17=0,0,I17/P17)</f>
        <v>3.1322333354568812</v>
      </c>
      <c r="S17" s="395">
        <f t="shared" si="5"/>
        <v>9.3170669554691976</v>
      </c>
      <c r="T17" s="395">
        <f t="shared" si="6"/>
        <v>8.4941920961542543</v>
      </c>
    </row>
    <row r="18" spans="1:26" s="35" customFormat="1" ht="15" x14ac:dyDescent="0.2">
      <c r="A18" s="725">
        <v>9</v>
      </c>
      <c r="B18" s="725">
        <f>IF('Entries July 2026'!I15&lt;'Entries July 2026'!I14,"0",(IF('Entries July 2026'!I15&gt;='Entries July 2026'!I14,'Entries July 2026'!I15-'Entries July 2026'!I14,(999999-'Entries July 2026'!I14)+'Entries July 2026'!I15+1)))</f>
        <v>6592</v>
      </c>
      <c r="C18" s="725" t="str">
        <f>IF('Entries July 2026'!J15&lt;='Entries July 2026'!J14,"0",IF('Entries July 2026'!J15&gt;='Entries July 2026'!J14,'Entries July 2026'!J15-'Entries July 2026'!J14,(999999-'Entries July 2026'!J14)+'Entries July 2026'!J15+1))</f>
        <v>0</v>
      </c>
      <c r="D18" s="726">
        <f t="shared" si="0"/>
        <v>6592</v>
      </c>
      <c r="E18" s="838">
        <v>1304</v>
      </c>
      <c r="F18" s="727">
        <f t="shared" si="1"/>
        <v>0.1651469098277609</v>
      </c>
      <c r="G18" s="743">
        <f>IF('Entries July 2026'!K15&lt;'Entries July 2026'!K14,"0",IF('Entries July 2026'!K15&gt;='Entries July 2026'!K14,'Entries July 2026'!K15-'Entries July 2026'!K14,(999999-'Entries July 2026'!K14)+'Entries July 2026'!K15+1))</f>
        <v>0</v>
      </c>
      <c r="H18" s="726">
        <f t="shared" si="2"/>
        <v>7896</v>
      </c>
      <c r="I18" s="743">
        <f>'Water '!Z15*10</f>
        <v>4080</v>
      </c>
      <c r="J18" s="726">
        <f>IF('Entries July 2026'!B15-'Entries July 2026'!B14&lt;1,"0",'Entries July 2026'!B15-'Entries July 2026'!B14)</f>
        <v>2510</v>
      </c>
      <c r="K18" s="728">
        <f>'CO2'!E15</f>
        <v>1600</v>
      </c>
      <c r="L18" s="729">
        <f>+'PROD.FIG. '!F13</f>
        <v>0</v>
      </c>
      <c r="M18" s="726">
        <f>+'PROD.FIG. '!C13</f>
        <v>0</v>
      </c>
      <c r="N18" s="726">
        <f>+'PROD.FIG. '!D13</f>
        <v>0</v>
      </c>
      <c r="O18" s="726">
        <f>+'PROD.FIG. '!E13</f>
        <v>0</v>
      </c>
      <c r="P18" s="730">
        <v>322.80600000000004</v>
      </c>
      <c r="Q18" s="395">
        <f t="shared" si="3"/>
        <v>24.460511886396162</v>
      </c>
      <c r="R18" s="395">
        <f t="shared" si="4"/>
        <v>12.639170275645432</v>
      </c>
      <c r="S18" s="395">
        <f t="shared" si="5"/>
        <v>7.7755679882034405</v>
      </c>
      <c r="T18" s="395">
        <f t="shared" si="6"/>
        <v>4.9565373629982092</v>
      </c>
    </row>
    <row r="19" spans="1:26" ht="15" x14ac:dyDescent="0.2">
      <c r="A19" s="725">
        <v>10</v>
      </c>
      <c r="B19" s="725">
        <f>IF('Entries July 2026'!I16&lt;'Entries July 2026'!I15,"0",(IF('Entries July 2026'!I16&gt;='Entries July 2026'!I15,'Entries July 2026'!I16-'Entries July 2026'!I15,(999999-'Entries July 2026'!I15)+'Entries July 2026'!I16+1)))</f>
        <v>7603</v>
      </c>
      <c r="C19" s="725" t="str">
        <f>IF('Entries July 2026'!J16&lt;='Entries July 2026'!J15,"0",IF('Entries July 2026'!J16&gt;='Entries July 2026'!J15,'Entries July 2026'!J16-'Entries July 2026'!J15,(999999-'Entries July 2026'!J15)+'Entries July 2026'!J16+1))</f>
        <v>0</v>
      </c>
      <c r="D19" s="726">
        <f t="shared" si="0"/>
        <v>7603</v>
      </c>
      <c r="E19" s="838">
        <v>1399.9</v>
      </c>
      <c r="F19" s="727">
        <f t="shared" si="1"/>
        <v>0.15549434071243712</v>
      </c>
      <c r="G19" s="743">
        <f>IF('Entries July 2026'!K16&lt;'Entries July 2026'!K15,"0",IF('Entries July 2026'!K16&gt;='Entries July 2026'!K15,'Entries July 2026'!K16-'Entries July 2026'!K15,(999999-'Entries July 2026'!K15)+'Entries July 2026'!K16+1))</f>
        <v>0</v>
      </c>
      <c r="H19" s="726">
        <f t="shared" si="2"/>
        <v>9002.9</v>
      </c>
      <c r="I19" s="743">
        <f>'Water '!Z16*10</f>
        <v>4130</v>
      </c>
      <c r="J19" s="726">
        <f>IF('Entries July 2026'!B16-'Entries July 2026'!B15&lt;1,"0",'Entries July 2026'!B16-'Entries July 2026'!B15)</f>
        <v>2950</v>
      </c>
      <c r="K19" s="728">
        <f>'CO2'!E16</f>
        <v>1900</v>
      </c>
      <c r="L19" s="729">
        <f>+'PROD.FIG. '!F14</f>
        <v>0</v>
      </c>
      <c r="M19" s="726">
        <f>+'PROD.FIG. '!C14</f>
        <v>0</v>
      </c>
      <c r="N19" s="726">
        <f>+'PROD.FIG. '!D14</f>
        <v>0</v>
      </c>
      <c r="O19" s="726">
        <f>+'PROD.FIG. '!E14</f>
        <v>0</v>
      </c>
      <c r="P19" s="730">
        <v>349.93200000000002</v>
      </c>
      <c r="Q19" s="395">
        <f t="shared" si="3"/>
        <v>25.727569927871698</v>
      </c>
      <c r="R19" s="395">
        <f t="shared" si="4"/>
        <v>11.802293016929003</v>
      </c>
      <c r="S19" s="395">
        <f t="shared" si="5"/>
        <v>8.4302092978064298</v>
      </c>
      <c r="T19" s="395">
        <f t="shared" si="6"/>
        <v>5.4296263274007517</v>
      </c>
    </row>
    <row r="20" spans="1:26" s="35" customFormat="1" ht="15" x14ac:dyDescent="0.2">
      <c r="A20" s="802">
        <v>11</v>
      </c>
      <c r="B20" s="802">
        <f>IF('Entries July 2026'!I17&lt;'Entries July 2026'!I16,"0",(IF('Entries July 2026'!I17&gt;='Entries July 2026'!I16,'Entries July 2026'!I17-'Entries July 2026'!I16,(999999-'Entries July 2026'!I16)+'Entries July 2026'!I17+1)))</f>
        <v>3837</v>
      </c>
      <c r="C20" s="802" t="str">
        <f>IF('Entries July 2026'!J17&lt;='Entries July 2026'!J16,"0",IF('Entries July 2026'!J17&gt;='Entries July 2026'!J16,'Entries July 2026'!J17-'Entries July 2026'!J16,(999999-'Entries July 2026'!J16)+'Entries July 2026'!J17+1))</f>
        <v>0</v>
      </c>
      <c r="D20" s="803">
        <f t="shared" si="0"/>
        <v>3837</v>
      </c>
      <c r="E20" s="839">
        <v>511.9</v>
      </c>
      <c r="F20" s="804">
        <f t="shared" si="1"/>
        <v>0.11770792614224287</v>
      </c>
      <c r="G20" s="805">
        <f>IF('Entries July 2026'!K17&lt;'Entries July 2026'!K16,"0",IF('Entries July 2026'!K17&gt;='Entries July 2026'!K16,'Entries July 2026'!K17-'Entries July 2026'!K16,(999999-'Entries July 2026'!K16)+'Entries July 2026'!K17+1))</f>
        <v>0</v>
      </c>
      <c r="H20" s="803">
        <f t="shared" si="2"/>
        <v>4348.8999999999996</v>
      </c>
      <c r="I20" s="805">
        <f>'Water '!Z17*10</f>
        <v>970</v>
      </c>
      <c r="J20" s="803">
        <f>IF('Entries July 2026'!B17-'Entries July 2026'!B16&lt;1,"0",'Entries July 2026'!B17-'Entries July 2026'!B16)</f>
        <v>2000</v>
      </c>
      <c r="K20" s="806">
        <f>'CO2'!E17</f>
        <v>300</v>
      </c>
      <c r="L20" s="807">
        <f>+'PROD.FIG. '!F15</f>
        <v>0</v>
      </c>
      <c r="M20" s="803">
        <f>+'PROD.FIG. '!C15</f>
        <v>0</v>
      </c>
      <c r="N20" s="803">
        <f>+'PROD.FIG. '!D15</f>
        <v>0</v>
      </c>
      <c r="O20" s="803">
        <f>+'PROD.FIG. '!E15</f>
        <v>0</v>
      </c>
      <c r="P20" s="808">
        <v>0</v>
      </c>
      <c r="Q20" s="395">
        <f t="shared" si="3"/>
        <v>0</v>
      </c>
      <c r="R20" s="395">
        <f t="shared" si="4"/>
        <v>0</v>
      </c>
      <c r="S20" s="395">
        <f t="shared" si="5"/>
        <v>0</v>
      </c>
      <c r="T20" s="395">
        <f t="shared" si="6"/>
        <v>0</v>
      </c>
    </row>
    <row r="21" spans="1:26" ht="15" x14ac:dyDescent="0.2">
      <c r="A21" s="802">
        <v>12</v>
      </c>
      <c r="B21" s="802">
        <f>IF('Entries July 2026'!I18&lt;'Entries July 2026'!I17,"0",(IF('Entries July 2026'!I18&gt;='Entries July 2026'!I17,'Entries July 2026'!I18-'Entries July 2026'!I17,(999999-'Entries July 2026'!I17)+'Entries July 2026'!I18+1)))</f>
        <v>4845</v>
      </c>
      <c r="C21" s="802" t="str">
        <f>IF('Entries July 2026'!J18&lt;='Entries July 2026'!J17,"0",IF('Entries July 2026'!J18&gt;='Entries July 2026'!J17,'Entries July 2026'!J18-'Entries July 2026'!J17,(999999-'Entries July 2026'!J17)+'Entries July 2026'!J18+1))</f>
        <v>0</v>
      </c>
      <c r="D21" s="803">
        <f t="shared" si="0"/>
        <v>4845</v>
      </c>
      <c r="E21" s="839">
        <v>335.7</v>
      </c>
      <c r="F21" s="804">
        <f t="shared" si="1"/>
        <v>6.4798193294342457E-2</v>
      </c>
      <c r="G21" s="805">
        <f>IF('Entries July 2026'!K18&lt;'Entries July 2026'!K17,"0",IF('Entries July 2026'!K18&gt;='Entries July 2026'!K17,'Entries July 2026'!K18-'Entries July 2026'!K17,(999999-'Entries July 2026'!K17)+'Entries July 2026'!K18+1))</f>
        <v>0</v>
      </c>
      <c r="H21" s="803">
        <f t="shared" si="2"/>
        <v>5180.7</v>
      </c>
      <c r="I21" s="805">
        <f>'Water '!Z18*10</f>
        <v>4650</v>
      </c>
      <c r="J21" s="803">
        <f>IF('Entries July 2026'!B18-'Entries July 2026'!B17&lt;1,"0",'Entries July 2026'!B18-'Entries July 2026'!B17)</f>
        <v>2480</v>
      </c>
      <c r="K21" s="806">
        <f>'CO2'!E18</f>
        <v>500</v>
      </c>
      <c r="L21" s="807">
        <f>+'PROD.FIG. '!F16</f>
        <v>0</v>
      </c>
      <c r="M21" s="803">
        <f>+'PROD.FIG. '!C16</f>
        <v>0</v>
      </c>
      <c r="N21" s="803">
        <f>+'PROD.FIG. '!D16</f>
        <v>0</v>
      </c>
      <c r="O21" s="803">
        <f>+'PROD.FIG. '!E16</f>
        <v>0</v>
      </c>
      <c r="P21" s="808">
        <v>0</v>
      </c>
      <c r="Q21" s="395">
        <f t="shared" si="3"/>
        <v>0</v>
      </c>
      <c r="R21" s="395">
        <f t="shared" si="4"/>
        <v>0</v>
      </c>
      <c r="S21" s="395">
        <f t="shared" si="5"/>
        <v>0</v>
      </c>
      <c r="T21" s="395">
        <f t="shared" si="6"/>
        <v>0</v>
      </c>
    </row>
    <row r="22" spans="1:26" s="35" customFormat="1" ht="15" x14ac:dyDescent="0.2">
      <c r="A22" s="725">
        <v>13</v>
      </c>
      <c r="B22" s="725">
        <f>IF('Entries July 2026'!I19&lt;'Entries July 2026'!I18,"0",(IF('Entries July 2026'!I19&gt;='Entries July 2026'!I18,'Entries July 2026'!I19-'Entries July 2026'!I18,(999999-'Entries July 2026'!I18)+'Entries July 2026'!I19+1)))</f>
        <v>8262</v>
      </c>
      <c r="C22" s="725" t="str">
        <f>IF('Entries July 2026'!J19&lt;='Entries July 2026'!J18,"0",IF('Entries July 2026'!J19&gt;='Entries July 2026'!J18,'Entries July 2026'!J19-'Entries July 2026'!J18,(999999-'Entries July 2026'!J18)+'Entries July 2026'!J19+1))</f>
        <v>0</v>
      </c>
      <c r="D22" s="726">
        <f t="shared" si="0"/>
        <v>8262</v>
      </c>
      <c r="E22" s="838">
        <v>740.4</v>
      </c>
      <c r="F22" s="727">
        <f t="shared" si="1"/>
        <v>8.224473473740336E-2</v>
      </c>
      <c r="G22" s="743">
        <f>IF('Entries July 2026'!K19&lt;'Entries July 2026'!K18,"0",IF('Entries July 2026'!K19&gt;='Entries July 2026'!K18,'Entries July 2026'!K19-'Entries July 2026'!K18,(999999-'Entries July 2026'!K18)+'Entries July 2026'!K19+1))</f>
        <v>0</v>
      </c>
      <c r="H22" s="726">
        <f t="shared" si="2"/>
        <v>9002.4</v>
      </c>
      <c r="I22" s="743">
        <f>'Water '!Z19*10</f>
        <v>2800</v>
      </c>
      <c r="J22" s="726">
        <f>IF('Entries July 2026'!B19-'Entries July 2026'!B18&lt;1,"0",'Entries July 2026'!B19-'Entries July 2026'!B18)</f>
        <v>2280</v>
      </c>
      <c r="K22" s="728">
        <f>'CO2'!E19</f>
        <v>1800</v>
      </c>
      <c r="L22" s="729">
        <f>+'PROD.FIG. '!F17</f>
        <v>0</v>
      </c>
      <c r="M22" s="726">
        <f>+'PROD.FIG. '!C17</f>
        <v>0</v>
      </c>
      <c r="N22" s="726">
        <f>+'PROD.FIG. '!D17</f>
        <v>0</v>
      </c>
      <c r="O22" s="726">
        <f>+'PROD.FIG. '!E17</f>
        <v>0</v>
      </c>
      <c r="P22" s="730">
        <v>407.22</v>
      </c>
      <c r="Q22" s="395">
        <f>IF(P22=0,0,H22/P22)</f>
        <v>22.10696920583468</v>
      </c>
      <c r="R22" s="395">
        <f>IF(Q22=0,0,I22/P22)</f>
        <v>6.8758901822110889</v>
      </c>
      <c r="S22" s="395">
        <f>IF(R22=0,0,J22/P22)</f>
        <v>5.5989391483718869</v>
      </c>
      <c r="T22" s="395">
        <f>IF(S22=0,0,K22/P22)</f>
        <v>4.4202151171357</v>
      </c>
    </row>
    <row r="23" spans="1:26" ht="15" x14ac:dyDescent="0.2">
      <c r="A23" s="725">
        <v>14</v>
      </c>
      <c r="B23" s="725">
        <f>IF('Entries July 2026'!I20&lt;'Entries July 2026'!I19,"0",(IF('Entries July 2026'!I20&gt;='Entries July 2026'!I19,'Entries July 2026'!I20-'Entries July 2026'!I19,(999999-'Entries July 2026'!I19)+'Entries July 2026'!I20+1)))</f>
        <v>8508</v>
      </c>
      <c r="C23" s="725" t="str">
        <f>IF('Entries July 2026'!J20&lt;='Entries July 2026'!J19,"0",IF('Entries July 2026'!J20&gt;='Entries July 2026'!J19,'Entries July 2026'!J20-'Entries July 2026'!J19,(999999-'Entries July 2026'!J19)+'Entries July 2026'!J20+1))</f>
        <v>0</v>
      </c>
      <c r="D23" s="726">
        <f t="shared" si="0"/>
        <v>8508</v>
      </c>
      <c r="E23" s="838">
        <v>1492</v>
      </c>
      <c r="F23" s="727">
        <f t="shared" si="1"/>
        <v>0.1492</v>
      </c>
      <c r="G23" s="743">
        <f>IF('Entries July 2026'!K20&lt;'Entries July 2026'!K19,"0",IF('Entries July 2026'!K20&gt;='Entries July 2026'!K19,'Entries July 2026'!K20-'Entries July 2026'!K19,(999999-'Entries July 2026'!K19)+'Entries July 2026'!K20+1))</f>
        <v>0</v>
      </c>
      <c r="H23" s="726">
        <f t="shared" si="2"/>
        <v>10000</v>
      </c>
      <c r="I23" s="743">
        <f>'Water '!Z20*10</f>
        <v>3360</v>
      </c>
      <c r="J23" s="726">
        <f>IF('Entries July 2026'!B20-'Entries July 2026'!B19&lt;1,"0",'Entries July 2026'!B20-'Entries July 2026'!B19)</f>
        <v>3620</v>
      </c>
      <c r="K23" s="728">
        <f>'CO2'!E20</f>
        <v>2800</v>
      </c>
      <c r="L23" s="729">
        <f>+'PROD.FIG. '!F18</f>
        <v>0</v>
      </c>
      <c r="M23" s="726">
        <f>+'PROD.FIG. '!C18</f>
        <v>0</v>
      </c>
      <c r="N23" s="726">
        <f>+'PROD.FIG. '!D18</f>
        <v>0</v>
      </c>
      <c r="O23" s="726">
        <f>+'PROD.FIG. '!E18</f>
        <v>0</v>
      </c>
      <c r="P23" s="730">
        <v>603.57000000000005</v>
      </c>
      <c r="Q23" s="395">
        <f t="shared" si="3"/>
        <v>16.568086551684143</v>
      </c>
      <c r="R23" s="395">
        <f t="shared" si="4"/>
        <v>5.566877081365873</v>
      </c>
      <c r="S23" s="395">
        <f t="shared" si="5"/>
        <v>5.9976473317096604</v>
      </c>
      <c r="T23" s="395">
        <f t="shared" si="6"/>
        <v>4.6390642344715607</v>
      </c>
      <c r="Z23" t="s">
        <v>58</v>
      </c>
    </row>
    <row r="24" spans="1:26" s="35" customFormat="1" ht="15" x14ac:dyDescent="0.2">
      <c r="A24" s="725">
        <v>15</v>
      </c>
      <c r="B24" s="725">
        <f>IF('Entries July 2026'!I21&lt;'Entries July 2026'!I20,"0",(IF('Entries July 2026'!I21&gt;='Entries July 2026'!I20,'Entries July 2026'!I21-'Entries July 2026'!I20,(999999-'Entries July 2026'!I20)+'Entries July 2026'!I21+1)))</f>
        <v>8647</v>
      </c>
      <c r="C24" s="725" t="str">
        <f>IF('Entries July 2026'!J21&lt;='Entries July 2026'!J20,"0",IF('Entries July 2026'!J21&gt;='Entries July 2026'!J20,'Entries July 2026'!J21-'Entries July 2026'!J20,(999999-'Entries July 2026'!J20)+'Entries July 2026'!J21+1))</f>
        <v>0</v>
      </c>
      <c r="D24" s="726">
        <f t="shared" si="0"/>
        <v>8647</v>
      </c>
      <c r="E24" s="838">
        <v>1417.2</v>
      </c>
      <c r="F24" s="727">
        <f>IF((E24+D24)=0,"0",E24/(D24+E24))</f>
        <v>0.14081596152699669</v>
      </c>
      <c r="G24" s="743">
        <f>IF('Entries July 2026'!K21&lt;'Entries July 2026'!K20,"0",IF('Entries July 2026'!K21&gt;='Entries July 2026'!K20,'Entries July 2026'!K21-'Entries July 2026'!K20,(999999-'Entries July 2026'!K20)+'Entries July 2026'!K21+1))</f>
        <v>0</v>
      </c>
      <c r="H24" s="726">
        <f t="shared" si="2"/>
        <v>10064.200000000001</v>
      </c>
      <c r="I24" s="743">
        <f>'Water '!Z21*10</f>
        <v>5260</v>
      </c>
      <c r="J24" s="726">
        <f>IF('Entries July 2026'!B21-'Entries July 2026'!B20&lt;1,"0",'Entries July 2026'!B21-'Entries July 2026'!B20)</f>
        <v>2990</v>
      </c>
      <c r="K24" s="728">
        <f>'CO2'!E21</f>
        <v>1900</v>
      </c>
      <c r="L24" s="729">
        <f>+'PROD.FIG. '!F19</f>
        <v>0</v>
      </c>
      <c r="M24" s="726">
        <f>+'PROD.FIG. '!C19</f>
        <v>0</v>
      </c>
      <c r="N24" s="726">
        <f>+'PROD.FIG. '!D19</f>
        <v>0</v>
      </c>
      <c r="O24" s="726">
        <f>+'PROD.FIG. '!E19</f>
        <v>0</v>
      </c>
      <c r="P24" s="730">
        <v>387.68400000000003</v>
      </c>
      <c r="Q24" s="395">
        <f t="shared" si="3"/>
        <v>25.959802313224174</v>
      </c>
      <c r="R24" s="395">
        <f t="shared" si="4"/>
        <v>13.567751054982923</v>
      </c>
      <c r="S24" s="395">
        <f t="shared" si="5"/>
        <v>7.7124668544484676</v>
      </c>
      <c r="T24" s="395">
        <f t="shared" si="6"/>
        <v>4.9008986700508661</v>
      </c>
    </row>
    <row r="25" spans="1:26" ht="15" x14ac:dyDescent="0.2">
      <c r="A25" s="725">
        <v>16</v>
      </c>
      <c r="B25" s="725">
        <f>IF('Entries July 2026'!I22&lt;'Entries July 2026'!I21,"0",(IF('Entries July 2026'!I22&gt;='Entries July 2026'!I21,'Entries July 2026'!I22-'Entries July 2026'!I21,(999999-'Entries July 2026'!I21)+'Entries July 2026'!I22+1)))</f>
        <v>7504</v>
      </c>
      <c r="C25" s="725" t="str">
        <f>IF('Entries July 2026'!J22&lt;='Entries July 2026'!J21,"0",IF('Entries July 2026'!J22&gt;='Entries July 2026'!J21,'Entries July 2026'!J22-'Entries July 2026'!J21,(999999-'Entries July 2026'!J21)+'Entries July 2026'!J22+1))</f>
        <v>0</v>
      </c>
      <c r="D25" s="726">
        <f t="shared" si="0"/>
        <v>7504</v>
      </c>
      <c r="E25" s="838">
        <v>1433.1</v>
      </c>
      <c r="F25" s="727">
        <f t="shared" si="1"/>
        <v>0.16035402983070568</v>
      </c>
      <c r="G25" s="743">
        <f>IF('Entries July 2026'!K22&lt;'Entries July 2026'!K21,"0",IF('Entries July 2026'!K22&gt;='Entries July 2026'!K21,'Entries July 2026'!K22-'Entries July 2026'!K21,(999999-'Entries July 2026'!K21)+'Entries July 2026'!K22+1))</f>
        <v>0</v>
      </c>
      <c r="H25" s="726">
        <f t="shared" si="2"/>
        <v>8937.1</v>
      </c>
      <c r="I25" s="743">
        <f>'Water '!Z22*10</f>
        <v>3330</v>
      </c>
      <c r="J25" s="726">
        <f>IF('Entries July 2026'!B22-'Entries July 2026'!B21&lt;1,"0",'Entries July 2026'!B22-'Entries July 2026'!B21)</f>
        <v>2910</v>
      </c>
      <c r="K25" s="728">
        <f>'CO2'!E22</f>
        <v>2300</v>
      </c>
      <c r="L25" s="729">
        <f>+'PROD.FIG. '!F20</f>
        <v>0</v>
      </c>
      <c r="M25" s="726">
        <f>+'PROD.FIG. '!C20</f>
        <v>0</v>
      </c>
      <c r="N25" s="726">
        <f>+'PROD.FIG. '!D20</f>
        <v>0</v>
      </c>
      <c r="O25" s="726">
        <f>+'PROD.FIG. '!E20</f>
        <v>0</v>
      </c>
      <c r="P25" s="730">
        <v>425.10599999999999</v>
      </c>
      <c r="Q25" s="395">
        <f t="shared" si="3"/>
        <v>21.023227148052488</v>
      </c>
      <c r="R25" s="395">
        <f t="shared" si="4"/>
        <v>7.8333403903967485</v>
      </c>
      <c r="S25" s="395">
        <f t="shared" si="5"/>
        <v>6.8453515123286897</v>
      </c>
      <c r="T25" s="395">
        <f t="shared" si="6"/>
        <v>5.4104152846584146</v>
      </c>
    </row>
    <row r="26" spans="1:26" s="35" customFormat="1" ht="15" x14ac:dyDescent="0.2">
      <c r="A26" s="725">
        <v>17</v>
      </c>
      <c r="B26" s="725">
        <f>IF('Entries July 2026'!I23&lt;'Entries July 2026'!I22,"0",(IF('Entries July 2026'!I23&gt;='Entries July 2026'!I22,'Entries July 2026'!I23-'Entries July 2026'!I22,(999999-'Entries July 2026'!I22)+'Entries July 2026'!I23+1)))</f>
        <v>7017</v>
      </c>
      <c r="C26" s="725" t="str">
        <f>IF('Entries July 2026'!J23&lt;='Entries July 2026'!J22,"0",IF('Entries July 2026'!J23&gt;='Entries July 2026'!J22,'Entries July 2026'!J23-'Entries July 2026'!J22,(999999-'Entries July 2026'!J22)+'Entries July 2026'!J23+1))</f>
        <v>0</v>
      </c>
      <c r="D26" s="726">
        <f t="shared" si="0"/>
        <v>7017</v>
      </c>
      <c r="E26" s="838">
        <v>1416.5</v>
      </c>
      <c r="F26" s="727">
        <f t="shared" si="1"/>
        <v>0.16796110748799431</v>
      </c>
      <c r="G26" s="743">
        <f>IF('Entries July 2026'!K23&lt;'Entries July 2026'!K22,"0",IF('Entries July 2026'!K23&gt;='Entries July 2026'!K22,'Entries July 2026'!K23-'Entries July 2026'!K22,(999999-'Entries July 2026'!K22)+'Entries July 2026'!K23+1))</f>
        <v>0</v>
      </c>
      <c r="H26" s="726">
        <f t="shared" si="2"/>
        <v>8433.5</v>
      </c>
      <c r="I26" s="743">
        <f>'Water '!Z23*10</f>
        <v>3360</v>
      </c>
      <c r="J26" s="726">
        <f>IF('Entries July 2026'!B23-'Entries July 2026'!B22&lt;1,"0",'Entries July 2026'!B23-'Entries July 2026'!B22)</f>
        <v>2830</v>
      </c>
      <c r="K26" s="728">
        <f>'CO2'!E23</f>
        <v>1800</v>
      </c>
      <c r="L26" s="729">
        <f>+'PROD.FIG. '!F21</f>
        <v>0</v>
      </c>
      <c r="M26" s="726">
        <f>+'PROD.FIG. '!C21</f>
        <v>0</v>
      </c>
      <c r="N26" s="726">
        <f>+'PROD.FIG. '!D21</f>
        <v>0</v>
      </c>
      <c r="O26" s="726">
        <f>+'PROD.FIG. '!E21</f>
        <v>0</v>
      </c>
      <c r="P26" s="730">
        <v>71.94</v>
      </c>
      <c r="Q26" s="395">
        <f t="shared" si="3"/>
        <v>117.22963580761746</v>
      </c>
      <c r="R26" s="395">
        <f t="shared" si="4"/>
        <v>46.705587989991663</v>
      </c>
      <c r="S26" s="395">
        <f t="shared" si="5"/>
        <v>39.338337503475117</v>
      </c>
      <c r="T26" s="395">
        <f t="shared" si="6"/>
        <v>25.020850708924105</v>
      </c>
    </row>
    <row r="27" spans="1:26" ht="15" x14ac:dyDescent="0.2">
      <c r="A27" s="802">
        <v>18</v>
      </c>
      <c r="B27" s="802">
        <f>IF('Entries July 2026'!I24&lt;'Entries July 2026'!I23,"0",(IF('Entries July 2026'!I24&gt;='Entries July 2026'!I23,'Entries July 2026'!I24-'Entries July 2026'!I23,(999999-'Entries July 2026'!I23)+'Entries July 2026'!I24+1)))</f>
        <v>3504</v>
      </c>
      <c r="C27" s="802" t="str">
        <f>IF('Entries July 2026'!J24&lt;='Entries July 2026'!J23,"0",IF('Entries July 2026'!J24&gt;='Entries July 2026'!J23,'Entries July 2026'!J24-'Entries July 2026'!J23,(999999-'Entries July 2026'!J23)+'Entries July 2026'!J24+1))</f>
        <v>0</v>
      </c>
      <c r="D27" s="803">
        <f t="shared" si="0"/>
        <v>3504</v>
      </c>
      <c r="E27" s="839">
        <v>1383</v>
      </c>
      <c r="F27" s="804">
        <f t="shared" si="1"/>
        <v>0.28299570288520565</v>
      </c>
      <c r="G27" s="805">
        <f>IF('Entries July 2026'!K24&lt;'Entries July 2026'!K23,"0",IF('Entries July 2026'!K24&gt;='Entries July 2026'!K23,'Entries July 2026'!K24-'Entries July 2026'!K23,(999999-'Entries July 2026'!K23)+'Entries July 2026'!K24+1))</f>
        <v>0</v>
      </c>
      <c r="H27" s="803">
        <f t="shared" si="2"/>
        <v>4887</v>
      </c>
      <c r="I27" s="805">
        <f>'Water '!Z24*10</f>
        <v>1370</v>
      </c>
      <c r="J27" s="803">
        <f>IF('Entries July 2026'!B24-'Entries July 2026'!B23&lt;1,"0",'Entries July 2026'!B24-'Entries July 2026'!B23)</f>
        <v>840</v>
      </c>
      <c r="K27" s="806">
        <f>'CO2'!E24</f>
        <v>-900</v>
      </c>
      <c r="L27" s="807">
        <f>+'PROD.FIG. '!F22</f>
        <v>0</v>
      </c>
      <c r="M27" s="803">
        <f>+'PROD.FIG. '!C22</f>
        <v>0</v>
      </c>
      <c r="N27" s="803">
        <f>+'PROD.FIG. '!D22</f>
        <v>0</v>
      </c>
      <c r="O27" s="803">
        <f>+'PROD.FIG. '!E22</f>
        <v>0</v>
      </c>
      <c r="P27" s="808">
        <v>0</v>
      </c>
      <c r="Q27" s="395">
        <f t="shared" si="3"/>
        <v>0</v>
      </c>
      <c r="R27" s="395">
        <f t="shared" si="4"/>
        <v>0</v>
      </c>
      <c r="S27" s="395">
        <f t="shared" si="5"/>
        <v>0</v>
      </c>
      <c r="T27" s="395">
        <f t="shared" si="6"/>
        <v>0</v>
      </c>
    </row>
    <row r="28" spans="1:26" s="35" customFormat="1" ht="15" x14ac:dyDescent="0.2">
      <c r="A28" s="802">
        <v>19</v>
      </c>
      <c r="B28" s="802">
        <f>IF('Entries July 2026'!I25&lt;'Entries July 2026'!I24,"0",(IF('Entries July 2026'!I25&gt;='Entries July 2026'!I24,'Entries July 2026'!I25-'Entries July 2026'!I24,(999999-'Entries July 2026'!I24)+'Entries July 2026'!I25+1)))</f>
        <v>4779</v>
      </c>
      <c r="C28" s="802" t="str">
        <f>IF('Entries July 2026'!J25&lt;='Entries July 2026'!J24,"0",IF('Entries July 2026'!J25&gt;='Entries July 2026'!J24,'Entries July 2026'!J25-'Entries July 2026'!J24,(999999-'Entries July 2026'!J24)+'Entries July 2026'!J25+1))</f>
        <v>0</v>
      </c>
      <c r="D28" s="803">
        <f t="shared" si="0"/>
        <v>4779</v>
      </c>
      <c r="E28" s="839">
        <v>912</v>
      </c>
      <c r="F28" s="804">
        <f t="shared" si="1"/>
        <v>0.16025303110173958</v>
      </c>
      <c r="G28" s="805">
        <f>IF('Entries July 2026'!K25&lt;'Entries July 2026'!K24,"0",IF('Entries July 2026'!K25&gt;='Entries July 2026'!K24,'Entries July 2026'!K25-'Entries July 2026'!K24,(999999-'Entries July 2026'!K24)+'Entries July 2026'!K25+1))</f>
        <v>0</v>
      </c>
      <c r="H28" s="803">
        <f t="shared" si="2"/>
        <v>5691</v>
      </c>
      <c r="I28" s="805">
        <f>'Water '!Z25*10</f>
        <v>1090</v>
      </c>
      <c r="J28" s="803">
        <f>IF('Entries July 2026'!B25-'Entries July 2026'!B24&lt;1,"0",'Entries July 2026'!B25-'Entries July 2026'!B24)</f>
        <v>2010</v>
      </c>
      <c r="K28" s="806">
        <f>'CO2'!E25</f>
        <v>800</v>
      </c>
      <c r="L28" s="807">
        <f>+'PROD.FIG. '!F23</f>
        <v>0</v>
      </c>
      <c r="M28" s="803">
        <f>+'PROD.FIG. '!C23</f>
        <v>0</v>
      </c>
      <c r="N28" s="803">
        <f>+'PROD.FIG. '!D23</f>
        <v>0</v>
      </c>
      <c r="O28" s="803">
        <f>+'PROD.FIG. '!E23</f>
        <v>0</v>
      </c>
      <c r="P28" s="808">
        <v>0</v>
      </c>
      <c r="Q28" s="395">
        <f>IF(P28=0,0,H28/P28)</f>
        <v>0</v>
      </c>
      <c r="R28" s="395">
        <f t="shared" si="4"/>
        <v>0</v>
      </c>
      <c r="S28" s="395">
        <f t="shared" si="5"/>
        <v>0</v>
      </c>
      <c r="T28" s="395">
        <f t="shared" si="6"/>
        <v>0</v>
      </c>
    </row>
    <row r="29" spans="1:26" ht="15" x14ac:dyDescent="0.2">
      <c r="A29" s="725">
        <v>20</v>
      </c>
      <c r="B29" s="725">
        <f>IF('Entries July 2026'!I26&lt;'Entries July 2026'!I25,"0",(IF('Entries July 2026'!I26&gt;='Entries July 2026'!I25,'Entries July 2026'!I26-'Entries July 2026'!I25,(999999-'Entries July 2026'!I25)+'Entries July 2026'!I26+1)))</f>
        <v>8371</v>
      </c>
      <c r="C29" s="725" t="str">
        <f>IF('Entries July 2026'!J26&lt;='Entries July 2026'!J25,"0",IF('Entries July 2026'!J26&gt;='Entries July 2026'!J25,'Entries July 2026'!J26-'Entries July 2026'!J25,(999999-'Entries July 2026'!J25)+'Entries July 2026'!J26+1))</f>
        <v>0</v>
      </c>
      <c r="D29" s="726">
        <f t="shared" si="0"/>
        <v>8371</v>
      </c>
      <c r="E29" s="838">
        <v>1231.4000000000001</v>
      </c>
      <c r="F29" s="727">
        <f t="shared" si="1"/>
        <v>0.12823877363992336</v>
      </c>
      <c r="G29" s="743">
        <f>IF('Entries July 2026'!K26&lt;'Entries July 2026'!K25,"0",IF('Entries July 2026'!K26&gt;='Entries July 2026'!K25,'Entries July 2026'!K26-'Entries July 2026'!K25,(999999-'Entries July 2026'!K25)+'Entries July 2026'!K26+1))</f>
        <v>0</v>
      </c>
      <c r="H29" s="726">
        <f t="shared" si="2"/>
        <v>9602.4</v>
      </c>
      <c r="I29" s="743">
        <f>'Water '!Z26*10</f>
        <v>2880</v>
      </c>
      <c r="J29" s="726">
        <f>IF('Entries July 2026'!B26-'Entries July 2026'!B25&lt;1,"0",'Entries July 2026'!B26-'Entries July 2026'!B25)</f>
        <v>3320</v>
      </c>
      <c r="K29" s="728">
        <f>'CO2'!E26</f>
        <v>2200</v>
      </c>
      <c r="L29" s="729">
        <f>+'PROD.FIG. '!F24</f>
        <v>0</v>
      </c>
      <c r="M29" s="726">
        <f>+'PROD.FIG. '!C24</f>
        <v>0</v>
      </c>
      <c r="N29" s="726">
        <f>+'PROD.FIG. '!D24</f>
        <v>0</v>
      </c>
      <c r="O29" s="726">
        <f>+'PROD.FIG. '!E24</f>
        <v>0</v>
      </c>
      <c r="P29" s="730">
        <v>406.89000000000004</v>
      </c>
      <c r="Q29" s="395">
        <f t="shared" si="3"/>
        <v>23.599498635994983</v>
      </c>
      <c r="R29" s="395">
        <f t="shared" si="4"/>
        <v>7.0780800707807998</v>
      </c>
      <c r="S29" s="395">
        <f t="shared" si="5"/>
        <v>8.1594534149278672</v>
      </c>
      <c r="T29" s="395">
        <f t="shared" si="6"/>
        <v>5.4068667207353336</v>
      </c>
    </row>
    <row r="30" spans="1:26" s="35" customFormat="1" ht="15" x14ac:dyDescent="0.2">
      <c r="A30" s="725">
        <v>21</v>
      </c>
      <c r="B30" s="725">
        <f>IF('Entries July 2026'!I27&lt;'Entries July 2026'!I26,"0",(IF('Entries July 2026'!I27&gt;='Entries July 2026'!I26,'Entries July 2026'!I27-'Entries July 2026'!I26,(999999-'Entries July 2026'!I26)+'Entries July 2026'!I27+1)))</f>
        <v>10629</v>
      </c>
      <c r="C30" s="725" t="str">
        <f>IF('Entries July 2026'!J27&lt;='Entries July 2026'!J26,"0",IF('Entries July 2026'!J27&gt;='Entries July 2026'!J26,'Entries July 2026'!J27-'Entries July 2026'!J26,(999999-'Entries July 2026'!J26)+'Entries July 2026'!J27+1))</f>
        <v>0</v>
      </c>
      <c r="D30" s="726">
        <f t="shared" si="0"/>
        <v>10629</v>
      </c>
      <c r="E30" s="838">
        <v>1420.4</v>
      </c>
      <c r="F30" s="727">
        <f t="shared" si="1"/>
        <v>0.11788138828489386</v>
      </c>
      <c r="G30" s="743">
        <f>IF('Entries July 2026'!K27&lt;'Entries July 2026'!K26,"0",IF('Entries July 2026'!K27&gt;='Entries July 2026'!K26,'Entries July 2026'!K27-'Entries July 2026'!K26,(999999-'Entries July 2026'!K26)+'Entries July 2026'!K27+1))</f>
        <v>0</v>
      </c>
      <c r="H30" s="726">
        <f t="shared" si="2"/>
        <v>12049.4</v>
      </c>
      <c r="I30" s="743">
        <f>'Water '!Z27*10</f>
        <v>4100</v>
      </c>
      <c r="J30" s="726">
        <f>IF('Entries July 2026'!B27-'Entries July 2026'!B26&lt;1,"0",'Entries July 2026'!B27-'Entries July 2026'!B26)</f>
        <v>3960</v>
      </c>
      <c r="K30" s="728">
        <f>'CO2'!E27</f>
        <v>2900</v>
      </c>
      <c r="L30" s="729">
        <f>+'PROD.FIG. '!F25</f>
        <v>0</v>
      </c>
      <c r="M30" s="726">
        <f>+'PROD.FIG. '!C25</f>
        <v>0</v>
      </c>
      <c r="N30" s="726">
        <f>+'PROD.FIG. '!D25</f>
        <v>0</v>
      </c>
      <c r="O30" s="726">
        <f>+'PROD.FIG. '!E25</f>
        <v>0</v>
      </c>
      <c r="P30" s="730">
        <v>500.14800000000002</v>
      </c>
      <c r="Q30" s="395">
        <f t="shared" si="3"/>
        <v>24.091668866015656</v>
      </c>
      <c r="R30" s="395">
        <f t="shared" si="4"/>
        <v>8.1975735182386007</v>
      </c>
      <c r="S30" s="395">
        <f t="shared" si="5"/>
        <v>7.9176563737133803</v>
      </c>
      <c r="T30" s="395">
        <f t="shared" si="6"/>
        <v>5.7982837080224252</v>
      </c>
      <c r="W30" s="35" t="s">
        <v>58</v>
      </c>
    </row>
    <row r="31" spans="1:26" ht="15" x14ac:dyDescent="0.2">
      <c r="A31" s="725">
        <v>22</v>
      </c>
      <c r="B31" s="725">
        <f>IF('Entries July 2026'!I28&lt;'Entries July 2026'!I27,"0",(IF('Entries July 2026'!I28&gt;='Entries July 2026'!I27,'Entries July 2026'!I28-'Entries July 2026'!I27,(999999-'Entries July 2026'!I27)+'Entries July 2026'!I28+1)))</f>
        <v>7013</v>
      </c>
      <c r="C31" s="725" t="str">
        <f>IF('Entries July 2026'!J28&lt;='Entries July 2026'!J27,"0",IF('Entries July 2026'!J28&gt;='Entries July 2026'!J27,'Entries July 2026'!J28-'Entries July 2026'!J27,(999999-'Entries July 2026'!J27)+'Entries July 2026'!J28+1))</f>
        <v>0</v>
      </c>
      <c r="D31" s="726">
        <f t="shared" si="0"/>
        <v>7013</v>
      </c>
      <c r="E31" s="838">
        <v>1441.2</v>
      </c>
      <c r="F31" s="727">
        <f t="shared" si="1"/>
        <v>0.17047148163043221</v>
      </c>
      <c r="G31" s="743">
        <f>IF('Entries July 2026'!K28&lt;'Entries July 2026'!K27,"0",IF('Entries July 2026'!K28&gt;='Entries July 2026'!K27,'Entries July 2026'!K28-'Entries July 2026'!K27,(999999-'Entries July 2026'!K27)+'Entries July 2026'!K28+1))</f>
        <v>0</v>
      </c>
      <c r="H31" s="726">
        <f t="shared" si="2"/>
        <v>8454.2000000000007</v>
      </c>
      <c r="I31" s="743">
        <f>'Water '!Z28*10</f>
        <v>3940</v>
      </c>
      <c r="J31" s="726">
        <f>IF('Entries July 2026'!B28-'Entries July 2026'!B27&lt;1,"0",'Entries July 2026'!B28-'Entries July 2026'!B27)</f>
        <v>2980</v>
      </c>
      <c r="K31" s="728">
        <f>'CO2'!E28</f>
        <v>1700</v>
      </c>
      <c r="L31" s="729">
        <f>+'PROD.FIG. '!F26</f>
        <v>0</v>
      </c>
      <c r="M31" s="726">
        <f>+'PROD.FIG. '!C26</f>
        <v>0</v>
      </c>
      <c r="N31" s="726">
        <f>+'PROD.FIG. '!D26</f>
        <v>0</v>
      </c>
      <c r="O31" s="726">
        <f>+'PROD.FIG. '!E26</f>
        <v>0</v>
      </c>
      <c r="P31" s="730">
        <v>202.554</v>
      </c>
      <c r="Q31" s="395">
        <f>IF(P31=0,0,H31/P31)</f>
        <v>41.738005667624442</v>
      </c>
      <c r="R31" s="395">
        <f>IF(Q31=0,0,I31/P31)</f>
        <v>19.451603029315638</v>
      </c>
      <c r="S31" s="395">
        <f>IF(R31=0,0,J31/P31)</f>
        <v>14.712126149076296</v>
      </c>
      <c r="T31" s="395">
        <f>IF(S31=0,0,K31/P31)</f>
        <v>8.3928236420905034</v>
      </c>
    </row>
    <row r="32" spans="1:26" s="35" customFormat="1" ht="15" x14ac:dyDescent="0.2">
      <c r="A32" s="725">
        <v>23</v>
      </c>
      <c r="B32" s="725">
        <f>IF('Entries July 2026'!I29&lt;'Entries July 2026'!I28,"0",(IF('Entries July 2026'!I29&gt;='Entries July 2026'!I28,'Entries July 2026'!I29-'Entries July 2026'!I28,(999999-'Entries July 2026'!I28)+'Entries July 2026'!I29+1)))</f>
        <v>8070</v>
      </c>
      <c r="C32" s="725" t="str">
        <f>IF('Entries July 2026'!J29&lt;='Entries July 2026'!J28,"0",IF('Entries July 2026'!J29&gt;='Entries July 2026'!J28,'Entries July 2026'!J29-'Entries July 2026'!J28,(999999-'Entries July 2026'!J28)+'Entries July 2026'!J29+1))</f>
        <v>0</v>
      </c>
      <c r="D32" s="726">
        <f t="shared" si="0"/>
        <v>8070</v>
      </c>
      <c r="E32" s="838">
        <v>1365.8</v>
      </c>
      <c r="F32" s="727">
        <f t="shared" si="1"/>
        <v>0.14474660336166514</v>
      </c>
      <c r="G32" s="743">
        <f>IF('Entries July 2026'!K29&lt;'Entries July 2026'!K28,"0",IF('Entries July 2026'!K29&gt;='Entries July 2026'!K28,'Entries July 2026'!K29-'Entries July 2026'!K28,(999999-'Entries July 2026'!K28)+'Entries July 2026'!K29+1))</f>
        <v>0</v>
      </c>
      <c r="H32" s="726">
        <f t="shared" si="2"/>
        <v>9435.7999999999993</v>
      </c>
      <c r="I32" s="743">
        <f>'Water '!Z29*10</f>
        <v>3520</v>
      </c>
      <c r="J32" s="726">
        <f>IF('Entries July 2026'!B29-'Entries July 2026'!B28&lt;1,"0",'Entries July 2026'!B29-'Entries July 2026'!B28)</f>
        <v>3230</v>
      </c>
      <c r="K32" s="728">
        <f>'CO2'!E29</f>
        <v>2400</v>
      </c>
      <c r="L32" s="729">
        <f>+'PROD.FIG. '!F27</f>
        <v>0</v>
      </c>
      <c r="M32" s="726">
        <f>+'PROD.FIG. '!C27</f>
        <v>0</v>
      </c>
      <c r="N32" s="726">
        <f>+'PROD.FIG. '!D27</f>
        <v>0</v>
      </c>
      <c r="O32" s="726">
        <f>+'PROD.FIG. '!E27</f>
        <v>0</v>
      </c>
      <c r="P32" s="730">
        <v>258.786</v>
      </c>
      <c r="Q32" s="395">
        <f t="shared" si="3"/>
        <v>36.46178695910907</v>
      </c>
      <c r="R32" s="395">
        <f t="shared" si="4"/>
        <v>13.601972285981468</v>
      </c>
      <c r="S32" s="395">
        <f t="shared" si="5"/>
        <v>12.481355251056858</v>
      </c>
      <c r="T32" s="395">
        <f t="shared" si="6"/>
        <v>9.2740720131691816</v>
      </c>
    </row>
    <row r="33" spans="1:32" ht="15" x14ac:dyDescent="0.2">
      <c r="A33" s="725">
        <v>24</v>
      </c>
      <c r="B33" s="725">
        <f>IF('Entries July 2026'!I30&lt;'Entries July 2026'!I29,"0",(IF('Entries July 2026'!I30&gt;='Entries July 2026'!I29,'Entries July 2026'!I30-'Entries July 2026'!I29,(999999-'Entries July 2026'!I29)+'Entries July 2026'!I30+1)))</f>
        <v>7948</v>
      </c>
      <c r="C33" s="725" t="str">
        <f>IF('Entries July 2026'!J30&lt;='Entries July 2026'!J29,"0",IF('Entries July 2026'!J30&gt;='Entries July 2026'!J29,'Entries July 2026'!J30-'Entries July 2026'!J29,(999999-'Entries July 2026'!J29)+'Entries July 2026'!J30+1))</f>
        <v>0</v>
      </c>
      <c r="D33" s="726">
        <f t="shared" si="0"/>
        <v>7948</v>
      </c>
      <c r="E33" s="838">
        <v>1458.2</v>
      </c>
      <c r="F33" s="727">
        <f t="shared" si="1"/>
        <v>0.155025408772937</v>
      </c>
      <c r="G33" s="743">
        <f>IF('Entries July 2026'!K30&lt;'Entries July 2026'!K29,"0",IF('Entries July 2026'!K30&gt;='Entries July 2026'!K29,'Entries July 2026'!K30-'Entries July 2026'!K29,(999999-'Entries July 2026'!K29)+'Entries July 2026'!K30+1))</f>
        <v>0</v>
      </c>
      <c r="H33" s="726">
        <f t="shared" si="2"/>
        <v>9406.2000000000007</v>
      </c>
      <c r="I33" s="743">
        <f>'Water '!Z30*10</f>
        <v>4370</v>
      </c>
      <c r="J33" s="726">
        <f>IF('Entries July 2026'!B30-'Entries July 2026'!B29&lt;1,"0",'Entries July 2026'!B30-'Entries July 2026'!B29)</f>
        <v>2840</v>
      </c>
      <c r="K33" s="728">
        <f>'CO2'!E30</f>
        <v>2000</v>
      </c>
      <c r="L33" s="729">
        <f>+'PROD.FIG. '!F28</f>
        <v>0</v>
      </c>
      <c r="M33" s="726">
        <f>+'PROD.FIG. '!C28</f>
        <v>0</v>
      </c>
      <c r="N33" s="726">
        <f>+'PROD.FIG. '!D28</f>
        <v>0</v>
      </c>
      <c r="O33" s="726">
        <f>+'PROD.FIG. '!E28</f>
        <v>0</v>
      </c>
      <c r="P33" s="730">
        <v>91.872</v>
      </c>
      <c r="Q33" s="395">
        <f>IF(P33=0,0,H33/P33)</f>
        <v>102.38375130616511</v>
      </c>
      <c r="R33" s="395">
        <f>IF(Q33=0,0,I33/P33)</f>
        <v>47.566179031696272</v>
      </c>
      <c r="S33" s="395">
        <f>IF(R33=0,0,J33/P33)</f>
        <v>30.91257401602229</v>
      </c>
      <c r="T33" s="395">
        <f>IF(S33=0,0,K33/P33)</f>
        <v>21.76941832114246</v>
      </c>
    </row>
    <row r="34" spans="1:32" s="35" customFormat="1" ht="12.75" customHeight="1" x14ac:dyDescent="0.2">
      <c r="A34" s="725">
        <v>25</v>
      </c>
      <c r="B34" s="725">
        <f>IF('Entries July 2026'!I31&lt;'Entries July 2026'!I30,"0",(IF('Entries July 2026'!I31&gt;='Entries July 2026'!I30,'Entries July 2026'!I31-'Entries July 2026'!I30,(999999-'Entries July 2026'!I30)+'Entries July 2026'!I31+1)))</f>
        <v>2705</v>
      </c>
      <c r="C34" s="725" t="str">
        <f>IF('Entries July 2026'!J31&lt;='Entries July 2026'!J30,"0",IF('Entries July 2026'!J31&gt;='Entries July 2026'!J30,'Entries July 2026'!J31-'Entries July 2026'!J30,(999999-'Entries July 2026'!J30)+'Entries July 2026'!J31+1))</f>
        <v>0</v>
      </c>
      <c r="D34" s="726">
        <f t="shared" si="0"/>
        <v>2705</v>
      </c>
      <c r="E34" s="839">
        <v>1418.4</v>
      </c>
      <c r="F34" s="727">
        <f t="shared" si="1"/>
        <v>0.3439879710918175</v>
      </c>
      <c r="G34" s="743">
        <f>IF('Entries July 2026'!K31&lt;'Entries July 2026'!K30,"0",IF('Entries July 2026'!K31&gt;='Entries July 2026'!K30,'Entries July 2026'!K31-'Entries July 2026'!K30,(999999-'Entries July 2026'!K30)+'Entries July 2026'!K31+1))</f>
        <v>0</v>
      </c>
      <c r="H34" s="726">
        <f t="shared" si="2"/>
        <v>4123.3999999999996</v>
      </c>
      <c r="I34" s="743">
        <f>'Water '!Z31*10</f>
        <v>2630</v>
      </c>
      <c r="J34" s="726">
        <f>IF('Entries July 2026'!B31-'Entries July 2026'!B30&lt;1,"0",'Entries July 2026'!B31-'Entries July 2026'!B30)</f>
        <v>450</v>
      </c>
      <c r="K34" s="728">
        <f>'CO2'!E31</f>
        <v>0</v>
      </c>
      <c r="L34" s="729">
        <f>+'PROD.FIG. '!F29</f>
        <v>0</v>
      </c>
      <c r="M34" s="726">
        <f>+'PROD.FIG. '!C29</f>
        <v>0</v>
      </c>
      <c r="N34" s="726">
        <f>+'PROD.FIG. '!D29</f>
        <v>0</v>
      </c>
      <c r="O34" s="726">
        <f>+'PROD.FIG. '!E29</f>
        <v>0</v>
      </c>
      <c r="P34" s="730">
        <v>0</v>
      </c>
      <c r="Q34" s="395">
        <f t="shared" si="3"/>
        <v>0</v>
      </c>
      <c r="R34" s="395">
        <f t="shared" si="4"/>
        <v>0</v>
      </c>
      <c r="S34" s="395">
        <f t="shared" si="5"/>
        <v>0</v>
      </c>
      <c r="T34" s="395">
        <f t="shared" si="6"/>
        <v>0</v>
      </c>
    </row>
    <row r="35" spans="1:32" ht="15" x14ac:dyDescent="0.2">
      <c r="A35" s="725">
        <v>26</v>
      </c>
      <c r="B35" s="725">
        <f>IF('Entries July 2026'!I32&lt;'Entries July 2026'!I31,"0",(IF('Entries July 2026'!I32&gt;='Entries July 2026'!I31,'Entries July 2026'!I32-'Entries July 2026'!I31,(999999-'Entries July 2026'!I31)+'Entries July 2026'!I32+1)))</f>
        <v>3192</v>
      </c>
      <c r="C35" s="725" t="str">
        <f>IF('Entries July 2026'!J32&lt;='Entries July 2026'!J31,"0",IF('Entries July 2026'!J32&gt;='Entries July 2026'!J31,'Entries July 2026'!J32-'Entries July 2026'!J31,(999999-'Entries July 2026'!J31)+'Entries July 2026'!J32+1))</f>
        <v>0</v>
      </c>
      <c r="D35" s="726">
        <f t="shared" si="0"/>
        <v>3192</v>
      </c>
      <c r="E35" s="839">
        <v>1582.6</v>
      </c>
      <c r="F35" s="727">
        <f t="shared" si="1"/>
        <v>0.33146232145101157</v>
      </c>
      <c r="G35" s="743">
        <f>IF('Entries July 2026'!K32&lt;'Entries July 2026'!K31,"0",IF('Entries July 2026'!K32&gt;='Entries July 2026'!K31,'Entries July 2026'!K32-'Entries July 2026'!K31,(999999-'Entries July 2026'!K31)+'Entries July 2026'!K32+1))</f>
        <v>0</v>
      </c>
      <c r="H35" s="726">
        <f t="shared" si="2"/>
        <v>4774.6000000000004</v>
      </c>
      <c r="I35" s="743">
        <f>'Water '!Z32*10</f>
        <v>0</v>
      </c>
      <c r="J35" s="726">
        <f>IF('Entries July 2026'!B32-'Entries July 2026'!B31&lt;1,"0",'Entries July 2026'!B32-'Entries July 2026'!B31)</f>
        <v>940</v>
      </c>
      <c r="K35" s="728">
        <f>'CO2'!E32</f>
        <v>800</v>
      </c>
      <c r="L35" s="729">
        <f>+'PROD.FIG. '!F30</f>
        <v>0</v>
      </c>
      <c r="M35" s="726">
        <f>+'PROD.FIG. '!C30</f>
        <v>0</v>
      </c>
      <c r="N35" s="726">
        <f>+'PROD.FIG. '!D30</f>
        <v>0</v>
      </c>
      <c r="O35" s="726">
        <f>+'PROD.FIG. '!E30</f>
        <v>0</v>
      </c>
      <c r="P35" s="730">
        <v>0</v>
      </c>
      <c r="Q35" s="395">
        <f t="shared" si="3"/>
        <v>0</v>
      </c>
      <c r="R35" s="395">
        <f t="shared" si="4"/>
        <v>0</v>
      </c>
      <c r="S35" s="395">
        <f t="shared" si="5"/>
        <v>0</v>
      </c>
      <c r="T35" s="395">
        <f t="shared" si="6"/>
        <v>0</v>
      </c>
    </row>
    <row r="36" spans="1:32" s="35" customFormat="1" ht="15" x14ac:dyDescent="0.2">
      <c r="A36" s="725">
        <v>27</v>
      </c>
      <c r="B36" s="725">
        <f>IF('Entries July 2026'!I33&lt;'Entries July 2026'!I32,"0",(IF('Entries July 2026'!I33&gt;='Entries July 2026'!I32,'Entries July 2026'!I33-'Entries July 2026'!I32,(999999-'Entries July 2026'!I32)+'Entries July 2026'!I33+1)))</f>
        <v>7688</v>
      </c>
      <c r="C36" s="725" t="str">
        <f>IF('Entries July 2026'!J33&lt;='Entries July 2026'!J32,"0",IF('Entries July 2026'!J33&gt;='Entries July 2026'!J32,'Entries July 2026'!J33-'Entries July 2026'!J32,(999999-'Entries July 2026'!J32)+'Entries July 2026'!J33+1))</f>
        <v>0</v>
      </c>
      <c r="D36" s="726">
        <f t="shared" si="0"/>
        <v>7688</v>
      </c>
      <c r="E36" s="838">
        <v>1394.9</v>
      </c>
      <c r="F36" s="727">
        <f t="shared" si="1"/>
        <v>0.15357429895738148</v>
      </c>
      <c r="G36" s="743">
        <f>IF('Entries July 2026'!K33&lt;'Entries July 2026'!K32,"0",IF('Entries July 2026'!K33&gt;='Entries July 2026'!K32,'Entries July 2026'!K33-'Entries July 2026'!K32,(999999-'Entries July 2026'!K32)+'Entries July 2026'!K33+1))</f>
        <v>0</v>
      </c>
      <c r="H36" s="726">
        <f t="shared" si="2"/>
        <v>9082.9</v>
      </c>
      <c r="I36" s="743">
        <f>'Water '!Z33*10</f>
        <v>3150</v>
      </c>
      <c r="J36" s="726">
        <f>IF('Entries July 2026'!B33-'Entries July 2026'!B32&lt;1,"0",'Entries July 2026'!B33-'Entries July 2026'!B32)</f>
        <v>2870</v>
      </c>
      <c r="K36" s="728">
        <f>'CO2'!E33</f>
        <v>1600</v>
      </c>
      <c r="L36" s="729">
        <f>+'PROD.FIG. '!F31</f>
        <v>0</v>
      </c>
      <c r="M36" s="726">
        <f>+'PROD.FIG. '!C31</f>
        <v>0</v>
      </c>
      <c r="N36" s="726">
        <f>+'PROD.FIG. '!D31</f>
        <v>0</v>
      </c>
      <c r="O36" s="726">
        <f>+'PROD.FIG. '!E31</f>
        <v>0</v>
      </c>
      <c r="P36" s="730">
        <v>365.97</v>
      </c>
      <c r="Q36" s="395">
        <f t="shared" si="3"/>
        <v>24.81870098641965</v>
      </c>
      <c r="R36" s="395">
        <f t="shared" si="4"/>
        <v>8.6072628904008521</v>
      </c>
      <c r="S36" s="395">
        <f t="shared" si="5"/>
        <v>7.8421728556985544</v>
      </c>
      <c r="T36" s="395">
        <f t="shared" si="6"/>
        <v>4.3719430554417027</v>
      </c>
    </row>
    <row r="37" spans="1:32" ht="15" x14ac:dyDescent="0.2">
      <c r="A37" s="725">
        <v>28</v>
      </c>
      <c r="B37" s="725">
        <f>IF('Entries July 2026'!I34&lt;'Entries July 2026'!I33,"0",(IF('Entries July 2026'!I34&gt;='Entries July 2026'!I33,'Entries July 2026'!I34-'Entries July 2026'!I33,(999999-'Entries July 2026'!I33)+'Entries July 2026'!I34+1)))</f>
        <v>8951</v>
      </c>
      <c r="C37" s="725" t="str">
        <f>IF('Entries July 2026'!J34&lt;='Entries July 2026'!J33,"0",IF('Entries July 2026'!J34&gt;='Entries July 2026'!J33,'Entries July 2026'!J34-'Entries July 2026'!J33,(999999-'Entries July 2026'!J33)+'Entries July 2026'!J34+1))</f>
        <v>0</v>
      </c>
      <c r="D37" s="726">
        <f t="shared" si="0"/>
        <v>8951</v>
      </c>
      <c r="E37" s="838">
        <v>1091.4000000000001</v>
      </c>
      <c r="F37" s="727">
        <f t="shared" si="1"/>
        <v>0.10867920019118937</v>
      </c>
      <c r="G37" s="743">
        <f>IF('Entries July 2026'!K34&lt;'Entries July 2026'!K33,"0",IF('Entries July 2026'!K34&gt;='Entries July 2026'!K33,'Entries July 2026'!K34-'Entries July 2026'!K33,(999999-'Entries July 2026'!K33)+'Entries July 2026'!K34+1))</f>
        <v>0</v>
      </c>
      <c r="H37" s="726">
        <f t="shared" si="2"/>
        <v>10042.4</v>
      </c>
      <c r="I37" s="743">
        <f>'Water '!Z34*10</f>
        <v>3410</v>
      </c>
      <c r="J37" s="726">
        <f>IF('Entries July 2026'!B34-'Entries July 2026'!B33&lt;1,"0",'Entries July 2026'!B34-'Entries July 2026'!B33)</f>
        <v>3650</v>
      </c>
      <c r="K37" s="728">
        <f>'CO2'!E34</f>
        <v>3500</v>
      </c>
      <c r="L37" s="729">
        <f>+'PROD.FIG. '!F32</f>
        <v>0</v>
      </c>
      <c r="M37" s="726">
        <f>+'PROD.FIG. '!C32</f>
        <v>0</v>
      </c>
      <c r="N37" s="726">
        <f>+'PROD.FIG. '!D32</f>
        <v>0</v>
      </c>
      <c r="O37" s="726">
        <f>+'PROD.FIG. '!E32</f>
        <v>0</v>
      </c>
      <c r="P37" s="730">
        <v>642.048</v>
      </c>
      <c r="Q37" s="395">
        <f t="shared" si="3"/>
        <v>15.641198165869218</v>
      </c>
      <c r="R37" s="395">
        <f t="shared" si="4"/>
        <v>5.3111293859649127</v>
      </c>
      <c r="S37" s="395">
        <f t="shared" si="5"/>
        <v>5.6849332137161088</v>
      </c>
      <c r="T37" s="395">
        <f t="shared" si="6"/>
        <v>5.4513058213716112</v>
      </c>
    </row>
    <row r="38" spans="1:32" s="35" customFormat="1" ht="15" x14ac:dyDescent="0.2">
      <c r="A38" s="725">
        <v>29</v>
      </c>
      <c r="B38" s="725">
        <f>IF('Entries July 2026'!I35&lt;'Entries July 2026'!I34,"0",(IF('Entries July 2026'!I35&gt;='Entries July 2026'!I34,'Entries July 2026'!I35-'Entries July 2026'!I34,(999999-'Entries July 2026'!I34)+'Entries July 2026'!I35+1)))</f>
        <v>8672</v>
      </c>
      <c r="C38" s="725" t="str">
        <f>IF('Entries July 2026'!J35&lt;='Entries July 2026'!J34,"0",IF('Entries July 2026'!J35&gt;='Entries July 2026'!J34,'Entries July 2026'!J35-'Entries July 2026'!J34,(999999-'Entries July 2026'!J34)+'Entries July 2026'!J35+1))</f>
        <v>0</v>
      </c>
      <c r="D38" s="726">
        <f t="shared" si="0"/>
        <v>8672</v>
      </c>
      <c r="E38" s="838">
        <v>1593.7</v>
      </c>
      <c r="F38" s="727">
        <f t="shared" si="1"/>
        <v>0.15524513671741819</v>
      </c>
      <c r="G38" s="743">
        <f>IF('Entries July 2026'!K35&lt;'Entries July 2026'!K34,"0",IF('Entries July 2026'!K35&gt;='Entries July 2026'!K34,'Entries July 2026'!K35-'Entries July 2026'!K34,(999999-'Entries July 2026'!K34)+'Entries July 2026'!K35+1))</f>
        <v>0</v>
      </c>
      <c r="H38" s="726">
        <f t="shared" si="2"/>
        <v>10265.700000000001</v>
      </c>
      <c r="I38" s="743">
        <f>'Water '!Z35*10</f>
        <v>4550</v>
      </c>
      <c r="J38" s="726">
        <f>IF('Entries July 2026'!B35-'Entries July 2026'!B34&lt;1,"0",'Entries July 2026'!B35-'Entries July 2026'!B34)</f>
        <v>3310</v>
      </c>
      <c r="K38" s="728">
        <f>'CO2'!E35</f>
        <v>2000</v>
      </c>
      <c r="L38" s="729">
        <f>+'PROD.FIG. '!F33</f>
        <v>0</v>
      </c>
      <c r="M38" s="726">
        <f>+'PROD.FIG. '!C33</f>
        <v>0</v>
      </c>
      <c r="N38" s="726">
        <f>+'PROD.FIG. '!D33</f>
        <v>0</v>
      </c>
      <c r="O38" s="726">
        <f>+'PROD.FIG. '!E33</f>
        <v>0</v>
      </c>
      <c r="P38" s="730">
        <v>387.63720000000001</v>
      </c>
      <c r="Q38" s="395">
        <f t="shared" si="3"/>
        <v>26.482752429333409</v>
      </c>
      <c r="R38" s="395">
        <f t="shared" si="4"/>
        <v>11.737779552633235</v>
      </c>
      <c r="S38" s="395">
        <f t="shared" si="5"/>
        <v>8.5389121580694525</v>
      </c>
      <c r="T38" s="395">
        <f t="shared" si="6"/>
        <v>5.1594635396190043</v>
      </c>
    </row>
    <row r="39" spans="1:32" ht="15" x14ac:dyDescent="0.2">
      <c r="A39" s="725">
        <v>30</v>
      </c>
      <c r="B39" s="725">
        <f>IF('Entries July 2026'!I36&lt;'Entries July 2026'!I35,"0",(IF('Entries July 2026'!I36&gt;='Entries July 2026'!I35,'Entries July 2026'!I36-'Entries July 2026'!I35,(999999-'Entries July 2026'!I35)+'Entries July 2026'!I36+1)))</f>
        <v>9708</v>
      </c>
      <c r="C39" s="725" t="str">
        <f>IF('Entries July 2026'!J36&lt;='Entries July 2026'!J35,"0",IF('Entries July 2026'!J36&gt;='Entries July 2026'!J35,'Entries July 2026'!J36-'Entries July 2026'!J35,(999999-'Entries July 2026'!J35)+'Entries July 2026'!J36+1))</f>
        <v>0</v>
      </c>
      <c r="D39" s="726">
        <f t="shared" si="0"/>
        <v>9708</v>
      </c>
      <c r="E39" s="838">
        <v>1507.1</v>
      </c>
      <c r="F39" s="727">
        <f t="shared" si="1"/>
        <v>0.13438132517766224</v>
      </c>
      <c r="G39" s="743">
        <f>IF('Entries July 2026'!K36&lt;'Entries July 2026'!K35,"0",IF('Entries July 2026'!K36&gt;='Entries July 2026'!K35,'Entries July 2026'!K36-'Entries July 2026'!K35,(999999-'Entries July 2026'!K35)+'Entries July 2026'!K36+1))</f>
        <v>0</v>
      </c>
      <c r="H39" s="726">
        <f t="shared" si="2"/>
        <v>11215.1</v>
      </c>
      <c r="I39" s="743">
        <f>'Water '!Z36*10</f>
        <v>3470</v>
      </c>
      <c r="J39" s="726">
        <f>IF('Entries July 2026'!B36-'Entries July 2026'!B35&lt;1,"0",'Entries July 2026'!B36-'Entries July 2026'!B35)</f>
        <v>3920</v>
      </c>
      <c r="K39" s="728">
        <f>'CO2'!E36</f>
        <v>2500</v>
      </c>
      <c r="L39" s="729">
        <f>+'PROD.FIG. '!F34</f>
        <v>0</v>
      </c>
      <c r="M39" s="726">
        <f>+'PROD.FIG. '!C34</f>
        <v>0</v>
      </c>
      <c r="N39" s="726">
        <f>+'PROD.FIG. '!D34</f>
        <v>0</v>
      </c>
      <c r="O39" s="726">
        <f>+'PROD.FIG. '!E34</f>
        <v>0</v>
      </c>
      <c r="P39" s="730">
        <v>606.86879999999996</v>
      </c>
      <c r="Q39" s="395">
        <f t="shared" si="3"/>
        <v>18.480271188764359</v>
      </c>
      <c r="R39" s="395">
        <f t="shared" si="4"/>
        <v>5.7178750991977179</v>
      </c>
      <c r="S39" s="395">
        <f t="shared" si="5"/>
        <v>6.4593862792089496</v>
      </c>
      <c r="T39" s="395">
        <f t="shared" si="6"/>
        <v>4.1195065556179529</v>
      </c>
    </row>
    <row r="40" spans="1:32" s="35" customFormat="1" ht="15.75" thickBot="1" x14ac:dyDescent="0.25">
      <c r="A40" s="725">
        <v>31</v>
      </c>
      <c r="B40" s="725">
        <f>IF('Entries July 2026'!I37&lt;'Entries July 2026'!I36,"0",(IF('Entries July 2026'!I37&gt;='Entries July 2026'!I36,'Entries July 2026'!I37-'Entries July 2026'!I36,(999999-'Entries July 2026'!I36)+'Entries July 2026'!I37+1)))</f>
        <v>8223</v>
      </c>
      <c r="C40" s="725" t="str">
        <f>IF('Entries July 2026'!J37&lt;='Entries July 2026'!J36,"0",IF('Entries July 2026'!J37&gt;='Entries July 2026'!J36,'Entries July 2026'!J37-'Entries July 2026'!J36,(999999-'Entries July 2026'!J36)+'Entries July 2026'!J37+1))</f>
        <v>0</v>
      </c>
      <c r="D40" s="726">
        <f t="shared" si="0"/>
        <v>8223</v>
      </c>
      <c r="E40" s="838">
        <v>1320.9</v>
      </c>
      <c r="F40" s="727">
        <f t="shared" si="1"/>
        <v>0.13840253984220288</v>
      </c>
      <c r="G40" s="743">
        <f>IF('Entries July 2026'!K37&lt;'Entries July 2026'!K36,"0",IF('Entries July 2026'!K37&gt;='Entries July 2026'!K36,'Entries July 2026'!K37-'Entries July 2026'!K36,(999999-'Entries July 2026'!K36)+'Entries July 2026'!K37+1))</f>
        <v>0</v>
      </c>
      <c r="H40" s="726">
        <f t="shared" si="2"/>
        <v>9543.9</v>
      </c>
      <c r="I40" s="743">
        <f>'Water '!Z37*10</f>
        <v>3370</v>
      </c>
      <c r="J40" s="726">
        <f>IF('Entries July 2026'!B37-'Entries July 2026'!B36&lt;1,"0",'Entries July 2026'!B37-'Entries July 2026'!B36)</f>
        <v>3050</v>
      </c>
      <c r="K40" s="728">
        <f>'CO2'!E37</f>
        <v>1900</v>
      </c>
      <c r="L40" s="776"/>
      <c r="M40" s="777"/>
      <c r="N40" s="777"/>
      <c r="O40" s="777"/>
      <c r="P40" s="778">
        <v>498.49800000000005</v>
      </c>
      <c r="Q40" s="396">
        <f t="shared" si="3"/>
        <v>19.145312518806492</v>
      </c>
      <c r="R40" s="395">
        <f t="shared" si="4"/>
        <v>6.7603079651272413</v>
      </c>
      <c r="S40" s="395">
        <f t="shared" si="5"/>
        <v>6.1183796123555156</v>
      </c>
      <c r="T40" s="395">
        <f t="shared" si="6"/>
        <v>3.8114495945821245</v>
      </c>
    </row>
    <row r="41" spans="1:32" ht="15.75" thickBot="1" x14ac:dyDescent="0.25">
      <c r="A41" s="25"/>
      <c r="B41" s="387"/>
      <c r="C41" s="387"/>
      <c r="D41" s="5"/>
      <c r="E41" s="708"/>
      <c r="F41" s="735"/>
      <c r="G41" s="5"/>
      <c r="H41" s="5"/>
      <c r="I41" s="6"/>
      <c r="J41" s="6"/>
      <c r="K41" s="6"/>
      <c r="L41" s="6"/>
      <c r="M41" s="6"/>
      <c r="N41" s="6"/>
      <c r="O41" s="6"/>
      <c r="P41" s="403"/>
      <c r="Q41" s="415" t="s">
        <v>85</v>
      </c>
      <c r="R41" s="416"/>
      <c r="S41" s="416"/>
      <c r="T41" s="417"/>
    </row>
    <row r="42" spans="1:32" ht="15.75" x14ac:dyDescent="0.25">
      <c r="A42" s="6"/>
      <c r="B42" s="6"/>
      <c r="C42" s="6"/>
      <c r="D42" s="27" t="s">
        <v>21</v>
      </c>
      <c r="E42" s="709"/>
      <c r="F42" s="735"/>
      <c r="G42" s="27" t="s">
        <v>21</v>
      </c>
      <c r="H42" s="27" t="s">
        <v>21</v>
      </c>
      <c r="I42" s="27" t="s">
        <v>83</v>
      </c>
      <c r="J42" s="27" t="s">
        <v>84</v>
      </c>
      <c r="K42" s="27" t="s">
        <v>91</v>
      </c>
      <c r="L42" s="27" t="s">
        <v>20</v>
      </c>
      <c r="M42" s="27" t="s">
        <v>20</v>
      </c>
      <c r="N42" s="27" t="s">
        <v>20</v>
      </c>
      <c r="O42" s="27" t="s">
        <v>20</v>
      </c>
      <c r="P42" s="404" t="s">
        <v>20</v>
      </c>
      <c r="Q42" s="407" t="s">
        <v>14</v>
      </c>
      <c r="R42" s="408" t="s">
        <v>15</v>
      </c>
      <c r="S42" s="408" t="s">
        <v>9</v>
      </c>
      <c r="T42" s="409" t="s">
        <v>66</v>
      </c>
      <c r="X42" t="s">
        <v>58</v>
      </c>
    </row>
    <row r="43" spans="1:32" ht="15.75" x14ac:dyDescent="0.25">
      <c r="A43" s="19" t="s">
        <v>19</v>
      </c>
      <c r="B43" s="19"/>
      <c r="C43" s="19"/>
      <c r="D43" s="20">
        <f>SUM(D10:D40)</f>
        <v>220465</v>
      </c>
      <c r="E43" s="748">
        <f>SUM(E10:E40)</f>
        <v>39202</v>
      </c>
      <c r="F43" s="760">
        <f>IF((E43+D43)=0,"0",E43/(D43+E43))</f>
        <v>0.15097028116780337</v>
      </c>
      <c r="G43" s="20">
        <f t="shared" ref="G43:P43" si="7">SUM(G10:G40)</f>
        <v>0</v>
      </c>
      <c r="H43" s="20">
        <f t="shared" si="7"/>
        <v>259666.99999999997</v>
      </c>
      <c r="I43" s="20">
        <f t="shared" si="7"/>
        <v>95230</v>
      </c>
      <c r="J43" s="20">
        <f t="shared" si="7"/>
        <v>82370</v>
      </c>
      <c r="K43" s="20">
        <f t="shared" si="7"/>
        <v>53100</v>
      </c>
      <c r="L43" s="20">
        <f t="shared" si="7"/>
        <v>0</v>
      </c>
      <c r="M43" s="20">
        <f t="shared" si="7"/>
        <v>0</v>
      </c>
      <c r="N43" s="20">
        <f t="shared" si="7"/>
        <v>0</v>
      </c>
      <c r="O43" s="20">
        <f t="shared" si="7"/>
        <v>0</v>
      </c>
      <c r="P43" s="405">
        <f t="shared" si="7"/>
        <v>8998.2515999999996</v>
      </c>
      <c r="Q43" s="410" t="s">
        <v>13</v>
      </c>
      <c r="R43" s="411" t="s">
        <v>64</v>
      </c>
      <c r="S43" s="411" t="s">
        <v>16</v>
      </c>
      <c r="T43" s="412" t="s">
        <v>67</v>
      </c>
      <c r="AA43" s="759"/>
      <c r="AD43" s="81" t="s">
        <v>58</v>
      </c>
    </row>
    <row r="44" spans="1:32" ht="17.25" thickBot="1" x14ac:dyDescent="0.3">
      <c r="A44" s="4"/>
      <c r="B44" s="4"/>
      <c r="C44" s="4"/>
      <c r="D44" s="733" t="s">
        <v>244</v>
      </c>
      <c r="E44" s="734">
        <f>D43+E43</f>
        <v>259667</v>
      </c>
      <c r="F44" s="714"/>
      <c r="G44" s="7"/>
      <c r="H44" s="397"/>
      <c r="I44" s="6"/>
      <c r="J44" s="6"/>
      <c r="K44" s="6"/>
      <c r="L44" s="6"/>
      <c r="M44" s="6"/>
      <c r="N44" s="6"/>
      <c r="O44" s="6"/>
      <c r="P44" s="403"/>
      <c r="Q44" s="399">
        <f>IF(P43=0,0,H43/P43)</f>
        <v>28.85749493823889</v>
      </c>
      <c r="R44" s="400">
        <f>IF(Q44=0,0,I43/P43)</f>
        <v>10.583167067700129</v>
      </c>
      <c r="S44" s="400">
        <f>IF(R44=0,0,J43/P43)</f>
        <v>9.1540005393936763</v>
      </c>
      <c r="T44" s="401">
        <f>IF(S44=0,0,K43/P43)</f>
        <v>5.9011463960398709</v>
      </c>
    </row>
    <row r="45" spans="1:32" ht="15" x14ac:dyDescent="0.2">
      <c r="A45" s="2"/>
      <c r="B45" s="2"/>
      <c r="C45" s="2"/>
      <c r="D45" s="2"/>
      <c r="E45" s="710"/>
      <c r="F45" s="715"/>
      <c r="G45" s="2"/>
      <c r="H45" s="398"/>
      <c r="I45" s="2"/>
      <c r="J45" s="2"/>
      <c r="K45" s="2"/>
      <c r="L45" s="2"/>
      <c r="M45" s="2"/>
      <c r="N45" s="2"/>
      <c r="O45" s="2"/>
      <c r="P45" s="406"/>
      <c r="Q45" s="413"/>
      <c r="R45" s="6"/>
      <c r="S45" s="6"/>
      <c r="T45" s="2"/>
    </row>
    <row r="46" spans="1:32" ht="15" x14ac:dyDescent="0.2">
      <c r="H46" s="398"/>
      <c r="Q46" s="414"/>
      <c r="R46" s="2"/>
      <c r="S46" s="2"/>
      <c r="T46" s="2"/>
    </row>
    <row r="47" spans="1:32" x14ac:dyDescent="0.2">
      <c r="D47" s="880"/>
      <c r="E47" s="880"/>
      <c r="F47" s="880"/>
      <c r="G47" s="880"/>
      <c r="H47" s="880"/>
      <c r="I47" s="880"/>
      <c r="AF47" t="s">
        <v>58</v>
      </c>
    </row>
    <row r="49" spans="4:32" x14ac:dyDescent="0.2">
      <c r="G49" t="s">
        <v>58</v>
      </c>
    </row>
    <row r="50" spans="4:32" x14ac:dyDescent="0.2">
      <c r="D50" s="81" t="s">
        <v>58</v>
      </c>
      <c r="E50" s="711"/>
      <c r="F50" s="716"/>
      <c r="AF50" s="81" t="s">
        <v>58</v>
      </c>
    </row>
    <row r="54" spans="4:32" x14ac:dyDescent="0.2">
      <c r="I54" s="81" t="s">
        <v>58</v>
      </c>
    </row>
  </sheetData>
  <mergeCells count="9">
    <mergeCell ref="A7:A9"/>
    <mergeCell ref="D47:I47"/>
    <mergeCell ref="Q7:T7"/>
    <mergeCell ref="G7:G8"/>
    <mergeCell ref="H7:H8"/>
    <mergeCell ref="L7:P7"/>
    <mergeCell ref="F7:F9"/>
    <mergeCell ref="D7:D9"/>
    <mergeCell ref="E7:E9"/>
  </mergeCells>
  <phoneticPr fontId="0" type="noConversion"/>
  <conditionalFormatting sqref="Q10:Q44">
    <cfRule type="cellIs" dxfId="60" priority="7" operator="between">
      <formula>0</formula>
      <formula>22</formula>
    </cfRule>
    <cfRule type="cellIs" dxfId="59" priority="8" operator="greaterThan">
      <formula>22</formula>
    </cfRule>
    <cfRule type="cellIs" dxfId="58" priority="9" operator="greaterThan">
      <formula>7.2</formula>
    </cfRule>
  </conditionalFormatting>
  <conditionalFormatting sqref="R10:R44">
    <cfRule type="cellIs" dxfId="57" priority="1" operator="between">
      <formula>0</formula>
      <formula>10.2</formula>
    </cfRule>
    <cfRule type="cellIs" dxfId="56" priority="2" operator="greaterThan">
      <formula>10.2</formula>
    </cfRule>
  </conditionalFormatting>
  <conditionalFormatting sqref="S10:S44">
    <cfRule type="cellIs" dxfId="55" priority="3" operator="between">
      <formula>0</formula>
      <formula>7.2</formula>
    </cfRule>
    <cfRule type="cellIs" dxfId="54" priority="4" operator="greaterThan">
      <formula>7.2</formula>
    </cfRule>
  </conditionalFormatting>
  <conditionalFormatting sqref="T10:T44">
    <cfRule type="cellIs" dxfId="53" priority="5" operator="between">
      <formula>0</formula>
      <formula>5</formula>
    </cfRule>
    <cfRule type="cellIs" dxfId="52" priority="6" operator="greaterThan">
      <formula>5</formula>
    </cfRule>
  </conditionalFormatting>
  <pageMargins left="0.56000000000000005" right="0" top="0" bottom="0" header="0.5" footer="0.5"/>
  <pageSetup scale="81"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D6495-3B57-4E6D-9B0A-16DAF02558BC}">
  <sheetPr>
    <tabColor indexed="51"/>
  </sheetPr>
  <dimension ref="A1:D39"/>
  <sheetViews>
    <sheetView workbookViewId="0">
      <selection activeCell="F32" sqref="F32"/>
    </sheetView>
  </sheetViews>
  <sheetFormatPr defaultRowHeight="12.75" x14ac:dyDescent="0.2"/>
  <cols>
    <col min="2" max="2" width="13.28515625" customWidth="1"/>
    <col min="3" max="3" width="9.140625" style="336"/>
  </cols>
  <sheetData>
    <row r="1" spans="1:4" ht="15" x14ac:dyDescent="0.2">
      <c r="A1" s="8"/>
      <c r="B1" s="8"/>
    </row>
    <row r="2" spans="1:4" ht="15.75" thickBot="1" x14ac:dyDescent="0.25">
      <c r="A2" s="8"/>
      <c r="B2" s="8"/>
    </row>
    <row r="3" spans="1:4" x14ac:dyDescent="0.2">
      <c r="A3" s="896" t="s">
        <v>7</v>
      </c>
      <c r="B3" s="898" t="s">
        <v>238</v>
      </c>
    </row>
    <row r="4" spans="1:4" ht="15" customHeight="1" x14ac:dyDescent="0.2">
      <c r="A4" s="897"/>
      <c r="B4" s="899"/>
    </row>
    <row r="5" spans="1:4" ht="15" x14ac:dyDescent="0.2">
      <c r="A5" s="36">
        <v>1</v>
      </c>
      <c r="B5" s="44" t="str">
        <f>IF('Entries July 2026'!AJ7-'Entries July 2026'!AJ6&lt;1,"0",'Entries July 2026'!AJ7-'Entries July 2026'!AJ6)</f>
        <v>0</v>
      </c>
      <c r="D5" s="337"/>
    </row>
    <row r="6" spans="1:4" ht="15" x14ac:dyDescent="0.2">
      <c r="A6" s="36">
        <v>2</v>
      </c>
      <c r="B6" s="44" t="str">
        <f>IF('Entries July 2026'!AJ8-'Entries July 2026'!AJ7&lt;1,"0",'Entries July 2026'!AJ8-'Entries July 2026'!AJ7)</f>
        <v>0</v>
      </c>
      <c r="D6" s="337"/>
    </row>
    <row r="7" spans="1:4" ht="15" x14ac:dyDescent="0.2">
      <c r="A7" s="36">
        <v>3</v>
      </c>
      <c r="B7" s="44">
        <f>IF('Entries July 2026'!AJ9-'Entries July 2026'!AJ8&lt;1,"0",'Entries July 2026'!AJ9-'Entries July 2026'!AJ8)</f>
        <v>81.964999999850988</v>
      </c>
      <c r="D7" s="337"/>
    </row>
    <row r="8" spans="1:4" ht="15" x14ac:dyDescent="0.2">
      <c r="A8" s="36">
        <v>4</v>
      </c>
      <c r="B8" s="44">
        <f>IF('Entries July 2026'!AJ10-'Entries July 2026'!AJ9&lt;1,"0",'Entries July 2026'!AJ10-'Entries July 2026'!AJ9)</f>
        <v>9.5770000005140901</v>
      </c>
      <c r="D8" s="337"/>
    </row>
    <row r="9" spans="1:4" ht="15" customHeight="1" x14ac:dyDescent="0.2">
      <c r="A9" s="36">
        <v>5</v>
      </c>
      <c r="B9" s="44">
        <f>IF('Entries July 2026'!AJ11-'Entries July 2026'!AJ10&lt;1,"0",'Entries July 2026'!AJ11-'Entries July 2026'!AJ10)</f>
        <v>435.43599999975413</v>
      </c>
      <c r="D9" s="337"/>
    </row>
    <row r="10" spans="1:4" ht="15" x14ac:dyDescent="0.2">
      <c r="A10" s="36">
        <v>6</v>
      </c>
      <c r="B10" s="44" t="str">
        <f>IF('Entries July 2026'!AJ12-'Entries July 2026'!AJ11&lt;1,"0",'Entries July 2026'!AJ12-'Entries July 2026'!AJ11)</f>
        <v>0</v>
      </c>
      <c r="D10" s="337"/>
    </row>
    <row r="11" spans="1:4" ht="15" x14ac:dyDescent="0.2">
      <c r="A11" s="36">
        <v>7</v>
      </c>
      <c r="B11" s="44">
        <f>IF('Entries July 2026'!AJ13-'Entries July 2026'!AJ12&lt;1,"0",'Entries July 2026'!AJ13-'Entries July 2026'!AJ12)</f>
        <v>29.026000000536442</v>
      </c>
      <c r="D11" s="337"/>
    </row>
    <row r="12" spans="1:4" ht="15" x14ac:dyDescent="0.2">
      <c r="A12" s="36">
        <v>8</v>
      </c>
      <c r="B12" s="44" t="str">
        <f>IF('Entries July 2026'!AJ14-'Entries July 2026'!AJ13&lt;1,"0",'Entries July 2026'!AJ14-'Entries July 2026'!AJ13)</f>
        <v>0</v>
      </c>
      <c r="D12" s="337"/>
    </row>
    <row r="13" spans="1:4" ht="15" x14ac:dyDescent="0.2">
      <c r="A13" s="36">
        <v>9</v>
      </c>
      <c r="B13" s="44" t="str">
        <f>IF('Entries July 2026'!AJ15-'Entries July 2026'!AJ14&lt;1,"0",'Entries July 2026'!AJ15-'Entries July 2026'!AJ14)</f>
        <v>0</v>
      </c>
      <c r="D13" s="337"/>
    </row>
    <row r="14" spans="1:4" ht="15" x14ac:dyDescent="0.2">
      <c r="A14" s="36">
        <v>10</v>
      </c>
      <c r="B14" s="44" t="str">
        <f>IF('Entries July 2026'!AJ16-'Entries July 2026'!AJ15&lt;1,"0",'Entries July 2026'!AJ16-'Entries July 2026'!AJ15)</f>
        <v>0</v>
      </c>
      <c r="D14" s="337"/>
    </row>
    <row r="15" spans="1:4" ht="15" x14ac:dyDescent="0.2">
      <c r="A15" s="36">
        <v>11</v>
      </c>
      <c r="B15" s="44" t="str">
        <f>IF('Entries July 2026'!AJ17-'Entries July 2026'!AJ16&lt;1,"0",'Entries July 2026'!AJ17-'Entries July 2026'!AJ16)</f>
        <v>0</v>
      </c>
      <c r="D15" s="337"/>
    </row>
    <row r="16" spans="1:4" ht="15" x14ac:dyDescent="0.2">
      <c r="A16" s="36">
        <v>12</v>
      </c>
      <c r="B16" s="44" t="str">
        <f>IF('Entries July 2026'!AJ18-'Entries July 2026'!AJ17&lt;1,"0",'Entries July 2026'!AJ18-'Entries July 2026'!AJ17)</f>
        <v>0</v>
      </c>
      <c r="D16" s="337"/>
    </row>
    <row r="17" spans="1:4" ht="15" x14ac:dyDescent="0.2">
      <c r="A17" s="36">
        <v>13</v>
      </c>
      <c r="B17" s="44" t="str">
        <f>IF('Entries July 2026'!AJ19-'Entries July 2026'!AJ18&lt;1,"0",'Entries July 2026'!AJ19-'Entries July 2026'!AJ18)</f>
        <v>0</v>
      </c>
      <c r="D17" s="337"/>
    </row>
    <row r="18" spans="1:4" ht="15" x14ac:dyDescent="0.2">
      <c r="A18" s="36">
        <v>14</v>
      </c>
      <c r="B18" s="44" t="str">
        <f>IF('Entries July 2026'!AJ20-'Entries July 2026'!AJ19&lt;1,"0",'Entries July 2026'!AJ20-'Entries July 2026'!AJ19)</f>
        <v>0</v>
      </c>
      <c r="D18" s="337"/>
    </row>
    <row r="19" spans="1:4" ht="15" x14ac:dyDescent="0.2">
      <c r="A19" s="36">
        <v>15</v>
      </c>
      <c r="B19" s="44" t="str">
        <f>IF('Entries July 2026'!AJ21-'Entries July 2026'!AJ20&lt;1,"0",'Entries July 2026'!AJ21-'Entries July 2026'!AJ20)</f>
        <v>0</v>
      </c>
      <c r="D19" s="337"/>
    </row>
    <row r="20" spans="1:4" ht="15" x14ac:dyDescent="0.2">
      <c r="A20" s="36">
        <v>16</v>
      </c>
      <c r="B20" s="44" t="str">
        <f>IF('Entries July 2026'!AJ22-'Entries July 2026'!AJ21&lt;1,"0",'Entries July 2026'!AJ22-'Entries July 2026'!AJ21)</f>
        <v>0</v>
      </c>
      <c r="D20" s="337"/>
    </row>
    <row r="21" spans="1:4" ht="15" x14ac:dyDescent="0.2">
      <c r="A21" s="36">
        <v>17</v>
      </c>
      <c r="B21" s="44" t="str">
        <f>IF('Entries July 2026'!AJ23-'Entries July 2026'!AJ22&lt;1,"0",'Entries July 2026'!AJ23-'Entries July 2026'!AJ22)</f>
        <v>0</v>
      </c>
      <c r="D21" s="337"/>
    </row>
    <row r="22" spans="1:4" ht="15" x14ac:dyDescent="0.2">
      <c r="A22" s="36">
        <v>18</v>
      </c>
      <c r="B22" s="44" t="str">
        <f>IF('Entries July 2026'!AJ24-'Entries July 2026'!AJ23&lt;1,"0",'Entries July 2026'!AJ24-'Entries July 2026'!AJ23)</f>
        <v>0</v>
      </c>
      <c r="D22" s="337"/>
    </row>
    <row r="23" spans="1:4" ht="15" x14ac:dyDescent="0.2">
      <c r="A23" s="36">
        <v>19</v>
      </c>
      <c r="B23" s="44" t="str">
        <f>IF('Entries July 2026'!AJ25-'Entries July 2026'!AJ24&lt;1,"0",'Entries July 2026'!AJ25-'Entries July 2026'!AJ24)</f>
        <v>0</v>
      </c>
      <c r="D23" s="337"/>
    </row>
    <row r="24" spans="1:4" ht="15" x14ac:dyDescent="0.2">
      <c r="A24" s="36">
        <v>20</v>
      </c>
      <c r="B24" s="44">
        <f>IF('Entries July 2026'!AJ26-'Entries July 2026'!AJ25&lt;1,"0",'Entries July 2026'!AJ26-'Entries July 2026'!AJ25)</f>
        <v>33.818999999202788</v>
      </c>
      <c r="D24" s="337"/>
    </row>
    <row r="25" spans="1:4" ht="15" x14ac:dyDescent="0.2">
      <c r="A25" s="36">
        <v>21</v>
      </c>
      <c r="B25" s="44" t="str">
        <f>IF('Entries July 2026'!AJ27-'Entries July 2026'!AJ26&lt;1,"0",'Entries July 2026'!AJ27-'Entries July 2026'!AJ26)</f>
        <v>0</v>
      </c>
      <c r="D25" s="337"/>
    </row>
    <row r="26" spans="1:4" ht="15" x14ac:dyDescent="0.2">
      <c r="A26" s="36">
        <v>22</v>
      </c>
      <c r="B26" s="44" t="str">
        <f>IF('Entries July 2026'!AJ28-'Entries July 2026'!AJ27&lt;1,"0",'Entries July 2026'!AJ28-'Entries July 2026'!AJ27)</f>
        <v>0</v>
      </c>
      <c r="D26" s="337"/>
    </row>
    <row r="27" spans="1:4" ht="15" x14ac:dyDescent="0.2">
      <c r="A27" s="36">
        <v>23</v>
      </c>
      <c r="B27" s="44" t="str">
        <f>IF('Entries July 2026'!AJ29-'Entries July 2026'!AJ28&lt;1,"0",'Entries July 2026'!AJ29-'Entries July 2026'!AJ28)</f>
        <v>0</v>
      </c>
      <c r="D27" s="337"/>
    </row>
    <row r="28" spans="1:4" ht="15" x14ac:dyDescent="0.2">
      <c r="A28" s="36">
        <v>24</v>
      </c>
      <c r="B28" s="44" t="str">
        <f>IF('Entries July 2026'!AJ30-'Entries July 2026'!AJ29&lt;1,"0",'Entries July 2026'!AJ30-'Entries July 2026'!AJ29)</f>
        <v>0</v>
      </c>
      <c r="D28" s="337"/>
    </row>
    <row r="29" spans="1:4" ht="15" x14ac:dyDescent="0.2">
      <c r="A29" s="36">
        <v>25</v>
      </c>
      <c r="B29" s="44" t="str">
        <f>IF('Entries July 2026'!AJ31-'Entries July 2026'!AJ30&lt;1,"0",'Entries July 2026'!AJ31-'Entries July 2026'!AJ30)</f>
        <v>0</v>
      </c>
      <c r="D29" s="337"/>
    </row>
    <row r="30" spans="1:4" ht="15" x14ac:dyDescent="0.2">
      <c r="A30" s="36">
        <v>26</v>
      </c>
      <c r="B30" s="44" t="str">
        <f>IF('Entries July 2026'!AJ32-'Entries July 2026'!AJ31&lt;1,"0",'Entries July 2026'!AJ32-'Entries July 2026'!AJ31)</f>
        <v>0</v>
      </c>
      <c r="D30" s="337"/>
    </row>
    <row r="31" spans="1:4" ht="15" x14ac:dyDescent="0.2">
      <c r="A31" s="36">
        <v>27</v>
      </c>
      <c r="B31" s="44" t="str">
        <f>IF('Entries July 2026'!AJ33-'Entries July 2026'!AJ32&lt;1,"0",'Entries July 2026'!AJ33-'Entries July 2026'!AJ32)</f>
        <v>0</v>
      </c>
      <c r="D31" s="337"/>
    </row>
    <row r="32" spans="1:4" ht="15" x14ac:dyDescent="0.2">
      <c r="A32" s="36">
        <v>28</v>
      </c>
      <c r="B32" s="44" t="str">
        <f>IF('Entries July 2026'!AJ34-'Entries July 2026'!AJ33&lt;1,"0",'Entries July 2026'!AJ34-'Entries July 2026'!AJ33)</f>
        <v>0</v>
      </c>
      <c r="D32" s="337"/>
    </row>
    <row r="33" spans="1:2" ht="15" x14ac:dyDescent="0.2">
      <c r="A33" s="36">
        <v>29</v>
      </c>
      <c r="B33" s="44" t="str">
        <f>IF('Entries July 2026'!AJ35-'Entries July 2026'!AJ34&lt;1,"0",'Entries July 2026'!AJ35-'Entries July 2026'!AJ34)</f>
        <v>0</v>
      </c>
    </row>
    <row r="34" spans="1:2" ht="15" x14ac:dyDescent="0.2">
      <c r="A34" s="36">
        <v>30</v>
      </c>
      <c r="B34" s="44" t="str">
        <f>IF('Entries July 2026'!AJ36-'Entries July 2026'!AJ35&lt;1,"0",'Entries July 2026'!AJ36-'Entries July 2026'!AJ35)</f>
        <v>0</v>
      </c>
    </row>
    <row r="35" spans="1:2" ht="15" x14ac:dyDescent="0.2">
      <c r="A35" s="36">
        <v>31</v>
      </c>
      <c r="B35" s="44" t="str">
        <f>IF('Entries July 2026'!AJ37-'Entries July 2026'!AJ36&lt;1,"0",'Entries July 2026'!AJ37-'Entries July 2026'!AJ36)</f>
        <v>0</v>
      </c>
    </row>
    <row r="36" spans="1:2" ht="15.75" x14ac:dyDescent="0.25">
      <c r="A36" s="41"/>
      <c r="B36" s="345">
        <f>SUM(B5:B35)</f>
        <v>589.82299999985844</v>
      </c>
    </row>
    <row r="37" spans="1:2" ht="15" x14ac:dyDescent="0.2">
      <c r="A37" s="8"/>
      <c r="B37" s="8"/>
    </row>
    <row r="38" spans="1:2" ht="15" x14ac:dyDescent="0.2">
      <c r="A38" s="8"/>
      <c r="B38" s="8"/>
    </row>
    <row r="39" spans="1:2" ht="15" x14ac:dyDescent="0.2">
      <c r="A39" s="8"/>
      <c r="B39" s="8"/>
    </row>
  </sheetData>
  <mergeCells count="2">
    <mergeCell ref="A3:A4"/>
    <mergeCell ref="B3:B4"/>
  </mergeCells>
  <pageMargins left="0.75" right="0.75" top="1" bottom="1" header="0.5" footer="0.5"/>
  <pageSetup orientation="portrait" horizontalDpi="4294967294"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ransitionEvaluation="1" codeName="Sheet4">
    <tabColor indexed="17"/>
  </sheetPr>
  <dimension ref="A1:P152"/>
  <sheetViews>
    <sheetView showZeros="0" defaultGridColor="0" topLeftCell="A6" colorId="22" zoomScaleNormal="100" workbookViewId="0">
      <selection activeCell="C47" sqref="C47"/>
    </sheetView>
  </sheetViews>
  <sheetFormatPr defaultColWidth="12.5703125" defaultRowHeight="15" x14ac:dyDescent="0.2"/>
  <cols>
    <col min="1" max="1" width="7.7109375" style="8" customWidth="1"/>
    <col min="2" max="2" width="13.42578125" style="29" bestFit="1" customWidth="1"/>
    <col min="3" max="3" width="14" style="8" customWidth="1"/>
    <col min="4" max="4" width="14.7109375" style="29" customWidth="1"/>
    <col min="5" max="5" width="11.28515625" style="8" bestFit="1" customWidth="1"/>
    <col min="6" max="6" width="11.7109375" style="8" customWidth="1"/>
    <col min="7" max="7" width="9.7109375" style="8" customWidth="1"/>
    <col min="8" max="11" width="13.7109375" style="8" customWidth="1"/>
    <col min="12" max="12" width="12" style="347" customWidth="1"/>
    <col min="13" max="13" width="15.5703125" style="8" bestFit="1" customWidth="1"/>
    <col min="14" max="14" width="12.5703125" style="189"/>
    <col min="15" max="15" width="12.5703125" style="8"/>
    <col min="16" max="16" width="12.5703125" style="343"/>
    <col min="17" max="16384" width="12.5703125" style="8"/>
  </cols>
  <sheetData>
    <row r="1" spans="1:16" ht="15.75" x14ac:dyDescent="0.25">
      <c r="A1" s="900" t="s">
        <v>294</v>
      </c>
      <c r="B1" s="901"/>
      <c r="C1" s="901"/>
      <c r="D1" s="901"/>
      <c r="E1" s="901"/>
      <c r="F1" s="901"/>
      <c r="G1" s="901"/>
      <c r="H1" s="901"/>
      <c r="I1" s="901"/>
      <c r="J1" s="901"/>
      <c r="K1" s="901"/>
      <c r="L1" s="901"/>
      <c r="M1" s="901"/>
    </row>
    <row r="2" spans="1:16" x14ac:dyDescent="0.2">
      <c r="B2" s="8"/>
      <c r="D2" s="8"/>
      <c r="F2" s="9"/>
    </row>
    <row r="3" spans="1:16" ht="15.75" thickBot="1" x14ac:dyDescent="0.25">
      <c r="B3" s="8"/>
      <c r="D3" s="8"/>
      <c r="F3" s="9"/>
    </row>
    <row r="4" spans="1:16" s="73" customFormat="1" ht="15.75" x14ac:dyDescent="0.25">
      <c r="A4" s="906" t="s">
        <v>7</v>
      </c>
      <c r="B4" s="348" t="s">
        <v>27</v>
      </c>
      <c r="C4" s="349" t="s">
        <v>27</v>
      </c>
      <c r="D4" s="349" t="s">
        <v>24</v>
      </c>
      <c r="E4" s="349" t="s">
        <v>24</v>
      </c>
      <c r="F4" s="349" t="s">
        <v>38</v>
      </c>
      <c r="G4" s="349" t="s">
        <v>39</v>
      </c>
      <c r="H4" s="349" t="s">
        <v>40</v>
      </c>
      <c r="I4" s="349" t="s">
        <v>41</v>
      </c>
      <c r="J4" s="349" t="s">
        <v>42</v>
      </c>
      <c r="K4" s="349" t="s">
        <v>43</v>
      </c>
      <c r="L4" s="902" t="s">
        <v>246</v>
      </c>
      <c r="M4" s="904" t="s">
        <v>249</v>
      </c>
      <c r="N4" s="332"/>
      <c r="O4" s="332"/>
      <c r="P4" s="344"/>
    </row>
    <row r="5" spans="1:16" s="73" customFormat="1" ht="16.5" thickBot="1" x14ac:dyDescent="0.3">
      <c r="A5" s="907"/>
      <c r="B5" s="355" t="s">
        <v>44</v>
      </c>
      <c r="C5" s="356" t="s">
        <v>34</v>
      </c>
      <c r="D5" s="356" t="s">
        <v>44</v>
      </c>
      <c r="E5" s="356" t="s">
        <v>34</v>
      </c>
      <c r="F5" s="356" t="s">
        <v>44</v>
      </c>
      <c r="G5" s="356" t="s">
        <v>34</v>
      </c>
      <c r="H5" s="356" t="s">
        <v>45</v>
      </c>
      <c r="I5" s="356" t="s">
        <v>45</v>
      </c>
      <c r="J5" s="356" t="s">
        <v>46</v>
      </c>
      <c r="K5" s="356" t="s">
        <v>47</v>
      </c>
      <c r="L5" s="903"/>
      <c r="M5" s="905"/>
      <c r="N5" s="332"/>
      <c r="O5" s="332"/>
      <c r="P5" s="344"/>
    </row>
    <row r="6" spans="1:16" x14ac:dyDescent="0.2">
      <c r="A6" s="908"/>
      <c r="B6" s="909"/>
      <c r="C6" s="909"/>
      <c r="D6" s="909"/>
      <c r="E6" s="909"/>
      <c r="F6" s="909"/>
      <c r="G6" s="909"/>
      <c r="H6" s="909"/>
      <c r="I6" s="909"/>
      <c r="J6" s="909"/>
      <c r="K6" s="909"/>
      <c r="L6" s="909"/>
      <c r="M6" s="910"/>
      <c r="O6" s="189"/>
      <c r="P6" s="327"/>
    </row>
    <row r="7" spans="1:16" x14ac:dyDescent="0.2">
      <c r="A7" s="744">
        <v>1</v>
      </c>
      <c r="B7" s="755">
        <f>IF('Entries July 2026'!B7-'Entries July 2026'!B6&lt;1,"0",'Entries July 2026'!B7-'Entries July 2026'!B6)</f>
        <v>2840</v>
      </c>
      <c r="C7" s="745">
        <f>IF('Entries July 2026'!F7-'Entries July 2026'!F6&lt;1,"0",'Entries July 2026'!F7-'Entries July 2026'!F6)</f>
        <v>21.100000000000364</v>
      </c>
      <c r="D7" s="745">
        <f>IF('Entries July 2026'!C6=0,0,+'Entries July 2026'!C6-'Entries July 2026'!#REF!)</f>
        <v>0</v>
      </c>
      <c r="E7" s="745" t="str">
        <f>IF('Entries July 2026'!G7-'Entries July 2026'!G6&lt;1,"0",'Entries July 2026'!G7-'Entries July 2026'!G6)</f>
        <v>0</v>
      </c>
      <c r="F7" s="745"/>
      <c r="G7" s="745"/>
      <c r="H7" s="746">
        <f>IF(C7+E7=0,"0", B7/(C7+E7))</f>
        <v>134.59715639810196</v>
      </c>
      <c r="I7" s="746" t="str">
        <f>IF(E7=0,"0", D7/E7)</f>
        <v>0</v>
      </c>
      <c r="J7" s="746" t="str">
        <f>IF(G7=0,"0", F7/G7)</f>
        <v>0</v>
      </c>
      <c r="K7" s="745">
        <f>B7+D7+F7</f>
        <v>2840</v>
      </c>
      <c r="L7" s="756" cm="1">
        <f t="array" ref="L7:L37">IF(TRANSPOSE('Daily KPIs'!B9:AF9)=0,"0",TRANSPOSE('Daily KPIs'!B9:AF9))</f>
        <v>471.86520000000002</v>
      </c>
      <c r="M7" s="350">
        <f>IF(L7=0,"0",(K7/L7))</f>
        <v>6.0186680433310187</v>
      </c>
      <c r="O7" s="326"/>
      <c r="P7" s="326"/>
    </row>
    <row r="8" spans="1:16" x14ac:dyDescent="0.2">
      <c r="A8" s="744">
        <v>2</v>
      </c>
      <c r="B8" s="755">
        <f>IF('Entries July 2026'!B8-'Entries July 2026'!B7&lt;1,"0",'Entries July 2026'!B8-'Entries July 2026'!B7)</f>
        <v>3450</v>
      </c>
      <c r="C8" s="745">
        <f>IF('Entries July 2026'!F8-'Entries July 2026'!F7&lt;1,"0",'Entries July 2026'!F8-'Entries July 2026'!F7)</f>
        <v>21.399999999999636</v>
      </c>
      <c r="D8" s="745">
        <f>IF('Entries July 2026'!C7=0,0,+'Entries July 2026'!C7-'Entries July 2026'!C6)</f>
        <v>0</v>
      </c>
      <c r="E8" s="745" t="str">
        <f>IF('Entries July 2026'!G8-'Entries July 2026'!G7&lt;1,"0",'Entries July 2026'!G8-'Entries July 2026'!G7)</f>
        <v>0</v>
      </c>
      <c r="F8" s="745"/>
      <c r="G8" s="745"/>
      <c r="H8" s="746">
        <f>IF(C8+E8=0,"0", B8/(C8+E8))</f>
        <v>161.21495327103077</v>
      </c>
      <c r="I8" s="746" t="str">
        <f t="shared" ref="I8:I36" si="0">IF(E8=0,"0", D8/E8)</f>
        <v>0</v>
      </c>
      <c r="J8" s="746" t="str">
        <f t="shared" ref="J8:J36" si="1">IF(G8=0,"0", F8/G8)</f>
        <v>0</v>
      </c>
      <c r="K8" s="745">
        <f t="shared" ref="K8:K36" si="2">B8+D8+F8</f>
        <v>3450</v>
      </c>
      <c r="L8" s="747">
        <v>507.36840000000001</v>
      </c>
      <c r="M8" s="350">
        <f t="shared" ref="M8:M36" si="3">IF(L8=0,"0",(K8/L8))</f>
        <v>6.799792813269411</v>
      </c>
      <c r="O8" s="326"/>
      <c r="P8" s="326"/>
    </row>
    <row r="9" spans="1:16" x14ac:dyDescent="0.2">
      <c r="A9" s="744">
        <v>3</v>
      </c>
      <c r="B9" s="755">
        <f>IF('Entries July 2026'!B9-'Entries July 2026'!B8&lt;1,"0",'Entries July 2026'!B9-'Entries July 2026'!B8)</f>
        <v>2990</v>
      </c>
      <c r="C9" s="745">
        <f>IF('Entries July 2026'!F9-'Entries July 2026'!F8&lt;1,"0",'Entries July 2026'!F9-'Entries July 2026'!F8)</f>
        <v>19.900000000001455</v>
      </c>
      <c r="D9" s="745">
        <f>IF('Entries July 2026'!C8=0,0,+'Entries July 2026'!C8-'Entries July 2026'!C7)</f>
        <v>0</v>
      </c>
      <c r="E9" s="745" t="str">
        <f>IF('Entries July 2026'!G9-'Entries July 2026'!G8&lt;1,"0",'Entries July 2026'!G9-'Entries July 2026'!G8)</f>
        <v>0</v>
      </c>
      <c r="F9" s="745"/>
      <c r="G9" s="745"/>
      <c r="H9" s="746">
        <f t="shared" ref="H9:H37" si="4">IF(C9+E9=0,"0", B9/(C9+E9))</f>
        <v>150.25125628139605</v>
      </c>
      <c r="I9" s="746" t="str">
        <f t="shared" si="0"/>
        <v>0</v>
      </c>
      <c r="J9" s="746" t="str">
        <f t="shared" si="1"/>
        <v>0</v>
      </c>
      <c r="K9" s="745">
        <f t="shared" si="2"/>
        <v>2990</v>
      </c>
      <c r="L9" s="747">
        <v>492.096</v>
      </c>
      <c r="M9" s="350">
        <f t="shared" si="3"/>
        <v>6.076050201586682</v>
      </c>
      <c r="O9" s="326"/>
      <c r="P9" s="326"/>
    </row>
    <row r="10" spans="1:16" x14ac:dyDescent="0.2">
      <c r="A10" s="744">
        <v>4</v>
      </c>
      <c r="B10" s="755">
        <f>IF('Entries July 2026'!B10-'Entries July 2026'!B9&lt;1,"0",'Entries July 2026'!B10-'Entries July 2026'!B9)</f>
        <v>940</v>
      </c>
      <c r="C10" s="745">
        <f>IF('Entries July 2026'!F10-'Entries July 2026'!F9&lt;1,"0",'Entries July 2026'!F10-'Entries July 2026'!F9)</f>
        <v>6.6999999999989086</v>
      </c>
      <c r="D10" s="745">
        <f>IF('Entries July 2026'!C11=0,0,+'Entries July 2026'!C11-'Entries July 2026'!C8)</f>
        <v>0</v>
      </c>
      <c r="E10" s="745" t="str">
        <f>IF('Entries July 2026'!G10-'Entries July 2026'!G9&lt;1,"0",'Entries July 2026'!G10-'Entries July 2026'!G9)</f>
        <v>0</v>
      </c>
      <c r="F10" s="745"/>
      <c r="G10" s="745"/>
      <c r="H10" s="746">
        <f t="shared" si="4"/>
        <v>140.29850746270941</v>
      </c>
      <c r="I10" s="746" t="str">
        <f t="shared" si="0"/>
        <v>0</v>
      </c>
      <c r="J10" s="746" t="str">
        <f t="shared" si="1"/>
        <v>0</v>
      </c>
      <c r="K10" s="745">
        <f t="shared" si="2"/>
        <v>940</v>
      </c>
      <c r="L10" s="747" t="str">
        <v>0</v>
      </c>
      <c r="M10" s="350" t="str">
        <f t="shared" si="3"/>
        <v>0</v>
      </c>
      <c r="O10" s="326"/>
      <c r="P10" s="326"/>
    </row>
    <row r="11" spans="1:16" x14ac:dyDescent="0.2">
      <c r="A11" s="761">
        <v>5</v>
      </c>
      <c r="B11" s="755">
        <f>IF('Entries July 2026'!B11-'Entries July 2026'!B10&lt;1,"0",'Entries July 2026'!B11-'Entries July 2026'!B10)</f>
        <v>1480</v>
      </c>
      <c r="C11" s="745">
        <f>IF('Entries July 2026'!F11-'Entries July 2026'!F10&lt;1,"0",'Entries July 2026'!F11-'Entries July 2026'!F10)</f>
        <v>9</v>
      </c>
      <c r="D11" s="745">
        <f>IF('Entries July 2026'!C10=0,0,+'Entries July 2026'!C10-'Entries July 2026'!C11)</f>
        <v>0</v>
      </c>
      <c r="E11" s="745" t="str">
        <f>IF('Entries July 2026'!G11-'Entries July 2026'!G10&lt;1,"0",'Entries July 2026'!G11-'Entries July 2026'!G10)</f>
        <v>0</v>
      </c>
      <c r="F11" s="745"/>
      <c r="G11" s="745"/>
      <c r="H11" s="746">
        <f t="shared" si="4"/>
        <v>164.44444444444446</v>
      </c>
      <c r="I11" s="746" t="str">
        <f t="shared" si="0"/>
        <v>0</v>
      </c>
      <c r="J11" s="746" t="str">
        <f t="shared" si="1"/>
        <v>0</v>
      </c>
      <c r="K11" s="745">
        <f t="shared" si="2"/>
        <v>1480</v>
      </c>
      <c r="L11" s="747" t="str">
        <v>0</v>
      </c>
      <c r="M11" s="684" t="str">
        <f t="shared" si="3"/>
        <v>0</v>
      </c>
      <c r="O11" s="326"/>
      <c r="P11" s="326"/>
    </row>
    <row r="12" spans="1:16" x14ac:dyDescent="0.2">
      <c r="A12" s="762">
        <v>6</v>
      </c>
      <c r="B12" s="763">
        <f>IF('Entries July 2026'!B12-'Entries July 2026'!B11&lt;1,"0",'Entries July 2026'!B12-'Entries July 2026'!B11)</f>
        <v>2410</v>
      </c>
      <c r="C12" s="764">
        <f>IF('Entries July 2026'!F12-'Entries July 2026'!F11&lt;1,"0",'Entries July 2026'!F12-'Entries July 2026'!F11)</f>
        <v>15.399999999999636</v>
      </c>
      <c r="D12" s="764">
        <f>IF('Entries July 2026'!C12=0,0,+'Entries July 2026'!C12-'Entries July 2026'!C10)</f>
        <v>0</v>
      </c>
      <c r="E12" s="764" t="str">
        <f>IF('Entries July 2026'!G12-'Entries July 2026'!G11&lt;1,"0",'Entries July 2026'!G12-'Entries July 2026'!G11)</f>
        <v>0</v>
      </c>
      <c r="F12" s="764"/>
      <c r="G12" s="764"/>
      <c r="H12" s="765">
        <f t="shared" si="4"/>
        <v>156.49350649351018</v>
      </c>
      <c r="I12" s="765" t="str">
        <f t="shared" si="0"/>
        <v>0</v>
      </c>
      <c r="J12" s="765" t="str">
        <f t="shared" si="1"/>
        <v>0</v>
      </c>
      <c r="K12" s="764">
        <f t="shared" si="2"/>
        <v>2410</v>
      </c>
      <c r="L12" s="766">
        <v>410.78399999999999</v>
      </c>
      <c r="M12" s="350">
        <f t="shared" si="3"/>
        <v>5.8668302562904104</v>
      </c>
      <c r="O12" s="326"/>
      <c r="P12" s="326"/>
    </row>
    <row r="13" spans="1:16" x14ac:dyDescent="0.2">
      <c r="A13" s="762">
        <v>7</v>
      </c>
      <c r="B13" s="763">
        <f>IF('Entries July 2026'!B13-'Entries July 2026'!B12&lt;1,"0",'Entries July 2026'!B13-'Entries July 2026'!B12)</f>
        <v>2810</v>
      </c>
      <c r="C13" s="764">
        <f>IF('Entries July 2026'!F13-'Entries July 2026'!F12&lt;1,"0",'Entries July 2026'!F13-'Entries July 2026'!F12)</f>
        <v>19.200000000000728</v>
      </c>
      <c r="D13" s="764">
        <f>IF('Entries July 2026'!C13=0,0,+'Entries July 2026'!C13-'Entries July 2026'!C11)</f>
        <v>0</v>
      </c>
      <c r="E13" s="764" t="str">
        <f>IF('Entries July 2026'!G13-'Entries July 2026'!G12&lt;1,"0",'Entries July 2026'!G13-'Entries July 2026'!G12)</f>
        <v>0</v>
      </c>
      <c r="F13" s="764"/>
      <c r="G13" s="764"/>
      <c r="H13" s="765">
        <f t="shared" si="4"/>
        <v>146.35416666666111</v>
      </c>
      <c r="I13" s="765" t="str">
        <f t="shared" si="0"/>
        <v>0</v>
      </c>
      <c r="J13" s="765" t="str">
        <f t="shared" si="1"/>
        <v>0</v>
      </c>
      <c r="K13" s="764">
        <f t="shared" si="2"/>
        <v>2810</v>
      </c>
      <c r="L13" s="766">
        <v>209.88000000000002</v>
      </c>
      <c r="M13" s="350">
        <f t="shared" si="3"/>
        <v>13.38860301124452</v>
      </c>
      <c r="O13" s="326"/>
      <c r="P13" s="326"/>
    </row>
    <row r="14" spans="1:16" x14ac:dyDescent="0.2">
      <c r="A14" s="744">
        <v>8</v>
      </c>
      <c r="B14" s="755">
        <f>IF('Entries July 2026'!B14-'Entries July 2026'!B13&lt;1,"0",'Entries July 2026'!B14-'Entries July 2026'!B13)</f>
        <v>3510</v>
      </c>
      <c r="C14" s="745">
        <f>IF('Entries July 2026'!F14-'Entries July 2026'!F13&lt;1,"0",'Entries July 2026'!F14-'Entries July 2026'!F13)</f>
        <v>20.200000000000728</v>
      </c>
      <c r="D14" s="745">
        <f>IF('Entries July 2026'!C13=0,0,+'Entries July 2026'!C13-'Entries July 2026'!#REF!)</f>
        <v>0</v>
      </c>
      <c r="E14" s="745" t="str">
        <f>IF('Entries July 2026'!G14-'Entries July 2026'!G13&lt;1,"0",'Entries July 2026'!G14-'Entries July 2026'!G13)</f>
        <v>0</v>
      </c>
      <c r="F14" s="745"/>
      <c r="G14" s="745"/>
      <c r="H14" s="746">
        <f t="shared" si="4"/>
        <v>173.7623762376175</v>
      </c>
      <c r="I14" s="746" t="str">
        <f t="shared" si="0"/>
        <v>0</v>
      </c>
      <c r="J14" s="746" t="str">
        <f t="shared" si="1"/>
        <v>0</v>
      </c>
      <c r="K14" s="745">
        <f t="shared" si="2"/>
        <v>3510</v>
      </c>
      <c r="L14" s="747">
        <v>376.72800000000001</v>
      </c>
      <c r="M14" s="350">
        <f t="shared" si="3"/>
        <v>9.3170669554691976</v>
      </c>
      <c r="O14" s="326"/>
      <c r="P14" s="326"/>
    </row>
    <row r="15" spans="1:16" x14ac:dyDescent="0.2">
      <c r="A15" s="744">
        <v>9</v>
      </c>
      <c r="B15" s="755">
        <f>IF('Entries July 2026'!B15-'Entries July 2026'!B14&lt;1,"0",'Entries July 2026'!B15-'Entries July 2026'!B14)</f>
        <v>2510</v>
      </c>
      <c r="C15" s="745">
        <f>IF('Entries July 2026'!F15-'Entries July 2026'!F14&lt;1,"0",'Entries July 2026'!F15-'Entries July 2026'!F14)</f>
        <v>19.5</v>
      </c>
      <c r="D15" s="745">
        <f>IF('Entries July 2026'!C14=0,0,+'Entries July 2026'!C14-'Entries July 2026'!C13)</f>
        <v>0</v>
      </c>
      <c r="E15" s="745" t="str">
        <f>IF('Entries July 2026'!G15-'Entries July 2026'!G14&lt;1,"0",'Entries July 2026'!G15-'Entries July 2026'!G14)</f>
        <v>0</v>
      </c>
      <c r="F15" s="745"/>
      <c r="G15" s="745"/>
      <c r="H15" s="746">
        <f t="shared" si="4"/>
        <v>128.71794871794873</v>
      </c>
      <c r="I15" s="746" t="str">
        <f t="shared" si="0"/>
        <v>0</v>
      </c>
      <c r="J15" s="746" t="str">
        <f t="shared" si="1"/>
        <v>0</v>
      </c>
      <c r="K15" s="745">
        <f t="shared" si="2"/>
        <v>2510</v>
      </c>
      <c r="L15" s="747">
        <v>322.80600000000004</v>
      </c>
      <c r="M15" s="350">
        <f t="shared" si="3"/>
        <v>7.7755679882034405</v>
      </c>
      <c r="O15" s="326"/>
      <c r="P15" s="326"/>
    </row>
    <row r="16" spans="1:16" x14ac:dyDescent="0.2">
      <c r="A16" s="744">
        <v>10</v>
      </c>
      <c r="B16" s="755">
        <f>IF('Entries July 2026'!B16-'Entries July 2026'!B15&lt;1,"0",'Entries July 2026'!B16-'Entries July 2026'!B15)</f>
        <v>2950</v>
      </c>
      <c r="C16" s="745">
        <f>IF('Entries July 2026'!F16-'Entries July 2026'!F15&lt;1,"0",'Entries July 2026'!F16-'Entries July 2026'!F15)</f>
        <v>18.899999999999636</v>
      </c>
      <c r="D16" s="745">
        <f>IF('Entries July 2026'!C15=0,0,+'Entries July 2026'!C15-'Entries July 2026'!C14)</f>
        <v>0</v>
      </c>
      <c r="E16" s="745" t="str">
        <f>IF('Entries July 2026'!G16-'Entries July 2026'!G15&lt;1,"0",'Entries July 2026'!G16-'Entries July 2026'!G15)</f>
        <v>0</v>
      </c>
      <c r="F16" s="745"/>
      <c r="G16" s="745"/>
      <c r="H16" s="746">
        <f t="shared" si="4"/>
        <v>156.08465608465909</v>
      </c>
      <c r="I16" s="746" t="str">
        <f t="shared" si="0"/>
        <v>0</v>
      </c>
      <c r="J16" s="746" t="str">
        <f t="shared" si="1"/>
        <v>0</v>
      </c>
      <c r="K16" s="745">
        <f t="shared" si="2"/>
        <v>2950</v>
      </c>
      <c r="L16" s="747">
        <v>349.93200000000002</v>
      </c>
      <c r="M16" s="350">
        <f t="shared" si="3"/>
        <v>8.4302092978064298</v>
      </c>
      <c r="O16" s="326"/>
      <c r="P16" s="326"/>
    </row>
    <row r="17" spans="1:16" x14ac:dyDescent="0.2">
      <c r="A17" s="744">
        <v>11</v>
      </c>
      <c r="B17" s="755">
        <f>IF('Entries July 2026'!B17-'Entries July 2026'!B16&lt;1,"0",'Entries July 2026'!B17-'Entries July 2026'!B16)</f>
        <v>2000</v>
      </c>
      <c r="C17" s="745">
        <f>IF('Entries July 2026'!F17-'Entries July 2026'!F16&lt;1,"0",'Entries July 2026'!F17-'Entries July 2026'!F16)</f>
        <v>14.399999999999636</v>
      </c>
      <c r="D17" s="745">
        <f>IF('Entries July 2026'!C16=0,0,+'Entries July 2026'!C16-'Entries July 2026'!C15)</f>
        <v>0</v>
      </c>
      <c r="E17" s="745" t="str">
        <f>IF('Entries July 2026'!G17-'Entries July 2026'!G16&lt;1,"0",'Entries July 2026'!G17-'Entries July 2026'!G16)</f>
        <v>0</v>
      </c>
      <c r="F17" s="745"/>
      <c r="G17" s="745"/>
      <c r="H17" s="746">
        <f t="shared" si="4"/>
        <v>138.88888888889241</v>
      </c>
      <c r="I17" s="746" t="str">
        <f t="shared" si="0"/>
        <v>0</v>
      </c>
      <c r="J17" s="746" t="str">
        <f t="shared" si="1"/>
        <v>0</v>
      </c>
      <c r="K17" s="745">
        <f t="shared" si="2"/>
        <v>2000</v>
      </c>
      <c r="L17" s="747" t="str">
        <v>0</v>
      </c>
      <c r="M17" s="350" t="str">
        <f t="shared" si="3"/>
        <v>0</v>
      </c>
      <c r="O17" s="326"/>
      <c r="P17" s="326"/>
    </row>
    <row r="18" spans="1:16" x14ac:dyDescent="0.2">
      <c r="A18" s="744">
        <v>12</v>
      </c>
      <c r="B18" s="755">
        <f>IF('Entries July 2026'!B18-'Entries July 2026'!B17&lt;1,"0",'Entries July 2026'!B18-'Entries July 2026'!B17)</f>
        <v>2480</v>
      </c>
      <c r="C18" s="745">
        <f>IF('Entries July 2026'!F18-'Entries July 2026'!F17&lt;1,"0",'Entries July 2026'!F18-'Entries July 2026'!F17)</f>
        <v>19.479999999999563</v>
      </c>
      <c r="D18" s="745">
        <f>IF('Entries July 2026'!C17=0,0,+'Entries July 2026'!C17-'Entries July 2026'!C16)</f>
        <v>0</v>
      </c>
      <c r="E18" s="745" t="str">
        <f>IF('Entries July 2026'!G18-'Entries July 2026'!G17&lt;1,"0",'Entries July 2026'!G18-'Entries July 2026'!G17)</f>
        <v>0</v>
      </c>
      <c r="F18" s="745"/>
      <c r="G18" s="745"/>
      <c r="H18" s="746">
        <f t="shared" si="4"/>
        <v>127.31006160164556</v>
      </c>
      <c r="I18" s="746" t="str">
        <f t="shared" si="0"/>
        <v>0</v>
      </c>
      <c r="J18" s="746" t="str">
        <f t="shared" si="1"/>
        <v>0</v>
      </c>
      <c r="K18" s="745">
        <f t="shared" si="2"/>
        <v>2480</v>
      </c>
      <c r="L18" s="747" t="str">
        <v>0</v>
      </c>
      <c r="M18" s="350" t="str">
        <f t="shared" si="3"/>
        <v>0</v>
      </c>
      <c r="O18" s="326"/>
      <c r="P18" s="326"/>
    </row>
    <row r="19" spans="1:16" x14ac:dyDescent="0.2">
      <c r="A19" s="762">
        <v>13</v>
      </c>
      <c r="B19" s="763">
        <f>IF('Entries July 2026'!B19-'Entries July 2026'!B18&lt;1,"0",'Entries July 2026'!B19-'Entries July 2026'!B18)</f>
        <v>2280</v>
      </c>
      <c r="C19" s="764">
        <f>IF('Entries July 2026'!F19-'Entries July 2026'!F18&lt;1,"0",'Entries July 2026'!F19-'Entries July 2026'!F18)</f>
        <v>16.520000000000437</v>
      </c>
      <c r="D19" s="764">
        <f>IF('Entries July 2026'!C18=0,0,+'Entries July 2026'!C18-'Entries July 2026'!C17)</f>
        <v>0</v>
      </c>
      <c r="E19" s="764" t="str">
        <f>IF('Entries July 2026'!G19-'Entries July 2026'!G18&lt;1,"0",'Entries July 2026'!G19-'Entries July 2026'!G18)</f>
        <v>0</v>
      </c>
      <c r="F19" s="764"/>
      <c r="G19" s="764"/>
      <c r="H19" s="765">
        <f t="shared" si="4"/>
        <v>138.01452784503266</v>
      </c>
      <c r="I19" s="765" t="str">
        <f t="shared" si="0"/>
        <v>0</v>
      </c>
      <c r="J19" s="765" t="str">
        <f t="shared" si="1"/>
        <v>0</v>
      </c>
      <c r="K19" s="764">
        <f t="shared" si="2"/>
        <v>2280</v>
      </c>
      <c r="L19" s="766">
        <v>407.22</v>
      </c>
      <c r="M19" s="350">
        <f t="shared" si="3"/>
        <v>5.5989391483718869</v>
      </c>
      <c r="O19" s="326"/>
      <c r="P19" s="326"/>
    </row>
    <row r="20" spans="1:16" x14ac:dyDescent="0.2">
      <c r="A20" s="762">
        <v>14</v>
      </c>
      <c r="B20" s="763">
        <f>IF('Entries July 2026'!B20-'Entries July 2026'!B19&lt;1,"0",'Entries July 2026'!B20-'Entries July 2026'!B19)</f>
        <v>3620</v>
      </c>
      <c r="C20" s="764">
        <f>IF('Entries July 2026'!F20-'Entries July 2026'!F19&lt;1,"0",'Entries July 2026'!F20-'Entries July 2026'!F19)</f>
        <v>22.100000000000364</v>
      </c>
      <c r="D20" s="764">
        <f>IF('Entries July 2026'!C19=0,0,+'Entries July 2026'!C19-'Entries July 2026'!C18)</f>
        <v>0</v>
      </c>
      <c r="E20" s="764" t="str">
        <f>IF('Entries July 2026'!G20-'Entries July 2026'!G19&lt;1,"0",'Entries July 2026'!G20-'Entries July 2026'!G19)</f>
        <v>0</v>
      </c>
      <c r="F20" s="764"/>
      <c r="G20" s="764"/>
      <c r="H20" s="765">
        <f t="shared" si="4"/>
        <v>163.80090497737288</v>
      </c>
      <c r="I20" s="765" t="str">
        <f t="shared" si="0"/>
        <v>0</v>
      </c>
      <c r="J20" s="765" t="str">
        <f t="shared" si="1"/>
        <v>0</v>
      </c>
      <c r="K20" s="764">
        <f t="shared" si="2"/>
        <v>3620</v>
      </c>
      <c r="L20" s="766">
        <v>603.57000000000005</v>
      </c>
      <c r="M20" s="350">
        <f t="shared" si="3"/>
        <v>5.9976473317096604</v>
      </c>
      <c r="O20" s="326"/>
      <c r="P20" s="326"/>
    </row>
    <row r="21" spans="1:16" x14ac:dyDescent="0.2">
      <c r="A21" s="744">
        <v>15</v>
      </c>
      <c r="B21" s="755">
        <f>IF('Entries July 2026'!B21-'Entries July 2026'!B20&lt;1,"0",'Entries July 2026'!B21-'Entries July 2026'!B20)</f>
        <v>2990</v>
      </c>
      <c r="C21" s="745">
        <f>IF('Entries July 2026'!F21-'Entries July 2026'!F20&lt;1,"0",'Entries July 2026'!F21-'Entries July 2026'!F20)</f>
        <v>20.799999999999272</v>
      </c>
      <c r="D21" s="745">
        <f>IF('Entries July 2026'!C20=0,0,+'Entries July 2026'!C20-'Entries July 2026'!C19)</f>
        <v>0</v>
      </c>
      <c r="E21" s="745" t="str">
        <f>IF('Entries July 2026'!G21-'Entries July 2026'!G20&lt;1,"0",'Entries July 2026'!G21-'Entries July 2026'!G20)</f>
        <v>0</v>
      </c>
      <c r="F21" s="745"/>
      <c r="G21" s="745"/>
      <c r="H21" s="746">
        <f t="shared" si="4"/>
        <v>143.75000000000503</v>
      </c>
      <c r="I21" s="746" t="str">
        <f t="shared" si="0"/>
        <v>0</v>
      </c>
      <c r="J21" s="746" t="str">
        <f t="shared" si="1"/>
        <v>0</v>
      </c>
      <c r="K21" s="745">
        <f t="shared" si="2"/>
        <v>2990</v>
      </c>
      <c r="L21" s="747">
        <v>387.68400000000003</v>
      </c>
      <c r="M21" s="350">
        <f t="shared" si="3"/>
        <v>7.7124668544484676</v>
      </c>
      <c r="O21" s="326"/>
      <c r="P21" s="326"/>
    </row>
    <row r="22" spans="1:16" x14ac:dyDescent="0.2">
      <c r="A22" s="744">
        <v>16</v>
      </c>
      <c r="B22" s="755">
        <f>IF('Entries July 2026'!B22-'Entries July 2026'!B21&lt;1,"0",'Entries July 2026'!B22-'Entries July 2026'!B21)</f>
        <v>2910</v>
      </c>
      <c r="C22" s="745">
        <f>IF('Entries July 2026'!F22-'Entries July 2026'!F21&lt;1,"0",'Entries July 2026'!F22-'Entries July 2026'!F21)</f>
        <v>18.800000000001091</v>
      </c>
      <c r="D22" s="745">
        <f>IF('Entries July 2026'!C21=0,0,+'Entries July 2026'!C21-'Entries July 2026'!C20)</f>
        <v>0</v>
      </c>
      <c r="E22" s="745" t="str">
        <f>IF('Entries July 2026'!G22-'Entries July 2026'!G21&lt;1,"0",'Entries July 2026'!G22-'Entries July 2026'!G21)</f>
        <v>0</v>
      </c>
      <c r="F22" s="745"/>
      <c r="G22" s="745"/>
      <c r="H22" s="746">
        <f t="shared" si="4"/>
        <v>154.78723404254421</v>
      </c>
      <c r="I22" s="746" t="str">
        <f t="shared" si="0"/>
        <v>0</v>
      </c>
      <c r="J22" s="746" t="str">
        <f t="shared" si="1"/>
        <v>0</v>
      </c>
      <c r="K22" s="745">
        <f t="shared" si="2"/>
        <v>2910</v>
      </c>
      <c r="L22" s="747">
        <v>425.10599999999999</v>
      </c>
      <c r="M22" s="350">
        <f t="shared" si="3"/>
        <v>6.8453515123286897</v>
      </c>
      <c r="O22" s="326"/>
      <c r="P22" s="326"/>
    </row>
    <row r="23" spans="1:16" x14ac:dyDescent="0.2">
      <c r="A23" s="744">
        <v>17</v>
      </c>
      <c r="B23" s="755">
        <f>IF('Entries July 2026'!B23-'Entries July 2026'!B22&lt;1,"0",'Entries July 2026'!B23-'Entries July 2026'!B22)</f>
        <v>2830</v>
      </c>
      <c r="C23" s="745">
        <f>IF('Entries July 2026'!F23-'Entries July 2026'!F22&lt;1,"0",'Entries July 2026'!F23-'Entries July 2026'!F22)</f>
        <v>19.399999999999636</v>
      </c>
      <c r="D23" s="745">
        <f>IF('Entries July 2026'!C22=0,0,+'Entries July 2026'!C22-'Entries July 2026'!C21)</f>
        <v>0</v>
      </c>
      <c r="E23" s="745" t="str">
        <f>IF('Entries July 2026'!G23-'Entries July 2026'!G22&lt;1,"0",'Entries July 2026'!G23-'Entries July 2026'!G22)</f>
        <v>0</v>
      </c>
      <c r="F23" s="745"/>
      <c r="G23" s="745"/>
      <c r="H23" s="746">
        <f t="shared" si="4"/>
        <v>145.87628865979656</v>
      </c>
      <c r="I23" s="746" t="str">
        <f t="shared" si="0"/>
        <v>0</v>
      </c>
      <c r="J23" s="746" t="str">
        <f t="shared" si="1"/>
        <v>0</v>
      </c>
      <c r="K23" s="745">
        <f t="shared" si="2"/>
        <v>2830</v>
      </c>
      <c r="L23" s="747">
        <v>71.94</v>
      </c>
      <c r="M23" s="350">
        <f t="shared" si="3"/>
        <v>39.338337503475117</v>
      </c>
      <c r="O23" s="326"/>
      <c r="P23" s="326"/>
    </row>
    <row r="24" spans="1:16" x14ac:dyDescent="0.2">
      <c r="A24" s="744">
        <v>18</v>
      </c>
      <c r="B24" s="755">
        <f>IF('Entries July 2026'!B24-'Entries July 2026'!B23&lt;1,"0",'Entries July 2026'!B24-'Entries July 2026'!B23)</f>
        <v>840</v>
      </c>
      <c r="C24" s="745">
        <f>IF('Entries July 2026'!F24-'Entries July 2026'!F23&lt;1,"0",'Entries July 2026'!F24-'Entries July 2026'!F23)</f>
        <v>5.7999999999992724</v>
      </c>
      <c r="D24" s="745">
        <f>IF('Entries July 2026'!C23=0,0,+'Entries July 2026'!C23-'Entries July 2026'!C22)</f>
        <v>0</v>
      </c>
      <c r="E24" s="745" t="str">
        <f>IF('Entries July 2026'!G24-'Entries July 2026'!G23&lt;1,"0",'Entries July 2026'!G24-'Entries July 2026'!G23)</f>
        <v>0</v>
      </c>
      <c r="F24" s="745"/>
      <c r="G24" s="745"/>
      <c r="H24" s="746">
        <f t="shared" si="4"/>
        <v>144.82758620691473</v>
      </c>
      <c r="I24" s="746" t="str">
        <f t="shared" si="0"/>
        <v>0</v>
      </c>
      <c r="J24" s="746" t="str">
        <f t="shared" si="1"/>
        <v>0</v>
      </c>
      <c r="K24" s="745">
        <f t="shared" si="2"/>
        <v>840</v>
      </c>
      <c r="L24" s="747" t="str">
        <v>0</v>
      </c>
      <c r="M24" s="350" t="str">
        <f t="shared" si="3"/>
        <v>0</v>
      </c>
      <c r="O24" s="326"/>
      <c r="P24" s="326"/>
    </row>
    <row r="25" spans="1:16" x14ac:dyDescent="0.2">
      <c r="A25" s="744">
        <v>19</v>
      </c>
      <c r="B25" s="755">
        <f>IF('Entries July 2026'!B25-'Entries July 2026'!B24&lt;1,"0",'Entries July 2026'!B25-'Entries July 2026'!B24)</f>
        <v>2010</v>
      </c>
      <c r="C25" s="745">
        <f>IF('Entries July 2026'!F25-'Entries July 2026'!F24&lt;1,"0",'Entries July 2026'!F25-'Entries July 2026'!F24)</f>
        <v>14.300000000001091</v>
      </c>
      <c r="D25" s="745">
        <f>IF('Entries July 2026'!C24=0,0,+'Entries July 2026'!C24-'Entries July 2026'!C23)</f>
        <v>0</v>
      </c>
      <c r="E25" s="745" t="str">
        <f>IF('Entries July 2026'!G25-'Entries July 2026'!G24&lt;1,"0",'Entries July 2026'!G25-'Entries July 2026'!G24)</f>
        <v>0</v>
      </c>
      <c r="F25" s="745"/>
      <c r="G25" s="745"/>
      <c r="H25" s="746">
        <f t="shared" si="4"/>
        <v>140.55944055942985</v>
      </c>
      <c r="I25" s="746" t="str">
        <f t="shared" si="0"/>
        <v>0</v>
      </c>
      <c r="J25" s="746" t="str">
        <f t="shared" si="1"/>
        <v>0</v>
      </c>
      <c r="K25" s="745">
        <f t="shared" si="2"/>
        <v>2010</v>
      </c>
      <c r="L25" s="747" t="str">
        <v>0</v>
      </c>
      <c r="M25" s="350" t="str">
        <f t="shared" si="3"/>
        <v>0</v>
      </c>
      <c r="O25" s="326"/>
      <c r="P25" s="326"/>
    </row>
    <row r="26" spans="1:16" x14ac:dyDescent="0.2">
      <c r="A26" s="762">
        <v>20</v>
      </c>
      <c r="B26" s="763">
        <f>IF('Entries July 2026'!B26-'Entries July 2026'!B25&lt;1,"0",'Entries July 2026'!B26-'Entries July 2026'!B25)</f>
        <v>3320</v>
      </c>
      <c r="C26" s="764">
        <f>IF('Entries July 2026'!F26-'Entries July 2026'!F25&lt;1,"0",'Entries July 2026'!F26-'Entries July 2026'!F25)</f>
        <v>21</v>
      </c>
      <c r="D26" s="764">
        <f>IF('Entries July 2026'!C25=0,0,+'Entries July 2026'!C25-'Entries July 2026'!C24)</f>
        <v>0</v>
      </c>
      <c r="E26" s="764" t="str">
        <f>IF('Entries July 2026'!G26-'Entries July 2026'!G25&lt;1,"0",'Entries July 2026'!G26-'Entries July 2026'!G25)</f>
        <v>0</v>
      </c>
      <c r="F26" s="764"/>
      <c r="G26" s="764"/>
      <c r="H26" s="765">
        <f t="shared" si="4"/>
        <v>158.0952380952381</v>
      </c>
      <c r="I26" s="765" t="str">
        <f t="shared" si="0"/>
        <v>0</v>
      </c>
      <c r="J26" s="765" t="str">
        <f t="shared" si="1"/>
        <v>0</v>
      </c>
      <c r="K26" s="764">
        <f t="shared" si="2"/>
        <v>3320</v>
      </c>
      <c r="L26" s="766">
        <v>406.89000000000004</v>
      </c>
      <c r="M26" s="350">
        <f t="shared" si="3"/>
        <v>8.1594534149278672</v>
      </c>
      <c r="O26" s="326"/>
      <c r="P26" s="326"/>
    </row>
    <row r="27" spans="1:16" x14ac:dyDescent="0.2">
      <c r="A27" s="762">
        <v>21</v>
      </c>
      <c r="B27" s="763">
        <f>IF('Entries July 2026'!B27-'Entries July 2026'!B26&lt;1,"0",'Entries July 2026'!B27-'Entries July 2026'!B26)</f>
        <v>3960</v>
      </c>
      <c r="C27" s="764">
        <f>IF('Entries July 2026'!F27-'Entries July 2026'!F26&lt;1,"0",'Entries July 2026'!F27-'Entries July 2026'!F26)</f>
        <v>23.699999999998909</v>
      </c>
      <c r="D27" s="764">
        <f>IF('Entries July 2026'!C26=0,0,+'Entries July 2026'!C26-'Entries July 2026'!C25)</f>
        <v>0</v>
      </c>
      <c r="E27" s="764" t="str">
        <f>IF('Entries July 2026'!G27-'Entries July 2026'!G26&lt;1,"0",'Entries July 2026'!G27-'Entries July 2026'!G26)</f>
        <v>0</v>
      </c>
      <c r="F27" s="764"/>
      <c r="G27" s="764"/>
      <c r="H27" s="765">
        <f t="shared" si="4"/>
        <v>167.08860759494439</v>
      </c>
      <c r="I27" s="765" t="str">
        <f t="shared" si="0"/>
        <v>0</v>
      </c>
      <c r="J27" s="765" t="str">
        <f t="shared" si="1"/>
        <v>0</v>
      </c>
      <c r="K27" s="764">
        <f t="shared" si="2"/>
        <v>3960</v>
      </c>
      <c r="L27" s="766">
        <v>500.14800000000002</v>
      </c>
      <c r="M27" s="350">
        <f t="shared" si="3"/>
        <v>7.9176563737133803</v>
      </c>
      <c r="O27" s="326"/>
      <c r="P27" s="326"/>
    </row>
    <row r="28" spans="1:16" x14ac:dyDescent="0.2">
      <c r="A28" s="744">
        <v>22</v>
      </c>
      <c r="B28" s="755">
        <f>IF('Entries July 2026'!B28-'Entries July 2026'!B27&lt;1,"0",'Entries July 2026'!B28-'Entries July 2026'!B27)</f>
        <v>2980</v>
      </c>
      <c r="C28" s="745">
        <f>IF('Entries July 2026'!F28-'Entries July 2026'!F27&lt;1,"0",'Entries July 2026'!F28-'Entries July 2026'!F27)</f>
        <v>19.100000000000364</v>
      </c>
      <c r="D28" s="745">
        <f>IF('Entries July 2026'!C27=0,0,+'Entries July 2026'!C27-'Entries July 2026'!C26)</f>
        <v>0</v>
      </c>
      <c r="E28" s="745" t="str">
        <f>IF('Entries July 2026'!G28-'Entries July 2026'!G27&lt;1,"0",'Entries July 2026'!G28-'Entries July 2026'!G27)</f>
        <v>0</v>
      </c>
      <c r="F28" s="745"/>
      <c r="G28" s="745"/>
      <c r="H28" s="746">
        <f t="shared" si="4"/>
        <v>156.020942408374</v>
      </c>
      <c r="I28" s="746" t="str">
        <f t="shared" si="0"/>
        <v>0</v>
      </c>
      <c r="J28" s="746" t="str">
        <f t="shared" si="1"/>
        <v>0</v>
      </c>
      <c r="K28" s="745">
        <f t="shared" si="2"/>
        <v>2980</v>
      </c>
      <c r="L28" s="747">
        <v>202.554</v>
      </c>
      <c r="M28" s="350">
        <f t="shared" si="3"/>
        <v>14.712126149076296</v>
      </c>
      <c r="O28" s="326"/>
      <c r="P28" s="326"/>
    </row>
    <row r="29" spans="1:16" x14ac:dyDescent="0.2">
      <c r="A29" s="744">
        <v>23</v>
      </c>
      <c r="B29" s="755">
        <f>IF('Entries July 2026'!B29-'Entries July 2026'!B28&lt;1,"0",'Entries July 2026'!B29-'Entries July 2026'!B28)</f>
        <v>3230</v>
      </c>
      <c r="C29" s="745">
        <f>IF('Entries July 2026'!F29-'Entries July 2026'!F28&lt;1,"0",'Entries July 2026'!F29-'Entries July 2026'!F28)</f>
        <v>20.399999999999636</v>
      </c>
      <c r="D29" s="745">
        <f>IF('Entries July 2026'!C28=0,0,+'Entries July 2026'!C28-'Entries July 2026'!C27)</f>
        <v>0</v>
      </c>
      <c r="E29" s="745" t="str">
        <f>IF('Entries July 2026'!G29-'Entries July 2026'!G28&lt;1,"0",'Entries July 2026'!G29-'Entries July 2026'!G28)</f>
        <v>0</v>
      </c>
      <c r="F29" s="745"/>
      <c r="G29" s="745"/>
      <c r="H29" s="746">
        <f t="shared" si="4"/>
        <v>158.33333333333616</v>
      </c>
      <c r="I29" s="746" t="str">
        <f t="shared" si="0"/>
        <v>0</v>
      </c>
      <c r="J29" s="746" t="str">
        <f t="shared" si="1"/>
        <v>0</v>
      </c>
      <c r="K29" s="745">
        <f t="shared" si="2"/>
        <v>3230</v>
      </c>
      <c r="L29" s="747">
        <v>258.786</v>
      </c>
      <c r="M29" s="350">
        <f t="shared" si="3"/>
        <v>12.481355251056858</v>
      </c>
      <c r="O29" s="326"/>
      <c r="P29" s="326"/>
    </row>
    <row r="30" spans="1:16" x14ac:dyDescent="0.2">
      <c r="A30" s="744">
        <v>24</v>
      </c>
      <c r="B30" s="755">
        <f>IF('Entries July 2026'!B30-'Entries July 2026'!B29&lt;1,"0",'Entries July 2026'!B30-'Entries July 2026'!B29)</f>
        <v>2840</v>
      </c>
      <c r="C30" s="745">
        <f>IF('Entries July 2026'!F30-'Entries July 2026'!F29&lt;1,"0",'Entries July 2026'!F30-'Entries July 2026'!F29)</f>
        <v>14.800000000001091</v>
      </c>
      <c r="D30" s="745">
        <f>IF('Entries July 2026'!C29=0,0,+'Entries July 2026'!C29-'Entries July 2026'!C28)</f>
        <v>0</v>
      </c>
      <c r="E30" s="745" t="str">
        <f>IF('Entries July 2026'!G30-'Entries July 2026'!G29&lt;1,"0",'Entries July 2026'!G30-'Entries July 2026'!G29)</f>
        <v>0</v>
      </c>
      <c r="F30" s="745"/>
      <c r="G30" s="745"/>
      <c r="H30" s="746">
        <f t="shared" si="4"/>
        <v>191.89189189187775</v>
      </c>
      <c r="I30" s="746" t="str">
        <f t="shared" si="0"/>
        <v>0</v>
      </c>
      <c r="J30" s="746" t="str">
        <f t="shared" si="1"/>
        <v>0</v>
      </c>
      <c r="K30" s="745">
        <f t="shared" si="2"/>
        <v>2840</v>
      </c>
      <c r="L30" s="747">
        <v>91.872</v>
      </c>
      <c r="M30" s="350">
        <f t="shared" si="3"/>
        <v>30.91257401602229</v>
      </c>
      <c r="O30" s="326"/>
      <c r="P30" s="326"/>
    </row>
    <row r="31" spans="1:16" x14ac:dyDescent="0.2">
      <c r="A31" s="744">
        <v>25</v>
      </c>
      <c r="B31" s="755">
        <f>IF('Entries July 2026'!B31-'Entries July 2026'!B30&lt;1,"0",'Entries July 2026'!B31-'Entries July 2026'!B30)</f>
        <v>450</v>
      </c>
      <c r="C31" s="745">
        <f>IF('Entries July 2026'!F31-'Entries July 2026'!F30&lt;1,"0",'Entries July 2026'!F31-'Entries July 2026'!F30)</f>
        <v>7.7999999999992724</v>
      </c>
      <c r="D31" s="745">
        <f>IF('Entries July 2026'!C30=0,0,+'Entries July 2026'!C30-'Entries July 2026'!C29)</f>
        <v>0</v>
      </c>
      <c r="E31" s="745" t="str">
        <f>IF('Entries July 2026'!G31-'Entries July 2026'!G30&lt;1,"0",'Entries July 2026'!G31-'Entries July 2026'!G30)</f>
        <v>0</v>
      </c>
      <c r="F31" s="745"/>
      <c r="G31" s="745"/>
      <c r="H31" s="746">
        <f t="shared" si="4"/>
        <v>57.692307692313072</v>
      </c>
      <c r="I31" s="746" t="str">
        <f t="shared" si="0"/>
        <v>0</v>
      </c>
      <c r="J31" s="746" t="str">
        <f t="shared" si="1"/>
        <v>0</v>
      </c>
      <c r="K31" s="745">
        <f t="shared" si="2"/>
        <v>450</v>
      </c>
      <c r="L31" s="747" t="str">
        <v>0</v>
      </c>
      <c r="M31" s="350" t="str">
        <f t="shared" si="3"/>
        <v>0</v>
      </c>
      <c r="O31" s="326"/>
      <c r="P31" s="326"/>
    </row>
    <row r="32" spans="1:16" x14ac:dyDescent="0.2">
      <c r="A32" s="744">
        <v>26</v>
      </c>
      <c r="B32" s="755">
        <f>IF('Entries July 2026'!B32-'Entries July 2026'!B31&lt;1,"0",'Entries July 2026'!B32-'Entries July 2026'!B31)</f>
        <v>940</v>
      </c>
      <c r="C32" s="745">
        <f>IF('Entries July 2026'!F32-'Entries July 2026'!F31&lt;1,"0",'Entries July 2026'!F32-'Entries July 2026'!F31)</f>
        <v>6.6000000000003638</v>
      </c>
      <c r="D32" s="745">
        <f>IF('Entries July 2026'!C31=0,0,+'Entries July 2026'!C31-'Entries July 2026'!C30)</f>
        <v>0</v>
      </c>
      <c r="E32" s="745" t="str">
        <f>IF('Entries July 2026'!G32-'Entries July 2026'!G31&lt;1,"0",'Entries July 2026'!G32-'Entries July 2026'!G31)</f>
        <v>0</v>
      </c>
      <c r="F32" s="745"/>
      <c r="G32" s="745"/>
      <c r="H32" s="746">
        <f t="shared" si="4"/>
        <v>142.42424242423456</v>
      </c>
      <c r="I32" s="746" t="str">
        <f t="shared" si="0"/>
        <v>0</v>
      </c>
      <c r="J32" s="746" t="str">
        <f t="shared" si="1"/>
        <v>0</v>
      </c>
      <c r="K32" s="745">
        <f t="shared" si="2"/>
        <v>940</v>
      </c>
      <c r="L32" s="747" t="str">
        <v>0</v>
      </c>
      <c r="M32" s="350" t="str">
        <f t="shared" si="3"/>
        <v>0</v>
      </c>
      <c r="O32" s="326"/>
      <c r="P32" s="326"/>
    </row>
    <row r="33" spans="1:16" x14ac:dyDescent="0.2">
      <c r="A33" s="762">
        <v>27</v>
      </c>
      <c r="B33" s="763">
        <f>IF('Entries July 2026'!B33-'Entries July 2026'!B32&lt;1,"0",'Entries July 2026'!B33-'Entries July 2026'!B32)</f>
        <v>2870</v>
      </c>
      <c r="C33" s="764">
        <f>IF('Entries July 2026'!F33-'Entries July 2026'!F32&lt;1,"0",'Entries July 2026'!F33-'Entries July 2026'!F32)</f>
        <v>19.799999999999272</v>
      </c>
      <c r="D33" s="764">
        <f>IF('Entries July 2026'!C32=0,0,+'Entries July 2026'!C32-'Entries July 2026'!C31)</f>
        <v>0</v>
      </c>
      <c r="E33" s="764" t="str">
        <f>IF('Entries July 2026'!G33-'Entries July 2026'!G32&lt;1,"0",'Entries July 2026'!G33-'Entries July 2026'!G32)</f>
        <v>0</v>
      </c>
      <c r="F33" s="764"/>
      <c r="G33" s="764"/>
      <c r="H33" s="765">
        <f t="shared" si="4"/>
        <v>144.94949494950026</v>
      </c>
      <c r="I33" s="765" t="str">
        <f t="shared" si="0"/>
        <v>0</v>
      </c>
      <c r="J33" s="765" t="str">
        <f t="shared" si="1"/>
        <v>0</v>
      </c>
      <c r="K33" s="764">
        <f t="shared" si="2"/>
        <v>2870</v>
      </c>
      <c r="L33" s="766">
        <v>365.97</v>
      </c>
      <c r="M33" s="350">
        <f t="shared" si="3"/>
        <v>7.8421728556985544</v>
      </c>
      <c r="O33" s="326"/>
      <c r="P33" s="326"/>
    </row>
    <row r="34" spans="1:16" x14ac:dyDescent="0.2">
      <c r="A34" s="762">
        <v>28</v>
      </c>
      <c r="B34" s="763">
        <f>IF('Entries July 2026'!B34-'Entries July 2026'!B33&lt;1,"0",'Entries July 2026'!B34-'Entries July 2026'!B33)</f>
        <v>3650</v>
      </c>
      <c r="C34" s="764">
        <f>IF('Entries July 2026'!F34-'Entries July 2026'!F33&lt;1,"0",'Entries July 2026'!F34-'Entries July 2026'!F33)</f>
        <v>21.5</v>
      </c>
      <c r="D34" s="764">
        <f>IF('Entries July 2026'!C33=0,0,+'Entries July 2026'!C33-'Entries July 2026'!C32)</f>
        <v>0</v>
      </c>
      <c r="E34" s="764" t="str">
        <f>IF('Entries July 2026'!G34-'Entries July 2026'!G33&lt;1,"0",'Entries July 2026'!G34-'Entries July 2026'!G33)</f>
        <v>0</v>
      </c>
      <c r="F34" s="764"/>
      <c r="G34" s="764"/>
      <c r="H34" s="765">
        <f t="shared" si="4"/>
        <v>169.76744186046511</v>
      </c>
      <c r="I34" s="765" t="str">
        <f t="shared" si="0"/>
        <v>0</v>
      </c>
      <c r="J34" s="765" t="str">
        <f t="shared" si="1"/>
        <v>0</v>
      </c>
      <c r="K34" s="764">
        <f t="shared" si="2"/>
        <v>3650</v>
      </c>
      <c r="L34" s="766">
        <v>642.048</v>
      </c>
      <c r="M34" s="350">
        <f t="shared" si="3"/>
        <v>5.6849332137161088</v>
      </c>
      <c r="O34" s="326"/>
      <c r="P34" s="326"/>
    </row>
    <row r="35" spans="1:16" x14ac:dyDescent="0.2">
      <c r="A35" s="744">
        <v>29</v>
      </c>
      <c r="B35" s="755">
        <f>IF('Entries July 2026'!B35-'Entries July 2026'!B34&lt;1,"0",'Entries July 2026'!B35-'Entries July 2026'!B34)</f>
        <v>3310</v>
      </c>
      <c r="C35" s="745">
        <f>IF('Entries July 2026'!F35-'Entries July 2026'!F34&lt;1,"0",'Entries July 2026'!F35-'Entries July 2026'!F34)</f>
        <v>21.200000000000728</v>
      </c>
      <c r="D35" s="745"/>
      <c r="E35" s="745" t="str">
        <f>IF('Entries July 2026'!G35-'Entries July 2026'!G34&lt;1,"0",'Entries July 2026'!G35-'Entries July 2026'!G34)</f>
        <v>0</v>
      </c>
      <c r="F35" s="745"/>
      <c r="G35" s="745"/>
      <c r="H35" s="746">
        <f t="shared" si="4"/>
        <v>156.13207547169276</v>
      </c>
      <c r="I35" s="746" t="str">
        <f t="shared" si="0"/>
        <v>0</v>
      </c>
      <c r="J35" s="746" t="str">
        <f t="shared" si="1"/>
        <v>0</v>
      </c>
      <c r="K35" s="745">
        <f t="shared" si="2"/>
        <v>3310</v>
      </c>
      <c r="L35" s="747">
        <v>387.63720000000001</v>
      </c>
      <c r="M35" s="350">
        <f t="shared" si="3"/>
        <v>8.5389121580694525</v>
      </c>
      <c r="O35" s="30"/>
    </row>
    <row r="36" spans="1:16" x14ac:dyDescent="0.2">
      <c r="A36" s="744">
        <v>30</v>
      </c>
      <c r="B36" s="755">
        <f>IF('Entries July 2026'!B36-'Entries July 2026'!B35&lt;1,"0",'Entries July 2026'!B36-'Entries July 2026'!B35)</f>
        <v>3920</v>
      </c>
      <c r="C36" s="745">
        <f>IF('Entries July 2026'!F36-'Entries July 2026'!F35&lt;1,"0",'Entries July 2026'!F36-'Entries July 2026'!F35)</f>
        <v>22.799999999999272</v>
      </c>
      <c r="D36" s="745"/>
      <c r="E36" s="745" t="str">
        <f>IF('Entries July 2026'!G36-'Entries July 2026'!G35&lt;1,"0",'Entries July 2026'!G36-'Entries July 2026'!G35)</f>
        <v>0</v>
      </c>
      <c r="F36" s="745"/>
      <c r="G36" s="745"/>
      <c r="H36" s="746">
        <f t="shared" si="4"/>
        <v>171.92982456140899</v>
      </c>
      <c r="I36" s="746" t="str">
        <f t="shared" si="0"/>
        <v>0</v>
      </c>
      <c r="J36" s="746" t="str">
        <f t="shared" si="1"/>
        <v>0</v>
      </c>
      <c r="K36" s="745">
        <f t="shared" si="2"/>
        <v>3920</v>
      </c>
      <c r="L36" s="747">
        <v>606.86879999999996</v>
      </c>
      <c r="M36" s="350">
        <f t="shared" si="3"/>
        <v>6.4593862792089496</v>
      </c>
      <c r="O36" s="30"/>
    </row>
    <row r="37" spans="1:16" x14ac:dyDescent="0.2">
      <c r="A37" s="762">
        <v>31</v>
      </c>
      <c r="B37" s="763">
        <f>IF('Entries July 2026'!B37-'Entries July 2026'!B36&lt;1,"0",'Entries July 2026'!B37-'Entries July 2026'!B36)</f>
        <v>3050</v>
      </c>
      <c r="C37" s="745">
        <f>IF('Entries July 2026'!F37-'Entries July 2026'!F36&lt;1,"0",'Entries July 2026'!F37-'Entries July 2026'!F36)</f>
        <v>17.800000000001091</v>
      </c>
      <c r="D37" s="764"/>
      <c r="E37" s="764" t="str">
        <f>IF('Entries July 2026'!G37-'Entries July 2026'!G36&lt;1,"0",'Entries July 2026'!G37-'Entries July 2026'!G36)</f>
        <v>0</v>
      </c>
      <c r="F37" s="764"/>
      <c r="G37" s="764"/>
      <c r="H37" s="765">
        <f t="shared" si="4"/>
        <v>171.34831460673107</v>
      </c>
      <c r="I37" s="765" t="str">
        <f>IF(E37=0,"0", D37/E37)</f>
        <v>0</v>
      </c>
      <c r="J37" s="765" t="str">
        <f>IF(G37=0,"0", F37/G37)</f>
        <v>0</v>
      </c>
      <c r="K37" s="764">
        <f>B37+D37+F37</f>
        <v>3050</v>
      </c>
      <c r="L37" s="766">
        <v>498.49800000000005</v>
      </c>
      <c r="M37" s="350"/>
      <c r="O37" s="189"/>
    </row>
    <row r="38" spans="1:16" ht="18.75" thickBot="1" x14ac:dyDescent="0.3">
      <c r="A38" s="46"/>
      <c r="B38" s="389">
        <f t="shared" ref="B38:H38" si="5">SUM(B7:B37)</f>
        <v>82370</v>
      </c>
      <c r="C38" s="389">
        <f t="shared" si="5"/>
        <v>539.40000000000146</v>
      </c>
      <c r="D38" s="389">
        <f t="shared" si="5"/>
        <v>0</v>
      </c>
      <c r="E38" s="389">
        <f t="shared" si="5"/>
        <v>0</v>
      </c>
      <c r="F38" s="389">
        <f t="shared" si="5"/>
        <v>0</v>
      </c>
      <c r="G38" s="389">
        <f t="shared" si="5"/>
        <v>0</v>
      </c>
      <c r="H38" s="389">
        <f t="shared" si="5"/>
        <v>4655.7076197298293</v>
      </c>
      <c r="I38" s="351"/>
      <c r="J38" s="351"/>
      <c r="K38" s="352"/>
      <c r="L38" s="353"/>
      <c r="M38" s="354" t="str">
        <f>IF(L38=0,"0",(K38/L38))</f>
        <v>0</v>
      </c>
      <c r="N38" s="333">
        <v>7.2</v>
      </c>
      <c r="O38" s="334">
        <f>M38/N38*100</f>
        <v>0</v>
      </c>
    </row>
    <row r="39" spans="1:16" ht="16.5" thickBot="1" x14ac:dyDescent="0.3">
      <c r="A39" s="8" t="s">
        <v>262</v>
      </c>
      <c r="B39" s="390">
        <f>AVERAGE(B7:B37)</f>
        <v>2657.0967741935483</v>
      </c>
      <c r="C39" s="391">
        <f>AVERAGE(C7:C37)</f>
        <v>17.400000000000048</v>
      </c>
      <c r="D39" s="30"/>
      <c r="H39" s="357" t="s">
        <v>45</v>
      </c>
    </row>
    <row r="40" spans="1:16" x14ac:dyDescent="0.2">
      <c r="B40" s="8"/>
      <c r="C40" s="42"/>
      <c r="D40" s="30"/>
      <c r="J40" s="8" t="s">
        <v>58</v>
      </c>
    </row>
    <row r="41" spans="1:16" x14ac:dyDescent="0.2">
      <c r="B41" s="8"/>
      <c r="C41" s="42"/>
      <c r="D41" s="30"/>
    </row>
    <row r="42" spans="1:16" x14ac:dyDescent="0.2">
      <c r="B42" s="8"/>
      <c r="C42" s="42"/>
      <c r="D42" s="30"/>
    </row>
    <row r="43" spans="1:16" x14ac:dyDescent="0.2">
      <c r="B43" s="8"/>
      <c r="C43" s="42"/>
      <c r="D43" s="30"/>
    </row>
    <row r="44" spans="1:16" x14ac:dyDescent="0.2">
      <c r="B44" s="8"/>
      <c r="C44" s="42"/>
      <c r="D44" s="30"/>
    </row>
    <row r="45" spans="1:16" x14ac:dyDescent="0.2">
      <c r="B45" s="8"/>
      <c r="C45" s="42"/>
      <c r="D45" s="30"/>
    </row>
    <row r="46" spans="1:16" x14ac:dyDescent="0.2">
      <c r="B46" s="8"/>
      <c r="C46" s="42"/>
      <c r="D46" s="30"/>
    </row>
    <row r="47" spans="1:16" x14ac:dyDescent="0.2">
      <c r="B47" s="8"/>
      <c r="C47" s="42"/>
      <c r="D47" s="30"/>
    </row>
    <row r="48" spans="1:16" x14ac:dyDescent="0.2">
      <c r="B48" s="8"/>
      <c r="C48" s="42"/>
      <c r="D48" s="30"/>
    </row>
    <row r="49" spans="2:4" x14ac:dyDescent="0.2">
      <c r="B49" s="8"/>
      <c r="C49" s="42"/>
      <c r="D49" s="30"/>
    </row>
    <row r="50" spans="2:4" x14ac:dyDescent="0.2">
      <c r="B50" s="8"/>
      <c r="C50" s="42"/>
      <c r="D50" s="30"/>
    </row>
    <row r="51" spans="2:4" x14ac:dyDescent="0.2">
      <c r="B51" s="8"/>
      <c r="C51" s="42"/>
      <c r="D51" s="30"/>
    </row>
    <row r="52" spans="2:4" x14ac:dyDescent="0.2">
      <c r="B52" s="8"/>
      <c r="C52" s="42"/>
      <c r="D52" s="30"/>
    </row>
    <row r="53" spans="2:4" x14ac:dyDescent="0.2">
      <c r="B53" s="8"/>
      <c r="C53" s="42"/>
      <c r="D53" s="30"/>
    </row>
    <row r="54" spans="2:4" x14ac:dyDescent="0.2">
      <c r="B54" s="8"/>
      <c r="C54" s="42"/>
      <c r="D54" s="30"/>
    </row>
    <row r="55" spans="2:4" x14ac:dyDescent="0.2">
      <c r="B55" s="8"/>
      <c r="C55" s="42"/>
      <c r="D55" s="30"/>
    </row>
    <row r="56" spans="2:4" x14ac:dyDescent="0.2">
      <c r="B56" s="8"/>
      <c r="C56" s="42"/>
      <c r="D56" s="30"/>
    </row>
    <row r="57" spans="2:4" x14ac:dyDescent="0.2">
      <c r="B57" s="8"/>
      <c r="C57" s="42"/>
      <c r="D57" s="30"/>
    </row>
    <row r="58" spans="2:4" x14ac:dyDescent="0.2">
      <c r="B58" s="8"/>
      <c r="C58" s="42"/>
      <c r="D58" s="30"/>
    </row>
    <row r="59" spans="2:4" x14ac:dyDescent="0.2">
      <c r="B59" s="8"/>
      <c r="C59" s="42"/>
      <c r="D59" s="30"/>
    </row>
    <row r="60" spans="2:4" x14ac:dyDescent="0.2">
      <c r="B60" s="8"/>
      <c r="C60" s="42"/>
      <c r="D60" s="30"/>
    </row>
    <row r="61" spans="2:4" x14ac:dyDescent="0.2">
      <c r="B61" s="8"/>
      <c r="C61" s="42"/>
      <c r="D61" s="30"/>
    </row>
    <row r="62" spans="2:4" x14ac:dyDescent="0.2">
      <c r="B62" s="8"/>
      <c r="C62" s="42"/>
      <c r="D62" s="30"/>
    </row>
    <row r="63" spans="2:4" x14ac:dyDescent="0.2">
      <c r="B63" s="8"/>
      <c r="C63" s="42"/>
      <c r="D63" s="30"/>
    </row>
    <row r="64" spans="2:4" x14ac:dyDescent="0.2">
      <c r="B64" s="8"/>
      <c r="C64" s="42"/>
      <c r="D64" s="30"/>
    </row>
    <row r="65" spans="2:4" x14ac:dyDescent="0.2">
      <c r="B65" s="8"/>
      <c r="C65" s="42"/>
      <c r="D65" s="30"/>
    </row>
    <row r="66" spans="2:4" x14ac:dyDescent="0.2">
      <c r="B66" s="8"/>
      <c r="C66" s="42"/>
      <c r="D66" s="30"/>
    </row>
    <row r="67" spans="2:4" x14ac:dyDescent="0.2">
      <c r="B67" s="8"/>
      <c r="C67" s="42"/>
      <c r="D67" s="30"/>
    </row>
    <row r="68" spans="2:4" x14ac:dyDescent="0.2">
      <c r="B68" s="8"/>
      <c r="C68" s="42"/>
      <c r="D68" s="30"/>
    </row>
    <row r="69" spans="2:4" x14ac:dyDescent="0.2">
      <c r="B69" s="8"/>
      <c r="C69" s="42"/>
      <c r="D69" s="30"/>
    </row>
    <row r="70" spans="2:4" x14ac:dyDescent="0.2">
      <c r="B70" s="8"/>
      <c r="D70" s="30"/>
    </row>
    <row r="71" spans="2:4" x14ac:dyDescent="0.2">
      <c r="B71" s="8"/>
      <c r="D71" s="8"/>
    </row>
    <row r="72" spans="2:4" x14ac:dyDescent="0.2">
      <c r="B72" s="8"/>
      <c r="D72" s="8"/>
    </row>
    <row r="73" spans="2:4" x14ac:dyDescent="0.2">
      <c r="B73" s="8"/>
      <c r="D73" s="8"/>
    </row>
    <row r="74" spans="2:4" x14ac:dyDescent="0.2">
      <c r="B74" s="8"/>
      <c r="D74" s="8"/>
    </row>
    <row r="75" spans="2:4" x14ac:dyDescent="0.2">
      <c r="B75" s="8"/>
      <c r="D75" s="8"/>
    </row>
    <row r="76" spans="2:4" x14ac:dyDescent="0.2">
      <c r="B76" s="8"/>
      <c r="D76" s="8"/>
    </row>
    <row r="77" spans="2:4" x14ac:dyDescent="0.2">
      <c r="B77" s="8"/>
      <c r="D77" s="8"/>
    </row>
    <row r="78" spans="2:4" x14ac:dyDescent="0.2">
      <c r="B78" s="8"/>
      <c r="D78" s="8"/>
    </row>
    <row r="79" spans="2:4" x14ac:dyDescent="0.2">
      <c r="B79" s="8"/>
      <c r="D79" s="8"/>
    </row>
    <row r="80" spans="2:4" x14ac:dyDescent="0.2">
      <c r="B80" s="8"/>
      <c r="D80" s="8"/>
    </row>
    <row r="81" spans="2:4" x14ac:dyDescent="0.2">
      <c r="B81" s="8"/>
      <c r="D81" s="8"/>
    </row>
    <row r="82" spans="2:4" x14ac:dyDescent="0.2">
      <c r="B82" s="8"/>
      <c r="D82" s="8"/>
    </row>
    <row r="83" spans="2:4" x14ac:dyDescent="0.2">
      <c r="B83" s="8"/>
      <c r="D83" s="8"/>
    </row>
    <row r="84" spans="2:4" x14ac:dyDescent="0.2">
      <c r="B84" s="8"/>
      <c r="D84" s="8"/>
    </row>
    <row r="85" spans="2:4" x14ac:dyDescent="0.2">
      <c r="B85" s="8"/>
      <c r="D85" s="8"/>
    </row>
    <row r="86" spans="2:4" x14ac:dyDescent="0.2">
      <c r="B86" s="8"/>
      <c r="D86" s="8"/>
    </row>
    <row r="87" spans="2:4" x14ac:dyDescent="0.2">
      <c r="B87" s="8"/>
      <c r="D87" s="8"/>
    </row>
    <row r="88" spans="2:4" x14ac:dyDescent="0.2">
      <c r="B88" s="8"/>
      <c r="D88" s="8"/>
    </row>
    <row r="89" spans="2:4" x14ac:dyDescent="0.2">
      <c r="B89" s="8"/>
      <c r="D89" s="8"/>
    </row>
    <row r="90" spans="2:4" x14ac:dyDescent="0.2">
      <c r="B90" s="8"/>
      <c r="D90" s="8"/>
    </row>
    <row r="91" spans="2:4" x14ac:dyDescent="0.2">
      <c r="B91" s="8"/>
      <c r="D91" s="8"/>
    </row>
    <row r="92" spans="2:4" x14ac:dyDescent="0.2">
      <c r="B92" s="8"/>
      <c r="D92" s="8"/>
    </row>
    <row r="93" spans="2:4" x14ac:dyDescent="0.2">
      <c r="B93" s="8"/>
      <c r="D93" s="8"/>
    </row>
    <row r="94" spans="2:4" x14ac:dyDescent="0.2">
      <c r="B94" s="8"/>
      <c r="D94" s="8"/>
    </row>
    <row r="95" spans="2:4" x14ac:dyDescent="0.2">
      <c r="B95" s="8"/>
      <c r="D95" s="8"/>
    </row>
    <row r="96" spans="2:4" x14ac:dyDescent="0.2">
      <c r="B96" s="8"/>
      <c r="D96" s="8"/>
    </row>
    <row r="97" spans="2:4" x14ac:dyDescent="0.2">
      <c r="B97" s="8"/>
      <c r="D97" s="8"/>
    </row>
    <row r="98" spans="2:4" x14ac:dyDescent="0.2">
      <c r="B98" s="8"/>
      <c r="D98" s="8"/>
    </row>
    <row r="99" spans="2:4" x14ac:dyDescent="0.2">
      <c r="B99" s="8"/>
      <c r="D99" s="8"/>
    </row>
    <row r="100" spans="2:4" x14ac:dyDescent="0.2">
      <c r="B100" s="8"/>
      <c r="D100" s="8"/>
    </row>
    <row r="101" spans="2:4" x14ac:dyDescent="0.2">
      <c r="B101" s="8"/>
      <c r="D101" s="8"/>
    </row>
    <row r="102" spans="2:4" x14ac:dyDescent="0.2">
      <c r="B102" s="8"/>
      <c r="D102" s="8"/>
    </row>
    <row r="103" spans="2:4" x14ac:dyDescent="0.2">
      <c r="B103" s="8"/>
      <c r="D103" s="8"/>
    </row>
    <row r="104" spans="2:4" x14ac:dyDescent="0.2">
      <c r="B104" s="8"/>
      <c r="D104" s="8"/>
    </row>
    <row r="105" spans="2:4" x14ac:dyDescent="0.2">
      <c r="B105" s="8"/>
      <c r="D105" s="8"/>
    </row>
    <row r="106" spans="2:4" x14ac:dyDescent="0.2">
      <c r="B106" s="8"/>
      <c r="D106" s="8"/>
    </row>
    <row r="107" spans="2:4" x14ac:dyDescent="0.2">
      <c r="B107" s="8"/>
      <c r="D107" s="8"/>
    </row>
    <row r="108" spans="2:4" x14ac:dyDescent="0.2">
      <c r="B108" s="8"/>
      <c r="D108" s="8"/>
    </row>
    <row r="109" spans="2:4" x14ac:dyDescent="0.2">
      <c r="B109" s="8"/>
      <c r="D109" s="8"/>
    </row>
    <row r="110" spans="2:4" x14ac:dyDescent="0.2">
      <c r="B110" s="8"/>
      <c r="D110" s="8"/>
    </row>
    <row r="111" spans="2:4" x14ac:dyDescent="0.2">
      <c r="B111" s="8"/>
      <c r="D111" s="8"/>
    </row>
    <row r="112" spans="2:4" x14ac:dyDescent="0.2">
      <c r="B112" s="8"/>
      <c r="D112" s="8"/>
    </row>
    <row r="113" spans="2:4" x14ac:dyDescent="0.2">
      <c r="B113" s="8"/>
      <c r="D113" s="8"/>
    </row>
    <row r="114" spans="2:4" x14ac:dyDescent="0.2">
      <c r="B114" s="8"/>
      <c r="D114" s="8"/>
    </row>
    <row r="115" spans="2:4" x14ac:dyDescent="0.2">
      <c r="B115" s="8"/>
      <c r="D115" s="8"/>
    </row>
    <row r="116" spans="2:4" x14ac:dyDescent="0.2">
      <c r="B116" s="8"/>
      <c r="D116" s="8"/>
    </row>
    <row r="117" spans="2:4" x14ac:dyDescent="0.2">
      <c r="B117" s="8"/>
      <c r="D117" s="8"/>
    </row>
    <row r="118" spans="2:4" x14ac:dyDescent="0.2">
      <c r="B118" s="8"/>
      <c r="D118" s="8"/>
    </row>
    <row r="119" spans="2:4" x14ac:dyDescent="0.2">
      <c r="B119" s="8"/>
      <c r="D119" s="8"/>
    </row>
    <row r="120" spans="2:4" x14ac:dyDescent="0.2">
      <c r="B120" s="8"/>
      <c r="D120" s="8"/>
    </row>
    <row r="121" spans="2:4" x14ac:dyDescent="0.2">
      <c r="B121" s="8"/>
      <c r="D121" s="8"/>
    </row>
    <row r="122" spans="2:4" x14ac:dyDescent="0.2">
      <c r="B122" s="8"/>
      <c r="D122" s="8"/>
    </row>
    <row r="123" spans="2:4" x14ac:dyDescent="0.2">
      <c r="B123" s="8"/>
      <c r="D123" s="8"/>
    </row>
    <row r="124" spans="2:4" x14ac:dyDescent="0.2">
      <c r="B124" s="8"/>
      <c r="D124" s="8"/>
    </row>
    <row r="125" spans="2:4" x14ac:dyDescent="0.2">
      <c r="B125" s="8"/>
      <c r="D125" s="8"/>
    </row>
    <row r="126" spans="2:4" x14ac:dyDescent="0.2">
      <c r="B126" s="8"/>
      <c r="D126" s="8"/>
    </row>
    <row r="127" spans="2:4" x14ac:dyDescent="0.2">
      <c r="B127" s="8"/>
      <c r="D127" s="8"/>
    </row>
    <row r="128" spans="2:4" x14ac:dyDescent="0.2">
      <c r="B128" s="8"/>
      <c r="D128" s="8"/>
    </row>
    <row r="129" spans="2:4" x14ac:dyDescent="0.2">
      <c r="B129" s="8"/>
      <c r="D129" s="8"/>
    </row>
    <row r="130" spans="2:4" x14ac:dyDescent="0.2">
      <c r="B130" s="8"/>
      <c r="D130" s="8"/>
    </row>
    <row r="131" spans="2:4" x14ac:dyDescent="0.2">
      <c r="B131" s="8"/>
      <c r="D131" s="8"/>
    </row>
    <row r="132" spans="2:4" x14ac:dyDescent="0.2">
      <c r="B132" s="8"/>
      <c r="D132" s="8"/>
    </row>
    <row r="133" spans="2:4" x14ac:dyDescent="0.2">
      <c r="B133" s="8"/>
      <c r="D133" s="8"/>
    </row>
    <row r="134" spans="2:4" x14ac:dyDescent="0.2">
      <c r="B134" s="8"/>
      <c r="D134" s="8"/>
    </row>
    <row r="135" spans="2:4" x14ac:dyDescent="0.2">
      <c r="B135" s="8"/>
      <c r="D135" s="8"/>
    </row>
    <row r="136" spans="2:4" x14ac:dyDescent="0.2">
      <c r="B136" s="8"/>
      <c r="D136" s="8"/>
    </row>
    <row r="137" spans="2:4" x14ac:dyDescent="0.2">
      <c r="B137" s="8"/>
      <c r="D137" s="8"/>
    </row>
    <row r="138" spans="2:4" x14ac:dyDescent="0.2">
      <c r="B138" s="8"/>
      <c r="D138" s="8"/>
    </row>
    <row r="139" spans="2:4" x14ac:dyDescent="0.2">
      <c r="B139" s="8"/>
      <c r="D139" s="8"/>
    </row>
    <row r="140" spans="2:4" x14ac:dyDescent="0.2">
      <c r="B140" s="8"/>
      <c r="D140" s="8"/>
    </row>
    <row r="141" spans="2:4" x14ac:dyDescent="0.2">
      <c r="B141" s="8"/>
      <c r="D141" s="8"/>
    </row>
    <row r="142" spans="2:4" x14ac:dyDescent="0.2">
      <c r="B142" s="8"/>
      <c r="D142" s="8"/>
    </row>
    <row r="143" spans="2:4" x14ac:dyDescent="0.2">
      <c r="B143" s="8"/>
      <c r="D143" s="8"/>
    </row>
    <row r="144" spans="2:4" x14ac:dyDescent="0.2">
      <c r="B144" s="8"/>
      <c r="D144" s="8"/>
    </row>
    <row r="145" spans="2:4" x14ac:dyDescent="0.2">
      <c r="B145" s="8"/>
      <c r="D145" s="8"/>
    </row>
    <row r="146" spans="2:4" x14ac:dyDescent="0.2">
      <c r="B146" s="8"/>
      <c r="D146" s="8"/>
    </row>
    <row r="147" spans="2:4" x14ac:dyDescent="0.2">
      <c r="B147" s="8"/>
      <c r="D147" s="8"/>
    </row>
    <row r="148" spans="2:4" x14ac:dyDescent="0.2">
      <c r="B148" s="8"/>
      <c r="D148" s="8"/>
    </row>
    <row r="149" spans="2:4" x14ac:dyDescent="0.2">
      <c r="B149" s="8"/>
      <c r="D149" s="8"/>
    </row>
    <row r="150" spans="2:4" x14ac:dyDescent="0.2">
      <c r="B150" s="8"/>
      <c r="D150" s="8"/>
    </row>
    <row r="151" spans="2:4" x14ac:dyDescent="0.2">
      <c r="B151" s="8"/>
      <c r="D151" s="8"/>
    </row>
    <row r="152" spans="2:4" x14ac:dyDescent="0.2">
      <c r="B152" s="8"/>
      <c r="D152" s="8"/>
    </row>
  </sheetData>
  <mergeCells count="5">
    <mergeCell ref="A1:M1"/>
    <mergeCell ref="L4:L5"/>
    <mergeCell ref="M4:M5"/>
    <mergeCell ref="A4:A5"/>
    <mergeCell ref="A6:M6"/>
  </mergeCells>
  <phoneticPr fontId="0" type="noConversion"/>
  <conditionalFormatting sqref="C7:C37">
    <cfRule type="cellIs" dxfId="51" priority="1" operator="greaterThan">
      <formula>24</formula>
    </cfRule>
  </conditionalFormatting>
  <conditionalFormatting sqref="M7:M37">
    <cfRule type="cellIs" dxfId="50" priority="3" operator="greaterThan">
      <formula>7.2</formula>
    </cfRule>
    <cfRule type="cellIs" dxfId="49" priority="4" operator="greaterThan">
      <formula>7.2</formula>
    </cfRule>
    <cfRule type="cellIs" dxfId="48" priority="5" operator="between">
      <formula>0</formula>
      <formula>7.2</formula>
    </cfRule>
    <cfRule type="cellIs" dxfId="47" priority="7" operator="lessThan">
      <formula>7.2</formula>
    </cfRule>
  </conditionalFormatting>
  <conditionalFormatting sqref="M7:M38">
    <cfRule type="cellIs" dxfId="46" priority="2" operator="greaterThan">
      <formula>7.2</formula>
    </cfRule>
  </conditionalFormatting>
  <pageMargins left="0.25" right="0.25" top="0.25" bottom="0.25" header="0.5" footer="0.5"/>
  <pageSetup scale="72" orientation="landscape"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ransitionEvaluation="1" codeName="Sheet6">
    <tabColor indexed="12"/>
  </sheetPr>
  <dimension ref="A1:AJ105"/>
  <sheetViews>
    <sheetView showGridLines="0" showZeros="0" defaultGridColor="0" colorId="22" zoomScale="80" workbookViewId="0">
      <pane xSplit="2" ySplit="1" topLeftCell="M2" activePane="bottomRight" state="frozen"/>
      <selection pane="topRight" activeCell="C1" sqref="C1"/>
      <selection pane="bottomLeft" activeCell="A2" sqref="A2"/>
      <selection pane="bottomRight" activeCell="B34" sqref="B34:B37"/>
    </sheetView>
  </sheetViews>
  <sheetFormatPr defaultColWidth="12.5703125" defaultRowHeight="15" x14ac:dyDescent="0.2"/>
  <cols>
    <col min="1" max="1" width="14.5703125" style="8" customWidth="1"/>
    <col min="2" max="2" width="12.5703125" style="8"/>
    <col min="3" max="3" width="16.7109375" style="8" customWidth="1"/>
    <col min="4" max="6" width="16.42578125" style="8" customWidth="1"/>
    <col min="7" max="10" width="18.7109375" style="8" customWidth="1"/>
    <col min="11" max="11" width="19.7109375" style="8" customWidth="1"/>
    <col min="12" max="16" width="18.7109375" style="8" customWidth="1"/>
    <col min="17" max="17" width="19.42578125" style="8" customWidth="1"/>
    <col min="18" max="18" width="14.5703125" style="8" customWidth="1"/>
    <col min="19" max="24" width="20.28515625" style="8" customWidth="1"/>
    <col min="25" max="25" width="17.7109375" style="8" customWidth="1"/>
    <col min="26" max="26" width="17.7109375" style="189" customWidth="1"/>
    <col min="27" max="29" width="12.5703125" style="8"/>
    <col min="30" max="30" width="12.42578125" style="8" customWidth="1"/>
    <col min="31" max="16384" width="12.5703125" style="8"/>
  </cols>
  <sheetData>
    <row r="1" spans="1:31" ht="15.75" x14ac:dyDescent="0.25">
      <c r="A1" s="900"/>
      <c r="B1" s="901"/>
      <c r="C1" s="901"/>
      <c r="D1" s="901"/>
      <c r="E1" s="901"/>
      <c r="F1" s="901"/>
      <c r="G1" s="901"/>
      <c r="H1" s="901"/>
      <c r="I1" s="901"/>
      <c r="J1" s="901"/>
      <c r="K1" s="901"/>
      <c r="L1" s="901"/>
      <c r="M1" s="901"/>
      <c r="N1" s="901"/>
      <c r="O1" s="901"/>
      <c r="P1" s="901"/>
      <c r="Q1" s="901"/>
      <c r="R1" s="901"/>
      <c r="S1" s="901"/>
      <c r="T1" s="901"/>
      <c r="U1" s="901"/>
      <c r="V1" s="901"/>
      <c r="W1" s="901"/>
      <c r="X1" s="901"/>
      <c r="Y1" s="901"/>
      <c r="Z1" s="901"/>
      <c r="AA1" s="901"/>
    </row>
    <row r="2" spans="1:31" x14ac:dyDescent="0.2">
      <c r="C2" s="17"/>
    </row>
    <row r="3" spans="1:31" ht="4.5" customHeight="1" thickBot="1" x14ac:dyDescent="0.25"/>
    <row r="4" spans="1:31" ht="15.75" customHeight="1" x14ac:dyDescent="0.2">
      <c r="B4" s="923" t="s">
        <v>7</v>
      </c>
      <c r="C4" s="915" t="s">
        <v>108</v>
      </c>
      <c r="D4" s="920" t="s">
        <v>109</v>
      </c>
      <c r="E4" s="915" t="s">
        <v>110</v>
      </c>
      <c r="F4" s="920" t="s">
        <v>242</v>
      </c>
      <c r="G4" s="920" t="s">
        <v>111</v>
      </c>
      <c r="H4" s="920" t="s">
        <v>164</v>
      </c>
      <c r="I4" s="915" t="s">
        <v>210</v>
      </c>
      <c r="J4" s="915" t="s">
        <v>112</v>
      </c>
      <c r="K4" s="915" t="s">
        <v>177</v>
      </c>
      <c r="L4" s="915" t="s">
        <v>176</v>
      </c>
      <c r="M4" s="915" t="s">
        <v>106</v>
      </c>
      <c r="N4" s="48"/>
      <c r="O4" s="48"/>
      <c r="P4" s="48"/>
      <c r="Q4" s="48"/>
      <c r="R4" s="920" t="s">
        <v>113</v>
      </c>
      <c r="S4" s="920" t="s">
        <v>243</v>
      </c>
      <c r="T4" s="48"/>
      <c r="U4" s="915" t="s">
        <v>156</v>
      </c>
      <c r="V4" s="48"/>
      <c r="W4" s="48"/>
      <c r="X4" s="915" t="s">
        <v>178</v>
      </c>
      <c r="Y4" s="915" t="s">
        <v>179</v>
      </c>
      <c r="Z4" s="913" t="s">
        <v>250</v>
      </c>
      <c r="AA4" s="917" t="s">
        <v>246</v>
      </c>
      <c r="AB4" s="911" t="s">
        <v>79</v>
      </c>
    </row>
    <row r="5" spans="1:31" s="293" customFormat="1" ht="47.25" customHeight="1" x14ac:dyDescent="0.2">
      <c r="B5" s="924"/>
      <c r="C5" s="922"/>
      <c r="D5" s="921"/>
      <c r="E5" s="916"/>
      <c r="F5" s="921"/>
      <c r="G5" s="921"/>
      <c r="H5" s="921"/>
      <c r="I5" s="916"/>
      <c r="J5" s="916"/>
      <c r="K5" s="916"/>
      <c r="L5" s="916"/>
      <c r="M5" s="916"/>
      <c r="N5" s="50" t="s">
        <v>114</v>
      </c>
      <c r="O5" s="50" t="s">
        <v>115</v>
      </c>
      <c r="P5" s="50" t="s">
        <v>245</v>
      </c>
      <c r="Q5" s="50" t="s">
        <v>116</v>
      </c>
      <c r="R5" s="921"/>
      <c r="S5" s="921"/>
      <c r="T5" s="49" t="s">
        <v>102</v>
      </c>
      <c r="U5" s="919"/>
      <c r="V5" s="80" t="s">
        <v>159</v>
      </c>
      <c r="W5" s="80" t="s">
        <v>160</v>
      </c>
      <c r="X5" s="916"/>
      <c r="Y5" s="916"/>
      <c r="Z5" s="914"/>
      <c r="AA5" s="918"/>
      <c r="AB5" s="912"/>
    </row>
    <row r="6" spans="1:31" x14ac:dyDescent="0.2">
      <c r="B6" s="21" t="s">
        <v>37</v>
      </c>
      <c r="C6" s="18"/>
      <c r="D6" s="18"/>
      <c r="E6" s="18"/>
      <c r="F6" s="18"/>
      <c r="G6" s="18"/>
      <c r="H6" s="18"/>
      <c r="I6" s="18"/>
      <c r="J6" s="18"/>
      <c r="K6" s="18"/>
      <c r="L6" s="18"/>
      <c r="M6" s="18"/>
      <c r="N6" s="18"/>
      <c r="O6" s="31"/>
      <c r="P6" s="31"/>
      <c r="Q6" s="31"/>
      <c r="R6" s="31"/>
      <c r="S6" s="18"/>
      <c r="T6" s="18"/>
      <c r="U6" s="31"/>
      <c r="V6" s="79"/>
      <c r="W6" s="31"/>
      <c r="X6" s="31"/>
      <c r="Y6" s="31"/>
      <c r="Z6" s="319"/>
      <c r="AA6" s="320"/>
      <c r="AB6" s="321"/>
    </row>
    <row r="7" spans="1:31" x14ac:dyDescent="0.2">
      <c r="B7" s="51">
        <v>1</v>
      </c>
      <c r="C7" s="52" t="str">
        <f>IF('Entries July 2026'!W7-'Entries July 2026'!W6&lt;1,"0",'Entries July 2026'!W7-'Entries July 2026'!W6)</f>
        <v>0</v>
      </c>
      <c r="D7" s="31">
        <f>IF('Entries July 2026'!O7-'Entries July 2026'!O6&lt;1,"0",'Entries July 2026'!O7-'Entries July 2026'!O6)</f>
        <v>266</v>
      </c>
      <c r="E7" s="31">
        <f>IF('Entries July 2026'!P7-'Entries July 2026'!P6&lt;1,"0",'Entries July 2026'!P7-'Entries July 2026'!P6)</f>
        <v>177</v>
      </c>
      <c r="F7" s="31">
        <f>IF('Entries July 2026'!V7-'Entries July 2026'!V6&lt;1,"0",'Entries July 2026'!V7-'Entries July 2026'!V6)</f>
        <v>188</v>
      </c>
      <c r="G7" s="31">
        <f>(D7+E7)-F7</f>
        <v>255</v>
      </c>
      <c r="H7" s="31">
        <f>IF('Entries July 2026'!Q7-'Entries July 2026'!Q6&lt;1,0,'Entries July 2026'!Q7-'Entries July 2026'!Q6)</f>
        <v>218</v>
      </c>
      <c r="I7" s="31">
        <f>IF('Entries July 2026'!AG7-'Entries July 2026'!AG6&lt;1,0,'Entries July 2026'!AG7-'Entries July 2026'!AG6)</f>
        <v>0</v>
      </c>
      <c r="J7" s="31">
        <f>IF('Entries July 2026'!S7-'Entries July 2026'!S6&lt;1,"0",'Entries July 2026'!S7-'Entries July 2026'!S6)</f>
        <v>154</v>
      </c>
      <c r="K7" s="31" t="str">
        <f>IF('Entries July 2026'!R7-'Entries July 2026'!R6&lt;1,"0",'Entries July 2026'!R7-'Entries July 2026'!R6)</f>
        <v>0</v>
      </c>
      <c r="L7" s="31" t="str">
        <f>IF('Entries July 2026'!T7-'Entries July 2026'!T6&lt;1,"0",'Entries July 2026'!T7-'Entries July 2026'!T6)</f>
        <v>0</v>
      </c>
      <c r="M7" s="31">
        <f>IF('Entries July 2026'!U7-'Entries July 2026'!U6&lt;1,"0",'Entries July 2026'!U7-'Entries July 2026'!U6)</f>
        <v>3</v>
      </c>
      <c r="N7" s="31">
        <f>IF('Entries July 2026'!X7-'Entries July 2026'!X6&lt;1,"0",'Entries July 2026'!X7-'Entries July 2026'!X6)</f>
        <v>42</v>
      </c>
      <c r="O7" s="31">
        <f>IF('Entries July 2026'!Y7-'Entries July 2026'!Y6&lt;1,"0",'Entries July 2026'!Y7-'Entries July 2026'!Y6)</f>
        <v>64</v>
      </c>
      <c r="P7" s="31">
        <f>IF('Entries July 2026'!AC7-'Entries July 2026'!AC6&lt;1,"0",'Entries July 2026'!AC7-'Entries July 2026'!AC6)</f>
        <v>19</v>
      </c>
      <c r="Q7" s="31">
        <f>IF('Entries July 2026'!Z7-'Entries July 2026'!Z6&lt;1,"0",'Entries July 2026'!Z7-'Entries July 2026'!Z6)</f>
        <v>15</v>
      </c>
      <c r="R7" s="31" t="str">
        <f>IF(('Entries July 2026'!AA7-'Entries July 2026'!AA6)+('Entries July 2026'!AB7-'Entries July 2026'!AB6)&lt;1,"0",('Entries July 2026'!AA7-'Entries July 2026'!AA6)+('Entries July 2026'!AB7-'Entries July 2026'!AB6))</f>
        <v>0</v>
      </c>
      <c r="S7" s="52">
        <f>(R7+G7)*10</f>
        <v>2550</v>
      </c>
      <c r="T7" s="52">
        <f>O7+N7+M7+L7</f>
        <v>109</v>
      </c>
      <c r="U7" s="31">
        <f>IF('Entries July 2026'!AC7-'Entries July 2026'!AC6&lt;1,"0",'Entries July 2026'!AC7-'Entries July 2026'!AC6)</f>
        <v>19</v>
      </c>
      <c r="V7" s="31" t="str">
        <f>IF('Entries July 2026'!AD7-'Entries July 2026'!AD6&lt;1,"0",'Entries July 2026'!AD7-'Entries July 2026'!AD6)</f>
        <v>0</v>
      </c>
      <c r="W7" s="31" t="str">
        <f>IF('Entries July 2026'!AE7-'Entries July 2026'!AE6&lt;1,"0",'Entries July 2026'!AE7-'Entries July 2026'!AE6)</f>
        <v>0</v>
      </c>
      <c r="X7" s="79" t="str">
        <f>IF('Entries July 2026'!AI7-'Entries July 2026'!AI6&lt;1,"0",'Entries July 2026'!AI7-'Entries July 2026'!AI6)</f>
        <v>0</v>
      </c>
      <c r="Y7" s="79" t="str">
        <f>IF('Entries July 2026'!AH7-'Entries July 2026'!AH6&lt;1,"0",'Entries July 2026'!AH7-'Entries July 2026'!AH6)</f>
        <v>0</v>
      </c>
      <c r="Z7" s="322">
        <f>C7+D7+E7</f>
        <v>443</v>
      </c>
      <c r="AA7" s="323" cm="1">
        <f t="array" ref="AA7:AA37">IF(TRANSPOSE('Daily KPIs'!B9:AF9)=0,"0",TRANSPOSE('Daily KPIs'!B9:AF9))</f>
        <v>471.86520000000002</v>
      </c>
      <c r="AB7" s="324">
        <f>IF(AA7=0,"0",(Z7*10/AA7))</f>
        <v>9.3882744478719768</v>
      </c>
    </row>
    <row r="8" spans="1:31" x14ac:dyDescent="0.2">
      <c r="B8" s="51">
        <v>2</v>
      </c>
      <c r="C8" s="52" t="str">
        <f>IF('Entries July 2026'!W8-'Entries July 2026'!W7&lt;1,"0",'Entries July 2026'!W8-'Entries July 2026'!W7)</f>
        <v>0</v>
      </c>
      <c r="D8" s="31">
        <f>IF('Entries July 2026'!O8-'Entries July 2026'!O7&lt;1,"0",'Entries July 2026'!O8-'Entries July 2026'!O7)</f>
        <v>269</v>
      </c>
      <c r="E8" s="31">
        <f>IF('Entries July 2026'!P8-'Entries July 2026'!P7&lt;1,"0",'Entries July 2026'!P8-'Entries July 2026'!P7)</f>
        <v>213</v>
      </c>
      <c r="F8" s="31">
        <f>IF('Entries July 2026'!V8-'Entries July 2026'!V7&lt;1,"0",'Entries July 2026'!V8-'Entries July 2026'!V7)</f>
        <v>220</v>
      </c>
      <c r="G8" s="31">
        <f t="shared" ref="G8:G37" si="0">(D8+E8)-F8</f>
        <v>262</v>
      </c>
      <c r="H8" s="31">
        <f>IF('Entries July 2026'!Q8-'Entries July 2026'!Q7&lt;1,0,'Entries July 2026'!Q8-'Entries July 2026'!Q7)</f>
        <v>247</v>
      </c>
      <c r="I8" s="31">
        <f>IF('Entries July 2026'!AG8-'Entries July 2026'!AG7&lt;1,0,'Entries July 2026'!AG8-'Entries July 2026'!AG7)</f>
        <v>0</v>
      </c>
      <c r="J8" s="31">
        <f>IF('Entries July 2026'!S8-'Entries July 2026'!S7&lt;1,"0",'Entries July 2026'!S8-'Entries July 2026'!S7)</f>
        <v>220</v>
      </c>
      <c r="K8" s="31" t="str">
        <f>IF('Entries July 2026'!R8-'Entries July 2026'!R7&lt;1,"0",'Entries July 2026'!R8-'Entries July 2026'!R7)</f>
        <v>0</v>
      </c>
      <c r="L8" s="31" t="str">
        <f>IF('Entries July 2026'!T8-'Entries July 2026'!T7&lt;1,"0",'Entries July 2026'!T8-'Entries July 2026'!T7)</f>
        <v>0</v>
      </c>
      <c r="M8" s="31">
        <f>IF('Entries July 2026'!U8-'Entries July 2026'!U7&lt;1,"0",'Entries July 2026'!U8-'Entries July 2026'!U7)</f>
        <v>7</v>
      </c>
      <c r="N8" s="31">
        <f>IF('Entries July 2026'!X8-'Entries July 2026'!X7&lt;1,"0",'Entries July 2026'!X8-'Entries July 2026'!X7)</f>
        <v>50</v>
      </c>
      <c r="O8" s="31">
        <f>IF('Entries July 2026'!Y8-'Entries July 2026'!Y7&lt;1,"0",'Entries July 2026'!Y8-'Entries July 2026'!Y7)</f>
        <v>83</v>
      </c>
      <c r="P8" s="31">
        <f>IF('Entries July 2026'!AC8-'Entries July 2026'!AC7&lt;1,"0",'Entries July 2026'!AC8-'Entries July 2026'!AC7)</f>
        <v>30</v>
      </c>
      <c r="Q8" s="31">
        <f>IF('Entries July 2026'!Z8-'Entries July 2026'!Z7&lt;1,"0",'Entries July 2026'!Z8-'Entries July 2026'!Z7)</f>
        <v>18</v>
      </c>
      <c r="R8" s="31" t="str">
        <f>IF(('Entries July 2026'!AA8-'Entries July 2026'!AA7)+('Entries July 2026'!AB8-'Entries July 2026'!AB7)&lt;1,"0",('Entries July 2026'!AA8-'Entries July 2026'!AA7)+('Entries July 2026'!AB8-'Entries July 2026'!AB7))</f>
        <v>0</v>
      </c>
      <c r="S8" s="52">
        <f>(R8+G8)*10</f>
        <v>2620</v>
      </c>
      <c r="T8" s="52">
        <f t="shared" ref="T8:T36" si="1">O8+N8+M8+L8</f>
        <v>140</v>
      </c>
      <c r="U8" s="31">
        <f>IF('Entries July 2026'!AC8-'Entries July 2026'!AC7&lt;1,"0",'Entries July 2026'!AC8-'Entries July 2026'!AC7)</f>
        <v>30</v>
      </c>
      <c r="V8" s="31" t="str">
        <f>IF('Entries July 2026'!AD8-'Entries July 2026'!AD7&lt;1,"0",'Entries July 2026'!AD8-'Entries July 2026'!AD7)</f>
        <v>0</v>
      </c>
      <c r="W8" s="31" t="str">
        <f>IF('Entries July 2026'!AE8-'Entries July 2026'!AE7&lt;1,"0",'Entries July 2026'!AE8-'Entries July 2026'!AE7)</f>
        <v>0</v>
      </c>
      <c r="X8" s="79" t="str">
        <f>IF('Entries July 2026'!AI8-'Entries July 2026'!AI7&lt;1,"0",'Entries July 2026'!AI8-'Entries July 2026'!AI7)</f>
        <v>0</v>
      </c>
      <c r="Y8" s="79" t="str">
        <f>IF('Entries July 2026'!AH8-'Entries July 2026'!AH7&lt;1,"0",'Entries July 2026'!AH8-'Entries July 2026'!AH7)</f>
        <v>0</v>
      </c>
      <c r="Z8" s="322">
        <f t="shared" ref="Z8:Z37" si="2">C8+D8+E8</f>
        <v>482</v>
      </c>
      <c r="AA8" s="323">
        <v>507.36840000000001</v>
      </c>
      <c r="AB8" s="324">
        <f t="shared" ref="AB8:AB36" si="3">IF(AA8=0,"0",(Z8*10/AA8))</f>
        <v>9.5000003941908879</v>
      </c>
    </row>
    <row r="9" spans="1:31" x14ac:dyDescent="0.2">
      <c r="B9" s="51">
        <v>3</v>
      </c>
      <c r="C9" s="52" t="str">
        <f>IF('Entries July 2026'!W9-'Entries July 2026'!W8&lt;1,"0",'Entries July 2026'!W9-'Entries July 2026'!W8)</f>
        <v>0</v>
      </c>
      <c r="D9" s="31">
        <f>IF('Entries July 2026'!O9-'Entries July 2026'!O8&lt;1,"0",'Entries July 2026'!O9-'Entries July 2026'!O8)</f>
        <v>7</v>
      </c>
      <c r="E9" s="31">
        <f>IF('Entries July 2026'!P9-'Entries July 2026'!P8&lt;1,"0",'Entries July 2026'!P9-'Entries July 2026'!P8)</f>
        <v>143</v>
      </c>
      <c r="F9" s="31">
        <f>IF('Entries July 2026'!V9-'Entries July 2026'!V8&lt;1,"0",'Entries July 2026'!V9-'Entries July 2026'!V8)</f>
        <v>149</v>
      </c>
      <c r="G9" s="31">
        <f t="shared" si="0"/>
        <v>1</v>
      </c>
      <c r="H9" s="31">
        <f>IF('Entries July 2026'!Q9-'Entries July 2026'!Q8&lt;1,0,'Entries July 2026'!Q9-'Entries July 2026'!Q8)</f>
        <v>186</v>
      </c>
      <c r="I9" s="31">
        <f>IF('Entries July 2026'!AG9-'Entries July 2026'!AG8&lt;1,0,'Entries July 2026'!AG9-'Entries July 2026'!AG8)</f>
        <v>0</v>
      </c>
      <c r="J9" s="31">
        <f>IF('Entries July 2026'!S9-'Entries July 2026'!S8&lt;1,"0",'Entries July 2026'!S9-'Entries July 2026'!S8)</f>
        <v>140</v>
      </c>
      <c r="K9" s="31" t="str">
        <f>IF('Entries July 2026'!R9-'Entries July 2026'!R8&lt;1,"0",'Entries July 2026'!R9-'Entries July 2026'!R8)</f>
        <v>0</v>
      </c>
      <c r="L9" s="31" t="str">
        <f>IF('Entries July 2026'!T9-'Entries July 2026'!T8&lt;1,"0",'Entries July 2026'!T9-'Entries July 2026'!T8)</f>
        <v>0</v>
      </c>
      <c r="M9" s="31">
        <f>IF('Entries July 2026'!U9-'Entries July 2026'!U8&lt;1,"0",'Entries July 2026'!U9-'Entries July 2026'!U8)</f>
        <v>2</v>
      </c>
      <c r="N9" s="31">
        <f>IF('Entries July 2026'!X9-'Entries July 2026'!X8&lt;1,"0",'Entries July 2026'!X9-'Entries July 2026'!X8)</f>
        <v>19</v>
      </c>
      <c r="O9" s="31">
        <f>IF('Entries July 2026'!Y9-'Entries July 2026'!Y8&lt;1,"0",'Entries July 2026'!Y9-'Entries July 2026'!Y8)</f>
        <v>86</v>
      </c>
      <c r="P9" s="31">
        <f>IF('Entries July 2026'!AC9-'Entries July 2026'!AC8&lt;1,"0",'Entries July 2026'!AC9-'Entries July 2026'!AC8)</f>
        <v>23</v>
      </c>
      <c r="Q9" s="31">
        <f>IF('Entries July 2026'!Z9-'Entries July 2026'!Z8&lt;1,"0",'Entries July 2026'!Z9-'Entries July 2026'!Z8)</f>
        <v>17</v>
      </c>
      <c r="R9" s="31" t="str">
        <f>IF(('Entries July 2026'!AA9-'Entries July 2026'!AA8)+('Entries July 2026'!AB9-'Entries July 2026'!AB8)&lt;1,"0",('Entries July 2026'!AA9-'Entries July 2026'!AA8)+('Entries July 2026'!AB9-'Entries July 2026'!AB8))</f>
        <v>0</v>
      </c>
      <c r="S9" s="52">
        <f t="shared" ref="S9:S37" si="4">(R9+G9)*10</f>
        <v>10</v>
      </c>
      <c r="T9" s="52">
        <f t="shared" si="1"/>
        <v>107</v>
      </c>
      <c r="U9" s="31">
        <f>IF('Entries July 2026'!AC9-'Entries July 2026'!AC8&lt;1,"0",'Entries July 2026'!AC9-'Entries July 2026'!AC8)</f>
        <v>23</v>
      </c>
      <c r="V9" s="31" t="str">
        <f>IF('Entries July 2026'!AD9-'Entries July 2026'!AD8&lt;1,"0",'Entries July 2026'!AD9-'Entries July 2026'!AD8)</f>
        <v>0</v>
      </c>
      <c r="W9" s="31" t="str">
        <f>IF('Entries July 2026'!AE9-'Entries July 2026'!AE8&lt;1,"0",'Entries July 2026'!AE9-'Entries July 2026'!AE8)</f>
        <v>0</v>
      </c>
      <c r="X9" s="79" t="str">
        <f>IF('Entries July 2026'!AI9-'Entries July 2026'!AI8&lt;1,"0",'Entries July 2026'!AI9-'Entries July 2026'!AI8)</f>
        <v>0</v>
      </c>
      <c r="Y9" s="79" t="str">
        <f>IF('Entries July 2026'!AH9-'Entries July 2026'!AH8&lt;1,"0",'Entries July 2026'!AH9-'Entries July 2026'!AH8)</f>
        <v>0</v>
      </c>
      <c r="Z9" s="322">
        <f t="shared" si="2"/>
        <v>150</v>
      </c>
      <c r="AA9" s="323">
        <v>492.096</v>
      </c>
      <c r="AB9" s="324">
        <f t="shared" si="3"/>
        <v>3.0481857198595397</v>
      </c>
    </row>
    <row r="10" spans="1:31" x14ac:dyDescent="0.2">
      <c r="B10" s="697">
        <v>4</v>
      </c>
      <c r="C10" s="698" t="str">
        <f>IF('Entries July 2026'!W10-'Entries July 2026'!W9&lt;1,"0",'Entries July 2026'!W10-'Entries July 2026'!W9)</f>
        <v>0</v>
      </c>
      <c r="D10" s="699">
        <f>IF('Entries July 2026'!O10-'Entries July 2026'!O9&lt;1,"0",'Entries July 2026'!O10-'Entries July 2026'!O9)</f>
        <v>21</v>
      </c>
      <c r="E10" s="699">
        <f>IF('Entries July 2026'!P10-'Entries July 2026'!P9&lt;1,"0",'Entries July 2026'!P10-'Entries July 2026'!P9)</f>
        <v>184</v>
      </c>
      <c r="F10" s="699">
        <f>IF('Entries July 2026'!V10-'Entries July 2026'!V9&lt;1,"0",'Entries July 2026'!V10-'Entries July 2026'!V9)</f>
        <v>194</v>
      </c>
      <c r="G10" s="699">
        <f t="shared" si="0"/>
        <v>11</v>
      </c>
      <c r="H10" s="699">
        <f>IF('Entries July 2026'!Q10-'Entries July 2026'!Q9&lt;1,0,'Entries July 2026'!Q10-'Entries July 2026'!Q9)</f>
        <v>81</v>
      </c>
      <c r="I10" s="699">
        <f>IF('Entries July 2026'!AG10-'Entries July 2026'!AG9&lt;1,0,'Entries July 2026'!AG10-'Entries July 2026'!AG9)</f>
        <v>0</v>
      </c>
      <c r="J10" s="699">
        <f>IF('Entries July 2026'!S10-'Entries July 2026'!S9&lt;1,"0",'Entries July 2026'!S10-'Entries July 2026'!S9)</f>
        <v>64</v>
      </c>
      <c r="K10" s="699" t="str">
        <f>IF('Entries July 2026'!R10-'Entries July 2026'!R9&lt;1,"0",'Entries July 2026'!R10-'Entries July 2026'!R9)</f>
        <v>0</v>
      </c>
      <c r="L10" s="699" t="str">
        <f>IF('Entries July 2026'!T10-'Entries July 2026'!T9&lt;1,"0",'Entries July 2026'!T10-'Entries July 2026'!T9)</f>
        <v>0</v>
      </c>
      <c r="M10" s="699">
        <f>IF('Entries July 2026'!U10-'Entries July 2026'!U9&lt;1,"0",'Entries July 2026'!U10-'Entries July 2026'!U9)</f>
        <v>36</v>
      </c>
      <c r="N10" s="699" t="str">
        <f>IF('Entries July 2026'!X10-'Entries July 2026'!X9&lt;1,"0",'Entries July 2026'!X10-'Entries July 2026'!X9)</f>
        <v>0</v>
      </c>
      <c r="O10" s="699">
        <f>IF('Entries July 2026'!Y10-'Entries July 2026'!Y9&lt;1,"0",'Entries July 2026'!Y10-'Entries July 2026'!Y9)</f>
        <v>5</v>
      </c>
      <c r="P10" s="699" t="str">
        <f>IF('Entries July 2026'!AC10-'Entries July 2026'!AC9&lt;1,"0",'Entries July 2026'!AC10-'Entries July 2026'!AC9)</f>
        <v>0</v>
      </c>
      <c r="Q10" s="699">
        <f>IF('Entries July 2026'!Z10-'Entries July 2026'!Z9&lt;1,"0",'Entries July 2026'!Z10-'Entries July 2026'!Z9)</f>
        <v>6</v>
      </c>
      <c r="R10" s="699" t="str">
        <f>IF(('Entries July 2026'!AA10-'Entries July 2026'!AA9)+('Entries July 2026'!AB10-'Entries July 2026'!AB9)&lt;1,"0",('Entries July 2026'!AA10-'Entries July 2026'!AA9)+('Entries July 2026'!AB10-'Entries July 2026'!AB9))</f>
        <v>0</v>
      </c>
      <c r="S10" s="698">
        <f t="shared" si="4"/>
        <v>110</v>
      </c>
      <c r="T10" s="698">
        <f t="shared" si="1"/>
        <v>41</v>
      </c>
      <c r="U10" s="699" t="str">
        <f>IF('Entries July 2026'!AC10-'Entries July 2026'!AC9&lt;1,"0",'Entries July 2026'!AC10-'Entries July 2026'!AC9)</f>
        <v>0</v>
      </c>
      <c r="V10" s="699" t="str">
        <f>IF('Entries July 2026'!AD10-'Entries July 2026'!AD9&lt;1,"0",'Entries July 2026'!AD10-'Entries July 2026'!AD9)</f>
        <v>0</v>
      </c>
      <c r="W10" s="699" t="str">
        <f>IF('Entries July 2026'!AE10-'Entries July 2026'!AE9&lt;1,"0",'Entries July 2026'!AE10-'Entries July 2026'!AE9)</f>
        <v>0</v>
      </c>
      <c r="X10" s="700" t="str">
        <f>IF('Entries July 2026'!AI10-'Entries July 2026'!AI9&lt;1,"0",'Entries July 2026'!AI10-'Entries July 2026'!AI9)</f>
        <v>0</v>
      </c>
      <c r="Y10" s="700" t="str">
        <f>IF('Entries July 2026'!AH10-'Entries July 2026'!AH9&lt;1,"0",'Entries July 2026'!AH10-'Entries July 2026'!AH9)</f>
        <v>0</v>
      </c>
      <c r="Z10" s="322">
        <f t="shared" si="2"/>
        <v>205</v>
      </c>
      <c r="AA10" s="323" t="str">
        <v>0</v>
      </c>
      <c r="AB10" s="324" t="str">
        <f t="shared" si="3"/>
        <v>0</v>
      </c>
      <c r="AD10" s="8" t="s">
        <v>58</v>
      </c>
    </row>
    <row r="11" spans="1:31" x14ac:dyDescent="0.2">
      <c r="B11" s="697">
        <v>5</v>
      </c>
      <c r="C11" s="698" t="str">
        <f>IF('Entries July 2026'!W11-'Entries July 2026'!W10&lt;1,"0",'Entries July 2026'!W11-'Entries July 2026'!W10)</f>
        <v>0</v>
      </c>
      <c r="D11" s="699">
        <f>IF('Entries July 2026'!O11-'Entries July 2026'!O10&lt;1,"0",'Entries July 2026'!O11-'Entries July 2026'!O10)</f>
        <v>1</v>
      </c>
      <c r="E11" s="699">
        <f>IF('Entries July 2026'!P11-'Entries July 2026'!P10&lt;1,"0",'Entries July 2026'!P11-'Entries July 2026'!P10)</f>
        <v>41</v>
      </c>
      <c r="F11" s="699">
        <f>IF('Entries July 2026'!V11-'Entries July 2026'!V10&lt;1,"0",'Entries July 2026'!V11-'Entries July 2026'!V10)</f>
        <v>42</v>
      </c>
      <c r="G11" s="699">
        <f t="shared" si="0"/>
        <v>0</v>
      </c>
      <c r="H11" s="699">
        <f>IF('Entries July 2026'!Q11-'Entries July 2026'!Q10&lt;1,0,'Entries July 2026'!Q11-'Entries July 2026'!Q10)</f>
        <v>89</v>
      </c>
      <c r="I11" s="699">
        <f>IF('Entries July 2026'!AG11-'Entries July 2026'!AG10&lt;1,0,'Entries July 2026'!AG11-'Entries July 2026'!AG10)</f>
        <v>0</v>
      </c>
      <c r="J11" s="699">
        <f>IF('Entries July 2026'!S11-'Entries July 2026'!S10&lt;1,"0",'Entries July 2026'!S11-'Entries July 2026'!S10)</f>
        <v>7</v>
      </c>
      <c r="K11" s="699" t="str">
        <f>IF('Entries July 2026'!R11-'Entries July 2026'!R10&lt;1,"0",'Entries July 2026'!R11-'Entries July 2026'!R10)</f>
        <v>0</v>
      </c>
      <c r="L11" s="699" t="str">
        <f>IF('Entries July 2026'!T11-'Entries July 2026'!T10&lt;1,"0",'Entries July 2026'!T11-'Entries July 2026'!T10)</f>
        <v>0</v>
      </c>
      <c r="M11" s="699">
        <f>IF('Entries July 2026'!U11-'Entries July 2026'!U10&lt;1,"0",'Entries July 2026'!U11-'Entries July 2026'!U10)</f>
        <v>3</v>
      </c>
      <c r="N11" s="699">
        <f>IF('Entries July 2026'!X11-'Entries July 2026'!X10&lt;1,"0",'Entries July 2026'!X11-'Entries July 2026'!X10)</f>
        <v>1</v>
      </c>
      <c r="O11" s="699">
        <f>IF('Entries July 2026'!Y11-'Entries July 2026'!Y10&lt;1,"0",'Entries July 2026'!Y11-'Entries July 2026'!Y10)</f>
        <v>34</v>
      </c>
      <c r="P11" s="699">
        <f>IF('Entries July 2026'!AC11-'Entries July 2026'!AC10&lt;1,"0",'Entries July 2026'!AC11-'Entries July 2026'!AC10)</f>
        <v>1</v>
      </c>
      <c r="Q11" s="699">
        <f>IF('Entries July 2026'!Z11-'Entries July 2026'!Z10&lt;1,"0",'Entries July 2026'!Z11-'Entries July 2026'!Z10)</f>
        <v>14</v>
      </c>
      <c r="R11" s="699" t="str">
        <f>IF(('Entries July 2026'!AA11-'Entries July 2026'!AA10)+('Entries July 2026'!AB11-'Entries July 2026'!AB10)&lt;1,"0",('Entries July 2026'!AA11-'Entries July 2026'!AA10)+('Entries July 2026'!AB11-'Entries July 2026'!AB10))</f>
        <v>0</v>
      </c>
      <c r="S11" s="698">
        <f t="shared" si="4"/>
        <v>0</v>
      </c>
      <c r="T11" s="698">
        <f t="shared" si="1"/>
        <v>38</v>
      </c>
      <c r="U11" s="699">
        <f>IF('Entries July 2026'!AC11-'Entries July 2026'!AC10&lt;1,"0",'Entries July 2026'!AC11-'Entries July 2026'!AC10)</f>
        <v>1</v>
      </c>
      <c r="V11" s="699" t="str">
        <f>IF('Entries July 2026'!AD11-'Entries July 2026'!AD10&lt;1,"0",'Entries July 2026'!AD11-'Entries July 2026'!AD10)</f>
        <v>0</v>
      </c>
      <c r="W11" s="699" t="str">
        <f>IF('Entries July 2026'!AE11-'Entries July 2026'!AE10&lt;1,"0",'Entries July 2026'!AE11-'Entries July 2026'!AE10)</f>
        <v>0</v>
      </c>
      <c r="X11" s="700" t="str">
        <f>IF('Entries July 2026'!AI11-'Entries July 2026'!AI10&lt;1,"0",'Entries July 2026'!AI11-'Entries July 2026'!AI10)</f>
        <v>0</v>
      </c>
      <c r="Y11" s="700" t="str">
        <f>IF('Entries July 2026'!AH11-'Entries July 2026'!AH10&lt;1,"0",'Entries July 2026'!AH11-'Entries July 2026'!AH10)</f>
        <v>0</v>
      </c>
      <c r="Z11" s="322">
        <f t="shared" si="2"/>
        <v>42</v>
      </c>
      <c r="AA11" s="323" t="str">
        <v>0</v>
      </c>
      <c r="AB11" s="324" t="str">
        <f t="shared" si="3"/>
        <v>0</v>
      </c>
    </row>
    <row r="12" spans="1:31" x14ac:dyDescent="0.2">
      <c r="A12" s="29"/>
      <c r="B12" s="697">
        <v>6</v>
      </c>
      <c r="C12" s="698" t="str">
        <f>IF('Entries July 2026'!W12-'Entries July 2026'!W11&lt;1,"0",'Entries July 2026'!W12-'Entries July 2026'!W11)</f>
        <v>0</v>
      </c>
      <c r="D12" s="699">
        <f>IF('Entries July 2026'!O12-'Entries July 2026'!O11&lt;1,"0",'Entries July 2026'!O12-'Entries July 2026'!O11)</f>
        <v>125</v>
      </c>
      <c r="E12" s="699">
        <f>IF('Entries July 2026'!P12-'Entries July 2026'!P11&lt;1,"0",'Entries July 2026'!P12-'Entries July 2026'!P11)</f>
        <v>188</v>
      </c>
      <c r="F12" s="699">
        <f>IF('Entries July 2026'!V12-'Entries July 2026'!V11&lt;1,"0",'Entries July 2026'!V12-'Entries July 2026'!V11)</f>
        <v>197</v>
      </c>
      <c r="G12" s="699">
        <f t="shared" si="0"/>
        <v>116</v>
      </c>
      <c r="H12" s="699">
        <f>IF('Entries July 2026'!Q12-'Entries July 2026'!Q11&lt;1,0,'Entries July 2026'!Q12-'Entries July 2026'!Q11)</f>
        <v>226</v>
      </c>
      <c r="I12" s="699">
        <f>IF('Entries July 2026'!AG12-'Entries July 2026'!AG11&lt;1,0,'Entries July 2026'!AG12-'Entries July 2026'!AG11)</f>
        <v>0</v>
      </c>
      <c r="J12" s="699">
        <f>IF('Entries July 2026'!S12-'Entries July 2026'!S11&lt;1,"0",'Entries July 2026'!S12-'Entries July 2026'!S11)</f>
        <v>105</v>
      </c>
      <c r="K12" s="699" t="str">
        <f>IF('Entries July 2026'!R12-'Entries July 2026'!R11&lt;1,"0",'Entries July 2026'!R12-'Entries July 2026'!R11)</f>
        <v>0</v>
      </c>
      <c r="L12" s="699" t="str">
        <f>IF('Entries July 2026'!T12-'Entries July 2026'!T11&lt;1,"0",'Entries July 2026'!T12-'Entries July 2026'!T11)</f>
        <v>0</v>
      </c>
      <c r="M12" s="699">
        <f>IF('Entries July 2026'!U12-'Entries July 2026'!U11&lt;1,"0",'Entries July 2026'!U12-'Entries July 2026'!U11)</f>
        <v>6</v>
      </c>
      <c r="N12" s="699">
        <f>IF('Entries July 2026'!X12-'Entries July 2026'!X11&lt;1,"0",'Entries July 2026'!X12-'Entries July 2026'!X11)</f>
        <v>65</v>
      </c>
      <c r="O12" s="699">
        <f>IF('Entries July 2026'!Y12-'Entries July 2026'!Y11&lt;1,"0",'Entries July 2026'!Y12-'Entries July 2026'!Y11)</f>
        <v>76</v>
      </c>
      <c r="P12" s="699">
        <f>IF('Entries July 2026'!AC12-'Entries July 2026'!AC11&lt;1,"0",'Entries July 2026'!AC12-'Entries July 2026'!AC11)</f>
        <v>29</v>
      </c>
      <c r="Q12" s="699">
        <f>IF('Entries July 2026'!Z12-'Entries July 2026'!Z11&lt;1,"0",'Entries July 2026'!Z12-'Entries July 2026'!Z11)</f>
        <v>27</v>
      </c>
      <c r="R12" s="699" t="str">
        <f>IF(('Entries July 2026'!AA12-'Entries July 2026'!AA11)+('Entries July 2026'!AB12-'Entries July 2026'!AB11)&lt;1,"0",('Entries July 2026'!AA12-'Entries July 2026'!AA11)+('Entries July 2026'!AB12-'Entries July 2026'!AB11))</f>
        <v>0</v>
      </c>
      <c r="S12" s="698">
        <f t="shared" si="4"/>
        <v>1160</v>
      </c>
      <c r="T12" s="698">
        <f t="shared" si="1"/>
        <v>147</v>
      </c>
      <c r="U12" s="699">
        <f>IF('Entries July 2026'!AC12-'Entries July 2026'!AC11&lt;1,"0",'Entries July 2026'!AC12-'Entries July 2026'!AC11)</f>
        <v>29</v>
      </c>
      <c r="V12" s="699">
        <f>IF('Entries July 2026'!AD12-'Entries July 2026'!AD11&lt;1,"0",'Entries July 2026'!AD12-'Entries July 2026'!AD11)</f>
        <v>3</v>
      </c>
      <c r="W12" s="699" t="str">
        <f>IF('Entries July 2026'!AE12-'Entries July 2026'!AE11&lt;1,"0",'Entries July 2026'!AE12-'Entries July 2026'!AE11)</f>
        <v>0</v>
      </c>
      <c r="X12" s="700" t="str">
        <f>IF('Entries July 2026'!AI12-'Entries July 2026'!AI11&lt;1,"0",'Entries July 2026'!AI12-'Entries July 2026'!AI11)</f>
        <v>0</v>
      </c>
      <c r="Y12" s="700" t="str">
        <f>IF('Entries July 2026'!AH12-'Entries July 2026'!AH11&lt;1,"0",'Entries July 2026'!AH12-'Entries July 2026'!AH11)</f>
        <v>0</v>
      </c>
      <c r="Z12" s="322">
        <f t="shared" si="2"/>
        <v>313</v>
      </c>
      <c r="AA12" s="323">
        <v>410.78399999999999</v>
      </c>
      <c r="AB12" s="324">
        <f t="shared" si="3"/>
        <v>7.6195762249746828</v>
      </c>
      <c r="AE12" s="8" t="s">
        <v>58</v>
      </c>
    </row>
    <row r="13" spans="1:31" x14ac:dyDescent="0.2">
      <c r="A13" s="29"/>
      <c r="B13" s="697">
        <v>7</v>
      </c>
      <c r="C13" s="698" t="str">
        <f>IF('Entries July 2026'!W13-'Entries July 2026'!W12&lt;1,"0",'Entries July 2026'!W13-'Entries July 2026'!W12)</f>
        <v>0</v>
      </c>
      <c r="D13" s="699">
        <f>IF('Entries July 2026'!O13-'Entries July 2026'!O12&lt;1,"0",'Entries July 2026'!O13-'Entries July 2026'!O12)</f>
        <v>267</v>
      </c>
      <c r="E13" s="699">
        <f>IF('Entries July 2026'!P13-'Entries July 2026'!P12&lt;1,"0",'Entries July 2026'!P13-'Entries July 2026'!P12)</f>
        <v>124</v>
      </c>
      <c r="F13" s="699">
        <f>IF('Entries July 2026'!V13-'Entries July 2026'!V12&lt;1,"0",'Entries July 2026'!V13-'Entries July 2026'!V12)</f>
        <v>130</v>
      </c>
      <c r="G13" s="699">
        <f t="shared" si="0"/>
        <v>261</v>
      </c>
      <c r="H13" s="699">
        <f>IF('Entries July 2026'!Q13-'Entries July 2026'!Q12&lt;1,0,'Entries July 2026'!Q13-'Entries July 2026'!Q12)</f>
        <v>145</v>
      </c>
      <c r="I13" s="699">
        <f>IF('Entries July 2026'!AG13-'Entries July 2026'!AG12&lt;1,0,'Entries July 2026'!AG13-'Entries July 2026'!AG12)</f>
        <v>0</v>
      </c>
      <c r="J13" s="699">
        <f>IF('Entries July 2026'!S13-'Entries July 2026'!S12&lt;1,"0",'Entries July 2026'!S13-'Entries July 2026'!S12)</f>
        <v>136</v>
      </c>
      <c r="K13" s="699" t="str">
        <f>IF('Entries July 2026'!R13-'Entries July 2026'!R12&lt;1,"0",'Entries July 2026'!R13-'Entries July 2026'!R12)</f>
        <v>0</v>
      </c>
      <c r="L13" s="699" t="str">
        <f>IF('Entries July 2026'!T13-'Entries July 2026'!T12&lt;1,"0",'Entries July 2026'!T13-'Entries July 2026'!T12)</f>
        <v>0</v>
      </c>
      <c r="M13" s="699">
        <f>IF('Entries July 2026'!U13-'Entries July 2026'!U12&lt;1,"0",'Entries July 2026'!U13-'Entries July 2026'!U12)</f>
        <v>7</v>
      </c>
      <c r="N13" s="699">
        <f>IF('Entries July 2026'!X13-'Entries July 2026'!X12&lt;1,"0",'Entries July 2026'!X13-'Entries July 2026'!X12)</f>
        <v>16</v>
      </c>
      <c r="O13" s="699">
        <f>IF('Entries July 2026'!Y13-'Entries July 2026'!Y12&lt;1,"0",'Entries July 2026'!Y13-'Entries July 2026'!Y12)</f>
        <v>49</v>
      </c>
      <c r="P13" s="699">
        <f>IF('Entries July 2026'!AC13-'Entries July 2026'!AC12&lt;1,"0",'Entries July 2026'!AC13-'Entries July 2026'!AC12)</f>
        <v>16</v>
      </c>
      <c r="Q13" s="699">
        <f>IF('Entries July 2026'!Z13-'Entries July 2026'!Z12&lt;1,"0",'Entries July 2026'!Z13-'Entries July 2026'!Z12)</f>
        <v>29</v>
      </c>
      <c r="R13" s="699" t="str">
        <f>IF(('Entries July 2026'!AA13-'Entries July 2026'!AA12)+('Entries July 2026'!AB13-'Entries July 2026'!AB12)&lt;1,"0",('Entries July 2026'!AA13-'Entries July 2026'!AA12)+('Entries July 2026'!AB13-'Entries July 2026'!AB12))</f>
        <v>0</v>
      </c>
      <c r="S13" s="698">
        <f t="shared" si="4"/>
        <v>2610</v>
      </c>
      <c r="T13" s="698">
        <f t="shared" si="1"/>
        <v>72</v>
      </c>
      <c r="U13" s="699">
        <f>IF('Entries July 2026'!AC13-'Entries July 2026'!AC12&lt;1,"0",'Entries July 2026'!AC13-'Entries July 2026'!AC12)</f>
        <v>16</v>
      </c>
      <c r="V13" s="699">
        <f>IF('Entries July 2026'!AD13-'Entries July 2026'!AD12&lt;1,"0",'Entries July 2026'!AD13-'Entries July 2026'!AD12)</f>
        <v>55</v>
      </c>
      <c r="W13" s="699" t="str">
        <f>IF('Entries July 2026'!AE13-'Entries July 2026'!AE12&lt;1,"0",'Entries July 2026'!AE13-'Entries July 2026'!AE12)</f>
        <v>0</v>
      </c>
      <c r="X13" s="700" t="str">
        <f>IF('Entries July 2026'!AI13-'Entries July 2026'!AI12&lt;1,"0",'Entries July 2026'!AI13-'Entries July 2026'!AI12)</f>
        <v>0</v>
      </c>
      <c r="Y13" s="700" t="str">
        <f>IF('Entries July 2026'!AH13-'Entries July 2026'!AH12&lt;1,"0",'Entries July 2026'!AH13-'Entries July 2026'!AH12)</f>
        <v>0</v>
      </c>
      <c r="Z13" s="322">
        <f t="shared" si="2"/>
        <v>391</v>
      </c>
      <c r="AA13" s="323">
        <v>209.88000000000002</v>
      </c>
      <c r="AB13" s="324">
        <f t="shared" si="3"/>
        <v>18.629693157995042</v>
      </c>
    </row>
    <row r="14" spans="1:31" x14ac:dyDescent="0.2">
      <c r="B14" s="697">
        <v>8</v>
      </c>
      <c r="C14" s="698" t="str">
        <f>IF('Entries July 2026'!W14-'Entries July 2026'!W13&lt;1,"0",'Entries July 2026'!W14-'Entries July 2026'!W13)</f>
        <v>0</v>
      </c>
      <c r="D14" s="699">
        <f>IF('Entries July 2026'!O14-'Entries July 2026'!O13&lt;1,"0",'Entries July 2026'!O14-'Entries July 2026'!O13)</f>
        <v>1</v>
      </c>
      <c r="E14" s="699">
        <f>IF('Entries July 2026'!P14-'Entries July 2026'!P13&lt;1,"0",'Entries July 2026'!P14-'Entries July 2026'!P13)</f>
        <v>117</v>
      </c>
      <c r="F14" s="699">
        <f>IF('Entries July 2026'!V14-'Entries July 2026'!V13&lt;1,"0",'Entries July 2026'!V14-'Entries July 2026'!V13)</f>
        <v>123</v>
      </c>
      <c r="G14" s="699">
        <f t="shared" si="0"/>
        <v>-5</v>
      </c>
      <c r="H14" s="699">
        <f>IF('Entries July 2026'!Q14-'Entries July 2026'!Q13&lt;1,0,'Entries July 2026'!Q14-'Entries July 2026'!Q13)</f>
        <v>224</v>
      </c>
      <c r="I14" s="699">
        <f>IF('Entries July 2026'!AG14-'Entries July 2026'!AG13&lt;1,0,'Entries July 2026'!AG14-'Entries July 2026'!AG13)</f>
        <v>0</v>
      </c>
      <c r="J14" s="699">
        <f>IF('Entries July 2026'!S14-'Entries July 2026'!S13&lt;1,"0",'Entries July 2026'!S14-'Entries July 2026'!S13)</f>
        <v>194</v>
      </c>
      <c r="K14" s="699" t="str">
        <f>IF('Entries July 2026'!R14-'Entries July 2026'!R13&lt;1,"0",'Entries July 2026'!R14-'Entries July 2026'!R13)</f>
        <v>0</v>
      </c>
      <c r="L14" s="699" t="str">
        <f>IF('Entries July 2026'!T14-'Entries July 2026'!T13&lt;1,"0",'Entries July 2026'!T14-'Entries July 2026'!T13)</f>
        <v>0</v>
      </c>
      <c r="M14" s="699">
        <f>IF('Entries July 2026'!U14-'Entries July 2026'!U13&lt;1,"0",'Entries July 2026'!U14-'Entries July 2026'!U13)</f>
        <v>5</v>
      </c>
      <c r="N14" s="699">
        <f>IF('Entries July 2026'!X14-'Entries July 2026'!X13&lt;1,"0",'Entries July 2026'!X14-'Entries July 2026'!X13)</f>
        <v>35</v>
      </c>
      <c r="O14" s="699">
        <f>IF('Entries July 2026'!Y14-'Entries July 2026'!Y13&lt;1,"0",'Entries July 2026'!Y14-'Entries July 2026'!Y13)</f>
        <v>81</v>
      </c>
      <c r="P14" s="699">
        <f>IF('Entries July 2026'!AC14-'Entries July 2026'!AC13&lt;1,"0",'Entries July 2026'!AC14-'Entries July 2026'!AC13)</f>
        <v>32</v>
      </c>
      <c r="Q14" s="699">
        <f>IF('Entries July 2026'!Z14-'Entries July 2026'!Z13&lt;1,"0",'Entries July 2026'!Z14-'Entries July 2026'!Z13)</f>
        <v>32</v>
      </c>
      <c r="R14" s="699" t="str">
        <f>IF(('Entries July 2026'!AA14-'Entries July 2026'!AA13)+('Entries July 2026'!AB14-'Entries July 2026'!AB13)&lt;1,"0",('Entries July 2026'!AA14-'Entries July 2026'!AA13)+('Entries July 2026'!AB14-'Entries July 2026'!AB13))</f>
        <v>0</v>
      </c>
      <c r="S14" s="698">
        <f t="shared" si="4"/>
        <v>-50</v>
      </c>
      <c r="T14" s="698">
        <f t="shared" si="1"/>
        <v>121</v>
      </c>
      <c r="U14" s="699">
        <f>IF('Entries July 2026'!AC14-'Entries July 2026'!AC13&lt;1,"0",'Entries July 2026'!AC14-'Entries July 2026'!AC13)</f>
        <v>32</v>
      </c>
      <c r="V14" s="699">
        <f>IF('Entries July 2026'!AD14-'Entries July 2026'!AD13&lt;1,"0",'Entries July 2026'!AD14-'Entries July 2026'!AD13)</f>
        <v>60</v>
      </c>
      <c r="W14" s="699" t="str">
        <f>IF('Entries July 2026'!AE14-'Entries July 2026'!AE13&lt;1,"0",'Entries July 2026'!AE14-'Entries July 2026'!AE13)</f>
        <v>0</v>
      </c>
      <c r="X14" s="700" t="str">
        <f>IF('Entries July 2026'!AI14-'Entries July 2026'!AI13&lt;1,"0",'Entries July 2026'!AI14-'Entries July 2026'!AI13)</f>
        <v>0</v>
      </c>
      <c r="Y14" s="700" t="str">
        <f>IF('Entries July 2026'!AH14-'Entries July 2026'!AH13&lt;1,"0",'Entries July 2026'!AH14-'Entries July 2026'!AH13)</f>
        <v>0</v>
      </c>
      <c r="Z14" s="322">
        <f t="shared" si="2"/>
        <v>118</v>
      </c>
      <c r="AA14" s="323">
        <v>376.72800000000001</v>
      </c>
      <c r="AB14" s="324">
        <f t="shared" si="3"/>
        <v>3.1322333354568812</v>
      </c>
    </row>
    <row r="15" spans="1:31" x14ac:dyDescent="0.2">
      <c r="B15" s="697">
        <v>9</v>
      </c>
      <c r="C15" s="698" t="str">
        <f>IF('Entries July 2026'!W15-'Entries July 2026'!W14&lt;1,"0",'Entries July 2026'!W15-'Entries July 2026'!W14)</f>
        <v>0</v>
      </c>
      <c r="D15" s="699">
        <f>IF('Entries July 2026'!O15-'Entries July 2026'!O14&lt;1,"0",'Entries July 2026'!O15-'Entries July 2026'!O14)</f>
        <v>213</v>
      </c>
      <c r="E15" s="699">
        <f>IF('Entries July 2026'!P15-'Entries July 2026'!P14&lt;1,"0",'Entries July 2026'!P15-'Entries July 2026'!P14)</f>
        <v>195</v>
      </c>
      <c r="F15" s="699">
        <f>IF('Entries July 2026'!V15-'Entries July 2026'!V14&lt;1,"0",'Entries July 2026'!V15-'Entries July 2026'!V14)</f>
        <v>204</v>
      </c>
      <c r="G15" s="699">
        <f t="shared" si="0"/>
        <v>204</v>
      </c>
      <c r="H15" s="699">
        <f>IF('Entries July 2026'!Q15-'Entries July 2026'!Q14&lt;1,0,'Entries July 2026'!Q15-'Entries July 2026'!Q14)</f>
        <v>212</v>
      </c>
      <c r="I15" s="699">
        <f>IF('Entries July 2026'!AG15-'Entries July 2026'!AG14&lt;1,0,'Entries July 2026'!AG15-'Entries July 2026'!AG14)</f>
        <v>0</v>
      </c>
      <c r="J15" s="699">
        <f>IF('Entries July 2026'!S15-'Entries July 2026'!S14&lt;1,"0",'Entries July 2026'!S15-'Entries July 2026'!S14)</f>
        <v>65</v>
      </c>
      <c r="K15" s="699" t="str">
        <f>IF('Entries July 2026'!R15-'Entries July 2026'!R14&lt;1,"0",'Entries July 2026'!R15-'Entries July 2026'!R14)</f>
        <v>0</v>
      </c>
      <c r="L15" s="699" t="str">
        <f>IF('Entries July 2026'!T15-'Entries July 2026'!T14&lt;1,"0",'Entries July 2026'!T15-'Entries July 2026'!T14)</f>
        <v>0</v>
      </c>
      <c r="M15" s="699" t="str">
        <f>IF('Entries July 2026'!U15-'Entries July 2026'!U14&lt;1,"0",'Entries July 2026'!U15-'Entries July 2026'!U14)</f>
        <v>0</v>
      </c>
      <c r="N15" s="699">
        <f>IF('Entries July 2026'!X15-'Entries July 2026'!X14&lt;1,"0",'Entries July 2026'!X15-'Entries July 2026'!X14)</f>
        <v>52</v>
      </c>
      <c r="O15" s="699">
        <f>IF('Entries July 2026'!Y15-'Entries July 2026'!Y14&lt;1,"0",'Entries July 2026'!Y15-'Entries July 2026'!Y14)</f>
        <v>73</v>
      </c>
      <c r="P15" s="699">
        <f>IF('Entries July 2026'!AC15-'Entries July 2026'!AC14&lt;1,"0",'Entries July 2026'!AC15-'Entries July 2026'!AC14)</f>
        <v>21</v>
      </c>
      <c r="Q15" s="699">
        <f>IF('Entries July 2026'!Z15-'Entries July 2026'!Z14&lt;1,"0",'Entries July 2026'!Z15-'Entries July 2026'!Z14)</f>
        <v>28</v>
      </c>
      <c r="R15" s="699" t="str">
        <f>IF(('Entries July 2026'!AA15-'Entries July 2026'!AA14)+('Entries July 2026'!AB15-'Entries July 2026'!AB14)&lt;1,"0",('Entries July 2026'!AA15-'Entries July 2026'!AA14)+('Entries July 2026'!AB15-'Entries July 2026'!AB14))</f>
        <v>0</v>
      </c>
      <c r="S15" s="698">
        <f t="shared" si="4"/>
        <v>2040</v>
      </c>
      <c r="T15" s="698">
        <f t="shared" si="1"/>
        <v>125</v>
      </c>
      <c r="U15" s="699">
        <f>IF('Entries July 2026'!AC15-'Entries July 2026'!AC14&lt;1,"0",'Entries July 2026'!AC15-'Entries July 2026'!AC14)</f>
        <v>21</v>
      </c>
      <c r="V15" s="699">
        <f>IF('Entries July 2026'!AD15-'Entries July 2026'!AD14&lt;1,"0",'Entries July 2026'!AD15-'Entries July 2026'!AD14)</f>
        <v>3</v>
      </c>
      <c r="W15" s="699" t="str">
        <f>IF('Entries July 2026'!AE15-'Entries July 2026'!AE14&lt;1,"0",'Entries July 2026'!AE15-'Entries July 2026'!AE14)</f>
        <v>0</v>
      </c>
      <c r="X15" s="700" t="str">
        <f>IF('Entries July 2026'!AI15-'Entries July 2026'!AI14&lt;1,"0",'Entries July 2026'!AI15-'Entries July 2026'!AI14)</f>
        <v>0</v>
      </c>
      <c r="Y15" s="700" t="str">
        <f>IF('Entries July 2026'!AH15-'Entries July 2026'!AH14&lt;1,"0",'Entries July 2026'!AH15-'Entries July 2026'!AH14)</f>
        <v>0</v>
      </c>
      <c r="Z15" s="322">
        <f t="shared" si="2"/>
        <v>408</v>
      </c>
      <c r="AA15" s="323">
        <v>322.80600000000004</v>
      </c>
      <c r="AB15" s="324">
        <f t="shared" si="3"/>
        <v>12.639170275645432</v>
      </c>
    </row>
    <row r="16" spans="1:31" x14ac:dyDescent="0.2">
      <c r="B16" s="697">
        <v>10</v>
      </c>
      <c r="C16" s="698" t="str">
        <f>IF('Entries July 2026'!W16-'Entries July 2026'!W15&lt;1,"0",'Entries July 2026'!W16-'Entries July 2026'!W15)</f>
        <v>0</v>
      </c>
      <c r="D16" s="699">
        <f>IF('Entries July 2026'!O16-'Entries July 2026'!O15&lt;1,"0",'Entries July 2026'!O16-'Entries July 2026'!O15)</f>
        <v>234</v>
      </c>
      <c r="E16" s="699">
        <f>IF('Entries July 2026'!P16-'Entries July 2026'!P15&lt;1,"0",'Entries July 2026'!P16-'Entries July 2026'!P15)</f>
        <v>179</v>
      </c>
      <c r="F16" s="699">
        <f>IF('Entries July 2026'!V16-'Entries July 2026'!V15&lt;1,"0",'Entries July 2026'!V16-'Entries July 2026'!V15)</f>
        <v>188</v>
      </c>
      <c r="G16" s="699">
        <f t="shared" si="0"/>
        <v>225</v>
      </c>
      <c r="H16" s="699">
        <f>IF('Entries July 2026'!Q16-'Entries July 2026'!Q15&lt;1,0,'Entries July 2026'!Q16-'Entries July 2026'!Q15)</f>
        <v>187</v>
      </c>
      <c r="I16" s="699">
        <f>IF('Entries July 2026'!AG16-'Entries July 2026'!AG15&lt;1,0,'Entries July 2026'!AG16-'Entries July 2026'!AG15)</f>
        <v>0</v>
      </c>
      <c r="J16" s="699">
        <f>IF('Entries July 2026'!S16-'Entries July 2026'!S15&lt;1,"0",'Entries July 2026'!S16-'Entries July 2026'!S15)</f>
        <v>164</v>
      </c>
      <c r="K16" s="699" t="str">
        <f>IF('Entries July 2026'!R16-'Entries July 2026'!R15&lt;1,"0",'Entries July 2026'!R16-'Entries July 2026'!R15)</f>
        <v>0</v>
      </c>
      <c r="L16" s="699" t="str">
        <f>IF('Entries July 2026'!T16-'Entries July 2026'!T15&lt;1,"0",'Entries July 2026'!T16-'Entries July 2026'!T15)</f>
        <v>0</v>
      </c>
      <c r="M16" s="699">
        <f>IF('Entries July 2026'!U16-'Entries July 2026'!U15&lt;1,"0",'Entries July 2026'!U16-'Entries July 2026'!U15)</f>
        <v>2</v>
      </c>
      <c r="N16" s="699">
        <f>IF('Entries July 2026'!X16-'Entries July 2026'!X15&lt;1,"0",'Entries July 2026'!X16-'Entries July 2026'!X15)</f>
        <v>30</v>
      </c>
      <c r="O16" s="699">
        <f>IF('Entries July 2026'!Y16-'Entries July 2026'!Y15&lt;1,"0",'Entries July 2026'!Y16-'Entries July 2026'!Y15)</f>
        <v>70</v>
      </c>
      <c r="P16" s="699">
        <f>IF('Entries July 2026'!AC16-'Entries July 2026'!AC15&lt;1,"0",'Entries July 2026'!AC16-'Entries July 2026'!AC15)</f>
        <v>23</v>
      </c>
      <c r="Q16" s="699">
        <f>IF('Entries July 2026'!Z16-'Entries July 2026'!Z15&lt;1,"0",'Entries July 2026'!Z16-'Entries July 2026'!Z15)</f>
        <v>33</v>
      </c>
      <c r="R16" s="699" t="str">
        <f>IF(('Entries July 2026'!AA16-'Entries July 2026'!AA15)+('Entries July 2026'!AB16-'Entries July 2026'!AB15)&lt;1,"0",('Entries July 2026'!AA16-'Entries July 2026'!AA15)+('Entries July 2026'!AB16-'Entries July 2026'!AB15))</f>
        <v>0</v>
      </c>
      <c r="S16" s="698">
        <f t="shared" si="4"/>
        <v>2250</v>
      </c>
      <c r="T16" s="698">
        <f t="shared" si="1"/>
        <v>102</v>
      </c>
      <c r="U16" s="699">
        <f>IF('Entries July 2026'!AC16-'Entries July 2026'!AC15&lt;1,"0",'Entries July 2026'!AC16-'Entries July 2026'!AC15)</f>
        <v>23</v>
      </c>
      <c r="V16" s="699" t="str">
        <f>IF('Entries July 2026'!AD16-'Entries July 2026'!AD15&lt;1,"0",'Entries July 2026'!AD16-'Entries July 2026'!AD15)</f>
        <v>0</v>
      </c>
      <c r="W16" s="699" t="str">
        <f>IF('Entries July 2026'!AE16-'Entries July 2026'!AE15&lt;1,"0",'Entries July 2026'!AE16-'Entries July 2026'!AE15)</f>
        <v>0</v>
      </c>
      <c r="X16" s="700" t="str">
        <f>IF('Entries July 2026'!AI16-'Entries July 2026'!AI15&lt;1,"0",'Entries July 2026'!AI16-'Entries July 2026'!AI15)</f>
        <v>0</v>
      </c>
      <c r="Y16" s="700" t="str">
        <f>IF('Entries July 2026'!AH16-'Entries July 2026'!AH15&lt;1,"0",'Entries July 2026'!AH16-'Entries July 2026'!AH15)</f>
        <v>0</v>
      </c>
      <c r="Z16" s="322">
        <f t="shared" si="2"/>
        <v>413</v>
      </c>
      <c r="AA16" s="323">
        <v>349.93200000000002</v>
      </c>
      <c r="AB16" s="324">
        <f t="shared" si="3"/>
        <v>11.802293016929003</v>
      </c>
    </row>
    <row r="17" spans="1:32" x14ac:dyDescent="0.2">
      <c r="B17" s="697">
        <v>11</v>
      </c>
      <c r="C17" s="698" t="str">
        <f>IF('Entries July 2026'!W17-'Entries July 2026'!W16&lt;1,"0",'Entries July 2026'!W17-'Entries July 2026'!W16)</f>
        <v>0</v>
      </c>
      <c r="D17" s="699" t="str">
        <f>IF('Entries July 2026'!O17-'Entries July 2026'!O16&lt;1,"0",'Entries July 2026'!O17-'Entries July 2026'!O16)</f>
        <v>0</v>
      </c>
      <c r="E17" s="699">
        <f>IF('Entries July 2026'!P17-'Entries July 2026'!P16&lt;1,"0",'Entries July 2026'!P17-'Entries July 2026'!P16)</f>
        <v>97</v>
      </c>
      <c r="F17" s="699">
        <f>IF('Entries July 2026'!V17-'Entries July 2026'!V16&lt;1,"0",'Entries July 2026'!V17-'Entries July 2026'!V16)</f>
        <v>100</v>
      </c>
      <c r="G17" s="699">
        <f t="shared" si="0"/>
        <v>-3</v>
      </c>
      <c r="H17" s="699">
        <f>IF('Entries July 2026'!Q17-'Entries July 2026'!Q16&lt;1,0,'Entries July 2026'!Q17-'Entries July 2026'!Q16)</f>
        <v>100</v>
      </c>
      <c r="I17" s="699">
        <f>IF('Entries July 2026'!AG17-'Entries July 2026'!AG16&lt;1,0,'Entries July 2026'!AG17-'Entries July 2026'!AG16)</f>
        <v>0</v>
      </c>
      <c r="J17" s="699">
        <f>IF('Entries July 2026'!S17-'Entries July 2026'!S16&lt;1,"0",'Entries July 2026'!S17-'Entries July 2026'!S16)</f>
        <v>96</v>
      </c>
      <c r="K17" s="699" t="str">
        <f>IF('Entries July 2026'!R17-'Entries July 2026'!R16&lt;1,"0",'Entries July 2026'!R17-'Entries July 2026'!R16)</f>
        <v>0</v>
      </c>
      <c r="L17" s="699" t="str">
        <f>IF('Entries July 2026'!T17-'Entries July 2026'!T16&lt;1,"0",'Entries July 2026'!T17-'Entries July 2026'!T16)</f>
        <v>0</v>
      </c>
      <c r="M17" s="699" t="str">
        <f>IF('Entries July 2026'!U17-'Entries July 2026'!U16&lt;1,"0",'Entries July 2026'!U17-'Entries July 2026'!U16)</f>
        <v>0</v>
      </c>
      <c r="N17" s="699" t="str">
        <f>IF('Entries July 2026'!X17-'Entries July 2026'!X16&lt;1,"0",'Entries July 2026'!X17-'Entries July 2026'!X16)</f>
        <v>0</v>
      </c>
      <c r="O17" s="699">
        <f>IF('Entries July 2026'!Y17-'Entries July 2026'!Y16&lt;1,"0",'Entries July 2026'!Y17-'Entries July 2026'!Y16)</f>
        <v>41</v>
      </c>
      <c r="P17" s="699">
        <f>IF('Entries July 2026'!AC17-'Entries July 2026'!AC16&lt;1,"0",'Entries July 2026'!AC17-'Entries July 2026'!AC16)</f>
        <v>5</v>
      </c>
      <c r="Q17" s="699">
        <f>IF('Entries July 2026'!Z17-'Entries July 2026'!Z16&lt;1,"0",'Entries July 2026'!Z17-'Entries July 2026'!Z16)</f>
        <v>13</v>
      </c>
      <c r="R17" s="699" t="str">
        <f>IF(('Entries July 2026'!AA17-'Entries July 2026'!AA16)+('Entries July 2026'!AB17-'Entries July 2026'!AB16)&lt;1,"0",('Entries July 2026'!AA17-'Entries July 2026'!AA16)+('Entries July 2026'!AB17-'Entries July 2026'!AB16))</f>
        <v>0</v>
      </c>
      <c r="S17" s="698">
        <f t="shared" si="4"/>
        <v>-30</v>
      </c>
      <c r="T17" s="698">
        <f t="shared" si="1"/>
        <v>41</v>
      </c>
      <c r="U17" s="699">
        <f>IF('Entries July 2026'!AC17-'Entries July 2026'!AC16&lt;1,"0",'Entries July 2026'!AC17-'Entries July 2026'!AC16)</f>
        <v>5</v>
      </c>
      <c r="V17" s="699" t="str">
        <f>IF('Entries July 2026'!AD17-'Entries July 2026'!AD16&lt;1,"0",'Entries July 2026'!AD17-'Entries July 2026'!AD16)</f>
        <v>0</v>
      </c>
      <c r="W17" s="699" t="str">
        <f>IF('Entries July 2026'!AE17-'Entries July 2026'!AE16&lt;1,"0",'Entries July 2026'!AE17-'Entries July 2026'!AE16)</f>
        <v>0</v>
      </c>
      <c r="X17" s="700" t="str">
        <f>IF('Entries July 2026'!AI17-'Entries July 2026'!AI16&lt;1,"0",'Entries July 2026'!AI17-'Entries July 2026'!AI16)</f>
        <v>0</v>
      </c>
      <c r="Y17" s="700" t="str">
        <f>IF('Entries July 2026'!AH17-'Entries July 2026'!AH16&lt;1,"0",'Entries July 2026'!AH17-'Entries July 2026'!AH16)</f>
        <v>0</v>
      </c>
      <c r="Z17" s="322">
        <f t="shared" si="2"/>
        <v>97</v>
      </c>
      <c r="AA17" s="323" t="str">
        <v>0</v>
      </c>
      <c r="AB17" s="324" t="str">
        <f t="shared" si="3"/>
        <v>0</v>
      </c>
    </row>
    <row r="18" spans="1:32" x14ac:dyDescent="0.2">
      <c r="B18" s="697">
        <v>12</v>
      </c>
      <c r="C18" s="698" t="str">
        <f>IF('Entries July 2026'!W18-'Entries July 2026'!W17&lt;1,"0",'Entries July 2026'!W18-'Entries July 2026'!W17)</f>
        <v>0</v>
      </c>
      <c r="D18" s="699">
        <f>IF('Entries July 2026'!O18-'Entries July 2026'!O17&lt;1,"0",'Entries July 2026'!O18-'Entries July 2026'!O17)</f>
        <v>249</v>
      </c>
      <c r="E18" s="699">
        <f>IF('Entries July 2026'!P18-'Entries July 2026'!P17&lt;1,"0",'Entries July 2026'!P18-'Entries July 2026'!P17)</f>
        <v>216</v>
      </c>
      <c r="F18" s="699">
        <f>IF('Entries July 2026'!V18-'Entries July 2026'!V17&lt;1,"0",'Entries July 2026'!V18-'Entries July 2026'!V17)</f>
        <v>226</v>
      </c>
      <c r="G18" s="699">
        <f t="shared" si="0"/>
        <v>239</v>
      </c>
      <c r="H18" s="699">
        <f>IF('Entries July 2026'!Q18-'Entries July 2026'!Q17&lt;1,0,'Entries July 2026'!Q18-'Entries July 2026'!Q17)</f>
        <v>432</v>
      </c>
      <c r="I18" s="699">
        <f>IF('Entries July 2026'!AG18-'Entries July 2026'!AG17&lt;1,0,'Entries July 2026'!AG18-'Entries July 2026'!AG17)</f>
        <v>0</v>
      </c>
      <c r="J18" s="699">
        <f>IF('Entries July 2026'!S18-'Entries July 2026'!S17&lt;1,"0",'Entries July 2026'!S18-'Entries July 2026'!S17)</f>
        <v>59</v>
      </c>
      <c r="K18" s="699" t="str">
        <f>IF('Entries July 2026'!R18-'Entries July 2026'!R17&lt;1,"0",'Entries July 2026'!R18-'Entries July 2026'!R17)</f>
        <v>0</v>
      </c>
      <c r="L18" s="699" t="str">
        <f>IF('Entries July 2026'!T18-'Entries July 2026'!T17&lt;1,"0",'Entries July 2026'!T18-'Entries July 2026'!T17)</f>
        <v>0</v>
      </c>
      <c r="M18" s="699" t="str">
        <f>IF('Entries July 2026'!U18-'Entries July 2026'!U17&lt;1,"0",'Entries July 2026'!U18-'Entries July 2026'!U17)</f>
        <v>0</v>
      </c>
      <c r="N18" s="699">
        <f>IF('Entries July 2026'!X18-'Entries July 2026'!X17&lt;1,"0",'Entries July 2026'!X18-'Entries July 2026'!X17)</f>
        <v>10</v>
      </c>
      <c r="O18" s="699" t="str">
        <f>IF('Entries July 2026'!Y18-'Entries July 2026'!Y17&lt;1,"0",'Entries July 2026'!Y18-'Entries July 2026'!Y17)</f>
        <v>0</v>
      </c>
      <c r="P18" s="699" t="str">
        <f>IF('Entries July 2026'!AC18-'Entries July 2026'!AC17&lt;1,"0",'Entries July 2026'!AC18-'Entries July 2026'!AC17)</f>
        <v>0</v>
      </c>
      <c r="Q18" s="699">
        <f>IF('Entries July 2026'!Z18-'Entries July 2026'!Z17&lt;1,"0",'Entries July 2026'!Z18-'Entries July 2026'!Z17)</f>
        <v>15</v>
      </c>
      <c r="R18" s="699" t="str">
        <f>IF(('Entries July 2026'!AA18-'Entries July 2026'!AA17)+('Entries July 2026'!AB18-'Entries July 2026'!AB17)&lt;1,"0",('Entries July 2026'!AA18-'Entries July 2026'!AA17)+('Entries July 2026'!AB18-'Entries July 2026'!AB17))</f>
        <v>0</v>
      </c>
      <c r="S18" s="698">
        <f t="shared" si="4"/>
        <v>2390</v>
      </c>
      <c r="T18" s="698">
        <f t="shared" si="1"/>
        <v>10</v>
      </c>
      <c r="U18" s="699" t="str">
        <f>IF('Entries July 2026'!AC18-'Entries July 2026'!AC17&lt;1,"0",'Entries July 2026'!AC18-'Entries July 2026'!AC17)</f>
        <v>0</v>
      </c>
      <c r="V18" s="699" t="str">
        <f>IF('Entries July 2026'!AD18-'Entries July 2026'!AD17&lt;1,"0",'Entries July 2026'!AD18-'Entries July 2026'!AD17)</f>
        <v>0</v>
      </c>
      <c r="W18" s="699" t="str">
        <f>IF('Entries July 2026'!AE18-'Entries July 2026'!AE17&lt;1,"0",'Entries July 2026'!AE18-'Entries July 2026'!AE17)</f>
        <v>0</v>
      </c>
      <c r="X18" s="700" t="str">
        <f>IF('Entries July 2026'!AI18-'Entries July 2026'!AI17&lt;1,"0",'Entries July 2026'!AI18-'Entries July 2026'!AI17)</f>
        <v>0</v>
      </c>
      <c r="Y18" s="700" t="str">
        <f>IF('Entries July 2026'!AH18-'Entries July 2026'!AH17&lt;1,"0",'Entries July 2026'!AH18-'Entries July 2026'!AH17)</f>
        <v>0</v>
      </c>
      <c r="Z18" s="322">
        <f t="shared" si="2"/>
        <v>465</v>
      </c>
      <c r="AA18" s="323" t="str">
        <v>0</v>
      </c>
      <c r="AB18" s="324" t="str">
        <f t="shared" si="3"/>
        <v>0</v>
      </c>
    </row>
    <row r="19" spans="1:32" x14ac:dyDescent="0.2">
      <c r="A19" s="29"/>
      <c r="B19" s="697">
        <v>13</v>
      </c>
      <c r="C19" s="698" t="str">
        <f>IF('Entries July 2026'!W19-'Entries July 2026'!W18&lt;1,"0",'Entries July 2026'!W19-'Entries July 2026'!W18)</f>
        <v>0</v>
      </c>
      <c r="D19" s="699">
        <f>IF('Entries July 2026'!O19-'Entries July 2026'!O18&lt;1,"0",'Entries July 2026'!O19-'Entries July 2026'!O18)</f>
        <v>200</v>
      </c>
      <c r="E19" s="699">
        <f>IF('Entries July 2026'!P19-'Entries July 2026'!P18&lt;1,"0",'Entries July 2026'!P19-'Entries July 2026'!P18)</f>
        <v>80</v>
      </c>
      <c r="F19" s="699">
        <f>IF('Entries July 2026'!V19-'Entries July 2026'!V18&lt;1,"0",'Entries July 2026'!V19-'Entries July 2026'!V18)</f>
        <v>84</v>
      </c>
      <c r="G19" s="699">
        <f t="shared" si="0"/>
        <v>196</v>
      </c>
      <c r="H19" s="699">
        <f>IF('Entries July 2026'!Q19-'Entries July 2026'!Q18&lt;1,0,'Entries July 2026'!Q19-'Entries July 2026'!Q18)</f>
        <v>75</v>
      </c>
      <c r="I19" s="699">
        <f>IF('Entries July 2026'!AG19-'Entries July 2026'!AG18&lt;1,0,'Entries July 2026'!AG19-'Entries July 2026'!AG18)</f>
        <v>0</v>
      </c>
      <c r="J19" s="699">
        <f>IF('Entries July 2026'!S19-'Entries July 2026'!S18&lt;1,"0",'Entries July 2026'!S19-'Entries July 2026'!S18)</f>
        <v>35</v>
      </c>
      <c r="K19" s="699" t="str">
        <f>IF('Entries July 2026'!R19-'Entries July 2026'!R18&lt;1,"0",'Entries July 2026'!R19-'Entries July 2026'!R18)</f>
        <v>0</v>
      </c>
      <c r="L19" s="699" t="str">
        <f>IF('Entries July 2026'!T19-'Entries July 2026'!T18&lt;1,"0",'Entries July 2026'!T19-'Entries July 2026'!T18)</f>
        <v>0</v>
      </c>
      <c r="M19" s="699">
        <f>IF('Entries July 2026'!U19-'Entries July 2026'!U18&lt;1,"0",'Entries July 2026'!U19-'Entries July 2026'!U18)</f>
        <v>5</v>
      </c>
      <c r="N19" s="699">
        <f>IF('Entries July 2026'!X19-'Entries July 2026'!X18&lt;1,"0",'Entries July 2026'!X19-'Entries July 2026'!X18)</f>
        <v>50</v>
      </c>
      <c r="O19" s="699">
        <f>IF('Entries July 2026'!Y19-'Entries July 2026'!Y18&lt;1,"0",'Entries July 2026'!Y19-'Entries July 2026'!Y18)</f>
        <v>88</v>
      </c>
      <c r="P19" s="699">
        <f>IF('Entries July 2026'!AC19-'Entries July 2026'!AC18&lt;1,"0",'Entries July 2026'!AC19-'Entries July 2026'!AC18)</f>
        <v>26</v>
      </c>
      <c r="Q19" s="699">
        <f>IF('Entries July 2026'!Z19-'Entries July 2026'!Z18&lt;1,"0",'Entries July 2026'!Z19-'Entries July 2026'!Z18)</f>
        <v>17</v>
      </c>
      <c r="R19" s="699" t="str">
        <f>IF(('Entries July 2026'!AA19-'Entries July 2026'!AA18)+('Entries July 2026'!AB19-'Entries July 2026'!AB18)&lt;1,"0",('Entries July 2026'!AA19-'Entries July 2026'!AA18)+('Entries July 2026'!AB19-'Entries July 2026'!AB18))</f>
        <v>0</v>
      </c>
      <c r="S19" s="698">
        <f t="shared" si="4"/>
        <v>1960</v>
      </c>
      <c r="T19" s="698">
        <f t="shared" si="1"/>
        <v>143</v>
      </c>
      <c r="U19" s="699">
        <f>IF('Entries July 2026'!AC19-'Entries July 2026'!AC18&lt;1,"0",'Entries July 2026'!AC19-'Entries July 2026'!AC18)</f>
        <v>26</v>
      </c>
      <c r="V19" s="699" t="str">
        <f>IF('Entries July 2026'!AD19-'Entries July 2026'!AD18&lt;1,"0",'Entries July 2026'!AD19-'Entries July 2026'!AD18)</f>
        <v>0</v>
      </c>
      <c r="W19" s="699" t="str">
        <f>IF('Entries July 2026'!AE19-'Entries July 2026'!AE18&lt;1,"0",'Entries July 2026'!AE19-'Entries July 2026'!AE18)</f>
        <v>0</v>
      </c>
      <c r="X19" s="700" t="str">
        <f>IF('Entries July 2026'!AI19-'Entries July 2026'!AI18&lt;1,"0",'Entries July 2026'!AI19-'Entries July 2026'!AI18)</f>
        <v>0</v>
      </c>
      <c r="Y19" s="700" t="str">
        <f>IF('Entries July 2026'!AH19-'Entries July 2026'!AH18&lt;1,"0",'Entries July 2026'!AH19-'Entries July 2026'!AH18)</f>
        <v>0</v>
      </c>
      <c r="Z19" s="322">
        <f t="shared" si="2"/>
        <v>280</v>
      </c>
      <c r="AA19" s="323">
        <v>407.22</v>
      </c>
      <c r="AB19" s="324">
        <f t="shared" si="3"/>
        <v>6.8758901822110889</v>
      </c>
    </row>
    <row r="20" spans="1:32" x14ac:dyDescent="0.2">
      <c r="A20" s="29"/>
      <c r="B20" s="697">
        <v>14</v>
      </c>
      <c r="C20" s="698" t="str">
        <f>IF('Entries July 2026'!W20-'Entries July 2026'!W19&lt;1,"0",'Entries July 2026'!W20-'Entries July 2026'!W19)</f>
        <v>0</v>
      </c>
      <c r="D20" s="699">
        <f>IF('Entries July 2026'!O20-'Entries July 2026'!O19&lt;1,"0",'Entries July 2026'!O20-'Entries July 2026'!O19)</f>
        <v>197</v>
      </c>
      <c r="E20" s="699">
        <f>IF('Entries July 2026'!P20-'Entries July 2026'!P19&lt;1,"0",'Entries July 2026'!P20-'Entries July 2026'!P19)</f>
        <v>139</v>
      </c>
      <c r="F20" s="699">
        <f>IF('Entries July 2026'!V20-'Entries July 2026'!V19&lt;1,"0",'Entries July 2026'!V20-'Entries July 2026'!V19)</f>
        <v>137</v>
      </c>
      <c r="G20" s="699">
        <f t="shared" si="0"/>
        <v>199</v>
      </c>
      <c r="H20" s="699">
        <f>IF('Entries July 2026'!Q20-'Entries July 2026'!Q19&lt;1,0,'Entries July 2026'!Q20-'Entries July 2026'!Q19)</f>
        <v>471</v>
      </c>
      <c r="I20" s="699">
        <f>IF('Entries July 2026'!AG20-'Entries July 2026'!AG19&lt;1,0,'Entries July 2026'!AG20-'Entries July 2026'!AG19)</f>
        <v>0</v>
      </c>
      <c r="J20" s="699">
        <f>IF('Entries July 2026'!S20-'Entries July 2026'!S19&lt;1,"0",'Entries July 2026'!S20-'Entries July 2026'!S19)</f>
        <v>206</v>
      </c>
      <c r="K20" s="699" t="str">
        <f>IF('Entries July 2026'!R20-'Entries July 2026'!R19&lt;1,"0",'Entries July 2026'!R20-'Entries July 2026'!R19)</f>
        <v>0</v>
      </c>
      <c r="L20" s="699" t="str">
        <f>IF('Entries July 2026'!T20-'Entries July 2026'!T19&lt;1,"0",'Entries July 2026'!T20-'Entries July 2026'!T19)</f>
        <v>0</v>
      </c>
      <c r="M20" s="699">
        <f>IF('Entries July 2026'!U20-'Entries July 2026'!U19&lt;1,"0",'Entries July 2026'!U20-'Entries July 2026'!U19)</f>
        <v>3</v>
      </c>
      <c r="N20" s="699">
        <f>IF('Entries July 2026'!X20-'Entries July 2026'!X19&lt;1,"0",'Entries July 2026'!X20-'Entries July 2026'!X19)</f>
        <v>23</v>
      </c>
      <c r="O20" s="699">
        <f>IF('Entries July 2026'!Y20-'Entries July 2026'!Y19&lt;1,"0",'Entries July 2026'!Y20-'Entries July 2026'!Y19)</f>
        <v>119</v>
      </c>
      <c r="P20" s="699">
        <f>IF('Entries July 2026'!AC20-'Entries July 2026'!AC19&lt;1,"0",'Entries July 2026'!AC20-'Entries July 2026'!AC19)</f>
        <v>31</v>
      </c>
      <c r="Q20" s="699">
        <f>IF('Entries July 2026'!Z20-'Entries July 2026'!Z19&lt;1,"0",'Entries July 2026'!Z20-'Entries July 2026'!Z19)</f>
        <v>24</v>
      </c>
      <c r="R20" s="699" t="str">
        <f>IF(('Entries July 2026'!AA20-'Entries July 2026'!AA19)+('Entries July 2026'!AB20-'Entries July 2026'!AB19)&lt;1,"0",('Entries July 2026'!AA20-'Entries July 2026'!AA19)+('Entries July 2026'!AB20-'Entries July 2026'!AB19))</f>
        <v>0</v>
      </c>
      <c r="S20" s="698">
        <f t="shared" si="4"/>
        <v>1990</v>
      </c>
      <c r="T20" s="698">
        <f t="shared" si="1"/>
        <v>145</v>
      </c>
      <c r="U20" s="699">
        <f>IF('Entries July 2026'!AC20-'Entries July 2026'!AC19&lt;1,"0",'Entries July 2026'!AC20-'Entries July 2026'!AC19)</f>
        <v>31</v>
      </c>
      <c r="V20" s="699">
        <f>IF('Entries July 2026'!AD20-'Entries July 2026'!AD19&lt;1,"0",'Entries July 2026'!AD20-'Entries July 2026'!AD19)</f>
        <v>3</v>
      </c>
      <c r="W20" s="699" t="str">
        <f>IF('Entries July 2026'!AE20-'Entries July 2026'!AE19&lt;1,"0",'Entries July 2026'!AE20-'Entries July 2026'!AE19)</f>
        <v>0</v>
      </c>
      <c r="X20" s="700" t="str">
        <f>IF('Entries July 2026'!AI20-'Entries July 2026'!AI19&lt;1,"0",'Entries July 2026'!AI20-'Entries July 2026'!AI19)</f>
        <v>0</v>
      </c>
      <c r="Y20" s="700" t="str">
        <f>IF('Entries July 2026'!AH20-'Entries July 2026'!AH19&lt;1,"0",'Entries July 2026'!AH20-'Entries July 2026'!AH19)</f>
        <v>0</v>
      </c>
      <c r="Z20" s="322">
        <f t="shared" si="2"/>
        <v>336</v>
      </c>
      <c r="AA20" s="323">
        <v>603.57000000000005</v>
      </c>
      <c r="AB20" s="324">
        <f t="shared" si="3"/>
        <v>5.566877081365873</v>
      </c>
    </row>
    <row r="21" spans="1:32" ht="14.25" customHeight="1" x14ac:dyDescent="0.2">
      <c r="B21" s="697">
        <v>15</v>
      </c>
      <c r="C21" s="698" t="str">
        <f>IF('Entries July 2026'!W21-'Entries July 2026'!W20&lt;1,"0",'Entries July 2026'!W21-'Entries July 2026'!W20)</f>
        <v>0</v>
      </c>
      <c r="D21" s="699">
        <f>IF('Entries July 2026'!O21-'Entries July 2026'!O20&lt;1,"0",'Entries July 2026'!O21-'Entries July 2026'!O20)</f>
        <v>358</v>
      </c>
      <c r="E21" s="699">
        <f>IF('Entries July 2026'!P21-'Entries July 2026'!P20&lt;1,"0",'Entries July 2026'!P21-'Entries July 2026'!P20)</f>
        <v>168</v>
      </c>
      <c r="F21" s="699">
        <f>IF('Entries July 2026'!V21-'Entries July 2026'!V20&lt;1,"0",'Entries July 2026'!V21-'Entries July 2026'!V20)</f>
        <v>177</v>
      </c>
      <c r="G21" s="699">
        <f t="shared" si="0"/>
        <v>349</v>
      </c>
      <c r="H21" s="699">
        <f>IF('Entries July 2026'!Q21-'Entries July 2026'!Q20&lt;1,0,'Entries July 2026'!Q21-'Entries July 2026'!Q20)</f>
        <v>187</v>
      </c>
      <c r="I21" s="699">
        <f>IF('Entries July 2026'!AG21-'Entries July 2026'!AG20&lt;1,0,'Entries July 2026'!AG21-'Entries July 2026'!AG20)</f>
        <v>0</v>
      </c>
      <c r="J21" s="699">
        <f>IF('Entries July 2026'!S21-'Entries July 2026'!S20&lt;1,"0",'Entries July 2026'!S21-'Entries July 2026'!S20)</f>
        <v>151</v>
      </c>
      <c r="K21" s="699" t="str">
        <f>IF('Entries July 2026'!R21-'Entries July 2026'!R20&lt;1,"0",'Entries July 2026'!R21-'Entries July 2026'!R20)</f>
        <v>0</v>
      </c>
      <c r="L21" s="699" t="str">
        <f>IF('Entries July 2026'!T21-'Entries July 2026'!T20&lt;1,"0",'Entries July 2026'!T21-'Entries July 2026'!T20)</f>
        <v>0</v>
      </c>
      <c r="M21" s="699">
        <f>IF('Entries July 2026'!U21-'Entries July 2026'!U20&lt;1,"0",'Entries July 2026'!U21-'Entries July 2026'!U20)</f>
        <v>3</v>
      </c>
      <c r="N21" s="699">
        <f>IF('Entries July 2026'!X21-'Entries July 2026'!X20&lt;1,"0",'Entries July 2026'!X21-'Entries July 2026'!X20)</f>
        <v>22</v>
      </c>
      <c r="O21" s="699">
        <f>IF('Entries July 2026'!Y21-'Entries July 2026'!Y20&lt;1,"0",'Entries July 2026'!Y21-'Entries July 2026'!Y20)</f>
        <v>97</v>
      </c>
      <c r="P21" s="699">
        <f>IF('Entries July 2026'!AC21-'Entries July 2026'!AC20&lt;1,"0",'Entries July 2026'!AC21-'Entries July 2026'!AC20)</f>
        <v>25</v>
      </c>
      <c r="Q21" s="699">
        <f>IF('Entries July 2026'!Z21-'Entries July 2026'!Z20&lt;1,"0",'Entries July 2026'!Z21-'Entries July 2026'!Z20)</f>
        <v>21</v>
      </c>
      <c r="R21" s="699" t="str">
        <f>IF(('Entries July 2026'!AA21-'Entries July 2026'!AA20)+('Entries July 2026'!AB21-'Entries July 2026'!AB20)&lt;1,"0",('Entries July 2026'!AA21-'Entries July 2026'!AA20)+('Entries July 2026'!AB21-'Entries July 2026'!AB20))</f>
        <v>0</v>
      </c>
      <c r="S21" s="698">
        <f t="shared" si="4"/>
        <v>3490</v>
      </c>
      <c r="T21" s="698">
        <f t="shared" si="1"/>
        <v>122</v>
      </c>
      <c r="U21" s="699">
        <f>IF('Entries July 2026'!AC21-'Entries July 2026'!AC20&lt;1,"0",'Entries July 2026'!AC21-'Entries July 2026'!AC20)</f>
        <v>25</v>
      </c>
      <c r="V21" s="699" t="str">
        <f>IF('Entries July 2026'!AD21-'Entries July 2026'!AD20&lt;1,"0",'Entries July 2026'!AD21-'Entries July 2026'!AD20)</f>
        <v>0</v>
      </c>
      <c r="W21" s="699" t="str">
        <f>IF('Entries July 2026'!AE21-'Entries July 2026'!AE20&lt;1,"0",'Entries July 2026'!AE21-'Entries July 2026'!AE20)</f>
        <v>0</v>
      </c>
      <c r="X21" s="700" t="str">
        <f>IF('Entries July 2026'!AI21-'Entries July 2026'!AI20&lt;1,"0",'Entries July 2026'!AI21-'Entries July 2026'!AI20)</f>
        <v>0</v>
      </c>
      <c r="Y21" s="700" t="str">
        <f>IF('Entries July 2026'!AH21-'Entries July 2026'!AH20&lt;1,"0",'Entries July 2026'!AH21-'Entries July 2026'!AH20)</f>
        <v>0</v>
      </c>
      <c r="Z21" s="322">
        <f t="shared" si="2"/>
        <v>526</v>
      </c>
      <c r="AA21" s="323">
        <v>387.68400000000003</v>
      </c>
      <c r="AB21" s="324">
        <f t="shared" si="3"/>
        <v>13.567751054982923</v>
      </c>
    </row>
    <row r="22" spans="1:32" x14ac:dyDescent="0.2">
      <c r="B22" s="697">
        <v>16</v>
      </c>
      <c r="C22" s="698" t="str">
        <f>IF('Entries July 2026'!W22-'Entries July 2026'!W21&lt;1,"0",'Entries July 2026'!W22-'Entries July 2026'!W21)</f>
        <v>0</v>
      </c>
      <c r="D22" s="699">
        <f>IF('Entries July 2026'!O22-'Entries July 2026'!O21&lt;1,"0",'Entries July 2026'!O22-'Entries July 2026'!O21)</f>
        <v>136</v>
      </c>
      <c r="E22" s="699">
        <f>IF('Entries July 2026'!P22-'Entries July 2026'!P21&lt;1,"0",'Entries July 2026'!P22-'Entries July 2026'!P21)</f>
        <v>197</v>
      </c>
      <c r="F22" s="699">
        <f>IF('Entries July 2026'!V22-'Entries July 2026'!V21&lt;1,"0",'Entries July 2026'!V22-'Entries July 2026'!V21)</f>
        <v>197</v>
      </c>
      <c r="G22" s="699">
        <f t="shared" si="0"/>
        <v>136</v>
      </c>
      <c r="H22" s="699">
        <f>IF('Entries July 2026'!Q22-'Entries July 2026'!Q21&lt;1,0,'Entries July 2026'!Q22-'Entries July 2026'!Q21)</f>
        <v>156</v>
      </c>
      <c r="I22" s="699">
        <f>IF('Entries July 2026'!AG22-'Entries July 2026'!AG21&lt;1,0,'Entries July 2026'!AG22-'Entries July 2026'!AG21)</f>
        <v>0</v>
      </c>
      <c r="J22" s="699">
        <f>IF('Entries July 2026'!S22-'Entries July 2026'!S21&lt;1,"0",'Entries July 2026'!S22-'Entries July 2026'!S21)</f>
        <v>165</v>
      </c>
      <c r="K22" s="699" t="str">
        <f>IF('Entries July 2026'!R22-'Entries July 2026'!R21&lt;1,"0",'Entries July 2026'!R22-'Entries July 2026'!R21)</f>
        <v>0</v>
      </c>
      <c r="L22" s="699" t="str">
        <f>IF('Entries July 2026'!T22-'Entries July 2026'!T21&lt;1,"0",'Entries July 2026'!T22-'Entries July 2026'!T21)</f>
        <v>0</v>
      </c>
      <c r="M22" s="699">
        <f>IF('Entries July 2026'!U22-'Entries July 2026'!U21&lt;1,"0",'Entries July 2026'!U22-'Entries July 2026'!U21)</f>
        <v>1</v>
      </c>
      <c r="N22" s="699">
        <f>IF('Entries July 2026'!X22-'Entries July 2026'!X21&lt;1,"0",'Entries July 2026'!X22-'Entries July 2026'!X21)</f>
        <v>46</v>
      </c>
      <c r="O22" s="699">
        <f>IF('Entries July 2026'!Y22-'Entries July 2026'!Y21&lt;1,"0",'Entries July 2026'!Y22-'Entries July 2026'!Y21)</f>
        <v>70</v>
      </c>
      <c r="P22" s="699">
        <f>IF('Entries July 2026'!AC22-'Entries July 2026'!AC21&lt;1,"0",'Entries July 2026'!AC22-'Entries July 2026'!AC21)</f>
        <v>27</v>
      </c>
      <c r="Q22" s="699">
        <f>IF('Entries July 2026'!Z22-'Entries July 2026'!Z21&lt;1,"0",'Entries July 2026'!Z22-'Entries July 2026'!Z21)</f>
        <v>19</v>
      </c>
      <c r="R22" s="699" t="str">
        <f>IF(('Entries July 2026'!AA22-'Entries July 2026'!AA21)+('Entries July 2026'!AB22-'Entries July 2026'!AB21)&lt;1,"0",('Entries July 2026'!AA22-'Entries July 2026'!AA21)+('Entries July 2026'!AB22-'Entries July 2026'!AB21))</f>
        <v>0</v>
      </c>
      <c r="S22" s="698">
        <f t="shared" si="4"/>
        <v>1360</v>
      </c>
      <c r="T22" s="698">
        <f t="shared" si="1"/>
        <v>117</v>
      </c>
      <c r="U22" s="699">
        <f>IF('Entries July 2026'!AC22-'Entries July 2026'!AC21&lt;1,"0",'Entries July 2026'!AC22-'Entries July 2026'!AC21)</f>
        <v>27</v>
      </c>
      <c r="V22" s="699">
        <f>IF('Entries July 2026'!AD22-'Entries July 2026'!AD21&lt;1,"0",'Entries July 2026'!AD22-'Entries July 2026'!AD21)</f>
        <v>26</v>
      </c>
      <c r="W22" s="699" t="str">
        <f>IF('Entries July 2026'!AE22-'Entries July 2026'!AE21&lt;1,"0",'Entries July 2026'!AE22-'Entries July 2026'!AE21)</f>
        <v>0</v>
      </c>
      <c r="X22" s="700" t="str">
        <f>IF('Entries July 2026'!AI22-'Entries July 2026'!AI21&lt;1,"0",'Entries July 2026'!AI22-'Entries July 2026'!AI21)</f>
        <v>0</v>
      </c>
      <c r="Y22" s="700" t="str">
        <f>IF('Entries July 2026'!AH22-'Entries July 2026'!AH21&lt;1,"0",'Entries July 2026'!AH22-'Entries July 2026'!AH21)</f>
        <v>0</v>
      </c>
      <c r="Z22" s="322">
        <f t="shared" si="2"/>
        <v>333</v>
      </c>
      <c r="AA22" s="323">
        <v>425.10599999999999</v>
      </c>
      <c r="AB22" s="324">
        <f t="shared" si="3"/>
        <v>7.8333403903967485</v>
      </c>
    </row>
    <row r="23" spans="1:32" x14ac:dyDescent="0.2">
      <c r="B23" s="697">
        <v>17</v>
      </c>
      <c r="C23" s="698" t="str">
        <f>IF('Entries July 2026'!W23-'Entries July 2026'!W22&lt;1,"0",'Entries July 2026'!W23-'Entries July 2026'!W22)</f>
        <v>0</v>
      </c>
      <c r="D23" s="699">
        <f>IF('Entries July 2026'!O23-'Entries July 2026'!O22&lt;1,"0",'Entries July 2026'!O23-'Entries July 2026'!O22)</f>
        <v>74</v>
      </c>
      <c r="E23" s="699">
        <f>IF('Entries July 2026'!P23-'Entries July 2026'!P22&lt;1,"0",'Entries July 2026'!P23-'Entries July 2026'!P22)</f>
        <v>262</v>
      </c>
      <c r="F23" s="699">
        <f>IF('Entries July 2026'!V23-'Entries July 2026'!V22&lt;1,"0",'Entries July 2026'!V23-'Entries July 2026'!V22)</f>
        <v>275</v>
      </c>
      <c r="G23" s="699">
        <f t="shared" si="0"/>
        <v>61</v>
      </c>
      <c r="H23" s="699">
        <f>IF('Entries July 2026'!Q23-'Entries July 2026'!Q22&lt;1,0,'Entries July 2026'!Q23-'Entries July 2026'!Q22)</f>
        <v>192</v>
      </c>
      <c r="I23" s="699">
        <f>IF('Entries July 2026'!AG23-'Entries July 2026'!AG22&lt;1,0,'Entries July 2026'!AG23-'Entries July 2026'!AG22)</f>
        <v>0</v>
      </c>
      <c r="J23" s="699">
        <f>IF('Entries July 2026'!S23-'Entries July 2026'!S22&lt;1,"0",'Entries July 2026'!S23-'Entries July 2026'!S22)</f>
        <v>164</v>
      </c>
      <c r="K23" s="699" t="str">
        <f>IF('Entries July 2026'!R23-'Entries July 2026'!R22&lt;1,"0",'Entries July 2026'!R23-'Entries July 2026'!R22)</f>
        <v>0</v>
      </c>
      <c r="L23" s="699" t="str">
        <f>IF('Entries July 2026'!T23-'Entries July 2026'!T22&lt;1,"0",'Entries July 2026'!T23-'Entries July 2026'!T22)</f>
        <v>0</v>
      </c>
      <c r="M23" s="699">
        <f>IF('Entries July 2026'!U23-'Entries July 2026'!U22&lt;1,"0",'Entries July 2026'!U23-'Entries July 2026'!U22)</f>
        <v>2</v>
      </c>
      <c r="N23" s="699">
        <f>IF('Entries July 2026'!X23-'Entries July 2026'!X22&lt;1,"0",'Entries July 2026'!X23-'Entries July 2026'!X22)</f>
        <v>47</v>
      </c>
      <c r="O23" s="699">
        <f>IF('Entries July 2026'!Y23-'Entries July 2026'!Y22&lt;1,"0",'Entries July 2026'!Y23-'Entries July 2026'!Y22)</f>
        <v>24</v>
      </c>
      <c r="P23" s="699">
        <f>IF('Entries July 2026'!AC23-'Entries July 2026'!AC22&lt;1,"0",'Entries July 2026'!AC23-'Entries July 2026'!AC22)</f>
        <v>9</v>
      </c>
      <c r="Q23" s="699">
        <f>IF('Entries July 2026'!Z23-'Entries July 2026'!Z22&lt;1,"0",'Entries July 2026'!Z23-'Entries July 2026'!Z22)</f>
        <v>19</v>
      </c>
      <c r="R23" s="699" t="str">
        <f>IF(('Entries July 2026'!AA23-'Entries July 2026'!AA22)+('Entries July 2026'!AB23-'Entries July 2026'!AB22)&lt;1,"0",('Entries July 2026'!AA23-'Entries July 2026'!AA22)+('Entries July 2026'!AB23-'Entries July 2026'!AB22))</f>
        <v>0</v>
      </c>
      <c r="S23" s="698">
        <f t="shared" si="4"/>
        <v>610</v>
      </c>
      <c r="T23" s="698">
        <f t="shared" si="1"/>
        <v>73</v>
      </c>
      <c r="U23" s="699">
        <f>IF('Entries July 2026'!AC23-'Entries July 2026'!AC22&lt;1,"0",'Entries July 2026'!AC23-'Entries July 2026'!AC22)</f>
        <v>9</v>
      </c>
      <c r="V23" s="699">
        <f>IF('Entries July 2026'!AD23-'Entries July 2026'!AD22&lt;1,"0",'Entries July 2026'!AD23-'Entries July 2026'!AD22)</f>
        <v>30</v>
      </c>
      <c r="W23" s="699" t="str">
        <f>IF('Entries July 2026'!AE23-'Entries July 2026'!AE22&lt;1,"0",'Entries July 2026'!AE23-'Entries July 2026'!AE22)</f>
        <v>0</v>
      </c>
      <c r="X23" s="700" t="str">
        <f>IF('Entries July 2026'!AI23-'Entries July 2026'!AI22&lt;1,"0",'Entries July 2026'!AI23-'Entries July 2026'!AI22)</f>
        <v>0</v>
      </c>
      <c r="Y23" s="700" t="str">
        <f>IF('Entries July 2026'!AH23-'Entries July 2026'!AH22&lt;1,"0",'Entries July 2026'!AH23-'Entries July 2026'!AH22)</f>
        <v>0</v>
      </c>
      <c r="Z23" s="322">
        <f t="shared" si="2"/>
        <v>336</v>
      </c>
      <c r="AA23" s="323">
        <v>71.94</v>
      </c>
      <c r="AB23" s="324">
        <f t="shared" si="3"/>
        <v>46.705587989991663</v>
      </c>
    </row>
    <row r="24" spans="1:32" x14ac:dyDescent="0.2">
      <c r="B24" s="697">
        <v>18</v>
      </c>
      <c r="C24" s="698" t="str">
        <f>IF('Entries July 2026'!W24-'Entries July 2026'!W23&lt;1,"0",'Entries July 2026'!W24-'Entries July 2026'!W23)</f>
        <v>0</v>
      </c>
      <c r="D24" s="699">
        <f>IF('Entries July 2026'!O24-'Entries July 2026'!O23&lt;1,"0",'Entries July 2026'!O24-'Entries July 2026'!O23)</f>
        <v>30</v>
      </c>
      <c r="E24" s="699">
        <f>IF('Entries July 2026'!P24-'Entries July 2026'!P23&lt;1,"0",'Entries July 2026'!P24-'Entries July 2026'!P23)</f>
        <v>107</v>
      </c>
      <c r="F24" s="699">
        <f>IF('Entries July 2026'!V24-'Entries July 2026'!V23&lt;1,"0",'Entries July 2026'!V24-'Entries July 2026'!V23)</f>
        <v>112</v>
      </c>
      <c r="G24" s="699">
        <f t="shared" si="0"/>
        <v>25</v>
      </c>
      <c r="H24" s="699">
        <f>IF('Entries July 2026'!Q24-'Entries July 2026'!Q23&lt;1,0,'Entries July 2026'!Q24-'Entries July 2026'!Q23)</f>
        <v>71</v>
      </c>
      <c r="I24" s="699">
        <f>IF('Entries July 2026'!AG24-'Entries July 2026'!AG23&lt;1,0,'Entries July 2026'!AG24-'Entries July 2026'!AG23)</f>
        <v>0</v>
      </c>
      <c r="J24" s="699">
        <f>IF('Entries July 2026'!S24-'Entries July 2026'!S23&lt;1,"0",'Entries July 2026'!S24-'Entries July 2026'!S23)</f>
        <v>40</v>
      </c>
      <c r="K24" s="699" t="str">
        <f>IF('Entries July 2026'!R24-'Entries July 2026'!R23&lt;1,"0",'Entries July 2026'!R24-'Entries July 2026'!R23)</f>
        <v>0</v>
      </c>
      <c r="L24" s="699" t="str">
        <f>IF('Entries July 2026'!T24-'Entries July 2026'!T23&lt;1,"0",'Entries July 2026'!T24-'Entries July 2026'!T23)</f>
        <v>0</v>
      </c>
      <c r="M24" s="699" t="str">
        <f>IF('Entries July 2026'!U24-'Entries July 2026'!U23&lt;1,"0",'Entries July 2026'!U24-'Entries July 2026'!U23)</f>
        <v>0</v>
      </c>
      <c r="N24" s="699">
        <f>IF('Entries July 2026'!X24-'Entries July 2026'!X23&lt;1,"0",'Entries July 2026'!X24-'Entries July 2026'!X23)</f>
        <v>1</v>
      </c>
      <c r="O24" s="699">
        <f>IF('Entries July 2026'!Y24-'Entries July 2026'!Y23&lt;1,"0",'Entries July 2026'!Y24-'Entries July 2026'!Y23)</f>
        <v>28</v>
      </c>
      <c r="P24" s="699">
        <f>IF('Entries July 2026'!AC24-'Entries July 2026'!AC23&lt;1,"0",'Entries July 2026'!AC24-'Entries July 2026'!AC23)</f>
        <v>30</v>
      </c>
      <c r="Q24" s="699">
        <f>IF('Entries July 2026'!Z24-'Entries July 2026'!Z23&lt;1,"0",'Entries July 2026'!Z24-'Entries July 2026'!Z23)</f>
        <v>7</v>
      </c>
      <c r="R24" s="699" t="str">
        <f>IF(('Entries July 2026'!AA24-'Entries July 2026'!AA23)+('Entries July 2026'!AB24-'Entries July 2026'!AB23)&lt;1,"0",('Entries July 2026'!AA24-'Entries July 2026'!AA23)+('Entries July 2026'!AB24-'Entries July 2026'!AB23))</f>
        <v>0</v>
      </c>
      <c r="S24" s="698">
        <f t="shared" si="4"/>
        <v>250</v>
      </c>
      <c r="T24" s="698">
        <f t="shared" si="1"/>
        <v>29</v>
      </c>
      <c r="U24" s="699">
        <f>IF('Entries July 2026'!AC24-'Entries July 2026'!AC23&lt;1,"0",'Entries July 2026'!AC24-'Entries July 2026'!AC23)</f>
        <v>30</v>
      </c>
      <c r="V24" s="699" t="str">
        <f>IF('Entries July 2026'!AD24-'Entries July 2026'!AD23&lt;1,"0",'Entries July 2026'!AD24-'Entries July 2026'!AD23)</f>
        <v>0</v>
      </c>
      <c r="W24" s="699" t="str">
        <f>IF('Entries July 2026'!AE24-'Entries July 2026'!AE23&lt;1,"0",'Entries July 2026'!AE24-'Entries July 2026'!AE23)</f>
        <v>0</v>
      </c>
      <c r="X24" s="700" t="str">
        <f>IF('Entries July 2026'!AI24-'Entries July 2026'!AI23&lt;1,"0",'Entries July 2026'!AI24-'Entries July 2026'!AI23)</f>
        <v>0</v>
      </c>
      <c r="Y24" s="700" t="str">
        <f>IF('Entries July 2026'!AH24-'Entries July 2026'!AH23&lt;1,"0",'Entries July 2026'!AH24-'Entries July 2026'!AH23)</f>
        <v>0</v>
      </c>
      <c r="Z24" s="322">
        <f>C24+D24+E24</f>
        <v>137</v>
      </c>
      <c r="AA24" s="323" t="str">
        <v>0</v>
      </c>
      <c r="AB24" s="324" t="str">
        <f t="shared" si="3"/>
        <v>0</v>
      </c>
    </row>
    <row r="25" spans="1:32" x14ac:dyDescent="0.2">
      <c r="B25" s="697">
        <v>19</v>
      </c>
      <c r="C25" s="698" t="str">
        <f>IF('Entries July 2026'!W25-'Entries July 2026'!W24&lt;1,"0",'Entries July 2026'!W25-'Entries July 2026'!W24)</f>
        <v>0</v>
      </c>
      <c r="D25" s="699">
        <f>IF('Entries July 2026'!O25-'Entries July 2026'!O24&lt;1,"0",'Entries July 2026'!O25-'Entries July 2026'!O24)</f>
        <v>42</v>
      </c>
      <c r="E25" s="699">
        <f>IF('Entries July 2026'!P25-'Entries July 2026'!P24&lt;1,"0",'Entries July 2026'!P25-'Entries July 2026'!P24)</f>
        <v>67</v>
      </c>
      <c r="F25" s="699">
        <f>IF('Entries July 2026'!V25-'Entries July 2026'!V24&lt;1,"0",'Entries July 2026'!V25-'Entries July 2026'!V24)</f>
        <v>71</v>
      </c>
      <c r="G25" s="699">
        <f t="shared" si="0"/>
        <v>38</v>
      </c>
      <c r="H25" s="699">
        <f>IF('Entries July 2026'!Q25-'Entries July 2026'!Q24&lt;1,0,'Entries July 2026'!Q25-'Entries July 2026'!Q24)</f>
        <v>49</v>
      </c>
      <c r="I25" s="699">
        <f>IF('Entries July 2026'!AG25-'Entries July 2026'!AG24&lt;1,0,'Entries July 2026'!AG25-'Entries July 2026'!AG24)</f>
        <v>0</v>
      </c>
      <c r="J25" s="699">
        <f>IF('Entries July 2026'!S25-'Entries July 2026'!S24&lt;1,"0",'Entries July 2026'!S25-'Entries July 2026'!S24)</f>
        <v>58</v>
      </c>
      <c r="K25" s="699" t="str">
        <f>IF('Entries July 2026'!R25-'Entries July 2026'!R24&lt;1,"0",'Entries July 2026'!R25-'Entries July 2026'!R24)</f>
        <v>0</v>
      </c>
      <c r="L25" s="699" t="str">
        <f>IF('Entries July 2026'!T25-'Entries July 2026'!T24&lt;1,"0",'Entries July 2026'!T25-'Entries July 2026'!T24)</f>
        <v>0</v>
      </c>
      <c r="M25" s="699" t="str">
        <f>IF('Entries July 2026'!U25-'Entries July 2026'!U24&lt;1,"0",'Entries July 2026'!U25-'Entries July 2026'!U24)</f>
        <v>0</v>
      </c>
      <c r="N25" s="699">
        <f>IF('Entries July 2026'!X25-'Entries July 2026'!X24&lt;1,"0",'Entries July 2026'!X25-'Entries July 2026'!X24)</f>
        <v>26</v>
      </c>
      <c r="O25" s="699" t="str">
        <f>IF('Entries July 2026'!Y25-'Entries July 2026'!Y24&lt;1,"0",'Entries July 2026'!Y25-'Entries July 2026'!Y24)</f>
        <v>0</v>
      </c>
      <c r="P25" s="699" t="str">
        <f>IF('Entries July 2026'!AC25-'Entries July 2026'!AC24&lt;1,"0",'Entries July 2026'!AC25-'Entries July 2026'!AC24)</f>
        <v>0</v>
      </c>
      <c r="Q25" s="699">
        <f>IF('Entries July 2026'!Z25-'Entries July 2026'!Z24&lt;1,"0",'Entries July 2026'!Z25-'Entries July 2026'!Z24)</f>
        <v>12</v>
      </c>
      <c r="R25" s="699" t="str">
        <f>IF(('Entries July 2026'!AA25-'Entries July 2026'!AA24)+('Entries July 2026'!AB25-'Entries July 2026'!AB24)&lt;1,"0",('Entries July 2026'!AA25-'Entries July 2026'!AA24)+('Entries July 2026'!AB25-'Entries July 2026'!AB24))</f>
        <v>0</v>
      </c>
      <c r="S25" s="698">
        <f t="shared" si="4"/>
        <v>380</v>
      </c>
      <c r="T25" s="698">
        <f t="shared" si="1"/>
        <v>26</v>
      </c>
      <c r="U25" s="699" t="str">
        <f>IF('Entries July 2026'!AC25-'Entries July 2026'!AC24&lt;1,"0",'Entries July 2026'!AC25-'Entries July 2026'!AC24)</f>
        <v>0</v>
      </c>
      <c r="V25" s="699" t="str">
        <f>IF('Entries July 2026'!AD25-'Entries July 2026'!AD24&lt;1,"0",'Entries July 2026'!AD25-'Entries July 2026'!AD24)</f>
        <v>0</v>
      </c>
      <c r="W25" s="699" t="str">
        <f>IF('Entries July 2026'!AE25-'Entries July 2026'!AE24&lt;1,"0",'Entries July 2026'!AE25-'Entries July 2026'!AE24)</f>
        <v>0</v>
      </c>
      <c r="X25" s="700" t="str">
        <f>IF('Entries July 2026'!AI25-'Entries July 2026'!AI24&lt;1,"0",'Entries July 2026'!AI25-'Entries July 2026'!AI24)</f>
        <v>0</v>
      </c>
      <c r="Y25" s="700" t="str">
        <f>IF('Entries July 2026'!AH25-'Entries July 2026'!AH24&lt;1,"0",'Entries July 2026'!AH25-'Entries July 2026'!AH24)</f>
        <v>0</v>
      </c>
      <c r="Z25" s="322">
        <f t="shared" si="2"/>
        <v>109</v>
      </c>
      <c r="AA25" s="323" t="str">
        <v>0</v>
      </c>
      <c r="AB25" s="324" t="str">
        <f t="shared" si="3"/>
        <v>0</v>
      </c>
    </row>
    <row r="26" spans="1:32" x14ac:dyDescent="0.2">
      <c r="A26" s="29"/>
      <c r="B26" s="697">
        <v>20</v>
      </c>
      <c r="C26" s="698" t="str">
        <f>IF('Entries July 2026'!W26-'Entries July 2026'!W25&lt;1,"0",'Entries July 2026'!W26-'Entries July 2026'!W25)</f>
        <v>0</v>
      </c>
      <c r="D26" s="699">
        <f>IF('Entries July 2026'!O26-'Entries July 2026'!O25&lt;1,"0",'Entries July 2026'!O26-'Entries July 2026'!O25)</f>
        <v>131</v>
      </c>
      <c r="E26" s="699">
        <f>IF('Entries July 2026'!P26-'Entries July 2026'!P25&lt;1,"0",'Entries July 2026'!P26-'Entries July 2026'!P25)</f>
        <v>157</v>
      </c>
      <c r="F26" s="699">
        <f>IF('Entries July 2026'!V26-'Entries July 2026'!V25&lt;1,"0",'Entries July 2026'!V26-'Entries July 2026'!V25)</f>
        <v>169</v>
      </c>
      <c r="G26" s="699">
        <f t="shared" si="0"/>
        <v>119</v>
      </c>
      <c r="H26" s="699">
        <f>IF('Entries July 2026'!Q26-'Entries July 2026'!Q25&lt;1,0,'Entries July 2026'!Q26-'Entries July 2026'!Q25)</f>
        <v>216</v>
      </c>
      <c r="I26" s="699">
        <f>IF('Entries July 2026'!AG26-'Entries July 2026'!AG25&lt;1,0,'Entries July 2026'!AG26-'Entries July 2026'!AG25)</f>
        <v>0</v>
      </c>
      <c r="J26" s="699">
        <f>IF('Entries July 2026'!S26-'Entries July 2026'!S25&lt;1,"0",'Entries July 2026'!S26-'Entries July 2026'!S25)</f>
        <v>97</v>
      </c>
      <c r="K26" s="699" t="str">
        <f>IF('Entries July 2026'!R26-'Entries July 2026'!R25&lt;1,"0",'Entries July 2026'!R26-'Entries July 2026'!R25)</f>
        <v>0</v>
      </c>
      <c r="L26" s="699" t="str">
        <f>IF('Entries July 2026'!T26-'Entries July 2026'!T25&lt;1,"0",'Entries July 2026'!T26-'Entries July 2026'!T25)</f>
        <v>0</v>
      </c>
      <c r="M26" s="699">
        <f>IF('Entries July 2026'!U26-'Entries July 2026'!U25&lt;1,"0",'Entries July 2026'!U26-'Entries July 2026'!U25)</f>
        <v>4</v>
      </c>
      <c r="N26" s="699">
        <f>IF('Entries July 2026'!X26-'Entries July 2026'!X25&lt;1,"0",'Entries July 2026'!X26-'Entries July 2026'!X25)</f>
        <v>50</v>
      </c>
      <c r="O26" s="699">
        <f>IF('Entries July 2026'!Y26-'Entries July 2026'!Y25&lt;1,"0",'Entries July 2026'!Y26-'Entries July 2026'!Y25)</f>
        <v>91</v>
      </c>
      <c r="P26" s="699">
        <f>IF('Entries July 2026'!AC26-'Entries July 2026'!AC25&lt;1,"0",'Entries July 2026'!AC26-'Entries July 2026'!AC25)</f>
        <v>1</v>
      </c>
      <c r="Q26" s="699">
        <f>IF('Entries July 2026'!Z26-'Entries July 2026'!Z25&lt;1,"0",'Entries July 2026'!Z26-'Entries July 2026'!Z25)</f>
        <v>22</v>
      </c>
      <c r="R26" s="699" t="str">
        <f>IF(('Entries July 2026'!AA26-'Entries July 2026'!AA25)+('Entries July 2026'!AB26-'Entries July 2026'!AB25)&lt;1,"0",('Entries July 2026'!AA26-'Entries July 2026'!AA25)+('Entries July 2026'!AB26-'Entries July 2026'!AB25))</f>
        <v>0</v>
      </c>
      <c r="S26" s="698">
        <f t="shared" si="4"/>
        <v>1190</v>
      </c>
      <c r="T26" s="698">
        <f t="shared" si="1"/>
        <v>145</v>
      </c>
      <c r="U26" s="699">
        <f>IF('Entries July 2026'!AC26-'Entries July 2026'!AC25&lt;1,"0",'Entries July 2026'!AC26-'Entries July 2026'!AC25)</f>
        <v>1</v>
      </c>
      <c r="V26" s="699">
        <f>IF('Entries July 2026'!AD26-'Entries July 2026'!AD25&lt;1,"0",'Entries July 2026'!AD26-'Entries July 2026'!AD25)</f>
        <v>7</v>
      </c>
      <c r="W26" s="699" t="str">
        <f>IF('Entries July 2026'!AE26-'Entries July 2026'!AE25&lt;1,"0",'Entries July 2026'!AE26-'Entries July 2026'!AE25)</f>
        <v>0</v>
      </c>
      <c r="X26" s="700" t="str">
        <f>IF('Entries July 2026'!AI26-'Entries July 2026'!AI25&lt;1,"0",'Entries July 2026'!AI26-'Entries July 2026'!AI25)</f>
        <v>0</v>
      </c>
      <c r="Y26" s="700" t="str">
        <f>IF('Entries July 2026'!AH26-'Entries July 2026'!AH25&lt;1,"0",'Entries July 2026'!AH26-'Entries July 2026'!AH25)</f>
        <v>0</v>
      </c>
      <c r="Z26" s="322">
        <f t="shared" si="2"/>
        <v>288</v>
      </c>
      <c r="AA26" s="323">
        <v>406.89000000000004</v>
      </c>
      <c r="AB26" s="324">
        <f t="shared" si="3"/>
        <v>7.0780800707807998</v>
      </c>
    </row>
    <row r="27" spans="1:32" x14ac:dyDescent="0.2">
      <c r="A27" s="29"/>
      <c r="B27" s="697">
        <v>21</v>
      </c>
      <c r="C27" s="698" t="str">
        <f>IF('Entries July 2026'!W27-'Entries July 2026'!W26&lt;1,"0",'Entries July 2026'!W27-'Entries July 2026'!W26)</f>
        <v>0</v>
      </c>
      <c r="D27" s="699">
        <f>IF('Entries July 2026'!O27-'Entries July 2026'!O26&lt;1,"0",'Entries July 2026'!O27-'Entries July 2026'!O26)</f>
        <v>289</v>
      </c>
      <c r="E27" s="699">
        <f>IF('Entries July 2026'!P27-'Entries July 2026'!P26&lt;1,"0",'Entries July 2026'!P27-'Entries July 2026'!P26)</f>
        <v>121</v>
      </c>
      <c r="F27" s="699">
        <f>IF('Entries July 2026'!V27-'Entries July 2026'!V26&lt;1,"0",'Entries July 2026'!V27-'Entries July 2026'!V26)</f>
        <v>122</v>
      </c>
      <c r="G27" s="699">
        <f t="shared" si="0"/>
        <v>288</v>
      </c>
      <c r="H27" s="699">
        <f>IF('Entries July 2026'!Q27-'Entries July 2026'!Q26&lt;1,0,'Entries July 2026'!Q27-'Entries July 2026'!Q26)</f>
        <v>311</v>
      </c>
      <c r="I27" s="699">
        <f>IF('Entries July 2026'!AG27-'Entries July 2026'!AG26&lt;1,0,'Entries July 2026'!AG27-'Entries July 2026'!AG26)</f>
        <v>0</v>
      </c>
      <c r="J27" s="699">
        <f>IF('Entries July 2026'!S27-'Entries July 2026'!S26&lt;1,"0",'Entries July 2026'!S27-'Entries July 2026'!S26)</f>
        <v>236</v>
      </c>
      <c r="K27" s="699" t="str">
        <f>IF('Entries July 2026'!R27-'Entries July 2026'!R26&lt;1,"0",'Entries July 2026'!R27-'Entries July 2026'!R26)</f>
        <v>0</v>
      </c>
      <c r="L27" s="699" t="str">
        <f>IF('Entries July 2026'!T27-'Entries July 2026'!T26&lt;1,"0",'Entries July 2026'!T27-'Entries July 2026'!T26)</f>
        <v>0</v>
      </c>
      <c r="M27" s="699">
        <f>IF('Entries July 2026'!U27-'Entries July 2026'!U26&lt;1,"0",'Entries July 2026'!U27-'Entries July 2026'!U26)</f>
        <v>5</v>
      </c>
      <c r="N27" s="699">
        <f>IF('Entries July 2026'!X27-'Entries July 2026'!X26&lt;1,"0",'Entries July 2026'!X27-'Entries July 2026'!X26)</f>
        <v>66</v>
      </c>
      <c r="O27" s="699">
        <f>IF('Entries July 2026'!Y27-'Entries July 2026'!Y26&lt;1,"0",'Entries July 2026'!Y27-'Entries July 2026'!Y26)</f>
        <v>101</v>
      </c>
      <c r="P27" s="699">
        <f>IF('Entries July 2026'!AC27-'Entries July 2026'!AC26&lt;1,"0",'Entries July 2026'!AC27-'Entries July 2026'!AC26)</f>
        <v>23</v>
      </c>
      <c r="Q27" s="699">
        <f>IF('Entries July 2026'!Z27-'Entries July 2026'!Z26&lt;1,"0",'Entries July 2026'!Z27-'Entries July 2026'!Z26)</f>
        <v>24</v>
      </c>
      <c r="R27" s="699" t="str">
        <f>IF(('Entries July 2026'!AA27-'Entries July 2026'!AA26)+('Entries July 2026'!AB27-'Entries July 2026'!AB26)&lt;1,"0",('Entries July 2026'!AA27-'Entries July 2026'!AA26)+('Entries July 2026'!AB27-'Entries July 2026'!AB26))</f>
        <v>0</v>
      </c>
      <c r="S27" s="698">
        <f t="shared" si="4"/>
        <v>2880</v>
      </c>
      <c r="T27" s="698">
        <f t="shared" si="1"/>
        <v>172</v>
      </c>
      <c r="U27" s="699">
        <f>IF('Entries July 2026'!AC27-'Entries July 2026'!AC26&lt;1,"0",'Entries July 2026'!AC27-'Entries July 2026'!AC26)</f>
        <v>23</v>
      </c>
      <c r="V27" s="699">
        <f>IF('Entries July 2026'!AD27-'Entries July 2026'!AD26&lt;1,"0",'Entries July 2026'!AD27-'Entries July 2026'!AD26)</f>
        <v>26</v>
      </c>
      <c r="W27" s="699" t="str">
        <f>IF('Entries July 2026'!AE27-'Entries July 2026'!AE26&lt;1,"0",'Entries July 2026'!AE27-'Entries July 2026'!AE26)</f>
        <v>0</v>
      </c>
      <c r="X27" s="700" t="str">
        <f>IF('Entries July 2026'!AI27-'Entries July 2026'!AI26&lt;1,"0",'Entries July 2026'!AI27-'Entries July 2026'!AI26)</f>
        <v>0</v>
      </c>
      <c r="Y27" s="700" t="str">
        <f>IF('Entries July 2026'!AH27-'Entries July 2026'!AH26&lt;1,"0",'Entries July 2026'!AH27-'Entries July 2026'!AH26)</f>
        <v>0</v>
      </c>
      <c r="Z27" s="322">
        <f t="shared" si="2"/>
        <v>410</v>
      </c>
      <c r="AA27" s="323">
        <v>500.14800000000002</v>
      </c>
      <c r="AB27" s="324">
        <f t="shared" si="3"/>
        <v>8.1975735182386007</v>
      </c>
    </row>
    <row r="28" spans="1:32" x14ac:dyDescent="0.2">
      <c r="B28" s="697">
        <v>22</v>
      </c>
      <c r="C28" s="698" t="str">
        <f>IF('Entries July 2026'!W28-'Entries July 2026'!W27&lt;1,"0",'Entries July 2026'!W28-'Entries July 2026'!W27)</f>
        <v>0</v>
      </c>
      <c r="D28" s="699">
        <f>IF('Entries July 2026'!O28-'Entries July 2026'!O27&lt;1,"0",'Entries July 2026'!O28-'Entries July 2026'!O27)</f>
        <v>179</v>
      </c>
      <c r="E28" s="699">
        <f>IF('Entries July 2026'!P28-'Entries July 2026'!P27&lt;1,"0",'Entries July 2026'!P28-'Entries July 2026'!P27)</f>
        <v>215</v>
      </c>
      <c r="F28" s="699">
        <f>IF('Entries July 2026'!V28-'Entries July 2026'!V27&lt;1,"0",'Entries July 2026'!V28-'Entries July 2026'!V27)</f>
        <v>225</v>
      </c>
      <c r="G28" s="699">
        <f t="shared" si="0"/>
        <v>169</v>
      </c>
      <c r="H28" s="699">
        <f>IF('Entries July 2026'!Q28-'Entries July 2026'!Q27&lt;1,0,'Entries July 2026'!Q28-'Entries July 2026'!Q27)</f>
        <v>136</v>
      </c>
      <c r="I28" s="699">
        <f>IF('Entries July 2026'!AG28-'Entries July 2026'!AG27&lt;1,0,'Entries July 2026'!AG28-'Entries July 2026'!AG27)</f>
        <v>0</v>
      </c>
      <c r="J28" s="699">
        <f>IF('Entries July 2026'!S28-'Entries July 2026'!S27&lt;1,"0",'Entries July 2026'!S28-'Entries July 2026'!S27)</f>
        <v>142</v>
      </c>
      <c r="K28" s="699" t="str">
        <f>IF('Entries July 2026'!R28-'Entries July 2026'!R27&lt;1,"0",'Entries July 2026'!R28-'Entries July 2026'!R27)</f>
        <v>0</v>
      </c>
      <c r="L28" s="699" t="str">
        <f>IF('Entries July 2026'!T28-'Entries July 2026'!T27&lt;1,"0",'Entries July 2026'!T28-'Entries July 2026'!T27)</f>
        <v>0</v>
      </c>
      <c r="M28" s="699">
        <f>IF('Entries July 2026'!U28-'Entries July 2026'!U27&lt;1,"0",'Entries July 2026'!U28-'Entries July 2026'!U27)</f>
        <v>2</v>
      </c>
      <c r="N28" s="699">
        <f>IF('Entries July 2026'!X28-'Entries July 2026'!X27&lt;1,"0",'Entries July 2026'!X28-'Entries July 2026'!X27)</f>
        <v>26</v>
      </c>
      <c r="O28" s="699">
        <f>IF('Entries July 2026'!Y28-'Entries July 2026'!Y27&lt;1,"0",'Entries July 2026'!Y28-'Entries July 2026'!Y27)</f>
        <v>56</v>
      </c>
      <c r="P28" s="699">
        <f>IF('Entries July 2026'!AC28-'Entries July 2026'!AC27&lt;1,"0",'Entries July 2026'!AC28-'Entries July 2026'!AC27)</f>
        <v>9</v>
      </c>
      <c r="Q28" s="699">
        <f>IF('Entries July 2026'!Z28-'Entries July 2026'!Z27&lt;1,"0",'Entries July 2026'!Z28-'Entries July 2026'!Z27)</f>
        <v>1</v>
      </c>
      <c r="R28" s="699" t="str">
        <f>IF(('Entries July 2026'!AA28-'Entries July 2026'!AA27)+('Entries July 2026'!AB28-'Entries July 2026'!AB27)&lt;1,"0",('Entries July 2026'!AA28-'Entries July 2026'!AA27)+('Entries July 2026'!AB28-'Entries July 2026'!AB27))</f>
        <v>0</v>
      </c>
      <c r="S28" s="698">
        <f t="shared" si="4"/>
        <v>1690</v>
      </c>
      <c r="T28" s="698">
        <f t="shared" si="1"/>
        <v>84</v>
      </c>
      <c r="U28" s="699">
        <f>IF('Entries July 2026'!AC28-'Entries July 2026'!AC27&lt;1,"0",'Entries July 2026'!AC28-'Entries July 2026'!AC27)</f>
        <v>9</v>
      </c>
      <c r="V28" s="699">
        <f>IF('Entries July 2026'!AD28-'Entries July 2026'!AD27&lt;1,"0",'Entries July 2026'!AD28-'Entries July 2026'!AD27)</f>
        <v>52</v>
      </c>
      <c r="W28" s="699" t="str">
        <f>IF('Entries July 2026'!AE28-'Entries July 2026'!AE27&lt;1,"0",'Entries July 2026'!AE28-'Entries July 2026'!AE27)</f>
        <v>0</v>
      </c>
      <c r="X28" s="700" t="str">
        <f>IF('Entries July 2026'!AI28-'Entries July 2026'!AI27&lt;1,"0",'Entries July 2026'!AI28-'Entries July 2026'!AI27)</f>
        <v>0</v>
      </c>
      <c r="Y28" s="700" t="str">
        <f>IF('Entries July 2026'!AH28-'Entries July 2026'!AH27&lt;1,"0",'Entries July 2026'!AH28-'Entries July 2026'!AH27)</f>
        <v>0</v>
      </c>
      <c r="Z28" s="322">
        <f t="shared" si="2"/>
        <v>394</v>
      </c>
      <c r="AA28" s="323">
        <v>202.554</v>
      </c>
      <c r="AB28" s="324">
        <f t="shared" si="3"/>
        <v>19.451603029315638</v>
      </c>
    </row>
    <row r="29" spans="1:32" x14ac:dyDescent="0.2">
      <c r="B29" s="697">
        <v>23</v>
      </c>
      <c r="C29" s="698" t="str">
        <f>IF('Entries July 2026'!W29-'Entries July 2026'!W28&lt;1,"0",'Entries July 2026'!W29-'Entries July 2026'!W28)</f>
        <v>0</v>
      </c>
      <c r="D29" s="699">
        <f>IF('Entries July 2026'!O29-'Entries July 2026'!O28&lt;1,"0",'Entries July 2026'!O29-'Entries July 2026'!O28)</f>
        <v>149</v>
      </c>
      <c r="E29" s="699">
        <f>IF('Entries July 2026'!P29-'Entries July 2026'!P28&lt;1,"0",'Entries July 2026'!P29-'Entries July 2026'!P28)</f>
        <v>203</v>
      </c>
      <c r="F29" s="699">
        <f>IF('Entries July 2026'!V29-'Entries July 2026'!V28&lt;1,"0",'Entries July 2026'!V29-'Entries July 2026'!V28)</f>
        <v>212</v>
      </c>
      <c r="G29" s="699">
        <f t="shared" si="0"/>
        <v>140</v>
      </c>
      <c r="H29" s="699">
        <f>IF('Entries July 2026'!Q29-'Entries July 2026'!Q28&lt;1,0,'Entries July 2026'!Q29-'Entries July 2026'!Q28)</f>
        <v>159</v>
      </c>
      <c r="I29" s="699">
        <f>IF('Entries July 2026'!AG29-'Entries July 2026'!AG28&lt;1,0,'Entries July 2026'!AG29-'Entries July 2026'!AG28)</f>
        <v>0</v>
      </c>
      <c r="J29" s="699">
        <f>IF('Entries July 2026'!S29-'Entries July 2026'!S28&lt;1,"0",'Entries July 2026'!S29-'Entries July 2026'!S28)</f>
        <v>259</v>
      </c>
      <c r="K29" s="699" t="str">
        <f>IF('Entries July 2026'!R29-'Entries July 2026'!R28&lt;1,"0",'Entries July 2026'!R29-'Entries July 2026'!R28)</f>
        <v>0</v>
      </c>
      <c r="L29" s="699" t="str">
        <f>IF('Entries July 2026'!T29-'Entries July 2026'!T28&lt;1,"0",'Entries July 2026'!T29-'Entries July 2026'!T28)</f>
        <v>0</v>
      </c>
      <c r="M29" s="699">
        <f>IF('Entries July 2026'!U29-'Entries July 2026'!U28&lt;1,"0",'Entries July 2026'!U29-'Entries July 2026'!U28)</f>
        <v>2</v>
      </c>
      <c r="N29" s="699">
        <f>IF('Entries July 2026'!X29-'Entries July 2026'!X28&lt;1,"0",'Entries July 2026'!X29-'Entries July 2026'!X28)</f>
        <v>37</v>
      </c>
      <c r="O29" s="699">
        <f>IF('Entries July 2026'!Y29-'Entries July 2026'!Y28&lt;1,"0",'Entries July 2026'!Y29-'Entries July 2026'!Y28)</f>
        <v>64</v>
      </c>
      <c r="P29" s="699">
        <f>IF('Entries July 2026'!AC29-'Entries July 2026'!AC28&lt;1,"0",'Entries July 2026'!AC29-'Entries July 2026'!AC28)</f>
        <v>19</v>
      </c>
      <c r="Q29" s="699">
        <f>IF('Entries July 2026'!Z29-'Entries July 2026'!Z28&lt;1,"0",'Entries July 2026'!Z29-'Entries July 2026'!Z28)</f>
        <v>40</v>
      </c>
      <c r="R29" s="699" t="str">
        <f>IF(('Entries July 2026'!AA29-'Entries July 2026'!AA28)+('Entries July 2026'!AB29-'Entries July 2026'!AB28)&lt;1,"0",('Entries July 2026'!AA29-'Entries July 2026'!AA28)+('Entries July 2026'!AB29-'Entries July 2026'!AB28))</f>
        <v>0</v>
      </c>
      <c r="S29" s="698">
        <f t="shared" si="4"/>
        <v>1400</v>
      </c>
      <c r="T29" s="698">
        <f t="shared" si="1"/>
        <v>103</v>
      </c>
      <c r="U29" s="699">
        <f>IF('Entries July 2026'!AC29-'Entries July 2026'!AC28&lt;1,"0",'Entries July 2026'!AC29-'Entries July 2026'!AC28)</f>
        <v>19</v>
      </c>
      <c r="V29" s="699" t="str">
        <f>IF('Entries July 2026'!AD29-'Entries July 2026'!AD28&lt;1,"0",'Entries July 2026'!AD29-'Entries July 2026'!AD28)</f>
        <v>0</v>
      </c>
      <c r="W29" s="699" t="str">
        <f>IF('Entries July 2026'!AE29-'Entries July 2026'!AE28&lt;1,"0",'Entries July 2026'!AE29-'Entries July 2026'!AE28)</f>
        <v>0</v>
      </c>
      <c r="X29" s="700" t="str">
        <f>IF('Entries July 2026'!AI29-'Entries July 2026'!AI28&lt;1,"0",'Entries July 2026'!AI29-'Entries July 2026'!AI28)</f>
        <v>0</v>
      </c>
      <c r="Y29" s="700" t="str">
        <f>IF('Entries July 2026'!AH29-'Entries July 2026'!AH28&lt;1,"0",'Entries July 2026'!AH29-'Entries July 2026'!AH28)</f>
        <v>0</v>
      </c>
      <c r="Z29" s="322">
        <f t="shared" si="2"/>
        <v>352</v>
      </c>
      <c r="AA29" s="323">
        <v>258.786</v>
      </c>
      <c r="AB29" s="324">
        <f t="shared" si="3"/>
        <v>13.601972285981468</v>
      </c>
    </row>
    <row r="30" spans="1:32" x14ac:dyDescent="0.2">
      <c r="B30" s="697">
        <v>24</v>
      </c>
      <c r="C30" s="698" t="str">
        <f>IF('Entries July 2026'!W30-'Entries July 2026'!W29&lt;1,"0",'Entries July 2026'!W30-'Entries July 2026'!W29)</f>
        <v>0</v>
      </c>
      <c r="D30" s="699">
        <f>IF('Entries July 2026'!O30-'Entries July 2026'!O29&lt;1,"0",'Entries July 2026'!O30-'Entries July 2026'!O29)</f>
        <v>233</v>
      </c>
      <c r="E30" s="699">
        <f>IF('Entries July 2026'!P30-'Entries July 2026'!P29&lt;1,"0",'Entries July 2026'!P30-'Entries July 2026'!P29)</f>
        <v>204</v>
      </c>
      <c r="F30" s="699">
        <f>IF('Entries July 2026'!V30-'Entries July 2026'!V29&lt;1,"0",'Entries July 2026'!V30-'Entries July 2026'!V29)</f>
        <v>254</v>
      </c>
      <c r="G30" s="699">
        <f t="shared" si="0"/>
        <v>183</v>
      </c>
      <c r="H30" s="699">
        <f>IF('Entries July 2026'!Q30-'Entries July 2026'!Q29&lt;1,0,'Entries July 2026'!Q30-'Entries July 2026'!Q29)</f>
        <v>158</v>
      </c>
      <c r="I30" s="699">
        <f>IF('Entries July 2026'!AG30-'Entries July 2026'!AG29&lt;1,0,'Entries July 2026'!AG30-'Entries July 2026'!AG29)</f>
        <v>0</v>
      </c>
      <c r="J30" s="699">
        <f>IF('Entries July 2026'!S30-'Entries July 2026'!S29&lt;1,"0",'Entries July 2026'!S30-'Entries July 2026'!S29)</f>
        <v>120</v>
      </c>
      <c r="K30" s="699" t="str">
        <f>IF('Entries July 2026'!R30-'Entries July 2026'!R29&lt;1,"0",'Entries July 2026'!R30-'Entries July 2026'!R29)</f>
        <v>0</v>
      </c>
      <c r="L30" s="699" t="str">
        <f>IF('Entries July 2026'!T30-'Entries July 2026'!T29&lt;1,"0",'Entries July 2026'!T30-'Entries July 2026'!T29)</f>
        <v>0</v>
      </c>
      <c r="M30" s="699">
        <f>IF('Entries July 2026'!U30-'Entries July 2026'!U29&lt;1,"0",'Entries July 2026'!U30-'Entries July 2026'!U29)</f>
        <v>3</v>
      </c>
      <c r="N30" s="699">
        <f>IF('Entries July 2026'!X30-'Entries July 2026'!X29&lt;1,"0",'Entries July 2026'!X30-'Entries July 2026'!X29)</f>
        <v>49</v>
      </c>
      <c r="O30" s="699">
        <f>IF('Entries July 2026'!Y30-'Entries July 2026'!Y29&lt;1,"0",'Entries July 2026'!Y30-'Entries July 2026'!Y29)</f>
        <v>47</v>
      </c>
      <c r="P30" s="699">
        <f>IF('Entries July 2026'!AC30-'Entries July 2026'!AC29&lt;1,"0",'Entries July 2026'!AC30-'Entries July 2026'!AC29)</f>
        <v>11</v>
      </c>
      <c r="Q30" s="699">
        <f>IF('Entries July 2026'!Z30-'Entries July 2026'!Z29&lt;1,"0",'Entries July 2026'!Z30-'Entries July 2026'!Z29)</f>
        <v>18</v>
      </c>
      <c r="R30" s="699" t="str">
        <f>IF(('Entries July 2026'!AA30-'Entries July 2026'!AA29)+('Entries July 2026'!AB30-'Entries July 2026'!AB29)&lt;1,"0",('Entries July 2026'!AA30-'Entries July 2026'!AA29)+('Entries July 2026'!AB30-'Entries July 2026'!AB29))</f>
        <v>0</v>
      </c>
      <c r="S30" s="698">
        <f t="shared" si="4"/>
        <v>1830</v>
      </c>
      <c r="T30" s="698">
        <f t="shared" si="1"/>
        <v>99</v>
      </c>
      <c r="U30" s="699">
        <f>IF('Entries July 2026'!AC30-'Entries July 2026'!AC29&lt;1,"0",'Entries July 2026'!AC30-'Entries July 2026'!AC29)</f>
        <v>11</v>
      </c>
      <c r="V30" s="699" t="str">
        <f>IF('Entries July 2026'!AD30-'Entries July 2026'!AD29&lt;1,"0",'Entries July 2026'!AD30-'Entries July 2026'!AD29)</f>
        <v>0</v>
      </c>
      <c r="W30" s="699" t="str">
        <f>IF('Entries July 2026'!AE30-'Entries July 2026'!AE29&lt;1,"0",'Entries July 2026'!AE30-'Entries July 2026'!AE29)</f>
        <v>0</v>
      </c>
      <c r="X30" s="700" t="str">
        <f>IF('Entries July 2026'!AI30-'Entries July 2026'!AI29&lt;1,"0",'Entries July 2026'!AI30-'Entries July 2026'!AI29)</f>
        <v>0</v>
      </c>
      <c r="Y30" s="700" t="str">
        <f>IF('Entries July 2026'!AH30-'Entries July 2026'!AH29&lt;1,"0",'Entries July 2026'!AH30-'Entries July 2026'!AH29)</f>
        <v>0</v>
      </c>
      <c r="Z30" s="322">
        <f t="shared" si="2"/>
        <v>437</v>
      </c>
      <c r="AA30" s="323">
        <v>91.872</v>
      </c>
      <c r="AB30" s="324">
        <f t="shared" si="3"/>
        <v>47.566179031696272</v>
      </c>
    </row>
    <row r="31" spans="1:32" x14ac:dyDescent="0.2">
      <c r="B31" s="697">
        <v>25</v>
      </c>
      <c r="C31" s="698" t="str">
        <f>IF('Entries July 2026'!W31-'Entries July 2026'!W30&lt;1,"0",'Entries July 2026'!W31-'Entries July 2026'!W30)</f>
        <v>0</v>
      </c>
      <c r="D31" s="699">
        <f>IF('Entries July 2026'!O31-'Entries July 2026'!O30&lt;1,"0",'Entries July 2026'!O31-'Entries July 2026'!O30)</f>
        <v>127</v>
      </c>
      <c r="E31" s="699">
        <f>IF('Entries July 2026'!P31-'Entries July 2026'!P30&lt;1,"0",'Entries July 2026'!P31-'Entries July 2026'!P30)</f>
        <v>136</v>
      </c>
      <c r="F31" s="699">
        <f>IF('Entries July 2026'!V31-'Entries July 2026'!V30&lt;1,"0",'Entries July 2026'!V31-'Entries July 2026'!V30)</f>
        <v>103</v>
      </c>
      <c r="G31" s="699">
        <f t="shared" si="0"/>
        <v>160</v>
      </c>
      <c r="H31" s="699">
        <f>IF('Entries July 2026'!Q31-'Entries July 2026'!Q30&lt;1,0,'Entries July 2026'!Q31-'Entries July 2026'!Q30)</f>
        <v>82</v>
      </c>
      <c r="I31" s="699">
        <f>IF('Entries July 2026'!AG31-'Entries July 2026'!AG30&lt;1,0,'Entries July 2026'!AG31-'Entries July 2026'!AG30)</f>
        <v>0</v>
      </c>
      <c r="J31" s="699">
        <f>IF('Entries July 2026'!S31-'Entries July 2026'!S30&lt;1,"0",'Entries July 2026'!S31-'Entries July 2026'!S30)</f>
        <v>1</v>
      </c>
      <c r="K31" s="699" t="str">
        <f>IF('Entries July 2026'!R31-'Entries July 2026'!R30&lt;1,"0",'Entries July 2026'!R31-'Entries July 2026'!R30)</f>
        <v>0</v>
      </c>
      <c r="L31" s="699" t="str">
        <f>IF('Entries July 2026'!T31-'Entries July 2026'!T30&lt;1,"0",'Entries July 2026'!T31-'Entries July 2026'!T30)</f>
        <v>0</v>
      </c>
      <c r="M31" s="699" t="str">
        <f>IF('Entries July 2026'!U31-'Entries July 2026'!U30&lt;1,"0",'Entries July 2026'!U31-'Entries July 2026'!U30)</f>
        <v>0</v>
      </c>
      <c r="N31" s="699" t="str">
        <f>IF('Entries July 2026'!X31-'Entries July 2026'!X30&lt;1,"0",'Entries July 2026'!X31-'Entries July 2026'!X30)</f>
        <v>0</v>
      </c>
      <c r="O31" s="699">
        <f>IF('Entries July 2026'!Y31-'Entries July 2026'!Y30&lt;1,"0",'Entries July 2026'!Y31-'Entries July 2026'!Y30)</f>
        <v>31</v>
      </c>
      <c r="P31" s="699" t="str">
        <f>IF('Entries July 2026'!AC31-'Entries July 2026'!AC30&lt;1,"0",'Entries July 2026'!AC31-'Entries July 2026'!AC30)</f>
        <v>0</v>
      </c>
      <c r="Q31" s="699">
        <f>IF('Entries July 2026'!Z31-'Entries July 2026'!Z30&lt;1,"0",'Entries July 2026'!Z31-'Entries July 2026'!Z30)</f>
        <v>3</v>
      </c>
      <c r="R31" s="699" t="str">
        <f>IF(('Entries July 2026'!AA31-'Entries July 2026'!AA30)+('Entries July 2026'!AB31-'Entries July 2026'!AB30)&lt;1,"0",('Entries July 2026'!AA31-'Entries July 2026'!AA30)+('Entries July 2026'!AB31-'Entries July 2026'!AB30))</f>
        <v>0</v>
      </c>
      <c r="S31" s="698">
        <f t="shared" si="4"/>
        <v>1600</v>
      </c>
      <c r="T31" s="698">
        <f t="shared" si="1"/>
        <v>31</v>
      </c>
      <c r="U31" s="699" t="str">
        <f>IF('Entries July 2026'!AC31-'Entries July 2026'!AC30&lt;1,"0",'Entries July 2026'!AC31-'Entries July 2026'!AC30)</f>
        <v>0</v>
      </c>
      <c r="V31" s="699" t="str">
        <f>IF('Entries July 2026'!AD31-'Entries July 2026'!AD30&lt;1,"0",'Entries July 2026'!AD31-'Entries July 2026'!AD30)</f>
        <v>0</v>
      </c>
      <c r="W31" s="699" t="str">
        <f>IF('Entries July 2026'!AE31-'Entries July 2026'!AE30&lt;1,"0",'Entries July 2026'!AE31-'Entries July 2026'!AE30)</f>
        <v>0</v>
      </c>
      <c r="X31" s="700" t="str">
        <f>IF('Entries July 2026'!AI31-'Entries July 2026'!AI30&lt;1,"0",'Entries July 2026'!AI31-'Entries July 2026'!AI30)</f>
        <v>0</v>
      </c>
      <c r="Y31" s="700" t="str">
        <f>IF('Entries July 2026'!AH31-'Entries July 2026'!AH30&lt;1,"0",'Entries July 2026'!AH31-'Entries July 2026'!AH30)</f>
        <v>0</v>
      </c>
      <c r="Z31" s="322">
        <f t="shared" si="2"/>
        <v>263</v>
      </c>
      <c r="AA31" s="323" t="str">
        <v>0</v>
      </c>
      <c r="AB31" s="324" t="str">
        <f t="shared" si="3"/>
        <v>0</v>
      </c>
      <c r="AF31" s="8" t="s">
        <v>58</v>
      </c>
    </row>
    <row r="32" spans="1:32" x14ac:dyDescent="0.2">
      <c r="B32" s="697">
        <v>26</v>
      </c>
      <c r="C32" s="698" t="str">
        <f>IF('Entries July 2026'!W32-'Entries July 2026'!W31&lt;1,"0",'Entries July 2026'!W32-'Entries July 2026'!W31)</f>
        <v>0</v>
      </c>
      <c r="D32" s="699" t="str">
        <f>IF('Entries July 2026'!O32-'Entries July 2026'!O31&lt;1,"0",'Entries July 2026'!O32-'Entries July 2026'!O31)</f>
        <v>0</v>
      </c>
      <c r="E32" s="699" t="str">
        <f>IF('Entries July 2026'!P32-'Entries July 2026'!P31&lt;1,"0",'Entries July 2026'!P32-'Entries July 2026'!P31)</f>
        <v>0</v>
      </c>
      <c r="F32" s="699" t="str">
        <f>IF('Entries July 2026'!V32-'Entries July 2026'!V31&lt;1,"0",'Entries July 2026'!V32-'Entries July 2026'!V31)</f>
        <v>0</v>
      </c>
      <c r="G32" s="699">
        <f t="shared" si="0"/>
        <v>0</v>
      </c>
      <c r="H32" s="699">
        <f>IF('Entries July 2026'!Q32-'Entries July 2026'!Q31&lt;1,0,'Entries July 2026'!Q32-'Entries July 2026'!Q31)</f>
        <v>31</v>
      </c>
      <c r="I32" s="699">
        <f>IF('Entries July 2026'!AG32-'Entries July 2026'!AG31&lt;1,0,'Entries July 2026'!AG32-'Entries July 2026'!AG31)</f>
        <v>0</v>
      </c>
      <c r="J32" s="699">
        <f>IF('Entries July 2026'!S32-'Entries July 2026'!S31&lt;1,"0",'Entries July 2026'!S32-'Entries July 2026'!S31)</f>
        <v>4</v>
      </c>
      <c r="K32" s="699" t="str">
        <f>IF('Entries July 2026'!R32-'Entries July 2026'!R31&lt;1,"0",'Entries July 2026'!R32-'Entries July 2026'!R31)</f>
        <v>0</v>
      </c>
      <c r="L32" s="699" t="str">
        <f>IF('Entries July 2026'!T32-'Entries July 2026'!T31&lt;1,"0",'Entries July 2026'!T32-'Entries July 2026'!T31)</f>
        <v>0</v>
      </c>
      <c r="M32" s="699" t="str">
        <f>IF('Entries July 2026'!U32-'Entries July 2026'!U31&lt;1,"0",'Entries July 2026'!U32-'Entries July 2026'!U31)</f>
        <v>0</v>
      </c>
      <c r="N32" s="699">
        <f>IF('Entries July 2026'!X32-'Entries July 2026'!X31&lt;1,"0",'Entries July 2026'!X32-'Entries July 2026'!X31)</f>
        <v>8</v>
      </c>
      <c r="O32" s="699" t="str">
        <f>IF('Entries July 2026'!Y32-'Entries July 2026'!Y31&lt;1,"0",'Entries July 2026'!Y32-'Entries July 2026'!Y31)</f>
        <v>0</v>
      </c>
      <c r="P32" s="699" t="str">
        <f>IF('Entries July 2026'!AC32-'Entries July 2026'!AC31&lt;1,"0",'Entries July 2026'!AC32-'Entries July 2026'!AC31)</f>
        <v>0</v>
      </c>
      <c r="Q32" s="699">
        <f>IF('Entries July 2026'!Z32-'Entries July 2026'!Z31&lt;1,"0",'Entries July 2026'!Z32-'Entries July 2026'!Z31)</f>
        <v>24</v>
      </c>
      <c r="R32" s="699" t="str">
        <f>IF(('Entries July 2026'!AA32-'Entries July 2026'!AA31)+('Entries July 2026'!AB32-'Entries July 2026'!AB31)&lt;1,"0",('Entries July 2026'!AA32-'Entries July 2026'!AA31)+('Entries July 2026'!AB32-'Entries July 2026'!AB31))</f>
        <v>0</v>
      </c>
      <c r="S32" s="698">
        <f t="shared" si="4"/>
        <v>0</v>
      </c>
      <c r="T32" s="698">
        <f t="shared" si="1"/>
        <v>8</v>
      </c>
      <c r="U32" s="699" t="str">
        <f>IF('Entries July 2026'!AC32-'Entries July 2026'!AC31&lt;1,"0",'Entries July 2026'!AC32-'Entries July 2026'!AC31)</f>
        <v>0</v>
      </c>
      <c r="V32" s="699" t="str">
        <f>IF('Entries July 2026'!AD32-'Entries July 2026'!AD31&lt;1,"0",'Entries July 2026'!AD32-'Entries July 2026'!AD31)</f>
        <v>0</v>
      </c>
      <c r="W32" s="699" t="str">
        <f>IF('Entries July 2026'!AE32-'Entries July 2026'!AE31&lt;1,"0",'Entries July 2026'!AE32-'Entries July 2026'!AE31)</f>
        <v>0</v>
      </c>
      <c r="X32" s="700" t="str">
        <f>IF('Entries July 2026'!AI32-'Entries July 2026'!AI31&lt;1,"0",'Entries July 2026'!AI32-'Entries July 2026'!AI31)</f>
        <v>0</v>
      </c>
      <c r="Y32" s="700" t="str">
        <f>IF('Entries July 2026'!AH32-'Entries July 2026'!AH31&lt;1,"0",'Entries July 2026'!AH32-'Entries July 2026'!AH31)</f>
        <v>0</v>
      </c>
      <c r="Z32" s="322">
        <f t="shared" si="2"/>
        <v>0</v>
      </c>
      <c r="AA32" s="323" t="str">
        <v>0</v>
      </c>
      <c r="AB32" s="324" t="str">
        <f t="shared" si="3"/>
        <v>0</v>
      </c>
    </row>
    <row r="33" spans="1:36" x14ac:dyDescent="0.2">
      <c r="A33" s="29"/>
      <c r="B33" s="697">
        <v>27</v>
      </c>
      <c r="C33" s="698" t="str">
        <f>IF('Entries July 2026'!W33-'Entries July 2026'!W32&lt;1,"0",'Entries July 2026'!W33-'Entries July 2026'!W32)</f>
        <v>0</v>
      </c>
      <c r="D33" s="699">
        <f>IF('Entries July 2026'!O33-'Entries July 2026'!O32&lt;1,"0",'Entries July 2026'!O33-'Entries July 2026'!O32)</f>
        <v>73</v>
      </c>
      <c r="E33" s="699">
        <f>IF('Entries July 2026'!P33-'Entries July 2026'!P32&lt;1,"0",'Entries July 2026'!P33-'Entries July 2026'!P32)</f>
        <v>242</v>
      </c>
      <c r="F33" s="699">
        <f>IF('Entries July 2026'!V33-'Entries July 2026'!V32&lt;1,"0",'Entries July 2026'!V33-'Entries July 2026'!V32)</f>
        <v>254</v>
      </c>
      <c r="G33" s="699">
        <f t="shared" si="0"/>
        <v>61</v>
      </c>
      <c r="H33" s="699">
        <f>IF('Entries July 2026'!Q33-'Entries July 2026'!Q32&lt;1,0,'Entries July 2026'!Q33-'Entries July 2026'!Q32)</f>
        <v>224</v>
      </c>
      <c r="I33" s="699">
        <f>IF('Entries July 2026'!AG33-'Entries July 2026'!AG32&lt;1,0,'Entries July 2026'!AG33-'Entries July 2026'!AG32)</f>
        <v>0</v>
      </c>
      <c r="J33" s="699">
        <f>IF('Entries July 2026'!S33-'Entries July 2026'!S32&lt;1,"0",'Entries July 2026'!S33-'Entries July 2026'!S32)</f>
        <v>83</v>
      </c>
      <c r="K33" s="699" t="str">
        <f>IF('Entries July 2026'!R33-'Entries July 2026'!R32&lt;1,"0",'Entries July 2026'!R33-'Entries July 2026'!R32)</f>
        <v>0</v>
      </c>
      <c r="L33" s="699" t="str">
        <f>IF('Entries July 2026'!T33-'Entries July 2026'!T32&lt;1,"0",'Entries July 2026'!T33-'Entries July 2026'!T32)</f>
        <v>0</v>
      </c>
      <c r="M33" s="699">
        <f>IF('Entries July 2026'!U33-'Entries July 2026'!U32&lt;1,"0",'Entries July 2026'!U33-'Entries July 2026'!U32)</f>
        <v>2</v>
      </c>
      <c r="N33" s="699">
        <f>IF('Entries July 2026'!X33-'Entries July 2026'!X32&lt;1,"0",'Entries July 2026'!X33-'Entries July 2026'!X32)</f>
        <v>21</v>
      </c>
      <c r="O33" s="699">
        <f>IF('Entries July 2026'!Y33-'Entries July 2026'!Y32&lt;1,"0",'Entries July 2026'!Y33-'Entries July 2026'!Y32)</f>
        <v>120</v>
      </c>
      <c r="P33" s="699">
        <f>IF('Entries July 2026'!AC33-'Entries July 2026'!AC32&lt;1,"0",'Entries July 2026'!AC33-'Entries July 2026'!AC32)</f>
        <v>25</v>
      </c>
      <c r="Q33" s="699">
        <f>IF('Entries July 2026'!Z33-'Entries July 2026'!Z32&lt;1,"0",'Entries July 2026'!Z33-'Entries July 2026'!Z32)</f>
        <v>1</v>
      </c>
      <c r="R33" s="699" t="str">
        <f>IF(('Entries July 2026'!AA33-'Entries July 2026'!AA32)+('Entries July 2026'!AB33-'Entries July 2026'!AB32)&lt;1,"0",('Entries July 2026'!AA33-'Entries July 2026'!AA32)+('Entries July 2026'!AB33-'Entries July 2026'!AB32))</f>
        <v>0</v>
      </c>
      <c r="S33" s="698">
        <f t="shared" si="4"/>
        <v>610</v>
      </c>
      <c r="T33" s="698">
        <f t="shared" si="1"/>
        <v>143</v>
      </c>
      <c r="U33" s="699">
        <f>IF('Entries July 2026'!AC33-'Entries July 2026'!AC32&lt;1,"0",'Entries July 2026'!AC33-'Entries July 2026'!AC32)</f>
        <v>25</v>
      </c>
      <c r="V33" s="699" t="str">
        <f>IF('Entries July 2026'!AD33-'Entries July 2026'!AD32&lt;1,"0",'Entries July 2026'!AD33-'Entries July 2026'!AD32)</f>
        <v>0</v>
      </c>
      <c r="W33" s="699" t="str">
        <f>IF('Entries July 2026'!AE33-'Entries July 2026'!AE32&lt;1,"0",'Entries July 2026'!AE33-'Entries July 2026'!AE32)</f>
        <v>0</v>
      </c>
      <c r="X33" s="700" t="str">
        <f>IF('Entries July 2026'!AI33-'Entries July 2026'!AI32&lt;1,"0",'Entries July 2026'!AI33-'Entries July 2026'!AI32)</f>
        <v>0</v>
      </c>
      <c r="Y33" s="700" t="str">
        <f>IF('Entries July 2026'!AH33-'Entries July 2026'!AH32&lt;1,"0",'Entries July 2026'!AH33-'Entries July 2026'!AH32)</f>
        <v>0</v>
      </c>
      <c r="Z33" s="322">
        <f t="shared" si="2"/>
        <v>315</v>
      </c>
      <c r="AA33" s="323">
        <v>365.97</v>
      </c>
      <c r="AB33" s="324">
        <f t="shared" si="3"/>
        <v>8.6072628904008521</v>
      </c>
    </row>
    <row r="34" spans="1:36" x14ac:dyDescent="0.2">
      <c r="A34" s="29"/>
      <c r="B34" s="697">
        <v>28</v>
      </c>
      <c r="C34" s="698" t="str">
        <f>IF('Entries July 2026'!W34-'Entries July 2026'!W33&lt;1,"0",'Entries July 2026'!W34-'Entries July 2026'!W33)</f>
        <v>0</v>
      </c>
      <c r="D34" s="699">
        <f>IF('Entries July 2026'!O34-'Entries July 2026'!O33&lt;1,"0",'Entries July 2026'!O34-'Entries July 2026'!O33)</f>
        <v>123</v>
      </c>
      <c r="E34" s="699">
        <f>IF('Entries July 2026'!P34-'Entries July 2026'!P33&lt;1,"0",'Entries July 2026'!P34-'Entries July 2026'!P33)</f>
        <v>218</v>
      </c>
      <c r="F34" s="699">
        <f>IF('Entries July 2026'!V34-'Entries July 2026'!V33&lt;1,"0",'Entries July 2026'!V34-'Entries July 2026'!V33)</f>
        <v>229</v>
      </c>
      <c r="G34" s="699">
        <f t="shared" si="0"/>
        <v>112</v>
      </c>
      <c r="H34" s="699">
        <f>IF('Entries July 2026'!Q34-'Entries July 2026'!Q33&lt;1,0,'Entries July 2026'!Q34-'Entries July 2026'!Q33)</f>
        <v>236</v>
      </c>
      <c r="I34" s="699">
        <f>IF('Entries July 2026'!AG34-'Entries July 2026'!AG33&lt;1,0,'Entries July 2026'!AG34-'Entries July 2026'!AG33)</f>
        <v>0</v>
      </c>
      <c r="J34" s="699">
        <f>IF('Entries July 2026'!S34-'Entries July 2026'!S33&lt;1,"0",'Entries July 2026'!S34-'Entries July 2026'!S33)</f>
        <v>156</v>
      </c>
      <c r="K34" s="699" t="str">
        <f>IF('Entries July 2026'!R34-'Entries July 2026'!R33&lt;1,"0",'Entries July 2026'!R34-'Entries July 2026'!R33)</f>
        <v>0</v>
      </c>
      <c r="L34" s="699" t="str">
        <f>IF('Entries July 2026'!T34-'Entries July 2026'!T33&lt;1,"0",'Entries July 2026'!T34-'Entries July 2026'!T33)</f>
        <v>0</v>
      </c>
      <c r="M34" s="699">
        <f>IF('Entries July 2026'!U34-'Entries July 2026'!U33&lt;1,"0",'Entries July 2026'!U34-'Entries July 2026'!U33)</f>
        <v>1</v>
      </c>
      <c r="N34" s="699">
        <f>IF('Entries July 2026'!X34-'Entries July 2026'!X33&lt;1,"0",'Entries July 2026'!X34-'Entries July 2026'!X33)</f>
        <v>37</v>
      </c>
      <c r="O34" s="699">
        <f>IF('Entries July 2026'!Y34-'Entries July 2026'!Y33&lt;1,"0",'Entries July 2026'!Y34-'Entries July 2026'!Y33)</f>
        <v>125</v>
      </c>
      <c r="P34" s="699">
        <f>IF('Entries July 2026'!AC34-'Entries July 2026'!AC33&lt;1,"0",'Entries July 2026'!AC34-'Entries July 2026'!AC33)</f>
        <v>27</v>
      </c>
      <c r="Q34" s="699">
        <f>IF('Entries July 2026'!Z34-'Entries July 2026'!Z33&lt;1,"0",'Entries July 2026'!Z34-'Entries July 2026'!Z33)</f>
        <v>23</v>
      </c>
      <c r="R34" s="699" t="str">
        <f>IF(('Entries July 2026'!AA34-'Entries July 2026'!AA33)+('Entries July 2026'!AB34-'Entries July 2026'!AB33)&lt;1,"0",('Entries July 2026'!AA34-'Entries July 2026'!AA33)+('Entries July 2026'!AB34-'Entries July 2026'!AB33))</f>
        <v>0</v>
      </c>
      <c r="S34" s="698">
        <f t="shared" si="4"/>
        <v>1120</v>
      </c>
      <c r="T34" s="698">
        <f t="shared" si="1"/>
        <v>163</v>
      </c>
      <c r="U34" s="699">
        <f>IF('Entries July 2026'!AC34-'Entries July 2026'!AC33&lt;1,"0",'Entries July 2026'!AC34-'Entries July 2026'!AC33)</f>
        <v>27</v>
      </c>
      <c r="V34" s="699" t="str">
        <f>IF('Entries July 2026'!AD34-'Entries July 2026'!AD33&lt;1,"0",'Entries July 2026'!AD34-'Entries July 2026'!AD33)</f>
        <v>0</v>
      </c>
      <c r="W34" s="699" t="str">
        <f>IF('Entries July 2026'!AE34-'Entries July 2026'!AE33&lt;1,"0",'Entries July 2026'!AE34-'Entries July 2026'!AE33)</f>
        <v>0</v>
      </c>
      <c r="X34" s="700" t="str">
        <f>IF('Entries July 2026'!AI34-'Entries July 2026'!AI33&lt;1,"0",'Entries July 2026'!AI34-'Entries July 2026'!AI33)</f>
        <v>0</v>
      </c>
      <c r="Y34" s="700" t="str">
        <f>IF('Entries July 2026'!AH34-'Entries July 2026'!AH33&lt;1,"0",'Entries July 2026'!AH34-'Entries July 2026'!AH33)</f>
        <v>0</v>
      </c>
      <c r="Z34" s="322">
        <f t="shared" si="2"/>
        <v>341</v>
      </c>
      <c r="AA34" s="323">
        <v>642.048</v>
      </c>
      <c r="AB34" s="324">
        <f t="shared" si="3"/>
        <v>5.3111293859649127</v>
      </c>
    </row>
    <row r="35" spans="1:36" x14ac:dyDescent="0.2">
      <c r="B35" s="697">
        <v>29</v>
      </c>
      <c r="C35" s="698" t="str">
        <f>IF('Entries July 2026'!W35-'Entries July 2026'!W34&lt;1,"0",'Entries July 2026'!W35-'Entries July 2026'!W34)</f>
        <v>0</v>
      </c>
      <c r="D35" s="699">
        <f>IF('Entries July 2026'!O35-'Entries July 2026'!O34&lt;1,"0",'Entries July 2026'!O35-'Entries July 2026'!O34)</f>
        <v>335</v>
      </c>
      <c r="E35" s="699">
        <f>IF('Entries July 2026'!P35-'Entries July 2026'!P34&lt;1,"0",'Entries July 2026'!P35-'Entries July 2026'!P34)</f>
        <v>120</v>
      </c>
      <c r="F35" s="699">
        <f>IF('Entries July 2026'!V35-'Entries July 2026'!V34&lt;1,"0",'Entries July 2026'!V35-'Entries July 2026'!V34)</f>
        <v>126</v>
      </c>
      <c r="G35" s="699">
        <f t="shared" si="0"/>
        <v>329</v>
      </c>
      <c r="H35" s="699">
        <f>IF('Entries July 2026'!Q35-'Entries July 2026'!Q34&lt;1,0,'Entries July 2026'!Q35-'Entries July 2026'!Q34)</f>
        <v>237</v>
      </c>
      <c r="I35" s="699">
        <f>IF('Entries July 2026'!AG35-'Entries July 2026'!AG34&lt;1,0,'Entries July 2026'!AG35-'Entries July 2026'!AG34)</f>
        <v>0</v>
      </c>
      <c r="J35" s="699">
        <f>IF('Entries July 2026'!S35-'Entries July 2026'!S34&lt;1,"0",'Entries July 2026'!S35-'Entries July 2026'!S34)</f>
        <v>153</v>
      </c>
      <c r="K35" s="699" t="str">
        <f>IF('Entries July 2026'!R35-'Entries July 2026'!R34&lt;1,"0",'Entries July 2026'!R35-'Entries July 2026'!R34)</f>
        <v>0</v>
      </c>
      <c r="L35" s="699" t="str">
        <f>IF('Entries July 2026'!T35-'Entries July 2026'!T34&lt;1,"0",'Entries July 2026'!T35-'Entries July 2026'!T34)</f>
        <v>0</v>
      </c>
      <c r="M35" s="699">
        <f>IF('Entries July 2026'!U35-'Entries July 2026'!U34&lt;1,"0",'Entries July 2026'!U35-'Entries July 2026'!U34)</f>
        <v>3</v>
      </c>
      <c r="N35" s="699">
        <f>IF('Entries July 2026'!X35-'Entries July 2026'!X34&lt;1,"0",'Entries July 2026'!X35-'Entries July 2026'!X34)</f>
        <v>55</v>
      </c>
      <c r="O35" s="699">
        <f>IF('Entries July 2026'!Y35-'Entries July 2026'!Y34&lt;1,"0",'Entries July 2026'!Y35-'Entries July 2026'!Y34)</f>
        <v>69</v>
      </c>
      <c r="P35" s="699">
        <f>IF('Entries July 2026'!AC35-'Entries July 2026'!AC34&lt;1,"0",'Entries July 2026'!AC35-'Entries July 2026'!AC34)</f>
        <v>16</v>
      </c>
      <c r="Q35" s="699">
        <f>IF('Entries July 2026'!Z35-'Entries July 2026'!Z34&lt;1,"0",'Entries July 2026'!Z35-'Entries July 2026'!Z34)</f>
        <v>25</v>
      </c>
      <c r="R35" s="699" t="str">
        <f>IF(('Entries July 2026'!AA35-'Entries July 2026'!AA34)+('Entries July 2026'!AB35-'Entries July 2026'!AB34)&lt;1,"0",('Entries July 2026'!AA35-'Entries July 2026'!AA34)+('Entries July 2026'!AB35-'Entries July 2026'!AB34))</f>
        <v>0</v>
      </c>
      <c r="S35" s="698">
        <f t="shared" si="4"/>
        <v>3290</v>
      </c>
      <c r="T35" s="698">
        <f t="shared" si="1"/>
        <v>127</v>
      </c>
      <c r="U35" s="699">
        <f>IF('Entries July 2026'!AC35-'Entries July 2026'!AC34&lt;1,"0",'Entries July 2026'!AC35-'Entries July 2026'!AC34)</f>
        <v>16</v>
      </c>
      <c r="V35" s="699" t="str">
        <f>IF('Entries July 2026'!AD35-'Entries July 2026'!AD34&lt;1,"0",'Entries July 2026'!AD35-'Entries July 2026'!AD34)</f>
        <v>0</v>
      </c>
      <c r="W35" s="699" t="str">
        <f>IF('Entries July 2026'!AE35-'Entries July 2026'!AE34&lt;1,"0",'Entries July 2026'!AE35-'Entries July 2026'!AE34)</f>
        <v>0</v>
      </c>
      <c r="X35" s="700" t="str">
        <f>IF('Entries July 2026'!AI35-'Entries July 2026'!AI34&lt;1,"0",'Entries July 2026'!AI35-'Entries July 2026'!AI34)</f>
        <v>0</v>
      </c>
      <c r="Y35" s="700" t="str">
        <f>IF('Entries July 2026'!AH35-'Entries July 2026'!AH34&lt;1,"0",'Entries July 2026'!AH35-'Entries July 2026'!AH34)</f>
        <v>0</v>
      </c>
      <c r="Z35" s="322">
        <f>C35+D35+E35</f>
        <v>455</v>
      </c>
      <c r="AA35" s="323">
        <v>387.63720000000001</v>
      </c>
      <c r="AB35" s="324">
        <f t="shared" si="3"/>
        <v>11.737779552633235</v>
      </c>
    </row>
    <row r="36" spans="1:36" x14ac:dyDescent="0.2">
      <c r="B36" s="697">
        <v>30</v>
      </c>
      <c r="C36" s="698" t="str">
        <f>IF('Entries July 2026'!W36-'Entries July 2026'!W35&lt;1,"0",'Entries July 2026'!W36-'Entries July 2026'!W35)</f>
        <v>0</v>
      </c>
      <c r="D36" s="699">
        <f>IF('Entries July 2026'!O36-'Entries July 2026'!O35&lt;1,"0",'Entries July 2026'!O36-'Entries July 2026'!O35)</f>
        <v>235</v>
      </c>
      <c r="E36" s="699">
        <f>IF('Entries July 2026'!P36-'Entries July 2026'!P35&lt;1,"0",'Entries July 2026'!P36-'Entries July 2026'!P35)</f>
        <v>112</v>
      </c>
      <c r="F36" s="699">
        <f>IF('Entries July 2026'!V36-'Entries July 2026'!V35&lt;1,"0",'Entries July 2026'!V36-'Entries July 2026'!V35)</f>
        <v>117</v>
      </c>
      <c r="G36" s="699">
        <f t="shared" si="0"/>
        <v>230</v>
      </c>
      <c r="H36" s="699">
        <f>IF('Entries July 2026'!Q36-'Entries July 2026'!Q35&lt;1,0,'Entries July 2026'!Q36-'Entries July 2026'!Q35)</f>
        <v>279</v>
      </c>
      <c r="I36" s="699">
        <f>IF('Entries July 2026'!AG36-'Entries July 2026'!AG35&lt;1,0,'Entries July 2026'!AG36-'Entries July 2026'!AG35)</f>
        <v>0</v>
      </c>
      <c r="J36" s="699">
        <f>IF('Entries July 2026'!S36-'Entries July 2026'!S35&lt;1,"0",'Entries July 2026'!S36-'Entries July 2026'!S35)</f>
        <v>170</v>
      </c>
      <c r="K36" s="699" t="str">
        <f>IF('Entries July 2026'!R36-'Entries July 2026'!R35&lt;1,"0",'Entries July 2026'!R36-'Entries July 2026'!R35)</f>
        <v>0</v>
      </c>
      <c r="L36" s="699" t="str">
        <f>IF('Entries July 2026'!T36-'Entries July 2026'!T35&lt;1,"0",'Entries July 2026'!T36-'Entries July 2026'!T35)</f>
        <v>0</v>
      </c>
      <c r="M36" s="699">
        <f>IF('Entries July 2026'!U36-'Entries July 2026'!U35&lt;1,"0",'Entries July 2026'!U36-'Entries July 2026'!U35)</f>
        <v>6</v>
      </c>
      <c r="N36" s="699">
        <f>IF('Entries July 2026'!X36-'Entries July 2026'!X35&lt;1,"0",'Entries July 2026'!X36-'Entries July 2026'!X35)</f>
        <v>58</v>
      </c>
      <c r="O36" s="699">
        <f>IF('Entries July 2026'!Y36-'Entries July 2026'!Y35&lt;1,"0",'Entries July 2026'!Y36-'Entries July 2026'!Y35)</f>
        <v>111</v>
      </c>
      <c r="P36" s="699">
        <f>IF('Entries July 2026'!AC36-'Entries July 2026'!AC35&lt;1,"0",'Entries July 2026'!AC36-'Entries July 2026'!AC35)</f>
        <v>24</v>
      </c>
      <c r="Q36" s="699">
        <f>IF('Entries July 2026'!Z36-'Entries July 2026'!Z35&lt;1,"0",'Entries July 2026'!Z36-'Entries July 2026'!Z35)</f>
        <v>25</v>
      </c>
      <c r="R36" s="699" t="str">
        <f>IF(('Entries July 2026'!AA36-'Entries July 2026'!AA35)+('Entries July 2026'!AB36-'Entries July 2026'!AB35)&lt;1,"0",('Entries July 2026'!AA36-'Entries July 2026'!AA35)+('Entries July 2026'!AB36-'Entries July 2026'!AB35))</f>
        <v>0</v>
      </c>
      <c r="S36" s="698">
        <f t="shared" si="4"/>
        <v>2300</v>
      </c>
      <c r="T36" s="698">
        <f t="shared" si="1"/>
        <v>175</v>
      </c>
      <c r="U36" s="699">
        <f>IF('Entries July 2026'!AC36-'Entries July 2026'!AC35&lt;1,"0",'Entries July 2026'!AC36-'Entries July 2026'!AC35)</f>
        <v>24</v>
      </c>
      <c r="V36" s="699" t="str">
        <f>IF('Entries July 2026'!AD36-'Entries July 2026'!AD35&lt;1,"0",'Entries July 2026'!AD36-'Entries July 2026'!AD35)</f>
        <v>0</v>
      </c>
      <c r="W36" s="699" t="str">
        <f>IF('Entries July 2026'!AE36-'Entries July 2026'!AE35&lt;1,"0",'Entries July 2026'!AE36-'Entries July 2026'!AE35)</f>
        <v>0</v>
      </c>
      <c r="X36" s="700" t="str">
        <f>IF('Entries July 2026'!AI36-'Entries July 2026'!AI35&lt;1,"0",'Entries July 2026'!AI36-'Entries July 2026'!AI35)</f>
        <v>0</v>
      </c>
      <c r="Y36" s="700" t="str">
        <f>IF('Entries July 2026'!AH36-'Entries July 2026'!AH35&lt;1,"0",'Entries July 2026'!AH36-'Entries July 2026'!AH35)</f>
        <v>0</v>
      </c>
      <c r="Z36" s="322">
        <f t="shared" si="2"/>
        <v>347</v>
      </c>
      <c r="AA36" s="323">
        <v>606.86879999999996</v>
      </c>
      <c r="AB36" s="324">
        <f t="shared" si="3"/>
        <v>5.7178750991977179</v>
      </c>
    </row>
    <row r="37" spans="1:36" ht="15.75" x14ac:dyDescent="0.2">
      <c r="B37" s="697">
        <v>31</v>
      </c>
      <c r="C37" s="698" t="str">
        <f>IF('Entries July 2026'!W37-'Entries July 2026'!W36&lt;1,"0",'Entries July 2026'!W37-'Entries July 2026'!W36)</f>
        <v>0</v>
      </c>
      <c r="D37" s="699">
        <f>IF('Entries July 2026'!O37-'Entries July 2026'!O36&lt;1,"0",'Entries July 2026'!O37-'Entries July 2026'!O36)</f>
        <v>247</v>
      </c>
      <c r="E37" s="699">
        <f>IF('Entries July 2026'!P37-'Entries July 2026'!P36&lt;1,"0",'Entries July 2026'!P37-'Entries July 2026'!P36)</f>
        <v>90</v>
      </c>
      <c r="F37" s="699">
        <f>IF('Entries July 2026'!V37-'Entries July 2026'!V36&lt;1,"0",'Entries July 2026'!V37-'Entries July 2026'!V36)</f>
        <v>94</v>
      </c>
      <c r="G37" s="699">
        <f t="shared" si="0"/>
        <v>243</v>
      </c>
      <c r="H37" s="699"/>
      <c r="I37" s="699"/>
      <c r="J37" s="699">
        <f>IF('Entries July 2026'!S37-'Entries July 2026'!S36&lt;1,"0",'Entries July 2026'!S37-'Entries July 2026'!S36)</f>
        <v>190</v>
      </c>
      <c r="K37" s="699" t="str">
        <f>IF('Entries July 2026'!R37-'Entries July 2026'!R36&lt;1,"0",'Entries July 2026'!R37-'Entries July 2026'!R36)</f>
        <v>0</v>
      </c>
      <c r="L37" s="699" t="str">
        <f>IF('Entries July 2026'!T37-'Entries July 2026'!T36&lt;1,"0",'Entries July 2026'!T37-'Entries July 2026'!T36)</f>
        <v>0</v>
      </c>
      <c r="M37" s="699">
        <f>IF('Entries July 2026'!U37-'Entries July 2026'!U36&lt;1,"0",'Entries July 2026'!U37-'Entries July 2026'!U36)</f>
        <v>2</v>
      </c>
      <c r="N37" s="699">
        <f>IF('Entries July 2026'!X37-'Entries July 2026'!X36&lt;1,"0",'Entries July 2026'!X37-'Entries July 2026'!X36)</f>
        <v>22</v>
      </c>
      <c r="O37" s="699">
        <f>IF('Entries July 2026'!Y37-'Entries July 2026'!Y36&lt;1,"0",'Entries July 2026'!Y37-'Entries July 2026'!Y36)</f>
        <v>120</v>
      </c>
      <c r="P37" s="699">
        <f>IF('Entries July 2026'!AC37-'Entries July 2026'!AC36&lt;1,"0",'Entries July 2026'!AC37-'Entries July 2026'!AC36)</f>
        <v>23</v>
      </c>
      <c r="Q37" s="699">
        <f>IF('Entries July 2026'!Z37-'Entries July 2026'!Z36&lt;1,"0",'Entries July 2026'!Z37-'Entries July 2026'!Z36)</f>
        <v>22</v>
      </c>
      <c r="R37" s="699" t="str">
        <f>IF(('Entries July 2026'!AA37-'Entries July 2026'!AA36)+('Entries July 2026'!AB37-'Entries July 2026'!AB36)&lt;1,"0",('Entries July 2026'!AA37-'Entries July 2026'!AA36)+('Entries July 2026'!AB37-'Entries July 2026'!AB36))</f>
        <v>0</v>
      </c>
      <c r="S37" s="698">
        <f t="shared" si="4"/>
        <v>2430</v>
      </c>
      <c r="T37" s="698"/>
      <c r="U37" s="699">
        <f>IF('Entries July 2026'!AC37-'Entries July 2026'!AC36&lt;1,"0",'Entries July 2026'!AC37-'Entries July 2026'!AC36)</f>
        <v>23</v>
      </c>
      <c r="V37" s="699" t="str">
        <f>IF('Entries July 2026'!AD37-'Entries July 2026'!AD36&lt;1,"0",'Entries July 2026'!AD37-'Entries July 2026'!AD36)</f>
        <v>0</v>
      </c>
      <c r="W37" s="699" t="str">
        <f>IF('Entries July 2026'!AE37-'Entries July 2026'!AE36&lt;1,"0",'Entries July 2026'!AE37-'Entries July 2026'!AE36)</f>
        <v>0</v>
      </c>
      <c r="X37" s="700" t="str">
        <f>IF('Entries July 2026'!AI37-'Entries July 2026'!AI36&lt;1,"0",'Entries July 2026'!AI37-'Entries July 2026'!AI36)</f>
        <v>0</v>
      </c>
      <c r="Y37" s="700" t="str">
        <f>IF('Entries July 2026'!AH37-'Entries July 2026'!AH36&lt;1,"0",'Entries July 2026'!AH37-'Entries July 2026'!AH36)</f>
        <v>0</v>
      </c>
      <c r="Z37" s="322">
        <f t="shared" si="2"/>
        <v>337</v>
      </c>
      <c r="AA37" s="323">
        <v>498.49800000000005</v>
      </c>
      <c r="AB37" s="324"/>
      <c r="AC37" s="313"/>
      <c r="AD37" s="189"/>
    </row>
    <row r="38" spans="1:36" s="294" customFormat="1" ht="18" x14ac:dyDescent="0.25">
      <c r="A38" s="294" t="s">
        <v>85</v>
      </c>
      <c r="B38" s="295" t="s">
        <v>55</v>
      </c>
      <c r="C38" s="296">
        <f t="shared" ref="C38:O38" si="5">SUM(C7:C37)</f>
        <v>0</v>
      </c>
      <c r="D38" s="296">
        <f>SUM(D7:D37)</f>
        <v>4811</v>
      </c>
      <c r="E38" s="296">
        <f>SUM(E7:E37)</f>
        <v>4712</v>
      </c>
      <c r="F38" s="296">
        <f>SUM(F7:F37)</f>
        <v>4919</v>
      </c>
      <c r="G38" s="297">
        <f>SUM(G7:G37)</f>
        <v>4604</v>
      </c>
      <c r="H38" s="296">
        <f t="shared" si="5"/>
        <v>5617</v>
      </c>
      <c r="I38" s="296"/>
      <c r="J38" s="296">
        <f t="shared" si="5"/>
        <v>3834</v>
      </c>
      <c r="K38" s="296"/>
      <c r="L38" s="296">
        <f t="shared" si="5"/>
        <v>0</v>
      </c>
      <c r="M38" s="296">
        <f>SUM(M7:M37)</f>
        <v>115</v>
      </c>
      <c r="N38" s="296">
        <f t="shared" si="5"/>
        <v>964</v>
      </c>
      <c r="O38" s="296">
        <f t="shared" si="5"/>
        <v>2023</v>
      </c>
      <c r="P38" s="296">
        <f>SUM(P7:P37)</f>
        <v>525</v>
      </c>
      <c r="Q38" s="296">
        <f>SUM(Q7:Q37)</f>
        <v>594</v>
      </c>
      <c r="R38" s="296">
        <f>SUM(R7:R34)</f>
        <v>0</v>
      </c>
      <c r="S38" s="297">
        <f>SUM(S7:S37)</f>
        <v>46040</v>
      </c>
      <c r="T38" s="297">
        <f>SUM(T7:T37)</f>
        <v>2958</v>
      </c>
      <c r="U38" s="296">
        <f>SUM(U7:U37)</f>
        <v>525</v>
      </c>
      <c r="V38" s="296">
        <f>SUM(V7:V37)</f>
        <v>265</v>
      </c>
      <c r="W38" s="296"/>
      <c r="X38" s="296"/>
      <c r="Y38" s="296"/>
      <c r="Z38" s="325">
        <f>SUM(Z7:Z37)</f>
        <v>9523</v>
      </c>
      <c r="AA38" s="325">
        <f>SUM(AA7:AA37)</f>
        <v>8998.2515999999996</v>
      </c>
      <c r="AB38" s="324">
        <f>IF(AA38=0,"0",(Z38*10/AA38))</f>
        <v>10.583167067700129</v>
      </c>
      <c r="AC38" s="314">
        <v>10.199999999999999</v>
      </c>
      <c r="AD38" s="334">
        <f>AB38/AC38*100</f>
        <v>103.75653987941304</v>
      </c>
    </row>
    <row r="39" spans="1:36" x14ac:dyDescent="0.2">
      <c r="C39" s="11"/>
      <c r="D39" s="11"/>
      <c r="E39" s="15"/>
      <c r="F39" s="11"/>
      <c r="G39" s="11"/>
      <c r="H39" s="11"/>
      <c r="I39" s="11"/>
      <c r="J39" s="11"/>
      <c r="K39" s="11"/>
      <c r="L39" s="11"/>
      <c r="M39" s="11"/>
      <c r="N39" s="11"/>
      <c r="O39" s="11"/>
      <c r="P39" s="15"/>
      <c r="Q39" s="15"/>
      <c r="R39" s="11"/>
      <c r="S39" s="11"/>
      <c r="T39" s="11"/>
      <c r="U39" s="11"/>
      <c r="V39" s="11"/>
      <c r="W39" s="11"/>
      <c r="X39" s="11"/>
      <c r="Y39" s="11"/>
      <c r="AA39" s="11"/>
    </row>
    <row r="40" spans="1:36" x14ac:dyDescent="0.2">
      <c r="A40" s="17" t="s">
        <v>58</v>
      </c>
      <c r="B40" s="17" t="s">
        <v>82</v>
      </c>
      <c r="C40" s="15"/>
      <c r="D40" s="15">
        <f>D38*220</f>
        <v>1058420</v>
      </c>
      <c r="E40" s="15"/>
      <c r="F40" s="15"/>
      <c r="G40" s="15"/>
      <c r="H40" s="15"/>
      <c r="I40" s="15"/>
      <c r="J40" s="15"/>
      <c r="K40" s="15"/>
      <c r="L40" s="15"/>
      <c r="M40" s="15"/>
      <c r="N40" s="15"/>
      <c r="O40" s="15"/>
      <c r="P40" s="15"/>
      <c r="Q40" s="15"/>
      <c r="R40" s="15"/>
      <c r="S40" s="15"/>
      <c r="T40" s="15"/>
      <c r="U40" s="15"/>
      <c r="V40" s="15"/>
      <c r="W40" s="15"/>
      <c r="X40" s="15"/>
      <c r="Y40" s="15"/>
      <c r="Z40" s="190"/>
      <c r="AA40" s="15"/>
    </row>
    <row r="41" spans="1:36" x14ac:dyDescent="0.2">
      <c r="A41" s="17"/>
      <c r="B41" s="17" t="s">
        <v>86</v>
      </c>
      <c r="C41" s="17"/>
      <c r="D41" s="22">
        <v>1.5810000000000001E-2</v>
      </c>
      <c r="E41" s="22"/>
      <c r="F41" s="17"/>
      <c r="G41" s="17"/>
      <c r="H41" s="17"/>
      <c r="I41" s="17"/>
      <c r="J41" s="17"/>
      <c r="K41" s="17"/>
      <c r="L41" s="17"/>
      <c r="M41" s="17"/>
      <c r="N41" s="17"/>
      <c r="O41" s="17"/>
      <c r="P41" s="17"/>
      <c r="Q41" s="15"/>
      <c r="R41" s="17"/>
      <c r="S41" s="17"/>
      <c r="T41" s="17"/>
      <c r="U41" s="17"/>
      <c r="V41" s="17"/>
      <c r="W41" s="17"/>
      <c r="X41" s="17"/>
      <c r="Y41" s="17"/>
      <c r="Z41" s="190"/>
      <c r="AA41" s="17"/>
    </row>
    <row r="42" spans="1:36" x14ac:dyDescent="0.2">
      <c r="A42" s="17"/>
      <c r="F42" s="17"/>
      <c r="G42" s="17"/>
      <c r="H42" s="17"/>
      <c r="I42" s="17"/>
      <c r="J42" s="17"/>
      <c r="K42" s="17"/>
      <c r="L42" s="17"/>
      <c r="M42" s="17"/>
      <c r="N42" s="17"/>
      <c r="O42" s="17"/>
      <c r="P42" s="17"/>
      <c r="Q42" s="15"/>
      <c r="R42" s="17"/>
      <c r="S42" s="17"/>
      <c r="T42" s="17"/>
      <c r="U42" s="17"/>
      <c r="V42" s="17"/>
      <c r="W42" s="17"/>
      <c r="X42" s="17"/>
      <c r="Y42" s="17"/>
      <c r="Z42" s="190"/>
      <c r="AA42" s="17"/>
    </row>
    <row r="43" spans="1:36" x14ac:dyDescent="0.2">
      <c r="A43" s="17"/>
      <c r="B43" s="17" t="s">
        <v>88</v>
      </c>
      <c r="C43" s="17"/>
      <c r="D43" s="17">
        <f>+D41*D40</f>
        <v>16733.620200000001</v>
      </c>
      <c r="E43" s="17"/>
      <c r="F43" s="36"/>
      <c r="G43" s="17"/>
      <c r="H43" s="17"/>
      <c r="I43" s="17"/>
    </row>
    <row r="44" spans="1:36" x14ac:dyDescent="0.2">
      <c r="A44" s="17"/>
      <c r="B44" s="17" t="s">
        <v>87</v>
      </c>
      <c r="C44" s="17"/>
      <c r="D44" s="26">
        <v>278.97000000000003</v>
      </c>
      <c r="E44" s="316"/>
      <c r="F44" s="36"/>
      <c r="G44" s="17"/>
      <c r="H44" s="17"/>
      <c r="I44" s="17"/>
      <c r="J44" s="17"/>
      <c r="K44" s="17"/>
      <c r="L44" s="184"/>
      <c r="M44" s="184"/>
      <c r="N44" s="184"/>
      <c r="O44" s="184"/>
      <c r="P44" s="184"/>
      <c r="Q44" s="184"/>
      <c r="R44" s="184"/>
      <c r="S44" s="184"/>
      <c r="T44" s="184"/>
      <c r="U44" s="184"/>
      <c r="V44" s="184"/>
      <c r="W44" s="184"/>
      <c r="X44" s="184"/>
      <c r="Y44" s="184"/>
      <c r="Z44" s="315"/>
      <c r="AA44" s="184"/>
      <c r="AB44" s="184"/>
      <c r="AC44" s="184"/>
      <c r="AD44" s="184"/>
      <c r="AE44" s="184"/>
      <c r="AF44" s="184"/>
      <c r="AG44" s="184"/>
      <c r="AH44" s="184"/>
      <c r="AI44" s="184"/>
      <c r="AJ44" s="184"/>
    </row>
    <row r="45" spans="1:36" x14ac:dyDescent="0.2">
      <c r="D45" s="17">
        <f>SUM(D43:D44)</f>
        <v>17012.590200000002</v>
      </c>
      <c r="E45" s="17"/>
      <c r="F45" s="36"/>
      <c r="G45" s="17"/>
      <c r="H45" s="17"/>
      <c r="I45" s="17"/>
      <c r="Q45" s="15"/>
    </row>
    <row r="46" spans="1:36" x14ac:dyDescent="0.2">
      <c r="F46" s="36"/>
      <c r="G46" s="17"/>
      <c r="H46" s="17"/>
      <c r="I46" s="17"/>
      <c r="Q46" s="15"/>
    </row>
    <row r="47" spans="1:36" x14ac:dyDescent="0.2">
      <c r="B47" s="8" t="s">
        <v>89</v>
      </c>
      <c r="D47" s="23">
        <f>+D45*2/3</f>
        <v>11341.726800000002</v>
      </c>
      <c r="E47" s="317"/>
      <c r="F47" s="36"/>
      <c r="G47" s="17"/>
      <c r="H47" s="17"/>
      <c r="I47" s="17"/>
      <c r="Q47" s="15"/>
    </row>
    <row r="48" spans="1:36" x14ac:dyDescent="0.2">
      <c r="F48" s="36"/>
      <c r="G48" s="17"/>
      <c r="H48" s="17"/>
      <c r="I48" s="17"/>
      <c r="Q48" s="15"/>
    </row>
    <row r="49" spans="2:17" ht="15.75" x14ac:dyDescent="0.25">
      <c r="B49" s="24" t="s">
        <v>90</v>
      </c>
      <c r="C49" s="24"/>
      <c r="D49" s="28">
        <f>SUM(D47,D45)</f>
        <v>28354.317000000003</v>
      </c>
      <c r="E49" s="318"/>
      <c r="F49" s="36"/>
      <c r="G49" s="17"/>
      <c r="H49" s="17"/>
      <c r="I49" s="17"/>
      <c r="Q49" s="15"/>
    </row>
    <row r="50" spans="2:17" x14ac:dyDescent="0.2">
      <c r="F50" s="36"/>
      <c r="G50" s="17"/>
      <c r="H50" s="17"/>
      <c r="I50" s="17"/>
      <c r="Q50" s="15"/>
    </row>
    <row r="51" spans="2:17" x14ac:dyDescent="0.2">
      <c r="F51" s="36"/>
      <c r="G51" s="17"/>
      <c r="H51" s="17"/>
      <c r="I51" s="17"/>
      <c r="Q51" s="15"/>
    </row>
    <row r="52" spans="2:17" x14ac:dyDescent="0.2">
      <c r="F52" s="36"/>
      <c r="G52" s="17"/>
      <c r="H52" s="17"/>
      <c r="I52" s="17"/>
      <c r="Q52" s="15"/>
    </row>
    <row r="53" spans="2:17" x14ac:dyDescent="0.2">
      <c r="F53" s="36"/>
      <c r="G53" s="17"/>
      <c r="H53" s="17"/>
      <c r="I53" s="17"/>
      <c r="Q53" s="15"/>
    </row>
    <row r="54" spans="2:17" x14ac:dyDescent="0.2">
      <c r="F54" s="36"/>
      <c r="G54" s="17"/>
      <c r="H54" s="17"/>
      <c r="I54" s="17"/>
      <c r="Q54" s="15"/>
    </row>
    <row r="55" spans="2:17" x14ac:dyDescent="0.2">
      <c r="F55" s="36"/>
      <c r="G55" s="17"/>
      <c r="H55" s="17"/>
      <c r="I55" s="17"/>
      <c r="Q55" s="15"/>
    </row>
    <row r="56" spans="2:17" x14ac:dyDescent="0.2">
      <c r="F56" s="36"/>
      <c r="G56" s="17"/>
      <c r="H56" s="17"/>
      <c r="I56" s="17"/>
      <c r="Q56" s="15"/>
    </row>
    <row r="57" spans="2:17" x14ac:dyDescent="0.2">
      <c r="F57" s="36"/>
      <c r="G57" s="17"/>
      <c r="H57" s="17"/>
      <c r="I57" s="17"/>
      <c r="Q57" s="15"/>
    </row>
    <row r="58" spans="2:17" x14ac:dyDescent="0.2">
      <c r="F58" s="36"/>
      <c r="G58" s="17"/>
      <c r="H58" s="17"/>
      <c r="I58" s="17"/>
      <c r="Q58" s="15"/>
    </row>
    <row r="59" spans="2:17" x14ac:dyDescent="0.2">
      <c r="F59" s="36"/>
      <c r="G59" s="17"/>
      <c r="H59" s="17"/>
      <c r="I59" s="17"/>
      <c r="Q59" s="15"/>
    </row>
    <row r="60" spans="2:17" x14ac:dyDescent="0.2">
      <c r="F60" s="36"/>
      <c r="G60" s="17"/>
      <c r="H60" s="17"/>
      <c r="I60" s="17"/>
      <c r="Q60" s="15"/>
    </row>
    <row r="61" spans="2:17" x14ac:dyDescent="0.2">
      <c r="F61" s="36"/>
      <c r="G61" s="17"/>
      <c r="H61" s="17"/>
      <c r="I61" s="17"/>
      <c r="Q61" s="15"/>
    </row>
    <row r="62" spans="2:17" x14ac:dyDescent="0.2">
      <c r="F62" s="36"/>
      <c r="G62" s="17"/>
      <c r="H62" s="17"/>
      <c r="I62" s="17"/>
      <c r="Q62" s="15"/>
    </row>
    <row r="63" spans="2:17" x14ac:dyDescent="0.2">
      <c r="F63" s="36"/>
      <c r="G63" s="17"/>
      <c r="H63" s="17"/>
      <c r="I63" s="17"/>
      <c r="Q63" s="15"/>
    </row>
    <row r="64" spans="2:17" x14ac:dyDescent="0.2">
      <c r="F64" s="36"/>
      <c r="G64" s="17"/>
      <c r="H64" s="17"/>
      <c r="I64" s="17"/>
      <c r="Q64" s="15"/>
    </row>
    <row r="65" spans="6:17" x14ac:dyDescent="0.2">
      <c r="F65" s="36"/>
      <c r="G65" s="17"/>
      <c r="H65" s="17"/>
      <c r="I65" s="17"/>
      <c r="Q65" s="15"/>
    </row>
    <row r="66" spans="6:17" x14ac:dyDescent="0.2">
      <c r="F66" s="36"/>
      <c r="G66" s="17"/>
      <c r="H66" s="17"/>
      <c r="I66" s="17"/>
      <c r="Q66" s="15"/>
    </row>
    <row r="67" spans="6:17" x14ac:dyDescent="0.2">
      <c r="F67" s="36"/>
      <c r="G67" s="17"/>
      <c r="H67" s="17"/>
      <c r="I67" s="17"/>
      <c r="Q67" s="15"/>
    </row>
    <row r="68" spans="6:17" x14ac:dyDescent="0.2">
      <c r="F68" s="36"/>
      <c r="G68" s="17"/>
      <c r="H68" s="17"/>
      <c r="I68" s="17"/>
      <c r="Q68" s="15"/>
    </row>
    <row r="69" spans="6:17" x14ac:dyDescent="0.2">
      <c r="F69" s="36"/>
      <c r="G69" s="17"/>
      <c r="H69" s="17"/>
      <c r="I69" s="17"/>
    </row>
    <row r="70" spans="6:17" x14ac:dyDescent="0.2">
      <c r="F70" s="36"/>
      <c r="G70" s="17"/>
      <c r="H70" s="17"/>
      <c r="I70" s="17"/>
    </row>
    <row r="71" spans="6:17" x14ac:dyDescent="0.2">
      <c r="F71" s="36"/>
      <c r="G71" s="17"/>
      <c r="H71" s="17"/>
      <c r="I71" s="17"/>
    </row>
    <row r="72" spans="6:17" x14ac:dyDescent="0.2">
      <c r="F72" s="36"/>
      <c r="G72" s="17"/>
      <c r="H72" s="17"/>
      <c r="I72" s="17"/>
    </row>
    <row r="73" spans="6:17" x14ac:dyDescent="0.2">
      <c r="F73" s="36"/>
      <c r="G73" s="17"/>
      <c r="H73" s="17"/>
      <c r="I73" s="17"/>
    </row>
    <row r="74" spans="6:17" x14ac:dyDescent="0.2">
      <c r="G74" s="17"/>
      <c r="H74" s="17"/>
      <c r="I74" s="17"/>
    </row>
    <row r="75" spans="6:17" x14ac:dyDescent="0.2">
      <c r="F75" s="36"/>
      <c r="G75" s="72"/>
      <c r="H75" s="72"/>
      <c r="I75" s="72"/>
    </row>
    <row r="76" spans="6:17" x14ac:dyDescent="0.2">
      <c r="F76" s="36"/>
      <c r="G76" s="72"/>
      <c r="H76" s="72"/>
      <c r="I76" s="72"/>
    </row>
    <row r="77" spans="6:17" x14ac:dyDescent="0.2">
      <c r="F77" s="36"/>
      <c r="G77" s="72"/>
      <c r="H77" s="72"/>
      <c r="I77" s="72"/>
    </row>
    <row r="78" spans="6:17" x14ac:dyDescent="0.2">
      <c r="F78" s="36"/>
      <c r="G78" s="72"/>
      <c r="H78" s="72"/>
      <c r="I78" s="72"/>
    </row>
    <row r="79" spans="6:17" x14ac:dyDescent="0.2">
      <c r="F79" s="36"/>
      <c r="G79" s="72"/>
      <c r="H79" s="72"/>
      <c r="I79" s="72"/>
    </row>
    <row r="80" spans="6:17" x14ac:dyDescent="0.2">
      <c r="F80" s="36"/>
      <c r="G80" s="72"/>
      <c r="H80" s="72"/>
      <c r="I80" s="72"/>
    </row>
    <row r="81" spans="6:9" x14ac:dyDescent="0.2">
      <c r="F81" s="36"/>
      <c r="G81" s="72"/>
      <c r="H81" s="72"/>
      <c r="I81" s="72"/>
    </row>
    <row r="82" spans="6:9" x14ac:dyDescent="0.2">
      <c r="F82" s="36"/>
      <c r="G82" s="72"/>
      <c r="H82" s="72"/>
      <c r="I82" s="72"/>
    </row>
    <row r="83" spans="6:9" x14ac:dyDescent="0.2">
      <c r="F83" s="36"/>
      <c r="G83" s="72"/>
      <c r="H83" s="72"/>
      <c r="I83" s="72"/>
    </row>
    <row r="84" spans="6:9" x14ac:dyDescent="0.2">
      <c r="F84" s="36"/>
      <c r="G84" s="72"/>
      <c r="H84" s="72"/>
      <c r="I84" s="72"/>
    </row>
    <row r="85" spans="6:9" x14ac:dyDescent="0.2">
      <c r="F85" s="36"/>
      <c r="G85" s="72"/>
      <c r="H85" s="72"/>
      <c r="I85" s="72"/>
    </row>
    <row r="86" spans="6:9" x14ac:dyDescent="0.2">
      <c r="F86" s="36"/>
      <c r="G86" s="72"/>
      <c r="H86" s="72"/>
      <c r="I86" s="72"/>
    </row>
    <row r="87" spans="6:9" x14ac:dyDescent="0.2">
      <c r="F87" s="36"/>
      <c r="G87" s="72"/>
      <c r="H87" s="72"/>
      <c r="I87" s="72"/>
    </row>
    <row r="88" spans="6:9" x14ac:dyDescent="0.2">
      <c r="F88" s="36"/>
      <c r="G88" s="72"/>
      <c r="H88" s="72"/>
      <c r="I88" s="72"/>
    </row>
    <row r="89" spans="6:9" x14ac:dyDescent="0.2">
      <c r="F89" s="36"/>
      <c r="G89" s="72"/>
      <c r="H89" s="72"/>
      <c r="I89" s="72"/>
    </row>
    <row r="90" spans="6:9" x14ac:dyDescent="0.2">
      <c r="F90" s="36"/>
      <c r="G90" s="72"/>
      <c r="H90" s="72"/>
      <c r="I90" s="72"/>
    </row>
    <row r="91" spans="6:9" x14ac:dyDescent="0.2">
      <c r="F91" s="36"/>
      <c r="G91" s="72"/>
      <c r="H91" s="72"/>
      <c r="I91" s="72"/>
    </row>
    <row r="92" spans="6:9" x14ac:dyDescent="0.2">
      <c r="F92" s="36"/>
      <c r="G92" s="72"/>
      <c r="H92" s="72"/>
      <c r="I92" s="72"/>
    </row>
    <row r="93" spans="6:9" x14ac:dyDescent="0.2">
      <c r="F93" s="36"/>
      <c r="G93" s="72"/>
      <c r="H93" s="72"/>
      <c r="I93" s="72"/>
    </row>
    <row r="94" spans="6:9" x14ac:dyDescent="0.2">
      <c r="F94" s="36"/>
      <c r="G94" s="72"/>
      <c r="H94" s="72"/>
      <c r="I94" s="72"/>
    </row>
    <row r="95" spans="6:9" x14ac:dyDescent="0.2">
      <c r="F95" s="36"/>
      <c r="G95" s="72"/>
      <c r="H95" s="72"/>
      <c r="I95" s="72"/>
    </row>
    <row r="96" spans="6:9" x14ac:dyDescent="0.2">
      <c r="F96" s="36"/>
      <c r="G96" s="72"/>
      <c r="H96" s="72"/>
      <c r="I96" s="72"/>
    </row>
    <row r="97" spans="6:9" x14ac:dyDescent="0.2">
      <c r="F97" s="36"/>
      <c r="G97" s="72"/>
      <c r="H97" s="72"/>
      <c r="I97" s="72"/>
    </row>
    <row r="98" spans="6:9" x14ac:dyDescent="0.2">
      <c r="F98" s="36"/>
      <c r="G98" s="72"/>
      <c r="H98" s="72"/>
      <c r="I98" s="72"/>
    </row>
    <row r="99" spans="6:9" x14ac:dyDescent="0.2">
      <c r="F99" s="36"/>
      <c r="G99" s="72"/>
      <c r="H99" s="72"/>
      <c r="I99" s="72"/>
    </row>
    <row r="100" spans="6:9" x14ac:dyDescent="0.2">
      <c r="F100" s="36"/>
      <c r="G100" s="72"/>
      <c r="H100" s="72"/>
      <c r="I100" s="72"/>
    </row>
    <row r="101" spans="6:9" x14ac:dyDescent="0.2">
      <c r="F101" s="36"/>
      <c r="G101" s="72"/>
      <c r="H101" s="72"/>
      <c r="I101" s="72"/>
    </row>
    <row r="102" spans="6:9" x14ac:dyDescent="0.2">
      <c r="F102" s="36"/>
      <c r="G102" s="72"/>
      <c r="H102" s="72"/>
      <c r="I102" s="72"/>
    </row>
    <row r="103" spans="6:9" x14ac:dyDescent="0.2">
      <c r="F103" s="36"/>
      <c r="G103" s="72"/>
      <c r="H103" s="72"/>
      <c r="I103" s="72"/>
    </row>
    <row r="104" spans="6:9" x14ac:dyDescent="0.2">
      <c r="F104" s="36"/>
      <c r="G104" s="72"/>
      <c r="H104" s="72"/>
      <c r="I104" s="72"/>
    </row>
    <row r="105" spans="6:9" x14ac:dyDescent="0.2">
      <c r="F105" s="36"/>
      <c r="G105" s="72"/>
      <c r="H105" s="72"/>
      <c r="I105" s="72"/>
    </row>
  </sheetData>
  <mergeCells count="21">
    <mergeCell ref="A1:AA1"/>
    <mergeCell ref="G4:G5"/>
    <mergeCell ref="R4:R5"/>
    <mergeCell ref="C4:C5"/>
    <mergeCell ref="B4:B5"/>
    <mergeCell ref="D4:D5"/>
    <mergeCell ref="H4:H5"/>
    <mergeCell ref="I4:I5"/>
    <mergeCell ref="F4:F5"/>
    <mergeCell ref="E4:E5"/>
    <mergeCell ref="AB4:AB5"/>
    <mergeCell ref="Z4:Z5"/>
    <mergeCell ref="L4:L5"/>
    <mergeCell ref="X4:X5"/>
    <mergeCell ref="J4:J5"/>
    <mergeCell ref="AA4:AA5"/>
    <mergeCell ref="U4:U5"/>
    <mergeCell ref="K4:K5"/>
    <mergeCell ref="Y4:Y5"/>
    <mergeCell ref="S4:S5"/>
    <mergeCell ref="M4:M5"/>
  </mergeCells>
  <phoneticPr fontId="0" type="noConversion"/>
  <conditionalFormatting sqref="AB6:AB38">
    <cfRule type="cellIs" dxfId="45" priority="1" operator="lessThan">
      <formula>10.2</formula>
    </cfRule>
    <cfRule type="cellIs" dxfId="44" priority="2" operator="greaterThan">
      <formula>10.2</formula>
    </cfRule>
  </conditionalFormatting>
  <pageMargins left="0.25" right="0.25" top="0.25" bottom="0.25" header="0.5" footer="0.5"/>
  <pageSetup paperSize="5" scale="50" orientation="landscape" r:id="rId1"/>
  <headerFooter alignWithMargins="0"/>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ransitionEvaluation="1" codeName="Sheet3">
    <tabColor indexed="10"/>
  </sheetPr>
  <dimension ref="A1:J42"/>
  <sheetViews>
    <sheetView showZeros="0" defaultGridColor="0" topLeftCell="A9" colorId="22" workbookViewId="0">
      <selection activeCell="A35" sqref="A35:A37"/>
    </sheetView>
  </sheetViews>
  <sheetFormatPr defaultColWidth="12.5703125" defaultRowHeight="15" x14ac:dyDescent="0.2"/>
  <cols>
    <col min="1" max="1" width="12.5703125" style="8"/>
    <col min="2" max="2" width="17.7109375" style="8" bestFit="1" customWidth="1"/>
    <col min="3" max="3" width="14.7109375" style="32" bestFit="1" customWidth="1"/>
    <col min="4" max="4" width="14.7109375" style="32" customWidth="1"/>
    <col min="5" max="5" width="13.5703125" style="8" bestFit="1" customWidth="1"/>
    <col min="6" max="6" width="15.7109375" style="8" bestFit="1" customWidth="1"/>
    <col min="7" max="7" width="15.7109375" style="8" customWidth="1"/>
    <col min="8" max="8" width="12.5703125" style="327"/>
    <col min="9" max="16384" width="12.5703125" style="8"/>
  </cols>
  <sheetData>
    <row r="1" spans="1:10" ht="15.75" x14ac:dyDescent="0.25">
      <c r="A1" s="925" t="s">
        <v>295</v>
      </c>
      <c r="B1" s="926"/>
      <c r="C1" s="926"/>
      <c r="D1" s="927"/>
      <c r="E1" s="926"/>
      <c r="F1" s="926"/>
      <c r="G1" s="928"/>
    </row>
    <row r="2" spans="1:10" x14ac:dyDescent="0.2">
      <c r="B2" s="9"/>
      <c r="C2" s="359"/>
      <c r="D2" s="359"/>
    </row>
    <row r="3" spans="1:10" ht="15.75" thickBot="1" x14ac:dyDescent="0.25">
      <c r="B3" s="9"/>
      <c r="C3" s="359"/>
      <c r="D3" s="359"/>
    </row>
    <row r="4" spans="1:10" ht="15.75" x14ac:dyDescent="0.25">
      <c r="A4" s="939" t="s">
        <v>7</v>
      </c>
      <c r="B4" s="39" t="s">
        <v>49</v>
      </c>
      <c r="C4" s="360" t="s">
        <v>50</v>
      </c>
      <c r="D4" s="361" t="s">
        <v>288</v>
      </c>
      <c r="E4" s="929" t="s">
        <v>248</v>
      </c>
      <c r="F4" s="932" t="s">
        <v>246</v>
      </c>
      <c r="G4" s="935" t="s">
        <v>256</v>
      </c>
      <c r="H4" s="938"/>
    </row>
    <row r="5" spans="1:10" ht="15.75" x14ac:dyDescent="0.25">
      <c r="A5" s="940"/>
      <c r="B5" s="34" t="s">
        <v>51</v>
      </c>
      <c r="C5" s="361" t="s">
        <v>52</v>
      </c>
      <c r="D5" s="361" t="s">
        <v>52</v>
      </c>
      <c r="E5" s="930"/>
      <c r="F5" s="933"/>
      <c r="G5" s="936"/>
      <c r="H5" s="938"/>
    </row>
    <row r="6" spans="1:10" ht="16.5" thickBot="1" x14ac:dyDescent="0.3">
      <c r="A6" s="941"/>
      <c r="B6" s="40"/>
      <c r="C6" s="362"/>
      <c r="D6" s="361"/>
      <c r="E6" s="931"/>
      <c r="F6" s="934"/>
      <c r="G6" s="937"/>
      <c r="H6" s="938"/>
    </row>
    <row r="7" spans="1:10" ht="18" x14ac:dyDescent="0.2">
      <c r="A7" s="692">
        <v>1</v>
      </c>
      <c r="B7" s="749">
        <f>'Utility Analysis July 2026'!D10</f>
        <v>6440</v>
      </c>
      <c r="C7" s="750">
        <f>'Utility Analysis July 2026'!G10</f>
        <v>0</v>
      </c>
      <c r="D7" s="751">
        <f>'Utility Analysis July 2026'!E10</f>
        <v>1524</v>
      </c>
      <c r="E7" s="752">
        <f>B7+D7</f>
        <v>7964</v>
      </c>
      <c r="F7" s="753">
        <f>'PROD.FIG. '!H5</f>
        <v>471.86520000000002</v>
      </c>
      <c r="G7" s="329">
        <f>IF(F7=0,"0",(E7/F7))</f>
        <v>16.877701513059236</v>
      </c>
      <c r="H7" s="328"/>
      <c r="J7" s="30"/>
    </row>
    <row r="8" spans="1:10" x14ac:dyDescent="0.2">
      <c r="A8" s="692">
        <v>2</v>
      </c>
      <c r="B8" s="749">
        <f>'Utility Analysis July 2026'!D11</f>
        <v>8601</v>
      </c>
      <c r="C8" s="750">
        <f>'Utility Analysis July 2026'!G11</f>
        <v>0</v>
      </c>
      <c r="D8" s="751">
        <f>'Utility Analysis July 2026'!E11</f>
        <v>1499</v>
      </c>
      <c r="E8" s="752">
        <f t="shared" ref="E8:E36" si="0">B8+D8</f>
        <v>10100</v>
      </c>
      <c r="F8" s="753">
        <f>'PROD.FIG. '!H6</f>
        <v>507.36840000000001</v>
      </c>
      <c r="G8" s="329">
        <f t="shared" ref="G8:G36" si="1">IF(F8=0,"0",(E8/F8))</f>
        <v>19.906639830151029</v>
      </c>
      <c r="I8" s="30"/>
      <c r="J8" s="30"/>
    </row>
    <row r="9" spans="1:10" x14ac:dyDescent="0.2">
      <c r="A9" s="692">
        <v>3</v>
      </c>
      <c r="B9" s="749">
        <f>'Utility Analysis July 2026'!D12</f>
        <v>8712</v>
      </c>
      <c r="C9" s="750">
        <f>'Utility Analysis July 2026'!G12</f>
        <v>0</v>
      </c>
      <c r="D9" s="751">
        <f>'Utility Analysis July 2026'!E12</f>
        <v>534.4</v>
      </c>
      <c r="E9" s="752">
        <f t="shared" si="0"/>
        <v>9246.4</v>
      </c>
      <c r="F9" s="753">
        <f>'PROD.FIG. '!H7</f>
        <v>492.096</v>
      </c>
      <c r="G9" s="329">
        <f>IF(F9=0,"0",(E9/F9))</f>
        <v>18.789829626739497</v>
      </c>
      <c r="J9" s="30"/>
    </row>
    <row r="10" spans="1:10" x14ac:dyDescent="0.2">
      <c r="A10" s="692">
        <v>4</v>
      </c>
      <c r="B10" s="749">
        <f>'Utility Analysis July 2026'!D13</f>
        <v>3652</v>
      </c>
      <c r="C10" s="750">
        <f>'Utility Analysis July 2026'!G13</f>
        <v>0</v>
      </c>
      <c r="D10" s="751">
        <f>'Utility Analysis July 2026'!E13</f>
        <v>1458</v>
      </c>
      <c r="E10" s="752">
        <f t="shared" si="0"/>
        <v>5110</v>
      </c>
      <c r="F10" s="753" t="str">
        <f>'PROD.FIG. '!H8</f>
        <v>0</v>
      </c>
      <c r="G10" s="329" t="str">
        <f t="shared" si="1"/>
        <v>0</v>
      </c>
      <c r="J10" s="30"/>
    </row>
    <row r="11" spans="1:10" x14ac:dyDescent="0.2">
      <c r="A11" s="692">
        <v>5</v>
      </c>
      <c r="B11" s="749">
        <f>'Utility Analysis July 2026'!D14</f>
        <v>5363</v>
      </c>
      <c r="C11" s="750">
        <f>'Utility Analysis July 2026'!G14</f>
        <v>0</v>
      </c>
      <c r="D11" s="751">
        <f>'Utility Analysis July 2026'!E14</f>
        <v>1074.4000000000001</v>
      </c>
      <c r="E11" s="752">
        <f t="shared" si="0"/>
        <v>6437.4</v>
      </c>
      <c r="F11" s="753" t="str">
        <f>'PROD.FIG. '!H9</f>
        <v>0</v>
      </c>
      <c r="G11" s="459" t="str">
        <f t="shared" si="1"/>
        <v>0</v>
      </c>
      <c r="J11" s="30"/>
    </row>
    <row r="12" spans="1:10" x14ac:dyDescent="0.2">
      <c r="A12" s="767">
        <v>6</v>
      </c>
      <c r="B12" s="779">
        <f>'Utility Analysis July 2026'!D15</f>
        <v>7179</v>
      </c>
      <c r="C12" s="780">
        <f>'Utility Analysis July 2026'!G15</f>
        <v>0</v>
      </c>
      <c r="D12" s="781">
        <f>'Utility Analysis July 2026'!E15</f>
        <v>1149.0999999999999</v>
      </c>
      <c r="E12" s="782">
        <f t="shared" si="0"/>
        <v>8328.1</v>
      </c>
      <c r="F12" s="783">
        <f>'PROD.FIG. '!H10</f>
        <v>410.78399999999999</v>
      </c>
      <c r="G12" s="459">
        <f t="shared" si="1"/>
        <v>20.273671808054843</v>
      </c>
      <c r="J12" s="30"/>
    </row>
    <row r="13" spans="1:10" x14ac:dyDescent="0.2">
      <c r="A13" s="767">
        <v>7</v>
      </c>
      <c r="B13" s="779">
        <f>'Utility Analysis July 2026'!D16</f>
        <v>8166</v>
      </c>
      <c r="C13" s="780">
        <f>'Utility Analysis July 2026'!G16</f>
        <v>0</v>
      </c>
      <c r="D13" s="781">
        <f>'Utility Analysis July 2026'!E16</f>
        <v>1453.3</v>
      </c>
      <c r="E13" s="782">
        <f t="shared" si="0"/>
        <v>9619.2999999999993</v>
      </c>
      <c r="F13" s="783">
        <f>'PROD.FIG. '!H11</f>
        <v>209.88000000000002</v>
      </c>
      <c r="G13" s="329">
        <f t="shared" si="1"/>
        <v>45.832380407852099</v>
      </c>
      <c r="J13" s="30"/>
    </row>
    <row r="14" spans="1:10" x14ac:dyDescent="0.2">
      <c r="A14" s="692">
        <v>8</v>
      </c>
      <c r="B14" s="749">
        <f>'Utility Analysis July 2026'!D17</f>
        <v>10084</v>
      </c>
      <c r="C14" s="750">
        <f>'Utility Analysis July 2026'!G17</f>
        <v>0</v>
      </c>
      <c r="D14" s="751">
        <f>'Utility Analysis July 2026'!E17</f>
        <v>1338.1</v>
      </c>
      <c r="E14" s="752">
        <f t="shared" si="0"/>
        <v>11422.1</v>
      </c>
      <c r="F14" s="753">
        <f>'PROD.FIG. '!H12</f>
        <v>376.72800000000001</v>
      </c>
      <c r="G14" s="329">
        <f t="shared" si="1"/>
        <v>30.319222356713599</v>
      </c>
      <c r="J14" s="30"/>
    </row>
    <row r="15" spans="1:10" x14ac:dyDescent="0.2">
      <c r="A15" s="692">
        <v>9</v>
      </c>
      <c r="B15" s="749">
        <f>'Utility Analysis July 2026'!D18</f>
        <v>6592</v>
      </c>
      <c r="C15" s="750">
        <f>'Utility Analysis July 2026'!G18</f>
        <v>0</v>
      </c>
      <c r="D15" s="751">
        <f>'Utility Analysis July 2026'!E18</f>
        <v>1304</v>
      </c>
      <c r="E15" s="752">
        <f t="shared" si="0"/>
        <v>7896</v>
      </c>
      <c r="F15" s="753">
        <f>'PROD.FIG. '!H13</f>
        <v>322.80600000000004</v>
      </c>
      <c r="G15" s="329">
        <f t="shared" si="1"/>
        <v>24.460511886396162</v>
      </c>
      <c r="J15" s="30"/>
    </row>
    <row r="16" spans="1:10" x14ac:dyDescent="0.2">
      <c r="A16" s="692">
        <v>10</v>
      </c>
      <c r="B16" s="749">
        <f>'Utility Analysis July 2026'!D19</f>
        <v>7603</v>
      </c>
      <c r="C16" s="750">
        <f>'Utility Analysis July 2026'!G19</f>
        <v>0</v>
      </c>
      <c r="D16" s="751">
        <f>'Utility Analysis July 2026'!E19</f>
        <v>1399.9</v>
      </c>
      <c r="E16" s="752">
        <f t="shared" si="0"/>
        <v>9002.9</v>
      </c>
      <c r="F16" s="753">
        <f>'PROD.FIG. '!H14</f>
        <v>349.93200000000002</v>
      </c>
      <c r="G16" s="329">
        <f t="shared" si="1"/>
        <v>25.727569927871698</v>
      </c>
      <c r="J16" s="30"/>
    </row>
    <row r="17" spans="1:10" x14ac:dyDescent="0.2">
      <c r="A17" s="692">
        <v>11</v>
      </c>
      <c r="B17" s="749">
        <f>'Utility Analysis July 2026'!D20</f>
        <v>3837</v>
      </c>
      <c r="C17" s="750">
        <f>'Utility Analysis July 2026'!G20</f>
        <v>0</v>
      </c>
      <c r="D17" s="751">
        <f>'Utility Analysis July 2026'!E20</f>
        <v>511.9</v>
      </c>
      <c r="E17" s="752">
        <f t="shared" si="0"/>
        <v>4348.8999999999996</v>
      </c>
      <c r="F17" s="753" t="str">
        <f>'PROD.FIG. '!H15</f>
        <v>0</v>
      </c>
      <c r="G17" s="329" t="str">
        <f t="shared" si="1"/>
        <v>0</v>
      </c>
      <c r="J17" s="30"/>
    </row>
    <row r="18" spans="1:10" x14ac:dyDescent="0.2">
      <c r="A18" s="692">
        <v>12</v>
      </c>
      <c r="B18" s="749">
        <f>'Utility Analysis July 2026'!D21</f>
        <v>4845</v>
      </c>
      <c r="C18" s="750">
        <f>'Utility Analysis July 2026'!G21</f>
        <v>0</v>
      </c>
      <c r="D18" s="751">
        <f>'Utility Analysis July 2026'!E21</f>
        <v>335.7</v>
      </c>
      <c r="E18" s="752">
        <f t="shared" si="0"/>
        <v>5180.7</v>
      </c>
      <c r="F18" s="753" t="str">
        <f>'PROD.FIG. '!H16</f>
        <v>0</v>
      </c>
      <c r="G18" s="459" t="str">
        <f t="shared" si="1"/>
        <v>0</v>
      </c>
      <c r="J18" s="30"/>
    </row>
    <row r="19" spans="1:10" x14ac:dyDescent="0.2">
      <c r="A19" s="767">
        <v>13</v>
      </c>
      <c r="B19" s="779">
        <f>'Utility Analysis July 2026'!D22</f>
        <v>8262</v>
      </c>
      <c r="C19" s="780">
        <f>'Utility Analysis July 2026'!G22</f>
        <v>0</v>
      </c>
      <c r="D19" s="781">
        <f>'Utility Analysis July 2026'!E22</f>
        <v>740.4</v>
      </c>
      <c r="E19" s="782">
        <f t="shared" si="0"/>
        <v>9002.4</v>
      </c>
      <c r="F19" s="783">
        <f>'PROD.FIG. '!H17</f>
        <v>407.22</v>
      </c>
      <c r="G19" s="459">
        <f t="shared" si="1"/>
        <v>22.10696920583468</v>
      </c>
      <c r="J19" s="30"/>
    </row>
    <row r="20" spans="1:10" x14ac:dyDescent="0.2">
      <c r="A20" s="767">
        <v>14</v>
      </c>
      <c r="B20" s="779">
        <f>'Utility Analysis July 2026'!D23</f>
        <v>8508</v>
      </c>
      <c r="C20" s="780">
        <f>'Utility Analysis July 2026'!G23</f>
        <v>0</v>
      </c>
      <c r="D20" s="781">
        <f>'Utility Analysis July 2026'!E23</f>
        <v>1492</v>
      </c>
      <c r="E20" s="782">
        <f t="shared" si="0"/>
        <v>10000</v>
      </c>
      <c r="F20" s="783">
        <f>'PROD.FIG. '!H18</f>
        <v>603.57000000000005</v>
      </c>
      <c r="G20" s="329">
        <f t="shared" si="1"/>
        <v>16.568086551684143</v>
      </c>
      <c r="J20" s="30"/>
    </row>
    <row r="21" spans="1:10" x14ac:dyDescent="0.2">
      <c r="A21" s="692">
        <v>15</v>
      </c>
      <c r="B21" s="749">
        <f>'Utility Analysis July 2026'!D24</f>
        <v>8647</v>
      </c>
      <c r="C21" s="750">
        <f>'Utility Analysis July 2026'!G24</f>
        <v>0</v>
      </c>
      <c r="D21" s="751">
        <f>'Utility Analysis July 2026'!E24</f>
        <v>1417.2</v>
      </c>
      <c r="E21" s="752">
        <f t="shared" si="0"/>
        <v>10064.200000000001</v>
      </c>
      <c r="F21" s="753">
        <f>'PROD.FIG. '!H19</f>
        <v>387.68400000000003</v>
      </c>
      <c r="G21" s="329">
        <f t="shared" si="1"/>
        <v>25.959802313224174</v>
      </c>
      <c r="J21" s="30"/>
    </row>
    <row r="22" spans="1:10" x14ac:dyDescent="0.2">
      <c r="A22" s="692">
        <v>16</v>
      </c>
      <c r="B22" s="749">
        <f>'Utility Analysis July 2026'!D25</f>
        <v>7504</v>
      </c>
      <c r="C22" s="750">
        <f>'Utility Analysis July 2026'!G25</f>
        <v>0</v>
      </c>
      <c r="D22" s="751">
        <f>'Utility Analysis July 2026'!E25</f>
        <v>1433.1</v>
      </c>
      <c r="E22" s="752">
        <f t="shared" si="0"/>
        <v>8937.1</v>
      </c>
      <c r="F22" s="753">
        <f>'PROD.FIG. '!H20</f>
        <v>425.10599999999999</v>
      </c>
      <c r="G22" s="329">
        <f t="shared" si="1"/>
        <v>21.023227148052488</v>
      </c>
      <c r="J22" s="30"/>
    </row>
    <row r="23" spans="1:10" x14ac:dyDescent="0.2">
      <c r="A23" s="692">
        <v>17</v>
      </c>
      <c r="B23" s="749">
        <f>'Utility Analysis July 2026'!D26</f>
        <v>7017</v>
      </c>
      <c r="C23" s="750">
        <f>'Utility Analysis July 2026'!G26</f>
        <v>0</v>
      </c>
      <c r="D23" s="751">
        <f>'Utility Analysis July 2026'!E26</f>
        <v>1416.5</v>
      </c>
      <c r="E23" s="752">
        <f t="shared" si="0"/>
        <v>8433.5</v>
      </c>
      <c r="F23" s="753">
        <f>'PROD.FIG. '!H21</f>
        <v>71.94</v>
      </c>
      <c r="G23" s="329">
        <f t="shared" si="1"/>
        <v>117.22963580761746</v>
      </c>
      <c r="J23" s="30"/>
    </row>
    <row r="24" spans="1:10" x14ac:dyDescent="0.2">
      <c r="A24" s="692">
        <v>18</v>
      </c>
      <c r="B24" s="749">
        <f>'Utility Analysis July 2026'!D27</f>
        <v>3504</v>
      </c>
      <c r="C24" s="750">
        <f>'Utility Analysis July 2026'!G27</f>
        <v>0</v>
      </c>
      <c r="D24" s="751">
        <f>'Utility Analysis July 2026'!E27</f>
        <v>1383</v>
      </c>
      <c r="E24" s="752">
        <f t="shared" si="0"/>
        <v>4887</v>
      </c>
      <c r="F24" s="753" t="str">
        <f>'PROD.FIG. '!H22</f>
        <v>0</v>
      </c>
      <c r="G24" s="329" t="str">
        <f t="shared" si="1"/>
        <v>0</v>
      </c>
      <c r="J24" s="30"/>
    </row>
    <row r="25" spans="1:10" x14ac:dyDescent="0.2">
      <c r="A25" s="692">
        <v>19</v>
      </c>
      <c r="B25" s="749">
        <f>'Utility Analysis July 2026'!D28</f>
        <v>4779</v>
      </c>
      <c r="C25" s="750">
        <f>'Utility Analysis July 2026'!G28</f>
        <v>0</v>
      </c>
      <c r="D25" s="751">
        <f>'Utility Analysis July 2026'!E28</f>
        <v>912</v>
      </c>
      <c r="E25" s="752">
        <f t="shared" si="0"/>
        <v>5691</v>
      </c>
      <c r="F25" s="753" t="str">
        <f>'PROD.FIG. '!H23</f>
        <v>0</v>
      </c>
      <c r="G25" s="459" t="str">
        <f t="shared" si="1"/>
        <v>0</v>
      </c>
      <c r="J25" s="30"/>
    </row>
    <row r="26" spans="1:10" x14ac:dyDescent="0.2">
      <c r="A26" s="767">
        <v>20</v>
      </c>
      <c r="B26" s="779">
        <f>'Utility Analysis July 2026'!D29</f>
        <v>8371</v>
      </c>
      <c r="C26" s="780">
        <f>'Utility Analysis July 2026'!G29</f>
        <v>0</v>
      </c>
      <c r="D26" s="781">
        <f>'Utility Analysis July 2026'!E29</f>
        <v>1231.4000000000001</v>
      </c>
      <c r="E26" s="782">
        <f t="shared" si="0"/>
        <v>9602.4</v>
      </c>
      <c r="F26" s="783">
        <f>'PROD.FIG. '!H24</f>
        <v>406.89000000000004</v>
      </c>
      <c r="G26" s="459">
        <f t="shared" si="1"/>
        <v>23.599498635994983</v>
      </c>
      <c r="J26" s="30"/>
    </row>
    <row r="27" spans="1:10" x14ac:dyDescent="0.2">
      <c r="A27" s="767">
        <v>21</v>
      </c>
      <c r="B27" s="779">
        <f>'Utility Analysis July 2026'!D30</f>
        <v>10629</v>
      </c>
      <c r="C27" s="780">
        <f>'Utility Analysis July 2026'!G30</f>
        <v>0</v>
      </c>
      <c r="D27" s="781">
        <f>'Utility Analysis July 2026'!E30</f>
        <v>1420.4</v>
      </c>
      <c r="E27" s="782">
        <f t="shared" si="0"/>
        <v>12049.4</v>
      </c>
      <c r="F27" s="783">
        <f>'PROD.FIG. '!H25</f>
        <v>500.14800000000002</v>
      </c>
      <c r="G27" s="329">
        <f t="shared" si="1"/>
        <v>24.091668866015656</v>
      </c>
      <c r="J27" s="30"/>
    </row>
    <row r="28" spans="1:10" x14ac:dyDescent="0.2">
      <c r="A28" s="692">
        <v>22</v>
      </c>
      <c r="B28" s="749">
        <f>'Utility Analysis July 2026'!D31</f>
        <v>7013</v>
      </c>
      <c r="C28" s="750">
        <f>'Utility Analysis July 2026'!G31</f>
        <v>0</v>
      </c>
      <c r="D28" s="751">
        <f>'Utility Analysis July 2026'!E31</f>
        <v>1441.2</v>
      </c>
      <c r="E28" s="752">
        <f t="shared" si="0"/>
        <v>8454.2000000000007</v>
      </c>
      <c r="F28" s="753">
        <f>'PROD.FIG. '!H26</f>
        <v>202.554</v>
      </c>
      <c r="G28" s="329">
        <f t="shared" si="1"/>
        <v>41.738005667624442</v>
      </c>
      <c r="J28" s="30"/>
    </row>
    <row r="29" spans="1:10" x14ac:dyDescent="0.2">
      <c r="A29" s="692">
        <v>23</v>
      </c>
      <c r="B29" s="749">
        <f>'Utility Analysis July 2026'!D32</f>
        <v>8070</v>
      </c>
      <c r="C29" s="750">
        <f>'Utility Analysis July 2026'!G32</f>
        <v>0</v>
      </c>
      <c r="D29" s="751">
        <f>'Utility Analysis July 2026'!E32</f>
        <v>1365.8</v>
      </c>
      <c r="E29" s="752">
        <f t="shared" si="0"/>
        <v>9435.7999999999993</v>
      </c>
      <c r="F29" s="753">
        <f>'PROD.FIG. '!H27</f>
        <v>258.786</v>
      </c>
      <c r="G29" s="329">
        <f t="shared" si="1"/>
        <v>36.46178695910907</v>
      </c>
      <c r="J29" s="30"/>
    </row>
    <row r="30" spans="1:10" x14ac:dyDescent="0.2">
      <c r="A30" s="692">
        <v>24</v>
      </c>
      <c r="B30" s="749">
        <f>'Utility Analysis July 2026'!D33</f>
        <v>7948</v>
      </c>
      <c r="C30" s="750">
        <f>'Utility Analysis July 2026'!G33</f>
        <v>0</v>
      </c>
      <c r="D30" s="751">
        <f>'Utility Analysis July 2026'!E33</f>
        <v>1458.2</v>
      </c>
      <c r="E30" s="752">
        <f t="shared" si="0"/>
        <v>9406.2000000000007</v>
      </c>
      <c r="F30" s="753">
        <f>'PROD.FIG. '!H28</f>
        <v>91.872</v>
      </c>
      <c r="G30" s="329">
        <f t="shared" si="1"/>
        <v>102.38375130616511</v>
      </c>
      <c r="J30" s="30"/>
    </row>
    <row r="31" spans="1:10" x14ac:dyDescent="0.2">
      <c r="A31" s="692">
        <v>25</v>
      </c>
      <c r="B31" s="749">
        <f>'Utility Analysis July 2026'!D34</f>
        <v>2705</v>
      </c>
      <c r="C31" s="750">
        <f>'Utility Analysis July 2026'!G34</f>
        <v>0</v>
      </c>
      <c r="D31" s="751">
        <f>'Utility Analysis July 2026'!E34</f>
        <v>1418.4</v>
      </c>
      <c r="E31" s="752">
        <f t="shared" si="0"/>
        <v>4123.3999999999996</v>
      </c>
      <c r="F31" s="753" t="str">
        <f>'PROD.FIG. '!H29</f>
        <v>0</v>
      </c>
      <c r="G31" s="329" t="str">
        <f t="shared" si="1"/>
        <v>0</v>
      </c>
      <c r="J31" s="30"/>
    </row>
    <row r="32" spans="1:10" x14ac:dyDescent="0.2">
      <c r="A32" s="692">
        <v>26</v>
      </c>
      <c r="B32" s="749">
        <f>'Utility Analysis July 2026'!D35</f>
        <v>3192</v>
      </c>
      <c r="C32" s="750">
        <f>'Utility Analysis July 2026'!G35</f>
        <v>0</v>
      </c>
      <c r="D32" s="751">
        <f>'Utility Analysis July 2026'!E35</f>
        <v>1582.6</v>
      </c>
      <c r="E32" s="752">
        <f t="shared" si="0"/>
        <v>4774.6000000000004</v>
      </c>
      <c r="F32" s="753" t="str">
        <f>'PROD.FIG. '!H30</f>
        <v>0</v>
      </c>
      <c r="G32" s="459" t="str">
        <f t="shared" si="1"/>
        <v>0</v>
      </c>
      <c r="J32" s="30"/>
    </row>
    <row r="33" spans="1:10" x14ac:dyDescent="0.2">
      <c r="A33" s="767">
        <v>27</v>
      </c>
      <c r="B33" s="779">
        <f>'Utility Analysis July 2026'!D36</f>
        <v>7688</v>
      </c>
      <c r="C33" s="780">
        <f>'Utility Analysis July 2026'!G36</f>
        <v>0</v>
      </c>
      <c r="D33" s="781">
        <f>'Utility Analysis July 2026'!E36</f>
        <v>1394.9</v>
      </c>
      <c r="E33" s="782">
        <f t="shared" si="0"/>
        <v>9082.9</v>
      </c>
      <c r="F33" s="783">
        <f>'PROD.FIG. '!H31</f>
        <v>365.97</v>
      </c>
      <c r="G33" s="459">
        <f t="shared" si="1"/>
        <v>24.81870098641965</v>
      </c>
      <c r="J33" s="30"/>
    </row>
    <row r="34" spans="1:10" x14ac:dyDescent="0.2">
      <c r="A34" s="767">
        <v>28</v>
      </c>
      <c r="B34" s="779">
        <f>'Utility Analysis July 2026'!D37</f>
        <v>8951</v>
      </c>
      <c r="C34" s="780">
        <f>'Utility Analysis July 2026'!G37</f>
        <v>0</v>
      </c>
      <c r="D34" s="781">
        <f>'Utility Analysis July 2026'!E37</f>
        <v>1091.4000000000001</v>
      </c>
      <c r="E34" s="782">
        <f t="shared" si="0"/>
        <v>10042.4</v>
      </c>
      <c r="F34" s="783">
        <f>'PROD.FIG. '!H32</f>
        <v>642.048</v>
      </c>
      <c r="G34" s="329">
        <f t="shared" si="1"/>
        <v>15.641198165869218</v>
      </c>
      <c r="J34" s="30"/>
    </row>
    <row r="35" spans="1:10" x14ac:dyDescent="0.2">
      <c r="A35" s="692">
        <v>29</v>
      </c>
      <c r="B35" s="749">
        <f>'Utility Analysis July 2026'!D38</f>
        <v>8672</v>
      </c>
      <c r="C35" s="750">
        <f>'Utility Analysis July 2026'!G38</f>
        <v>0</v>
      </c>
      <c r="D35" s="751">
        <f>'Utility Analysis July 2026'!E38</f>
        <v>1593.7</v>
      </c>
      <c r="E35" s="752">
        <f t="shared" si="0"/>
        <v>10265.700000000001</v>
      </c>
      <c r="F35" s="753">
        <f>'PROD.FIG. '!H33</f>
        <v>387.63720000000001</v>
      </c>
      <c r="G35" s="329">
        <f t="shared" si="1"/>
        <v>26.482752429333409</v>
      </c>
    </row>
    <row r="36" spans="1:10" x14ac:dyDescent="0.2">
      <c r="A36" s="692">
        <v>30</v>
      </c>
      <c r="B36" s="749">
        <f>'Utility Analysis July 2026'!D39</f>
        <v>9708</v>
      </c>
      <c r="C36" s="750">
        <f>'Utility Analysis July 2026'!G39</f>
        <v>0</v>
      </c>
      <c r="D36" s="751">
        <f>'Utility Analysis July 2026'!E39</f>
        <v>1507.1</v>
      </c>
      <c r="E36" s="752">
        <f t="shared" si="0"/>
        <v>11215.1</v>
      </c>
      <c r="F36" s="753">
        <f>'PROD.FIG. '!H34</f>
        <v>606.86879999999996</v>
      </c>
      <c r="G36" s="329">
        <f t="shared" si="1"/>
        <v>18.480271188764359</v>
      </c>
    </row>
    <row r="37" spans="1:10" ht="15.75" thickBot="1" x14ac:dyDescent="0.25">
      <c r="A37" s="692">
        <v>31</v>
      </c>
      <c r="B37" s="749">
        <f>'Utility Analysis July 2026'!D40</f>
        <v>8223</v>
      </c>
      <c r="C37" s="750">
        <f>'Utility Analysis July 2026'!G40</f>
        <v>0</v>
      </c>
      <c r="D37" s="751">
        <f>'Utility Analysis July 2026'!E40</f>
        <v>1320.9</v>
      </c>
      <c r="E37" s="752">
        <f>B37+C37</f>
        <v>8223</v>
      </c>
      <c r="F37" s="753"/>
      <c r="G37" s="329"/>
      <c r="I37" s="189" t="s">
        <v>251</v>
      </c>
    </row>
    <row r="38" spans="1:10" s="299" customFormat="1" ht="18.75" thickBot="1" x14ac:dyDescent="0.3">
      <c r="A38" s="300" t="s">
        <v>85</v>
      </c>
      <c r="B38" s="301">
        <f>SUM(B7:B37)</f>
        <v>220465</v>
      </c>
      <c r="C38" s="301">
        <f>SUM(C7:C37)</f>
        <v>0</v>
      </c>
      <c r="D38" s="301">
        <f>SUM(D7:D37)</f>
        <v>39202</v>
      </c>
      <c r="E38" s="330">
        <f>SUM(E7:E37)</f>
        <v>258346.09999999998</v>
      </c>
      <c r="F38" s="358">
        <f>SUM(F7:F37)</f>
        <v>8499.7536</v>
      </c>
      <c r="G38" s="331">
        <f>IF(F38=0,"0",(E38/F38))</f>
        <v>30.394539907603907</v>
      </c>
      <c r="H38" s="328">
        <v>22</v>
      </c>
      <c r="I38" s="334">
        <f>G38/H38*100</f>
        <v>138.15699958001775</v>
      </c>
    </row>
    <row r="39" spans="1:10" x14ac:dyDescent="0.2">
      <c r="B39" s="17"/>
      <c r="E39" s="17"/>
      <c r="F39" s="17"/>
      <c r="G39" s="17"/>
      <c r="H39" s="327" t="s">
        <v>247</v>
      </c>
    </row>
    <row r="40" spans="1:10" x14ac:dyDescent="0.2">
      <c r="B40" s="17"/>
      <c r="E40" s="17"/>
      <c r="F40" s="17"/>
      <c r="G40" s="17"/>
    </row>
    <row r="41" spans="1:10" x14ac:dyDescent="0.2">
      <c r="B41" s="17"/>
      <c r="E41" s="17"/>
      <c r="F41" s="17"/>
      <c r="G41" s="17"/>
    </row>
    <row r="42" spans="1:10" x14ac:dyDescent="0.2">
      <c r="B42" s="17"/>
      <c r="E42" s="17"/>
      <c r="F42" s="17"/>
      <c r="G42" s="17"/>
    </row>
  </sheetData>
  <mergeCells count="6">
    <mergeCell ref="A1:G1"/>
    <mergeCell ref="E4:E6"/>
    <mergeCell ref="F4:F6"/>
    <mergeCell ref="G4:G6"/>
    <mergeCell ref="H4:H6"/>
    <mergeCell ref="A4:A6"/>
  </mergeCells>
  <phoneticPr fontId="0" type="noConversion"/>
  <conditionalFormatting sqref="G1:G1048576">
    <cfRule type="cellIs" dxfId="43" priority="1" operator="lessThan">
      <formula>22</formula>
    </cfRule>
  </conditionalFormatting>
  <conditionalFormatting sqref="G7:G38">
    <cfRule type="cellIs" dxfId="42" priority="2" operator="greaterThan">
      <formula>21</formula>
    </cfRule>
  </conditionalFormatting>
  <pageMargins left="0.25" right="0.25" top="0.25" bottom="0.25" header="0.5" footer="0.5"/>
  <pageSetup scale="72" orientation="landscape" r:id="rId1"/>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ransitionEvaluation="1" codeName="Sheet7">
    <tabColor indexed="14"/>
  </sheetPr>
  <dimension ref="A1:P41"/>
  <sheetViews>
    <sheetView showZeros="0" defaultGridColor="0" colorId="22" zoomScale="87" zoomScaleNormal="87" zoomScaleSheetLayoutView="75" workbookViewId="0">
      <pane xSplit="2" ySplit="4" topLeftCell="C5" activePane="bottomRight" state="frozen"/>
      <selection pane="topRight" activeCell="C1" sqref="C1"/>
      <selection pane="bottomLeft" activeCell="A5" sqref="A5"/>
      <selection pane="bottomRight" activeCell="B33" sqref="B33:B35"/>
    </sheetView>
  </sheetViews>
  <sheetFormatPr defaultColWidth="12.5703125" defaultRowHeight="15" x14ac:dyDescent="0.2"/>
  <cols>
    <col min="1" max="1" width="15.42578125" style="8" customWidth="1"/>
    <col min="2" max="2" width="7.42578125" style="8" bestFit="1" customWidth="1"/>
    <col min="3" max="3" width="16" style="32" customWidth="1"/>
    <col min="4" max="4" width="10.7109375" style="8" customWidth="1"/>
    <col min="5" max="5" width="17.28515625" style="8" customWidth="1"/>
    <col min="6" max="6" width="8.42578125" style="8" customWidth="1"/>
    <col min="7" max="7" width="13.5703125" style="8" customWidth="1"/>
    <col min="8" max="8" width="17.7109375" style="17" customWidth="1"/>
    <col min="9" max="16" width="12.5703125" style="32"/>
    <col min="17" max="16384" width="12.5703125" style="8"/>
  </cols>
  <sheetData>
    <row r="1" spans="1:10" ht="15.75" x14ac:dyDescent="0.25">
      <c r="A1" s="942" t="s">
        <v>297</v>
      </c>
      <c r="B1" s="901"/>
      <c r="C1" s="901"/>
      <c r="D1" s="901"/>
      <c r="E1" s="901"/>
      <c r="F1" s="901"/>
      <c r="G1" s="901"/>
      <c r="H1" s="901"/>
    </row>
    <row r="2" spans="1:10" ht="15.75" thickBot="1" x14ac:dyDescent="0.25">
      <c r="D2" s="12"/>
    </row>
    <row r="3" spans="1:10" ht="15.75" x14ac:dyDescent="0.25">
      <c r="A3" s="306"/>
      <c r="B3" s="307" t="s">
        <v>7</v>
      </c>
      <c r="C3" s="308"/>
      <c r="D3" s="309"/>
      <c r="E3" s="309"/>
      <c r="F3" s="309"/>
      <c r="G3" s="309"/>
      <c r="H3" s="310"/>
    </row>
    <row r="4" spans="1:10" ht="15.75" x14ac:dyDescent="0.25">
      <c r="A4" s="311"/>
      <c r="B4" s="70" t="s">
        <v>37</v>
      </c>
      <c r="C4" s="304" t="s">
        <v>81</v>
      </c>
      <c r="D4" s="305" t="s">
        <v>80</v>
      </c>
      <c r="E4" s="305" t="s">
        <v>68</v>
      </c>
      <c r="F4" s="305" t="s">
        <v>70</v>
      </c>
      <c r="G4" s="305" t="s">
        <v>69</v>
      </c>
      <c r="H4" s="312" t="s">
        <v>57</v>
      </c>
    </row>
    <row r="5" spans="1:10" x14ac:dyDescent="0.2">
      <c r="A5" s="701" t="s">
        <v>96</v>
      </c>
      <c r="B5" s="692">
        <v>1</v>
      </c>
      <c r="C5" s="693"/>
      <c r="D5" s="694"/>
      <c r="E5" s="692"/>
      <c r="F5" s="694"/>
      <c r="G5" s="692"/>
      <c r="H5" s="698" cm="1">
        <f t="array" ref="H5:H35">IF(TRANSPOSE('Daily KPIs'!B9:AF9)=0,"0",TRANSPOSE('Daily KPIs'!B9:AF9))</f>
        <v>471.86520000000002</v>
      </c>
      <c r="I5" s="289"/>
      <c r="J5" s="290"/>
    </row>
    <row r="6" spans="1:10" x14ac:dyDescent="0.2">
      <c r="A6" s="701" t="s">
        <v>97</v>
      </c>
      <c r="B6" s="692">
        <v>2</v>
      </c>
      <c r="C6" s="693"/>
      <c r="D6" s="694"/>
      <c r="E6" s="784"/>
      <c r="F6" s="694"/>
      <c r="G6" s="692"/>
      <c r="H6" s="695">
        <v>507.36840000000001</v>
      </c>
      <c r="I6" s="33"/>
      <c r="J6" s="290"/>
    </row>
    <row r="7" spans="1:10" x14ac:dyDescent="0.2">
      <c r="A7" s="701" t="s">
        <v>98</v>
      </c>
      <c r="B7" s="692">
        <v>3</v>
      </c>
      <c r="C7" s="693"/>
      <c r="D7" s="694"/>
      <c r="E7" s="692"/>
      <c r="F7" s="694"/>
      <c r="G7" s="692"/>
      <c r="H7" s="695">
        <v>492.096</v>
      </c>
      <c r="I7" s="291"/>
      <c r="J7" s="292"/>
    </row>
    <row r="8" spans="1:10" x14ac:dyDescent="0.2">
      <c r="A8" s="701" t="s">
        <v>92</v>
      </c>
      <c r="B8" s="692">
        <v>4</v>
      </c>
      <c r="C8" s="693"/>
      <c r="D8" s="694"/>
      <c r="E8" s="692"/>
      <c r="F8" s="696"/>
      <c r="G8" s="692"/>
      <c r="H8" s="695" t="str">
        <v>0</v>
      </c>
      <c r="I8" s="291"/>
      <c r="J8" s="292"/>
    </row>
    <row r="9" spans="1:10" x14ac:dyDescent="0.2">
      <c r="A9" s="701" t="s">
        <v>93</v>
      </c>
      <c r="B9" s="692">
        <v>5</v>
      </c>
      <c r="C9" s="693"/>
      <c r="D9" s="694"/>
      <c r="E9" s="692"/>
      <c r="F9" s="692"/>
      <c r="G9" s="692"/>
      <c r="H9" s="695" t="str">
        <v>0</v>
      </c>
      <c r="I9" s="291"/>
      <c r="J9" s="292"/>
    </row>
    <row r="10" spans="1:10" x14ac:dyDescent="0.2">
      <c r="A10" s="701" t="s">
        <v>94</v>
      </c>
      <c r="B10" s="767">
        <v>6</v>
      </c>
      <c r="C10" s="768"/>
      <c r="D10" s="769"/>
      <c r="E10" s="767"/>
      <c r="F10" s="767"/>
      <c r="G10" s="767"/>
      <c r="H10" s="770">
        <v>410.78399999999999</v>
      </c>
      <c r="I10" s="291"/>
      <c r="J10" s="292"/>
    </row>
    <row r="11" spans="1:10" x14ac:dyDescent="0.2">
      <c r="A11" s="701" t="s">
        <v>95</v>
      </c>
      <c r="B11" s="767">
        <v>7</v>
      </c>
      <c r="C11" s="768"/>
      <c r="D11" s="769"/>
      <c r="E11" s="767"/>
      <c r="F11" s="771"/>
      <c r="G11" s="767"/>
      <c r="H11" s="770">
        <v>209.88000000000002</v>
      </c>
      <c r="I11" s="291"/>
      <c r="J11" s="292"/>
    </row>
    <row r="12" spans="1:10" x14ac:dyDescent="0.2">
      <c r="A12" s="701" t="s">
        <v>96</v>
      </c>
      <c r="B12" s="692">
        <v>8</v>
      </c>
      <c r="C12" s="693"/>
      <c r="D12" s="694"/>
      <c r="E12" s="692"/>
      <c r="F12" s="692"/>
      <c r="G12" s="692"/>
      <c r="H12" s="695">
        <v>376.72800000000001</v>
      </c>
      <c r="I12" s="291"/>
      <c r="J12" s="292"/>
    </row>
    <row r="13" spans="1:10" x14ac:dyDescent="0.2">
      <c r="A13" s="701" t="s">
        <v>97</v>
      </c>
      <c r="B13" s="692">
        <v>9</v>
      </c>
      <c r="C13" s="693"/>
      <c r="D13" s="694"/>
      <c r="E13" s="696"/>
      <c r="F13" s="692"/>
      <c r="G13" s="692"/>
      <c r="H13" s="695">
        <v>322.80600000000004</v>
      </c>
      <c r="I13" s="291"/>
      <c r="J13" s="292"/>
    </row>
    <row r="14" spans="1:10" x14ac:dyDescent="0.2">
      <c r="A14" s="701" t="s">
        <v>98</v>
      </c>
      <c r="B14" s="692">
        <v>10</v>
      </c>
      <c r="C14" s="693"/>
      <c r="D14" s="694"/>
      <c r="E14" s="692"/>
      <c r="F14" s="692"/>
      <c r="G14" s="692"/>
      <c r="H14" s="695">
        <v>349.93200000000002</v>
      </c>
      <c r="I14" s="291"/>
      <c r="J14" s="292"/>
    </row>
    <row r="15" spans="1:10" x14ac:dyDescent="0.2">
      <c r="A15" s="701" t="s">
        <v>92</v>
      </c>
      <c r="B15" s="692">
        <v>11</v>
      </c>
      <c r="C15" s="693"/>
      <c r="D15" s="694"/>
      <c r="E15" s="696"/>
      <c r="F15" s="692"/>
      <c r="G15" s="696"/>
      <c r="H15" s="695" t="str">
        <v>0</v>
      </c>
      <c r="I15" s="291"/>
      <c r="J15" s="292"/>
    </row>
    <row r="16" spans="1:10" x14ac:dyDescent="0.2">
      <c r="A16" s="701" t="s">
        <v>93</v>
      </c>
      <c r="B16" s="692">
        <v>12</v>
      </c>
      <c r="C16" s="693"/>
      <c r="D16" s="694"/>
      <c r="E16" s="696"/>
      <c r="F16" s="692"/>
      <c r="G16" s="692"/>
      <c r="H16" s="695" t="str">
        <v>0</v>
      </c>
      <c r="I16" s="291"/>
      <c r="J16" s="292"/>
    </row>
    <row r="17" spans="1:13" x14ac:dyDescent="0.2">
      <c r="A17" s="701" t="s">
        <v>94</v>
      </c>
      <c r="B17" s="767">
        <v>13</v>
      </c>
      <c r="C17" s="768"/>
      <c r="D17" s="769"/>
      <c r="E17" s="767"/>
      <c r="F17" s="767"/>
      <c r="G17" s="767"/>
      <c r="H17" s="770">
        <v>407.22</v>
      </c>
      <c r="I17" s="291"/>
      <c r="J17" s="292"/>
    </row>
    <row r="18" spans="1:13" x14ac:dyDescent="0.2">
      <c r="A18" s="701" t="s">
        <v>95</v>
      </c>
      <c r="B18" s="767">
        <v>14</v>
      </c>
      <c r="C18" s="768"/>
      <c r="D18" s="769"/>
      <c r="E18" s="767"/>
      <c r="F18" s="767"/>
      <c r="G18" s="767"/>
      <c r="H18" s="770">
        <v>603.57000000000005</v>
      </c>
      <c r="I18" s="291"/>
      <c r="J18" s="292"/>
    </row>
    <row r="19" spans="1:13" x14ac:dyDescent="0.2">
      <c r="A19" s="701" t="s">
        <v>96</v>
      </c>
      <c r="B19" s="692">
        <v>15</v>
      </c>
      <c r="C19" s="693"/>
      <c r="D19" s="694"/>
      <c r="E19" s="696"/>
      <c r="F19" s="692"/>
      <c r="G19" s="692"/>
      <c r="H19" s="695">
        <v>387.68400000000003</v>
      </c>
      <c r="I19" s="291"/>
      <c r="J19" s="292"/>
    </row>
    <row r="20" spans="1:13" x14ac:dyDescent="0.2">
      <c r="A20" s="701" t="s">
        <v>97</v>
      </c>
      <c r="B20" s="692">
        <v>16</v>
      </c>
      <c r="C20" s="693"/>
      <c r="D20" s="694"/>
      <c r="E20" s="692"/>
      <c r="F20" s="692"/>
      <c r="G20" s="692"/>
      <c r="H20" s="695">
        <v>425.10599999999999</v>
      </c>
      <c r="I20" s="291"/>
      <c r="J20" s="292"/>
    </row>
    <row r="21" spans="1:13" x14ac:dyDescent="0.2">
      <c r="A21" s="701" t="s">
        <v>98</v>
      </c>
      <c r="B21" s="692">
        <v>17</v>
      </c>
      <c r="C21" s="693"/>
      <c r="D21" s="694"/>
      <c r="E21" s="692"/>
      <c r="F21" s="692"/>
      <c r="G21" s="692"/>
      <c r="H21" s="695">
        <v>71.94</v>
      </c>
      <c r="I21" s="291"/>
      <c r="J21" s="292"/>
    </row>
    <row r="22" spans="1:13" x14ac:dyDescent="0.2">
      <c r="A22" s="701" t="s">
        <v>92</v>
      </c>
      <c r="B22" s="692">
        <v>18</v>
      </c>
      <c r="C22" s="693"/>
      <c r="D22" s="694"/>
      <c r="E22" s="692"/>
      <c r="F22" s="692"/>
      <c r="G22" s="692"/>
      <c r="H22" s="695" t="str">
        <v>0</v>
      </c>
      <c r="I22" s="291"/>
      <c r="J22" s="292"/>
    </row>
    <row r="23" spans="1:13" x14ac:dyDescent="0.2">
      <c r="A23" s="701" t="s">
        <v>93</v>
      </c>
      <c r="B23" s="692">
        <v>19</v>
      </c>
      <c r="C23" s="693"/>
      <c r="D23" s="694"/>
      <c r="E23" s="692"/>
      <c r="F23" s="692"/>
      <c r="G23" s="692"/>
      <c r="H23" s="695" t="str">
        <v>0</v>
      </c>
      <c r="I23" s="291"/>
      <c r="J23" s="292"/>
    </row>
    <row r="24" spans="1:13" x14ac:dyDescent="0.2">
      <c r="A24" s="701" t="s">
        <v>94</v>
      </c>
      <c r="B24" s="692">
        <v>20</v>
      </c>
      <c r="C24" s="693"/>
      <c r="D24" s="694"/>
      <c r="E24" s="692"/>
      <c r="F24" s="692"/>
      <c r="G24" s="692"/>
      <c r="H24" s="695">
        <v>406.89000000000004</v>
      </c>
      <c r="I24" s="291"/>
      <c r="J24" s="292"/>
    </row>
    <row r="25" spans="1:13" x14ac:dyDescent="0.2">
      <c r="A25" s="701" t="s">
        <v>95</v>
      </c>
      <c r="B25" s="767">
        <v>21</v>
      </c>
      <c r="C25" s="768"/>
      <c r="D25" s="769"/>
      <c r="E25" s="767"/>
      <c r="F25" s="767"/>
      <c r="G25" s="767"/>
      <c r="H25" s="770">
        <v>500.14800000000002</v>
      </c>
      <c r="I25" s="291"/>
      <c r="J25" s="292"/>
    </row>
    <row r="26" spans="1:13" x14ac:dyDescent="0.2">
      <c r="A26" s="701" t="s">
        <v>96</v>
      </c>
      <c r="B26" s="767">
        <v>22</v>
      </c>
      <c r="C26" s="768"/>
      <c r="D26" s="769"/>
      <c r="E26" s="767"/>
      <c r="F26" s="767"/>
      <c r="G26" s="767"/>
      <c r="H26" s="770">
        <v>202.554</v>
      </c>
      <c r="I26" s="291"/>
      <c r="J26" s="292"/>
      <c r="M26" s="32" t="s">
        <v>58</v>
      </c>
    </row>
    <row r="27" spans="1:13" x14ac:dyDescent="0.2">
      <c r="A27" s="701" t="s">
        <v>97</v>
      </c>
      <c r="B27" s="692">
        <v>23</v>
      </c>
      <c r="C27" s="693"/>
      <c r="D27" s="694"/>
      <c r="E27" s="696"/>
      <c r="F27" s="692"/>
      <c r="G27" s="692"/>
      <c r="H27" s="695">
        <v>258.786</v>
      </c>
      <c r="I27" s="291"/>
      <c r="J27" s="292"/>
    </row>
    <row r="28" spans="1:13" x14ac:dyDescent="0.2">
      <c r="A28" s="701" t="s">
        <v>98</v>
      </c>
      <c r="B28" s="692">
        <v>24</v>
      </c>
      <c r="C28" s="693"/>
      <c r="D28" s="694"/>
      <c r="E28" s="696"/>
      <c r="F28" s="692"/>
      <c r="G28" s="692"/>
      <c r="H28" s="695">
        <v>91.872</v>
      </c>
      <c r="I28" s="291"/>
      <c r="J28" s="292"/>
    </row>
    <row r="29" spans="1:13" x14ac:dyDescent="0.2">
      <c r="A29" s="701" t="s">
        <v>92</v>
      </c>
      <c r="B29" s="692">
        <v>25</v>
      </c>
      <c r="C29" s="693"/>
      <c r="D29" s="694"/>
      <c r="E29" s="692"/>
      <c r="F29" s="692"/>
      <c r="G29" s="692"/>
      <c r="H29" s="695" t="str">
        <v>0</v>
      </c>
      <c r="I29" s="291"/>
      <c r="J29" s="292"/>
    </row>
    <row r="30" spans="1:13" x14ac:dyDescent="0.2">
      <c r="A30" s="701" t="s">
        <v>93</v>
      </c>
      <c r="B30" s="692">
        <v>26</v>
      </c>
      <c r="C30" s="693"/>
      <c r="D30" s="694"/>
      <c r="E30" s="692"/>
      <c r="F30" s="692"/>
      <c r="G30" s="692"/>
      <c r="H30" s="695" t="str">
        <v>0</v>
      </c>
      <c r="I30" s="291"/>
      <c r="J30" s="292"/>
    </row>
    <row r="31" spans="1:13" x14ac:dyDescent="0.2">
      <c r="A31" s="701" t="s">
        <v>94</v>
      </c>
      <c r="B31" s="767">
        <v>27</v>
      </c>
      <c r="C31" s="768"/>
      <c r="D31" s="769"/>
      <c r="E31" s="767"/>
      <c r="F31" s="767"/>
      <c r="G31" s="767"/>
      <c r="H31" s="770">
        <v>365.97</v>
      </c>
      <c r="I31" s="291"/>
      <c r="J31" s="292"/>
    </row>
    <row r="32" spans="1:13" x14ac:dyDescent="0.2">
      <c r="A32" s="701" t="s">
        <v>95</v>
      </c>
      <c r="B32" s="767">
        <v>28</v>
      </c>
      <c r="C32" s="768"/>
      <c r="D32" s="769"/>
      <c r="E32" s="767"/>
      <c r="F32" s="767"/>
      <c r="G32" s="767"/>
      <c r="H32" s="770">
        <v>642.048</v>
      </c>
      <c r="I32" s="291"/>
      <c r="J32" s="292"/>
    </row>
    <row r="33" spans="1:10" x14ac:dyDescent="0.2">
      <c r="A33" s="701" t="s">
        <v>96</v>
      </c>
      <c r="B33" s="692">
        <v>29</v>
      </c>
      <c r="C33" s="693"/>
      <c r="D33" s="694"/>
      <c r="E33" s="692"/>
      <c r="F33" s="696"/>
      <c r="G33" s="692"/>
      <c r="H33" s="695">
        <v>387.63720000000001</v>
      </c>
      <c r="I33" s="291"/>
      <c r="J33" s="292"/>
    </row>
    <row r="34" spans="1:10" x14ac:dyDescent="0.2">
      <c r="A34" s="701" t="s">
        <v>97</v>
      </c>
      <c r="B34" s="692">
        <v>30</v>
      </c>
      <c r="C34" s="693"/>
      <c r="D34" s="694"/>
      <c r="E34" s="692"/>
      <c r="F34" s="692"/>
      <c r="G34" s="692"/>
      <c r="H34" s="695">
        <v>606.86879999999996</v>
      </c>
      <c r="I34" s="291"/>
      <c r="J34" s="292"/>
    </row>
    <row r="35" spans="1:10" x14ac:dyDescent="0.2">
      <c r="A35" s="701"/>
      <c r="B35" s="692">
        <v>31</v>
      </c>
      <c r="C35" s="693"/>
      <c r="D35" s="694"/>
      <c r="E35" s="692"/>
      <c r="F35" s="692"/>
      <c r="G35" s="692"/>
      <c r="H35" s="695">
        <v>498.49800000000005</v>
      </c>
      <c r="I35" s="291"/>
      <c r="J35" s="292"/>
    </row>
    <row r="36" spans="1:10" ht="18.75" thickBot="1" x14ac:dyDescent="0.3">
      <c r="A36" s="737"/>
      <c r="B36" s="738"/>
      <c r="C36" s="739"/>
      <c r="D36" s="740"/>
      <c r="E36" s="738"/>
      <c r="F36" s="738"/>
      <c r="G36" s="741" t="s">
        <v>244</v>
      </c>
      <c r="H36" s="742">
        <f>SUM(H5:H35)</f>
        <v>8998.2515999999996</v>
      </c>
      <c r="I36" s="291"/>
      <c r="J36" s="292"/>
    </row>
    <row r="37" spans="1:10" x14ac:dyDescent="0.2">
      <c r="B37" s="302"/>
      <c r="C37" s="37"/>
      <c r="D37" s="303"/>
      <c r="E37" s="302"/>
      <c r="F37" s="302"/>
      <c r="G37" s="302"/>
      <c r="H37" s="47"/>
      <c r="I37" s="291"/>
      <c r="J37" s="292"/>
    </row>
    <row r="38" spans="1:10" x14ac:dyDescent="0.2">
      <c r="B38" s="16"/>
      <c r="C38" s="38"/>
      <c r="D38" s="288"/>
      <c r="E38" s="16"/>
      <c r="F38" s="16"/>
      <c r="G38" s="16"/>
      <c r="H38" s="185"/>
      <c r="I38" s="291"/>
      <c r="J38" s="292"/>
    </row>
    <row r="39" spans="1:10" x14ac:dyDescent="0.2">
      <c r="C39" s="33">
        <f>SUM(C5:C36)</f>
        <v>0</v>
      </c>
      <c r="D39" s="10"/>
      <c r="E39" s="10"/>
      <c r="F39" s="10"/>
      <c r="G39" s="10"/>
      <c r="H39" s="298"/>
      <c r="I39" s="291"/>
      <c r="J39" s="292"/>
    </row>
    <row r="40" spans="1:10" x14ac:dyDescent="0.2">
      <c r="C40" s="33"/>
      <c r="D40" s="10"/>
      <c r="E40" s="10"/>
      <c r="F40" s="10"/>
      <c r="G40" s="10"/>
      <c r="I40" s="291"/>
      <c r="J40" s="292"/>
    </row>
    <row r="41" spans="1:10" x14ac:dyDescent="0.2">
      <c r="D41" s="11"/>
      <c r="E41" s="13"/>
      <c r="F41" s="13"/>
      <c r="G41" s="13"/>
    </row>
  </sheetData>
  <dataConsolidate link="1"/>
  <mergeCells count="1">
    <mergeCell ref="A1:H1"/>
  </mergeCells>
  <phoneticPr fontId="0" type="noConversion"/>
  <pageMargins left="0.25" right="0.25" top="0.25" bottom="0.25" header="0.5" footer="0.5"/>
  <pageSetup scale="105" orientation="landscape" r:id="rId1"/>
  <headerFooter alignWithMargins="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indexed="51"/>
  </sheetPr>
  <dimension ref="A1:X42"/>
  <sheetViews>
    <sheetView topLeftCell="A2" zoomScaleNormal="100" workbookViewId="0">
      <selection activeCell="A35" sqref="A35:A37"/>
    </sheetView>
  </sheetViews>
  <sheetFormatPr defaultRowHeight="12.75" x14ac:dyDescent="0.2"/>
  <cols>
    <col min="2" max="3" width="13.28515625" customWidth="1"/>
    <col min="4" max="5" width="19.85546875" style="27" customWidth="1"/>
    <col min="6" max="6" width="19.28515625" customWidth="1"/>
    <col min="7" max="7" width="13.140625" customWidth="1"/>
    <col min="8" max="8" width="15.7109375" style="340" customWidth="1"/>
    <col min="9" max="9" width="9.140625" style="27"/>
    <col min="11" max="11" width="9.140625" style="335"/>
    <col min="12" max="14" width="9.140625" style="191"/>
    <col min="15" max="15" width="10.7109375" style="191" customWidth="1"/>
    <col min="16" max="16" width="11" customWidth="1"/>
    <col min="18" max="18" width="13.7109375" style="81" customWidth="1"/>
    <col min="22" max="22" width="10.5703125" customWidth="1"/>
    <col min="24" max="24" width="12.85546875" customWidth="1"/>
  </cols>
  <sheetData>
    <row r="1" spans="1:24" ht="15" x14ac:dyDescent="0.2">
      <c r="A1" s="8"/>
      <c r="B1" s="8"/>
      <c r="C1" s="8"/>
      <c r="D1" s="11"/>
      <c r="E1" s="11"/>
      <c r="F1" s="8"/>
    </row>
    <row r="2" spans="1:24" ht="15.75" thickBot="1" x14ac:dyDescent="0.25">
      <c r="A2" s="8"/>
      <c r="B2" s="8"/>
      <c r="C2" s="8"/>
      <c r="D2" s="11"/>
      <c r="E2" s="11"/>
      <c r="F2" s="8"/>
    </row>
    <row r="3" spans="1:24" ht="16.5" thickBot="1" x14ac:dyDescent="0.3">
      <c r="A3" s="338" t="s">
        <v>296</v>
      </c>
      <c r="B3" s="1"/>
      <c r="C3" s="1"/>
      <c r="D3" s="85"/>
      <c r="E3" s="85"/>
      <c r="F3" s="1"/>
      <c r="I3" s="955" t="s">
        <v>270</v>
      </c>
      <c r="J3" s="956"/>
      <c r="K3" s="957"/>
    </row>
    <row r="4" spans="1:24" ht="37.5" customHeight="1" thickBot="1" x14ac:dyDescent="0.25">
      <c r="A4" s="8"/>
      <c r="B4" s="8"/>
      <c r="C4" s="8"/>
      <c r="D4" s="11"/>
      <c r="E4" s="11"/>
      <c r="F4" s="8"/>
      <c r="G4" s="257" t="s">
        <v>253</v>
      </c>
      <c r="H4" s="341"/>
      <c r="I4" s="958" t="s">
        <v>265</v>
      </c>
      <c r="J4" s="959"/>
      <c r="K4" s="960"/>
      <c r="M4" s="419"/>
      <c r="N4" s="419"/>
      <c r="O4" s="420"/>
      <c r="P4" s="420"/>
      <c r="Q4" s="970" t="s">
        <v>286</v>
      </c>
      <c r="R4" s="970"/>
      <c r="S4" s="970"/>
      <c r="T4" s="970"/>
      <c r="U4" s="191"/>
      <c r="V4" s="419"/>
      <c r="W4" s="191"/>
      <c r="X4" s="191"/>
    </row>
    <row r="5" spans="1:24" ht="15.75" customHeight="1" thickBot="1" x14ac:dyDescent="0.25">
      <c r="A5" s="896" t="s">
        <v>7</v>
      </c>
      <c r="B5" s="898" t="s">
        <v>254</v>
      </c>
      <c r="C5" s="898" t="s">
        <v>285</v>
      </c>
      <c r="D5" s="949" t="s">
        <v>282</v>
      </c>
      <c r="E5" s="949" t="s">
        <v>283</v>
      </c>
      <c r="F5" s="947" t="s">
        <v>246</v>
      </c>
      <c r="G5" s="944" t="s">
        <v>252</v>
      </c>
      <c r="I5" s="421" t="s">
        <v>266</v>
      </c>
      <c r="J5" s="422" t="s">
        <v>267</v>
      </c>
      <c r="K5" s="423" t="s">
        <v>268</v>
      </c>
      <c r="M5" s="961" t="s">
        <v>269</v>
      </c>
      <c r="N5" s="962"/>
      <c r="O5" s="963"/>
      <c r="P5" s="424"/>
      <c r="Q5" s="964" t="s">
        <v>7</v>
      </c>
      <c r="R5" s="966" t="s">
        <v>270</v>
      </c>
      <c r="S5" s="967"/>
      <c r="T5" s="455" t="s">
        <v>271</v>
      </c>
      <c r="U5" s="425" t="s">
        <v>272</v>
      </c>
      <c r="V5" s="968" t="s">
        <v>280</v>
      </c>
      <c r="W5" s="951" t="s">
        <v>273</v>
      </c>
      <c r="X5" s="953" t="s">
        <v>274</v>
      </c>
    </row>
    <row r="6" spans="1:24" ht="28.5" customHeight="1" thickBot="1" x14ac:dyDescent="0.25">
      <c r="A6" s="943"/>
      <c r="B6" s="946"/>
      <c r="C6" s="946"/>
      <c r="D6" s="950"/>
      <c r="E6" s="950"/>
      <c r="F6" s="948"/>
      <c r="G6" s="945"/>
      <c r="I6" s="426">
        <v>10</v>
      </c>
      <c r="J6" s="427">
        <v>722</v>
      </c>
      <c r="K6" s="428">
        <f>J6/2.204623</f>
        <v>327.49363496615973</v>
      </c>
      <c r="M6" s="429"/>
      <c r="N6" s="430" t="s">
        <v>275</v>
      </c>
      <c r="O6" s="429" t="s">
        <v>276</v>
      </c>
      <c r="P6" s="420"/>
      <c r="Q6" s="965"/>
      <c r="R6" s="450" t="s">
        <v>277</v>
      </c>
      <c r="S6" s="451" t="s">
        <v>278</v>
      </c>
      <c r="T6" s="456" t="s">
        <v>278</v>
      </c>
      <c r="U6" s="431" t="s">
        <v>278</v>
      </c>
      <c r="V6" s="969"/>
      <c r="W6" s="952"/>
      <c r="X6" s="954"/>
    </row>
    <row r="7" spans="1:24" ht="15.75" thickBot="1" x14ac:dyDescent="0.25">
      <c r="A7" s="719">
        <v>1</v>
      </c>
      <c r="B7" s="720">
        <f>IF('Entries July 2026'!N7-'Entries July 2026'!N6&lt;1,"0",'Entries July 2026'!N7-'Entries July 2026'!N6)</f>
        <v>293.59000000001106</v>
      </c>
      <c r="C7" s="720">
        <f>IF('Entries July 2026'!L7-'Entries July 2026'!L6&lt;1,"0",'Entries July 2026'!L7-'Entries July 2026'!L6)</f>
        <v>983.70999999999913</v>
      </c>
      <c r="D7" s="720">
        <f>IF('Entries July 2026'!M7-'Entries July 2026'!M6&lt;1,"0",'Entries July 2026'!M7-'Entries July 2026'!M6)</f>
        <v>2727.0899999999674</v>
      </c>
      <c r="E7" s="720" cm="1">
        <f t="array" ref="E7:E37">TRANSPOSE('Daily KPIs'!B74:AF74)</f>
        <v>2800</v>
      </c>
      <c r="F7" s="721" cm="1">
        <f t="array" ref="F7:F37">TRANSPOSE('Daily KPIs'!B9:AF9)</f>
        <v>471.86520000000002</v>
      </c>
      <c r="G7" s="329">
        <f>IF(F7=0,"0",(E7/F7))</f>
        <v>5.9338980708897369</v>
      </c>
      <c r="I7" s="432">
        <v>20</v>
      </c>
      <c r="J7" s="433">
        <v>2857</v>
      </c>
      <c r="K7" s="434">
        <f>J7/2.204623</f>
        <v>1295.9131788065351</v>
      </c>
      <c r="M7" s="430">
        <v>75</v>
      </c>
      <c r="N7" s="430">
        <f>O7*2.204623</f>
        <v>12436.000000000002</v>
      </c>
      <c r="O7" s="430" cm="1">
        <f t="array" ref="O7">IF(COUNTIF(I6:I40,M7),_xlfn.XLOOKUP(M7,I6:I40,K6:K40),_xlfn.LET(_xlpm.x, M7,_xlpm.lo, MAX(_xlfn._xlws.FILTER(I6:I40, I6:I40 &lt;= _xlpm.x)),_xlpm.hi, MIN(_xlfn._xlws.FILTER(I6:I40, I6:I40 &gt;= _xlpm.x)),_xlpm.ylo, INDEX(K6:K40, MATCH(_xlpm.lo, I6:I40, 0)),_xlpm.yhi, INDEX(K6:K40, MATCH(_xlpm.hi, I6:I40, 0)),_xlpm.ylo + (_xlpm.x - _xlpm.lo) * (_xlpm.yhi - _xlpm.ylo) / (_xlpm.hi - _xlpm.lo)
))</f>
        <v>5640.873745760613</v>
      </c>
      <c r="P7" s="420"/>
      <c r="Q7" s="442">
        <v>45870</v>
      </c>
      <c r="R7" s="447">
        <f>'Entries July 2026'!AL6</f>
        <v>0</v>
      </c>
      <c r="S7" s="452" cm="1">
        <f t="array" ref="S7">IF(R7=0,0,IF(COUNTIF($I$6:$I$40,R7),_xlfn.XLOOKUP(R7,$I$6:$I$40,$K$6:$K$40),_xlfn.LET(_xlpm.x, R7,_xlpm.lo, MAX(_xlfn._xlws.FILTER($I$6:$I$40, $I$6:$I$40 &lt;= _xlpm.x)),_xlpm.hi, MIN(_xlfn._xlws.FILTER($I$6:$I$40, $I$6:$I$40 &gt;= _xlpm.x)),_xlpm.ylo, INDEX($K$6:$K$40, MATCH(_xlpm.lo, $I$6:$I$40, 0)),_xlpm.yhi, INDEX($K$6:$K$40, MATCH(_xlpm.hi, $I$6:$I$40, 0)),_xlpm.ylo + (_xlpm.x - _xlpm.lo) * (_xlpm.yhi - _xlpm.ylo) / (_xlpm.hi - _xlpm.lo)
)))</f>
        <v>0</v>
      </c>
      <c r="T7" s="457" t="e">
        <f>'Entries July 2026'!#REF!</f>
        <v>#REF!</v>
      </c>
      <c r="U7" s="454" t="e">
        <f>'Entries July 2026'!#REF!</f>
        <v>#REF!</v>
      </c>
      <c r="V7" s="446" t="e">
        <f>'Entries July 2026'!#REF!/2.204623</f>
        <v>#REF!</v>
      </c>
      <c r="W7" s="435" t="e">
        <f>S7+T7+U7+V7</f>
        <v>#REF!</v>
      </c>
      <c r="X7" s="436"/>
    </row>
    <row r="8" spans="1:24" ht="15.75" thickBot="1" x14ac:dyDescent="0.25">
      <c r="A8" s="719">
        <v>2</v>
      </c>
      <c r="B8" s="720">
        <f>IF('Entries July 2026'!N8-'Entries July 2026'!N7&lt;1,"0",'Entries July 2026'!N8-'Entries July 2026'!N7)</f>
        <v>446.58999999999651</v>
      </c>
      <c r="C8" s="720">
        <f>IF('Entries July 2026'!L8-'Entries July 2026'!L7&lt;1,"0",'Entries July 2026'!L8-'Entries July 2026'!L7)</f>
        <v>561.02999999999884</v>
      </c>
      <c r="D8" s="720">
        <f>IF('Entries July 2026'!M8-'Entries July 2026'!M7&lt;1,"0",'Entries July 2026'!M8-'Entries July 2026'!M7)</f>
        <v>2440.9900000000489</v>
      </c>
      <c r="E8" s="720">
        <v>2500</v>
      </c>
      <c r="F8" s="722">
        <v>507.36840000000001</v>
      </c>
      <c r="G8" s="329">
        <f t="shared" ref="G8:G37" si="0">IF(F8=0,"0",(E8/F8))</f>
        <v>4.9273860965720369</v>
      </c>
      <c r="I8" s="432">
        <v>30</v>
      </c>
      <c r="J8" s="433">
        <v>4344</v>
      </c>
      <c r="K8" s="434">
        <f t="shared" ref="K8:K40" si="1">J8/2.204623</f>
        <v>1970.4049173033211</v>
      </c>
      <c r="M8" s="419"/>
      <c r="N8" s="419">
        <v>12436</v>
      </c>
      <c r="O8" s="430">
        <f>N8/2.204</f>
        <v>5642.4682395644277</v>
      </c>
      <c r="P8" s="420"/>
      <c r="Q8" s="442">
        <v>45871</v>
      </c>
      <c r="R8" s="447">
        <f>'Entries July 2026'!AL7</f>
        <v>0</v>
      </c>
      <c r="S8" s="452" cm="1">
        <f t="array" ref="S8">IF(R8=0,0,IF(COUNTIF($I$6:$I$40,R8),_xlfn.XLOOKUP(R8,$I$6:$I$40,$K$6:$K$40),_xlfn.LET(_xlpm.x, R8,_xlpm.lo, MAX(_xlfn._xlws.FILTER($I$6:$I$40, $I$6:$I$40 &lt;= _xlpm.x)),_xlpm.hi, MIN(_xlfn._xlws.FILTER($I$6:$I$40, $I$6:$I$40 &gt;= _xlpm.x)),_xlpm.ylo, INDEX($K$6:$K$40, MATCH(_xlpm.lo, $I$6:$I$40, 0)),_xlpm.yhi, INDEX($K$6:$K$40, MATCH(_xlpm.hi, $I$6:$I$40, 0)),_xlpm.ylo + (_xlpm.x - _xlpm.lo) * (_xlpm.yhi - _xlpm.ylo) / (_xlpm.hi - _xlpm.lo)
)))</f>
        <v>0</v>
      </c>
      <c r="T8" s="457">
        <f>'Entries July 2026'!AM6</f>
        <v>0</v>
      </c>
      <c r="U8" s="454">
        <f>'Entries July 2026'!AN6</f>
        <v>0</v>
      </c>
      <c r="V8" s="446">
        <f>'Entries July 2026'!AO6/2.204623</f>
        <v>0</v>
      </c>
      <c r="W8" s="435">
        <f>S8+T8+U8+V8</f>
        <v>0</v>
      </c>
      <c r="X8" s="436">
        <f>IF(W9-W8&lt;0,W8-W9,W9-W8)</f>
        <v>0</v>
      </c>
    </row>
    <row r="9" spans="1:24" ht="15.75" thickBot="1" x14ac:dyDescent="0.25">
      <c r="A9" s="719">
        <v>3</v>
      </c>
      <c r="B9" s="720">
        <f>IF('Entries July 2026'!N9-'Entries July 2026'!N8&lt;1,"0",'Entries July 2026'!N9-'Entries July 2026'!N8)</f>
        <v>210.05000000000291</v>
      </c>
      <c r="C9" s="720">
        <f>IF('Entries July 2026'!L9-'Entries July 2026'!L8&lt;1,"0",'Entries July 2026'!L9-'Entries July 2026'!L8)</f>
        <v>511.30000000000291</v>
      </c>
      <c r="D9" s="720">
        <f>IF('Entries July 2026'!M9-'Entries July 2026'!M8&lt;1,"0",'Entries July 2026'!M9-'Entries July 2026'!M8)</f>
        <v>1912.9199999999837</v>
      </c>
      <c r="E9" s="720">
        <v>3100</v>
      </c>
      <c r="F9" s="722">
        <v>492.096</v>
      </c>
      <c r="G9" s="329">
        <f t="shared" si="0"/>
        <v>6.2995838210430488</v>
      </c>
      <c r="I9" s="432">
        <v>40</v>
      </c>
      <c r="J9" s="433">
        <v>6143</v>
      </c>
      <c r="K9" s="434">
        <f t="shared" si="1"/>
        <v>2786.417450965539</v>
      </c>
      <c r="M9" s="419"/>
      <c r="N9" s="419"/>
      <c r="O9" s="420">
        <f>O8/2150</f>
        <v>2.6244038323555476</v>
      </c>
      <c r="P9" s="420"/>
      <c r="Q9" s="442">
        <v>45872</v>
      </c>
      <c r="R9" s="447">
        <f>'Entries July 2026'!AL8</f>
        <v>0</v>
      </c>
      <c r="S9" s="452" cm="1">
        <f t="array" ref="S9">IF(R9=0,0,IF(COUNTIF($I$6:$I$40,R9),_xlfn.XLOOKUP(R9,$I$6:$I$40,$K$6:$K$40),_xlfn.LET(_xlpm.x, R9,_xlpm.lo, MAX(_xlfn._xlws.FILTER($I$6:$I$40, $I$6:$I$40 &lt;= _xlpm.x)),_xlpm.hi, MIN(_xlfn._xlws.FILTER($I$6:$I$40, $I$6:$I$40 &gt;= _xlpm.x)),_xlpm.ylo, INDEX($K$6:$K$40, MATCH(_xlpm.lo, $I$6:$I$40, 0)),_xlpm.yhi, INDEX($K$6:$K$40, MATCH(_xlpm.hi, $I$6:$I$40, 0)),_xlpm.ylo + (_xlpm.x - _xlpm.lo) * (_xlpm.yhi - _xlpm.ylo) / (_xlpm.hi - _xlpm.lo)
)))</f>
        <v>0</v>
      </c>
      <c r="T9" s="457">
        <f>'Entries July 2026'!AM7</f>
        <v>0</v>
      </c>
      <c r="U9" s="454">
        <f>'Entries July 2026'!AN7</f>
        <v>0</v>
      </c>
      <c r="V9" s="446">
        <f>'Entries July 2026'!AO7/2.204623</f>
        <v>0</v>
      </c>
      <c r="W9" s="435">
        <f t="shared" ref="W9:W39" si="2">S9+T9+U9+V9</f>
        <v>0</v>
      </c>
      <c r="X9" s="436">
        <f>IF(W10-W9&lt;0,W9-W10,W10-W9)</f>
        <v>0</v>
      </c>
    </row>
    <row r="10" spans="1:24" ht="15.75" thickBot="1" x14ac:dyDescent="0.25">
      <c r="A10" s="719">
        <v>4</v>
      </c>
      <c r="B10" s="720" t="str">
        <f>IF('Entries July 2026'!N10-'Entries July 2026'!N9&lt;1,"0",'Entries July 2026'!N10-'Entries July 2026'!N9)</f>
        <v>0</v>
      </c>
      <c r="C10" s="720" t="str">
        <f>IF('Entries July 2026'!L10-'Entries July 2026'!L9&lt;1,"0",'Entries July 2026'!L10-'Entries July 2026'!L9)</f>
        <v>0</v>
      </c>
      <c r="D10" s="720" t="str">
        <f>IF('Entries July 2026'!M10-'Entries July 2026'!M9&lt;1,"0",'Entries July 2026'!M10-'Entries July 2026'!M9)</f>
        <v>0</v>
      </c>
      <c r="E10" s="720">
        <v>0</v>
      </c>
      <c r="F10" s="722">
        <v>0</v>
      </c>
      <c r="G10" s="329" t="str">
        <f t="shared" si="0"/>
        <v>0</v>
      </c>
      <c r="I10" s="432">
        <v>50</v>
      </c>
      <c r="J10" s="433">
        <v>7941</v>
      </c>
      <c r="K10" s="434">
        <f t="shared" si="1"/>
        <v>3601.9763923355599</v>
      </c>
      <c r="M10" s="419"/>
      <c r="N10" s="419"/>
      <c r="O10" s="420"/>
      <c r="P10" s="420"/>
      <c r="Q10" s="442">
        <v>45873</v>
      </c>
      <c r="R10" s="447">
        <f>'Entries July 2026'!AL9</f>
        <v>0</v>
      </c>
      <c r="S10" s="452" cm="1">
        <f t="array" ref="S10">IF(R10=0,0,IF(COUNTIF($I$6:$I$40,R10),_xlfn.XLOOKUP(R10,$I$6:$I$40,$K$6:$K$40),_xlfn.LET(_xlpm.x, R10,_xlpm.lo, MAX(_xlfn._xlws.FILTER($I$6:$I$40, $I$6:$I$40 &lt;= _xlpm.x)),_xlpm.hi, MIN(_xlfn._xlws.FILTER($I$6:$I$40, $I$6:$I$40 &gt;= _xlpm.x)),_xlpm.ylo, INDEX($K$6:$K$40, MATCH(_xlpm.lo, $I$6:$I$40, 0)),_xlpm.yhi, INDEX($K$6:$K$40, MATCH(_xlpm.hi, $I$6:$I$40, 0)),_xlpm.ylo + (_xlpm.x - _xlpm.lo) * (_xlpm.yhi - _xlpm.ylo) / (_xlpm.hi - _xlpm.lo)
)))</f>
        <v>0</v>
      </c>
      <c r="T10" s="457">
        <f>'Entries July 2026'!AM8</f>
        <v>0</v>
      </c>
      <c r="U10" s="454">
        <f>'Entries July 2026'!AN8</f>
        <v>0</v>
      </c>
      <c r="V10" s="446">
        <f>'Entries July 2026'!AO8/2.204623</f>
        <v>0</v>
      </c>
      <c r="W10" s="435">
        <f t="shared" si="2"/>
        <v>0</v>
      </c>
      <c r="X10" s="436">
        <f>IF(W11-W10&lt;0,W10-W11,W11-W10)</f>
        <v>0</v>
      </c>
    </row>
    <row r="11" spans="1:24" ht="15.75" thickBot="1" x14ac:dyDescent="0.25">
      <c r="A11" s="719">
        <v>5</v>
      </c>
      <c r="B11" s="720">
        <f>IF('Entries July 2026'!N11-'Entries July 2026'!N10&lt;1,"0",'Entries July 2026'!N11-'Entries July 2026'!N10)</f>
        <v>16.30000000000291</v>
      </c>
      <c r="C11" s="720">
        <f>IF('Entries July 2026'!L11-'Entries July 2026'!L10&lt;1,"0",'Entries July 2026'!L11-'Entries July 2026'!L10)</f>
        <v>42.349999999998545</v>
      </c>
      <c r="D11" s="720">
        <f>IF('Entries July 2026'!M11-'Entries July 2026'!M10&lt;1,"0",'Entries July 2026'!M11-'Entries July 2026'!M10)</f>
        <v>108</v>
      </c>
      <c r="E11" s="720">
        <v>0</v>
      </c>
      <c r="F11" s="722">
        <v>0</v>
      </c>
      <c r="G11" s="329" t="str">
        <f t="shared" si="0"/>
        <v>0</v>
      </c>
      <c r="I11" s="432">
        <v>60</v>
      </c>
      <c r="J11" s="433">
        <v>9739</v>
      </c>
      <c r="K11" s="434">
        <f t="shared" si="1"/>
        <v>4417.5353337055813</v>
      </c>
      <c r="M11" s="419"/>
      <c r="N11" s="419"/>
      <c r="O11" s="420"/>
      <c r="P11" s="420"/>
      <c r="Q11" s="442">
        <v>45874</v>
      </c>
      <c r="R11" s="447">
        <f>'Entries July 2026'!AL10</f>
        <v>0</v>
      </c>
      <c r="S11" s="452" cm="1">
        <f t="array" ref="S11">IF(R11=0,0,IF(COUNTIF($I$6:$I$40,R11),_xlfn.XLOOKUP(R11,$I$6:$I$40,$K$6:$K$40),_xlfn.LET(_xlpm.x, R11,_xlpm.lo, MAX(_xlfn._xlws.FILTER($I$6:$I$40, $I$6:$I$40 &lt;= _xlpm.x)),_xlpm.hi, MIN(_xlfn._xlws.FILTER($I$6:$I$40, $I$6:$I$40 &gt;= _xlpm.x)),_xlpm.ylo, INDEX($K$6:$K$40, MATCH(_xlpm.lo, $I$6:$I$40, 0)),_xlpm.yhi, INDEX($K$6:$K$40, MATCH(_xlpm.hi, $I$6:$I$40, 0)),_xlpm.ylo + (_xlpm.x - _xlpm.lo) * (_xlpm.yhi - _xlpm.ylo) / (_xlpm.hi - _xlpm.lo)
)))</f>
        <v>0</v>
      </c>
      <c r="T11" s="457">
        <f>'Entries July 2026'!AM9</f>
        <v>0</v>
      </c>
      <c r="U11" s="454">
        <f>'Entries July 2026'!AN9</f>
        <v>0</v>
      </c>
      <c r="V11" s="446">
        <f>'Entries July 2026'!AO9/2.204623</f>
        <v>0</v>
      </c>
      <c r="W11" s="435">
        <f t="shared" si="2"/>
        <v>0</v>
      </c>
      <c r="X11" s="436">
        <f>IF(W12-W11&lt;0,W11-W12,W12-W11)</f>
        <v>0</v>
      </c>
    </row>
    <row r="12" spans="1:24" ht="15.75" thickBot="1" x14ac:dyDescent="0.25">
      <c r="A12" s="785">
        <v>6</v>
      </c>
      <c r="B12" s="786">
        <f>IF('Entries July 2026'!N12-'Entries July 2026'!N11&lt;1,"0",'Entries July 2026'!N12-'Entries July 2026'!N11)</f>
        <v>211.69999999999709</v>
      </c>
      <c r="C12" s="786">
        <f>IF('Entries July 2026'!L12-'Entries July 2026'!L11&lt;1,"0",'Entries July 2026'!L12-'Entries July 2026'!L11)</f>
        <v>906.40000000000146</v>
      </c>
      <c r="D12" s="786">
        <f>IF('Entries July 2026'!M12-'Entries July 2026'!M11&lt;1,"0",'Entries July 2026'!M12-'Entries July 2026'!M11)</f>
        <v>1829.429999999993</v>
      </c>
      <c r="E12" s="786">
        <v>1600</v>
      </c>
      <c r="F12" s="787">
        <v>410.78399999999999</v>
      </c>
      <c r="G12" s="329">
        <f>IF(F12=0,"0",(E12/F12))</f>
        <v>3.8949910415206044</v>
      </c>
      <c r="I12" s="432">
        <v>70</v>
      </c>
      <c r="J12" s="433">
        <v>11537</v>
      </c>
      <c r="K12" s="434">
        <f t="shared" si="1"/>
        <v>5233.0942750756021</v>
      </c>
      <c r="M12" s="419"/>
      <c r="N12" s="419"/>
      <c r="O12" s="420"/>
      <c r="P12" s="420"/>
      <c r="Q12" s="442">
        <v>45875</v>
      </c>
      <c r="R12" s="447">
        <f>'Entries July 2026'!AL11</f>
        <v>0</v>
      </c>
      <c r="S12" s="452" cm="1">
        <f t="array" ref="S12">IF(R12=0,0,IF(COUNTIF($I$6:$I$40,R12),_xlfn.XLOOKUP(R12,$I$6:$I$40,$K$6:$K$40),_xlfn.LET(_xlpm.x, R12,_xlpm.lo, MAX(_xlfn._xlws.FILTER($I$6:$I$40, $I$6:$I$40 &lt;= _xlpm.x)),_xlpm.hi, MIN(_xlfn._xlws.FILTER($I$6:$I$40, $I$6:$I$40 &gt;= _xlpm.x)),_xlpm.ylo, INDEX($K$6:$K$40, MATCH(_xlpm.lo, $I$6:$I$40, 0)),_xlpm.yhi, INDEX($K$6:$K$40, MATCH(_xlpm.hi, $I$6:$I$40, 0)),_xlpm.ylo + (_xlpm.x - _xlpm.lo) * (_xlpm.yhi - _xlpm.ylo) / (_xlpm.hi - _xlpm.lo)
)))</f>
        <v>0</v>
      </c>
      <c r="T12" s="457">
        <f>'Entries July 2026'!AM10</f>
        <v>0</v>
      </c>
      <c r="U12" s="454">
        <f>'Entries July 2026'!AN10</f>
        <v>0</v>
      </c>
      <c r="V12" s="446">
        <f>'Entries July 2026'!AO10/2.204623</f>
        <v>0</v>
      </c>
      <c r="W12" s="435">
        <f t="shared" si="2"/>
        <v>0</v>
      </c>
      <c r="X12" s="436">
        <f>IF(W13-W12&lt;0,W12-W13,W13-W12)</f>
        <v>0</v>
      </c>
    </row>
    <row r="13" spans="1:24" ht="15.75" thickBot="1" x14ac:dyDescent="0.25">
      <c r="A13" s="785">
        <v>7</v>
      </c>
      <c r="B13" s="786">
        <f>IF('Entries July 2026'!N13-'Entries July 2026'!N12&lt;1,"0",'Entries July 2026'!N13-'Entries July 2026'!N12)</f>
        <v>117.66999999999825</v>
      </c>
      <c r="C13" s="786">
        <f>IF('Entries July 2026'!L13-'Entries July 2026'!L12&lt;1,"0",'Entries July 2026'!L13-'Entries July 2026'!L12)</f>
        <v>641.09999999999854</v>
      </c>
      <c r="D13" s="786">
        <f>IF('Entries July 2026'!M13-'Entries July 2026'!M12&lt;1,"0",'Entries July 2026'!M13-'Entries July 2026'!M12)</f>
        <v>1376.6900000000023</v>
      </c>
      <c r="E13" s="786">
        <v>1600</v>
      </c>
      <c r="F13" s="787">
        <v>209.88000000000002</v>
      </c>
      <c r="G13" s="329">
        <f t="shared" si="0"/>
        <v>7.6234038498189429</v>
      </c>
      <c r="I13" s="432">
        <v>80</v>
      </c>
      <c r="J13" s="433">
        <v>13335</v>
      </c>
      <c r="K13" s="434">
        <f t="shared" si="1"/>
        <v>6048.653216445623</v>
      </c>
      <c r="M13" s="419"/>
      <c r="N13" s="419"/>
      <c r="O13" s="420"/>
      <c r="P13" s="420"/>
      <c r="Q13" s="442">
        <v>45876</v>
      </c>
      <c r="R13" s="447">
        <f>'Entries July 2026'!AL12</f>
        <v>0</v>
      </c>
      <c r="S13" s="452" cm="1">
        <f t="array" ref="S13">IF(R13=0,0,IF(COUNTIF($I$6:$I$40,R13),_xlfn.XLOOKUP(R13,$I$6:$I$40,$K$6:$K$40),_xlfn.LET(_xlpm.x, R13,_xlpm.lo, MAX(_xlfn._xlws.FILTER($I$6:$I$40, $I$6:$I$40 &lt;= _xlpm.x)),_xlpm.hi, MIN(_xlfn._xlws.FILTER($I$6:$I$40, $I$6:$I$40 &gt;= _xlpm.x)),_xlpm.ylo, INDEX($K$6:$K$40, MATCH(_xlpm.lo, $I$6:$I$40, 0)),_xlpm.yhi, INDEX($K$6:$K$40, MATCH(_xlpm.hi, $I$6:$I$40, 0)),_xlpm.ylo + (_xlpm.x - _xlpm.lo) * (_xlpm.yhi - _xlpm.ylo) / (_xlpm.hi - _xlpm.lo)
)))</f>
        <v>0</v>
      </c>
      <c r="T13" s="457">
        <f>'Entries July 2026'!AM11</f>
        <v>0</v>
      </c>
      <c r="U13" s="454">
        <f>'Entries July 2026'!AN11</f>
        <v>0</v>
      </c>
      <c r="V13" s="446">
        <f>'Entries July 2026'!AO11/2.204623</f>
        <v>0</v>
      </c>
      <c r="W13" s="435">
        <f t="shared" si="2"/>
        <v>0</v>
      </c>
      <c r="X13" s="436"/>
    </row>
    <row r="14" spans="1:24" ht="15.75" thickBot="1" x14ac:dyDescent="0.25">
      <c r="A14" s="719">
        <v>8</v>
      </c>
      <c r="B14" s="720">
        <f>IF('Entries July 2026'!N14-'Entries July 2026'!N13&lt;1,"0",'Entries July 2026'!N14-'Entries July 2026'!N13)</f>
        <v>280.24000000000524</v>
      </c>
      <c r="C14" s="720">
        <f>IF('Entries July 2026'!L14-'Entries July 2026'!L13&lt;1,"0",'Entries July 2026'!L14-'Entries July 2026'!L13)</f>
        <v>1021.9700000000012</v>
      </c>
      <c r="D14" s="720">
        <f>IF('Entries July 2026'!M14-'Entries July 2026'!M13&lt;1,"0",'Entries July 2026'!M14-'Entries July 2026'!M13)</f>
        <v>3199.6900000000023</v>
      </c>
      <c r="E14" s="720">
        <v>3200</v>
      </c>
      <c r="F14" s="722">
        <v>376.72800000000001</v>
      </c>
      <c r="G14" s="329">
        <f t="shared" si="0"/>
        <v>8.4941920961542543</v>
      </c>
      <c r="I14" s="432">
        <v>90</v>
      </c>
      <c r="J14" s="433">
        <v>15134</v>
      </c>
      <c r="K14" s="434">
        <f t="shared" si="1"/>
        <v>6864.6657501078407</v>
      </c>
      <c r="M14" s="419"/>
      <c r="N14" s="419"/>
      <c r="O14" s="420"/>
      <c r="P14" s="420"/>
      <c r="Q14" s="442">
        <v>45877</v>
      </c>
      <c r="R14" s="447">
        <f>'Entries July 2026'!AL13</f>
        <v>0</v>
      </c>
      <c r="S14" s="452" cm="1">
        <f t="array" ref="S14">IF(R14=0,0,IF(COUNTIF($I$6:$I$40,R14),_xlfn.XLOOKUP(R14,$I$6:$I$40,$K$6:$K$40),_xlfn.LET(_xlpm.x, R14,_xlpm.lo, MAX(_xlfn._xlws.FILTER($I$6:$I$40, $I$6:$I$40 &lt;= _xlpm.x)),_xlpm.hi, MIN(_xlfn._xlws.FILTER($I$6:$I$40, $I$6:$I$40 &gt;= _xlpm.x)),_xlpm.ylo, INDEX($K$6:$K$40, MATCH(_xlpm.lo, $I$6:$I$40, 0)),_xlpm.yhi, INDEX($K$6:$K$40, MATCH(_xlpm.hi, $I$6:$I$40, 0)),_xlpm.ylo + (_xlpm.x - _xlpm.lo) * (_xlpm.yhi - _xlpm.ylo) / (_xlpm.hi - _xlpm.lo)
)))</f>
        <v>0</v>
      </c>
      <c r="T14" s="457">
        <f>'Entries July 2026'!AM12</f>
        <v>0</v>
      </c>
      <c r="U14" s="454">
        <f>'Entries July 2026'!AN12</f>
        <v>0</v>
      </c>
      <c r="V14" s="446">
        <f>'Entries July 2026'!AO12/2.204623</f>
        <v>0</v>
      </c>
      <c r="W14" s="435">
        <f t="shared" si="2"/>
        <v>0</v>
      </c>
      <c r="X14" s="436">
        <f>W14-S15</f>
        <v>0</v>
      </c>
    </row>
    <row r="15" spans="1:24" ht="15.75" thickBot="1" x14ac:dyDescent="0.25">
      <c r="A15" s="719">
        <v>9</v>
      </c>
      <c r="B15" s="720">
        <f>IF('Entries July 2026'!N15-'Entries July 2026'!N14&lt;1,"0",'Entries July 2026'!N15-'Entries July 2026'!N14)</f>
        <v>157.80999999999767</v>
      </c>
      <c r="C15" s="720">
        <f>IF('Entries July 2026'!L15-'Entries July 2026'!L14&lt;1,"0",'Entries July 2026'!L15-'Entries July 2026'!L14)</f>
        <v>396.95999999999913</v>
      </c>
      <c r="D15" s="720">
        <f>IF('Entries July 2026'!M15-'Entries July 2026'!M14&lt;1,"0",'Entries July 2026'!M15-'Entries July 2026'!M14)</f>
        <v>1600.7199999999721</v>
      </c>
      <c r="E15" s="720">
        <v>1600</v>
      </c>
      <c r="F15" s="722">
        <v>322.80600000000004</v>
      </c>
      <c r="G15" s="329">
        <f t="shared" si="0"/>
        <v>4.9565373629982092</v>
      </c>
      <c r="I15" s="432">
        <v>100</v>
      </c>
      <c r="J15" s="433">
        <v>16932</v>
      </c>
      <c r="K15" s="434">
        <f t="shared" si="1"/>
        <v>7680.2246914778616</v>
      </c>
      <c r="M15" s="419"/>
      <c r="N15" s="419"/>
      <c r="O15" s="420"/>
      <c r="P15" s="420"/>
      <c r="Q15" s="442">
        <v>45878</v>
      </c>
      <c r="R15" s="447">
        <f>'Entries July 2026'!AL14</f>
        <v>0</v>
      </c>
      <c r="S15" s="452" cm="1">
        <f t="array" ref="S15">IF(R15=0,0,IF(COUNTIF($I$6:$I$40,R15),_xlfn.XLOOKUP(R15,$I$6:$I$40,$K$6:$K$40),_xlfn.LET(_xlpm.x, R15,_xlpm.lo, MAX(_xlfn._xlws.FILTER($I$6:$I$40, $I$6:$I$40 &lt;= _xlpm.x)),_xlpm.hi, MIN(_xlfn._xlws.FILTER($I$6:$I$40, $I$6:$I$40 &gt;= _xlpm.x)),_xlpm.ylo, INDEX($K$6:$K$40, MATCH(_xlpm.lo, $I$6:$I$40, 0)),_xlpm.yhi, INDEX($K$6:$K$40, MATCH(_xlpm.hi, $I$6:$I$40, 0)),_xlpm.ylo + (_xlpm.x - _xlpm.lo) * (_xlpm.yhi - _xlpm.ylo) / (_xlpm.hi - _xlpm.lo)
)))</f>
        <v>0</v>
      </c>
      <c r="T15" s="457">
        <f>'Entries July 2026'!AM13</f>
        <v>0</v>
      </c>
      <c r="U15" s="454">
        <f>'Entries July 2026'!AN13</f>
        <v>0</v>
      </c>
      <c r="V15" s="446">
        <f>'Entries July 2026'!AO13/2.204623</f>
        <v>0</v>
      </c>
      <c r="W15" s="435">
        <f t="shared" si="2"/>
        <v>0</v>
      </c>
      <c r="X15" s="436"/>
    </row>
    <row r="16" spans="1:24" ht="15.75" thickBot="1" x14ac:dyDescent="0.25">
      <c r="A16" s="719">
        <v>10</v>
      </c>
      <c r="B16" s="720">
        <f>IF('Entries July 2026'!N16-'Entries July 2026'!N15&lt;1,"0",'Entries July 2026'!N16-'Entries July 2026'!N15)</f>
        <v>201.15999999998894</v>
      </c>
      <c r="C16" s="720">
        <f>IF('Entries July 2026'!L16-'Entries July 2026'!L15&lt;1,"0",'Entries July 2026'!L16-'Entries July 2026'!L15)</f>
        <v>729.04000000000087</v>
      </c>
      <c r="D16" s="720">
        <f>IF('Entries July 2026'!M16-'Entries July 2026'!M15&lt;1,"0",'Entries July 2026'!M16-'Entries July 2026'!M15)</f>
        <v>1828.6800000000512</v>
      </c>
      <c r="E16" s="720">
        <v>1900</v>
      </c>
      <c r="F16" s="722">
        <v>349.93200000000002</v>
      </c>
      <c r="G16" s="329">
        <f t="shared" si="0"/>
        <v>5.4296263274007517</v>
      </c>
      <c r="I16" s="432">
        <v>110</v>
      </c>
      <c r="J16" s="433">
        <v>18730</v>
      </c>
      <c r="K16" s="434">
        <f t="shared" si="1"/>
        <v>8495.7836328478825</v>
      </c>
      <c r="M16" s="419"/>
      <c r="N16" s="419"/>
      <c r="O16" s="420"/>
      <c r="P16" s="420"/>
      <c r="Q16" s="442">
        <v>45879</v>
      </c>
      <c r="R16" s="447">
        <f>'Entries July 2026'!AL15</f>
        <v>0</v>
      </c>
      <c r="S16" s="452" cm="1">
        <f t="array" ref="S16">IF(R16=0,0,IF(COUNTIF($I$6:$I$40,R16),_xlfn.XLOOKUP(R16,$I$6:$I$40,$K$6:$K$40),_xlfn.LET(_xlpm.x, R16,_xlpm.lo, MAX(_xlfn._xlws.FILTER($I$6:$I$40, $I$6:$I$40 &lt;= _xlpm.x)),_xlpm.hi, MIN(_xlfn._xlws.FILTER($I$6:$I$40, $I$6:$I$40 &gt;= _xlpm.x)),_xlpm.ylo, INDEX($K$6:$K$40, MATCH(_xlpm.lo, $I$6:$I$40, 0)),_xlpm.yhi, INDEX($K$6:$K$40, MATCH(_xlpm.hi, $I$6:$I$40, 0)),_xlpm.ylo + (_xlpm.x - _xlpm.lo) * (_xlpm.yhi - _xlpm.ylo) / (_xlpm.hi - _xlpm.lo)
)))</f>
        <v>0</v>
      </c>
      <c r="T16" s="457">
        <f>'Entries July 2026'!AM14</f>
        <v>0</v>
      </c>
      <c r="U16" s="454">
        <f>'Entries July 2026'!AN14</f>
        <v>0</v>
      </c>
      <c r="V16" s="446">
        <f>'Entries July 2026'!AO14/2.204623</f>
        <v>0</v>
      </c>
      <c r="W16" s="435">
        <f t="shared" si="2"/>
        <v>0</v>
      </c>
      <c r="X16" s="436">
        <f t="shared" ref="X16:X38" si="3">IF(W17-W16&lt;0,W16-W17,W17-W16)</f>
        <v>0</v>
      </c>
    </row>
    <row r="17" spans="1:24" ht="15.75" thickBot="1" x14ac:dyDescent="0.25">
      <c r="A17" s="719">
        <v>11</v>
      </c>
      <c r="B17" s="720" t="str">
        <f>IF('Entries July 2026'!N17-'Entries July 2026'!N16&lt;1,"0",'Entries July 2026'!N17-'Entries July 2026'!N16)</f>
        <v>0</v>
      </c>
      <c r="C17" s="720" t="str">
        <f>IF('Entries July 2026'!L17-'Entries July 2026'!L16&lt;1,"0",'Entries July 2026'!L17-'Entries July 2026'!L16)</f>
        <v>0</v>
      </c>
      <c r="D17" s="720">
        <f>IF('Entries July 2026'!M17-'Entries July 2026'!M16&lt;1,"0",'Entries July 2026'!M17-'Entries July 2026'!M16)</f>
        <v>142.07999999995809</v>
      </c>
      <c r="E17" s="720">
        <v>300</v>
      </c>
      <c r="F17" s="722">
        <v>0</v>
      </c>
      <c r="G17" s="329" t="str">
        <f t="shared" si="0"/>
        <v>0</v>
      </c>
      <c r="I17" s="432">
        <v>120</v>
      </c>
      <c r="J17" s="433">
        <v>20528</v>
      </c>
      <c r="K17" s="434">
        <f t="shared" si="1"/>
        <v>9311.3425742179043</v>
      </c>
      <c r="M17" s="419"/>
      <c r="N17" s="419"/>
      <c r="O17" s="420"/>
      <c r="P17" s="420"/>
      <c r="Q17" s="442">
        <v>45880</v>
      </c>
      <c r="R17" s="447">
        <f>'Entries July 2026'!AL16</f>
        <v>0</v>
      </c>
      <c r="S17" s="452" cm="1">
        <f t="array" ref="S17">IF(R17=0,0,IF(COUNTIF($I$6:$I$40,R17),_xlfn.XLOOKUP(R17,$I$6:$I$40,$K$6:$K$40),_xlfn.LET(_xlpm.x, R17,_xlpm.lo, MAX(_xlfn._xlws.FILTER($I$6:$I$40, $I$6:$I$40 &lt;= _xlpm.x)),_xlpm.hi, MIN(_xlfn._xlws.FILTER($I$6:$I$40, $I$6:$I$40 &gt;= _xlpm.x)),_xlpm.ylo, INDEX($K$6:$K$40, MATCH(_xlpm.lo, $I$6:$I$40, 0)),_xlpm.yhi, INDEX($K$6:$K$40, MATCH(_xlpm.hi, $I$6:$I$40, 0)),_xlpm.ylo + (_xlpm.x - _xlpm.lo) * (_xlpm.yhi - _xlpm.ylo) / (_xlpm.hi - _xlpm.lo)
)))</f>
        <v>0</v>
      </c>
      <c r="T17" s="457">
        <f>'Entries July 2026'!AM15</f>
        <v>0</v>
      </c>
      <c r="U17" s="454">
        <f>'Entries July 2026'!AN15</f>
        <v>0</v>
      </c>
      <c r="V17" s="446">
        <f>'Entries July 2026'!AO15/2.204623</f>
        <v>0</v>
      </c>
      <c r="W17" s="435">
        <f>S17+T17+U17+V17</f>
        <v>0</v>
      </c>
      <c r="X17" s="436">
        <f t="shared" si="3"/>
        <v>0</v>
      </c>
    </row>
    <row r="18" spans="1:24" ht="15.75" thickBot="1" x14ac:dyDescent="0.25">
      <c r="A18" s="719">
        <v>12</v>
      </c>
      <c r="B18" s="720" t="str">
        <f>IF('Entries July 2026'!N18-'Entries July 2026'!N17&lt;1,"0",'Entries July 2026'!N18-'Entries July 2026'!N17)</f>
        <v>0</v>
      </c>
      <c r="C18" s="720" t="str">
        <f>IF('Entries July 2026'!L18-'Entries July 2026'!L17&lt;1,"0",'Entries July 2026'!L18-'Entries July 2026'!L17)</f>
        <v>0</v>
      </c>
      <c r="D18" s="720" t="str">
        <f>IF('Entries July 2026'!M18-'Entries July 2026'!M17&lt;1,"0",'Entries July 2026'!M18-'Entries July 2026'!M17)</f>
        <v>0</v>
      </c>
      <c r="E18" s="720">
        <v>500</v>
      </c>
      <c r="F18" s="722">
        <v>0</v>
      </c>
      <c r="G18" s="329" t="str">
        <f t="shared" si="0"/>
        <v>0</v>
      </c>
      <c r="I18" s="432">
        <v>130</v>
      </c>
      <c r="J18" s="433">
        <v>22326</v>
      </c>
      <c r="K18" s="434">
        <f t="shared" si="1"/>
        <v>10126.901515587924</v>
      </c>
      <c r="M18" s="419"/>
      <c r="N18" s="419"/>
      <c r="O18" s="420"/>
      <c r="P18" s="420"/>
      <c r="Q18" s="442">
        <v>45881</v>
      </c>
      <c r="R18" s="447">
        <f>'Entries July 2026'!AL17</f>
        <v>0</v>
      </c>
      <c r="S18" s="452" cm="1">
        <f t="array" ref="S18">IF(R18=0,0,IF(COUNTIF($I$6:$I$40,R18),_xlfn.XLOOKUP(R18,$I$6:$I$40,$K$6:$K$40),_xlfn.LET(_xlpm.x, R18,_xlpm.lo, MAX(_xlfn._xlws.FILTER($I$6:$I$40, $I$6:$I$40 &lt;= _xlpm.x)),_xlpm.hi, MIN(_xlfn._xlws.FILTER($I$6:$I$40, $I$6:$I$40 &gt;= _xlpm.x)),_xlpm.ylo, INDEX($K$6:$K$40, MATCH(_xlpm.lo, $I$6:$I$40, 0)),_xlpm.yhi, INDEX($K$6:$K$40, MATCH(_xlpm.hi, $I$6:$I$40, 0)),_xlpm.ylo + (_xlpm.x - _xlpm.lo) * (_xlpm.yhi - _xlpm.ylo) / (_xlpm.hi - _xlpm.lo)
)))</f>
        <v>0</v>
      </c>
      <c r="T18" s="457">
        <f>'Entries July 2026'!AM16</f>
        <v>0</v>
      </c>
      <c r="U18" s="454">
        <f>'Entries July 2026'!AN16</f>
        <v>0</v>
      </c>
      <c r="V18" s="446">
        <f>'Entries July 2026'!AO16/2.204623</f>
        <v>0</v>
      </c>
      <c r="W18" s="435">
        <f t="shared" si="2"/>
        <v>0</v>
      </c>
      <c r="X18" s="436">
        <f t="shared" si="3"/>
        <v>0</v>
      </c>
    </row>
    <row r="19" spans="1:24" ht="15.75" thickBot="1" x14ac:dyDescent="0.25">
      <c r="A19" s="785">
        <v>13</v>
      </c>
      <c r="B19" s="786">
        <f>IF('Entries July 2026'!N19-'Entries July 2026'!N18&lt;1,"0",'Entries July 2026'!N19-'Entries July 2026'!N18)</f>
        <v>213.01000000000931</v>
      </c>
      <c r="C19" s="786">
        <f>IF('Entries July 2026'!L19-'Entries July 2026'!L18&lt;1,"0",'Entries July 2026'!L19-'Entries July 2026'!L18)</f>
        <v>206.33000000000175</v>
      </c>
      <c r="D19" s="786">
        <f>IF('Entries July 2026'!M19-'Entries July 2026'!M18&lt;1,"0",'Entries July 2026'!M19-'Entries July 2026'!M18)</f>
        <v>1466.7399999999907</v>
      </c>
      <c r="E19" s="786">
        <v>1800</v>
      </c>
      <c r="F19" s="787">
        <v>407.22</v>
      </c>
      <c r="G19" s="329">
        <f t="shared" si="0"/>
        <v>4.4202151171357</v>
      </c>
      <c r="I19" s="432">
        <v>140</v>
      </c>
      <c r="J19" s="433">
        <v>24125</v>
      </c>
      <c r="K19" s="434">
        <f t="shared" si="1"/>
        <v>10942.914049250143</v>
      </c>
      <c r="M19" s="419"/>
      <c r="N19" s="419"/>
      <c r="O19" s="420"/>
      <c r="P19" s="420"/>
      <c r="Q19" s="442">
        <v>45882</v>
      </c>
      <c r="R19" s="447">
        <f>'Entries July 2026'!AL18</f>
        <v>0</v>
      </c>
      <c r="S19" s="452" cm="1">
        <f t="array" ref="S19">IF(R19=0,0,IF(COUNTIF($I$6:$I$40,R19),_xlfn.XLOOKUP(R19,$I$6:$I$40,$K$6:$K$40),_xlfn.LET(_xlpm.x, R19,_xlpm.lo, MAX(_xlfn._xlws.FILTER($I$6:$I$40, $I$6:$I$40 &lt;= _xlpm.x)),_xlpm.hi, MIN(_xlfn._xlws.FILTER($I$6:$I$40, $I$6:$I$40 &gt;= _xlpm.x)),_xlpm.ylo, INDEX($K$6:$K$40, MATCH(_xlpm.lo, $I$6:$I$40, 0)),_xlpm.yhi, INDEX($K$6:$K$40, MATCH(_xlpm.hi, $I$6:$I$40, 0)),_xlpm.ylo + (_xlpm.x - _xlpm.lo) * (_xlpm.yhi - _xlpm.ylo) / (_xlpm.hi - _xlpm.lo)
)))</f>
        <v>0</v>
      </c>
      <c r="T19" s="457">
        <f>'Entries July 2026'!AM17</f>
        <v>0</v>
      </c>
      <c r="U19" s="454">
        <f>'Entries July 2026'!AN17</f>
        <v>0</v>
      </c>
      <c r="V19" s="446">
        <f>'Entries July 2026'!AO17/2.204623</f>
        <v>0</v>
      </c>
      <c r="W19" s="435">
        <f t="shared" si="2"/>
        <v>0</v>
      </c>
      <c r="X19" s="436">
        <f t="shared" si="3"/>
        <v>0</v>
      </c>
    </row>
    <row r="20" spans="1:24" ht="15.75" thickBot="1" x14ac:dyDescent="0.25">
      <c r="A20" s="785">
        <v>14</v>
      </c>
      <c r="B20" s="786">
        <f>IF('Entries July 2026'!N20-'Entries July 2026'!N19&lt;1,"0",'Entries July 2026'!N20-'Entries July 2026'!N19)</f>
        <v>309.86000000000058</v>
      </c>
      <c r="C20" s="786">
        <f>IF('Entries July 2026'!L20-'Entries July 2026'!L19&lt;1,"0",'Entries July 2026'!L20-'Entries July 2026'!L19)</f>
        <v>431.89999999999418</v>
      </c>
      <c r="D20" s="786">
        <f>IF('Entries July 2026'!M20-'Entries July 2026'!M19&lt;1,"0",'Entries July 2026'!M20-'Entries July 2026'!M19)</f>
        <v>2219.4000000000233</v>
      </c>
      <c r="E20" s="786">
        <v>2800</v>
      </c>
      <c r="F20" s="787">
        <v>603.57000000000005</v>
      </c>
      <c r="G20" s="329">
        <f t="shared" si="0"/>
        <v>4.6390642344715607</v>
      </c>
      <c r="I20" s="432">
        <v>150</v>
      </c>
      <c r="J20" s="433">
        <v>25923</v>
      </c>
      <c r="K20" s="434">
        <f t="shared" si="1"/>
        <v>11758.472990620165</v>
      </c>
      <c r="M20" s="419"/>
      <c r="N20" s="419"/>
      <c r="O20" s="420"/>
      <c r="P20" s="420"/>
      <c r="Q20" s="442">
        <v>45883</v>
      </c>
      <c r="R20" s="447">
        <f>'Entries July 2026'!AL19</f>
        <v>0</v>
      </c>
      <c r="S20" s="452" cm="1">
        <f t="array" ref="S20">IF(R20=0,0,IF(COUNTIF($I$6:$I$40,R20),_xlfn.XLOOKUP(R20,$I$6:$I$40,$K$6:$K$40),_xlfn.LET(_xlpm.x, R20,_xlpm.lo, MAX(_xlfn._xlws.FILTER($I$6:$I$40, $I$6:$I$40 &lt;= _xlpm.x)),_xlpm.hi, MIN(_xlfn._xlws.FILTER($I$6:$I$40, $I$6:$I$40 &gt;= _xlpm.x)),_xlpm.ylo, INDEX($K$6:$K$40, MATCH(_xlpm.lo, $I$6:$I$40, 0)),_xlpm.yhi, INDEX($K$6:$K$40, MATCH(_xlpm.hi, $I$6:$I$40, 0)),_xlpm.ylo + (_xlpm.x - _xlpm.lo) * (_xlpm.yhi - _xlpm.ylo) / (_xlpm.hi - _xlpm.lo)
)))</f>
        <v>0</v>
      </c>
      <c r="T20" s="457">
        <f>'Entries July 2026'!AM18</f>
        <v>0</v>
      </c>
      <c r="U20" s="454">
        <f>'Entries July 2026'!AN18</f>
        <v>0</v>
      </c>
      <c r="V20" s="446">
        <f>'Entries July 2026'!AO18/2.204623</f>
        <v>0</v>
      </c>
      <c r="W20" s="435">
        <f t="shared" si="2"/>
        <v>0</v>
      </c>
      <c r="X20" s="436">
        <f t="shared" si="3"/>
        <v>0</v>
      </c>
    </row>
    <row r="21" spans="1:24" ht="15.75" thickBot="1" x14ac:dyDescent="0.25">
      <c r="A21" s="719">
        <v>15</v>
      </c>
      <c r="B21" s="720">
        <f>IF('Entries July 2026'!N21-'Entries July 2026'!N20&lt;1,"0",'Entries July 2026'!N21-'Entries July 2026'!N20)</f>
        <v>267.38999999999942</v>
      </c>
      <c r="C21" s="720">
        <f>IF('Entries July 2026'!L21-'Entries July 2026'!L20&lt;1,"0",'Entries July 2026'!L21-'Entries July 2026'!L20)</f>
        <v>410.09000000000378</v>
      </c>
      <c r="D21" s="720">
        <f>IF('Entries July 2026'!M21-'Entries July 2026'!M20&lt;1,"0",'Entries July 2026'!M21-'Entries July 2026'!M20)</f>
        <v>1795.3700000000536</v>
      </c>
      <c r="E21" s="720">
        <v>1900</v>
      </c>
      <c r="F21" s="722">
        <v>387.68400000000003</v>
      </c>
      <c r="G21" s="329">
        <f t="shared" si="0"/>
        <v>4.9008986700508661</v>
      </c>
      <c r="I21" s="432">
        <v>160</v>
      </c>
      <c r="J21" s="433">
        <v>27721</v>
      </c>
      <c r="K21" s="434">
        <f t="shared" si="1"/>
        <v>12574.031931990185</v>
      </c>
      <c r="M21" s="419"/>
      <c r="N21" s="419"/>
      <c r="O21" s="420"/>
      <c r="P21" s="420"/>
      <c r="Q21" s="442">
        <v>45884</v>
      </c>
      <c r="R21" s="447">
        <f>'Entries July 2026'!AL20</f>
        <v>0</v>
      </c>
      <c r="S21" s="452" cm="1">
        <f t="array" ref="S21">IF(R21=0,0,IF(COUNTIF($I$6:$I$40,R21),_xlfn.XLOOKUP(R21,$I$6:$I$40,$K$6:$K$40),_xlfn.LET(_xlpm.x, R21,_xlpm.lo, MAX(_xlfn._xlws.FILTER($I$6:$I$40, $I$6:$I$40 &lt;= _xlpm.x)),_xlpm.hi, MIN(_xlfn._xlws.FILTER($I$6:$I$40, $I$6:$I$40 &gt;= _xlpm.x)),_xlpm.ylo, INDEX($K$6:$K$40, MATCH(_xlpm.lo, $I$6:$I$40, 0)),_xlpm.yhi, INDEX($K$6:$K$40, MATCH(_xlpm.hi, $I$6:$I$40, 0)),_xlpm.ylo + (_xlpm.x - _xlpm.lo) * (_xlpm.yhi - _xlpm.ylo) / (_xlpm.hi - _xlpm.lo)
)))</f>
        <v>0</v>
      </c>
      <c r="T21" s="457">
        <f>'Entries July 2026'!AM19</f>
        <v>0</v>
      </c>
      <c r="U21" s="454">
        <f>'Entries July 2026'!AN19</f>
        <v>0</v>
      </c>
      <c r="V21" s="446">
        <f>'Entries July 2026'!AO19/2.204623</f>
        <v>0</v>
      </c>
      <c r="W21" s="435">
        <f t="shared" si="2"/>
        <v>0</v>
      </c>
      <c r="X21" s="436">
        <f t="shared" si="3"/>
        <v>0</v>
      </c>
    </row>
    <row r="22" spans="1:24" ht="15.75" thickBot="1" x14ac:dyDescent="0.25">
      <c r="A22" s="719">
        <v>16</v>
      </c>
      <c r="B22" s="720">
        <f>IF('Entries July 2026'!N22-'Entries July 2026'!N21&lt;1,"0",'Entries July 2026'!N22-'Entries July 2026'!N21)</f>
        <v>218.67999999999302</v>
      </c>
      <c r="C22" s="720">
        <f>IF('Entries July 2026'!L22-'Entries July 2026'!L21&lt;1,"0",'Entries July 2026'!L22-'Entries July 2026'!L21)</f>
        <v>698.90999999999622</v>
      </c>
      <c r="D22" s="720">
        <f>IF('Entries July 2026'!M22-'Entries July 2026'!M21&lt;1,"0",'Entries July 2026'!M22-'Entries July 2026'!M21)</f>
        <v>2240.5099999998929</v>
      </c>
      <c r="E22" s="720">
        <v>2300</v>
      </c>
      <c r="F22" s="722">
        <v>425.10599999999999</v>
      </c>
      <c r="G22" s="329">
        <f t="shared" si="0"/>
        <v>5.4104152846584146</v>
      </c>
      <c r="I22" s="432">
        <v>170</v>
      </c>
      <c r="J22" s="433">
        <v>29519</v>
      </c>
      <c r="K22" s="434">
        <f t="shared" si="1"/>
        <v>13389.590873360206</v>
      </c>
      <c r="M22" s="419"/>
      <c r="N22" s="419"/>
      <c r="O22" s="420"/>
      <c r="P22" s="420"/>
      <c r="Q22" s="442">
        <v>45885</v>
      </c>
      <c r="R22" s="447">
        <f>'Entries July 2026'!AL21</f>
        <v>0</v>
      </c>
      <c r="S22" s="452" cm="1">
        <f t="array" ref="S22">IF(R22=0,0,IF(COUNTIF($I$6:$I$40,R22),_xlfn.XLOOKUP(R22,$I$6:$I$40,$K$6:$K$40),_xlfn.LET(_xlpm.x, R22,_xlpm.lo, MAX(_xlfn._xlws.FILTER($I$6:$I$40, $I$6:$I$40 &lt;= _xlpm.x)),_xlpm.hi, MIN(_xlfn._xlws.FILTER($I$6:$I$40, $I$6:$I$40 &gt;= _xlpm.x)),_xlpm.ylo, INDEX($K$6:$K$40, MATCH(_xlpm.lo, $I$6:$I$40, 0)),_xlpm.yhi, INDEX($K$6:$K$40, MATCH(_xlpm.hi, $I$6:$I$40, 0)),_xlpm.ylo + (_xlpm.x - _xlpm.lo) * (_xlpm.yhi - _xlpm.ylo) / (_xlpm.hi - _xlpm.lo)
)))</f>
        <v>0</v>
      </c>
      <c r="T22" s="457">
        <f>'Entries July 2026'!AM20</f>
        <v>0</v>
      </c>
      <c r="U22" s="454">
        <f>'Entries July 2026'!AN20</f>
        <v>0</v>
      </c>
      <c r="V22" s="446">
        <f>'Entries July 2026'!AO20/2.204623</f>
        <v>0</v>
      </c>
      <c r="W22" s="435">
        <f t="shared" si="2"/>
        <v>0</v>
      </c>
      <c r="X22" s="436">
        <f t="shared" si="3"/>
        <v>0</v>
      </c>
    </row>
    <row r="23" spans="1:24" ht="15.75" thickBot="1" x14ac:dyDescent="0.25">
      <c r="A23" s="719">
        <v>17</v>
      </c>
      <c r="B23" s="720">
        <f>IF('Entries July 2026'!N23-'Entries July 2026'!N22&lt;1,"0",'Entries July 2026'!N23-'Entries July 2026'!N22)</f>
        <v>41.460000000006403</v>
      </c>
      <c r="C23" s="720">
        <f>IF('Entries July 2026'!L23-'Entries July 2026'!L22&lt;1,"0",'Entries July 2026'!L23-'Entries July 2026'!L22)</f>
        <v>818.38000000000466</v>
      </c>
      <c r="D23" s="720">
        <f>IF('Entries July 2026'!M23-'Entries July 2026'!M22&lt;1,"0",'Entries July 2026'!M23-'Entries July 2026'!M22)</f>
        <v>1076.5</v>
      </c>
      <c r="E23" s="720">
        <v>1800</v>
      </c>
      <c r="F23" s="722">
        <v>71.94</v>
      </c>
      <c r="G23" s="329">
        <f t="shared" si="0"/>
        <v>25.020850708924105</v>
      </c>
      <c r="I23" s="432">
        <v>180</v>
      </c>
      <c r="J23" s="433">
        <v>31317</v>
      </c>
      <c r="K23" s="434">
        <f t="shared" si="1"/>
        <v>14205.149814730226</v>
      </c>
      <c r="M23" s="419"/>
      <c r="N23" s="419"/>
      <c r="O23" s="420"/>
      <c r="P23" s="420"/>
      <c r="Q23" s="442">
        <v>45886</v>
      </c>
      <c r="R23" s="447">
        <f>'Entries July 2026'!AL22</f>
        <v>0</v>
      </c>
      <c r="S23" s="452" cm="1">
        <f t="array" ref="S23">IF(R23=0,0,IF(COUNTIF($I$6:$I$40,R23),_xlfn.XLOOKUP(R23,$I$6:$I$40,$K$6:$K$40),_xlfn.LET(_xlpm.x, R23,_xlpm.lo, MAX(_xlfn._xlws.FILTER($I$6:$I$40, $I$6:$I$40 &lt;= _xlpm.x)),_xlpm.hi, MIN(_xlfn._xlws.FILTER($I$6:$I$40, $I$6:$I$40 &gt;= _xlpm.x)),_xlpm.ylo, INDEX($K$6:$K$40, MATCH(_xlpm.lo, $I$6:$I$40, 0)),_xlpm.yhi, INDEX($K$6:$K$40, MATCH(_xlpm.hi, $I$6:$I$40, 0)),_xlpm.ylo + (_xlpm.x - _xlpm.lo) * (_xlpm.yhi - _xlpm.ylo) / (_xlpm.hi - _xlpm.lo)
)))</f>
        <v>0</v>
      </c>
      <c r="T23" s="457">
        <f>'Entries July 2026'!AM21</f>
        <v>0</v>
      </c>
      <c r="U23" s="454">
        <f>'Entries July 2026'!AN21</f>
        <v>0</v>
      </c>
      <c r="V23" s="446">
        <f>'Entries July 2026'!AO21/2.204623</f>
        <v>0</v>
      </c>
      <c r="W23" s="435">
        <f t="shared" si="2"/>
        <v>0</v>
      </c>
      <c r="X23" s="436">
        <f t="shared" si="3"/>
        <v>0</v>
      </c>
    </row>
    <row r="24" spans="1:24" ht="15.75" thickBot="1" x14ac:dyDescent="0.25">
      <c r="A24" s="719">
        <v>18</v>
      </c>
      <c r="B24" s="720" t="str">
        <f>IF('Entries July 2026'!N24-'Entries July 2026'!N23&lt;1,"0",'Entries July 2026'!N24-'Entries July 2026'!N23)</f>
        <v>0</v>
      </c>
      <c r="C24" s="720" t="str">
        <f>IF('Entries July 2026'!L24-'Entries July 2026'!L23&lt;1,"0",'Entries July 2026'!L24-'Entries July 2026'!L23)</f>
        <v>0</v>
      </c>
      <c r="D24" s="720" t="str">
        <f>IF('Entries July 2026'!M24-'Entries July 2026'!M23&lt;1,"0",'Entries July 2026'!M24-'Entries July 2026'!M23)</f>
        <v>0</v>
      </c>
      <c r="E24" s="720">
        <v>-900</v>
      </c>
      <c r="F24" s="722">
        <v>0</v>
      </c>
      <c r="G24" s="329" t="str">
        <f t="shared" si="0"/>
        <v>0</v>
      </c>
      <c r="I24" s="432">
        <v>190</v>
      </c>
      <c r="J24" s="433">
        <v>33116</v>
      </c>
      <c r="K24" s="434">
        <f t="shared" si="1"/>
        <v>15021.162348392445</v>
      </c>
      <c r="M24" s="419"/>
      <c r="N24" s="419"/>
      <c r="O24" s="420"/>
      <c r="P24" s="420"/>
      <c r="Q24" s="442">
        <v>45887</v>
      </c>
      <c r="R24" s="447">
        <f>'Entries July 2026'!AL23</f>
        <v>0</v>
      </c>
      <c r="S24" s="452" cm="1">
        <f t="array" ref="S24">IF(R24=0,0,IF(COUNTIF($I$6:$I$40,R24),_xlfn.XLOOKUP(R24,$I$6:$I$40,$K$6:$K$40),_xlfn.LET(_xlpm.x, R24,_xlpm.lo, MAX(_xlfn._xlws.FILTER($I$6:$I$40, $I$6:$I$40 &lt;= _xlpm.x)),_xlpm.hi, MIN(_xlfn._xlws.FILTER($I$6:$I$40, $I$6:$I$40 &gt;= _xlpm.x)),_xlpm.ylo, INDEX($K$6:$K$40, MATCH(_xlpm.lo, $I$6:$I$40, 0)),_xlpm.yhi, INDEX($K$6:$K$40, MATCH(_xlpm.hi, $I$6:$I$40, 0)),_xlpm.ylo + (_xlpm.x - _xlpm.lo) * (_xlpm.yhi - _xlpm.ylo) / (_xlpm.hi - _xlpm.lo)
)))</f>
        <v>0</v>
      </c>
      <c r="T24" s="457">
        <f>'Entries July 2026'!AM22</f>
        <v>0</v>
      </c>
      <c r="U24" s="454">
        <f>'Entries July 2026'!AN22</f>
        <v>0</v>
      </c>
      <c r="V24" s="446">
        <f>'Entries July 2026'!AO22/2.204623</f>
        <v>0</v>
      </c>
      <c r="W24" s="435">
        <f t="shared" si="2"/>
        <v>0</v>
      </c>
      <c r="X24" s="436">
        <f t="shared" si="3"/>
        <v>0</v>
      </c>
    </row>
    <row r="25" spans="1:24" ht="15.75" thickBot="1" x14ac:dyDescent="0.25">
      <c r="A25" s="719">
        <v>19</v>
      </c>
      <c r="B25" s="720" t="str">
        <f>IF('Entries July 2026'!N25-'Entries July 2026'!N24&lt;1,"0",'Entries July 2026'!N25-'Entries July 2026'!N24)</f>
        <v>0</v>
      </c>
      <c r="C25" s="720">
        <f>IF('Entries July 2026'!L25-'Entries July 2026'!L24&lt;1,"0",'Entries July 2026'!L25-'Entries July 2026'!L24)</f>
        <v>121.23999999999796</v>
      </c>
      <c r="D25" s="720">
        <f>IF('Entries July 2026'!M25-'Entries July 2026'!M24&lt;1,"0",'Entries July 2026'!M25-'Entries July 2026'!M24)</f>
        <v>297.87000000011176</v>
      </c>
      <c r="E25" s="720">
        <v>800</v>
      </c>
      <c r="F25" s="722">
        <v>0</v>
      </c>
      <c r="G25" s="329" t="str">
        <f t="shared" si="0"/>
        <v>0</v>
      </c>
      <c r="I25" s="432">
        <v>200</v>
      </c>
      <c r="J25" s="433">
        <v>34914</v>
      </c>
      <c r="K25" s="434">
        <f t="shared" si="1"/>
        <v>15836.721289762465</v>
      </c>
      <c r="M25" s="419"/>
      <c r="N25" s="419"/>
      <c r="O25" s="420"/>
      <c r="P25" s="420"/>
      <c r="Q25" s="442">
        <v>45888</v>
      </c>
      <c r="R25" s="447">
        <f>'Entries July 2026'!AL24</f>
        <v>0</v>
      </c>
      <c r="S25" s="452" cm="1">
        <f t="array" ref="S25">IF(R25=0,0,IF(COUNTIF($I$6:$I$40,R25),_xlfn.XLOOKUP(R25,$I$6:$I$40,$K$6:$K$40),_xlfn.LET(_xlpm.x, R25,_xlpm.lo, MAX(_xlfn._xlws.FILTER($I$6:$I$40, $I$6:$I$40 &lt;= _xlpm.x)),_xlpm.hi, MIN(_xlfn._xlws.FILTER($I$6:$I$40, $I$6:$I$40 &gt;= _xlpm.x)),_xlpm.ylo, INDEX($K$6:$K$40, MATCH(_xlpm.lo, $I$6:$I$40, 0)),_xlpm.yhi, INDEX($K$6:$K$40, MATCH(_xlpm.hi, $I$6:$I$40, 0)),_xlpm.ylo + (_xlpm.x - _xlpm.lo) * (_xlpm.yhi - _xlpm.ylo) / (_xlpm.hi - _xlpm.lo)
)))</f>
        <v>0</v>
      </c>
      <c r="T25" s="457">
        <f>'Entries July 2026'!AM23</f>
        <v>0</v>
      </c>
      <c r="U25" s="454">
        <f>'Entries July 2026'!AN23</f>
        <v>0</v>
      </c>
      <c r="V25" s="446">
        <f>'Entries July 2026'!AO23/2.204623</f>
        <v>0</v>
      </c>
      <c r="W25" s="435">
        <f t="shared" si="2"/>
        <v>0</v>
      </c>
      <c r="X25" s="436">
        <f t="shared" si="3"/>
        <v>0</v>
      </c>
    </row>
    <row r="26" spans="1:24" ht="15.75" thickBot="1" x14ac:dyDescent="0.25">
      <c r="A26" s="785">
        <v>20</v>
      </c>
      <c r="B26" s="786">
        <f>IF('Entries July 2026'!N26-'Entries July 2026'!N25&lt;1,"0",'Entries July 2026'!N26-'Entries July 2026'!N25)</f>
        <v>241.59999999999127</v>
      </c>
      <c r="C26" s="786">
        <f>IF('Entries July 2026'!L26-'Entries July 2026'!L25&lt;1,"0",'Entries July 2026'!L26-'Entries July 2026'!L25)</f>
        <v>1058.9599999999991</v>
      </c>
      <c r="D26" s="786">
        <f>IF('Entries July 2026'!M26-'Entries July 2026'!M25&lt;1,"0",'Entries July 2026'!M26-'Entries July 2026'!M25)</f>
        <v>2307.1899999999441</v>
      </c>
      <c r="E26" s="786">
        <v>2200</v>
      </c>
      <c r="F26" s="787">
        <v>406.89000000000004</v>
      </c>
      <c r="G26" s="329">
        <f t="shared" si="0"/>
        <v>5.4068667207353336</v>
      </c>
      <c r="I26" s="432">
        <v>210</v>
      </c>
      <c r="J26" s="433">
        <v>36712</v>
      </c>
      <c r="K26" s="434">
        <f t="shared" si="1"/>
        <v>16652.280231132489</v>
      </c>
      <c r="M26" s="419"/>
      <c r="N26" s="419"/>
      <c r="O26" s="420"/>
      <c r="P26" s="420"/>
      <c r="Q26" s="442">
        <v>45889</v>
      </c>
      <c r="R26" s="447">
        <f>'Entries July 2026'!AL25</f>
        <v>0</v>
      </c>
      <c r="S26" s="452" cm="1">
        <f t="array" ref="S26">IF(R26=0,0,IF(COUNTIF($I$6:$I$40,R26),_xlfn.XLOOKUP(R26,$I$6:$I$40,$K$6:$K$40),_xlfn.LET(_xlpm.x, R26,_xlpm.lo, MAX(_xlfn._xlws.FILTER($I$6:$I$40, $I$6:$I$40 &lt;= _xlpm.x)),_xlpm.hi, MIN(_xlfn._xlws.FILTER($I$6:$I$40, $I$6:$I$40 &gt;= _xlpm.x)),_xlpm.ylo, INDEX($K$6:$K$40, MATCH(_xlpm.lo, $I$6:$I$40, 0)),_xlpm.yhi, INDEX($K$6:$K$40, MATCH(_xlpm.hi, $I$6:$I$40, 0)),_xlpm.ylo + (_xlpm.x - _xlpm.lo) * (_xlpm.yhi - _xlpm.ylo) / (_xlpm.hi - _xlpm.lo)
)))</f>
        <v>0</v>
      </c>
      <c r="T26" s="457">
        <f>'Entries July 2026'!AM24</f>
        <v>0</v>
      </c>
      <c r="U26" s="454">
        <f>'Entries July 2026'!AN24</f>
        <v>0</v>
      </c>
      <c r="V26" s="446">
        <f>'Entries July 2026'!AO24/2.204623</f>
        <v>0</v>
      </c>
      <c r="W26" s="435">
        <f t="shared" si="2"/>
        <v>0</v>
      </c>
      <c r="X26" s="436">
        <f t="shared" si="3"/>
        <v>0</v>
      </c>
    </row>
    <row r="27" spans="1:24" ht="15.75" thickBot="1" x14ac:dyDescent="0.25">
      <c r="A27" s="785">
        <v>21</v>
      </c>
      <c r="B27" s="786">
        <f>IF('Entries July 2026'!N27-'Entries July 2026'!N26&lt;1,"0",'Entries July 2026'!N27-'Entries July 2026'!N26)</f>
        <v>314.54000000000815</v>
      </c>
      <c r="C27" s="786">
        <f>IF('Entries July 2026'!L27-'Entries July 2026'!L26&lt;1,"0",'Entries July 2026'!L27-'Entries July 2026'!L26)</f>
        <v>1094.2799999999988</v>
      </c>
      <c r="D27" s="786">
        <f>IF('Entries July 2026'!M27-'Entries July 2026'!M26&lt;1,"0",'Entries July 2026'!M27-'Entries July 2026'!M26)</f>
        <v>3150.1600000000326</v>
      </c>
      <c r="E27" s="786">
        <v>2900</v>
      </c>
      <c r="F27" s="787">
        <v>500.14800000000002</v>
      </c>
      <c r="G27" s="329">
        <f t="shared" si="0"/>
        <v>5.7982837080224252</v>
      </c>
      <c r="I27" s="432">
        <v>220</v>
      </c>
      <c r="J27" s="433">
        <v>38510</v>
      </c>
      <c r="K27" s="434">
        <f t="shared" si="1"/>
        <v>17467.839172502507</v>
      </c>
      <c r="M27" s="419"/>
      <c r="N27" s="419"/>
      <c r="O27" s="420"/>
      <c r="P27" s="420"/>
      <c r="Q27" s="442">
        <v>45890</v>
      </c>
      <c r="R27" s="447">
        <f>'Entries July 2026'!AL26</f>
        <v>0</v>
      </c>
      <c r="S27" s="452" cm="1">
        <f t="array" ref="S27">IF(R27=0,0,IF(COUNTIF($I$6:$I$40,R27),_xlfn.XLOOKUP(R27,$I$6:$I$40,$K$6:$K$40),_xlfn.LET(_xlpm.x, R27,_xlpm.lo, MAX(_xlfn._xlws.FILTER($I$6:$I$40, $I$6:$I$40 &lt;= _xlpm.x)),_xlpm.hi, MIN(_xlfn._xlws.FILTER($I$6:$I$40, $I$6:$I$40 &gt;= _xlpm.x)),_xlpm.ylo, INDEX($K$6:$K$40, MATCH(_xlpm.lo, $I$6:$I$40, 0)),_xlpm.yhi, INDEX($K$6:$K$40, MATCH(_xlpm.hi, $I$6:$I$40, 0)),_xlpm.ylo + (_xlpm.x - _xlpm.lo) * (_xlpm.yhi - _xlpm.ylo) / (_xlpm.hi - _xlpm.lo)
)))</f>
        <v>0</v>
      </c>
      <c r="T27" s="457">
        <f>'Entries July 2026'!AM25</f>
        <v>0</v>
      </c>
      <c r="U27" s="454">
        <f>'Entries July 2026'!AN25</f>
        <v>0</v>
      </c>
      <c r="V27" s="446">
        <f>'Entries July 2026'!AO25/2.204623</f>
        <v>0</v>
      </c>
      <c r="W27" s="435">
        <f t="shared" si="2"/>
        <v>0</v>
      </c>
      <c r="X27" s="436">
        <f t="shared" si="3"/>
        <v>0</v>
      </c>
    </row>
    <row r="28" spans="1:24" ht="15.75" thickBot="1" x14ac:dyDescent="0.25">
      <c r="A28" s="719">
        <v>22</v>
      </c>
      <c r="B28" s="720">
        <f>IF('Entries July 2026'!N28-'Entries July 2026'!N27&lt;1,"0",'Entries July 2026'!N28-'Entries July 2026'!N27)</f>
        <v>87.910000000003492</v>
      </c>
      <c r="C28" s="720">
        <f>IF('Entries July 2026'!L28-'Entries July 2026'!L27&lt;1,"0",'Entries July 2026'!L28-'Entries July 2026'!L27)</f>
        <v>707.02000000000407</v>
      </c>
      <c r="D28" s="720">
        <f>IF('Entries July 2026'!M28-'Entries July 2026'!M27&lt;1,"0",'Entries July 2026'!M28-'Entries July 2026'!M27)</f>
        <v>1505.7199999999721</v>
      </c>
      <c r="E28" s="720">
        <v>1700</v>
      </c>
      <c r="F28" s="722">
        <v>202.554</v>
      </c>
      <c r="G28" s="329">
        <f t="shared" si="0"/>
        <v>8.3928236420905034</v>
      </c>
      <c r="I28" s="432">
        <v>230</v>
      </c>
      <c r="J28" s="433">
        <v>40308</v>
      </c>
      <c r="K28" s="434">
        <f t="shared" si="1"/>
        <v>18283.398113872528</v>
      </c>
      <c r="M28" s="419"/>
      <c r="N28" s="419"/>
      <c r="O28" s="420"/>
      <c r="P28" s="420"/>
      <c r="Q28" s="442">
        <v>45891</v>
      </c>
      <c r="R28" s="447">
        <f>'Entries July 2026'!AL27</f>
        <v>0</v>
      </c>
      <c r="S28" s="452" cm="1">
        <f t="array" ref="S28">IF(R28=0,0,IF(COUNTIF($I$6:$I$40,R28),_xlfn.XLOOKUP(R28,$I$6:$I$40,$K$6:$K$40),_xlfn.LET(_xlpm.x, R28,_xlpm.lo, MAX(_xlfn._xlws.FILTER($I$6:$I$40, $I$6:$I$40 &lt;= _xlpm.x)),_xlpm.hi, MIN(_xlfn._xlws.FILTER($I$6:$I$40, $I$6:$I$40 &gt;= _xlpm.x)),_xlpm.ylo, INDEX($K$6:$K$40, MATCH(_xlpm.lo, $I$6:$I$40, 0)),_xlpm.yhi, INDEX($K$6:$K$40, MATCH(_xlpm.hi, $I$6:$I$40, 0)),_xlpm.ylo + (_xlpm.x - _xlpm.lo) * (_xlpm.yhi - _xlpm.ylo) / (_xlpm.hi - _xlpm.lo)
)))</f>
        <v>0</v>
      </c>
      <c r="T28" s="457">
        <f>'Entries July 2026'!AM26</f>
        <v>0</v>
      </c>
      <c r="U28" s="454">
        <f>'Entries July 2026'!AN26</f>
        <v>0</v>
      </c>
      <c r="V28" s="446">
        <f>'Entries July 2026'!AO26/2.204623</f>
        <v>0</v>
      </c>
      <c r="W28" s="435">
        <f t="shared" si="2"/>
        <v>0</v>
      </c>
      <c r="X28" s="436">
        <f t="shared" si="3"/>
        <v>0</v>
      </c>
    </row>
    <row r="29" spans="1:24" ht="15.75" thickBot="1" x14ac:dyDescent="0.25">
      <c r="A29" s="719">
        <v>23</v>
      </c>
      <c r="B29" s="720">
        <f>IF('Entries July 2026'!N29-'Entries July 2026'!N28&lt;1,"0",'Entries July 2026'!N29-'Entries July 2026'!N28)</f>
        <v>152.23999999999069</v>
      </c>
      <c r="C29" s="720">
        <f>IF('Entries July 2026'!L29-'Entries July 2026'!L28&lt;1,"0",'Entries July 2026'!L29-'Entries July 2026'!L28)</f>
        <v>612.87999999999738</v>
      </c>
      <c r="D29" s="720">
        <f>IF('Entries July 2026'!M29-'Entries July 2026'!M28&lt;1,"0",'Entries July 2026'!M29-'Entries July 2026'!M28)</f>
        <v>2036.6500000000233</v>
      </c>
      <c r="E29" s="720">
        <v>2400</v>
      </c>
      <c r="F29" s="722">
        <v>258.786</v>
      </c>
      <c r="G29" s="329">
        <f t="shared" si="0"/>
        <v>9.2740720131691816</v>
      </c>
      <c r="I29" s="432">
        <v>240</v>
      </c>
      <c r="J29" s="433">
        <v>42107</v>
      </c>
      <c r="K29" s="434">
        <f t="shared" si="1"/>
        <v>19099.410647534747</v>
      </c>
      <c r="M29" s="419"/>
      <c r="N29" s="419"/>
      <c r="O29" s="420"/>
      <c r="P29" s="420"/>
      <c r="Q29" s="442">
        <v>45892</v>
      </c>
      <c r="R29" s="447">
        <f>'Entries July 2026'!AL28</f>
        <v>0</v>
      </c>
      <c r="S29" s="452" cm="1">
        <f t="array" ref="S29">IF(R29=0,0,IF(COUNTIF($I$6:$I$40,R29),_xlfn.XLOOKUP(R29,$I$6:$I$40,$K$6:$K$40),_xlfn.LET(_xlpm.x, R29,_xlpm.lo, MAX(_xlfn._xlws.FILTER($I$6:$I$40, $I$6:$I$40 &lt;= _xlpm.x)),_xlpm.hi, MIN(_xlfn._xlws.FILTER($I$6:$I$40, $I$6:$I$40 &gt;= _xlpm.x)),_xlpm.ylo, INDEX($K$6:$K$40, MATCH(_xlpm.lo, $I$6:$I$40, 0)),_xlpm.yhi, INDEX($K$6:$K$40, MATCH(_xlpm.hi, $I$6:$I$40, 0)),_xlpm.ylo + (_xlpm.x - _xlpm.lo) * (_xlpm.yhi - _xlpm.ylo) / (_xlpm.hi - _xlpm.lo)
)))</f>
        <v>0</v>
      </c>
      <c r="T29" s="457">
        <f>'Entries July 2026'!AM27</f>
        <v>0</v>
      </c>
      <c r="U29" s="454">
        <f>'Entries July 2026'!AN27</f>
        <v>0</v>
      </c>
      <c r="V29" s="446">
        <f>'Entries July 2026'!AO27/2.204623</f>
        <v>0</v>
      </c>
      <c r="W29" s="435">
        <f t="shared" si="2"/>
        <v>0</v>
      </c>
      <c r="X29" s="436">
        <f t="shared" si="3"/>
        <v>0</v>
      </c>
    </row>
    <row r="30" spans="1:24" ht="15.75" thickBot="1" x14ac:dyDescent="0.25">
      <c r="A30" s="719">
        <v>24</v>
      </c>
      <c r="B30" s="720">
        <f>IF('Entries July 2026'!N30-'Entries July 2026'!N29&lt;1,"0",'Entries July 2026'!N30-'Entries July 2026'!N29)</f>
        <v>62.260000000009313</v>
      </c>
      <c r="C30" s="720">
        <f>IF('Entries July 2026'!L30-'Entries July 2026'!L29&lt;1,"0",'Entries July 2026'!L30-'Entries July 2026'!L29)</f>
        <v>204.4800000000032</v>
      </c>
      <c r="D30" s="720">
        <f>IF('Entries July 2026'!M30-'Entries July 2026'!M29&lt;1,"0",'Entries July 2026'!M30-'Entries July 2026'!M29)</f>
        <v>787.71999999997206</v>
      </c>
      <c r="E30" s="720">
        <v>2000</v>
      </c>
      <c r="F30" s="722">
        <v>91.872</v>
      </c>
      <c r="G30" s="329">
        <f t="shared" si="0"/>
        <v>21.76941832114246</v>
      </c>
      <c r="I30" s="432">
        <v>250</v>
      </c>
      <c r="J30" s="433">
        <v>43905</v>
      </c>
      <c r="K30" s="434">
        <f t="shared" si="1"/>
        <v>19914.969588904769</v>
      </c>
      <c r="M30" s="419"/>
      <c r="N30" s="419"/>
      <c r="O30" s="420"/>
      <c r="P30" s="420"/>
      <c r="Q30" s="442">
        <v>45893</v>
      </c>
      <c r="R30" s="447">
        <f>'Entries July 2026'!AL29</f>
        <v>0</v>
      </c>
      <c r="S30" s="452" cm="1">
        <f t="array" ref="S30">IF(R30=0,0,IF(COUNTIF($I$6:$I$40,R30),_xlfn.XLOOKUP(R30,$I$6:$I$40,$K$6:$K$40),_xlfn.LET(_xlpm.x, R30,_xlpm.lo, MAX(_xlfn._xlws.FILTER($I$6:$I$40, $I$6:$I$40 &lt;= _xlpm.x)),_xlpm.hi, MIN(_xlfn._xlws.FILTER($I$6:$I$40, $I$6:$I$40 &gt;= _xlpm.x)),_xlpm.ylo, INDEX($K$6:$K$40, MATCH(_xlpm.lo, $I$6:$I$40, 0)),_xlpm.yhi, INDEX($K$6:$K$40, MATCH(_xlpm.hi, $I$6:$I$40, 0)),_xlpm.ylo + (_xlpm.x - _xlpm.lo) * (_xlpm.yhi - _xlpm.ylo) / (_xlpm.hi - _xlpm.lo)
)))</f>
        <v>0</v>
      </c>
      <c r="T30" s="457">
        <f>'Entries July 2026'!AM28</f>
        <v>0</v>
      </c>
      <c r="U30" s="454">
        <f>'Entries July 2026'!AN28</f>
        <v>0</v>
      </c>
      <c r="V30" s="446">
        <f>'Entries July 2026'!AO28/2.204623</f>
        <v>0</v>
      </c>
      <c r="W30" s="435">
        <f t="shared" si="2"/>
        <v>0</v>
      </c>
      <c r="X30" s="436">
        <f t="shared" si="3"/>
        <v>0</v>
      </c>
    </row>
    <row r="31" spans="1:24" ht="15.75" thickBot="1" x14ac:dyDescent="0.25">
      <c r="A31" s="719">
        <v>25</v>
      </c>
      <c r="B31" s="720" t="str">
        <f>IF('Entries July 2026'!N31-'Entries July 2026'!N30&lt;1,"0",'Entries July 2026'!N31-'Entries July 2026'!N30)</f>
        <v>0</v>
      </c>
      <c r="C31" s="720" t="str">
        <f>IF('Entries July 2026'!L31-'Entries July 2026'!L30&lt;1,"0",'Entries July 2026'!L31-'Entries July 2026'!L30)</f>
        <v>0</v>
      </c>
      <c r="D31" s="720" t="str">
        <f>IF('Entries July 2026'!M31-'Entries July 2026'!M30&lt;1,"0",'Entries July 2026'!M31-'Entries July 2026'!M30)</f>
        <v>0</v>
      </c>
      <c r="E31" s="720">
        <v>0</v>
      </c>
      <c r="F31" s="722">
        <v>0</v>
      </c>
      <c r="G31" s="329" t="str">
        <f t="shared" si="0"/>
        <v>0</v>
      </c>
      <c r="I31" s="432">
        <v>260</v>
      </c>
      <c r="J31" s="433">
        <v>45703</v>
      </c>
      <c r="K31" s="434">
        <f t="shared" si="1"/>
        <v>20730.528530274787</v>
      </c>
      <c r="M31" s="419"/>
      <c r="N31" s="419"/>
      <c r="O31" s="420"/>
      <c r="P31" s="420"/>
      <c r="Q31" s="442">
        <v>45894</v>
      </c>
      <c r="R31" s="447">
        <f>'Entries July 2026'!AL30</f>
        <v>0</v>
      </c>
      <c r="S31" s="452" cm="1">
        <f t="array" ref="S31">IF(R31=0,0,IF(COUNTIF($I$6:$I$40,R31),_xlfn.XLOOKUP(R31,$I$6:$I$40,$K$6:$K$40),_xlfn.LET(_xlpm.x, R31,_xlpm.lo, MAX(_xlfn._xlws.FILTER($I$6:$I$40, $I$6:$I$40 &lt;= _xlpm.x)),_xlpm.hi, MIN(_xlfn._xlws.FILTER($I$6:$I$40, $I$6:$I$40 &gt;= _xlpm.x)),_xlpm.ylo, INDEX($K$6:$K$40, MATCH(_xlpm.lo, $I$6:$I$40, 0)),_xlpm.yhi, INDEX($K$6:$K$40, MATCH(_xlpm.hi, $I$6:$I$40, 0)),_xlpm.ylo + (_xlpm.x - _xlpm.lo) * (_xlpm.yhi - _xlpm.ylo) / (_xlpm.hi - _xlpm.lo)
)))</f>
        <v>0</v>
      </c>
      <c r="T31" s="457">
        <f>'Entries July 2026'!AM29</f>
        <v>0</v>
      </c>
      <c r="U31" s="454">
        <f>'Entries July 2026'!AN29</f>
        <v>0</v>
      </c>
      <c r="V31" s="446">
        <f>'Entries July 2026'!AO29/2.204623</f>
        <v>0</v>
      </c>
      <c r="W31" s="435">
        <f t="shared" si="2"/>
        <v>0</v>
      </c>
      <c r="X31" s="436">
        <f t="shared" si="3"/>
        <v>0</v>
      </c>
    </row>
    <row r="32" spans="1:24" ht="15.75" thickBot="1" x14ac:dyDescent="0.25">
      <c r="A32" s="719">
        <v>26</v>
      </c>
      <c r="B32" s="720" t="str">
        <f>IF('Entries July 2026'!N32-'Entries July 2026'!N31&lt;1,"0",'Entries July 2026'!N32-'Entries July 2026'!N31)</f>
        <v>0</v>
      </c>
      <c r="C32" s="720">
        <f>IF('Entries July 2026'!L32-'Entries July 2026'!L31&lt;1,"0",'Entries July 2026'!L32-'Entries July 2026'!L31)</f>
        <v>8.1100000000005821</v>
      </c>
      <c r="D32" s="720">
        <f>IF('Entries July 2026'!M32-'Entries July 2026'!M31&lt;1,"0",'Entries July 2026'!M32-'Entries July 2026'!M31)</f>
        <v>202.06000000005588</v>
      </c>
      <c r="E32" s="720">
        <v>800</v>
      </c>
      <c r="F32" s="722">
        <v>0</v>
      </c>
      <c r="G32" s="329" t="str">
        <f t="shared" si="0"/>
        <v>0</v>
      </c>
      <c r="I32" s="432">
        <v>270</v>
      </c>
      <c r="J32" s="433">
        <v>47501</v>
      </c>
      <c r="K32" s="434">
        <f t="shared" si="1"/>
        <v>21546.087471644809</v>
      </c>
      <c r="M32" s="419"/>
      <c r="N32" s="419"/>
      <c r="O32" s="420"/>
      <c r="P32" s="420"/>
      <c r="Q32" s="442">
        <v>45895</v>
      </c>
      <c r="R32" s="447">
        <f>'Entries July 2026'!AL31</f>
        <v>0</v>
      </c>
      <c r="S32" s="452" cm="1">
        <f t="array" ref="S32">IF(R32=0,0,IF(COUNTIF($I$6:$I$40,R32),_xlfn.XLOOKUP(R32,$I$6:$I$40,$K$6:$K$40),_xlfn.LET(_xlpm.x, R32,_xlpm.lo, MAX(_xlfn._xlws.FILTER($I$6:$I$40, $I$6:$I$40 &lt;= _xlpm.x)),_xlpm.hi, MIN(_xlfn._xlws.FILTER($I$6:$I$40, $I$6:$I$40 &gt;= _xlpm.x)),_xlpm.ylo, INDEX($K$6:$K$40, MATCH(_xlpm.lo, $I$6:$I$40, 0)),_xlpm.yhi, INDEX($K$6:$K$40, MATCH(_xlpm.hi, $I$6:$I$40, 0)),_xlpm.ylo + (_xlpm.x - _xlpm.lo) * (_xlpm.yhi - _xlpm.ylo) / (_xlpm.hi - _xlpm.lo)
)))</f>
        <v>0</v>
      </c>
      <c r="T32" s="457">
        <f>'Entries July 2026'!AM30</f>
        <v>0</v>
      </c>
      <c r="U32" s="454">
        <f>'Entries July 2026'!AN30</f>
        <v>0</v>
      </c>
      <c r="V32" s="446">
        <f>'Entries July 2026'!AO30/2.204623</f>
        <v>0</v>
      </c>
      <c r="W32" s="435">
        <f t="shared" si="2"/>
        <v>0</v>
      </c>
      <c r="X32" s="436">
        <f t="shared" si="3"/>
        <v>0</v>
      </c>
    </row>
    <row r="33" spans="1:24" ht="15.75" thickBot="1" x14ac:dyDescent="0.25">
      <c r="A33" s="785">
        <v>27</v>
      </c>
      <c r="B33" s="786">
        <f>IF('Entries July 2026'!N33-'Entries July 2026'!N32&lt;1,"0",'Entries July 2026'!N33-'Entries July 2026'!N32)</f>
        <v>193.30999999999767</v>
      </c>
      <c r="C33" s="786">
        <f>IF('Entries July 2026'!L33-'Entries July 2026'!L32&lt;1,"0",'Entries July 2026'!L33-'Entries July 2026'!L32)</f>
        <v>55.529999999998836</v>
      </c>
      <c r="D33" s="786">
        <f>IF('Entries July 2026'!M33-'Entries July 2026'!M32&lt;1,"0",'Entries July 2026'!M33-'Entries July 2026'!M32)</f>
        <v>1564.5399999999208</v>
      </c>
      <c r="E33" s="786">
        <v>1600</v>
      </c>
      <c r="F33" s="787">
        <v>365.97</v>
      </c>
      <c r="G33" s="329">
        <f t="shared" si="0"/>
        <v>4.3719430554417027</v>
      </c>
      <c r="I33" s="432">
        <v>280</v>
      </c>
      <c r="J33" s="433">
        <v>49299</v>
      </c>
      <c r="K33" s="434">
        <f t="shared" si="1"/>
        <v>22361.646413014831</v>
      </c>
      <c r="M33" s="419"/>
      <c r="N33" s="419"/>
      <c r="O33" s="420"/>
      <c r="P33" s="420"/>
      <c r="Q33" s="442">
        <v>45896</v>
      </c>
      <c r="R33" s="447">
        <f>'Entries July 2026'!AL32</f>
        <v>0</v>
      </c>
      <c r="S33" s="452" cm="1">
        <f t="array" ref="S33">IF(R33=0,0,IF(COUNTIF($I$6:$I$40,R33),_xlfn.XLOOKUP(R33,$I$6:$I$40,$K$6:$K$40),_xlfn.LET(_xlpm.x, R33,_xlpm.lo, MAX(_xlfn._xlws.FILTER($I$6:$I$40, $I$6:$I$40 &lt;= _xlpm.x)),_xlpm.hi, MIN(_xlfn._xlws.FILTER($I$6:$I$40, $I$6:$I$40 &gt;= _xlpm.x)),_xlpm.ylo, INDEX($K$6:$K$40, MATCH(_xlpm.lo, $I$6:$I$40, 0)),_xlpm.yhi, INDEX($K$6:$K$40, MATCH(_xlpm.hi, $I$6:$I$40, 0)),_xlpm.ylo + (_xlpm.x - _xlpm.lo) * (_xlpm.yhi - _xlpm.ylo) / (_xlpm.hi - _xlpm.lo)
)))</f>
        <v>0</v>
      </c>
      <c r="T33" s="457">
        <f>'Entries July 2026'!AM31</f>
        <v>0</v>
      </c>
      <c r="U33" s="454">
        <f>'Entries July 2026'!AN31</f>
        <v>0</v>
      </c>
      <c r="V33" s="446">
        <f>'Entries July 2026'!AO31/2.204623</f>
        <v>0</v>
      </c>
      <c r="W33" s="435">
        <f t="shared" si="2"/>
        <v>0</v>
      </c>
      <c r="X33" s="436">
        <f t="shared" si="3"/>
        <v>0</v>
      </c>
    </row>
    <row r="34" spans="1:24" ht="15.75" thickBot="1" x14ac:dyDescent="0.25">
      <c r="A34" s="785">
        <v>28</v>
      </c>
      <c r="B34" s="786">
        <f>IF('Entries July 2026'!N34-'Entries July 2026'!N33&lt;1,"0",'Entries July 2026'!N34-'Entries July 2026'!N33)</f>
        <v>364.52000000000407</v>
      </c>
      <c r="C34" s="786">
        <f>IF('Entries July 2026'!L34-'Entries July 2026'!L33&lt;1,"0",'Entries July 2026'!L34-'Entries July 2026'!L33)</f>
        <v>1796.8700000000026</v>
      </c>
      <c r="D34" s="786">
        <f>IF('Entries July 2026'!M34-'Entries July 2026'!M33&lt;1,"0",'Entries July 2026'!M34-'Entries July 2026'!M33)</f>
        <v>3671.1300000000047</v>
      </c>
      <c r="E34" s="786">
        <v>3500</v>
      </c>
      <c r="F34" s="787">
        <v>642.048</v>
      </c>
      <c r="G34" s="329">
        <f t="shared" si="0"/>
        <v>5.4513058213716112</v>
      </c>
      <c r="I34" s="432">
        <v>290</v>
      </c>
      <c r="J34" s="433">
        <v>51098</v>
      </c>
      <c r="K34" s="434">
        <f t="shared" si="1"/>
        <v>23177.658946677049</v>
      </c>
      <c r="M34" s="419"/>
      <c r="N34" s="419"/>
      <c r="O34" s="420"/>
      <c r="P34" s="420"/>
      <c r="Q34" s="442">
        <v>45897</v>
      </c>
      <c r="R34" s="447">
        <f>'Entries July 2026'!AL33</f>
        <v>0</v>
      </c>
      <c r="S34" s="452" cm="1">
        <f t="array" ref="S34">IF(R34=0,0,IF(COUNTIF($I$6:$I$40,R34),_xlfn.XLOOKUP(R34,$I$6:$I$40,$K$6:$K$40),_xlfn.LET(_xlpm.x, R34,_xlpm.lo, MAX(_xlfn._xlws.FILTER($I$6:$I$40, $I$6:$I$40 &lt;= _xlpm.x)),_xlpm.hi, MIN(_xlfn._xlws.FILTER($I$6:$I$40, $I$6:$I$40 &gt;= _xlpm.x)),_xlpm.ylo, INDEX($K$6:$K$40, MATCH(_xlpm.lo, $I$6:$I$40, 0)),_xlpm.yhi, INDEX($K$6:$K$40, MATCH(_xlpm.hi, $I$6:$I$40, 0)),_xlpm.ylo + (_xlpm.x - _xlpm.lo) * (_xlpm.yhi - _xlpm.ylo) / (_xlpm.hi - _xlpm.lo)
)))</f>
        <v>0</v>
      </c>
      <c r="T34" s="457">
        <f>'Entries July 2026'!AM32</f>
        <v>0</v>
      </c>
      <c r="U34" s="454">
        <f>'Entries July 2026'!AN32</f>
        <v>0</v>
      </c>
      <c r="V34" s="446">
        <f>'Entries July 2026'!AO32/2.204623</f>
        <v>0</v>
      </c>
      <c r="W34" s="435">
        <f t="shared" si="2"/>
        <v>0</v>
      </c>
      <c r="X34" s="436">
        <f t="shared" si="3"/>
        <v>0</v>
      </c>
    </row>
    <row r="35" spans="1:24" ht="15.75" thickBot="1" x14ac:dyDescent="0.25">
      <c r="A35" s="719">
        <v>29</v>
      </c>
      <c r="B35" s="720">
        <f>IF('Entries July 2026'!N35-'Entries July 2026'!N34&lt;1,"0",'Entries July 2026'!N35-'Entries July 2026'!N34)</f>
        <v>215.04999999998836</v>
      </c>
      <c r="C35" s="720">
        <f>IF('Entries July 2026'!L35-'Entries July 2026'!L34&lt;1,"0",'Entries July 2026'!L35-'Entries July 2026'!L34)</f>
        <v>349.22000000000116</v>
      </c>
      <c r="D35" s="720">
        <f>IF('Entries July 2026'!M35-'Entries July 2026'!M34&lt;1,"0",'Entries July 2026'!M35-'Entries July 2026'!M34)</f>
        <v>1896.0800000000745</v>
      </c>
      <c r="E35" s="720">
        <v>2000</v>
      </c>
      <c r="F35" s="722">
        <v>387.63720000000001</v>
      </c>
      <c r="G35" s="329">
        <f t="shared" si="0"/>
        <v>5.1594635396190043</v>
      </c>
      <c r="I35" s="432">
        <v>300</v>
      </c>
      <c r="J35" s="433">
        <v>52896</v>
      </c>
      <c r="K35" s="434">
        <f t="shared" si="1"/>
        <v>23993.217888047071</v>
      </c>
      <c r="M35" s="419"/>
      <c r="N35" s="419"/>
      <c r="O35" s="420"/>
      <c r="P35" s="420"/>
      <c r="Q35" s="442">
        <v>45898</v>
      </c>
      <c r="R35" s="447">
        <f>'Entries July 2026'!AL34</f>
        <v>0</v>
      </c>
      <c r="S35" s="452" cm="1">
        <f t="array" ref="S35">IF(R35=0,0,IF(COUNTIF($I$6:$I$40,R35),_xlfn.XLOOKUP(R35,$I$6:$I$40,$K$6:$K$40),_xlfn.LET(_xlpm.x, R35,_xlpm.lo, MAX(_xlfn._xlws.FILTER($I$6:$I$40, $I$6:$I$40 &lt;= _xlpm.x)),_xlpm.hi, MIN(_xlfn._xlws.FILTER($I$6:$I$40, $I$6:$I$40 &gt;= _xlpm.x)),_xlpm.ylo, INDEX($K$6:$K$40, MATCH(_xlpm.lo, $I$6:$I$40, 0)),_xlpm.yhi, INDEX($K$6:$K$40, MATCH(_xlpm.hi, $I$6:$I$40, 0)),_xlpm.ylo + (_xlpm.x - _xlpm.lo) * (_xlpm.yhi - _xlpm.ylo) / (_xlpm.hi - _xlpm.lo)
)))</f>
        <v>0</v>
      </c>
      <c r="T35" s="457">
        <f>'Entries July 2026'!AM33</f>
        <v>0</v>
      </c>
      <c r="U35" s="454">
        <f>'Entries July 2026'!AN33</f>
        <v>0</v>
      </c>
      <c r="V35" s="446">
        <f>'Entries July 2026'!AO33/2.204623</f>
        <v>0</v>
      </c>
      <c r="W35" s="435">
        <f t="shared" si="2"/>
        <v>0</v>
      </c>
      <c r="X35" s="436">
        <f t="shared" si="3"/>
        <v>0</v>
      </c>
    </row>
    <row r="36" spans="1:24" ht="15.75" thickBot="1" x14ac:dyDescent="0.25">
      <c r="A36" s="719">
        <v>30</v>
      </c>
      <c r="B36" s="720">
        <f>IF('Entries July 2026'!N36-'Entries July 2026'!N35&lt;1,"0",'Entries July 2026'!N36-'Entries July 2026'!N35)</f>
        <v>266.26000000000931</v>
      </c>
      <c r="C36" s="720">
        <f>IF('Entries July 2026'!L36-'Entries July 2026'!L35&lt;1,"0",'Entries July 2026'!L36-'Entries July 2026'!L35)</f>
        <v>610.0199999999968</v>
      </c>
      <c r="D36" s="720">
        <f>IF('Entries July 2026'!M36-'Entries July 2026'!M35&lt;1,"0",'Entries July 2026'!M36-'Entries July 2026'!M35)</f>
        <v>2594.5199999999022</v>
      </c>
      <c r="E36" s="720">
        <v>2500</v>
      </c>
      <c r="F36" s="722">
        <v>606.86879999999996</v>
      </c>
      <c r="G36" s="329">
        <f t="shared" si="0"/>
        <v>4.1195065556179529</v>
      </c>
      <c r="I36" s="432">
        <v>310</v>
      </c>
      <c r="J36" s="433">
        <v>54694</v>
      </c>
      <c r="K36" s="434">
        <f t="shared" si="1"/>
        <v>24808.776829417089</v>
      </c>
      <c r="M36" s="419"/>
      <c r="N36" s="419"/>
      <c r="O36" s="420"/>
      <c r="P36" s="420"/>
      <c r="Q36" s="442">
        <v>45899</v>
      </c>
      <c r="R36" s="447">
        <f>'Entries July 2026'!AL35</f>
        <v>0</v>
      </c>
      <c r="S36" s="452" cm="1">
        <f t="array" ref="S36">IF(R36=0,0,IF(COUNTIF($I$6:$I$40,R36),_xlfn.XLOOKUP(R36,$I$6:$I$40,$K$6:$K$40),_xlfn.LET(_xlpm.x, R36,_xlpm.lo, MAX(_xlfn._xlws.FILTER($I$6:$I$40, $I$6:$I$40 &lt;= _xlpm.x)),_xlpm.hi, MIN(_xlfn._xlws.FILTER($I$6:$I$40, $I$6:$I$40 &gt;= _xlpm.x)),_xlpm.ylo, INDEX($K$6:$K$40, MATCH(_xlpm.lo, $I$6:$I$40, 0)),_xlpm.yhi, INDEX($K$6:$K$40, MATCH(_xlpm.hi, $I$6:$I$40, 0)),_xlpm.ylo + (_xlpm.x - _xlpm.lo) * (_xlpm.yhi - _xlpm.ylo) / (_xlpm.hi - _xlpm.lo)
)))</f>
        <v>0</v>
      </c>
      <c r="T36" s="457">
        <f>'Entries July 2026'!AM34</f>
        <v>0</v>
      </c>
      <c r="U36" s="454">
        <f>'Entries July 2026'!AN34</f>
        <v>0</v>
      </c>
      <c r="V36" s="446">
        <f>'Entries July 2026'!AO34/2.204623</f>
        <v>0</v>
      </c>
      <c r="W36" s="435">
        <f t="shared" si="2"/>
        <v>0</v>
      </c>
      <c r="X36" s="436">
        <f t="shared" si="3"/>
        <v>0</v>
      </c>
    </row>
    <row r="37" spans="1:24" ht="15.75" thickBot="1" x14ac:dyDescent="0.25">
      <c r="A37" s="719">
        <v>31</v>
      </c>
      <c r="B37" s="720">
        <f>IF('Entries July 2026'!N37-'Entries July 2026'!N36&lt;1,"0",'Entries July 2026'!N37-'Entries July 2026'!N36)</f>
        <v>219.75999999999476</v>
      </c>
      <c r="C37" s="720">
        <f>IF('Entries July 2026'!L37-'Entries July 2026'!L36&lt;1,"0",'Entries July 2026'!L37-'Entries July 2026'!L36)</f>
        <v>656.19000000000233</v>
      </c>
      <c r="D37" s="720">
        <f>IF('Entries July 2026'!M37-'Entries July 2026'!M36&lt;1,"0",'Entries July 2026'!M37-'Entries July 2026'!M36)</f>
        <v>1982.1700000000419</v>
      </c>
      <c r="E37" s="720">
        <v>1900</v>
      </c>
      <c r="F37" s="722">
        <v>498.49800000000005</v>
      </c>
      <c r="G37" s="329">
        <f t="shared" si="0"/>
        <v>3.8114495945821245</v>
      </c>
      <c r="H37" s="341" t="s">
        <v>247</v>
      </c>
      <c r="I37" s="432">
        <v>320</v>
      </c>
      <c r="J37" s="433">
        <v>56492</v>
      </c>
      <c r="K37" s="434">
        <f t="shared" si="1"/>
        <v>25624.335770787111</v>
      </c>
      <c r="M37" s="419"/>
      <c r="N37" s="419"/>
      <c r="O37" s="420"/>
      <c r="P37" s="420"/>
      <c r="Q37" s="442">
        <v>45900</v>
      </c>
      <c r="R37" s="447">
        <f>'Entries July 2026'!AL36</f>
        <v>0</v>
      </c>
      <c r="S37" s="452" cm="1">
        <f t="array" ref="S37">IF(R37=0,0,IF(COUNTIF($I$6:$I$40,R37),_xlfn.XLOOKUP(R37,$I$6:$I$40,$K$6:$K$40),_xlfn.LET(_xlpm.x, R37,_xlpm.lo, MAX(_xlfn._xlws.FILTER($I$6:$I$40, $I$6:$I$40 &lt;= _xlpm.x)),_xlpm.hi, MIN(_xlfn._xlws.FILTER($I$6:$I$40, $I$6:$I$40 &gt;= _xlpm.x)),_xlpm.ylo, INDEX($K$6:$K$40, MATCH(_xlpm.lo, $I$6:$I$40, 0)),_xlpm.yhi, INDEX($K$6:$K$40, MATCH(_xlpm.hi, $I$6:$I$40, 0)),_xlpm.ylo + (_xlpm.x - _xlpm.lo) * (_xlpm.yhi - _xlpm.ylo) / (_xlpm.hi - _xlpm.lo)
)))</f>
        <v>0</v>
      </c>
      <c r="T37" s="457">
        <f>'Entries July 2026'!AM35</f>
        <v>0</v>
      </c>
      <c r="U37" s="454">
        <f>'Entries July 2026'!AN35</f>
        <v>0</v>
      </c>
      <c r="V37" s="446">
        <f>'Entries July 2026'!AO35/2.204623</f>
        <v>0</v>
      </c>
      <c r="W37" s="435">
        <f t="shared" si="2"/>
        <v>0</v>
      </c>
      <c r="X37" s="436">
        <f t="shared" si="3"/>
        <v>0</v>
      </c>
    </row>
    <row r="38" spans="1:24" ht="18.75" thickBot="1" x14ac:dyDescent="0.3">
      <c r="A38" s="41" t="s">
        <v>85</v>
      </c>
      <c r="B38" s="717">
        <f>SUM(B7:B37)</f>
        <v>5102.9600000000064</v>
      </c>
      <c r="C38" s="717">
        <f>SUM(C7:C37)</f>
        <v>15634.270000000004</v>
      </c>
      <c r="D38" s="717">
        <f>SUM(D7:D37)</f>
        <v>47960.619999999995</v>
      </c>
      <c r="E38" s="717">
        <f>SUM(E7:E37)</f>
        <v>53100</v>
      </c>
      <c r="F38" s="718">
        <f>SUM(F7:F37)</f>
        <v>8998.2515999999996</v>
      </c>
      <c r="G38" s="339">
        <f>IF(F38=0,"0",(E38/F38))</f>
        <v>5.9011463960398709</v>
      </c>
      <c r="H38" s="342">
        <v>5</v>
      </c>
      <c r="I38" s="432">
        <v>330</v>
      </c>
      <c r="J38" s="433">
        <v>58290</v>
      </c>
      <c r="K38" s="434">
        <f t="shared" si="1"/>
        <v>26439.894712157133</v>
      </c>
      <c r="M38" s="419"/>
      <c r="N38" s="419"/>
      <c r="O38" s="420"/>
      <c r="P38" s="420"/>
      <c r="Q38" s="442">
        <v>45901</v>
      </c>
      <c r="R38" s="447">
        <f>'Entries July 2026'!AL37</f>
        <v>0</v>
      </c>
      <c r="S38" s="453" cm="1">
        <f t="array" ref="S38">IF(R38=0,0,IF(COUNTIF($I$6:$I$40,R38),_xlfn.XLOOKUP(R38,$I$6:$I$40,$K$6:$K$40),_xlfn.LET(_xlpm.x, R38,_xlpm.lo, MAX(_xlfn._xlws.FILTER($I$6:$I$40, $I$6:$I$40 &lt;= _xlpm.x)),_xlpm.hi, MIN(_xlfn._xlws.FILTER($I$6:$I$40, $I$6:$I$40 &gt;= _xlpm.x)),_xlpm.ylo, INDEX($K$6:$K$40, MATCH(_xlpm.lo, $I$6:$I$40, 0)),_xlpm.yhi, INDEX($K$6:$K$40, MATCH(_xlpm.hi, $I$6:$I$40, 0)),_xlpm.ylo + (_xlpm.x - _xlpm.lo) * (_xlpm.yhi - _xlpm.ylo) / (_xlpm.hi - _xlpm.lo)
)))</f>
        <v>0</v>
      </c>
      <c r="T38" s="457">
        <f>'Entries July 2026'!AM36</f>
        <v>0</v>
      </c>
      <c r="U38" s="454">
        <f>'Entries July 2026'!AN36</f>
        <v>0</v>
      </c>
      <c r="V38" s="446">
        <f>'Entries July 2026'!AO36/2.204623</f>
        <v>0</v>
      </c>
      <c r="W38" s="435">
        <f t="shared" si="2"/>
        <v>0</v>
      </c>
      <c r="X38" s="436">
        <f t="shared" si="3"/>
        <v>0</v>
      </c>
    </row>
    <row r="39" spans="1:24" ht="15.75" thickBot="1" x14ac:dyDescent="0.25">
      <c r="A39" s="8"/>
      <c r="B39" s="8"/>
      <c r="C39" s="8"/>
      <c r="D39" s="11"/>
      <c r="E39" s="11"/>
      <c r="F39" s="8"/>
      <c r="I39" s="432">
        <v>340</v>
      </c>
      <c r="J39" s="433">
        <v>60089</v>
      </c>
      <c r="K39" s="434">
        <f t="shared" si="1"/>
        <v>27255.907245819351</v>
      </c>
      <c r="M39" s="419"/>
      <c r="N39" s="419"/>
      <c r="O39" s="420"/>
      <c r="P39" s="420"/>
      <c r="Q39" s="443"/>
      <c r="R39" s="447">
        <f>'Entries July 2026'!AL38</f>
        <v>0</v>
      </c>
      <c r="S39" s="453" cm="1">
        <f t="array" ref="S39">IF(R39=0,0,IF(COUNTIF($I$6:$I$40,R39),_xlfn.XLOOKUP(R39,$I$6:$I$40,$K$6:$K$40),_xlfn.LET(_xlpm.x, R39,_xlpm.lo, MAX(_xlfn._xlws.FILTER($I$6:$I$40, $I$6:$I$40 &lt;= _xlpm.x)),_xlpm.hi, MIN(_xlfn._xlws.FILTER($I$6:$I$40, $I$6:$I$40 &gt;= _xlpm.x)),_xlpm.ylo, INDEX($K$6:$K$40, MATCH(_xlpm.lo, $I$6:$I$40, 0)),_xlpm.yhi, INDEX($K$6:$K$40, MATCH(_xlpm.hi, $I$6:$I$40, 0)),_xlpm.ylo + (_xlpm.x - _xlpm.lo) * (_xlpm.yhi - _xlpm.ylo) / (_xlpm.hi - _xlpm.lo)
)))</f>
        <v>0</v>
      </c>
      <c r="T39" s="457">
        <f>'Entries July 2026'!AM37</f>
        <v>0</v>
      </c>
      <c r="U39" s="454">
        <f>'Entries July 2026'!AN37</f>
        <v>0</v>
      </c>
      <c r="V39" s="446">
        <f>'Entries July 2026'!AO37/2.204623</f>
        <v>0</v>
      </c>
      <c r="W39" s="435">
        <f t="shared" si="2"/>
        <v>0</v>
      </c>
      <c r="X39" s="458"/>
    </row>
    <row r="40" spans="1:24" ht="15.75" thickBot="1" x14ac:dyDescent="0.25">
      <c r="A40" s="8"/>
      <c r="B40" s="8"/>
      <c r="C40" s="8"/>
      <c r="D40" s="11"/>
      <c r="E40" s="11"/>
      <c r="F40" s="8"/>
      <c r="I40" s="440">
        <v>350</v>
      </c>
      <c r="J40" s="441">
        <v>60537</v>
      </c>
      <c r="K40" s="434">
        <f t="shared" si="1"/>
        <v>27459.11659272356</v>
      </c>
      <c r="M40" s="419"/>
      <c r="N40" s="419"/>
      <c r="O40" s="420"/>
      <c r="P40" s="420"/>
      <c r="Q40" s="191"/>
      <c r="R40" s="448"/>
      <c r="S40" s="449"/>
      <c r="T40" s="437"/>
      <c r="U40" s="437"/>
      <c r="V40" s="438"/>
      <c r="W40" s="437" t="s">
        <v>244</v>
      </c>
      <c r="X40" s="439">
        <f>SUM(X8:X38)</f>
        <v>0</v>
      </c>
    </row>
    <row r="41" spans="1:24" x14ac:dyDescent="0.2">
      <c r="M41" s="419"/>
      <c r="N41" s="419"/>
      <c r="O41" s="420"/>
      <c r="P41" s="420"/>
      <c r="Q41" s="191"/>
      <c r="R41" s="191"/>
      <c r="S41" s="191"/>
      <c r="T41" s="191"/>
      <c r="U41" s="191"/>
      <c r="V41" s="419"/>
      <c r="W41" s="191"/>
      <c r="X41" s="191"/>
    </row>
    <row r="42" spans="1:24" x14ac:dyDescent="0.2">
      <c r="Q42" s="191"/>
      <c r="R42" s="191"/>
      <c r="S42" s="191"/>
      <c r="T42" s="191"/>
      <c r="U42" s="191"/>
      <c r="V42" s="419"/>
      <c r="W42" s="191"/>
      <c r="X42" s="191"/>
    </row>
  </sheetData>
  <mergeCells count="16">
    <mergeCell ref="W5:W6"/>
    <mergeCell ref="X5:X6"/>
    <mergeCell ref="I3:K3"/>
    <mergeCell ref="I4:K4"/>
    <mergeCell ref="M5:O5"/>
    <mergeCell ref="Q5:Q6"/>
    <mergeCell ref="R5:S5"/>
    <mergeCell ref="V5:V6"/>
    <mergeCell ref="Q4:T4"/>
    <mergeCell ref="A5:A6"/>
    <mergeCell ref="G5:G6"/>
    <mergeCell ref="B5:B6"/>
    <mergeCell ref="F5:F6"/>
    <mergeCell ref="D5:D6"/>
    <mergeCell ref="E5:E6"/>
    <mergeCell ref="C5:C6"/>
  </mergeCells>
  <phoneticPr fontId="0" type="noConversion"/>
  <conditionalFormatting sqref="G7:G38">
    <cfRule type="cellIs" dxfId="41" priority="1" operator="greaterThan">
      <formula>5</formula>
    </cfRule>
    <cfRule type="cellIs" dxfId="40" priority="3" operator="greaterThan">
      <formula>21</formula>
    </cfRule>
  </conditionalFormatting>
  <pageMargins left="0.75" right="0.75" top="1" bottom="1" header="0.5" footer="0.5"/>
  <pageSetup orientation="portrait" horizontalDpi="4294967294" r:id="rId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indexed="11"/>
    <pageSetUpPr fitToPage="1"/>
  </sheetPr>
  <dimension ref="A1:AK143"/>
  <sheetViews>
    <sheetView showGridLines="0" topLeftCell="A4" zoomScale="80" zoomScaleNormal="80" workbookViewId="0">
      <pane xSplit="1" ySplit="7" topLeftCell="B22" activePane="bottomRight" state="frozen"/>
      <selection activeCell="A4" sqref="A4"/>
      <selection pane="topRight" activeCell="B4" sqref="B4"/>
      <selection pane="bottomLeft" activeCell="A11" sqref="A11"/>
      <selection pane="bottomRight" activeCell="A6" sqref="A6"/>
    </sheetView>
  </sheetViews>
  <sheetFormatPr defaultColWidth="9.28515625" defaultRowHeight="12.75" x14ac:dyDescent="0.2"/>
  <cols>
    <col min="1" max="1" width="46" style="81" bestFit="1" customWidth="1"/>
    <col min="2" max="8" width="14.7109375" style="82" customWidth="1"/>
    <col min="9" max="9" width="18.5703125" style="82" customWidth="1"/>
    <col min="10" max="12" width="14.7109375" style="82" customWidth="1"/>
    <col min="13" max="13" width="20.28515625" style="162" customWidth="1"/>
    <col min="14" max="15" width="14.7109375" style="82" customWidth="1"/>
    <col min="16" max="16" width="23.7109375" style="82" bestFit="1" customWidth="1"/>
    <col min="17" max="18" width="15.85546875" style="82" customWidth="1"/>
    <col min="19" max="19" width="18.28515625" style="82" customWidth="1"/>
    <col min="20" max="20" width="14.7109375" style="82" customWidth="1"/>
    <col min="21" max="21" width="15.85546875" style="82" customWidth="1"/>
    <col min="22" max="22" width="14.7109375" style="82" customWidth="1"/>
    <col min="23" max="23" width="16.85546875" style="82" customWidth="1"/>
    <col min="24" max="25" width="15.85546875" style="82" customWidth="1"/>
    <col min="26" max="31" width="14.7109375" style="82" customWidth="1"/>
    <col min="32" max="32" width="14.7109375" style="194" customWidth="1"/>
    <col min="33" max="33" width="15.42578125" style="203" bestFit="1" customWidth="1"/>
    <col min="34" max="34" width="15.5703125" style="203" customWidth="1"/>
    <col min="35" max="35" width="15.42578125" style="257" bestFit="1" customWidth="1"/>
    <col min="36" max="37" width="9.28515625" style="257"/>
    <col min="38" max="16384" width="9.28515625" style="81"/>
  </cols>
  <sheetData>
    <row r="1" spans="1:37" x14ac:dyDescent="0.2">
      <c r="B1" s="85"/>
      <c r="C1" s="81"/>
      <c r="D1" s="81"/>
      <c r="E1" s="81"/>
      <c r="F1" s="81"/>
      <c r="G1" s="81"/>
      <c r="H1" s="81"/>
      <c r="I1" s="81"/>
      <c r="J1" s="81"/>
      <c r="K1" s="81"/>
      <c r="L1" s="81"/>
      <c r="M1" s="87"/>
      <c r="N1" s="81"/>
      <c r="O1" s="81"/>
      <c r="P1" s="81"/>
      <c r="Q1" s="81"/>
      <c r="R1" s="81"/>
      <c r="S1" s="81"/>
      <c r="T1" s="81"/>
      <c r="U1" s="81"/>
      <c r="V1" s="81"/>
      <c r="W1" s="81"/>
      <c r="X1" s="81"/>
      <c r="Y1" s="81"/>
      <c r="Z1" s="81"/>
      <c r="AA1" s="81"/>
      <c r="AB1" s="81"/>
      <c r="AC1" s="81"/>
      <c r="AD1" s="81"/>
      <c r="AE1" s="81"/>
      <c r="AF1" s="193"/>
      <c r="AG1" s="257"/>
      <c r="AH1" s="257"/>
    </row>
    <row r="2" spans="1:37" x14ac:dyDescent="0.2">
      <c r="B2" s="85"/>
      <c r="C2" s="81"/>
      <c r="D2" s="81"/>
      <c r="E2" s="81"/>
      <c r="F2" s="81"/>
      <c r="G2" s="81"/>
      <c r="H2" s="81"/>
      <c r="I2" s="81"/>
      <c r="J2" s="81"/>
      <c r="K2" s="81"/>
      <c r="L2" s="81"/>
      <c r="M2" s="87"/>
      <c r="N2" s="81"/>
      <c r="O2" s="81"/>
      <c r="P2" s="81"/>
      <c r="Q2" s="81"/>
      <c r="R2" s="81"/>
      <c r="S2" s="81"/>
      <c r="T2" s="81"/>
      <c r="U2" s="81"/>
      <c r="V2" s="81"/>
      <c r="W2" s="81"/>
      <c r="X2" s="81"/>
      <c r="Y2" s="81"/>
      <c r="Z2" s="81"/>
      <c r="AA2" s="81"/>
      <c r="AB2" s="81"/>
      <c r="AC2" s="81"/>
      <c r="AD2" s="81"/>
      <c r="AE2" s="81"/>
      <c r="AF2" s="193"/>
      <c r="AG2" s="257"/>
      <c r="AH2" s="257"/>
    </row>
    <row r="3" spans="1:37" x14ac:dyDescent="0.2">
      <c r="A3" s="1" t="s">
        <v>134</v>
      </c>
      <c r="B3" s="85"/>
      <c r="C3" s="1"/>
      <c r="D3" s="81"/>
      <c r="E3" s="81"/>
      <c r="F3" s="81"/>
      <c r="G3" s="81"/>
      <c r="H3" s="81"/>
      <c r="I3" s="81"/>
      <c r="J3" s="81"/>
      <c r="K3" s="81"/>
      <c r="L3" s="81"/>
      <c r="M3" s="87"/>
      <c r="N3" s="81"/>
      <c r="O3" s="81"/>
      <c r="P3" s="81"/>
      <c r="Q3" s="81"/>
      <c r="R3" s="81"/>
      <c r="S3" s="81"/>
      <c r="T3" s="81"/>
      <c r="U3" s="81"/>
      <c r="V3" s="81"/>
      <c r="W3" s="81"/>
      <c r="X3" s="81"/>
      <c r="Y3" s="81"/>
      <c r="Z3" s="81"/>
      <c r="AA3" s="81"/>
      <c r="AB3" s="81"/>
      <c r="AC3" s="81"/>
      <c r="AD3" s="81"/>
      <c r="AE3" s="81"/>
      <c r="AF3" s="193"/>
      <c r="AG3" s="257"/>
      <c r="AH3" s="257"/>
    </row>
    <row r="4" spans="1:37" x14ac:dyDescent="0.2">
      <c r="A4" s="1"/>
      <c r="M4" s="92" t="s">
        <v>230</v>
      </c>
      <c r="Y4" s="82">
        <v>1364</v>
      </c>
    </row>
    <row r="5" spans="1:37" ht="26.25" x14ac:dyDescent="0.4">
      <c r="A5" s="183">
        <v>46204</v>
      </c>
      <c r="B5" s="183"/>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c r="AH5" s="183"/>
      <c r="AI5" s="183"/>
    </row>
    <row r="6" spans="1:37" ht="26.25" x14ac:dyDescent="0.2">
      <c r="A6" s="83"/>
      <c r="B6" s="477">
        <v>1</v>
      </c>
      <c r="C6" s="477">
        <v>2</v>
      </c>
      <c r="D6" s="477">
        <v>3</v>
      </c>
      <c r="E6" s="477">
        <v>4</v>
      </c>
      <c r="F6" s="477">
        <v>5</v>
      </c>
      <c r="G6" s="477">
        <v>6</v>
      </c>
      <c r="H6" s="477">
        <v>7</v>
      </c>
      <c r="I6" s="477">
        <v>8</v>
      </c>
      <c r="J6" s="477">
        <v>9</v>
      </c>
      <c r="K6" s="477">
        <v>10</v>
      </c>
      <c r="L6" s="477">
        <v>11</v>
      </c>
      <c r="M6" s="477">
        <v>12</v>
      </c>
      <c r="N6" s="477">
        <v>13</v>
      </c>
      <c r="O6" s="477">
        <v>14</v>
      </c>
      <c r="P6" s="477">
        <v>15</v>
      </c>
      <c r="Q6" s="477">
        <v>16</v>
      </c>
      <c r="R6" s="477">
        <v>17</v>
      </c>
      <c r="S6" s="477">
        <v>18</v>
      </c>
      <c r="T6" s="477">
        <v>19</v>
      </c>
      <c r="U6" s="477">
        <v>20</v>
      </c>
      <c r="V6" s="477">
        <v>21</v>
      </c>
      <c r="W6" s="477">
        <v>22</v>
      </c>
      <c r="X6" s="477">
        <v>23</v>
      </c>
      <c r="Y6" s="477">
        <v>24</v>
      </c>
      <c r="Z6" s="477">
        <v>25</v>
      </c>
      <c r="AA6" s="477">
        <v>26</v>
      </c>
      <c r="AB6" s="477">
        <v>27</v>
      </c>
      <c r="AC6" s="477">
        <v>28</v>
      </c>
      <c r="AD6" s="477">
        <v>29</v>
      </c>
      <c r="AE6" s="477">
        <v>30</v>
      </c>
      <c r="AF6" s="477">
        <v>31</v>
      </c>
      <c r="AG6" s="286"/>
      <c r="AH6" s="849" t="s">
        <v>219</v>
      </c>
      <c r="AI6" s="284"/>
    </row>
    <row r="7" spans="1:37" s="74" customFormat="1" ht="25.5" customHeight="1" x14ac:dyDescent="0.25">
      <c r="A7" s="97" t="s">
        <v>131</v>
      </c>
      <c r="B7" s="479" t="s">
        <v>147</v>
      </c>
      <c r="C7" s="479" t="s">
        <v>141</v>
      </c>
      <c r="D7" s="479" t="s">
        <v>142</v>
      </c>
      <c r="E7" s="479" t="s">
        <v>143</v>
      </c>
      <c r="F7" s="479" t="s">
        <v>144</v>
      </c>
      <c r="G7" s="479" t="s">
        <v>145</v>
      </c>
      <c r="H7" s="479" t="s">
        <v>146</v>
      </c>
      <c r="I7" s="479" t="s">
        <v>147</v>
      </c>
      <c r="J7" s="479" t="s">
        <v>141</v>
      </c>
      <c r="K7" s="479" t="s">
        <v>142</v>
      </c>
      <c r="L7" s="479" t="s">
        <v>143</v>
      </c>
      <c r="M7" s="479" t="s">
        <v>144</v>
      </c>
      <c r="N7" s="479" t="s">
        <v>145</v>
      </c>
      <c r="O7" s="479" t="s">
        <v>146</v>
      </c>
      <c r="P7" s="479" t="s">
        <v>147</v>
      </c>
      <c r="Q7" s="479" t="s">
        <v>141</v>
      </c>
      <c r="R7" s="479" t="s">
        <v>142</v>
      </c>
      <c r="S7" s="479" t="s">
        <v>143</v>
      </c>
      <c r="T7" s="479" t="s">
        <v>144</v>
      </c>
      <c r="U7" s="479" t="s">
        <v>145</v>
      </c>
      <c r="V7" s="479" t="s">
        <v>146</v>
      </c>
      <c r="W7" s="479" t="s">
        <v>147</v>
      </c>
      <c r="X7" s="479" t="s">
        <v>141</v>
      </c>
      <c r="Y7" s="479" t="s">
        <v>142</v>
      </c>
      <c r="Z7" s="479" t="s">
        <v>143</v>
      </c>
      <c r="AA7" s="479" t="s">
        <v>144</v>
      </c>
      <c r="AB7" s="479" t="s">
        <v>145</v>
      </c>
      <c r="AC7" s="479" t="s">
        <v>146</v>
      </c>
      <c r="AD7" s="479" t="s">
        <v>147</v>
      </c>
      <c r="AE7" s="479" t="s">
        <v>141</v>
      </c>
      <c r="AF7" s="479" t="s">
        <v>142</v>
      </c>
      <c r="AG7" s="205" t="s">
        <v>19</v>
      </c>
      <c r="AH7" s="849"/>
      <c r="AI7" s="285" t="s">
        <v>232</v>
      </c>
      <c r="AJ7" s="212"/>
      <c r="AK7" s="212"/>
    </row>
    <row r="8" spans="1:37" s="76" customFormat="1" ht="26.25" x14ac:dyDescent="0.3">
      <c r="A8" s="98" t="s">
        <v>136</v>
      </c>
      <c r="B8" s="99"/>
      <c r="C8" s="99">
        <f>'Daily KPIs'!C8</f>
        <v>7414</v>
      </c>
      <c r="D8" s="99">
        <f>'Daily KPIs'!D8</f>
        <v>7456</v>
      </c>
      <c r="E8" s="99">
        <f>'Daily KPIs'!E8</f>
        <v>0</v>
      </c>
      <c r="F8" s="99">
        <f>'Daily KPIs'!F8</f>
        <v>0</v>
      </c>
      <c r="G8" s="99">
        <f>'Daily KPIs'!G8</f>
        <v>6224</v>
      </c>
      <c r="H8" s="100">
        <f>'Daily KPIs'!H8</f>
        <v>3180</v>
      </c>
      <c r="I8" s="100">
        <f>'Daily KPIs'!I8</f>
        <v>5708</v>
      </c>
      <c r="J8" s="99">
        <f>'Daily KPIs'!J8</f>
        <v>4891</v>
      </c>
      <c r="K8" s="99">
        <f>'Daily KPIs'!K8</f>
        <v>5302</v>
      </c>
      <c r="L8" s="99">
        <f>'Daily KPIs'!L8</f>
        <v>0</v>
      </c>
      <c r="M8" s="99">
        <f>'Daily KPIs'!M8</f>
        <v>0</v>
      </c>
      <c r="N8" s="99">
        <f>'Daily KPIs'!N8</f>
        <v>6170</v>
      </c>
      <c r="O8" s="99">
        <f>'Daily KPIs'!O8</f>
        <v>9145</v>
      </c>
      <c r="P8" s="99">
        <f>'Daily KPIs'!P8</f>
        <v>5874</v>
      </c>
      <c r="Q8" s="100">
        <f>'Daily KPIs'!Q8</f>
        <v>6441</v>
      </c>
      <c r="R8" s="176">
        <f>'Daily KPIs'!R8</f>
        <v>1090</v>
      </c>
      <c r="S8" s="99">
        <f>'Daily KPIs'!S8</f>
        <v>0</v>
      </c>
      <c r="T8" s="100">
        <f>'Daily KPIs'!T8</f>
        <v>0</v>
      </c>
      <c r="U8" s="99">
        <f>'Daily KPIs'!U8</f>
        <v>6165</v>
      </c>
      <c r="V8" s="99">
        <f>'Daily KPIs'!V8</f>
        <v>7578</v>
      </c>
      <c r="W8" s="101">
        <f>'Daily KPIs'!W8</f>
        <v>3069</v>
      </c>
      <c r="X8" s="101">
        <f>'Daily KPIs'!X8</f>
        <v>3921</v>
      </c>
      <c r="Y8" s="99">
        <f>'Daily KPIs'!Y8</f>
        <v>1392</v>
      </c>
      <c r="Z8" s="99">
        <f>'Daily KPIs'!Z8</f>
        <v>0</v>
      </c>
      <c r="AA8" s="99">
        <f>'Daily KPIs'!AA8</f>
        <v>0</v>
      </c>
      <c r="AB8" s="102">
        <f>'Daily KPIs'!AB8</f>
        <v>5545</v>
      </c>
      <c r="AC8" s="102">
        <f>'Daily KPIs'!AC8</f>
        <v>9728</v>
      </c>
      <c r="AD8" s="102"/>
      <c r="AE8" s="102"/>
      <c r="AF8" s="195">
        <f>'Daily KPIs'!AD8</f>
        <v>5577</v>
      </c>
      <c r="AG8" s="206">
        <f>SUM($B8:AF8)</f>
        <v>111870</v>
      </c>
      <c r="AH8" s="286">
        <v>96325</v>
      </c>
      <c r="AI8" s="287">
        <f>AG8-AH8</f>
        <v>15545</v>
      </c>
      <c r="AJ8" s="259"/>
      <c r="AK8" s="259"/>
    </row>
    <row r="9" spans="1:37" ht="20.25" x14ac:dyDescent="0.3">
      <c r="A9" s="98" t="s">
        <v>138</v>
      </c>
      <c r="B9" s="99">
        <f>'Daily KPIs'!B9</f>
        <v>471.86520000000002</v>
      </c>
      <c r="C9" s="99">
        <f>'Daily KPIs'!C9</f>
        <v>507.36840000000001</v>
      </c>
      <c r="D9" s="99">
        <f>'Daily KPIs'!D9</f>
        <v>492.096</v>
      </c>
      <c r="E9" s="99">
        <f>'Daily KPIs'!E9</f>
        <v>0</v>
      </c>
      <c r="F9" s="99">
        <f>'Daily KPIs'!F9</f>
        <v>0</v>
      </c>
      <c r="G9" s="99">
        <f>'Daily KPIs'!G9</f>
        <v>410.78399999999999</v>
      </c>
      <c r="H9" s="99">
        <f>'Daily KPIs'!H9</f>
        <v>209.88000000000002</v>
      </c>
      <c r="I9" s="99">
        <f>'Daily KPIs'!I9</f>
        <v>376.72800000000001</v>
      </c>
      <c r="J9" s="99">
        <f>'Daily KPIs'!J9</f>
        <v>322.80600000000004</v>
      </c>
      <c r="K9" s="99">
        <f>'Daily KPIs'!K9</f>
        <v>349.93200000000002</v>
      </c>
      <c r="L9" s="99">
        <f>'Daily KPIs'!L9</f>
        <v>0</v>
      </c>
      <c r="M9" s="99">
        <f>'Daily KPIs'!M9</f>
        <v>0</v>
      </c>
      <c r="N9" s="99">
        <f>'Daily KPIs'!N9</f>
        <v>407.22</v>
      </c>
      <c r="O9" s="99">
        <f>'Daily KPIs'!O9</f>
        <v>603.57000000000005</v>
      </c>
      <c r="P9" s="99">
        <f>'Daily KPIs'!P9</f>
        <v>387.68400000000003</v>
      </c>
      <c r="Q9" s="99">
        <f>'Daily KPIs'!Q9</f>
        <v>425.10599999999999</v>
      </c>
      <c r="R9" s="99">
        <f>'Daily KPIs'!R9</f>
        <v>71.94</v>
      </c>
      <c r="S9" s="99">
        <f>'Daily KPIs'!S9</f>
        <v>0</v>
      </c>
      <c r="T9" s="99">
        <f>'Daily KPIs'!T9</f>
        <v>0</v>
      </c>
      <c r="U9" s="99">
        <f>'Daily KPIs'!U9</f>
        <v>406.89000000000004</v>
      </c>
      <c r="V9" s="99">
        <f>'Daily KPIs'!V9</f>
        <v>500.14800000000002</v>
      </c>
      <c r="W9" s="99">
        <f>'Daily KPIs'!W9</f>
        <v>202.554</v>
      </c>
      <c r="X9" s="99">
        <f>'Daily KPIs'!X9</f>
        <v>258.786</v>
      </c>
      <c r="Y9" s="99">
        <f>'Daily KPIs'!Y9</f>
        <v>91.872</v>
      </c>
      <c r="Z9" s="99">
        <f>'Daily KPIs'!Z9</f>
        <v>0</v>
      </c>
      <c r="AA9" s="99">
        <f>'Daily KPIs'!AA9</f>
        <v>0</v>
      </c>
      <c r="AB9" s="99">
        <f>'Daily KPIs'!AB9</f>
        <v>365.97</v>
      </c>
      <c r="AC9" s="99">
        <f>'Daily KPIs'!AC9</f>
        <v>642.048</v>
      </c>
      <c r="AD9" s="99"/>
      <c r="AE9" s="99"/>
      <c r="AF9" s="196">
        <f>'Daily KPIs'!AD9</f>
        <v>387.63720000000001</v>
      </c>
      <c r="AG9" s="208">
        <f>SUM($B9:AF9)</f>
        <v>7892.8848000000007</v>
      </c>
      <c r="AH9" s="207"/>
      <c r="AI9" s="258"/>
    </row>
    <row r="10" spans="1:37" s="76" customFormat="1" ht="20.25" x14ac:dyDescent="0.3">
      <c r="A10" s="103" t="s">
        <v>135</v>
      </c>
      <c r="B10" s="163" t="str">
        <f>'Daily KPIs'!B10</f>
        <v>CB/VM</v>
      </c>
      <c r="C10" s="163" t="str">
        <f>'Daily KPIs'!C10</f>
        <v>VM/CB</v>
      </c>
      <c r="D10" s="163" t="str">
        <f>'Daily KPIs'!D10</f>
        <v>CB/ST</v>
      </c>
      <c r="E10" s="163">
        <f>'Daily KPIs'!E10</f>
        <v>0</v>
      </c>
      <c r="F10" s="163">
        <f>'Daily KPIs'!F10</f>
        <v>0</v>
      </c>
      <c r="G10" s="163" t="str">
        <f>'Daily KPIs'!G10</f>
        <v>ST</v>
      </c>
      <c r="H10" s="163" t="str">
        <f>'Daily KPIs'!I10</f>
        <v>CB/ShL/ShG</v>
      </c>
      <c r="I10" s="163" t="str">
        <f>'Daily KPIs'!J10</f>
        <v>ShG/ShS</v>
      </c>
      <c r="J10" s="163" t="str">
        <f>'Daily KPIs'!J10</f>
        <v>ShG/ShS</v>
      </c>
      <c r="K10" s="163" t="str">
        <f>'Daily KPIs'!K10</f>
        <v>MK/GN</v>
      </c>
      <c r="L10" s="163">
        <f>'Daily KPIs'!L10</f>
        <v>0</v>
      </c>
      <c r="M10" s="163">
        <f>'Daily KPIs'!M10</f>
        <v>0</v>
      </c>
      <c r="N10" s="163" t="str">
        <f>'Daily KPIs'!N10</f>
        <v>GN/ST</v>
      </c>
      <c r="O10" s="163" t="str">
        <f>'Daily KPIs'!O10</f>
        <v>ST</v>
      </c>
      <c r="P10" s="163" t="str">
        <f>'Daily KPIs'!P10</f>
        <v>CB/ST</v>
      </c>
      <c r="Q10" s="163" t="str">
        <f>'Daily KPIs'!Q10</f>
        <v>ST/CB</v>
      </c>
      <c r="R10" s="163" t="str">
        <f>'Daily KPIs'!R10</f>
        <v>CB</v>
      </c>
      <c r="S10" s="163">
        <f>'Daily KPIs'!S10</f>
        <v>0</v>
      </c>
      <c r="T10" s="163">
        <f>'Daily KPIs'!T10</f>
        <v>0</v>
      </c>
      <c r="U10" s="163" t="str">
        <f>'Daily KPIs'!U10</f>
        <v>SM</v>
      </c>
      <c r="V10" s="163" t="str">
        <f>'Daily KPIs'!V10</f>
        <v>CB/Ting Pk</v>
      </c>
      <c r="W10" s="163" t="str">
        <f>'Daily KPIs'!W10</f>
        <v>Ting Pk</v>
      </c>
      <c r="X10" s="163" t="str">
        <f>'Daily KPIs'!X10</f>
        <v>Martini/Royale</v>
      </c>
      <c r="Y10" s="971" t="str">
        <f>'Daily KPIs'!Y10</f>
        <v>Royale</v>
      </c>
      <c r="Z10" s="971"/>
      <c r="AA10" s="163">
        <f>'Daily KPIs'!AA10</f>
        <v>0</v>
      </c>
      <c r="AB10" s="163" t="str">
        <f>'Daily KPIs'!AB10</f>
        <v>CB</v>
      </c>
      <c r="AC10" s="163" t="str">
        <f>'Daily KPIs'!AC10</f>
        <v>CB/CB ex</v>
      </c>
      <c r="AD10" s="163"/>
      <c r="AE10" s="163"/>
      <c r="AF10" s="197" t="str">
        <f>'Daily KPIs'!AD10</f>
        <v>CB/VM</v>
      </c>
      <c r="AG10" s="209"/>
      <c r="AH10" s="210"/>
      <c r="AI10" s="258"/>
      <c r="AJ10" s="259"/>
      <c r="AK10" s="259"/>
    </row>
    <row r="11" spans="1:37" ht="18" x14ac:dyDescent="0.25">
      <c r="A11" s="104"/>
      <c r="B11" s="84"/>
      <c r="C11" s="84"/>
      <c r="D11" s="84"/>
      <c r="E11" s="84"/>
      <c r="F11" s="84"/>
      <c r="G11" s="84"/>
      <c r="H11" s="84"/>
      <c r="I11" s="84"/>
      <c r="J11" s="84"/>
      <c r="K11" s="84"/>
      <c r="L11" s="84"/>
      <c r="M11" s="93"/>
      <c r="N11" s="84"/>
      <c r="O11" s="84"/>
      <c r="P11" s="84"/>
      <c r="Q11" s="84"/>
      <c r="R11" s="84"/>
      <c r="S11" s="84"/>
      <c r="U11" s="84"/>
      <c r="X11" s="81"/>
      <c r="AF11" s="82"/>
    </row>
    <row r="12" spans="1:37" ht="18" hidden="1" x14ac:dyDescent="0.25">
      <c r="A12" s="104"/>
      <c r="B12" s="84"/>
      <c r="C12" s="84"/>
      <c r="D12" s="84"/>
      <c r="E12" s="84"/>
      <c r="F12" s="84"/>
      <c r="G12" s="84"/>
      <c r="H12" s="84"/>
      <c r="I12" s="84"/>
      <c r="J12" s="84"/>
      <c r="K12" s="84"/>
      <c r="L12" s="84"/>
      <c r="M12" s="93"/>
      <c r="N12" s="84"/>
      <c r="O12" s="84"/>
      <c r="P12" s="84"/>
      <c r="Q12" s="84"/>
      <c r="R12" s="84"/>
      <c r="S12" s="84"/>
      <c r="U12" s="84"/>
      <c r="AF12" s="82"/>
    </row>
    <row r="13" spans="1:37" ht="18" x14ac:dyDescent="0.25">
      <c r="A13" s="105" t="s">
        <v>191</v>
      </c>
      <c r="B13" s="81"/>
      <c r="C13" s="81"/>
      <c r="D13" s="81"/>
      <c r="E13" s="81"/>
      <c r="F13" s="81"/>
      <c r="G13" s="81"/>
      <c r="H13" s="81"/>
      <c r="I13" s="81"/>
      <c r="J13" s="81"/>
      <c r="K13" s="81"/>
      <c r="L13" s="81"/>
      <c r="M13" s="94"/>
      <c r="N13" s="81"/>
      <c r="O13" s="81"/>
      <c r="P13" s="81"/>
      <c r="Q13" s="81"/>
      <c r="R13" s="81"/>
      <c r="S13" s="81"/>
      <c r="T13" s="81"/>
      <c r="U13" s="81"/>
      <c r="V13" s="81"/>
      <c r="W13" s="81"/>
      <c r="X13" s="81"/>
      <c r="Y13" s="81"/>
      <c r="Z13" s="81"/>
      <c r="AA13" s="81"/>
      <c r="AB13" s="81"/>
      <c r="AC13" s="81"/>
      <c r="AD13" s="81"/>
      <c r="AE13" s="81"/>
      <c r="AF13" s="81"/>
    </row>
    <row r="14" spans="1:37" s="77" customFormat="1" ht="18" x14ac:dyDescent="0.25">
      <c r="A14" s="106" t="s">
        <v>123</v>
      </c>
      <c r="B14" s="107">
        <v>1</v>
      </c>
      <c r="C14" s="107">
        <v>2</v>
      </c>
      <c r="D14" s="107">
        <v>3</v>
      </c>
      <c r="E14" s="107">
        <v>4</v>
      </c>
      <c r="F14" s="107">
        <v>5</v>
      </c>
      <c r="G14" s="107">
        <v>6</v>
      </c>
      <c r="H14" s="107">
        <v>7</v>
      </c>
      <c r="I14" s="107">
        <v>8</v>
      </c>
      <c r="J14" s="107">
        <v>9</v>
      </c>
      <c r="K14" s="107">
        <v>10</v>
      </c>
      <c r="L14" s="107">
        <v>11</v>
      </c>
      <c r="M14" s="108">
        <v>12</v>
      </c>
      <c r="N14" s="107">
        <v>13</v>
      </c>
      <c r="O14" s="107">
        <v>14</v>
      </c>
      <c r="P14" s="107">
        <v>15</v>
      </c>
      <c r="Q14" s="107">
        <v>16</v>
      </c>
      <c r="R14" s="107">
        <v>17</v>
      </c>
      <c r="S14" s="107">
        <v>18</v>
      </c>
      <c r="T14" s="107">
        <v>19</v>
      </c>
      <c r="U14" s="107">
        <v>20</v>
      </c>
      <c r="V14" s="107">
        <v>21</v>
      </c>
      <c r="W14" s="107">
        <v>22</v>
      </c>
      <c r="X14" s="107">
        <v>23</v>
      </c>
      <c r="Y14" s="107">
        <v>24</v>
      </c>
      <c r="Z14" s="107">
        <v>25</v>
      </c>
      <c r="AA14" s="107">
        <v>26</v>
      </c>
      <c r="AB14" s="107">
        <v>27</v>
      </c>
      <c r="AC14" s="107">
        <v>28</v>
      </c>
      <c r="AD14" s="107">
        <v>29</v>
      </c>
      <c r="AE14" s="107">
        <v>30</v>
      </c>
      <c r="AF14" s="107">
        <v>31</v>
      </c>
      <c r="AG14" s="211" t="s">
        <v>85</v>
      </c>
      <c r="AH14" s="212"/>
      <c r="AI14" s="260"/>
      <c r="AJ14" s="260"/>
      <c r="AK14" s="260"/>
    </row>
    <row r="15" spans="1:37" ht="18" x14ac:dyDescent="0.25">
      <c r="A15" s="109" t="s">
        <v>139</v>
      </c>
      <c r="B15" s="110" t="str">
        <f>+'Water '!$C7</f>
        <v>0</v>
      </c>
      <c r="C15" s="110" t="str">
        <f>+'Water '!$C8</f>
        <v>0</v>
      </c>
      <c r="D15" s="110" t="str">
        <f>+'Water '!$C9</f>
        <v>0</v>
      </c>
      <c r="E15" s="110" t="str">
        <f>+'Water '!$C10</f>
        <v>0</v>
      </c>
      <c r="F15" s="110" t="str">
        <f>+'Water '!$C11</f>
        <v>0</v>
      </c>
      <c r="G15" s="110" t="str">
        <f>+'Water '!$C12</f>
        <v>0</v>
      </c>
      <c r="H15" s="110" t="str">
        <f>+'Water '!$C13</f>
        <v>0</v>
      </c>
      <c r="I15" s="110" t="str">
        <f>+'Water '!$C14</f>
        <v>0</v>
      </c>
      <c r="J15" s="110" t="str">
        <f>+'Water '!$C15</f>
        <v>0</v>
      </c>
      <c r="K15" s="110" t="str">
        <f>+'Water '!$C16</f>
        <v>0</v>
      </c>
      <c r="L15" s="110" t="str">
        <f>+'Water '!$C17</f>
        <v>0</v>
      </c>
      <c r="M15" s="111" t="str">
        <f>+'Water '!$C18</f>
        <v>0</v>
      </c>
      <c r="N15" s="111" t="str">
        <f>+'Water '!$C18</f>
        <v>0</v>
      </c>
      <c r="O15" s="110" t="str">
        <f>+'Water '!$C20</f>
        <v>0</v>
      </c>
      <c r="P15" s="110" t="str">
        <f>+'Water '!$C21</f>
        <v>0</v>
      </c>
      <c r="Q15" s="110" t="str">
        <f>+'Water '!$C22</f>
        <v>0</v>
      </c>
      <c r="R15" s="110" t="str">
        <f>+'Water '!$C23</f>
        <v>0</v>
      </c>
      <c r="S15" s="110" t="str">
        <f>+'Water '!$C24</f>
        <v>0</v>
      </c>
      <c r="T15" s="110" t="str">
        <f>+'Water '!$C25</f>
        <v>0</v>
      </c>
      <c r="U15" s="110" t="str">
        <f>+'Water '!$C26</f>
        <v>0</v>
      </c>
      <c r="V15" s="110" t="str">
        <f>+'Water '!$C27</f>
        <v>0</v>
      </c>
      <c r="W15" s="110" t="str">
        <f>+'Water '!$C28</f>
        <v>0</v>
      </c>
      <c r="X15" s="110" t="str">
        <f>+'Water '!$C29</f>
        <v>0</v>
      </c>
      <c r="Y15" s="110" t="str">
        <f>+'Water '!$C30</f>
        <v>0</v>
      </c>
      <c r="Z15" s="110" t="str">
        <f>+'Water '!$C31</f>
        <v>0</v>
      </c>
      <c r="AA15" s="110" t="str">
        <f>+'Water '!$C32</f>
        <v>0</v>
      </c>
      <c r="AB15" s="110" t="str">
        <f>+'Water '!$C33</f>
        <v>0</v>
      </c>
      <c r="AC15" s="110" t="str">
        <f>+'Water '!$C34</f>
        <v>0</v>
      </c>
      <c r="AD15" s="110" t="str">
        <f>+'Water '!$C31</f>
        <v>0</v>
      </c>
      <c r="AE15" s="110" t="str">
        <f>+'Water '!$C32</f>
        <v>0</v>
      </c>
      <c r="AF15" s="110" t="str">
        <f>+'Water '!$C33</f>
        <v>0</v>
      </c>
      <c r="AG15" s="213">
        <f>SUM($B15:AF15)</f>
        <v>0</v>
      </c>
      <c r="AH15" s="214"/>
    </row>
    <row r="16" spans="1:37" ht="18" x14ac:dyDescent="0.25">
      <c r="A16" s="109" t="s">
        <v>124</v>
      </c>
      <c r="B16" s="110">
        <f>+'Water '!$D7</f>
        <v>266</v>
      </c>
      <c r="C16" s="110">
        <f>+'Water '!$D8</f>
        <v>269</v>
      </c>
      <c r="D16" s="110">
        <f>+'Water '!$D9</f>
        <v>7</v>
      </c>
      <c r="E16" s="110">
        <f>+'Water '!$D10</f>
        <v>21</v>
      </c>
      <c r="F16" s="110">
        <f>+'Water '!$D11</f>
        <v>1</v>
      </c>
      <c r="G16" s="110">
        <f>+'Water '!$D12</f>
        <v>125</v>
      </c>
      <c r="H16" s="110">
        <f>+'Water '!$D13</f>
        <v>267</v>
      </c>
      <c r="I16" s="110">
        <f>+'Water '!$D14</f>
        <v>1</v>
      </c>
      <c r="J16" s="110">
        <f>+'Water '!$D15</f>
        <v>213</v>
      </c>
      <c r="K16" s="110">
        <f>+'Water '!$D16</f>
        <v>234</v>
      </c>
      <c r="L16" s="110" t="str">
        <f>+'Water '!$D17</f>
        <v>0</v>
      </c>
      <c r="M16" s="111">
        <f>+'Water '!$D18</f>
        <v>249</v>
      </c>
      <c r="N16" s="110">
        <f>+'Water '!$D19</f>
        <v>200</v>
      </c>
      <c r="O16" s="110">
        <f>+'Water '!$D20</f>
        <v>197</v>
      </c>
      <c r="P16" s="110">
        <f>+'Water '!$D21</f>
        <v>358</v>
      </c>
      <c r="Q16" s="110">
        <f>+'Water '!$D22</f>
        <v>136</v>
      </c>
      <c r="R16" s="110">
        <f>+'Water '!$D23</f>
        <v>74</v>
      </c>
      <c r="S16" s="110">
        <f>+'Water '!$D24</f>
        <v>30</v>
      </c>
      <c r="T16" s="110">
        <f>+'Water '!$D25</f>
        <v>42</v>
      </c>
      <c r="U16" s="110">
        <f>+'Water '!$D26</f>
        <v>131</v>
      </c>
      <c r="V16" s="110">
        <f>+'Water '!$D27</f>
        <v>289</v>
      </c>
      <c r="W16" s="110">
        <f>+'Water '!$D28</f>
        <v>179</v>
      </c>
      <c r="X16" s="110">
        <f>+'Water '!$D29</f>
        <v>149</v>
      </c>
      <c r="Y16" s="110">
        <f>+'Water '!$D30</f>
        <v>233</v>
      </c>
      <c r="Z16" s="110">
        <f>+'Water '!$D31</f>
        <v>127</v>
      </c>
      <c r="AA16" s="110" t="str">
        <f>+'Water '!$D32</f>
        <v>0</v>
      </c>
      <c r="AB16" s="110">
        <f>+'Water '!$D33</f>
        <v>73</v>
      </c>
      <c r="AC16" s="110">
        <f>+'Water '!$D34</f>
        <v>123</v>
      </c>
      <c r="AD16" s="110">
        <f>+'Water '!$D31</f>
        <v>127</v>
      </c>
      <c r="AE16" s="110" t="str">
        <f>+'Water '!$D32</f>
        <v>0</v>
      </c>
      <c r="AF16" s="110">
        <f>+'Water '!$D33</f>
        <v>73</v>
      </c>
      <c r="AG16" s="213">
        <f>SUM($B16:AF16)</f>
        <v>4194</v>
      </c>
      <c r="AH16" s="214"/>
    </row>
    <row r="17" spans="1:37" ht="18" x14ac:dyDescent="0.25">
      <c r="A17" s="109" t="s">
        <v>125</v>
      </c>
      <c r="B17" s="112">
        <f>+'Water '!$E7</f>
        <v>177</v>
      </c>
      <c r="C17" s="113">
        <f>+'Water '!$E8</f>
        <v>213</v>
      </c>
      <c r="D17" s="112">
        <f>+'Water '!$E9</f>
        <v>143</v>
      </c>
      <c r="E17" s="112">
        <f>+'Water '!$E10</f>
        <v>184</v>
      </c>
      <c r="F17" s="112">
        <f>+'Water '!$E11</f>
        <v>41</v>
      </c>
      <c r="G17" s="112">
        <f>+'Water '!$E12</f>
        <v>188</v>
      </c>
      <c r="H17" s="114">
        <f>+'Water '!$E13</f>
        <v>124</v>
      </c>
      <c r="I17" s="113">
        <f>+'Water '!$E14</f>
        <v>117</v>
      </c>
      <c r="J17" s="114">
        <f>+'Water '!$E15</f>
        <v>195</v>
      </c>
      <c r="K17" s="114">
        <f>+'Water '!$E16</f>
        <v>179</v>
      </c>
      <c r="L17" s="114">
        <f>+'Water '!$E17</f>
        <v>97</v>
      </c>
      <c r="M17" s="115">
        <f>+'Water '!$E18</f>
        <v>216</v>
      </c>
      <c r="N17" s="112">
        <f>+'Water '!$E19</f>
        <v>80</v>
      </c>
      <c r="O17" s="114">
        <f>+'Water '!$E20</f>
        <v>139</v>
      </c>
      <c r="P17" s="114">
        <f>+'Water '!$E21</f>
        <v>168</v>
      </c>
      <c r="Q17" s="114">
        <f>+'Water '!$E22</f>
        <v>197</v>
      </c>
      <c r="R17" s="114">
        <f>+'Water '!$E23</f>
        <v>262</v>
      </c>
      <c r="S17" s="114">
        <f>+'Water '!$E24</f>
        <v>107</v>
      </c>
      <c r="T17" s="114">
        <f>+'Water '!$E25</f>
        <v>67</v>
      </c>
      <c r="U17" s="114">
        <f>+'Water '!$E26</f>
        <v>157</v>
      </c>
      <c r="V17" s="114">
        <f>+'Water '!$E27</f>
        <v>121</v>
      </c>
      <c r="W17" s="114">
        <f>+'Water '!$E28</f>
        <v>215</v>
      </c>
      <c r="X17" s="114">
        <f>+'Water '!$E29</f>
        <v>203</v>
      </c>
      <c r="Y17" s="116">
        <f>+'Water '!$E30</f>
        <v>204</v>
      </c>
      <c r="Z17" s="116">
        <f>+'Water '!$E31</f>
        <v>136</v>
      </c>
      <c r="AA17" s="112" t="str">
        <f>+'Water '!$E32</f>
        <v>0</v>
      </c>
      <c r="AB17" s="114">
        <f>+'Water '!$E33</f>
        <v>242</v>
      </c>
      <c r="AC17" s="114">
        <f>+'Water '!$E34</f>
        <v>218</v>
      </c>
      <c r="AD17" s="116">
        <f>+'Water '!$E31</f>
        <v>136</v>
      </c>
      <c r="AE17" s="112" t="str">
        <f>+'Water '!$E32</f>
        <v>0</v>
      </c>
      <c r="AF17" s="114">
        <f>+'Water '!$E33</f>
        <v>242</v>
      </c>
      <c r="AG17" s="215">
        <f>SUM($B17:AF17)</f>
        <v>4768</v>
      </c>
      <c r="AH17" s="216"/>
      <c r="AI17" s="261"/>
    </row>
    <row r="18" spans="1:37" s="78" customFormat="1" ht="20.25" x14ac:dyDescent="0.3">
      <c r="A18" s="117" t="s">
        <v>167</v>
      </c>
      <c r="B18" s="118">
        <f>SUM(B15:B17)</f>
        <v>443</v>
      </c>
      <c r="C18" s="118">
        <f t="shared" ref="C18:AC18" si="0">SUM(C15:C17)</f>
        <v>482</v>
      </c>
      <c r="D18" s="118">
        <f t="shared" si="0"/>
        <v>150</v>
      </c>
      <c r="E18" s="118">
        <f t="shared" si="0"/>
        <v>205</v>
      </c>
      <c r="F18" s="118">
        <f t="shared" si="0"/>
        <v>42</v>
      </c>
      <c r="G18" s="118">
        <f t="shared" si="0"/>
        <v>313</v>
      </c>
      <c r="H18" s="118">
        <f t="shared" si="0"/>
        <v>391</v>
      </c>
      <c r="I18" s="118">
        <f t="shared" si="0"/>
        <v>118</v>
      </c>
      <c r="J18" s="118">
        <f t="shared" si="0"/>
        <v>408</v>
      </c>
      <c r="K18" s="118">
        <f t="shared" si="0"/>
        <v>413</v>
      </c>
      <c r="L18" s="118">
        <f t="shared" si="0"/>
        <v>97</v>
      </c>
      <c r="M18" s="118">
        <f t="shared" si="0"/>
        <v>465</v>
      </c>
      <c r="N18" s="175">
        <f t="shared" si="0"/>
        <v>280</v>
      </c>
      <c r="O18" s="175">
        <f t="shared" si="0"/>
        <v>336</v>
      </c>
      <c r="P18" s="175">
        <f t="shared" si="0"/>
        <v>526</v>
      </c>
      <c r="Q18" s="175">
        <f t="shared" si="0"/>
        <v>333</v>
      </c>
      <c r="R18" s="175">
        <f t="shared" si="0"/>
        <v>336</v>
      </c>
      <c r="S18" s="175">
        <f t="shared" si="0"/>
        <v>137</v>
      </c>
      <c r="T18" s="175">
        <f t="shared" si="0"/>
        <v>109</v>
      </c>
      <c r="U18" s="175">
        <f t="shared" si="0"/>
        <v>288</v>
      </c>
      <c r="V18" s="175">
        <f t="shared" si="0"/>
        <v>410</v>
      </c>
      <c r="W18" s="175">
        <f t="shared" si="0"/>
        <v>394</v>
      </c>
      <c r="X18" s="175">
        <f t="shared" si="0"/>
        <v>352</v>
      </c>
      <c r="Y18" s="175">
        <f t="shared" si="0"/>
        <v>437</v>
      </c>
      <c r="Z18" s="175">
        <f t="shared" si="0"/>
        <v>263</v>
      </c>
      <c r="AA18" s="175">
        <f t="shared" si="0"/>
        <v>0</v>
      </c>
      <c r="AB18" s="175">
        <f t="shared" si="0"/>
        <v>315</v>
      </c>
      <c r="AC18" s="175">
        <f t="shared" si="0"/>
        <v>341</v>
      </c>
      <c r="AD18" s="175">
        <f>SUM(AD15:AD17)</f>
        <v>263</v>
      </c>
      <c r="AE18" s="175">
        <f>SUM(AE15:AE17)</f>
        <v>0</v>
      </c>
      <c r="AF18" s="175">
        <f>SUM(AF15:AF17)</f>
        <v>315</v>
      </c>
      <c r="AG18" s="217">
        <f>SUM($B18:AF18)</f>
        <v>8962</v>
      </c>
      <c r="AH18" s="217"/>
      <c r="AI18" s="262"/>
      <c r="AJ18" s="263"/>
      <c r="AK18" s="263"/>
    </row>
    <row r="19" spans="1:37" ht="18" x14ac:dyDescent="0.25">
      <c r="A19" s="104"/>
      <c r="B19" s="119"/>
      <c r="C19" s="119"/>
      <c r="D19" s="119"/>
      <c r="E19" s="119"/>
      <c r="F19" s="119"/>
      <c r="G19" s="119"/>
      <c r="H19" s="119"/>
      <c r="I19" s="119"/>
      <c r="J19" s="119"/>
      <c r="K19" s="119"/>
      <c r="L19" s="119"/>
      <c r="M19" s="120"/>
      <c r="N19" s="119"/>
      <c r="O19" s="119"/>
      <c r="P19" s="119"/>
      <c r="Q19" s="119"/>
      <c r="R19" s="119"/>
      <c r="S19" s="119"/>
      <c r="T19" s="119"/>
      <c r="U19" s="119"/>
      <c r="V19" s="119"/>
      <c r="W19" s="119"/>
      <c r="X19" s="119"/>
      <c r="Y19" s="119"/>
      <c r="Z19" s="119"/>
      <c r="AA19" s="119"/>
      <c r="AB19" s="119"/>
      <c r="AC19" s="119"/>
      <c r="AD19" s="119"/>
      <c r="AE19" s="119"/>
      <c r="AF19" s="119"/>
      <c r="AG19" s="213"/>
      <c r="AH19" s="213"/>
      <c r="AI19" s="264"/>
    </row>
    <row r="20" spans="1:37" ht="18" hidden="1" x14ac:dyDescent="0.25">
      <c r="A20" s="109"/>
      <c r="B20" s="119"/>
      <c r="C20" s="119"/>
      <c r="D20" s="119"/>
      <c r="E20" s="119"/>
      <c r="F20" s="119"/>
      <c r="G20" s="119"/>
      <c r="H20" s="119"/>
      <c r="I20" s="119"/>
      <c r="J20" s="119"/>
      <c r="K20" s="119"/>
      <c r="L20" s="119"/>
      <c r="M20" s="120"/>
      <c r="N20" s="95"/>
      <c r="O20" s="95"/>
      <c r="P20" s="95"/>
      <c r="Q20" s="95"/>
      <c r="R20" s="95"/>
      <c r="S20" s="95"/>
      <c r="T20" s="95"/>
      <c r="U20" s="95"/>
      <c r="V20" s="95"/>
      <c r="W20" s="95"/>
      <c r="X20" s="95"/>
      <c r="Y20" s="95"/>
      <c r="Z20" s="95"/>
      <c r="AA20" s="95"/>
      <c r="AB20" s="95"/>
      <c r="AC20" s="95"/>
      <c r="AD20" s="95"/>
      <c r="AE20" s="95"/>
      <c r="AF20" s="95"/>
      <c r="AG20" s="213">
        <f>SUM($B20:AF20)</f>
        <v>0</v>
      </c>
      <c r="AH20" s="213"/>
      <c r="AI20" s="264"/>
    </row>
    <row r="21" spans="1:37" ht="18" x14ac:dyDescent="0.25">
      <c r="A21" s="121" t="s">
        <v>151</v>
      </c>
      <c r="B21" s="119">
        <f>0.73*(B96+B15)</f>
        <v>137.24</v>
      </c>
      <c r="C21" s="119">
        <f t="shared" ref="C21:AC21" si="1">0.73*(C96+C15)</f>
        <v>160.6</v>
      </c>
      <c r="D21" s="119">
        <f t="shared" si="1"/>
        <v>108.77</v>
      </c>
      <c r="E21" s="119">
        <f>0.73*(E96+E15)</f>
        <v>141.62</v>
      </c>
      <c r="F21" s="119">
        <f t="shared" si="1"/>
        <v>30.66</v>
      </c>
      <c r="G21" s="119">
        <f t="shared" si="1"/>
        <v>143.81</v>
      </c>
      <c r="H21" s="119">
        <f t="shared" si="1"/>
        <v>94.899999999999991</v>
      </c>
      <c r="I21" s="119">
        <f t="shared" si="1"/>
        <v>89.789999999999992</v>
      </c>
      <c r="J21" s="119">
        <f t="shared" si="1"/>
        <v>148.91999999999999</v>
      </c>
      <c r="K21" s="119">
        <f t="shared" si="1"/>
        <v>137.24</v>
      </c>
      <c r="L21" s="119">
        <f t="shared" si="1"/>
        <v>73</v>
      </c>
      <c r="M21" s="119">
        <f t="shared" si="1"/>
        <v>164.98</v>
      </c>
      <c r="N21" s="119">
        <f>0.73*(N96+N15)</f>
        <v>61.32</v>
      </c>
      <c r="O21" s="119">
        <f>0.73*(O96+O15)</f>
        <v>61.32</v>
      </c>
      <c r="P21" s="119">
        <f t="shared" si="1"/>
        <v>61.32</v>
      </c>
      <c r="Q21" s="119">
        <f>0.73*(Q96+Q15)</f>
        <v>61.32</v>
      </c>
      <c r="R21" s="119">
        <f t="shared" si="1"/>
        <v>61.32</v>
      </c>
      <c r="S21" s="119">
        <f t="shared" si="1"/>
        <v>61.32</v>
      </c>
      <c r="T21" s="119">
        <f t="shared" si="1"/>
        <v>51.83</v>
      </c>
      <c r="U21" s="119">
        <f t="shared" si="1"/>
        <v>123.36999999999999</v>
      </c>
      <c r="V21" s="119">
        <f t="shared" si="1"/>
        <v>89.06</v>
      </c>
      <c r="W21" s="119">
        <f>0.73*(W96+W15)</f>
        <v>164.25</v>
      </c>
      <c r="X21" s="119">
        <f t="shared" si="1"/>
        <v>154.76</v>
      </c>
      <c r="Y21" s="119">
        <f>0.73*(Y96+Y15)</f>
        <v>185.42</v>
      </c>
      <c r="Z21" s="119">
        <f t="shared" si="1"/>
        <v>75.19</v>
      </c>
      <c r="AA21" s="119">
        <f t="shared" si="1"/>
        <v>75.19</v>
      </c>
      <c r="AB21" s="119">
        <f t="shared" si="1"/>
        <v>75.19</v>
      </c>
      <c r="AC21" s="119">
        <f t="shared" si="1"/>
        <v>75.19</v>
      </c>
      <c r="AD21" s="119">
        <f>0.73*(AD96+AD15)</f>
        <v>75.19</v>
      </c>
      <c r="AE21" s="119">
        <f>0.73*(AE96+AE15)</f>
        <v>75.19</v>
      </c>
      <c r="AF21" s="119">
        <f>0.73*(AF96+AF15)</f>
        <v>91.98</v>
      </c>
      <c r="AG21" s="213">
        <f>SUM($B21:AF21)</f>
        <v>3111.2599999999998</v>
      </c>
      <c r="AH21" s="218">
        <f>AG24+AG37+AG28</f>
        <v>9053</v>
      </c>
      <c r="AI21" s="264"/>
      <c r="AJ21" s="265">
        <f>(AH21*10)/AG9</f>
        <v>11.469824062299756</v>
      </c>
    </row>
    <row r="22" spans="1:37" ht="18" x14ac:dyDescent="0.25">
      <c r="A22" s="104"/>
      <c r="B22" s="95"/>
      <c r="C22" s="95"/>
      <c r="D22" s="95"/>
      <c r="E22" s="119">
        <f>0.73*(E97+E16)</f>
        <v>15.33</v>
      </c>
      <c r="F22" s="95"/>
      <c r="G22" s="95"/>
      <c r="H22" s="95"/>
      <c r="I22" s="95"/>
      <c r="J22" s="95"/>
      <c r="K22" s="95"/>
      <c r="L22" s="95"/>
      <c r="M22" s="96"/>
      <c r="N22" s="95"/>
      <c r="O22" s="95"/>
      <c r="P22" s="95"/>
      <c r="Q22" s="95"/>
      <c r="R22" s="95"/>
      <c r="S22" s="95"/>
      <c r="T22" s="95"/>
      <c r="U22" s="95"/>
      <c r="V22" s="95"/>
      <c r="W22" s="95"/>
      <c r="X22" s="95"/>
      <c r="Y22" s="95"/>
      <c r="Z22" s="95"/>
      <c r="AA22" s="95"/>
      <c r="AB22" s="95"/>
      <c r="AC22" s="95"/>
      <c r="AD22" s="95"/>
      <c r="AE22" s="95"/>
      <c r="AF22" s="95"/>
      <c r="AG22" s="204"/>
      <c r="AH22" s="204"/>
      <c r="AI22" s="264"/>
    </row>
    <row r="23" spans="1:37" ht="18" x14ac:dyDescent="0.25">
      <c r="A23" s="121" t="s">
        <v>130</v>
      </c>
      <c r="B23" s="119" t="str">
        <f>'Water '!R7</f>
        <v>0</v>
      </c>
      <c r="C23" s="119" t="str">
        <f>'Water '!R8</f>
        <v>0</v>
      </c>
      <c r="D23" s="119" t="str">
        <f>'Water '!R9</f>
        <v>0</v>
      </c>
      <c r="E23" s="119" t="str">
        <f>'Water '!R10</f>
        <v>0</v>
      </c>
      <c r="F23" s="119" t="str">
        <f>'Water '!R11</f>
        <v>0</v>
      </c>
      <c r="G23" s="119" t="str">
        <f>'Water '!R12</f>
        <v>0</v>
      </c>
      <c r="H23" s="119" t="str">
        <f>'Water '!R13</f>
        <v>0</v>
      </c>
      <c r="I23" s="119" t="str">
        <f>'Water '!R14</f>
        <v>0</v>
      </c>
      <c r="J23" s="119" t="str">
        <f>'Water '!R15</f>
        <v>0</v>
      </c>
      <c r="K23" s="119" t="str">
        <f>'Water '!R16</f>
        <v>0</v>
      </c>
      <c r="L23" s="119" t="str">
        <f>'Water '!R17</f>
        <v>0</v>
      </c>
      <c r="M23" s="120" t="str">
        <f>'Water '!R18</f>
        <v>0</v>
      </c>
      <c r="N23" s="119" t="str">
        <f>'Water '!R19</f>
        <v>0</v>
      </c>
      <c r="O23" s="119" t="str">
        <f>'Water '!R20</f>
        <v>0</v>
      </c>
      <c r="P23" s="119" t="str">
        <f>'Water '!R21</f>
        <v>0</v>
      </c>
      <c r="Q23" s="119" t="str">
        <f>'Water '!R22</f>
        <v>0</v>
      </c>
      <c r="R23" s="119" t="str">
        <f>'Water '!R23</f>
        <v>0</v>
      </c>
      <c r="S23" s="119" t="str">
        <f>'Water '!R24</f>
        <v>0</v>
      </c>
      <c r="T23" s="119" t="str">
        <f>'Water '!R25</f>
        <v>0</v>
      </c>
      <c r="U23" s="119" t="str">
        <f>'Water '!R26</f>
        <v>0</v>
      </c>
      <c r="V23" s="119" t="str">
        <f>'Water '!R27</f>
        <v>0</v>
      </c>
      <c r="W23" s="119" t="str">
        <f>'Water '!R28</f>
        <v>0</v>
      </c>
      <c r="X23" s="119" t="str">
        <f>'Water '!R29</f>
        <v>0</v>
      </c>
      <c r="Y23" s="119" t="str">
        <f>'Water '!R30</f>
        <v>0</v>
      </c>
      <c r="Z23" s="119" t="str">
        <f>'Water '!R31</f>
        <v>0</v>
      </c>
      <c r="AA23" s="119" t="str">
        <f>'Water '!R32</f>
        <v>0</v>
      </c>
      <c r="AB23" s="119" t="str">
        <f>'Water '!R33</f>
        <v>0</v>
      </c>
      <c r="AC23" s="119" t="str">
        <f>'Water '!R34</f>
        <v>0</v>
      </c>
      <c r="AD23" s="119" t="str">
        <f>'Water '!V31</f>
        <v>0</v>
      </c>
      <c r="AE23" s="119" t="str">
        <f>'Water '!V32</f>
        <v>0</v>
      </c>
      <c r="AF23" s="119" t="str">
        <f>'Water '!V33</f>
        <v>0</v>
      </c>
      <c r="AG23" s="213">
        <f>SUM($B23:AF23)</f>
        <v>0</v>
      </c>
      <c r="AH23" s="213"/>
      <c r="AI23" s="264"/>
    </row>
    <row r="24" spans="1:37" ht="18" x14ac:dyDescent="0.25">
      <c r="A24" s="122" t="s">
        <v>165</v>
      </c>
      <c r="B24" s="112">
        <f>'Water '!H7</f>
        <v>218</v>
      </c>
      <c r="C24" s="112">
        <f>'Water '!H8</f>
        <v>247</v>
      </c>
      <c r="D24" s="112">
        <f>'Water '!H9</f>
        <v>186</v>
      </c>
      <c r="E24" s="112">
        <f>'Water '!H10</f>
        <v>81</v>
      </c>
      <c r="F24" s="112">
        <f>'Water '!H11</f>
        <v>89</v>
      </c>
      <c r="G24" s="112">
        <f>'Water '!H12</f>
        <v>226</v>
      </c>
      <c r="H24" s="112">
        <f>'Water '!H13</f>
        <v>145</v>
      </c>
      <c r="I24" s="112">
        <f>'Water '!H14</f>
        <v>224</v>
      </c>
      <c r="J24" s="112">
        <f>'Water '!H15</f>
        <v>212</v>
      </c>
      <c r="K24" s="112">
        <f>'Water '!H16</f>
        <v>187</v>
      </c>
      <c r="L24" s="112">
        <f>'Water '!H17</f>
        <v>100</v>
      </c>
      <c r="M24" s="123">
        <f>'Water '!H18</f>
        <v>432</v>
      </c>
      <c r="N24" s="112">
        <f>'Water '!H19</f>
        <v>75</v>
      </c>
      <c r="O24" s="112">
        <f>'Water '!H20</f>
        <v>471</v>
      </c>
      <c r="P24" s="112">
        <f>'Water '!H21</f>
        <v>187</v>
      </c>
      <c r="Q24" s="112">
        <f>'Water '!H22</f>
        <v>156</v>
      </c>
      <c r="R24" s="112">
        <f>'Water '!H23</f>
        <v>192</v>
      </c>
      <c r="S24" s="112">
        <f>'Water '!H24</f>
        <v>71</v>
      </c>
      <c r="T24" s="112">
        <f>'Water '!H25</f>
        <v>49</v>
      </c>
      <c r="U24" s="112">
        <f>'Water '!H26</f>
        <v>216</v>
      </c>
      <c r="V24" s="112">
        <f>'Water '!H27</f>
        <v>311</v>
      </c>
      <c r="W24" s="112">
        <f>'Water '!H28</f>
        <v>136</v>
      </c>
      <c r="X24" s="112">
        <f>'Water '!H29</f>
        <v>159</v>
      </c>
      <c r="Y24" s="112">
        <f>'Water '!H30</f>
        <v>158</v>
      </c>
      <c r="Z24" s="112">
        <f>'Water '!H31</f>
        <v>82</v>
      </c>
      <c r="AA24" s="112">
        <f>'Water '!H32</f>
        <v>31</v>
      </c>
      <c r="AB24" s="112">
        <f>'Water '!H33</f>
        <v>224</v>
      </c>
      <c r="AC24" s="112">
        <f>'Water '!H34</f>
        <v>236</v>
      </c>
      <c r="AD24" s="112" t="str">
        <f>'Water '!L31</f>
        <v>0</v>
      </c>
      <c r="AE24" s="112" t="str">
        <f>'Water '!L32</f>
        <v>0</v>
      </c>
      <c r="AF24" s="112" t="str">
        <f>'Water '!L33</f>
        <v>0</v>
      </c>
      <c r="AG24" s="215">
        <f>SUM($B24:AF24)</f>
        <v>5101</v>
      </c>
      <c r="AH24" s="215"/>
      <c r="AI24" s="215"/>
    </row>
    <row r="25" spans="1:37" s="78" customFormat="1" ht="20.25" x14ac:dyDescent="0.3">
      <c r="A25" s="124" t="s">
        <v>152</v>
      </c>
      <c r="B25" s="118">
        <f>SUM(B23:B24)</f>
        <v>218</v>
      </c>
      <c r="C25" s="118">
        <f t="shared" ref="C25:AC25" si="2">SUM(C23:C24)</f>
        <v>247</v>
      </c>
      <c r="D25" s="118">
        <f t="shared" si="2"/>
        <v>186</v>
      </c>
      <c r="E25" s="118">
        <f t="shared" si="2"/>
        <v>81</v>
      </c>
      <c r="F25" s="118">
        <f t="shared" si="2"/>
        <v>89</v>
      </c>
      <c r="G25" s="118">
        <f t="shared" si="2"/>
        <v>226</v>
      </c>
      <c r="H25" s="118">
        <f t="shared" si="2"/>
        <v>145</v>
      </c>
      <c r="I25" s="118">
        <f t="shared" si="2"/>
        <v>224</v>
      </c>
      <c r="J25" s="118">
        <f t="shared" si="2"/>
        <v>212</v>
      </c>
      <c r="K25" s="118">
        <f t="shared" si="2"/>
        <v>187</v>
      </c>
      <c r="L25" s="118">
        <f t="shared" si="2"/>
        <v>100</v>
      </c>
      <c r="M25" s="118">
        <f t="shared" si="2"/>
        <v>432</v>
      </c>
      <c r="N25" s="118">
        <f t="shared" si="2"/>
        <v>75</v>
      </c>
      <c r="O25" s="118">
        <f t="shared" si="2"/>
        <v>471</v>
      </c>
      <c r="P25" s="118">
        <f t="shared" si="2"/>
        <v>187</v>
      </c>
      <c r="Q25" s="118">
        <f t="shared" si="2"/>
        <v>156</v>
      </c>
      <c r="R25" s="118">
        <f t="shared" si="2"/>
        <v>192</v>
      </c>
      <c r="S25" s="118">
        <f t="shared" si="2"/>
        <v>71</v>
      </c>
      <c r="T25" s="118">
        <f t="shared" si="2"/>
        <v>49</v>
      </c>
      <c r="U25" s="118">
        <f t="shared" si="2"/>
        <v>216</v>
      </c>
      <c r="V25" s="118">
        <f t="shared" si="2"/>
        <v>311</v>
      </c>
      <c r="W25" s="118">
        <f t="shared" si="2"/>
        <v>136</v>
      </c>
      <c r="X25" s="118">
        <f t="shared" si="2"/>
        <v>159</v>
      </c>
      <c r="Y25" s="118">
        <f t="shared" si="2"/>
        <v>158</v>
      </c>
      <c r="Z25" s="118">
        <f t="shared" si="2"/>
        <v>82</v>
      </c>
      <c r="AA25" s="118">
        <f t="shared" si="2"/>
        <v>31</v>
      </c>
      <c r="AB25" s="118">
        <f t="shared" si="2"/>
        <v>224</v>
      </c>
      <c r="AC25" s="118">
        <f t="shared" si="2"/>
        <v>236</v>
      </c>
      <c r="AD25" s="118">
        <f>SUM(AD23:AD24)</f>
        <v>0</v>
      </c>
      <c r="AE25" s="118">
        <f>SUM(AE23:AE24)</f>
        <v>0</v>
      </c>
      <c r="AF25" s="118">
        <f>SUM(AF23:AF24)</f>
        <v>0</v>
      </c>
      <c r="AG25" s="217">
        <f>SUM($B25:AF25)</f>
        <v>5101</v>
      </c>
      <c r="AH25" s="217"/>
      <c r="AI25" s="262"/>
      <c r="AJ25" s="263"/>
      <c r="AK25" s="263"/>
    </row>
    <row r="26" spans="1:37" ht="18" x14ac:dyDescent="0.25">
      <c r="A26" s="109"/>
      <c r="B26" s="125">
        <f>IF(B$9=0,"",+(B25*10)/B$9)</f>
        <v>4.6199634980498665</v>
      </c>
      <c r="C26" s="125">
        <f t="shared" ref="C26:AC26" si="3">IF(C$9=0,"",+(C25*10)/C$9)</f>
        <v>4.8682574634131726</v>
      </c>
      <c r="D26" s="125">
        <f t="shared" si="3"/>
        <v>3.7797502926258293</v>
      </c>
      <c r="E26" s="125" t="str">
        <f>IF(E$9=0,"",+(E25*10)/E$9)</f>
        <v/>
      </c>
      <c r="F26" s="125" t="str">
        <f t="shared" si="3"/>
        <v/>
      </c>
      <c r="G26" s="125">
        <f t="shared" si="3"/>
        <v>5.5016748461478544</v>
      </c>
      <c r="H26" s="125">
        <f t="shared" si="3"/>
        <v>6.9087097388984171</v>
      </c>
      <c r="I26" s="125">
        <f t="shared" si="3"/>
        <v>5.9459344673079784</v>
      </c>
      <c r="J26" s="125">
        <f t="shared" si="3"/>
        <v>6.5674120059726269</v>
      </c>
      <c r="K26" s="125">
        <f t="shared" si="3"/>
        <v>5.3438953853891613</v>
      </c>
      <c r="L26" s="125" t="str">
        <f>IF(L$9=0,"",+(L25*10)/L$9)</f>
        <v/>
      </c>
      <c r="M26" s="125" t="str">
        <f t="shared" si="3"/>
        <v/>
      </c>
      <c r="N26" s="125">
        <f t="shared" si="3"/>
        <v>1.8417562988065419</v>
      </c>
      <c r="O26" s="125">
        <f>IF(O$9=0,"",+(O25*10)/O$9)</f>
        <v>7.8035687658432318</v>
      </c>
      <c r="P26" s="125">
        <f t="shared" si="3"/>
        <v>4.8235160594711157</v>
      </c>
      <c r="Q26" s="125">
        <f t="shared" si="3"/>
        <v>3.6696729756813595</v>
      </c>
      <c r="R26" s="125">
        <f t="shared" si="3"/>
        <v>26.688907422852377</v>
      </c>
      <c r="S26" s="125" t="str">
        <f t="shared" si="3"/>
        <v/>
      </c>
      <c r="T26" s="125" t="str">
        <f t="shared" si="3"/>
        <v/>
      </c>
      <c r="U26" s="125">
        <f t="shared" si="3"/>
        <v>5.3085600530855999</v>
      </c>
      <c r="V26" s="125">
        <f t="shared" si="3"/>
        <v>6.2181594248102563</v>
      </c>
      <c r="W26" s="125">
        <f t="shared" si="3"/>
        <v>6.7142589136724036</v>
      </c>
      <c r="X26" s="125">
        <f t="shared" si="3"/>
        <v>6.1440727087245834</v>
      </c>
      <c r="Y26" s="125">
        <f t="shared" si="3"/>
        <v>17.197840473702541</v>
      </c>
      <c r="Z26" s="125" t="str">
        <f t="shared" si="3"/>
        <v/>
      </c>
      <c r="AA26" s="125" t="str">
        <f t="shared" si="3"/>
        <v/>
      </c>
      <c r="AB26" s="125">
        <f t="shared" si="3"/>
        <v>6.1207202776183838</v>
      </c>
      <c r="AC26" s="125">
        <f t="shared" si="3"/>
        <v>3.6757376395534291</v>
      </c>
      <c r="AD26" s="125" t="str">
        <f>IF(AD$9=0,"",+(AD25*10)/AD$9)</f>
        <v/>
      </c>
      <c r="AE26" s="125" t="str">
        <f>IF(AE$9=0,"",+(AE25*10)/AE$9)</f>
        <v/>
      </c>
      <c r="AF26" s="125">
        <f>IF(AF$9=0,"",+(AF25*10)/AF$9)</f>
        <v>0</v>
      </c>
      <c r="AG26" s="219"/>
      <c r="AH26" s="219"/>
      <c r="AI26" s="264"/>
    </row>
    <row r="27" spans="1:37" ht="18" x14ac:dyDescent="0.25">
      <c r="A27" s="126" t="s">
        <v>168</v>
      </c>
      <c r="B27" s="119"/>
      <c r="C27" s="119"/>
      <c r="D27" s="119"/>
      <c r="E27" s="119"/>
      <c r="F27" s="119"/>
      <c r="G27" s="119"/>
      <c r="H27" s="119"/>
      <c r="I27" s="119"/>
      <c r="J27" s="119"/>
      <c r="K27" s="119"/>
      <c r="L27" s="119"/>
      <c r="M27" s="120"/>
      <c r="N27" s="95"/>
      <c r="O27" s="95"/>
      <c r="P27" s="95"/>
      <c r="Q27" s="95"/>
      <c r="R27" s="95"/>
      <c r="S27" s="95"/>
      <c r="T27" s="95"/>
      <c r="U27" s="95"/>
      <c r="V27" s="95"/>
      <c r="W27" s="95"/>
      <c r="X27" s="95"/>
      <c r="Y27" s="95"/>
      <c r="Z27" s="95"/>
      <c r="AA27" s="95"/>
      <c r="AB27" s="95"/>
      <c r="AC27" s="95"/>
      <c r="AD27" s="95"/>
      <c r="AE27" s="95"/>
      <c r="AF27" s="95"/>
      <c r="AG27" s="213">
        <f>SUM($B27:AF27)</f>
        <v>0</v>
      </c>
      <c r="AH27" s="213"/>
      <c r="AI27" s="264"/>
    </row>
    <row r="28" spans="1:37" ht="18" x14ac:dyDescent="0.25">
      <c r="A28" s="109" t="s">
        <v>126</v>
      </c>
      <c r="B28" s="127">
        <f>+'Water '!$J7</f>
        <v>154</v>
      </c>
      <c r="C28" s="127">
        <f>+'Water '!$J8</f>
        <v>220</v>
      </c>
      <c r="D28" s="127">
        <f>+'Water '!$J9</f>
        <v>140</v>
      </c>
      <c r="E28" s="127">
        <f>+'Water '!$J10</f>
        <v>64</v>
      </c>
      <c r="F28" s="127">
        <f>+'Water '!$J11</f>
        <v>7</v>
      </c>
      <c r="G28" s="127">
        <f>+'Water '!$J12</f>
        <v>105</v>
      </c>
      <c r="H28" s="111">
        <f>+'Water '!$J13</f>
        <v>136</v>
      </c>
      <c r="I28" s="127">
        <f>+'Water '!$J14</f>
        <v>194</v>
      </c>
      <c r="J28" s="127">
        <f>+'Water '!$J15</f>
        <v>65</v>
      </c>
      <c r="K28" s="127">
        <f>+'Water '!$J16</f>
        <v>164</v>
      </c>
      <c r="L28" s="128">
        <f>+'Water '!$J17</f>
        <v>96</v>
      </c>
      <c r="M28" s="111">
        <f>+'Water '!$J18</f>
        <v>59</v>
      </c>
      <c r="N28" s="127">
        <f>+'Water '!$J19</f>
        <v>35</v>
      </c>
      <c r="O28" s="127">
        <f>+'Water '!$J20</f>
        <v>206</v>
      </c>
      <c r="P28" s="127">
        <f>+'Water '!$J21</f>
        <v>151</v>
      </c>
      <c r="Q28" s="127">
        <f>+'Water '!$J22</f>
        <v>165</v>
      </c>
      <c r="R28" s="110">
        <f>+'Water '!$J23</f>
        <v>164</v>
      </c>
      <c r="S28" s="128">
        <f>+'Water '!$J24</f>
        <v>40</v>
      </c>
      <c r="T28" s="127">
        <f>+'Water '!$J25</f>
        <v>58</v>
      </c>
      <c r="U28" s="127">
        <f>+'Water '!$J26</f>
        <v>97</v>
      </c>
      <c r="V28" s="127">
        <f>+'Water '!$J27</f>
        <v>236</v>
      </c>
      <c r="W28" s="127">
        <f>+'Water '!$J28</f>
        <v>142</v>
      </c>
      <c r="X28" s="127">
        <f>+'Water '!$J29</f>
        <v>259</v>
      </c>
      <c r="Y28" s="127">
        <f>+'Water '!$J30</f>
        <v>120</v>
      </c>
      <c r="Z28" s="127">
        <f>+'Water '!$J31</f>
        <v>1</v>
      </c>
      <c r="AA28" s="127">
        <f>+'Water '!$J32</f>
        <v>4</v>
      </c>
      <c r="AB28" s="128">
        <f>+'Water '!$J33</f>
        <v>83</v>
      </c>
      <c r="AC28" s="127">
        <f>+'Water '!$J34</f>
        <v>156</v>
      </c>
      <c r="AD28" s="127">
        <f>+'Water '!$J31</f>
        <v>1</v>
      </c>
      <c r="AE28" s="127">
        <f>+'Water '!$J32</f>
        <v>4</v>
      </c>
      <c r="AF28" s="128">
        <f>+'Water '!$J33</f>
        <v>83</v>
      </c>
      <c r="AG28" s="213">
        <f>SUM($B28:AF28)</f>
        <v>3409</v>
      </c>
      <c r="AH28" s="213"/>
      <c r="AI28" s="264"/>
    </row>
    <row r="29" spans="1:37" ht="17.25" customHeight="1" x14ac:dyDescent="0.25">
      <c r="A29" s="121" t="s">
        <v>172</v>
      </c>
      <c r="B29" s="119" t="str">
        <f>'Water '!X7</f>
        <v>0</v>
      </c>
      <c r="C29" s="119" t="str">
        <f>'Water '!X8</f>
        <v>0</v>
      </c>
      <c r="D29" s="119" t="str">
        <f>'Water '!X9</f>
        <v>0</v>
      </c>
      <c r="E29" s="119" t="str">
        <f>'Water '!X10</f>
        <v>0</v>
      </c>
      <c r="F29" s="119" t="str">
        <f>'Water '!X11</f>
        <v>0</v>
      </c>
      <c r="G29" s="119" t="str">
        <f>'Water '!X12</f>
        <v>0</v>
      </c>
      <c r="H29" s="119" t="str">
        <f>'Water '!X13</f>
        <v>0</v>
      </c>
      <c r="I29" s="119" t="str">
        <f>'Water '!X14</f>
        <v>0</v>
      </c>
      <c r="J29" s="119" t="str">
        <f>'Water '!X15</f>
        <v>0</v>
      </c>
      <c r="K29" s="119" t="str">
        <f>'Water '!X16</f>
        <v>0</v>
      </c>
      <c r="L29" s="119" t="str">
        <f>'Water '!X17</f>
        <v>0</v>
      </c>
      <c r="M29" s="119" t="str">
        <f>'Water '!X18</f>
        <v>0</v>
      </c>
      <c r="N29" s="119" t="str">
        <f>'Water '!X19</f>
        <v>0</v>
      </c>
      <c r="O29" s="119" t="str">
        <f>'Water '!X20</f>
        <v>0</v>
      </c>
      <c r="P29" s="119" t="str">
        <f>'Water '!X21</f>
        <v>0</v>
      </c>
      <c r="Q29" s="119" t="str">
        <f>'Water '!X22</f>
        <v>0</v>
      </c>
      <c r="R29" s="119" t="str">
        <f>'Water '!X23</f>
        <v>0</v>
      </c>
      <c r="S29" s="119" t="str">
        <f>'Water '!X24</f>
        <v>0</v>
      </c>
      <c r="T29" s="119" t="str">
        <f>'Water '!X25</f>
        <v>0</v>
      </c>
      <c r="U29" s="119" t="str">
        <f>'Water '!X26</f>
        <v>0</v>
      </c>
      <c r="V29" s="119" t="str">
        <f>'Water '!X27</f>
        <v>0</v>
      </c>
      <c r="W29" s="119" t="str">
        <f>'Water '!X28</f>
        <v>0</v>
      </c>
      <c r="X29" s="119" t="str">
        <f>'Water '!X29</f>
        <v>0</v>
      </c>
      <c r="Y29" s="119" t="str">
        <f>'Water '!X30</f>
        <v>0</v>
      </c>
      <c r="Z29" s="119" t="str">
        <f>'Water '!X31</f>
        <v>0</v>
      </c>
      <c r="AA29" s="119" t="str">
        <f>'Water '!X32</f>
        <v>0</v>
      </c>
      <c r="AB29" s="119" t="str">
        <f>'Water '!X33</f>
        <v>0</v>
      </c>
      <c r="AC29" s="119" t="str">
        <f>'Water '!X34</f>
        <v>0</v>
      </c>
      <c r="AD29" s="119" t="str">
        <f>'Water '!AB31</f>
        <v>0</v>
      </c>
      <c r="AE29" s="119" t="str">
        <f>'Water '!AB32</f>
        <v>0</v>
      </c>
      <c r="AF29" s="119">
        <f>'Water '!AB33</f>
        <v>8.6072628904008521</v>
      </c>
      <c r="AG29" s="213">
        <f>SUM($B29:AF29)</f>
        <v>8.6072628904008521</v>
      </c>
      <c r="AH29" s="213"/>
      <c r="AI29" s="264"/>
    </row>
    <row r="30" spans="1:37" ht="17.25" customHeight="1" x14ac:dyDescent="0.25">
      <c r="A30" s="129" t="s">
        <v>188</v>
      </c>
      <c r="B30" s="119"/>
      <c r="C30" s="119"/>
      <c r="D30" s="119"/>
      <c r="E30" s="119"/>
      <c r="F30" s="119"/>
      <c r="G30" s="119"/>
      <c r="H30" s="119"/>
      <c r="I30" s="119"/>
      <c r="J30" s="119"/>
      <c r="K30" s="119"/>
      <c r="L30" s="119"/>
      <c r="M30" s="119"/>
      <c r="N30" s="119"/>
      <c r="O30" s="119"/>
      <c r="P30" s="119"/>
      <c r="Q30" s="119"/>
      <c r="R30" s="119"/>
      <c r="S30" s="119"/>
      <c r="T30" s="119"/>
      <c r="U30" s="119"/>
      <c r="V30" s="119"/>
      <c r="W30" s="119"/>
      <c r="X30" s="119"/>
      <c r="Y30" s="119"/>
      <c r="Z30" s="119"/>
      <c r="AA30" s="119"/>
      <c r="AB30" s="119"/>
      <c r="AC30" s="119"/>
      <c r="AD30" s="119"/>
      <c r="AE30" s="119"/>
      <c r="AF30" s="119"/>
      <c r="AG30" s="213"/>
      <c r="AH30" s="213"/>
      <c r="AI30" s="264"/>
    </row>
    <row r="31" spans="1:37" ht="18" x14ac:dyDescent="0.25">
      <c r="A31" s="130" t="s">
        <v>171</v>
      </c>
      <c r="B31" s="131" t="str">
        <f>+'Water '!$K7</f>
        <v>0</v>
      </c>
      <c r="C31" s="131" t="str">
        <f>+'Water '!$K8</f>
        <v>0</v>
      </c>
      <c r="D31" s="131" t="str">
        <f>+'Water '!$K9</f>
        <v>0</v>
      </c>
      <c r="E31" s="131" t="str">
        <f>+'Water '!$K10</f>
        <v>0</v>
      </c>
      <c r="F31" s="131" t="str">
        <f>+'Water '!$K11</f>
        <v>0</v>
      </c>
      <c r="G31" s="131" t="str">
        <f>+'Water '!$K12</f>
        <v>0</v>
      </c>
      <c r="H31" s="131" t="str">
        <f>+'Water '!$K13</f>
        <v>0</v>
      </c>
      <c r="I31" s="131" t="str">
        <f>+'Water '!$K14</f>
        <v>0</v>
      </c>
      <c r="J31" s="131" t="str">
        <f>+'Water '!$K15</f>
        <v>0</v>
      </c>
      <c r="K31" s="131" t="str">
        <f>+'Water '!$K16</f>
        <v>0</v>
      </c>
      <c r="L31" s="131" t="str">
        <f>+'Water '!$K17</f>
        <v>0</v>
      </c>
      <c r="M31" s="131" t="str">
        <f>+'Water '!$K18</f>
        <v>0</v>
      </c>
      <c r="N31" s="131" t="str">
        <f>+'Water '!$K19</f>
        <v>0</v>
      </c>
      <c r="O31" s="131" t="str">
        <f>+'Water '!$K19</f>
        <v>0</v>
      </c>
      <c r="P31" s="131" t="str">
        <f>+'Water '!$K19</f>
        <v>0</v>
      </c>
      <c r="Q31" s="131" t="str">
        <f>+'Water '!$K22</f>
        <v>0</v>
      </c>
      <c r="R31" s="131" t="str">
        <f>+'Water '!$K22</f>
        <v>0</v>
      </c>
      <c r="S31" s="131" t="str">
        <f>+'Water '!$K22</f>
        <v>0</v>
      </c>
      <c r="T31" s="131" t="str">
        <f>+'Water '!$K25</f>
        <v>0</v>
      </c>
      <c r="U31" s="131" t="str">
        <f>+'Water '!$K26</f>
        <v>0</v>
      </c>
      <c r="V31" s="131" t="str">
        <f>+'Water '!$K27</f>
        <v>0</v>
      </c>
      <c r="W31" s="131" t="str">
        <f>+'Water '!$K28</f>
        <v>0</v>
      </c>
      <c r="X31" s="131" t="str">
        <f>+'Water '!$K29</f>
        <v>0</v>
      </c>
      <c r="Y31" s="131" t="str">
        <f>+'Water '!$K30</f>
        <v>0</v>
      </c>
      <c r="Z31" s="131" t="str">
        <f>+'Water '!$K31</f>
        <v>0</v>
      </c>
      <c r="AA31" s="131" t="str">
        <f>+'Water '!$K32</f>
        <v>0</v>
      </c>
      <c r="AB31" s="131" t="str">
        <f>+'Water '!$K33</f>
        <v>0</v>
      </c>
      <c r="AC31" s="131" t="str">
        <f>+'Water '!$K34</f>
        <v>0</v>
      </c>
      <c r="AD31" s="131" t="str">
        <f>+'Water '!$K31</f>
        <v>0</v>
      </c>
      <c r="AE31" s="131" t="str">
        <f>+'Water '!$K32</f>
        <v>0</v>
      </c>
      <c r="AF31" s="131" t="str">
        <f>+'Water '!$K33</f>
        <v>0</v>
      </c>
      <c r="AG31" s="220">
        <f>SUM($B31:AF31)</f>
        <v>0</v>
      </c>
      <c r="AH31" s="220"/>
      <c r="AI31" s="220"/>
    </row>
    <row r="32" spans="1:37" ht="17.25" customHeight="1" x14ac:dyDescent="0.25">
      <c r="A32" s="132" t="s">
        <v>173</v>
      </c>
      <c r="B32" s="133" t="str">
        <f>'Water '!L7</f>
        <v>0</v>
      </c>
      <c r="C32" s="133" t="str">
        <f>'Water '!L8</f>
        <v>0</v>
      </c>
      <c r="D32" s="133" t="str">
        <f>'Water '!L9</f>
        <v>0</v>
      </c>
      <c r="E32" s="133" t="str">
        <f>'Water '!L10</f>
        <v>0</v>
      </c>
      <c r="F32" s="133" t="str">
        <f>'Water '!L11</f>
        <v>0</v>
      </c>
      <c r="G32" s="133" t="str">
        <f>'Water '!L12</f>
        <v>0</v>
      </c>
      <c r="H32" s="133" t="str">
        <f>'Water '!L13</f>
        <v>0</v>
      </c>
      <c r="I32" s="133" t="str">
        <f>'Water '!L14</f>
        <v>0</v>
      </c>
      <c r="J32" s="133" t="str">
        <f>'Water '!L15</f>
        <v>0</v>
      </c>
      <c r="K32" s="133" t="str">
        <f>'Water '!L16</f>
        <v>0</v>
      </c>
      <c r="L32" s="133" t="str">
        <f>'Water '!L17</f>
        <v>0</v>
      </c>
      <c r="M32" s="133" t="str">
        <f>'Water '!L18</f>
        <v>0</v>
      </c>
      <c r="N32" s="133" t="str">
        <f>'Water '!L19</f>
        <v>0</v>
      </c>
      <c r="O32" s="133">
        <f>'Water '!M19</f>
        <v>5</v>
      </c>
      <c r="P32" s="133">
        <f>'Water '!N19</f>
        <v>50</v>
      </c>
      <c r="Q32" s="133" t="str">
        <f>'Water '!L22</f>
        <v>0</v>
      </c>
      <c r="R32" s="133">
        <f>'Water '!M22</f>
        <v>1</v>
      </c>
      <c r="S32" s="133">
        <f>'Water '!N22</f>
        <v>46</v>
      </c>
      <c r="T32" s="133" t="str">
        <f>'Water '!L25</f>
        <v>0</v>
      </c>
      <c r="U32" s="133" t="str">
        <f>'Water '!L26</f>
        <v>0</v>
      </c>
      <c r="V32" s="133" t="str">
        <f>'Water '!L27</f>
        <v>0</v>
      </c>
      <c r="W32" s="133" t="str">
        <f>'Water '!L28</f>
        <v>0</v>
      </c>
      <c r="X32" s="133" t="str">
        <f>'Water '!L29</f>
        <v>0</v>
      </c>
      <c r="Y32" s="133" t="str">
        <f>'Water '!L30</f>
        <v>0</v>
      </c>
      <c r="Z32" s="133" t="str">
        <f>'Water '!L31</f>
        <v>0</v>
      </c>
      <c r="AA32" s="133" t="str">
        <f>'Water '!L32</f>
        <v>0</v>
      </c>
      <c r="AB32" s="133" t="str">
        <f>'Water '!L33</f>
        <v>0</v>
      </c>
      <c r="AC32" s="133" t="str">
        <f>'Water '!L34</f>
        <v>0</v>
      </c>
      <c r="AD32" s="133" t="str">
        <f>'Water '!P31</f>
        <v>0</v>
      </c>
      <c r="AE32" s="133" t="str">
        <f>'Water '!P32</f>
        <v>0</v>
      </c>
      <c r="AF32" s="133">
        <f>'Water '!P33</f>
        <v>25</v>
      </c>
      <c r="AG32" s="220">
        <f>SUM($B32:AF32)</f>
        <v>127</v>
      </c>
      <c r="AH32" s="220"/>
      <c r="AI32" s="220"/>
    </row>
    <row r="33" spans="1:37" ht="18" x14ac:dyDescent="0.25">
      <c r="A33" s="132" t="s">
        <v>99</v>
      </c>
      <c r="B33" s="131">
        <f>+'Water '!$N7</f>
        <v>42</v>
      </c>
      <c r="C33" s="131">
        <f>+'Water '!$N8</f>
        <v>50</v>
      </c>
      <c r="D33" s="131">
        <f>+'Water '!$N9</f>
        <v>19</v>
      </c>
      <c r="E33" s="131" t="str">
        <f>+'Water '!$N10</f>
        <v>0</v>
      </c>
      <c r="F33" s="131">
        <f>+'Water '!$N11</f>
        <v>1</v>
      </c>
      <c r="G33" s="131">
        <f>+'Water '!$N12</f>
        <v>65</v>
      </c>
      <c r="H33" s="131">
        <f>+'Water '!$N13</f>
        <v>16</v>
      </c>
      <c r="I33" s="131">
        <f>+'Water '!$N14</f>
        <v>35</v>
      </c>
      <c r="J33" s="131">
        <f>+'Water '!$N15</f>
        <v>52</v>
      </c>
      <c r="K33" s="131">
        <f>+'Water '!$N16</f>
        <v>30</v>
      </c>
      <c r="L33" s="131" t="str">
        <f>+'Water '!$N17</f>
        <v>0</v>
      </c>
      <c r="M33" s="131">
        <f>+'Water '!$N18</f>
        <v>10</v>
      </c>
      <c r="N33" s="131">
        <f>+'Water '!$N19</f>
        <v>50</v>
      </c>
      <c r="O33" s="131">
        <f>+'Water '!$N19</f>
        <v>50</v>
      </c>
      <c r="P33" s="131">
        <f>+'Water '!$N19</f>
        <v>50</v>
      </c>
      <c r="Q33" s="131">
        <f>+'Water '!$N22</f>
        <v>46</v>
      </c>
      <c r="R33" s="131">
        <f>+'Water '!$N22</f>
        <v>46</v>
      </c>
      <c r="S33" s="131">
        <f>+'Water '!$N22</f>
        <v>46</v>
      </c>
      <c r="T33" s="131">
        <f>+'Water '!$N25</f>
        <v>26</v>
      </c>
      <c r="U33" s="131">
        <f>+'Water '!$N26</f>
        <v>50</v>
      </c>
      <c r="V33" s="131">
        <f>+'Water '!$N27</f>
        <v>66</v>
      </c>
      <c r="W33" s="131">
        <f>+'Water '!$N28</f>
        <v>26</v>
      </c>
      <c r="X33" s="131">
        <f>+'Water '!$N29</f>
        <v>37</v>
      </c>
      <c r="Y33" s="131">
        <f>+'Water '!$N30</f>
        <v>49</v>
      </c>
      <c r="Z33" s="131" t="str">
        <f>+'Water '!$N31</f>
        <v>0</v>
      </c>
      <c r="AA33" s="131">
        <f>+'Water '!$N32</f>
        <v>8</v>
      </c>
      <c r="AB33" s="131">
        <f>+'Water '!$N33</f>
        <v>21</v>
      </c>
      <c r="AC33" s="131">
        <f>+'Water '!$N34</f>
        <v>37</v>
      </c>
      <c r="AD33" s="131" t="str">
        <f>+'Water '!$N31</f>
        <v>0</v>
      </c>
      <c r="AE33" s="131">
        <f>+'Water '!$N32</f>
        <v>8</v>
      </c>
      <c r="AF33" s="131">
        <f>+'Water '!$N33</f>
        <v>21</v>
      </c>
      <c r="AG33" s="220">
        <f>SUM($B33:AF33)</f>
        <v>957</v>
      </c>
      <c r="AH33" s="220"/>
      <c r="AI33" s="220"/>
      <c r="AJ33" s="257">
        <f>34294/2.2</f>
        <v>15588.181818181816</v>
      </c>
    </row>
    <row r="34" spans="1:37" ht="18" x14ac:dyDescent="0.25">
      <c r="A34" s="121" t="s">
        <v>128</v>
      </c>
      <c r="B34" s="134">
        <f>+'Water '!$O7</f>
        <v>64</v>
      </c>
      <c r="C34" s="134">
        <f>+'Water '!$O8</f>
        <v>83</v>
      </c>
      <c r="D34" s="134">
        <f>+'Water '!$O9</f>
        <v>86</v>
      </c>
      <c r="E34" s="134">
        <f>+'Water '!$O10</f>
        <v>5</v>
      </c>
      <c r="F34" s="134">
        <f>+'Water '!$O11</f>
        <v>34</v>
      </c>
      <c r="G34" s="134">
        <f>+'Water '!$O12</f>
        <v>76</v>
      </c>
      <c r="H34" s="134">
        <f>+'Water '!$O13</f>
        <v>49</v>
      </c>
      <c r="I34" s="134">
        <f>+'Water '!$O14</f>
        <v>81</v>
      </c>
      <c r="J34" s="134">
        <f>+'Water '!$O15</f>
        <v>73</v>
      </c>
      <c r="K34" s="134">
        <f>+'Water '!$O16</f>
        <v>70</v>
      </c>
      <c r="L34" s="134">
        <f>+'Water '!$O17</f>
        <v>41</v>
      </c>
      <c r="M34" s="134" t="str">
        <f>+'Water '!$O18</f>
        <v>0</v>
      </c>
      <c r="N34" s="134">
        <f>+'Water '!$O19</f>
        <v>88</v>
      </c>
      <c r="O34" s="134">
        <f>+'Water '!$O19</f>
        <v>88</v>
      </c>
      <c r="P34" s="134">
        <f>+'Water '!$O19</f>
        <v>88</v>
      </c>
      <c r="Q34" s="134">
        <f>+'Water '!$O19</f>
        <v>88</v>
      </c>
      <c r="R34" s="134">
        <f>+'Water '!$O19</f>
        <v>88</v>
      </c>
      <c r="S34" s="134">
        <f>+'Water '!$O19</f>
        <v>88</v>
      </c>
      <c r="T34" s="134" t="str">
        <f>+'Water '!$O25</f>
        <v>0</v>
      </c>
      <c r="U34" s="134">
        <f>+'Water '!$O26</f>
        <v>91</v>
      </c>
      <c r="V34" s="134">
        <f>+'Water '!$O27</f>
        <v>101</v>
      </c>
      <c r="W34" s="134">
        <f>+'Water '!$O28</f>
        <v>56</v>
      </c>
      <c r="X34" s="134">
        <f>+'Water '!$O29</f>
        <v>64</v>
      </c>
      <c r="Y34" s="134">
        <f>+'Water '!$O30</f>
        <v>47</v>
      </c>
      <c r="Z34" s="134">
        <f>+'Water '!$O31</f>
        <v>31</v>
      </c>
      <c r="AA34" s="134" t="str">
        <f>+'Water '!$O32</f>
        <v>0</v>
      </c>
      <c r="AB34" s="134">
        <f>+'Water '!$O33</f>
        <v>120</v>
      </c>
      <c r="AC34" s="134">
        <f>+'Water '!$O34</f>
        <v>125</v>
      </c>
      <c r="AD34" s="134">
        <f>+'Water '!$O31</f>
        <v>31</v>
      </c>
      <c r="AE34" s="134" t="str">
        <f>+'Water '!$O32</f>
        <v>0</v>
      </c>
      <c r="AF34" s="134">
        <f>+'Water '!$O33</f>
        <v>120</v>
      </c>
      <c r="AG34" s="221">
        <f>SUM($B34:AF34)</f>
        <v>1976</v>
      </c>
      <c r="AH34" s="221"/>
      <c r="AI34" s="221"/>
    </row>
    <row r="35" spans="1:37" ht="17.25" customHeight="1" x14ac:dyDescent="0.25">
      <c r="A35" s="121" t="s">
        <v>169</v>
      </c>
      <c r="B35" s="119">
        <f>IF('Entries July 2026'!AC7-'Entries July 2026'!AC6&lt;1,0,'Entries July 2026'!AC7-'Entries July 2026'!AC6)</f>
        <v>19</v>
      </c>
      <c r="C35" s="119">
        <f>IF('Entries July 2026'!AC8-'Entries July 2026'!AC7&lt;1,0,'Entries July 2026'!AC8-'Entries July 2026'!AC7)</f>
        <v>30</v>
      </c>
      <c r="D35" s="119">
        <f>IF('Entries July 2026'!AC9-'Entries July 2026'!AC8&lt;1,0,'Entries July 2026'!AC9-'Entries July 2026'!AC8)</f>
        <v>23</v>
      </c>
      <c r="E35" s="119">
        <f>IF('Entries July 2026'!AC10-'Entries July 2026'!AC9&lt;1,0,'Entries July 2026'!AC10-'Entries July 2026'!AC9)</f>
        <v>0</v>
      </c>
      <c r="F35" s="119">
        <f>IF('Entries July 2026'!AC11-'Entries July 2026'!AC10&lt;1,0,'Entries July 2026'!AC11-'Entries July 2026'!AC10)</f>
        <v>1</v>
      </c>
      <c r="G35" s="119">
        <f>IF('Entries July 2026'!AC12-'Entries July 2026'!AC11&lt;1,0,'Entries July 2026'!AC12-'Entries July 2026'!AC11)</f>
        <v>29</v>
      </c>
      <c r="H35" s="119">
        <f>IF('Entries July 2026'!AC13-'Entries July 2026'!AC12&lt;1,0,'Entries July 2026'!AC13-'Entries July 2026'!AC12)</f>
        <v>16</v>
      </c>
      <c r="I35" s="119">
        <f>IF('Entries July 2026'!AC14-'Entries July 2026'!AC13&lt;1,0,'Entries July 2026'!AC14-'Entries July 2026'!AC13)</f>
        <v>32</v>
      </c>
      <c r="J35" s="119">
        <f>IF('Entries July 2026'!AC15-'Entries July 2026'!AC14&lt;1,0,'Entries July 2026'!AC15-'Entries July 2026'!AC14)</f>
        <v>21</v>
      </c>
      <c r="K35" s="119">
        <f>IF('Entries July 2026'!AC16-'Entries July 2026'!AC15&lt;1,0,'Entries July 2026'!AC16-'Entries July 2026'!AC15)</f>
        <v>23</v>
      </c>
      <c r="L35" s="119">
        <f>IF('Entries July 2026'!AC17-'Entries July 2026'!AC16&lt;1,0,'Entries July 2026'!AC17-'Entries July 2026'!AC16)</f>
        <v>5</v>
      </c>
      <c r="M35" s="119">
        <f>IF('Entries July 2026'!AC18-'Entries July 2026'!AC17&lt;1,0,'Entries July 2026'!AC18-'Entries July 2026'!AC17)</f>
        <v>0</v>
      </c>
      <c r="N35" s="95">
        <f>IF('Entries July 2026'!AC19-'Entries July 2026'!AC18&lt;1,0,'Entries July 2026'!AC19-'Entries July 2026'!AC18)</f>
        <v>26</v>
      </c>
      <c r="O35" s="95">
        <f>IF('Entries July 2026'!AC20-'Entries July 2026'!AC19&lt;1,0,'Entries July 2026'!AC20-'Entries July 2026'!AC19)</f>
        <v>31</v>
      </c>
      <c r="P35" s="95">
        <f>IF('Entries July 2026'!AC21-'Entries July 2026'!AC20&lt;1,0,'Entries July 2026'!AC21-'Entries July 2026'!AC20)</f>
        <v>25</v>
      </c>
      <c r="Q35" s="95">
        <f>IF('Entries July 2026'!AC22-'Entries July 2026'!AC21&lt;1,0,'Entries July 2026'!AC22-'Entries July 2026'!AC21)</f>
        <v>27</v>
      </c>
      <c r="R35" s="95">
        <f>IF('Entries July 2026'!AC23-'Entries July 2026'!AC22&lt;1,0,'Entries July 2026'!AC23-'Entries July 2026'!AC22)</f>
        <v>9</v>
      </c>
      <c r="S35" s="95">
        <f>IF('Entries July 2026'!AC24-'Entries July 2026'!AC23&lt;1,0,'Entries July 2026'!AC24-'Entries July 2026'!AC23)</f>
        <v>30</v>
      </c>
      <c r="T35" s="95">
        <f>IF('Entries July 2026'!AC25-'Entries July 2026'!AC24&lt;1,0,'Entries July 2026'!AC25-'Entries July 2026'!AC24)</f>
        <v>0</v>
      </c>
      <c r="U35" s="95">
        <f>IF('Entries July 2026'!AC26-'Entries July 2026'!AC25&lt;1,0,'Entries July 2026'!AC26-'Entries July 2026'!AC25)</f>
        <v>1</v>
      </c>
      <c r="V35" s="95">
        <f>IF('Entries July 2026'!AC27-'Entries July 2026'!AC26&lt;1,0,'Entries July 2026'!AC27-'Entries July 2026'!AC26)</f>
        <v>23</v>
      </c>
      <c r="W35" s="95">
        <f>IF('Entries July 2026'!$AC28-'Entries July 2026'!$AC27&lt;1,0,'Entries July 2026'!$AC28-'Entries July 2026'!$AC27)</f>
        <v>9</v>
      </c>
      <c r="X35" s="95">
        <f>IF('Entries July 2026'!$AC29-'Entries July 2026'!$AC28&lt;1,0,'Entries July 2026'!$AC29-'Entries July 2026'!$AC28)</f>
        <v>19</v>
      </c>
      <c r="Y35" s="95">
        <f>IF('Entries July 2026'!$AC30-'Entries July 2026'!$AC29&lt;1,0,'Entries July 2026'!$AC30-'Entries July 2026'!$AC29)</f>
        <v>11</v>
      </c>
      <c r="Z35" s="95">
        <f>IF('Entries July 2026'!$AC31-'Entries July 2026'!$AC30&lt;1,0,'Entries July 2026'!$AC31-'Entries July 2026'!$AC30)</f>
        <v>0</v>
      </c>
      <c r="AA35" s="95">
        <f>IF('Entries July 2026'!$AC32-'Entries July 2026'!$AC31&lt;1,0,'Entries July 2026'!$AC32-'Entries July 2026'!$AC31)</f>
        <v>0</v>
      </c>
      <c r="AB35" s="95">
        <f>IF('Entries July 2026'!$AC33-'Entries July 2026'!$AC32&lt;1,0,'Entries July 2026'!$AC33-'Entries July 2026'!$AC32)</f>
        <v>25</v>
      </c>
      <c r="AC35" s="95">
        <f>IF('Entries July 2026'!$AC34-'Entries July 2026'!$AC33&lt;1,0,'Entries July 2026'!$AC34-'Entries July 2026'!$AC33)</f>
        <v>27</v>
      </c>
      <c r="AD35" s="95">
        <f>IF('Entries July 2026'!$AC31-'Entries July 2026'!$AC30&lt;1,0,'Entries July 2026'!$AC31-'Entries July 2026'!$AC30)</f>
        <v>0</v>
      </c>
      <c r="AE35" s="95">
        <f>IF('Entries July 2026'!$AC32-'Entries July 2026'!$AC31&lt;1,0,'Entries July 2026'!$AC32-'Entries July 2026'!$AC31)</f>
        <v>0</v>
      </c>
      <c r="AF35" s="95">
        <f>IF('Entries July 2026'!$AC33-'Entries July 2026'!$AC32&lt;1,0,'Entries July 2026'!$AC33-'Entries July 2026'!$AC32)</f>
        <v>25</v>
      </c>
      <c r="AG35" s="213">
        <f>SUM($B35:AF35)</f>
        <v>487</v>
      </c>
      <c r="AH35" s="213"/>
      <c r="AI35" s="264"/>
    </row>
    <row r="36" spans="1:37" ht="18" x14ac:dyDescent="0.25">
      <c r="A36" s="109" t="s">
        <v>127</v>
      </c>
      <c r="B36" s="110">
        <f>+'Water '!$M7</f>
        <v>3</v>
      </c>
      <c r="C36" s="110">
        <f>+'Water '!$M8</f>
        <v>7</v>
      </c>
      <c r="D36" s="110">
        <f>+'Water '!$M9</f>
        <v>2</v>
      </c>
      <c r="E36" s="110">
        <f>+'Water '!$M10</f>
        <v>36</v>
      </c>
      <c r="F36" s="110">
        <f>+'Water '!$M11</f>
        <v>3</v>
      </c>
      <c r="G36" s="110">
        <f>+'Water '!$M12</f>
        <v>6</v>
      </c>
      <c r="H36" s="110">
        <f>+'Water '!$M13</f>
        <v>7</v>
      </c>
      <c r="I36" s="110">
        <f>+'Water '!$M14</f>
        <v>5</v>
      </c>
      <c r="J36" s="110" t="str">
        <f>+'Water '!$M15</f>
        <v>0</v>
      </c>
      <c r="K36" s="110">
        <f>+'Water '!$M16</f>
        <v>2</v>
      </c>
      <c r="L36" s="110" t="str">
        <f>+'Water '!$M17</f>
        <v>0</v>
      </c>
      <c r="M36" s="110" t="str">
        <f>+'Water '!$M18</f>
        <v>0</v>
      </c>
      <c r="N36" s="110">
        <f>+'Water '!$M19</f>
        <v>5</v>
      </c>
      <c r="O36" s="110">
        <f>+'Water '!$M20</f>
        <v>3</v>
      </c>
      <c r="P36" s="110">
        <f>+'Water '!$M21</f>
        <v>3</v>
      </c>
      <c r="Q36" s="110">
        <f>+'Water '!$M22</f>
        <v>1</v>
      </c>
      <c r="R36" s="110">
        <f>+'Water '!$M23</f>
        <v>2</v>
      </c>
      <c r="S36" s="110" t="str">
        <f>+'Water '!$M24</f>
        <v>0</v>
      </c>
      <c r="T36" s="110" t="str">
        <f>+'Water '!$M25</f>
        <v>0</v>
      </c>
      <c r="U36" s="110">
        <f>+'Water '!$M26</f>
        <v>4</v>
      </c>
      <c r="V36" s="110">
        <f>+'Water '!$M27</f>
        <v>5</v>
      </c>
      <c r="W36" s="110">
        <f>+'Water '!$M28</f>
        <v>2</v>
      </c>
      <c r="X36" s="110">
        <f>+'Water '!$M29</f>
        <v>2</v>
      </c>
      <c r="Y36" s="110">
        <f>+'Water '!$M30</f>
        <v>3</v>
      </c>
      <c r="Z36" s="110" t="str">
        <f>+'Water '!$M31</f>
        <v>0</v>
      </c>
      <c r="AA36" s="110" t="str">
        <f>+'Water '!$M32</f>
        <v>0</v>
      </c>
      <c r="AB36" s="110">
        <f>+'Water '!$M33</f>
        <v>2</v>
      </c>
      <c r="AC36" s="110">
        <f>+'Water '!$M34</f>
        <v>1</v>
      </c>
      <c r="AD36" s="110" t="str">
        <f>+'Water '!$M31</f>
        <v>0</v>
      </c>
      <c r="AE36" s="110" t="str">
        <f>+'Water '!$M32</f>
        <v>0</v>
      </c>
      <c r="AF36" s="110">
        <f>+'Water '!$M33</f>
        <v>2</v>
      </c>
      <c r="AG36" s="213">
        <f>SUM($B36:AF36)</f>
        <v>106</v>
      </c>
      <c r="AH36" s="213"/>
      <c r="AI36" s="264"/>
    </row>
    <row r="37" spans="1:37" ht="18" x14ac:dyDescent="0.25">
      <c r="A37" s="132" t="s">
        <v>129</v>
      </c>
      <c r="B37" s="131">
        <f>+'Water '!$Q7</f>
        <v>15</v>
      </c>
      <c r="C37" s="131">
        <f>+'Water '!$Q8</f>
        <v>18</v>
      </c>
      <c r="D37" s="131">
        <f>+'Water '!$Q9</f>
        <v>17</v>
      </c>
      <c r="E37" s="131">
        <f>+'Water '!$Q10</f>
        <v>6</v>
      </c>
      <c r="F37" s="131">
        <f>+'Water '!$Q11</f>
        <v>14</v>
      </c>
      <c r="G37" s="131">
        <f>+'Water '!$Q12</f>
        <v>27</v>
      </c>
      <c r="H37" s="131">
        <f>+'Water '!$Q13</f>
        <v>29</v>
      </c>
      <c r="I37" s="131">
        <f>+'Water '!$Q14</f>
        <v>32</v>
      </c>
      <c r="J37" s="131">
        <f>+'Water '!$Q15</f>
        <v>28</v>
      </c>
      <c r="K37" s="131">
        <f>+'Water '!$Q16</f>
        <v>33</v>
      </c>
      <c r="L37" s="131">
        <f>+'Water '!$Q17</f>
        <v>13</v>
      </c>
      <c r="M37" s="131">
        <f>+'Water '!$Q18</f>
        <v>15</v>
      </c>
      <c r="N37" s="131">
        <f>+'Water '!$Q19</f>
        <v>17</v>
      </c>
      <c r="O37" s="131">
        <f>+'Water '!$Q19</f>
        <v>17</v>
      </c>
      <c r="P37" s="131">
        <f>+'Water '!$Q21</f>
        <v>21</v>
      </c>
      <c r="Q37" s="131">
        <f>+'Water '!$Q22</f>
        <v>19</v>
      </c>
      <c r="R37" s="131">
        <f>+'Water '!$Q22</f>
        <v>19</v>
      </c>
      <c r="S37" s="131">
        <f>+'Water '!$Q24</f>
        <v>7</v>
      </c>
      <c r="T37" s="131">
        <f>+'Water '!$Q25</f>
        <v>12</v>
      </c>
      <c r="U37" s="131">
        <f>+'Water '!$Q26</f>
        <v>22</v>
      </c>
      <c r="V37" s="131">
        <f>+'Water '!$Q27</f>
        <v>24</v>
      </c>
      <c r="W37" s="131">
        <f>+'Water '!$Q28</f>
        <v>1</v>
      </c>
      <c r="X37" s="131">
        <f>+'Water '!$Q29</f>
        <v>40</v>
      </c>
      <c r="Y37" s="131">
        <f>+'Water '!$Q30</f>
        <v>18</v>
      </c>
      <c r="Z37" s="131">
        <f>+'Water '!$Q31</f>
        <v>3</v>
      </c>
      <c r="AA37" s="131">
        <f>+'Water '!$Q32</f>
        <v>24</v>
      </c>
      <c r="AB37" s="131">
        <f>+'Water '!$Q33</f>
        <v>1</v>
      </c>
      <c r="AC37" s="131">
        <f>+'Water '!$Q34</f>
        <v>23</v>
      </c>
      <c r="AD37" s="131">
        <f>+'Water '!$Q31</f>
        <v>3</v>
      </c>
      <c r="AE37" s="131">
        <f>+'Water '!$Q32</f>
        <v>24</v>
      </c>
      <c r="AF37" s="131">
        <f>+'Water '!$Q33</f>
        <v>1</v>
      </c>
      <c r="AG37" s="220">
        <f>SUM($B37:AF37)</f>
        <v>543</v>
      </c>
      <c r="AH37" s="220"/>
      <c r="AI37" s="220"/>
    </row>
    <row r="38" spans="1:37" s="87" customFormat="1" ht="18" hidden="1" x14ac:dyDescent="0.25">
      <c r="A38" s="135" t="s">
        <v>166</v>
      </c>
      <c r="B38" s="136"/>
      <c r="C38" s="136"/>
      <c r="D38" s="136"/>
      <c r="E38" s="136"/>
      <c r="F38" s="136"/>
      <c r="G38" s="136"/>
      <c r="H38" s="136"/>
      <c r="I38" s="136"/>
      <c r="J38" s="136"/>
      <c r="K38" s="136"/>
      <c r="L38" s="136"/>
      <c r="M38" s="136"/>
      <c r="N38" s="136"/>
      <c r="O38" s="110"/>
      <c r="P38" s="136"/>
      <c r="Q38" s="136"/>
      <c r="R38" s="110"/>
      <c r="S38" s="136"/>
      <c r="T38" s="136"/>
      <c r="U38" s="136"/>
      <c r="V38" s="136"/>
      <c r="W38" s="136"/>
      <c r="X38" s="136"/>
      <c r="Y38" s="136"/>
      <c r="Z38" s="136"/>
      <c r="AA38" s="136"/>
      <c r="AB38" s="136"/>
      <c r="AC38" s="136"/>
      <c r="AD38" s="136"/>
      <c r="AE38" s="136"/>
      <c r="AF38" s="136"/>
      <c r="AG38" s="222">
        <f>SUM($B38:AF38)</f>
        <v>0</v>
      </c>
      <c r="AH38" s="222"/>
      <c r="AI38" s="266"/>
      <c r="AJ38" s="267"/>
      <c r="AK38" s="267"/>
    </row>
    <row r="39" spans="1:37" ht="17.25" customHeight="1" x14ac:dyDescent="0.25">
      <c r="A39" s="121" t="s">
        <v>201</v>
      </c>
      <c r="B39" s="119" t="str">
        <f>'Water '!Y7</f>
        <v>0</v>
      </c>
      <c r="C39" s="119" t="str">
        <f>'Water '!Y8</f>
        <v>0</v>
      </c>
      <c r="D39" s="119" t="str">
        <f>'Water '!Y9</f>
        <v>0</v>
      </c>
      <c r="E39" s="119" t="str">
        <f>'Water '!Y10</f>
        <v>0</v>
      </c>
      <c r="F39" s="119" t="str">
        <f>'Water '!Y11</f>
        <v>0</v>
      </c>
      <c r="G39" s="119" t="str">
        <f>'Water '!Y12</f>
        <v>0</v>
      </c>
      <c r="H39" s="119" t="str">
        <f>'Water '!Y13</f>
        <v>0</v>
      </c>
      <c r="I39" s="119" t="str">
        <f>'Water '!Y14</f>
        <v>0</v>
      </c>
      <c r="J39" s="119" t="str">
        <f>'Water '!Y15</f>
        <v>0</v>
      </c>
      <c r="K39" s="119" t="str">
        <f>'Water '!Y16</f>
        <v>0</v>
      </c>
      <c r="L39" s="119" t="str">
        <f>'Water '!Y17</f>
        <v>0</v>
      </c>
      <c r="M39" s="119" t="str">
        <f>'Water '!Y18</f>
        <v>0</v>
      </c>
      <c r="N39" s="119" t="str">
        <f>'Water '!Y19</f>
        <v>0</v>
      </c>
      <c r="O39" s="119" t="str">
        <f>'Water '!Y20</f>
        <v>0</v>
      </c>
      <c r="P39" s="119" t="str">
        <f>'Water '!Y21</f>
        <v>0</v>
      </c>
      <c r="Q39" s="119" t="str">
        <f>'Water '!Y22</f>
        <v>0</v>
      </c>
      <c r="R39" s="119" t="str">
        <f>'Water '!Y23</f>
        <v>0</v>
      </c>
      <c r="S39" s="119" t="str">
        <f>'Water '!Y24</f>
        <v>0</v>
      </c>
      <c r="T39" s="119" t="str">
        <f>'Water '!Y25</f>
        <v>0</v>
      </c>
      <c r="U39" s="119" t="str">
        <f>'Water '!Y26</f>
        <v>0</v>
      </c>
      <c r="V39" s="119" t="str">
        <f>'Water '!Y27</f>
        <v>0</v>
      </c>
      <c r="W39" s="119" t="str">
        <f>'Water '!Y28</f>
        <v>0</v>
      </c>
      <c r="X39" s="119" t="str">
        <f>'Water '!Y29</f>
        <v>0</v>
      </c>
      <c r="Y39" s="119" t="str">
        <f>'Water '!Y30</f>
        <v>0</v>
      </c>
      <c r="Z39" s="119" t="str">
        <f>'Water '!Y31</f>
        <v>0</v>
      </c>
      <c r="AA39" s="119" t="str">
        <f>'Water '!Y32</f>
        <v>0</v>
      </c>
      <c r="AB39" s="119" t="str">
        <f>'Water '!Y33</f>
        <v>0</v>
      </c>
      <c r="AC39" s="119" t="str">
        <f>'Water '!Y34</f>
        <v>0</v>
      </c>
      <c r="AD39" s="119">
        <f>'Water '!AC31</f>
        <v>0</v>
      </c>
      <c r="AE39" s="119">
        <f>'Water '!AC32</f>
        <v>0</v>
      </c>
      <c r="AF39" s="119">
        <f>'Water '!AC33</f>
        <v>0</v>
      </c>
      <c r="AG39" s="213">
        <f>SUM($B39:AF39)</f>
        <v>0</v>
      </c>
      <c r="AH39" s="213"/>
      <c r="AI39" s="264"/>
    </row>
    <row r="40" spans="1:37" ht="17.25" customHeight="1" x14ac:dyDescent="0.25">
      <c r="A40" s="121" t="s">
        <v>187</v>
      </c>
      <c r="B40" s="119">
        <f>'Water '!I7</f>
        <v>0</v>
      </c>
      <c r="C40" s="119">
        <f>'Water '!I8</f>
        <v>0</v>
      </c>
      <c r="D40" s="119">
        <f>'Water '!I9</f>
        <v>0</v>
      </c>
      <c r="E40" s="119">
        <f>'Water '!I10</f>
        <v>0</v>
      </c>
      <c r="F40" s="119">
        <f>'Water '!I11</f>
        <v>0</v>
      </c>
      <c r="G40" s="119">
        <f>'Water '!I12</f>
        <v>0</v>
      </c>
      <c r="H40" s="119">
        <f>'Water '!I13</f>
        <v>0</v>
      </c>
      <c r="I40" s="119">
        <f>'Water '!I14</f>
        <v>0</v>
      </c>
      <c r="J40" s="119">
        <f>'Water '!I15</f>
        <v>0</v>
      </c>
      <c r="K40" s="119">
        <f>'Water '!I16</f>
        <v>0</v>
      </c>
      <c r="L40" s="119">
        <f>'Water '!J16</f>
        <v>164</v>
      </c>
      <c r="M40" s="119" t="str">
        <f>'Water '!K16</f>
        <v>0</v>
      </c>
      <c r="N40" s="119">
        <f>'Water '!I19</f>
        <v>0</v>
      </c>
      <c r="O40" s="119">
        <f>'Water '!I20</f>
        <v>0</v>
      </c>
      <c r="P40" s="119">
        <f>'Water '!I21</f>
        <v>0</v>
      </c>
      <c r="Q40" s="119">
        <f>'Water '!I22</f>
        <v>0</v>
      </c>
      <c r="R40" s="119">
        <f>'Water '!I23</f>
        <v>0</v>
      </c>
      <c r="S40" s="119">
        <f>'Water '!I24</f>
        <v>0</v>
      </c>
      <c r="T40" s="119">
        <f>'Water '!I25</f>
        <v>0</v>
      </c>
      <c r="U40" s="119">
        <f>'Water '!I26</f>
        <v>0</v>
      </c>
      <c r="V40" s="119">
        <f>'Water '!I27</f>
        <v>0</v>
      </c>
      <c r="W40" s="119">
        <f>'Water '!I28</f>
        <v>0</v>
      </c>
      <c r="X40" s="119">
        <f>'Water '!I29</f>
        <v>0</v>
      </c>
      <c r="Y40" s="119">
        <f>'Water '!I30</f>
        <v>0</v>
      </c>
      <c r="Z40" s="119">
        <f>'Water '!I31</f>
        <v>0</v>
      </c>
      <c r="AA40" s="119">
        <f>'Water '!I32</f>
        <v>0</v>
      </c>
      <c r="AB40" s="119">
        <f>'Water '!I33</f>
        <v>0</v>
      </c>
      <c r="AC40" s="119">
        <f>'Water '!I34</f>
        <v>0</v>
      </c>
      <c r="AD40" s="119" t="str">
        <f>'Water '!M31</f>
        <v>0</v>
      </c>
      <c r="AE40" s="119" t="str">
        <f>'Water '!M32</f>
        <v>0</v>
      </c>
      <c r="AF40" s="119">
        <f>'Water '!M33</f>
        <v>2</v>
      </c>
      <c r="AG40" s="213">
        <f>SUM($B40:AF40)</f>
        <v>166</v>
      </c>
      <c r="AH40" s="213"/>
      <c r="AI40" s="264"/>
    </row>
    <row r="41" spans="1:37" ht="17.25" customHeight="1" x14ac:dyDescent="0.25">
      <c r="A41" s="129" t="s">
        <v>200</v>
      </c>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c r="Z41" s="119"/>
      <c r="AA41" s="119"/>
      <c r="AB41" s="119"/>
      <c r="AC41" s="119"/>
      <c r="AD41" s="119"/>
      <c r="AE41" s="119"/>
      <c r="AF41" s="119"/>
      <c r="AG41" s="213"/>
      <c r="AH41" s="213"/>
      <c r="AI41" s="268"/>
    </row>
    <row r="42" spans="1:37" s="88" customFormat="1" ht="20.25" x14ac:dyDescent="0.3">
      <c r="A42" s="137" t="s">
        <v>192</v>
      </c>
      <c r="B42" s="138">
        <f t="shared" ref="B42:AF42" si="4">SUM(B28:B41)</f>
        <v>297</v>
      </c>
      <c r="C42" s="138">
        <f>SUM(C28:C41)</f>
        <v>408</v>
      </c>
      <c r="D42" s="138">
        <f t="shared" si="4"/>
        <v>287</v>
      </c>
      <c r="E42" s="138">
        <f>SUM(E28:E41)</f>
        <v>111</v>
      </c>
      <c r="F42" s="138">
        <f t="shared" si="4"/>
        <v>60</v>
      </c>
      <c r="G42" s="138">
        <f>SUM(G28:G41)</f>
        <v>308</v>
      </c>
      <c r="H42" s="138">
        <f t="shared" si="4"/>
        <v>253</v>
      </c>
      <c r="I42" s="138">
        <f t="shared" si="4"/>
        <v>379</v>
      </c>
      <c r="J42" s="138">
        <f t="shared" si="4"/>
        <v>239</v>
      </c>
      <c r="K42" s="138">
        <f t="shared" si="4"/>
        <v>322</v>
      </c>
      <c r="L42" s="138">
        <f t="shared" si="4"/>
        <v>319</v>
      </c>
      <c r="M42" s="138">
        <f t="shared" si="4"/>
        <v>84</v>
      </c>
      <c r="N42" s="138">
        <f>SUM(N28:N41)</f>
        <v>221</v>
      </c>
      <c r="O42" s="138">
        <f>SUM(O28:O41)</f>
        <v>400</v>
      </c>
      <c r="P42" s="138">
        <f t="shared" si="4"/>
        <v>388</v>
      </c>
      <c r="Q42" s="138">
        <f t="shared" si="4"/>
        <v>346</v>
      </c>
      <c r="R42" s="138">
        <f t="shared" si="4"/>
        <v>329</v>
      </c>
      <c r="S42" s="138">
        <f t="shared" si="4"/>
        <v>257</v>
      </c>
      <c r="T42" s="138">
        <f t="shared" si="4"/>
        <v>96</v>
      </c>
      <c r="U42" s="138">
        <f t="shared" si="4"/>
        <v>265</v>
      </c>
      <c r="V42" s="138">
        <f t="shared" si="4"/>
        <v>455</v>
      </c>
      <c r="W42" s="138">
        <f t="shared" si="4"/>
        <v>236</v>
      </c>
      <c r="X42" s="138">
        <f t="shared" si="4"/>
        <v>421</v>
      </c>
      <c r="Y42" s="138">
        <f t="shared" si="4"/>
        <v>248</v>
      </c>
      <c r="Z42" s="138">
        <f t="shared" si="4"/>
        <v>35</v>
      </c>
      <c r="AA42" s="138">
        <f>SUM(AA28:AA41)</f>
        <v>36</v>
      </c>
      <c r="AB42" s="138">
        <f t="shared" si="4"/>
        <v>252</v>
      </c>
      <c r="AC42" s="138">
        <f t="shared" si="4"/>
        <v>369</v>
      </c>
      <c r="AD42" s="138">
        <f t="shared" si="4"/>
        <v>35</v>
      </c>
      <c r="AE42" s="138">
        <f t="shared" si="4"/>
        <v>36</v>
      </c>
      <c r="AF42" s="138">
        <f t="shared" si="4"/>
        <v>287.60726289040088</v>
      </c>
      <c r="AG42" s="223">
        <f>SUM($B42:AF42)</f>
        <v>7779.6072628904012</v>
      </c>
      <c r="AH42" s="223"/>
      <c r="AI42" s="269"/>
      <c r="AJ42" s="270"/>
      <c r="AK42" s="270"/>
    </row>
    <row r="43" spans="1:37" ht="18" x14ac:dyDescent="0.2">
      <c r="A43" s="139"/>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c r="AF43" s="75"/>
      <c r="AG43" s="214"/>
      <c r="AH43" s="214"/>
    </row>
    <row r="44" spans="1:37" ht="18" x14ac:dyDescent="0.2">
      <c r="A44" s="139"/>
      <c r="B44" s="75"/>
      <c r="C44" s="75"/>
      <c r="D44" s="75"/>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c r="AF44" s="75"/>
      <c r="AG44" s="214"/>
      <c r="AH44" s="214"/>
    </row>
    <row r="45" spans="1:37" ht="20.25" x14ac:dyDescent="0.3">
      <c r="A45" s="105" t="s">
        <v>193</v>
      </c>
      <c r="B45" s="179"/>
      <c r="C45" s="179"/>
      <c r="D45" s="179"/>
      <c r="E45" s="179"/>
      <c r="F45" s="179"/>
      <c r="G45" s="179"/>
      <c r="H45" s="179"/>
      <c r="I45" s="179"/>
      <c r="J45" s="179"/>
      <c r="K45" s="179"/>
      <c r="L45" s="179"/>
      <c r="M45" s="179"/>
      <c r="N45" s="179"/>
      <c r="O45" s="179"/>
      <c r="P45" s="179"/>
      <c r="Q45" s="179"/>
      <c r="R45" s="179"/>
      <c r="S45" s="179"/>
      <c r="T45" s="179"/>
      <c r="U45" s="179"/>
      <c r="V45" s="179"/>
      <c r="W45" s="179"/>
      <c r="X45" s="179"/>
      <c r="Y45" s="179"/>
      <c r="Z45" s="179"/>
      <c r="AA45" s="179"/>
      <c r="AB45" s="179"/>
      <c r="AC45" s="179"/>
      <c r="AD45" s="179"/>
      <c r="AE45" s="179"/>
      <c r="AF45" s="179"/>
      <c r="AG45" s="224"/>
      <c r="AH45" s="224"/>
    </row>
    <row r="46" spans="1:37" ht="20.25" x14ac:dyDescent="0.3">
      <c r="A46" s="105"/>
      <c r="B46" s="84"/>
      <c r="C46" s="84"/>
      <c r="D46" s="180"/>
      <c r="E46" s="180"/>
      <c r="F46" s="180"/>
      <c r="G46" s="180"/>
      <c r="H46" s="180"/>
      <c r="I46" s="180"/>
      <c r="J46" s="180"/>
      <c r="K46" s="180"/>
      <c r="L46" s="180"/>
      <c r="M46" s="180"/>
      <c r="N46" s="180"/>
      <c r="O46" s="180"/>
      <c r="P46" s="180"/>
      <c r="Q46" s="180"/>
      <c r="R46" s="180"/>
      <c r="S46" s="180"/>
      <c r="T46" s="180"/>
      <c r="U46" s="180"/>
      <c r="V46" s="180"/>
      <c r="W46" s="180"/>
      <c r="X46" s="180"/>
      <c r="Y46" s="180"/>
      <c r="Z46" s="180"/>
      <c r="AA46" s="180"/>
      <c r="AB46" s="180"/>
      <c r="AC46" s="180"/>
      <c r="AD46" s="180"/>
      <c r="AE46" s="180"/>
      <c r="AF46" s="180"/>
      <c r="AG46" s="224"/>
      <c r="AH46" s="224"/>
    </row>
    <row r="47" spans="1:37" s="182" customFormat="1" ht="26.25" x14ac:dyDescent="0.4">
      <c r="A47" s="181" t="s">
        <v>194</v>
      </c>
      <c r="B47" s="178">
        <f>IF('Entries July 2026'!M7-'Entries July 2026'!M6&lt;1,0,'Entries July 2026'!M7-'Entries July 2026'!M6)</f>
        <v>2727.0899999999674</v>
      </c>
      <c r="C47" s="178">
        <f>IF('Entries July 2026'!M8-'Entries July 2026'!M7&lt;1,0,'Entries July 2026'!M8-'Entries July 2026'!M7)</f>
        <v>2440.9900000000489</v>
      </c>
      <c r="D47" s="178">
        <f>IF('Entries July 2026'!M9-'Entries July 2026'!M8&lt;1,0,'Entries July 2026'!M9-'Entries July 2026'!M8)</f>
        <v>1912.9199999999837</v>
      </c>
      <c r="E47" s="178">
        <f>IF('Entries July 2026'!M10-'Entries July 2026'!M9&lt;1,0,'Entries July 2026'!M10-'Entries July 2026'!M9)</f>
        <v>0</v>
      </c>
      <c r="F47" s="178">
        <f>IF('Entries July 2026'!M11-'Entries July 2026'!M10&lt;1,0,'Entries July 2026'!M11-'Entries July 2026'!M10)</f>
        <v>108</v>
      </c>
      <c r="G47" s="178" t="e">
        <f>IF('Entries July 2026'!#REF!-'Entries July 2026'!M11&lt;1,0,'Entries July 2026'!#REF!-'Entries July 2026'!M11)</f>
        <v>#REF!</v>
      </c>
      <c r="H47" s="178" t="e">
        <f>IF('Entries July 2026'!M13-'Entries July 2026'!#REF!&lt;1,0,'Entries July 2026'!M13-'Entries July 2026'!#REF!)</f>
        <v>#REF!</v>
      </c>
      <c r="I47" s="178">
        <f>IF('Entries July 2026'!M14-'Entries July 2026'!M13&lt;1,0,'Entries July 2026'!M14-'Entries July 2026'!M13)</f>
        <v>3199.6900000000023</v>
      </c>
      <c r="J47" s="178">
        <f>IF('Entries July 2026'!M15-'Entries July 2026'!M14&lt;1,0,'Entries July 2026'!M15-'Entries July 2026'!M14)</f>
        <v>1600.7199999999721</v>
      </c>
      <c r="K47" s="178">
        <f>IF('Entries July 2026'!M16-'Entries July 2026'!M15&lt;1,0,'Entries July 2026'!M16-'Entries July 2026'!M15)</f>
        <v>1828.6800000000512</v>
      </c>
      <c r="L47" s="177">
        <f>IF('Entries July 2026'!M17-'Entries July 2026'!M16&lt;1,0,'Entries July 2026'!M17-'Entries July 2026'!M16)</f>
        <v>142.07999999995809</v>
      </c>
      <c r="M47" s="178">
        <f>IF('Entries July 2026'!M18-'Entries July 2026'!M17&lt;1,0,'Entries July 2026'!M18-'Entries July 2026'!M17)</f>
        <v>0</v>
      </c>
      <c r="N47" s="178">
        <f>IF('Entries July 2026'!M19-'Entries July 2026'!M18&lt;1,0,'Entries July 2026'!M19-'Entries July 2026'!M18)</f>
        <v>1466.7399999999907</v>
      </c>
      <c r="O47" s="178">
        <f>IF('Entries July 2026'!M20-'Entries July 2026'!M19&lt;1,0,'Entries July 2026'!M20-'Entries July 2026'!M19)</f>
        <v>2219.4000000000233</v>
      </c>
      <c r="P47" s="178">
        <f>IF('Entries July 2026'!M21-'Entries July 2026'!M20&lt;1,0,'Entries July 2026'!M21-'Entries July 2026'!M20)</f>
        <v>1795.3700000000536</v>
      </c>
      <c r="Q47" s="178">
        <f>IF('Entries July 2026'!M22-'Entries July 2026'!M21&lt;1,0,'Entries July 2026'!M22-'Entries July 2026'!M21)</f>
        <v>2240.5099999998929</v>
      </c>
      <c r="R47" s="178">
        <f>IF('Entries July 2026'!M23-'Entries July 2026'!M22&lt;1,0,'Entries July 2026'!M23-'Entries July 2026'!M22)</f>
        <v>1076.5</v>
      </c>
      <c r="S47" s="178">
        <f>IF('Entries July 2026'!N23-'Entries July 2026'!N22&lt;1,0,'Entries July 2026'!N23-'Entries July 2026'!N22)</f>
        <v>41.460000000006403</v>
      </c>
      <c r="T47" s="178">
        <f>IF('Entries July 2026'!O23-'Entries July 2026'!O22&lt;1,0,'Entries July 2026'!O23-'Entries July 2026'!O22)</f>
        <v>74</v>
      </c>
      <c r="U47" s="178">
        <f>IF('Entries July 2026'!P23-'Entries July 2026'!P22&lt;1,0,'Entries July 2026'!P23-'Entries July 2026'!P22)</f>
        <v>262</v>
      </c>
      <c r="V47" s="178">
        <f>IF('Entries July 2026'!O24-'Entries July 2026'!O23&lt;1,0,'Entries July 2026'!O24-'Entries July 2026'!O23)</f>
        <v>30</v>
      </c>
      <c r="W47" s="178">
        <f>IF('Entries July 2026'!P24-'Entries July 2026'!P23&lt;1,0,'Entries July 2026'!P24-'Entries July 2026'!P23)</f>
        <v>107</v>
      </c>
      <c r="X47" s="178">
        <f>IF('Entries July 2026'!Q24-'Entries July 2026'!Q23&lt;1,0,'Entries July 2026'!Q24-'Entries July 2026'!Q23)</f>
        <v>71</v>
      </c>
      <c r="Y47" s="178">
        <f>IF('Entries July 2026'!R24-'Entries July 2026'!R23&lt;1,0,'Entries July 2026'!R24-'Entries July 2026'!R23)</f>
        <v>0</v>
      </c>
      <c r="Z47" s="178">
        <f>IF('Entries July 2026'!S24-'Entries July 2026'!S23&lt;1,0,'Entries July 2026'!S24-'Entries July 2026'!S23)</f>
        <v>40</v>
      </c>
      <c r="AA47" s="178">
        <f>IF('Entries July 2026'!T24-'Entries July 2026'!T23&lt;1,0,'Entries July 2026'!T24-'Entries July 2026'!T23)</f>
        <v>0</v>
      </c>
      <c r="AB47" s="178">
        <f>IF('Entries July 2026'!U24-'Entries July 2026'!U23&lt;1,0,'Entries July 2026'!U24-'Entries July 2026'!U23)</f>
        <v>0</v>
      </c>
      <c r="AC47" s="178">
        <f>IF('Entries July 2026'!V24-'Entries July 2026'!V23&lt;1,0,'Entries July 2026'!V24-'Entries July 2026'!V23)</f>
        <v>112</v>
      </c>
      <c r="AD47" s="178">
        <f>IF('Entries July 2026'!W24-'Entries July 2026'!W23&lt;1,0,'Entries July 2026'!W24-'Entries July 2026'!W23)</f>
        <v>0</v>
      </c>
      <c r="AE47" s="178">
        <f>IF('Entries July 2026'!X24-'Entries July 2026'!X23&lt;1,0,'Entries July 2026'!X24-'Entries July 2026'!X23)</f>
        <v>1</v>
      </c>
      <c r="AF47" s="178">
        <f>IF('Entries July 2026'!Y24-'Entries July 2026'!Y23&lt;1,0,'Entries July 2026'!Y24-'Entries July 2026'!Y23)</f>
        <v>28</v>
      </c>
      <c r="AG47" s="225" t="e">
        <f>SUM($B47:AF47)</f>
        <v>#REF!</v>
      </c>
      <c r="AH47" s="226"/>
      <c r="AI47" s="226"/>
      <c r="AJ47" s="271"/>
      <c r="AK47" s="271"/>
    </row>
    <row r="48" spans="1:37" ht="20.25" hidden="1" x14ac:dyDescent="0.3">
      <c r="A48" s="105"/>
      <c r="B48" s="140"/>
      <c r="C48" s="140"/>
      <c r="D48" s="140"/>
      <c r="E48" s="140"/>
      <c r="F48" s="140"/>
      <c r="G48" s="140"/>
      <c r="H48" s="140"/>
      <c r="I48" s="140"/>
      <c r="J48" s="140"/>
      <c r="K48" s="140"/>
      <c r="L48" s="140"/>
      <c r="M48" s="140"/>
      <c r="N48" s="140"/>
      <c r="O48" s="140"/>
      <c r="P48" s="140"/>
      <c r="Q48" s="140"/>
      <c r="R48" s="140"/>
      <c r="S48" s="140"/>
      <c r="T48" s="140"/>
      <c r="U48" s="140"/>
      <c r="V48" s="140"/>
      <c r="W48" s="140"/>
      <c r="X48" s="140"/>
      <c r="Y48" s="140"/>
      <c r="Z48" s="140"/>
      <c r="AA48" s="140"/>
      <c r="AB48" s="140"/>
      <c r="AC48" s="140"/>
      <c r="AD48" s="140"/>
      <c r="AE48" s="140"/>
      <c r="AF48" s="140"/>
      <c r="AG48" s="227"/>
      <c r="AH48" s="208"/>
      <c r="AI48" s="272"/>
    </row>
    <row r="49" spans="1:37" s="188" customFormat="1" ht="20.25" x14ac:dyDescent="0.3">
      <c r="A49" s="186" t="s">
        <v>195</v>
      </c>
      <c r="B49" s="187">
        <f>'Daily KPIs'!B76</f>
        <v>293.59000000001106</v>
      </c>
      <c r="C49" s="187">
        <f>'Daily KPIs'!C76</f>
        <v>446.58999999999651</v>
      </c>
      <c r="D49" s="187">
        <f>'Daily KPIs'!D76</f>
        <v>210.05000000000291</v>
      </c>
      <c r="E49" s="187" t="str">
        <f>'Daily KPIs'!E76</f>
        <v>0</v>
      </c>
      <c r="F49" s="187">
        <f>'Daily KPIs'!F76</f>
        <v>16.30000000000291</v>
      </c>
      <c r="G49" s="187">
        <f>'Daily KPIs'!G76</f>
        <v>211.69999999999709</v>
      </c>
      <c r="H49" s="187">
        <f>'Daily KPIs'!H76</f>
        <v>117.66999999999825</v>
      </c>
      <c r="I49" s="187">
        <f>'Daily KPIs'!I76</f>
        <v>280.24000000000524</v>
      </c>
      <c r="J49" s="187">
        <f>'Daily KPIs'!J76</f>
        <v>157.80999999999767</v>
      </c>
      <c r="K49" s="187">
        <f>'Daily KPIs'!K76</f>
        <v>201.15999999998894</v>
      </c>
      <c r="L49" s="187" t="str">
        <f>'Daily KPIs'!L76</f>
        <v>0</v>
      </c>
      <c r="M49" s="187" t="str">
        <f>'Daily KPIs'!M76</f>
        <v>0</v>
      </c>
      <c r="N49" s="187">
        <f>'Daily KPIs'!N76</f>
        <v>213.01000000000931</v>
      </c>
      <c r="O49" s="187">
        <f>'Daily KPIs'!O76</f>
        <v>309.86000000000058</v>
      </c>
      <c r="P49" s="187">
        <f>'Daily KPIs'!P76</f>
        <v>267.38999999999942</v>
      </c>
      <c r="Q49" s="187">
        <f>'Daily KPIs'!Q76</f>
        <v>218.67999999999302</v>
      </c>
      <c r="R49" s="187">
        <f>'Daily KPIs'!R76</f>
        <v>41.460000000006403</v>
      </c>
      <c r="S49" s="187" t="str">
        <f>'Daily KPIs'!S76</f>
        <v>0</v>
      </c>
      <c r="T49" s="187" t="str">
        <f>'Daily KPIs'!T76</f>
        <v>0</v>
      </c>
      <c r="U49" s="187">
        <f>'Daily KPIs'!U76</f>
        <v>241.59999999999127</v>
      </c>
      <c r="V49" s="187">
        <f>'Daily KPIs'!V76</f>
        <v>314.54000000000815</v>
      </c>
      <c r="W49" s="187">
        <f>'Daily KPIs'!W76</f>
        <v>87.910000000003492</v>
      </c>
      <c r="X49" s="187">
        <f>'Daily KPIs'!X76</f>
        <v>152.23999999999069</v>
      </c>
      <c r="Y49" s="187">
        <f>'Daily KPIs'!Y76</f>
        <v>62.260000000009313</v>
      </c>
      <c r="Z49" s="187" t="str">
        <f>'Daily KPIs'!Z76</f>
        <v>0</v>
      </c>
      <c r="AA49" s="187" t="str">
        <f>'Daily KPIs'!AA76</f>
        <v>0</v>
      </c>
      <c r="AB49" s="187">
        <f>'Daily KPIs'!AB76</f>
        <v>193.30999999999767</v>
      </c>
      <c r="AC49" s="187">
        <f>'Daily KPIs'!AC76</f>
        <v>364.52000000000407</v>
      </c>
      <c r="AD49" s="187">
        <f>'Daily KPIs'!AD76</f>
        <v>215.04999999998836</v>
      </c>
      <c r="AE49" s="187">
        <f>'Daily KPIs'!AE76</f>
        <v>266.26000000000931</v>
      </c>
      <c r="AF49" s="187">
        <f>'Daily KPIs'!AF76</f>
        <v>219.75999999999476</v>
      </c>
      <c r="AG49" s="228">
        <f>SUM($B49:AF49)</f>
        <v>5102.9600000000064</v>
      </c>
      <c r="AH49" s="229"/>
      <c r="AI49" s="273"/>
      <c r="AJ49" s="274"/>
      <c r="AK49" s="274"/>
    </row>
    <row r="50" spans="1:37" ht="18" hidden="1" x14ac:dyDescent="0.25">
      <c r="A50" s="105"/>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214"/>
      <c r="AH50" s="214"/>
    </row>
    <row r="51" spans="1:37" ht="18" x14ac:dyDescent="0.25">
      <c r="A51" s="104"/>
      <c r="B51" s="85"/>
      <c r="C51" s="85"/>
      <c r="D51" s="85"/>
      <c r="E51" s="85"/>
      <c r="F51" s="85"/>
      <c r="G51" s="85"/>
      <c r="H51" s="85"/>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214"/>
      <c r="AH51" s="214"/>
    </row>
    <row r="52" spans="1:37" s="88" customFormat="1" ht="20.25" x14ac:dyDescent="0.3">
      <c r="A52" s="137" t="s">
        <v>132</v>
      </c>
      <c r="B52" s="141">
        <f>'Elec.July 2026'!$B$7</f>
        <v>6440</v>
      </c>
      <c r="C52" s="141">
        <f>'Elec.July 2026'!$B$8</f>
        <v>8601</v>
      </c>
      <c r="D52" s="141">
        <f>'Elec.July 2026'!$B$9</f>
        <v>8712</v>
      </c>
      <c r="E52" s="141">
        <f>'Elec.July 2026'!$B$10</f>
        <v>3652</v>
      </c>
      <c r="F52" s="141">
        <f>'Elec.July 2026'!$B$11</f>
        <v>5363</v>
      </c>
      <c r="G52" s="141">
        <f>'Elec.July 2026'!$B$12</f>
        <v>7179</v>
      </c>
      <c r="H52" s="141">
        <f>'Elec.July 2026'!$B$13</f>
        <v>8166</v>
      </c>
      <c r="I52" s="141">
        <f>'Elec.July 2026'!$B$14</f>
        <v>10084</v>
      </c>
      <c r="J52" s="141">
        <f>'Elec.July 2026'!$B$15</f>
        <v>6592</v>
      </c>
      <c r="K52" s="141">
        <f>'Elec.July 2026'!$B$16</f>
        <v>7603</v>
      </c>
      <c r="L52" s="141">
        <f>'Elec.July 2026'!$B$17</f>
        <v>3837</v>
      </c>
      <c r="M52" s="141">
        <f>'Elec.July 2026'!$B$18</f>
        <v>4845</v>
      </c>
      <c r="N52" s="141">
        <f>'Elec.July 2026'!$B$19</f>
        <v>8262</v>
      </c>
      <c r="O52" s="141">
        <f>'Elec.July 2026'!$B$20</f>
        <v>8508</v>
      </c>
      <c r="P52" s="141">
        <f>'Elec.July 2026'!$B$21</f>
        <v>8647</v>
      </c>
      <c r="Q52" s="141">
        <f>'Elec.July 2026'!$B$22</f>
        <v>7504</v>
      </c>
      <c r="R52" s="141">
        <f>'Elec.July 2026'!$B$23</f>
        <v>7017</v>
      </c>
      <c r="S52" s="141">
        <f>'Elec.July 2026'!$B$24</f>
        <v>3504</v>
      </c>
      <c r="T52" s="141">
        <f>'Elec.July 2026'!$B$24</f>
        <v>3504</v>
      </c>
      <c r="U52" s="141">
        <f>'Elec.July 2026'!$B$24</f>
        <v>3504</v>
      </c>
      <c r="V52" s="141">
        <f>'Elec.July 2026'!$B$24</f>
        <v>3504</v>
      </c>
      <c r="W52" s="141">
        <f>'Elec.July 2026'!$B$24</f>
        <v>3504</v>
      </c>
      <c r="X52" s="141">
        <f>'Elec.July 2026'!$B$24</f>
        <v>3504</v>
      </c>
      <c r="Y52" s="141">
        <f>'Elec.July 2026'!$B$24</f>
        <v>3504</v>
      </c>
      <c r="Z52" s="141">
        <f>'Elec.July 2026'!$B$24</f>
        <v>3504</v>
      </c>
      <c r="AA52" s="141">
        <f>'Elec.July 2026'!$B$24</f>
        <v>3504</v>
      </c>
      <c r="AB52" s="141">
        <f>'Elec.July 2026'!$B$24</f>
        <v>3504</v>
      </c>
      <c r="AC52" s="141">
        <f>'Elec.July 2026'!$B$24</f>
        <v>3504</v>
      </c>
      <c r="AD52" s="141">
        <f>'Elec.July 2026'!$B$24</f>
        <v>3504</v>
      </c>
      <c r="AE52" s="141">
        <f>'Elec.July 2026'!$B$24</f>
        <v>3504</v>
      </c>
      <c r="AF52" s="141">
        <f>'Elec.July 2026'!$B$24</f>
        <v>3504</v>
      </c>
      <c r="AG52" s="217">
        <f>SUM(B52:AC52)</f>
        <v>159556</v>
      </c>
      <c r="AH52" s="217"/>
      <c r="AI52" s="269"/>
      <c r="AJ52" s="270"/>
      <c r="AK52" s="270"/>
    </row>
    <row r="53" spans="1:37" ht="20.25" x14ac:dyDescent="0.3">
      <c r="A53" s="105"/>
      <c r="B53" s="142"/>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c r="AA53" s="142"/>
      <c r="AB53" s="142"/>
      <c r="AC53" s="142"/>
      <c r="AD53" s="142"/>
      <c r="AE53" s="142"/>
      <c r="AF53" s="142"/>
      <c r="AG53" s="208"/>
      <c r="AH53" s="208"/>
      <c r="AI53" s="272"/>
    </row>
    <row r="54" spans="1:37" s="88" customFormat="1" ht="20.25" x14ac:dyDescent="0.3">
      <c r="A54" s="137" t="s">
        <v>133</v>
      </c>
      <c r="B54" s="143">
        <f>+'Fuel '!$K7</f>
        <v>2840</v>
      </c>
      <c r="C54" s="143">
        <f>+'Fuel '!$K8</f>
        <v>3450</v>
      </c>
      <c r="D54" s="143">
        <f>+'Fuel '!$K9</f>
        <v>2990</v>
      </c>
      <c r="E54" s="143">
        <f>+'Fuel '!$K10</f>
        <v>940</v>
      </c>
      <c r="F54" s="143">
        <f>+'Fuel '!$K11</f>
        <v>1480</v>
      </c>
      <c r="G54" s="143">
        <f>+'Fuel '!$K12</f>
        <v>2410</v>
      </c>
      <c r="H54" s="143">
        <f>+'Fuel '!$K13</f>
        <v>2810</v>
      </c>
      <c r="I54" s="143">
        <f>+'Fuel '!$K14</f>
        <v>3510</v>
      </c>
      <c r="J54" s="143">
        <f>+'Fuel '!$K15</f>
        <v>2510</v>
      </c>
      <c r="K54" s="143">
        <f>+'Fuel '!$K16</f>
        <v>2950</v>
      </c>
      <c r="L54" s="143">
        <f>+'Fuel '!$K17</f>
        <v>2000</v>
      </c>
      <c r="M54" s="143">
        <f>+'Fuel '!$K18</f>
        <v>2480</v>
      </c>
      <c r="N54" s="143">
        <f>+'Fuel '!$K19</f>
        <v>2280</v>
      </c>
      <c r="O54" s="143">
        <f>+'Fuel '!$K20</f>
        <v>3620</v>
      </c>
      <c r="P54" s="143">
        <f>+'Fuel '!$K21</f>
        <v>2990</v>
      </c>
      <c r="Q54" s="143">
        <f>+'Fuel '!$K22</f>
        <v>2910</v>
      </c>
      <c r="R54" s="143">
        <f>+'Fuel '!$K23</f>
        <v>2830</v>
      </c>
      <c r="S54" s="143">
        <f>+'Fuel '!$K24</f>
        <v>840</v>
      </c>
      <c r="T54" s="143">
        <f>+'Fuel '!$K24</f>
        <v>840</v>
      </c>
      <c r="U54" s="143">
        <f>+'Fuel '!$K24</f>
        <v>840</v>
      </c>
      <c r="V54" s="143">
        <f>+'Fuel '!$K24</f>
        <v>840</v>
      </c>
      <c r="W54" s="143">
        <f>+'Fuel '!$K24</f>
        <v>840</v>
      </c>
      <c r="X54" s="143">
        <f>+'Fuel '!$K24</f>
        <v>840</v>
      </c>
      <c r="Y54" s="143">
        <f>+'Fuel '!$K24</f>
        <v>840</v>
      </c>
      <c r="Z54" s="143">
        <f>+'Fuel '!$K24</f>
        <v>840</v>
      </c>
      <c r="AA54" s="143">
        <f>+'Fuel '!$K24</f>
        <v>840</v>
      </c>
      <c r="AB54" s="143">
        <f>+'Fuel '!$K24</f>
        <v>840</v>
      </c>
      <c r="AC54" s="143">
        <f>+'Fuel '!$K24</f>
        <v>840</v>
      </c>
      <c r="AD54" s="143">
        <f>+'Fuel '!$K24</f>
        <v>840</v>
      </c>
      <c r="AE54" s="143">
        <f>+'Fuel '!$K24</f>
        <v>840</v>
      </c>
      <c r="AF54" s="143">
        <f>+'Fuel '!$K24</f>
        <v>840</v>
      </c>
      <c r="AG54" s="230">
        <f>SUM($B54:AF54)</f>
        <v>56760</v>
      </c>
      <c r="AH54" s="217"/>
      <c r="AI54" s="269"/>
      <c r="AJ54" s="270"/>
      <c r="AK54" s="270"/>
    </row>
    <row r="55" spans="1:37" ht="18" hidden="1" x14ac:dyDescent="0.25">
      <c r="A55" s="105"/>
      <c r="B55" s="85"/>
      <c r="C55" s="85"/>
      <c r="D55" s="85"/>
      <c r="E55" s="85"/>
      <c r="F55" s="85"/>
      <c r="G55" s="85"/>
      <c r="H55" s="85"/>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214"/>
      <c r="AH55" s="214"/>
    </row>
    <row r="56" spans="1:37" ht="18" x14ac:dyDescent="0.25">
      <c r="A56" s="104"/>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214"/>
      <c r="AH56" s="214"/>
    </row>
    <row r="57" spans="1:37" ht="18" x14ac:dyDescent="0.25">
      <c r="A57" s="105" t="s">
        <v>191</v>
      </c>
      <c r="B57" s="81"/>
      <c r="C57" s="81"/>
      <c r="D57" s="81"/>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row>
    <row r="58" spans="1:37" s="77" customFormat="1" ht="18" x14ac:dyDescent="0.25">
      <c r="A58" s="106" t="s">
        <v>123</v>
      </c>
      <c r="B58" s="107">
        <v>1</v>
      </c>
      <c r="C58" s="107">
        <v>2</v>
      </c>
      <c r="D58" s="107">
        <v>3</v>
      </c>
      <c r="E58" s="107">
        <v>4</v>
      </c>
      <c r="F58" s="107">
        <v>5</v>
      </c>
      <c r="G58" s="107">
        <v>6</v>
      </c>
      <c r="H58" s="107">
        <v>7</v>
      </c>
      <c r="I58" s="107">
        <v>8</v>
      </c>
      <c r="J58" s="107">
        <v>9</v>
      </c>
      <c r="K58" s="107">
        <v>10</v>
      </c>
      <c r="L58" s="107">
        <v>11</v>
      </c>
      <c r="M58" s="107">
        <v>12</v>
      </c>
      <c r="N58" s="107">
        <v>13</v>
      </c>
      <c r="O58" s="107">
        <v>14</v>
      </c>
      <c r="P58" s="107">
        <v>15</v>
      </c>
      <c r="Q58" s="107">
        <v>16</v>
      </c>
      <c r="R58" s="107">
        <v>17</v>
      </c>
      <c r="S58" s="107">
        <v>18</v>
      </c>
      <c r="T58" s="107">
        <v>19</v>
      </c>
      <c r="U58" s="107">
        <v>20</v>
      </c>
      <c r="V58" s="107">
        <v>21</v>
      </c>
      <c r="W58" s="107">
        <v>22</v>
      </c>
      <c r="X58" s="107">
        <v>9</v>
      </c>
      <c r="Y58" s="107">
        <v>24</v>
      </c>
      <c r="Z58" s="107">
        <v>25</v>
      </c>
      <c r="AA58" s="107">
        <v>26</v>
      </c>
      <c r="AB58" s="107">
        <v>27</v>
      </c>
      <c r="AC58" s="107">
        <v>28</v>
      </c>
      <c r="AD58" s="107">
        <v>29</v>
      </c>
      <c r="AE58" s="107">
        <v>30</v>
      </c>
      <c r="AF58" s="107">
        <v>31</v>
      </c>
      <c r="AG58" s="211" t="s">
        <v>85</v>
      </c>
      <c r="AH58" s="211" t="s">
        <v>153</v>
      </c>
      <c r="AI58" s="211" t="s">
        <v>202</v>
      </c>
      <c r="AJ58" s="260"/>
      <c r="AK58" s="260"/>
    </row>
    <row r="59" spans="1:37" s="78" customFormat="1" ht="20.25" x14ac:dyDescent="0.3">
      <c r="A59" s="124" t="s">
        <v>137</v>
      </c>
      <c r="B59" s="144">
        <f>IF(B$9=0,"",+(B18*10)/B$9)</f>
        <v>9.3882744478719768</v>
      </c>
      <c r="C59" s="144">
        <f>IF(C$9=0,"",+(C18*10)/C$9)</f>
        <v>9.5000003941908879</v>
      </c>
      <c r="D59" s="144">
        <f t="shared" ref="D59:Y59" si="5">IF(D$9=0,"",+(D18*10)/D$9)</f>
        <v>3.0481857198595397</v>
      </c>
      <c r="E59" s="144" t="str">
        <f t="shared" si="5"/>
        <v/>
      </c>
      <c r="F59" s="144" t="str">
        <f t="shared" si="5"/>
        <v/>
      </c>
      <c r="G59" s="144">
        <f t="shared" si="5"/>
        <v>7.6195762249746828</v>
      </c>
      <c r="H59" s="144">
        <f t="shared" si="5"/>
        <v>18.629693157995042</v>
      </c>
      <c r="I59" s="144">
        <f t="shared" si="5"/>
        <v>3.1322333354568812</v>
      </c>
      <c r="J59" s="144">
        <f t="shared" si="5"/>
        <v>12.639170275645432</v>
      </c>
      <c r="K59" s="144">
        <f t="shared" ref="K59:S59" si="6">IF(K$9=0,"",+(K18*10)/K$9)</f>
        <v>11.802293016929003</v>
      </c>
      <c r="L59" s="144" t="str">
        <f t="shared" si="6"/>
        <v/>
      </c>
      <c r="M59" s="144" t="str">
        <f t="shared" si="6"/>
        <v/>
      </c>
      <c r="N59" s="144">
        <f t="shared" si="6"/>
        <v>6.8758901822110889</v>
      </c>
      <c r="O59" s="144">
        <f t="shared" si="6"/>
        <v>5.566877081365873</v>
      </c>
      <c r="P59" s="144">
        <f t="shared" si="6"/>
        <v>13.567751054982923</v>
      </c>
      <c r="Q59" s="144">
        <f t="shared" si="6"/>
        <v>7.8333403903967485</v>
      </c>
      <c r="R59" s="144">
        <f t="shared" si="6"/>
        <v>46.705587989991663</v>
      </c>
      <c r="S59" s="144" t="str">
        <f t="shared" si="6"/>
        <v/>
      </c>
      <c r="T59" s="144" t="str">
        <f t="shared" si="5"/>
        <v/>
      </c>
      <c r="U59" s="144">
        <f t="shared" si="5"/>
        <v>7.0780800707807998</v>
      </c>
      <c r="V59" s="144">
        <f t="shared" si="5"/>
        <v>8.1975735182386007</v>
      </c>
      <c r="W59" s="144">
        <f t="shared" si="5"/>
        <v>19.451603029315638</v>
      </c>
      <c r="X59" s="144">
        <f t="shared" si="5"/>
        <v>13.601972285981468</v>
      </c>
      <c r="Y59" s="144">
        <f t="shared" si="5"/>
        <v>47.566179031696272</v>
      </c>
      <c r="Z59" s="144" t="str">
        <f>IF(Z$9=0,"",+(Z18*10)/Z$9)</f>
        <v/>
      </c>
      <c r="AA59" s="144" t="str">
        <f t="shared" ref="AA59:AF59" si="7">IF(AA$9=0,"",+(AA18*10)/AA$9)</f>
        <v/>
      </c>
      <c r="AB59" s="144">
        <f t="shared" si="7"/>
        <v>8.6072628904008521</v>
      </c>
      <c r="AC59" s="144">
        <f t="shared" si="7"/>
        <v>5.3111293859649127</v>
      </c>
      <c r="AD59" s="144" t="str">
        <f t="shared" si="7"/>
        <v/>
      </c>
      <c r="AE59" s="144" t="str">
        <f t="shared" si="7"/>
        <v/>
      </c>
      <c r="AF59" s="144">
        <f t="shared" si="7"/>
        <v>8.1261550748999323</v>
      </c>
      <c r="AG59" s="231">
        <f>IF(AG$9=0,"",+(AG18*10)/AG$9)</f>
        <v>11.354530348650217</v>
      </c>
      <c r="AH59" s="232">
        <f>'Daily KPIs'!AI90</f>
        <v>10.199999999999999</v>
      </c>
      <c r="AI59" s="275">
        <f>+AH59-AG59</f>
        <v>-1.1545303486502174</v>
      </c>
      <c r="AJ59" s="263"/>
      <c r="AK59" s="263"/>
    </row>
    <row r="60" spans="1:37" ht="18" hidden="1" x14ac:dyDescent="0.2">
      <c r="A60" s="109"/>
      <c r="M60" s="82"/>
      <c r="AG60" s="233"/>
      <c r="AH60" s="233"/>
    </row>
    <row r="61" spans="1:37" ht="18" x14ac:dyDescent="0.2">
      <c r="A61" s="126" t="s">
        <v>140</v>
      </c>
      <c r="M61" s="82"/>
      <c r="AF61" s="82"/>
      <c r="AG61" s="211" t="s">
        <v>85</v>
      </c>
      <c r="AH61" s="211" t="s">
        <v>153</v>
      </c>
      <c r="AI61" s="211" t="s">
        <v>202</v>
      </c>
    </row>
    <row r="62" spans="1:37" ht="18" x14ac:dyDescent="0.25">
      <c r="A62" s="109" t="s">
        <v>126</v>
      </c>
      <c r="B62" s="145">
        <f>IF(B$9=0,"",+(B28*10)/B$9)</f>
        <v>3.2636439389893552</v>
      </c>
      <c r="C62" s="145">
        <f>IF(C$9=0,"",+(C28*10)/C$9)</f>
        <v>4.336099764983393</v>
      </c>
      <c r="D62" s="145">
        <f t="shared" ref="D62:W62" si="8">IF(D$9=0,"",+(D28*10)/D$9)</f>
        <v>2.8449733385355702</v>
      </c>
      <c r="E62" s="145" t="str">
        <f t="shared" si="8"/>
        <v/>
      </c>
      <c r="F62" s="145" t="str">
        <f t="shared" si="8"/>
        <v/>
      </c>
      <c r="G62" s="145">
        <f t="shared" si="8"/>
        <v>2.5560878709978967</v>
      </c>
      <c r="H62" s="145">
        <f t="shared" si="8"/>
        <v>6.4798932723461018</v>
      </c>
      <c r="I62" s="145">
        <f t="shared" si="8"/>
        <v>5.1496039582935165</v>
      </c>
      <c r="J62" s="145">
        <f t="shared" si="8"/>
        <v>2.0135933037180225</v>
      </c>
      <c r="K62" s="145">
        <f t="shared" si="8"/>
        <v>4.6866248299669646</v>
      </c>
      <c r="L62" s="145" t="str">
        <f t="shared" si="8"/>
        <v/>
      </c>
      <c r="M62" s="145" t="str">
        <f t="shared" ref="M62:S62" si="9">IF(M$9=0,"",+(M28*10)/M$9)</f>
        <v/>
      </c>
      <c r="N62" s="145">
        <f t="shared" si="9"/>
        <v>0.85948627277638612</v>
      </c>
      <c r="O62" s="145">
        <f t="shared" si="9"/>
        <v>3.4130258296469336</v>
      </c>
      <c r="P62" s="145">
        <f t="shared" si="9"/>
        <v>3.894924732514109</v>
      </c>
      <c r="Q62" s="145">
        <f t="shared" si="9"/>
        <v>3.881384878124515</v>
      </c>
      <c r="R62" s="145">
        <f t="shared" si="9"/>
        <v>22.796775090353073</v>
      </c>
      <c r="S62" s="145" t="str">
        <f t="shared" si="9"/>
        <v/>
      </c>
      <c r="T62" s="145" t="str">
        <f t="shared" si="8"/>
        <v/>
      </c>
      <c r="U62" s="145">
        <f t="shared" si="8"/>
        <v>2.3839366905060335</v>
      </c>
      <c r="V62" s="145">
        <f t="shared" si="8"/>
        <v>4.7186032934251463</v>
      </c>
      <c r="W62" s="145">
        <f t="shared" si="8"/>
        <v>7.0104762186873621</v>
      </c>
      <c r="X62" s="145">
        <f>IF(X$9=0,"",+(X28*10)/X$9)</f>
        <v>10.00826938087841</v>
      </c>
      <c r="Y62" s="145">
        <f t="shared" ref="Y62:AF62" si="10">IF(Y$9=0,"",+(Y28*10)/Y$9)</f>
        <v>13.061650992685475</v>
      </c>
      <c r="Z62" s="145" t="str">
        <f t="shared" si="10"/>
        <v/>
      </c>
      <c r="AA62" s="145" t="str">
        <f t="shared" si="10"/>
        <v/>
      </c>
      <c r="AB62" s="145">
        <f t="shared" si="10"/>
        <v>2.2679454600103832</v>
      </c>
      <c r="AC62" s="145">
        <f t="shared" si="10"/>
        <v>2.4297248803827749</v>
      </c>
      <c r="AD62" s="145" t="str">
        <f t="shared" si="10"/>
        <v/>
      </c>
      <c r="AE62" s="145" t="str">
        <f t="shared" si="10"/>
        <v/>
      </c>
      <c r="AF62" s="145">
        <f t="shared" si="10"/>
        <v>2.1411773689418867</v>
      </c>
      <c r="AG62" s="234">
        <f>IF(+(AG28*10)/AG$9&lt;1,0,+(AG28*10)/AG$9)</f>
        <v>4.3190798882558123</v>
      </c>
      <c r="AH62" s="234">
        <v>2.5</v>
      </c>
      <c r="AI62" s="235">
        <f t="shared" ref="AI62:AI78" si="11">AH62-AG62</f>
        <v>-1.8190798882558123</v>
      </c>
    </row>
    <row r="63" spans="1:37" ht="18.75" x14ac:dyDescent="0.3">
      <c r="A63" s="167" t="s">
        <v>215</v>
      </c>
      <c r="B63" s="168">
        <f>IF(B$93=0,"",+(B28*10)/B$93)</f>
        <v>4.4911052785068533</v>
      </c>
      <c r="C63" s="168">
        <f t="shared" ref="C63:X63" si="12">IF(C$93=0,"",+(C28*10)/C$93)</f>
        <v>6.269592476489029</v>
      </c>
      <c r="D63" s="168">
        <f t="shared" si="12"/>
        <v>3.9370078740157477</v>
      </c>
      <c r="E63" s="168" t="str">
        <f t="shared" si="12"/>
        <v/>
      </c>
      <c r="F63" s="168" t="str">
        <f t="shared" si="12"/>
        <v/>
      </c>
      <c r="G63" s="168">
        <f t="shared" si="12"/>
        <v>5.2186878727634198</v>
      </c>
      <c r="H63" s="168">
        <f t="shared" si="12"/>
        <v>3.8669320443559854</v>
      </c>
      <c r="I63" s="168">
        <f>IF(I$93=0,"",+(I28*10)/I$93)</f>
        <v>4.2891885916427146</v>
      </c>
      <c r="J63" s="168" t="str">
        <f t="shared" si="12"/>
        <v/>
      </c>
      <c r="K63" s="168">
        <f t="shared" si="12"/>
        <v>8.0510554737358859</v>
      </c>
      <c r="L63" s="168">
        <f t="shared" si="12"/>
        <v>3.2</v>
      </c>
      <c r="M63" s="168">
        <f t="shared" si="12"/>
        <v>5.9656218402426688</v>
      </c>
      <c r="N63" s="168">
        <f t="shared" si="12"/>
        <v>6.9721115537848606</v>
      </c>
      <c r="O63" s="168">
        <f>IF(O$93=0,"",+(O28*10)/O$93)</f>
        <v>4.5930880713489408</v>
      </c>
      <c r="P63" s="168">
        <f>IF(P$93=0,"",+(P28*10)/P$93)</f>
        <v>4.224958030218243</v>
      </c>
      <c r="Q63" s="168">
        <f>IF(Q$93=0,"",+(Q28*10)/Q$93)</f>
        <v>4.1167664670658679</v>
      </c>
      <c r="R63" s="168" t="str">
        <f>IF(R$93=0,"",+(R28*10)/R$93)</f>
        <v/>
      </c>
      <c r="S63" s="168" t="str">
        <f>IF(S$93=0,"",+(S28*10)/S$93)</f>
        <v/>
      </c>
      <c r="T63" s="168" t="str">
        <f t="shared" si="12"/>
        <v/>
      </c>
      <c r="U63" s="168">
        <f t="shared" si="12"/>
        <v>3.1939413895291406</v>
      </c>
      <c r="V63" s="168">
        <f t="shared" si="12"/>
        <v>5.1833955633648143</v>
      </c>
      <c r="W63" s="168">
        <f t="shared" si="12"/>
        <v>3.1346578366445916</v>
      </c>
      <c r="X63" s="168">
        <f t="shared" si="12"/>
        <v>5.1935031080810106</v>
      </c>
      <c r="Y63" s="168">
        <f t="shared" ref="Y63:AF63" si="13">IF(Y$93=0,"",+(Y28*10)/Y$93)</f>
        <v>4.2342978122794639</v>
      </c>
      <c r="Z63" s="168" t="str">
        <f t="shared" si="13"/>
        <v/>
      </c>
      <c r="AA63" s="168" t="str">
        <f t="shared" si="13"/>
        <v/>
      </c>
      <c r="AB63" s="168">
        <f t="shared" si="13"/>
        <v>8.867521367521368</v>
      </c>
      <c r="AC63" s="168">
        <f t="shared" si="13"/>
        <v>4.0278853601859019</v>
      </c>
      <c r="AD63" s="168">
        <f t="shared" si="13"/>
        <v>2.2109219544550078E-2</v>
      </c>
      <c r="AE63" s="168">
        <f t="shared" si="13"/>
        <v>8.0677692617991126E-2</v>
      </c>
      <c r="AF63" s="168">
        <f t="shared" si="13"/>
        <v>1.8350652221976564</v>
      </c>
      <c r="AG63" s="236">
        <f>IF(+(AG28*10)/AG$93&lt;1,0,+(AG28*10)/AG$93)</f>
        <v>4.3764041337698174</v>
      </c>
      <c r="AH63" s="236">
        <v>2.5</v>
      </c>
      <c r="AI63" s="237">
        <f t="shared" si="11"/>
        <v>-1.8764041337698174</v>
      </c>
    </row>
    <row r="64" spans="1:37" s="90" customFormat="1" ht="18" x14ac:dyDescent="0.25">
      <c r="A64" s="146" t="s">
        <v>172</v>
      </c>
      <c r="B64" s="147">
        <f>IF(B$9=0,"",+(B29*10)/B$9)</f>
        <v>0</v>
      </c>
      <c r="C64" s="147">
        <f t="shared" ref="C64:X64" si="14">IF(C$9=0,"",+(C29*10)/C$9)</f>
        <v>0</v>
      </c>
      <c r="D64" s="147">
        <f t="shared" si="14"/>
        <v>0</v>
      </c>
      <c r="E64" s="147" t="str">
        <f t="shared" si="14"/>
        <v/>
      </c>
      <c r="F64" s="147" t="str">
        <f t="shared" si="14"/>
        <v/>
      </c>
      <c r="G64" s="147">
        <f t="shared" si="14"/>
        <v>0</v>
      </c>
      <c r="H64" s="147">
        <f t="shared" si="14"/>
        <v>0</v>
      </c>
      <c r="I64" s="147">
        <f t="shared" si="14"/>
        <v>0</v>
      </c>
      <c r="J64" s="147">
        <f t="shared" si="14"/>
        <v>0</v>
      </c>
      <c r="K64" s="147">
        <f t="shared" si="14"/>
        <v>0</v>
      </c>
      <c r="L64" s="147" t="str">
        <f t="shared" si="14"/>
        <v/>
      </c>
      <c r="M64" s="147" t="str">
        <f>IF(M$9=0,"",+(M29*10)/M$9)</f>
        <v/>
      </c>
      <c r="N64" s="147">
        <f t="shared" si="14"/>
        <v>0</v>
      </c>
      <c r="O64" s="147">
        <f>IF(O$9=0,"",+(O29*10)/O$9)</f>
        <v>0</v>
      </c>
      <c r="P64" s="147">
        <f>IF(P$9=0,"",+(P29*10)/P$9)</f>
        <v>0</v>
      </c>
      <c r="Q64" s="147">
        <f>IF(Q$9=0,"",+(Q29*10)/Q$9)</f>
        <v>0</v>
      </c>
      <c r="R64" s="147">
        <f>IF(R$9=0,"",+(R29*10)/R$9)</f>
        <v>0</v>
      </c>
      <c r="S64" s="147" t="str">
        <f>IF(S$9=0,"",+(S29*10)/S$9)</f>
        <v/>
      </c>
      <c r="T64" s="147" t="str">
        <f t="shared" si="14"/>
        <v/>
      </c>
      <c r="U64" s="147">
        <f t="shared" si="14"/>
        <v>0</v>
      </c>
      <c r="V64" s="147">
        <f t="shared" si="14"/>
        <v>0</v>
      </c>
      <c r="W64" s="147">
        <f t="shared" si="14"/>
        <v>0</v>
      </c>
      <c r="X64" s="147">
        <f t="shared" si="14"/>
        <v>0</v>
      </c>
      <c r="Y64" s="147">
        <f t="shared" ref="Y64:AF64" si="15">IF(Y$9=0,"",+(Y29*10)/Y$9)</f>
        <v>0</v>
      </c>
      <c r="Z64" s="147" t="str">
        <f t="shared" si="15"/>
        <v/>
      </c>
      <c r="AA64" s="147" t="str">
        <f t="shared" si="15"/>
        <v/>
      </c>
      <c r="AB64" s="147">
        <f t="shared" si="15"/>
        <v>0</v>
      </c>
      <c r="AC64" s="147">
        <f t="shared" si="15"/>
        <v>0</v>
      </c>
      <c r="AD64" s="147" t="str">
        <f t="shared" si="15"/>
        <v/>
      </c>
      <c r="AE64" s="147" t="str">
        <f t="shared" si="15"/>
        <v/>
      </c>
      <c r="AF64" s="147">
        <f t="shared" si="15"/>
        <v>0.22204429529469444</v>
      </c>
      <c r="AG64" s="238">
        <f>+(AG29*10)/AG$9</f>
        <v>1.0905091241672311E-2</v>
      </c>
      <c r="AH64" s="238">
        <v>0.1</v>
      </c>
      <c r="AI64" s="239">
        <f>AH64-AG64</f>
        <v>8.9094908758327693E-2</v>
      </c>
      <c r="AJ64" s="276"/>
      <c r="AK64" s="276"/>
    </row>
    <row r="65" spans="1:37" s="87" customFormat="1" ht="18" x14ac:dyDescent="0.25">
      <c r="A65" s="135" t="s">
        <v>188</v>
      </c>
      <c r="B65" s="148"/>
      <c r="C65" s="148"/>
      <c r="D65" s="148"/>
      <c r="E65" s="148"/>
      <c r="F65" s="148"/>
      <c r="G65" s="148"/>
      <c r="H65" s="148"/>
      <c r="I65" s="148"/>
      <c r="J65" s="148"/>
      <c r="K65" s="148"/>
      <c r="L65" s="148"/>
      <c r="M65" s="148"/>
      <c r="N65" s="148"/>
      <c r="O65" s="148"/>
      <c r="P65" s="148"/>
      <c r="Q65" s="148"/>
      <c r="R65" s="148"/>
      <c r="S65" s="148"/>
      <c r="T65" s="148"/>
      <c r="U65" s="148"/>
      <c r="V65" s="148"/>
      <c r="W65" s="148"/>
      <c r="X65" s="148"/>
      <c r="Y65" s="148"/>
      <c r="Z65" s="148"/>
      <c r="AA65" s="148"/>
      <c r="AB65" s="148"/>
      <c r="AC65" s="148"/>
      <c r="AD65" s="148"/>
      <c r="AE65" s="148"/>
      <c r="AF65" s="148"/>
      <c r="AG65" s="240"/>
      <c r="AH65" s="240">
        <v>0.1</v>
      </c>
      <c r="AI65" s="241">
        <f>AH65-AG65</f>
        <v>0.1</v>
      </c>
      <c r="AJ65" s="267"/>
      <c r="AK65" s="267"/>
    </row>
    <row r="66" spans="1:37" ht="18" x14ac:dyDescent="0.25">
      <c r="A66" s="109" t="s">
        <v>171</v>
      </c>
      <c r="B66" s="145">
        <f t="shared" ref="B66:V66" si="16">IF(B$9=0,"",+(B31*10)/B$9)</f>
        <v>0</v>
      </c>
      <c r="C66" s="145">
        <f t="shared" si="16"/>
        <v>0</v>
      </c>
      <c r="D66" s="145">
        <f t="shared" si="16"/>
        <v>0</v>
      </c>
      <c r="E66" s="145" t="str">
        <f t="shared" si="16"/>
        <v/>
      </c>
      <c r="F66" s="145" t="str">
        <f t="shared" si="16"/>
        <v/>
      </c>
      <c r="G66" s="145">
        <f t="shared" si="16"/>
        <v>0</v>
      </c>
      <c r="H66" s="145">
        <f t="shared" si="16"/>
        <v>0</v>
      </c>
      <c r="I66" s="145">
        <f t="shared" si="16"/>
        <v>0</v>
      </c>
      <c r="J66" s="145">
        <f t="shared" si="16"/>
        <v>0</v>
      </c>
      <c r="K66" s="145">
        <f t="shared" si="16"/>
        <v>0</v>
      </c>
      <c r="L66" s="145" t="str">
        <f t="shared" si="16"/>
        <v/>
      </c>
      <c r="M66" s="145" t="str">
        <f t="shared" si="16"/>
        <v/>
      </c>
      <c r="N66" s="145">
        <f t="shared" si="16"/>
        <v>0</v>
      </c>
      <c r="O66" s="145">
        <f t="shared" ref="O66:S69" si="17">IF(O$9=0,"",+(O31*10)/O$9)</f>
        <v>0</v>
      </c>
      <c r="P66" s="145">
        <f t="shared" si="17"/>
        <v>0</v>
      </c>
      <c r="Q66" s="145">
        <f t="shared" si="17"/>
        <v>0</v>
      </c>
      <c r="R66" s="145">
        <f t="shared" si="17"/>
        <v>0</v>
      </c>
      <c r="S66" s="145" t="str">
        <f t="shared" si="17"/>
        <v/>
      </c>
      <c r="T66" s="145" t="str">
        <f t="shared" si="16"/>
        <v/>
      </c>
      <c r="U66" s="145">
        <f t="shared" si="16"/>
        <v>0</v>
      </c>
      <c r="V66" s="145">
        <f t="shared" si="16"/>
        <v>0</v>
      </c>
      <c r="W66" s="145" t="s">
        <v>211</v>
      </c>
      <c r="X66" s="145"/>
      <c r="Y66" s="145"/>
      <c r="Z66" s="145"/>
      <c r="AA66" s="145"/>
      <c r="AB66" s="145"/>
      <c r="AC66" s="145"/>
      <c r="AD66" s="145"/>
      <c r="AE66" s="145"/>
      <c r="AF66" s="145"/>
      <c r="AG66" s="234">
        <f>+(AG31*10)/AG$9</f>
        <v>0</v>
      </c>
      <c r="AH66" s="234">
        <v>0.7</v>
      </c>
      <c r="AI66" s="235">
        <f t="shared" si="11"/>
        <v>0.7</v>
      </c>
    </row>
    <row r="67" spans="1:37" s="91" customFormat="1" ht="18" x14ac:dyDescent="0.25">
      <c r="A67" s="149" t="s">
        <v>173</v>
      </c>
      <c r="B67" s="150">
        <f t="shared" ref="B67:X67" si="18">IF(B$9=0,"",+(B32*10)/B$9)</f>
        <v>0</v>
      </c>
      <c r="C67" s="150">
        <f t="shared" si="18"/>
        <v>0</v>
      </c>
      <c r="D67" s="150">
        <f t="shared" si="18"/>
        <v>0</v>
      </c>
      <c r="E67" s="150" t="str">
        <f t="shared" si="18"/>
        <v/>
      </c>
      <c r="F67" s="150" t="str">
        <f t="shared" si="18"/>
        <v/>
      </c>
      <c r="G67" s="150">
        <f t="shared" si="18"/>
        <v>0</v>
      </c>
      <c r="H67" s="150">
        <f t="shared" si="18"/>
        <v>0</v>
      </c>
      <c r="I67" s="150">
        <f t="shared" si="18"/>
        <v>0</v>
      </c>
      <c r="J67" s="150">
        <f t="shared" si="18"/>
        <v>0</v>
      </c>
      <c r="K67" s="150">
        <f t="shared" si="18"/>
        <v>0</v>
      </c>
      <c r="L67" s="150" t="str">
        <f t="shared" si="18"/>
        <v/>
      </c>
      <c r="M67" s="150" t="str">
        <f t="shared" si="18"/>
        <v/>
      </c>
      <c r="N67" s="150">
        <f t="shared" si="18"/>
        <v>0</v>
      </c>
      <c r="O67" s="150">
        <f t="shared" si="17"/>
        <v>8.2840432758420721E-2</v>
      </c>
      <c r="P67" s="150">
        <f t="shared" si="17"/>
        <v>1.2897101763291752</v>
      </c>
      <c r="Q67" s="150">
        <f t="shared" si="17"/>
        <v>0</v>
      </c>
      <c r="R67" s="150">
        <f t="shared" si="17"/>
        <v>0.13900472616068946</v>
      </c>
      <c r="S67" s="150" t="str">
        <f t="shared" si="17"/>
        <v/>
      </c>
      <c r="T67" s="150" t="str">
        <f t="shared" si="18"/>
        <v/>
      </c>
      <c r="U67" s="150">
        <f t="shared" si="18"/>
        <v>0</v>
      </c>
      <c r="V67" s="150">
        <f t="shared" si="18"/>
        <v>0</v>
      </c>
      <c r="W67" s="150">
        <f t="shared" si="18"/>
        <v>0</v>
      </c>
      <c r="X67" s="150">
        <f t="shared" si="18"/>
        <v>0</v>
      </c>
      <c r="Y67" s="150">
        <f t="shared" ref="Y67:AF67" si="19">IF(Y$9=0,"",+(Y32*10)/Y$9)</f>
        <v>0</v>
      </c>
      <c r="Z67" s="150" t="str">
        <f t="shared" si="19"/>
        <v/>
      </c>
      <c r="AA67" s="150" t="str">
        <f t="shared" si="19"/>
        <v/>
      </c>
      <c r="AB67" s="150">
        <f t="shared" si="19"/>
        <v>0</v>
      </c>
      <c r="AC67" s="150">
        <f t="shared" si="19"/>
        <v>0</v>
      </c>
      <c r="AD67" s="150" t="str">
        <f t="shared" si="19"/>
        <v/>
      </c>
      <c r="AE67" s="150" t="str">
        <f t="shared" si="19"/>
        <v/>
      </c>
      <c r="AF67" s="150">
        <f t="shared" si="19"/>
        <v>0.64493294245237553</v>
      </c>
      <c r="AG67" s="242">
        <f>+(AG32*10)/AG$9</f>
        <v>0.1609044135548513</v>
      </c>
      <c r="AH67" s="242">
        <v>1</v>
      </c>
      <c r="AI67" s="243">
        <f>AH67-AG67</f>
        <v>0.8390955864451487</v>
      </c>
      <c r="AJ67" s="277"/>
      <c r="AK67" s="277"/>
    </row>
    <row r="68" spans="1:37" ht="18" x14ac:dyDescent="0.25">
      <c r="A68" s="121" t="s">
        <v>99</v>
      </c>
      <c r="B68" s="145">
        <f t="shared" ref="B68:X68" si="20">IF(B$9=0,"",+(B33*10)/B$9)</f>
        <v>0.89008471063346051</v>
      </c>
      <c r="C68" s="145">
        <f t="shared" si="20"/>
        <v>0.98547721931440746</v>
      </c>
      <c r="D68" s="145">
        <f t="shared" si="20"/>
        <v>0.3861035245155417</v>
      </c>
      <c r="E68" s="145" t="str">
        <f t="shared" si="20"/>
        <v/>
      </c>
      <c r="F68" s="145" t="str">
        <f t="shared" si="20"/>
        <v/>
      </c>
      <c r="G68" s="145">
        <f t="shared" si="20"/>
        <v>1.5823401106177457</v>
      </c>
      <c r="H68" s="145">
        <f t="shared" si="20"/>
        <v>0.76234038498189438</v>
      </c>
      <c r="I68" s="145">
        <f t="shared" si="20"/>
        <v>0.92905226051687162</v>
      </c>
      <c r="J68" s="145">
        <f t="shared" si="20"/>
        <v>1.6108746429744178</v>
      </c>
      <c r="K68" s="145">
        <f t="shared" si="20"/>
        <v>0.85730942011590816</v>
      </c>
      <c r="L68" s="145" t="str">
        <f t="shared" si="20"/>
        <v/>
      </c>
      <c r="M68" s="145" t="str">
        <f t="shared" si="20"/>
        <v/>
      </c>
      <c r="N68" s="145">
        <f t="shared" si="20"/>
        <v>1.2278375325376945</v>
      </c>
      <c r="O68" s="145">
        <f t="shared" si="17"/>
        <v>0.82840432758420723</v>
      </c>
      <c r="P68" s="145">
        <f t="shared" si="17"/>
        <v>1.2897101763291752</v>
      </c>
      <c r="Q68" s="145">
        <f t="shared" si="17"/>
        <v>1.0820830569316828</v>
      </c>
      <c r="R68" s="145">
        <f t="shared" si="17"/>
        <v>6.3942174033917158</v>
      </c>
      <c r="S68" s="145" t="str">
        <f t="shared" si="17"/>
        <v/>
      </c>
      <c r="T68" s="145" t="str">
        <f t="shared" si="20"/>
        <v/>
      </c>
      <c r="U68" s="145">
        <f t="shared" si="20"/>
        <v>1.2288333456216667</v>
      </c>
      <c r="V68" s="145">
        <f t="shared" si="20"/>
        <v>1.3196093956188968</v>
      </c>
      <c r="W68" s="145">
        <f t="shared" si="20"/>
        <v>1.2836083217314889</v>
      </c>
      <c r="X68" s="145">
        <f t="shared" si="20"/>
        <v>1.4297527686969156</v>
      </c>
      <c r="Y68" s="145">
        <f t="shared" ref="Y68:AF68" si="21">IF(Y$9=0,"",+(Y33*10)/Y$9)</f>
        <v>5.3335074886799028</v>
      </c>
      <c r="Z68" s="145" t="str">
        <f t="shared" si="21"/>
        <v/>
      </c>
      <c r="AA68" s="145" t="str">
        <f t="shared" si="21"/>
        <v/>
      </c>
      <c r="AB68" s="145">
        <f t="shared" si="21"/>
        <v>0.57381752602672342</v>
      </c>
      <c r="AC68" s="145">
        <f t="shared" si="21"/>
        <v>0.57628090111642738</v>
      </c>
      <c r="AD68" s="145" t="str">
        <f t="shared" si="21"/>
        <v/>
      </c>
      <c r="AE68" s="145" t="str">
        <f t="shared" si="21"/>
        <v/>
      </c>
      <c r="AF68" s="145">
        <f t="shared" si="21"/>
        <v>0.54174367165999548</v>
      </c>
      <c r="AG68" s="234">
        <f>+(AG33*10)/AG$9</f>
        <v>1.2124844391495488</v>
      </c>
      <c r="AH68" s="234">
        <v>0.7</v>
      </c>
      <c r="AI68" s="235">
        <f t="shared" si="11"/>
        <v>-0.51248443914954889</v>
      </c>
    </row>
    <row r="69" spans="1:37" ht="18" x14ac:dyDescent="0.25">
      <c r="A69" s="121" t="s">
        <v>128</v>
      </c>
      <c r="B69" s="145">
        <f t="shared" ref="B69:X69" si="22">IF(B$9=0,"",+(B34*10)/B$9)</f>
        <v>1.3563195590605113</v>
      </c>
      <c r="C69" s="145">
        <f t="shared" si="22"/>
        <v>1.6358921840619163</v>
      </c>
      <c r="D69" s="145">
        <f t="shared" si="22"/>
        <v>1.747626479386136</v>
      </c>
      <c r="E69" s="145" t="str">
        <f t="shared" si="22"/>
        <v/>
      </c>
      <c r="F69" s="145" t="str">
        <f t="shared" si="22"/>
        <v/>
      </c>
      <c r="G69" s="145">
        <f t="shared" si="22"/>
        <v>1.8501207447222872</v>
      </c>
      <c r="H69" s="145">
        <f t="shared" si="22"/>
        <v>2.3346674290070513</v>
      </c>
      <c r="I69" s="145">
        <f t="shared" si="22"/>
        <v>2.1500923743390454</v>
      </c>
      <c r="J69" s="145">
        <f t="shared" si="22"/>
        <v>2.261420171867933</v>
      </c>
      <c r="K69" s="145">
        <f t="shared" si="22"/>
        <v>2.000388646937119</v>
      </c>
      <c r="L69" s="145" t="str">
        <f t="shared" si="22"/>
        <v/>
      </c>
      <c r="M69" s="145" t="str">
        <f t="shared" si="22"/>
        <v/>
      </c>
      <c r="N69" s="145">
        <f t="shared" si="22"/>
        <v>2.1609940572663424</v>
      </c>
      <c r="O69" s="145">
        <f t="shared" si="17"/>
        <v>1.4579916165482047</v>
      </c>
      <c r="P69" s="145">
        <f t="shared" si="17"/>
        <v>2.2698899103393484</v>
      </c>
      <c r="Q69" s="145">
        <f t="shared" si="17"/>
        <v>2.0700719349997412</v>
      </c>
      <c r="R69" s="145">
        <f t="shared" si="17"/>
        <v>12.232415902140673</v>
      </c>
      <c r="S69" s="145" t="str">
        <f t="shared" si="17"/>
        <v/>
      </c>
      <c r="T69" s="145" t="str">
        <f t="shared" si="22"/>
        <v/>
      </c>
      <c r="U69" s="145">
        <f t="shared" si="22"/>
        <v>2.2364766890314334</v>
      </c>
      <c r="V69" s="145">
        <f t="shared" si="22"/>
        <v>2.0194022569319481</v>
      </c>
      <c r="W69" s="145">
        <f t="shared" si="22"/>
        <v>2.7646948468062837</v>
      </c>
      <c r="X69" s="145">
        <f t="shared" si="22"/>
        <v>2.4730858701784486</v>
      </c>
      <c r="Y69" s="145">
        <f t="shared" ref="Y69:AF69" si="23">IF(Y$9=0,"",+(Y34*10)/Y$9)</f>
        <v>5.1158133054684782</v>
      </c>
      <c r="Z69" s="145" t="str">
        <f t="shared" si="23"/>
        <v/>
      </c>
      <c r="AA69" s="145" t="str">
        <f t="shared" si="23"/>
        <v/>
      </c>
      <c r="AB69" s="145">
        <f t="shared" si="23"/>
        <v>3.278957291581277</v>
      </c>
      <c r="AC69" s="145">
        <f t="shared" si="23"/>
        <v>1.9468949362041468</v>
      </c>
      <c r="AD69" s="145" t="str">
        <f t="shared" si="23"/>
        <v/>
      </c>
      <c r="AE69" s="145" t="str">
        <f t="shared" si="23"/>
        <v/>
      </c>
      <c r="AF69" s="145">
        <f t="shared" si="23"/>
        <v>3.0956781237714028</v>
      </c>
      <c r="AG69" s="234">
        <f>+(AG34*10)/AG$9</f>
        <v>2.5035206392471352</v>
      </c>
      <c r="AH69" s="234">
        <v>2.6</v>
      </c>
      <c r="AI69" s="235">
        <f t="shared" si="11"/>
        <v>9.6479360752864896E-2</v>
      </c>
    </row>
    <row r="70" spans="1:37" ht="18.75" x14ac:dyDescent="0.3">
      <c r="A70" s="169" t="s">
        <v>100</v>
      </c>
      <c r="B70" s="170" t="str">
        <f>IF(B$86=0,"",+(B34*10)/B$86)</f>
        <v/>
      </c>
      <c r="C70" s="170" t="str">
        <f t="shared" ref="C70:X70" si="24">IF(C$86=0,"",+(C34*10)/C$86)</f>
        <v/>
      </c>
      <c r="D70" s="170" t="str">
        <f t="shared" si="24"/>
        <v/>
      </c>
      <c r="E70" s="170" t="str">
        <f t="shared" si="24"/>
        <v/>
      </c>
      <c r="F70" s="170" t="str">
        <f t="shared" si="24"/>
        <v/>
      </c>
      <c r="G70" s="170" t="str">
        <f t="shared" si="24"/>
        <v/>
      </c>
      <c r="H70" s="170" t="str">
        <f t="shared" si="24"/>
        <v/>
      </c>
      <c r="I70" s="170" t="str">
        <f t="shared" si="24"/>
        <v/>
      </c>
      <c r="J70" s="170" t="str">
        <f t="shared" si="24"/>
        <v/>
      </c>
      <c r="K70" s="170" t="str">
        <f t="shared" si="24"/>
        <v/>
      </c>
      <c r="L70" s="170" t="str">
        <f t="shared" si="24"/>
        <v/>
      </c>
      <c r="M70" s="170" t="str">
        <f t="shared" si="24"/>
        <v/>
      </c>
      <c r="N70" s="170" t="str">
        <f t="shared" si="24"/>
        <v/>
      </c>
      <c r="O70" s="170" t="str">
        <f>IF(O$86=0,"",+(O34*10)/O$86)</f>
        <v/>
      </c>
      <c r="P70" s="170" t="str">
        <f>IF(P$86=0,"",+(P34*10)/P$86)</f>
        <v/>
      </c>
      <c r="Q70" s="170" t="str">
        <f>IF(Q$86=0,"",+(Q34*10)/Q$86)</f>
        <v/>
      </c>
      <c r="R70" s="170" t="str">
        <f>IF(R$86=0,"",+(R34*10)/R$86)</f>
        <v/>
      </c>
      <c r="S70" s="170" t="str">
        <f>IF(S$86=0,"",+(S34*10)/S$86)</f>
        <v/>
      </c>
      <c r="T70" s="170" t="str">
        <f t="shared" si="24"/>
        <v/>
      </c>
      <c r="U70" s="170" t="str">
        <f t="shared" si="24"/>
        <v/>
      </c>
      <c r="V70" s="170" t="str">
        <f t="shared" si="24"/>
        <v/>
      </c>
      <c r="W70" s="170" t="str">
        <f t="shared" si="24"/>
        <v/>
      </c>
      <c r="X70" s="170" t="str">
        <f t="shared" si="24"/>
        <v/>
      </c>
      <c r="Y70" s="170" t="str">
        <f t="shared" ref="Y70:AF70" si="25">IF(Y$86=0,"",+(Y34*10)/Y$86)</f>
        <v/>
      </c>
      <c r="Z70" s="170" t="str">
        <f t="shared" si="25"/>
        <v/>
      </c>
      <c r="AA70" s="170" t="str">
        <f t="shared" si="25"/>
        <v/>
      </c>
      <c r="AB70" s="170" t="str">
        <f t="shared" si="25"/>
        <v/>
      </c>
      <c r="AC70" s="170" t="str">
        <f t="shared" si="25"/>
        <v/>
      </c>
      <c r="AD70" s="170" t="str">
        <f t="shared" si="25"/>
        <v/>
      </c>
      <c r="AE70" s="170" t="str">
        <f t="shared" si="25"/>
        <v/>
      </c>
      <c r="AF70" s="170" t="str">
        <f t="shared" si="25"/>
        <v/>
      </c>
      <c r="AG70" s="244"/>
      <c r="AH70" s="244">
        <v>2.6</v>
      </c>
      <c r="AI70" s="245">
        <f t="shared" si="11"/>
        <v>2.6</v>
      </c>
    </row>
    <row r="71" spans="1:37" ht="18" x14ac:dyDescent="0.25">
      <c r="A71" s="121" t="s">
        <v>169</v>
      </c>
      <c r="B71" s="145">
        <f t="shared" ref="B71:X71" si="26">IF(B$9=0,"",+(B35*10)/B$9)</f>
        <v>0.40265736909608929</v>
      </c>
      <c r="C71" s="145">
        <f t="shared" si="26"/>
        <v>0.59128633158864441</v>
      </c>
      <c r="D71" s="145">
        <f t="shared" si="26"/>
        <v>0.46738847704512942</v>
      </c>
      <c r="E71" s="145" t="str">
        <f t="shared" si="26"/>
        <v/>
      </c>
      <c r="F71" s="145" t="str">
        <f t="shared" si="26"/>
        <v/>
      </c>
      <c r="G71" s="145">
        <f t="shared" si="26"/>
        <v>0.70596712627560954</v>
      </c>
      <c r="H71" s="145">
        <f t="shared" si="26"/>
        <v>0.76234038498189438</v>
      </c>
      <c r="I71" s="145">
        <f t="shared" si="26"/>
        <v>0.84941920961542539</v>
      </c>
      <c r="J71" s="145">
        <f t="shared" si="26"/>
        <v>0.65054552889351491</v>
      </c>
      <c r="K71" s="145">
        <f t="shared" si="26"/>
        <v>0.65727055542219626</v>
      </c>
      <c r="L71" s="145" t="str">
        <f t="shared" si="26"/>
        <v/>
      </c>
      <c r="M71" s="145" t="str">
        <f t="shared" si="26"/>
        <v/>
      </c>
      <c r="N71" s="145">
        <f t="shared" si="26"/>
        <v>0.63847551691960114</v>
      </c>
      <c r="O71" s="145">
        <f t="shared" ref="O71:S75" si="27">IF(O$9=0,"",+(O35*10)/O$9)</f>
        <v>0.51361068310220848</v>
      </c>
      <c r="P71" s="145">
        <f t="shared" si="27"/>
        <v>0.64485508816458759</v>
      </c>
      <c r="Q71" s="145">
        <f t="shared" si="27"/>
        <v>0.63513570732946611</v>
      </c>
      <c r="R71" s="145">
        <f t="shared" si="27"/>
        <v>1.2510425354462051</v>
      </c>
      <c r="S71" s="145" t="str">
        <f t="shared" si="27"/>
        <v/>
      </c>
      <c r="T71" s="145" t="str">
        <f t="shared" si="26"/>
        <v/>
      </c>
      <c r="U71" s="145">
        <f t="shared" si="26"/>
        <v>2.4576666912433334E-2</v>
      </c>
      <c r="V71" s="145">
        <f t="shared" si="26"/>
        <v>0.45986388029143371</v>
      </c>
      <c r="W71" s="145">
        <f t="shared" si="26"/>
        <v>0.44432595752243847</v>
      </c>
      <c r="X71" s="145">
        <f t="shared" si="26"/>
        <v>0.73419736770922694</v>
      </c>
      <c r="Y71" s="145">
        <f t="shared" ref="Y71:AF71" si="28">IF(Y$9=0,"",+(Y35*10)/Y$9)</f>
        <v>1.1973180076628354</v>
      </c>
      <c r="Z71" s="145" t="str">
        <f t="shared" si="28"/>
        <v/>
      </c>
      <c r="AA71" s="145" t="str">
        <f t="shared" si="28"/>
        <v/>
      </c>
      <c r="AB71" s="145">
        <f t="shared" si="28"/>
        <v>0.68311610241276599</v>
      </c>
      <c r="AC71" s="145">
        <f t="shared" si="28"/>
        <v>0.42052930622009571</v>
      </c>
      <c r="AD71" s="145" t="str">
        <f t="shared" si="28"/>
        <v/>
      </c>
      <c r="AE71" s="145" t="str">
        <f t="shared" si="28"/>
        <v/>
      </c>
      <c r="AF71" s="145">
        <f t="shared" si="28"/>
        <v>0.64493294245237553</v>
      </c>
      <c r="AG71" s="234">
        <f>+(AG35*10)/AG$9</f>
        <v>0.6170114126079731</v>
      </c>
      <c r="AH71" s="234">
        <v>0.7</v>
      </c>
      <c r="AI71" s="235">
        <f>AH71-AG71</f>
        <v>8.2988587392026858E-2</v>
      </c>
    </row>
    <row r="72" spans="1:37" ht="18" x14ac:dyDescent="0.25">
      <c r="A72" s="109" t="s">
        <v>127</v>
      </c>
      <c r="B72" s="145">
        <f t="shared" ref="B72:X72" si="29">IF(B$9=0,"",+(B36*10)/B$9)</f>
        <v>6.3577479330961473E-2</v>
      </c>
      <c r="C72" s="145">
        <f t="shared" si="29"/>
        <v>0.13796681070401703</v>
      </c>
      <c r="D72" s="145">
        <f t="shared" si="29"/>
        <v>4.0642476264793864E-2</v>
      </c>
      <c r="E72" s="145" t="str">
        <f t="shared" si="29"/>
        <v/>
      </c>
      <c r="F72" s="145" t="str">
        <f t="shared" si="29"/>
        <v/>
      </c>
      <c r="G72" s="145">
        <f t="shared" si="29"/>
        <v>0.14606216405702266</v>
      </c>
      <c r="H72" s="145">
        <f t="shared" si="29"/>
        <v>0.33352391842957879</v>
      </c>
      <c r="I72" s="145">
        <f t="shared" si="29"/>
        <v>0.13272175150241022</v>
      </c>
      <c r="J72" s="145">
        <f t="shared" si="29"/>
        <v>0</v>
      </c>
      <c r="K72" s="145">
        <f t="shared" si="29"/>
        <v>5.7153961341060544E-2</v>
      </c>
      <c r="L72" s="145" t="str">
        <f t="shared" si="29"/>
        <v/>
      </c>
      <c r="M72" s="145" t="str">
        <f t="shared" si="29"/>
        <v/>
      </c>
      <c r="N72" s="145">
        <f t="shared" si="29"/>
        <v>0.12278375325376946</v>
      </c>
      <c r="O72" s="145">
        <f t="shared" si="27"/>
        <v>4.9704259655052437E-2</v>
      </c>
      <c r="P72" s="145">
        <f t="shared" si="27"/>
        <v>7.7382610579750516E-2</v>
      </c>
      <c r="Q72" s="145">
        <f t="shared" si="27"/>
        <v>2.3523544715906151E-2</v>
      </c>
      <c r="R72" s="145">
        <f t="shared" si="27"/>
        <v>0.27800945232137891</v>
      </c>
      <c r="S72" s="145" t="str">
        <f t="shared" si="27"/>
        <v/>
      </c>
      <c r="T72" s="145" t="str">
        <f t="shared" si="29"/>
        <v/>
      </c>
      <c r="U72" s="145">
        <f t="shared" si="29"/>
        <v>9.8306667649733337E-2</v>
      </c>
      <c r="V72" s="145">
        <f t="shared" si="29"/>
        <v>9.9970408759007326E-2</v>
      </c>
      <c r="W72" s="145">
        <f t="shared" si="29"/>
        <v>9.8739101671652993E-2</v>
      </c>
      <c r="X72" s="145">
        <f t="shared" si="29"/>
        <v>7.7283933443076519E-2</v>
      </c>
      <c r="Y72" s="145">
        <f t="shared" ref="Y72:AF72" si="30">IF(Y$9=0,"",+(Y36*10)/Y$9)</f>
        <v>0.32654127481713691</v>
      </c>
      <c r="Z72" s="145" t="str">
        <f t="shared" si="30"/>
        <v/>
      </c>
      <c r="AA72" s="145" t="str">
        <f t="shared" si="30"/>
        <v/>
      </c>
      <c r="AB72" s="145">
        <f t="shared" si="30"/>
        <v>5.4649288193021284E-2</v>
      </c>
      <c r="AC72" s="145">
        <f t="shared" si="30"/>
        <v>1.5575159489633174E-2</v>
      </c>
      <c r="AD72" s="145" t="str">
        <f t="shared" si="30"/>
        <v/>
      </c>
      <c r="AE72" s="145" t="str">
        <f t="shared" si="30"/>
        <v/>
      </c>
      <c r="AF72" s="145">
        <f t="shared" si="30"/>
        <v>5.1594635396190046E-2</v>
      </c>
      <c r="AG72" s="234">
        <f>+(AG36*10)/AG$9</f>
        <v>0.1342981719434192</v>
      </c>
      <c r="AH72" s="234">
        <v>0.1</v>
      </c>
      <c r="AI72" s="235">
        <f>AH72-AG72</f>
        <v>-3.4298171943419192E-2</v>
      </c>
    </row>
    <row r="73" spans="1:37" ht="18" x14ac:dyDescent="0.25">
      <c r="A73" s="121" t="s">
        <v>129</v>
      </c>
      <c r="B73" s="145">
        <f t="shared" ref="B73:X73" si="31">IF(B$9=0,"",+(B37*10)/B$9)</f>
        <v>0.31788739665480736</v>
      </c>
      <c r="C73" s="145">
        <f t="shared" si="31"/>
        <v>0.35477179895318667</v>
      </c>
      <c r="D73" s="145">
        <f t="shared" si="31"/>
        <v>0.3454610482507478</v>
      </c>
      <c r="E73" s="145" t="str">
        <f t="shared" si="31"/>
        <v/>
      </c>
      <c r="F73" s="145" t="str">
        <f t="shared" si="31"/>
        <v/>
      </c>
      <c r="G73" s="145">
        <f t="shared" si="31"/>
        <v>0.65727973825660202</v>
      </c>
      <c r="H73" s="145">
        <f t="shared" si="31"/>
        <v>1.3817419477796835</v>
      </c>
      <c r="I73" s="145">
        <f t="shared" si="31"/>
        <v>0.84941920961542539</v>
      </c>
      <c r="J73" s="145">
        <f t="shared" si="31"/>
        <v>0.86739403852468655</v>
      </c>
      <c r="K73" s="145">
        <f t="shared" si="31"/>
        <v>0.94304036212749898</v>
      </c>
      <c r="L73" s="145" t="str">
        <f t="shared" si="31"/>
        <v/>
      </c>
      <c r="M73" s="145" t="str">
        <f t="shared" si="31"/>
        <v/>
      </c>
      <c r="N73" s="145">
        <f t="shared" si="31"/>
        <v>0.41746476106281616</v>
      </c>
      <c r="O73" s="145">
        <f t="shared" si="27"/>
        <v>0.28165747137863045</v>
      </c>
      <c r="P73" s="145">
        <f t="shared" si="27"/>
        <v>0.54167827405825364</v>
      </c>
      <c r="Q73" s="145">
        <f t="shared" si="27"/>
        <v>0.44694734960221688</v>
      </c>
      <c r="R73" s="145">
        <f t="shared" si="27"/>
        <v>2.6410897970531</v>
      </c>
      <c r="S73" s="145" t="str">
        <f t="shared" si="27"/>
        <v/>
      </c>
      <c r="T73" s="145" t="str">
        <f t="shared" si="31"/>
        <v/>
      </c>
      <c r="U73" s="145">
        <f t="shared" si="31"/>
        <v>0.54068667207353338</v>
      </c>
      <c r="V73" s="145">
        <f t="shared" si="31"/>
        <v>0.47985796204323516</v>
      </c>
      <c r="W73" s="145">
        <f t="shared" si="31"/>
        <v>4.9369550835826496E-2</v>
      </c>
      <c r="X73" s="145">
        <f t="shared" si="31"/>
        <v>1.5456786688615303</v>
      </c>
      <c r="Y73" s="145">
        <f t="shared" ref="Y73:AF73" si="32">IF(Y$9=0,"",+(Y37*10)/Y$9)</f>
        <v>1.9592476489028212</v>
      </c>
      <c r="Z73" s="145" t="str">
        <f t="shared" si="32"/>
        <v/>
      </c>
      <c r="AA73" s="145" t="str">
        <f t="shared" si="32"/>
        <v/>
      </c>
      <c r="AB73" s="145">
        <f t="shared" si="32"/>
        <v>2.7324644096510642E-2</v>
      </c>
      <c r="AC73" s="145">
        <f t="shared" si="32"/>
        <v>0.35822866826156302</v>
      </c>
      <c r="AD73" s="145" t="str">
        <f t="shared" si="32"/>
        <v/>
      </c>
      <c r="AE73" s="145" t="str">
        <f t="shared" si="32"/>
        <v/>
      </c>
      <c r="AF73" s="145">
        <f t="shared" si="32"/>
        <v>2.5797317698095023E-2</v>
      </c>
      <c r="AG73" s="234">
        <f>+(AG37*10)/AG$9</f>
        <v>0.6879613902384587</v>
      </c>
      <c r="AH73" s="234">
        <v>0.6</v>
      </c>
      <c r="AI73" s="235">
        <f t="shared" si="11"/>
        <v>-8.7961390238458725E-2</v>
      </c>
    </row>
    <row r="74" spans="1:37" s="91" customFormat="1" ht="18" x14ac:dyDescent="0.25">
      <c r="A74" s="149" t="s">
        <v>166</v>
      </c>
      <c r="B74" s="150">
        <f t="shared" ref="B74:X74" si="33">IF(B$9=0,"",+(B38*10)/B$9)</f>
        <v>0</v>
      </c>
      <c r="C74" s="150">
        <f t="shared" si="33"/>
        <v>0</v>
      </c>
      <c r="D74" s="150">
        <f t="shared" si="33"/>
        <v>0</v>
      </c>
      <c r="E74" s="150" t="str">
        <f t="shared" si="33"/>
        <v/>
      </c>
      <c r="F74" s="150" t="str">
        <f t="shared" si="33"/>
        <v/>
      </c>
      <c r="G74" s="150">
        <f t="shared" si="33"/>
        <v>0</v>
      </c>
      <c r="H74" s="150">
        <f t="shared" si="33"/>
        <v>0</v>
      </c>
      <c r="I74" s="150">
        <f t="shared" si="33"/>
        <v>0</v>
      </c>
      <c r="J74" s="150">
        <f t="shared" si="33"/>
        <v>0</v>
      </c>
      <c r="K74" s="150">
        <f t="shared" si="33"/>
        <v>0</v>
      </c>
      <c r="L74" s="150" t="str">
        <f t="shared" si="33"/>
        <v/>
      </c>
      <c r="M74" s="150" t="str">
        <f t="shared" si="33"/>
        <v/>
      </c>
      <c r="N74" s="150">
        <f t="shared" si="33"/>
        <v>0</v>
      </c>
      <c r="O74" s="150">
        <f t="shared" si="27"/>
        <v>0</v>
      </c>
      <c r="P74" s="150">
        <f t="shared" si="27"/>
        <v>0</v>
      </c>
      <c r="Q74" s="150">
        <f t="shared" si="27"/>
        <v>0</v>
      </c>
      <c r="R74" s="150">
        <f t="shared" si="27"/>
        <v>0</v>
      </c>
      <c r="S74" s="150" t="str">
        <f t="shared" si="27"/>
        <v/>
      </c>
      <c r="T74" s="150" t="str">
        <f t="shared" si="33"/>
        <v/>
      </c>
      <c r="U74" s="150">
        <f t="shared" si="33"/>
        <v>0</v>
      </c>
      <c r="V74" s="150">
        <f t="shared" si="33"/>
        <v>0</v>
      </c>
      <c r="W74" s="150">
        <f t="shared" si="33"/>
        <v>0</v>
      </c>
      <c r="X74" s="150">
        <f t="shared" si="33"/>
        <v>0</v>
      </c>
      <c r="Y74" s="150">
        <f t="shared" ref="Y74:AF74" si="34">IF(Y$9=0,"",+(Y38*10)/Y$9)</f>
        <v>0</v>
      </c>
      <c r="Z74" s="150" t="str">
        <f t="shared" si="34"/>
        <v/>
      </c>
      <c r="AA74" s="150" t="str">
        <f t="shared" si="34"/>
        <v/>
      </c>
      <c r="AB74" s="150">
        <f t="shared" si="34"/>
        <v>0</v>
      </c>
      <c r="AC74" s="150">
        <f t="shared" si="34"/>
        <v>0</v>
      </c>
      <c r="AD74" s="150" t="str">
        <f t="shared" si="34"/>
        <v/>
      </c>
      <c r="AE74" s="150" t="str">
        <f t="shared" si="34"/>
        <v/>
      </c>
      <c r="AF74" s="150">
        <f t="shared" si="34"/>
        <v>0</v>
      </c>
      <c r="AG74" s="242">
        <f>+(AG38*10)/AG$9</f>
        <v>0</v>
      </c>
      <c r="AH74" s="242">
        <v>0.5</v>
      </c>
      <c r="AI74" s="243">
        <f t="shared" si="11"/>
        <v>0.5</v>
      </c>
      <c r="AJ74" s="277"/>
      <c r="AK74" s="277"/>
    </row>
    <row r="75" spans="1:37" ht="18" x14ac:dyDescent="0.25">
      <c r="A75" s="121" t="s">
        <v>201</v>
      </c>
      <c r="B75" s="145">
        <f t="shared" ref="B75:X75" si="35">IF(B$9=0,"",+(B39*10)/B$9)</f>
        <v>0</v>
      </c>
      <c r="C75" s="145">
        <f t="shared" si="35"/>
        <v>0</v>
      </c>
      <c r="D75" s="145">
        <f t="shared" si="35"/>
        <v>0</v>
      </c>
      <c r="E75" s="145" t="str">
        <f t="shared" si="35"/>
        <v/>
      </c>
      <c r="F75" s="145" t="str">
        <f t="shared" si="35"/>
        <v/>
      </c>
      <c r="G75" s="145">
        <f t="shared" si="35"/>
        <v>0</v>
      </c>
      <c r="H75" s="145">
        <f t="shared" si="35"/>
        <v>0</v>
      </c>
      <c r="I75" s="145">
        <f t="shared" si="35"/>
        <v>0</v>
      </c>
      <c r="J75" s="145">
        <f t="shared" si="35"/>
        <v>0</v>
      </c>
      <c r="K75" s="145">
        <f t="shared" si="35"/>
        <v>0</v>
      </c>
      <c r="L75" s="145" t="str">
        <f t="shared" si="35"/>
        <v/>
      </c>
      <c r="M75" s="145" t="str">
        <f t="shared" si="35"/>
        <v/>
      </c>
      <c r="N75" s="145">
        <f t="shared" si="35"/>
        <v>0</v>
      </c>
      <c r="O75" s="145">
        <f t="shared" si="27"/>
        <v>0</v>
      </c>
      <c r="P75" s="145">
        <f t="shared" si="27"/>
        <v>0</v>
      </c>
      <c r="Q75" s="145">
        <f t="shared" si="27"/>
        <v>0</v>
      </c>
      <c r="R75" s="145">
        <f t="shared" si="27"/>
        <v>0</v>
      </c>
      <c r="S75" s="145" t="str">
        <f t="shared" si="27"/>
        <v/>
      </c>
      <c r="T75" s="145" t="str">
        <f t="shared" si="35"/>
        <v/>
      </c>
      <c r="U75" s="145">
        <f t="shared" si="35"/>
        <v>0</v>
      </c>
      <c r="V75" s="145">
        <f t="shared" si="35"/>
        <v>0</v>
      </c>
      <c r="W75" s="145">
        <f t="shared" si="35"/>
        <v>0</v>
      </c>
      <c r="X75" s="145">
        <f t="shared" si="35"/>
        <v>0</v>
      </c>
      <c r="Y75" s="145">
        <f t="shared" ref="Y75:AF75" si="36">IF(Y$9=0,"",+(Y39*10)/Y$9)</f>
        <v>0</v>
      </c>
      <c r="Z75" s="145" t="str">
        <f t="shared" si="36"/>
        <v/>
      </c>
      <c r="AA75" s="145" t="str">
        <f t="shared" si="36"/>
        <v/>
      </c>
      <c r="AB75" s="145">
        <f t="shared" si="36"/>
        <v>0</v>
      </c>
      <c r="AC75" s="145">
        <f t="shared" si="36"/>
        <v>0</v>
      </c>
      <c r="AD75" s="145" t="str">
        <f t="shared" si="36"/>
        <v/>
      </c>
      <c r="AE75" s="145" t="str">
        <f t="shared" si="36"/>
        <v/>
      </c>
      <c r="AF75" s="145">
        <f t="shared" si="36"/>
        <v>0</v>
      </c>
      <c r="AG75" s="234">
        <f>+(AG39*10)/AG$9</f>
        <v>0</v>
      </c>
      <c r="AH75" s="234">
        <v>0.3</v>
      </c>
      <c r="AI75" s="235">
        <f t="shared" si="11"/>
        <v>0.3</v>
      </c>
    </row>
    <row r="76" spans="1:37" s="91" customFormat="1" ht="18" x14ac:dyDescent="0.25">
      <c r="A76" s="149" t="s">
        <v>187</v>
      </c>
      <c r="B76" s="150"/>
      <c r="C76" s="150"/>
      <c r="D76" s="150"/>
      <c r="E76" s="150"/>
      <c r="F76" s="150"/>
      <c r="G76" s="150"/>
      <c r="H76" s="150"/>
      <c r="I76" s="150"/>
      <c r="J76" s="150"/>
      <c r="K76" s="150"/>
      <c r="L76" s="150"/>
      <c r="M76" s="150"/>
      <c r="N76" s="150"/>
      <c r="O76" s="150"/>
      <c r="P76" s="150"/>
      <c r="Q76" s="150"/>
      <c r="R76" s="150"/>
      <c r="S76" s="150"/>
      <c r="T76" s="150"/>
      <c r="U76" s="150"/>
      <c r="V76" s="150"/>
      <c r="W76" s="150"/>
      <c r="X76" s="150"/>
      <c r="Y76" s="150"/>
      <c r="Z76" s="150"/>
      <c r="AA76" s="150"/>
      <c r="AB76" s="150"/>
      <c r="AC76" s="150"/>
      <c r="AD76" s="150"/>
      <c r="AE76" s="150"/>
      <c r="AF76" s="150"/>
      <c r="AG76" s="242"/>
      <c r="AH76" s="242">
        <v>0.4</v>
      </c>
      <c r="AI76" s="243">
        <f t="shared" si="11"/>
        <v>0.4</v>
      </c>
      <c r="AJ76" s="277"/>
      <c r="AK76" s="277"/>
    </row>
    <row r="77" spans="1:37" s="91" customFormat="1" ht="18" x14ac:dyDescent="0.25">
      <c r="A77" s="149" t="s">
        <v>200</v>
      </c>
      <c r="B77" s="150"/>
      <c r="C77" s="150"/>
      <c r="D77" s="150"/>
      <c r="E77" s="150"/>
      <c r="F77" s="150"/>
      <c r="G77" s="150"/>
      <c r="H77" s="150"/>
      <c r="I77" s="150"/>
      <c r="J77" s="150"/>
      <c r="K77" s="150"/>
      <c r="L77" s="150"/>
      <c r="M77" s="150"/>
      <c r="N77" s="150"/>
      <c r="O77" s="150"/>
      <c r="P77" s="150"/>
      <c r="Q77" s="150"/>
      <c r="R77" s="150"/>
      <c r="S77" s="150"/>
      <c r="T77" s="150"/>
      <c r="U77" s="150"/>
      <c r="V77" s="150"/>
      <c r="W77" s="150"/>
      <c r="X77" s="150"/>
      <c r="Y77" s="150"/>
      <c r="Z77" s="150"/>
      <c r="AA77" s="150"/>
      <c r="AB77" s="150"/>
      <c r="AC77" s="150"/>
      <c r="AD77" s="150"/>
      <c r="AE77" s="150"/>
      <c r="AF77" s="150"/>
      <c r="AG77" s="242"/>
      <c r="AH77" s="242">
        <v>0.2</v>
      </c>
      <c r="AI77" s="243">
        <f t="shared" si="11"/>
        <v>0.2</v>
      </c>
      <c r="AJ77" s="277"/>
      <c r="AK77" s="277"/>
    </row>
    <row r="78" spans="1:37" s="1" customFormat="1" ht="18" x14ac:dyDescent="0.25">
      <c r="A78" s="151" t="s">
        <v>196</v>
      </c>
      <c r="B78" s="152">
        <f t="shared" ref="B78:AH78" si="37">SUM(B62:B77)</f>
        <v>10.785275732272039</v>
      </c>
      <c r="C78" s="152">
        <f t="shared" si="37"/>
        <v>14.311086586094593</v>
      </c>
      <c r="D78" s="152">
        <f t="shared" si="37"/>
        <v>9.7692032180136668</v>
      </c>
      <c r="E78" s="152">
        <f t="shared" si="37"/>
        <v>0</v>
      </c>
      <c r="F78" s="152">
        <f t="shared" si="37"/>
        <v>0</v>
      </c>
      <c r="G78" s="152">
        <f t="shared" si="37"/>
        <v>12.716545627690584</v>
      </c>
      <c r="H78" s="152">
        <f t="shared" si="37"/>
        <v>15.921439381882189</v>
      </c>
      <c r="I78" s="152">
        <f t="shared" si="37"/>
        <v>14.34949735552541</v>
      </c>
      <c r="J78" s="152">
        <f t="shared" si="37"/>
        <v>7.403827685978575</v>
      </c>
      <c r="K78" s="152">
        <f t="shared" si="37"/>
        <v>17.252843249646634</v>
      </c>
      <c r="L78" s="152">
        <f t="shared" si="37"/>
        <v>3.2</v>
      </c>
      <c r="M78" s="152">
        <f t="shared" si="37"/>
        <v>5.9656218402426688</v>
      </c>
      <c r="N78" s="152">
        <f>SUM(N62:N77)</f>
        <v>12.399153447601471</v>
      </c>
      <c r="O78" s="152">
        <f t="shared" si="37"/>
        <v>11.220322692022599</v>
      </c>
      <c r="P78" s="152">
        <f t="shared" si="37"/>
        <v>14.233108998532643</v>
      </c>
      <c r="Q78" s="152">
        <f t="shared" si="37"/>
        <v>12.255912938769399</v>
      </c>
      <c r="R78" s="152">
        <f t="shared" si="37"/>
        <v>45.732554906866831</v>
      </c>
      <c r="S78" s="152">
        <f t="shared" si="37"/>
        <v>0</v>
      </c>
      <c r="T78" s="152">
        <f t="shared" si="37"/>
        <v>0</v>
      </c>
      <c r="U78" s="152">
        <f t="shared" si="37"/>
        <v>9.7067581213239738</v>
      </c>
      <c r="V78" s="152">
        <f t="shared" si="37"/>
        <v>14.280702760434483</v>
      </c>
      <c r="W78" s="152">
        <f>SUM(W62:W77)</f>
        <v>14.785871833899646</v>
      </c>
      <c r="X78" s="152">
        <f>SUM(X62:X77)</f>
        <v>21.461771097848619</v>
      </c>
      <c r="Y78" s="152">
        <f t="shared" si="37"/>
        <v>31.228376530496117</v>
      </c>
      <c r="Z78" s="152">
        <f t="shared" si="37"/>
        <v>0</v>
      </c>
      <c r="AA78" s="152">
        <f t="shared" si="37"/>
        <v>0</v>
      </c>
      <c r="AB78" s="152">
        <f t="shared" si="37"/>
        <v>15.753331679842049</v>
      </c>
      <c r="AC78" s="152">
        <f t="shared" si="37"/>
        <v>9.7751192118605452</v>
      </c>
      <c r="AD78" s="152">
        <f>SUM(AD62:AD77)</f>
        <v>2.2109219544550078E-2</v>
      </c>
      <c r="AE78" s="152">
        <f>SUM(AE62:AE77)</f>
        <v>8.0677692617991126E-2</v>
      </c>
      <c r="AF78" s="152">
        <f>SUM(AF62:AF77)</f>
        <v>9.2029665198646704</v>
      </c>
      <c r="AG78" s="246">
        <f>SUM(AG62:AG77)</f>
        <v>14.022569580008687</v>
      </c>
      <c r="AH78" s="246">
        <f t="shared" si="37"/>
        <v>15.599999999999998</v>
      </c>
      <c r="AI78" s="246">
        <f t="shared" si="11"/>
        <v>1.5774304199913107</v>
      </c>
      <c r="AJ78" s="203"/>
      <c r="AK78" s="203"/>
    </row>
    <row r="79" spans="1:37" s="89" customFormat="1" ht="19.5" thickBot="1" x14ac:dyDescent="0.35">
      <c r="A79" s="153" t="s">
        <v>203</v>
      </c>
      <c r="B79" s="154">
        <f>SUM(B69:B72)</f>
        <v>1.8225544074875621</v>
      </c>
      <c r="C79" s="154">
        <f t="shared" ref="C79:AI79" si="38">SUM(C69:C72)</f>
        <v>2.3651453263545776</v>
      </c>
      <c r="D79" s="154">
        <f>SUM(D69:D72)</f>
        <v>2.2556574326960592</v>
      </c>
      <c r="E79" s="154">
        <f t="shared" si="38"/>
        <v>0</v>
      </c>
      <c r="F79" s="154">
        <f t="shared" si="38"/>
        <v>0</v>
      </c>
      <c r="G79" s="154">
        <f t="shared" si="38"/>
        <v>2.7021500350549195</v>
      </c>
      <c r="H79" s="154">
        <f t="shared" si="38"/>
        <v>3.4305317324185243</v>
      </c>
      <c r="I79" s="154">
        <f t="shared" si="38"/>
        <v>3.1322333354568808</v>
      </c>
      <c r="J79" s="154">
        <f t="shared" si="38"/>
        <v>2.9119657007614479</v>
      </c>
      <c r="K79" s="154">
        <f t="shared" si="38"/>
        <v>2.7148131637003758</v>
      </c>
      <c r="L79" s="154">
        <f t="shared" si="38"/>
        <v>0</v>
      </c>
      <c r="M79" s="154">
        <f>SUM(M69:M72)</f>
        <v>0</v>
      </c>
      <c r="N79" s="154">
        <f t="shared" si="38"/>
        <v>2.9222533274397131</v>
      </c>
      <c r="O79" s="154">
        <f t="shared" si="38"/>
        <v>2.0213065593054655</v>
      </c>
      <c r="P79" s="154">
        <f t="shared" si="38"/>
        <v>2.9921276090836866</v>
      </c>
      <c r="Q79" s="154">
        <f t="shared" si="38"/>
        <v>2.7287311870451134</v>
      </c>
      <c r="R79" s="154">
        <f t="shared" si="38"/>
        <v>13.761467889908257</v>
      </c>
      <c r="S79" s="154">
        <f t="shared" si="38"/>
        <v>0</v>
      </c>
      <c r="T79" s="154">
        <f t="shared" si="38"/>
        <v>0</v>
      </c>
      <c r="U79" s="154">
        <f t="shared" si="38"/>
        <v>2.3593600235936001</v>
      </c>
      <c r="V79" s="154">
        <f t="shared" si="38"/>
        <v>2.5792365459823894</v>
      </c>
      <c r="W79" s="154">
        <f t="shared" si="38"/>
        <v>3.3077599060003751</v>
      </c>
      <c r="X79" s="154">
        <f t="shared" si="38"/>
        <v>3.2845671713307523</v>
      </c>
      <c r="Y79" s="154">
        <f t="shared" si="38"/>
        <v>6.6396725879484499</v>
      </c>
      <c r="Z79" s="154">
        <f t="shared" si="38"/>
        <v>0</v>
      </c>
      <c r="AA79" s="154">
        <f t="shared" si="38"/>
        <v>0</v>
      </c>
      <c r="AB79" s="154">
        <f t="shared" si="38"/>
        <v>4.0167226821870639</v>
      </c>
      <c r="AC79" s="154">
        <f t="shared" si="38"/>
        <v>2.3829994019138758</v>
      </c>
      <c r="AD79" s="154">
        <f>SUM(AD69:AD72)</f>
        <v>0</v>
      </c>
      <c r="AE79" s="154">
        <f>SUM(AE69:AE72)</f>
        <v>0</v>
      </c>
      <c r="AF79" s="154">
        <f>SUM(AF69:AF72)</f>
        <v>3.7922057016199684</v>
      </c>
      <c r="AG79" s="247">
        <f t="shared" si="38"/>
        <v>3.2548302237985278</v>
      </c>
      <c r="AH79" s="247">
        <f t="shared" si="38"/>
        <v>6</v>
      </c>
      <c r="AI79" s="247">
        <f t="shared" si="38"/>
        <v>2.7451697762014726</v>
      </c>
      <c r="AJ79" s="278"/>
      <c r="AK79" s="278"/>
    </row>
    <row r="80" spans="1:37" s="78" customFormat="1" ht="20.25" x14ac:dyDescent="0.3">
      <c r="A80" s="137" t="s">
        <v>197</v>
      </c>
      <c r="B80" s="155">
        <f t="shared" ref="B80:W80" si="39">IF(B$9=0,"",+B47/B$9)</f>
        <v>5.7793836036223212</v>
      </c>
      <c r="C80" s="155">
        <f>IF(C$9=0,"",+C47/C$9)</f>
        <v>4.8110800751486469</v>
      </c>
      <c r="D80" s="155">
        <f t="shared" si="39"/>
        <v>3.8872902848224404</v>
      </c>
      <c r="E80" s="155" t="str">
        <f t="shared" si="39"/>
        <v/>
      </c>
      <c r="F80" s="155" t="str">
        <f t="shared" si="39"/>
        <v/>
      </c>
      <c r="G80" s="155" t="e">
        <f t="shared" si="39"/>
        <v>#REF!</v>
      </c>
      <c r="H80" s="155" t="e">
        <f t="shared" si="39"/>
        <v>#REF!</v>
      </c>
      <c r="I80" s="155">
        <f t="shared" si="39"/>
        <v>8.4933692212949463</v>
      </c>
      <c r="J80" s="155">
        <f t="shared" si="39"/>
        <v>4.9587678048114716</v>
      </c>
      <c r="K80" s="155">
        <f t="shared" si="39"/>
        <v>5.2258153012586765</v>
      </c>
      <c r="L80" s="155" t="str">
        <f t="shared" si="39"/>
        <v/>
      </c>
      <c r="M80" s="155" t="str">
        <f t="shared" si="39"/>
        <v/>
      </c>
      <c r="N80" s="155">
        <f t="shared" si="39"/>
        <v>3.6018368449486533</v>
      </c>
      <c r="O80" s="155">
        <f t="shared" si="39"/>
        <v>3.6771211292808177</v>
      </c>
      <c r="P80" s="155">
        <f t="shared" si="39"/>
        <v>4.6310139185523607</v>
      </c>
      <c r="Q80" s="155">
        <f t="shared" si="39"/>
        <v>5.2704737171432372</v>
      </c>
      <c r="R80" s="155">
        <f t="shared" si="39"/>
        <v>14.963858771198222</v>
      </c>
      <c r="S80" s="155" t="str">
        <f t="shared" si="39"/>
        <v/>
      </c>
      <c r="T80" s="155" t="str">
        <f t="shared" si="39"/>
        <v/>
      </c>
      <c r="U80" s="155">
        <f t="shared" si="39"/>
        <v>0.64390867310575328</v>
      </c>
      <c r="V80" s="155">
        <f t="shared" si="39"/>
        <v>5.9982245255404396E-2</v>
      </c>
      <c r="W80" s="155">
        <f t="shared" si="39"/>
        <v>0.5282541939433435</v>
      </c>
      <c r="X80" s="155">
        <f>IF(X$9=0,"",+X47/X$9)</f>
        <v>0.27435796372292165</v>
      </c>
      <c r="Y80" s="155">
        <f>IF(Y$9=0,"",+Y47/Y$9)</f>
        <v>0</v>
      </c>
      <c r="Z80" s="155" t="str">
        <f>IF(Z$9=0,"",+Z47/Z$9)</f>
        <v/>
      </c>
      <c r="AA80" s="155" t="str">
        <f t="shared" ref="AA80:AF80" si="40">IF(AA$9=0,"",+AA47/AA$9)</f>
        <v/>
      </c>
      <c r="AB80" s="155">
        <f t="shared" si="40"/>
        <v>0</v>
      </c>
      <c r="AC80" s="155">
        <f t="shared" si="40"/>
        <v>0.17444178628389154</v>
      </c>
      <c r="AD80" s="155" t="str">
        <f t="shared" si="40"/>
        <v/>
      </c>
      <c r="AE80" s="155" t="str">
        <f t="shared" si="40"/>
        <v/>
      </c>
      <c r="AF80" s="155">
        <f t="shared" si="40"/>
        <v>7.223248955466606E-2</v>
      </c>
      <c r="AG80" s="248" t="e">
        <f>+(AG47)/AG$9</f>
        <v>#REF!</v>
      </c>
      <c r="AH80" s="249">
        <f>'Daily KPIs'!AI92</f>
        <v>5</v>
      </c>
      <c r="AI80" s="279" t="e">
        <f>AH80-AG80</f>
        <v>#REF!</v>
      </c>
      <c r="AJ80" s="263"/>
      <c r="AK80" s="263"/>
    </row>
    <row r="81" spans="1:37" s="1" customFormat="1" ht="20.25" x14ac:dyDescent="0.3">
      <c r="A81" s="156" t="s">
        <v>198</v>
      </c>
      <c r="B81" s="157">
        <f t="shared" ref="B81:Z81" si="41">IF(B$9=0,"",+B49/B$9)</f>
        <v>0.62219040522592273</v>
      </c>
      <c r="C81" s="157">
        <f>IF(C$9=0,"",+C49/C$9)</f>
        <v>0.88020854274723559</v>
      </c>
      <c r="D81" s="157">
        <f>IF(D$9=0,"",+D49/D$9)</f>
        <v>0.42684760697100343</v>
      </c>
      <c r="E81" s="157" t="str">
        <f t="shared" si="41"/>
        <v/>
      </c>
      <c r="F81" s="157" t="str">
        <f t="shared" si="41"/>
        <v/>
      </c>
      <c r="G81" s="157">
        <f t="shared" si="41"/>
        <v>0.51535600218118793</v>
      </c>
      <c r="H81" s="157">
        <f t="shared" si="41"/>
        <v>0.56065370688011362</v>
      </c>
      <c r="I81" s="157">
        <f t="shared" si="41"/>
        <v>0.74387887282072274</v>
      </c>
      <c r="J81" s="157">
        <f t="shared" si="41"/>
        <v>0.48886947578420986</v>
      </c>
      <c r="K81" s="157">
        <f t="shared" si="41"/>
        <v>0.57485454316835538</v>
      </c>
      <c r="L81" s="157" t="str">
        <f t="shared" si="41"/>
        <v/>
      </c>
      <c r="M81" s="157" t="str">
        <f t="shared" si="41"/>
        <v/>
      </c>
      <c r="N81" s="157">
        <f t="shared" si="41"/>
        <v>0.52308334561173153</v>
      </c>
      <c r="O81" s="157">
        <f>IF(O$9=0,"",+O49/O$9)</f>
        <v>0.51337872989048583</v>
      </c>
      <c r="P81" s="157">
        <f>IF(P$9=0,"",+P49/P$9)</f>
        <v>0.68971120809731479</v>
      </c>
      <c r="Q81" s="157">
        <f>IF(Q$9=0,"",+Q49/Q$9)</f>
        <v>0.51441287584741924</v>
      </c>
      <c r="R81" s="157">
        <f>IF(R$9=0,"",+R49/R$9)</f>
        <v>0.57631359466230758</v>
      </c>
      <c r="S81" s="157" t="str">
        <f>IF(S$9=0,"",+S49/S$9)</f>
        <v/>
      </c>
      <c r="T81" s="157" t="str">
        <f t="shared" si="41"/>
        <v/>
      </c>
      <c r="U81" s="157">
        <f t="shared" si="41"/>
        <v>0.59377227260436782</v>
      </c>
      <c r="V81" s="157">
        <f>IF(V$9=0,"",+V49/V$9)</f>
        <v>0.6288938474211796</v>
      </c>
      <c r="W81" s="157">
        <f t="shared" si="41"/>
        <v>0.43400772139776794</v>
      </c>
      <c r="X81" s="157">
        <f t="shared" si="41"/>
        <v>0.58828530136866242</v>
      </c>
      <c r="Y81" s="157">
        <f t="shared" si="41"/>
        <v>0.67768199233726611</v>
      </c>
      <c r="Z81" s="157" t="str">
        <f t="shared" si="41"/>
        <v/>
      </c>
      <c r="AA81" s="157" t="str">
        <f t="shared" ref="AA81:AF81" si="42">IF(AA$9=0,"",+AA49/AA$9)</f>
        <v/>
      </c>
      <c r="AB81" s="157">
        <f t="shared" si="42"/>
        <v>0.52821269502964086</v>
      </c>
      <c r="AC81" s="157">
        <f t="shared" si="42"/>
        <v>0.56774571371611482</v>
      </c>
      <c r="AD81" s="157" t="str">
        <f t="shared" si="42"/>
        <v/>
      </c>
      <c r="AE81" s="157" t="str">
        <f t="shared" si="42"/>
        <v/>
      </c>
      <c r="AF81" s="157">
        <f t="shared" si="42"/>
        <v>0.56692185373332271</v>
      </c>
      <c r="AG81" s="280">
        <f>IF(AG$9=0,"",+AG49/AG$9)</f>
        <v>0.64652660330225598</v>
      </c>
      <c r="AH81" s="280">
        <f>'Daily KPIs'!AI93</f>
        <v>1.7</v>
      </c>
      <c r="AI81" s="279">
        <f>AH81-AG81</f>
        <v>1.0534733966977439</v>
      </c>
      <c r="AJ81" s="203"/>
      <c r="AK81" s="203"/>
    </row>
    <row r="82" spans="1:37" s="78" customFormat="1" ht="20.25" x14ac:dyDescent="0.3">
      <c r="A82" s="137" t="s">
        <v>189</v>
      </c>
      <c r="B82" s="144">
        <f>IF(B$9=0,"",B52/B$9)</f>
        <v>13.647965563046395</v>
      </c>
      <c r="C82" s="144">
        <f t="shared" ref="C82:Y82" si="43">IF(C$9=0,"",C52/C$9)</f>
        <v>16.952179126646435</v>
      </c>
      <c r="D82" s="144">
        <f t="shared" si="43"/>
        <v>17.703862660944207</v>
      </c>
      <c r="E82" s="144" t="str">
        <f t="shared" si="43"/>
        <v/>
      </c>
      <c r="F82" s="144" t="str">
        <f t="shared" si="43"/>
        <v/>
      </c>
      <c r="G82" s="144">
        <f t="shared" si="43"/>
        <v>17.476337929422762</v>
      </c>
      <c r="H82" s="144">
        <f t="shared" si="43"/>
        <v>38.907947398513429</v>
      </c>
      <c r="I82" s="144">
        <f t="shared" si="43"/>
        <v>26.767322843006095</v>
      </c>
      <c r="J82" s="144">
        <f t="shared" si="43"/>
        <v>20.420933935552622</v>
      </c>
      <c r="K82" s="144">
        <f t="shared" si="43"/>
        <v>21.727078403804168</v>
      </c>
      <c r="L82" s="144" t="str">
        <f t="shared" si="43"/>
        <v/>
      </c>
      <c r="M82" s="144" t="str">
        <f t="shared" si="43"/>
        <v/>
      </c>
      <c r="N82" s="144">
        <f t="shared" ref="N82:S82" si="44">IF(N$9=0,"",N52/N$9)</f>
        <v>20.288787387652864</v>
      </c>
      <c r="O82" s="144">
        <f t="shared" si="44"/>
        <v>14.09612803817287</v>
      </c>
      <c r="P82" s="144">
        <f t="shared" si="44"/>
        <v>22.304247789436758</v>
      </c>
      <c r="Q82" s="144">
        <f t="shared" si="44"/>
        <v>17.652067954815976</v>
      </c>
      <c r="R82" s="144">
        <f t="shared" si="44"/>
        <v>97.539616346955796</v>
      </c>
      <c r="S82" s="144" t="str">
        <f t="shared" si="44"/>
        <v/>
      </c>
      <c r="T82" s="144" t="str">
        <f t="shared" si="43"/>
        <v/>
      </c>
      <c r="U82" s="144">
        <f t="shared" si="43"/>
        <v>8.6116640861166402</v>
      </c>
      <c r="V82" s="144">
        <f t="shared" si="43"/>
        <v>7.0059262458312332</v>
      </c>
      <c r="W82" s="144">
        <f t="shared" si="43"/>
        <v>17.299090612873602</v>
      </c>
      <c r="X82" s="144">
        <f t="shared" si="43"/>
        <v>13.540145139227006</v>
      </c>
      <c r="Y82" s="144">
        <f t="shared" si="43"/>
        <v>38.140020898641588</v>
      </c>
      <c r="Z82" s="144" t="str">
        <f>IF(Z$9=0,"",Z52/Z$9)</f>
        <v/>
      </c>
      <c r="AA82" s="144" t="str">
        <f t="shared" ref="AA82:AF82" si="45">IF(AA$9=0,"",AA52/AA$9)</f>
        <v/>
      </c>
      <c r="AB82" s="144">
        <f t="shared" si="45"/>
        <v>9.5745552914173278</v>
      </c>
      <c r="AC82" s="144">
        <f t="shared" si="45"/>
        <v>5.4575358851674638</v>
      </c>
      <c r="AD82" s="144" t="str">
        <f t="shared" si="45"/>
        <v/>
      </c>
      <c r="AE82" s="144" t="str">
        <f t="shared" si="45"/>
        <v/>
      </c>
      <c r="AF82" s="144">
        <f t="shared" si="45"/>
        <v>9.0393801214124956</v>
      </c>
      <c r="AG82" s="231">
        <f>+(AG52)/AG$9</f>
        <v>20.215168983588864</v>
      </c>
      <c r="AH82" s="232">
        <f>'Daily KPIs'!AI94</f>
        <v>22</v>
      </c>
      <c r="AI82" s="279">
        <f>AH82-AG82</f>
        <v>1.7848310164111361</v>
      </c>
      <c r="AJ82" s="263"/>
      <c r="AK82" s="263"/>
    </row>
    <row r="83" spans="1:37" s="1" customFormat="1" ht="20.25" x14ac:dyDescent="0.3">
      <c r="A83" s="105"/>
      <c r="B83" s="158"/>
      <c r="C83" s="158"/>
      <c r="D83" s="158"/>
      <c r="E83" s="158"/>
      <c r="F83" s="158"/>
      <c r="G83" s="158"/>
      <c r="H83" s="158"/>
      <c r="I83" s="158"/>
      <c r="J83" s="158"/>
      <c r="K83" s="158"/>
      <c r="L83" s="158"/>
      <c r="M83" s="158"/>
      <c r="N83" s="158"/>
      <c r="O83" s="158"/>
      <c r="P83" s="158"/>
      <c r="Q83" s="158"/>
      <c r="R83" s="158"/>
      <c r="S83" s="158"/>
      <c r="T83" s="158"/>
      <c r="U83" s="158"/>
      <c r="V83" s="158"/>
      <c r="W83" s="158"/>
      <c r="X83" s="158"/>
      <c r="Y83" s="158"/>
      <c r="Z83" s="158"/>
      <c r="AA83" s="158"/>
      <c r="AB83" s="158"/>
      <c r="AC83" s="158"/>
      <c r="AD83" s="158"/>
      <c r="AE83" s="158"/>
      <c r="AF83" s="158"/>
      <c r="AG83" s="250"/>
      <c r="AH83" s="250">
        <f>SUM(AH62:AH78)</f>
        <v>31.199999999999996</v>
      </c>
      <c r="AI83" s="279">
        <f>AH83-AG83</f>
        <v>31.199999999999996</v>
      </c>
      <c r="AJ83" s="203"/>
      <c r="AK83" s="203"/>
    </row>
    <row r="84" spans="1:37" s="78" customFormat="1" ht="20.25" x14ac:dyDescent="0.3">
      <c r="A84" s="137" t="s">
        <v>190</v>
      </c>
      <c r="B84" s="144">
        <f>IF(B$9=0,"",B54/B$9)</f>
        <v>6.0186680433310187</v>
      </c>
      <c r="C84" s="144">
        <f t="shared" ref="C84:Z84" si="46">IF(C$9=0,"",C54/C$9)</f>
        <v>6.799792813269411</v>
      </c>
      <c r="D84" s="144">
        <f t="shared" si="46"/>
        <v>6.076050201586682</v>
      </c>
      <c r="E84" s="144" t="str">
        <f t="shared" si="46"/>
        <v/>
      </c>
      <c r="F84" s="144" t="str">
        <f t="shared" si="46"/>
        <v/>
      </c>
      <c r="G84" s="144">
        <f>IF(G$9=0,"",G54/G$9)</f>
        <v>5.8668302562904104</v>
      </c>
      <c r="H84" s="144">
        <f t="shared" si="46"/>
        <v>13.38860301124452</v>
      </c>
      <c r="I84" s="144">
        <f t="shared" si="46"/>
        <v>9.3170669554691976</v>
      </c>
      <c r="J84" s="144">
        <f t="shared" si="46"/>
        <v>7.7755679882034405</v>
      </c>
      <c r="K84" s="144">
        <f t="shared" si="46"/>
        <v>8.4302092978064298</v>
      </c>
      <c r="L84" s="144" t="str">
        <f t="shared" si="46"/>
        <v/>
      </c>
      <c r="M84" s="144" t="str">
        <f t="shared" si="46"/>
        <v/>
      </c>
      <c r="N84" s="144">
        <f t="shared" ref="N84:S84" si="47">IF(N$9=0,"",N54/N$9)</f>
        <v>5.5989391483718869</v>
      </c>
      <c r="O84" s="144">
        <f t="shared" si="47"/>
        <v>5.9976473317096604</v>
      </c>
      <c r="P84" s="144">
        <f t="shared" si="47"/>
        <v>7.7124668544484676</v>
      </c>
      <c r="Q84" s="144">
        <f t="shared" si="47"/>
        <v>6.8453515123286897</v>
      </c>
      <c r="R84" s="144">
        <f t="shared" si="47"/>
        <v>39.338337503475117</v>
      </c>
      <c r="S84" s="144" t="str">
        <f t="shared" si="47"/>
        <v/>
      </c>
      <c r="T84" s="144" t="str">
        <f t="shared" si="46"/>
        <v/>
      </c>
      <c r="U84" s="144">
        <f t="shared" si="46"/>
        <v>2.0644400206443998</v>
      </c>
      <c r="V84" s="144">
        <f t="shared" si="46"/>
        <v>1.679502867151323</v>
      </c>
      <c r="W84" s="144">
        <f t="shared" si="46"/>
        <v>4.1470422702094254</v>
      </c>
      <c r="X84" s="144">
        <f t="shared" si="46"/>
        <v>3.2459252046092137</v>
      </c>
      <c r="Y84" s="144">
        <f t="shared" si="46"/>
        <v>9.143155694879832</v>
      </c>
      <c r="Z84" s="144" t="str">
        <f t="shared" si="46"/>
        <v/>
      </c>
      <c r="AA84" s="144" t="str">
        <f t="shared" ref="AA84:AF84" si="48">IF(AA$9=0,"",AA54/AA$9)</f>
        <v/>
      </c>
      <c r="AB84" s="144">
        <f t="shared" si="48"/>
        <v>2.2952701041068937</v>
      </c>
      <c r="AC84" s="144">
        <f t="shared" si="48"/>
        <v>1.3083133971291867</v>
      </c>
      <c r="AD84" s="144" t="str">
        <f t="shared" si="48"/>
        <v/>
      </c>
      <c r="AE84" s="144" t="str">
        <f t="shared" si="48"/>
        <v/>
      </c>
      <c r="AF84" s="144">
        <f t="shared" si="48"/>
        <v>2.1669746866399819</v>
      </c>
      <c r="AG84" s="248">
        <f>+(AG54)/AG$9</f>
        <v>7.1912870184042212</v>
      </c>
      <c r="AH84" s="249">
        <f>'Daily KPIs'!AI96</f>
        <v>7.2</v>
      </c>
      <c r="AI84" s="279">
        <f>AH84-AG84</f>
        <v>8.7129815957789347E-3</v>
      </c>
      <c r="AJ84" s="263"/>
      <c r="AK84" s="263"/>
    </row>
    <row r="85" spans="1:37" s="1" customFormat="1" ht="18" x14ac:dyDescent="0.25">
      <c r="A85" s="105"/>
      <c r="B85" s="85"/>
      <c r="C85" s="85"/>
      <c r="D85" s="85"/>
      <c r="E85" s="85"/>
      <c r="F85" s="85"/>
      <c r="G85" s="85"/>
      <c r="H85" s="85"/>
      <c r="I85" s="85"/>
      <c r="J85" s="85"/>
      <c r="K85" s="85"/>
      <c r="L85" s="85"/>
      <c r="M85" s="85"/>
      <c r="N85" s="85"/>
      <c r="O85" s="85"/>
      <c r="P85" s="85"/>
      <c r="Q85" s="85"/>
      <c r="R85" s="85"/>
      <c r="S85" s="85"/>
      <c r="T85" s="85"/>
      <c r="U85" s="85"/>
      <c r="V85" s="85"/>
      <c r="W85" s="85"/>
      <c r="X85" s="85"/>
      <c r="Y85" s="85"/>
      <c r="Z85" s="85"/>
      <c r="AA85" s="85"/>
      <c r="AB85" s="85"/>
      <c r="AC85" s="85"/>
      <c r="AD85" s="85"/>
      <c r="AE85" s="85"/>
      <c r="AF85" s="85"/>
      <c r="AG85" s="203"/>
      <c r="AH85" s="203"/>
      <c r="AI85" s="203"/>
      <c r="AJ85" s="203"/>
      <c r="AK85" s="203"/>
    </row>
    <row r="86" spans="1:37" ht="18.75" x14ac:dyDescent="0.3">
      <c r="A86" s="171" t="s">
        <v>217</v>
      </c>
      <c r="B86" s="172">
        <f>'Daily KPIs'!B99</f>
        <v>0</v>
      </c>
      <c r="C86" s="172">
        <f>'Daily KPIs'!C99</f>
        <v>0</v>
      </c>
      <c r="D86" s="172">
        <f>'Daily KPIs'!D99</f>
        <v>0</v>
      </c>
      <c r="E86" s="172">
        <f>'Daily KPIs'!E99</f>
        <v>0</v>
      </c>
      <c r="F86" s="172">
        <f>'Daily KPIs'!F99</f>
        <v>0</v>
      </c>
      <c r="G86" s="172">
        <f>'Daily KPIs'!G99</f>
        <v>0</v>
      </c>
      <c r="H86" s="172">
        <f>'Daily KPIs'!H99</f>
        <v>0</v>
      </c>
      <c r="I86" s="172">
        <f>'Daily KPIs'!I99</f>
        <v>0</v>
      </c>
      <c r="J86" s="172">
        <f>'Daily KPIs'!J99</f>
        <v>0</v>
      </c>
      <c r="K86" s="172">
        <f>'Daily KPIs'!K99</f>
        <v>0</v>
      </c>
      <c r="L86" s="172">
        <f>'Daily KPIs'!L99</f>
        <v>0</v>
      </c>
      <c r="M86" s="172">
        <f>'Daily KPIs'!M99</f>
        <v>0</v>
      </c>
      <c r="N86" s="172">
        <f>'Daily KPIs'!N99</f>
        <v>0</v>
      </c>
      <c r="O86" s="172">
        <f>'Daily KPIs'!O99</f>
        <v>0</v>
      </c>
      <c r="P86" s="172">
        <f>'Daily KPIs'!P99</f>
        <v>0</v>
      </c>
      <c r="Q86" s="172">
        <f>'Daily KPIs'!Q99</f>
        <v>0</v>
      </c>
      <c r="R86" s="172">
        <f>'Daily KPIs'!R99</f>
        <v>0</v>
      </c>
      <c r="S86" s="172">
        <f>'Daily KPIs'!S99</f>
        <v>0</v>
      </c>
      <c r="T86" s="172">
        <f>'Daily KPIs'!T99</f>
        <v>0</v>
      </c>
      <c r="U86" s="172">
        <f>'Daily KPIs'!U99</f>
        <v>0</v>
      </c>
      <c r="V86" s="172">
        <f>'Daily KPIs'!V99</f>
        <v>0</v>
      </c>
      <c r="W86" s="172">
        <f>'Daily KPIs'!W99</f>
        <v>0</v>
      </c>
      <c r="X86" s="172">
        <f>'Daily KPIs'!X99</f>
        <v>0</v>
      </c>
      <c r="Y86" s="172">
        <f>'Daily KPIs'!Y99</f>
        <v>0</v>
      </c>
      <c r="Z86" s="172">
        <f>'Daily KPIs'!Z99</f>
        <v>0</v>
      </c>
      <c r="AA86" s="172">
        <f>'Daily KPIs'!AA99</f>
        <v>0</v>
      </c>
      <c r="AB86" s="172">
        <f>'Daily KPIs'!AB99</f>
        <v>0</v>
      </c>
      <c r="AC86" s="172">
        <f>'Daily KPIs'!AC99</f>
        <v>0</v>
      </c>
      <c r="AD86" s="172">
        <f>'Daily KPIs'!AD99</f>
        <v>0</v>
      </c>
      <c r="AE86" s="172">
        <f>'Daily KPIs'!AE99</f>
        <v>0</v>
      </c>
      <c r="AF86" s="172">
        <f>'Daily KPIs'!AF99</f>
        <v>0</v>
      </c>
      <c r="AG86" s="251">
        <f>SUM($B86:AF86)</f>
        <v>0</v>
      </c>
      <c r="AH86" s="251"/>
      <c r="AI86" s="281" t="s">
        <v>186</v>
      </c>
    </row>
    <row r="87" spans="1:37" ht="18" x14ac:dyDescent="0.25">
      <c r="A87" s="105" t="s">
        <v>204</v>
      </c>
      <c r="B87" s="159">
        <f>IF('Entries July 2026'!L7-'Entries July 2026'!L6&lt;1,0,'Entries July 2026'!L7-'Entries July 2026'!L6)</f>
        <v>983.70999999999913</v>
      </c>
      <c r="C87" s="159">
        <f>IF('Entries July 2026'!L8-'Entries July 2026'!L7&lt;1,0,'Entries July 2026'!L8-'Entries July 2026'!L7)</f>
        <v>561.02999999999884</v>
      </c>
      <c r="D87" s="159">
        <f>IF('Entries July 2026'!L9-'Entries July 2026'!L8&lt;1,0,'Entries July 2026'!L9-'Entries July 2026'!L8)</f>
        <v>511.30000000000291</v>
      </c>
      <c r="E87" s="159">
        <f>IF('Entries July 2026'!L10-'Entries July 2026'!L9&lt;1,0,'Entries July 2026'!L10-'Entries July 2026'!L9)</f>
        <v>0</v>
      </c>
      <c r="F87" s="159">
        <f>IF('Entries July 2026'!L11-'Entries July 2026'!L10&lt;1,0,'Entries July 2026'!L11-'Entries July 2026'!L10)</f>
        <v>42.349999999998545</v>
      </c>
      <c r="G87" s="159">
        <f>IF('Entries July 2026'!L12-'Entries July 2026'!L11&lt;1,0,'Entries July 2026'!L12-'Entries July 2026'!L11)</f>
        <v>906.40000000000146</v>
      </c>
      <c r="H87" s="159">
        <f>IF('Entries July 2026'!M12-'Entries July 2026'!L12&lt;1,0,'Entries July 2026'!M12-'Entries July 2026'!L12)</f>
        <v>460281.83999999997</v>
      </c>
      <c r="I87" s="159">
        <f>IF('Entries July 2026'!L14-'Entries July 2026'!M12&lt;1,0,'Entries July 2026'!L14-'Entries July 2026'!M12)</f>
        <v>0</v>
      </c>
      <c r="J87" s="159">
        <f>IF('Entries July 2026'!L15-'Entries July 2026'!L14&lt;1,0,'Entries July 2026'!L15-'Entries July 2026'!L14)</f>
        <v>396.95999999999913</v>
      </c>
      <c r="K87" s="159">
        <f>IF('Entries July 2026'!L16-'Entries July 2026'!L15&lt;1,0,'Entries July 2026'!L16-'Entries July 2026'!L15)</f>
        <v>729.04000000000087</v>
      </c>
      <c r="L87" s="159">
        <f>IF('Entries July 2026'!L17-'Entries July 2026'!L16&lt;1,0,'Entries July 2026'!L17-'Entries July 2026'!L16)</f>
        <v>0</v>
      </c>
      <c r="M87" s="159">
        <f>IF('Entries July 2026'!L18-'Entries July 2026'!L17&lt;1,0,'Entries July 2026'!L18-'Entries July 2026'!L17)</f>
        <v>0</v>
      </c>
      <c r="N87" s="119">
        <f>IF('Entries July 2026'!L19-'Entries July 2026'!L18&lt;1,0,'Entries July 2026'!L19-'Entries July 2026'!L18)</f>
        <v>206.33000000000175</v>
      </c>
      <c r="O87" s="119">
        <f>IF('Entries July 2026'!L20-'Entries July 2026'!L19&lt;1,0,'Entries July 2026'!L20-'Entries July 2026'!L19)</f>
        <v>431.89999999999418</v>
      </c>
      <c r="P87" s="119">
        <f>IF('Entries July 2026'!L21-'Entries July 2026'!L20&lt;1,0,'Entries July 2026'!L21-'Entries July 2026'!L20)</f>
        <v>410.09000000000378</v>
      </c>
      <c r="Q87" s="119">
        <f>IF('Entries July 2026'!L22-'Entries July 2026'!L21&lt;1,0,'Entries July 2026'!L22-'Entries July 2026'!L21)</f>
        <v>698.90999999999622</v>
      </c>
      <c r="R87" s="119">
        <f>IF('Entries July 2026'!L23-'Entries July 2026'!L22&lt;1,0,'Entries July 2026'!L23-'Entries July 2026'!L22)</f>
        <v>818.38000000000466</v>
      </c>
      <c r="S87" s="119">
        <f>IF('Entries July 2026'!L24-'Entries July 2026'!L23&lt;1,0,'Entries July 2026'!L24-'Entries July 2026'!L23)</f>
        <v>0</v>
      </c>
      <c r="T87" s="119">
        <f>IF('Entries July 2026'!L25-'Entries July 2026'!L24&lt;1,0,'Entries July 2026'!L25-'Entries July 2026'!L24)</f>
        <v>121.23999999999796</v>
      </c>
      <c r="U87" s="119">
        <f>IF('Entries July 2026'!L26-'Entries July 2026'!L25&lt;1,0,'Entries July 2026'!L26-'Entries July 2026'!L25)</f>
        <v>1058.9599999999991</v>
      </c>
      <c r="V87" s="119">
        <f>IF('Entries July 2026'!L27-'Entries July 2026'!L26&lt;1,0,'Entries July 2026'!L27-'Entries July 2026'!L26)</f>
        <v>1094.2799999999988</v>
      </c>
      <c r="W87" s="119">
        <f>IF('Entries July 2026'!L28-'Entries July 2026'!L27&lt;1,0,'Entries July 2026'!L28-'Entries July 2026'!L27)</f>
        <v>707.02000000000407</v>
      </c>
      <c r="X87" s="119">
        <f>IF('Entries July 2026'!L29-'Entries July 2026'!L28&lt;1,0,'Entries July 2026'!L29-'Entries July 2026'!L28)</f>
        <v>612.87999999999738</v>
      </c>
      <c r="Y87" s="119">
        <f>IF('Entries July 2026'!L30-'Entries July 2026'!L29&lt;1,0,'Entries July 2026'!L30-'Entries July 2026'!L29)</f>
        <v>204.4800000000032</v>
      </c>
      <c r="Z87" s="119">
        <f>IF('Entries July 2026'!L31-'Entries July 2026'!L30&lt;1,0,'Entries July 2026'!L31-'Entries July 2026'!L30)</f>
        <v>0</v>
      </c>
      <c r="AA87" s="119">
        <f>IF('Entries July 2026'!L32-'Entries July 2026'!L31&lt;1,0,'Entries July 2026'!L32-'Entries July 2026'!L31)</f>
        <v>8.1100000000005821</v>
      </c>
      <c r="AB87" s="119">
        <f>IF('Entries July 2026'!L33-'Entries July 2026'!L32&lt;1,0,'Entries July 2026'!L33-'Entries July 2026'!L32)</f>
        <v>55.529999999998836</v>
      </c>
      <c r="AC87" s="119">
        <f>IF('Entries July 2026'!L34-'Entries July 2026'!L33&lt;1,0,'Entries July 2026'!L34-'Entries July 2026'!L33)</f>
        <v>1796.8700000000026</v>
      </c>
      <c r="AD87" s="119">
        <f>IF('Entries July 2026'!L35-'Entries July 2026'!L34&lt;1,0,'Entries July 2026'!L35-'Entries July 2026'!L34)</f>
        <v>349.22000000000116</v>
      </c>
      <c r="AE87" s="119">
        <f>IF('Entries July 2026'!L36-'Entries July 2026'!L35&lt;1,0,'Entries July 2026'!L36-'Entries July 2026'!L35)</f>
        <v>610.0199999999968</v>
      </c>
      <c r="AF87" s="119">
        <f>IF('Entries July 2026'!L37-'Entries July 2026'!L36&lt;1,0,'Entries July 2026'!L37-'Entries July 2026'!L36)</f>
        <v>656.19000000000233</v>
      </c>
      <c r="AG87" s="213">
        <f>SUM($B87:AF87)</f>
        <v>474253.04</v>
      </c>
      <c r="AH87" s="213"/>
      <c r="AI87" s="264"/>
    </row>
    <row r="88" spans="1:37" ht="18" x14ac:dyDescent="0.25">
      <c r="A88" s="105" t="s">
        <v>205</v>
      </c>
      <c r="B88" s="95"/>
      <c r="C88" s="95"/>
      <c r="D88" s="95"/>
      <c r="E88" s="95"/>
      <c r="F88" s="95"/>
      <c r="G88" s="95"/>
      <c r="H88" s="95"/>
      <c r="I88" s="95"/>
      <c r="J88" s="95"/>
      <c r="K88" s="95"/>
      <c r="L88" s="95"/>
      <c r="M88" s="95"/>
      <c r="N88" s="95"/>
      <c r="O88" s="95"/>
      <c r="P88" s="95"/>
      <c r="Q88" s="95"/>
      <c r="R88" s="95"/>
      <c r="S88" s="95"/>
      <c r="T88" s="95"/>
      <c r="U88" s="95"/>
      <c r="V88" s="95"/>
      <c r="W88" s="95"/>
      <c r="X88" s="95"/>
      <c r="Y88" s="95"/>
      <c r="Z88" s="95"/>
      <c r="AA88" s="95"/>
      <c r="AB88" s="95"/>
      <c r="AC88" s="95"/>
      <c r="AD88" s="95"/>
      <c r="AE88" s="95"/>
      <c r="AF88" s="95"/>
      <c r="AG88" s="204">
        <f>SUM(B88:AF88)</f>
        <v>0</v>
      </c>
      <c r="AH88" s="204"/>
      <c r="AI88" s="264"/>
    </row>
    <row r="89" spans="1:37" ht="18" x14ac:dyDescent="0.25">
      <c r="A89" s="105" t="s">
        <v>206</v>
      </c>
      <c r="B89" s="160">
        <f t="shared" ref="B89:AD89" si="49">IF(B87=0,"",B88/B87)</f>
        <v>0</v>
      </c>
      <c r="C89" s="160">
        <f t="shared" si="49"/>
        <v>0</v>
      </c>
      <c r="D89" s="160">
        <f t="shared" si="49"/>
        <v>0</v>
      </c>
      <c r="E89" s="160" t="str">
        <f t="shared" si="49"/>
        <v/>
      </c>
      <c r="F89" s="160">
        <f t="shared" si="49"/>
        <v>0</v>
      </c>
      <c r="G89" s="160">
        <f t="shared" si="49"/>
        <v>0</v>
      </c>
      <c r="H89" s="160">
        <f t="shared" si="49"/>
        <v>0</v>
      </c>
      <c r="I89" s="160" t="str">
        <f>IF(I87=0,"",I88/I87)</f>
        <v/>
      </c>
      <c r="J89" s="160">
        <f t="shared" si="49"/>
        <v>0</v>
      </c>
      <c r="K89" s="160">
        <f t="shared" si="49"/>
        <v>0</v>
      </c>
      <c r="L89" s="160" t="str">
        <f t="shared" si="49"/>
        <v/>
      </c>
      <c r="M89" s="160" t="str">
        <f t="shared" si="49"/>
        <v/>
      </c>
      <c r="N89" s="160">
        <f t="shared" si="49"/>
        <v>0</v>
      </c>
      <c r="O89" s="160">
        <f>IF(O87=0,"",O88/O87)</f>
        <v>0</v>
      </c>
      <c r="P89" s="160">
        <f>IF(P87=0,"",P88/P87)</f>
        <v>0</v>
      </c>
      <c r="Q89" s="160">
        <f>IF(Q87=0,"",Q88/Q87)</f>
        <v>0</v>
      </c>
      <c r="R89" s="160">
        <f>IF(R87=0,"",R88/R87)</f>
        <v>0</v>
      </c>
      <c r="S89" s="160" t="str">
        <f>IF(S87=0,"",S88/S87)</f>
        <v/>
      </c>
      <c r="T89" s="160">
        <f t="shared" si="49"/>
        <v>0</v>
      </c>
      <c r="U89" s="160">
        <f>IF(U87=0,"",U88/U87)</f>
        <v>0</v>
      </c>
      <c r="V89" s="160">
        <f t="shared" si="49"/>
        <v>0</v>
      </c>
      <c r="W89" s="160">
        <f t="shared" si="49"/>
        <v>0</v>
      </c>
      <c r="X89" s="160">
        <f t="shared" si="49"/>
        <v>0</v>
      </c>
      <c r="Y89" s="160">
        <f t="shared" si="49"/>
        <v>0</v>
      </c>
      <c r="Z89" s="160" t="str">
        <f t="shared" si="49"/>
        <v/>
      </c>
      <c r="AA89" s="160">
        <f t="shared" si="49"/>
        <v>0</v>
      </c>
      <c r="AB89" s="160">
        <f t="shared" si="49"/>
        <v>0</v>
      </c>
      <c r="AC89" s="160">
        <f t="shared" si="49"/>
        <v>0</v>
      </c>
      <c r="AD89" s="160">
        <f t="shared" si="49"/>
        <v>0</v>
      </c>
      <c r="AE89" s="160">
        <f>IF(AE87=0,"",AE88/AE87)</f>
        <v>0</v>
      </c>
      <c r="AF89" s="160">
        <f>IF(AF87=0,"",AF88/AF87)</f>
        <v>0</v>
      </c>
      <c r="AG89" s="252">
        <f>IF(AG87=0,"",AG88/AG87)</f>
        <v>0</v>
      </c>
      <c r="AH89" s="204"/>
      <c r="AI89" s="264"/>
    </row>
    <row r="90" spans="1:37" ht="18" x14ac:dyDescent="0.25">
      <c r="A90" s="105" t="s">
        <v>199</v>
      </c>
      <c r="B90" s="159">
        <f>IF('Entries July 2026'!$AF7-'Entries July 2026'!$AF6&lt;1,0,'Entries July 2026'!$AF7-'Entries July 2026'!$AF6)</f>
        <v>0</v>
      </c>
      <c r="C90" s="159">
        <f>IF('Entries July 2026'!$AF8-'Entries July 2026'!$AF7&lt;1,0,'Entries July 2026'!$AF8-'Entries July 2026'!$AF7)</f>
        <v>0</v>
      </c>
      <c r="D90" s="159">
        <f>IF('Entries July 2026'!$AF9-'Entries July 2026'!$AF8&lt;1,0,'Entries July 2026'!$AF9-'Entries July 2026'!$AF8)</f>
        <v>0</v>
      </c>
      <c r="E90" s="159">
        <f>IF('Entries July 2026'!$AF10-'Entries July 2026'!$AF9&lt;1,0,'Entries July 2026'!$AF10-'Entries July 2026'!$AF9)</f>
        <v>0</v>
      </c>
      <c r="F90" s="159">
        <f>IF('Entries July 2026'!$AF11-'Entries July 2026'!$AF10&lt;1,0,'Entries July 2026'!$AF11-'Entries July 2026'!$AF10)</f>
        <v>0</v>
      </c>
      <c r="G90" s="159">
        <f>IF('Entries July 2026'!$AF12-'Entries July 2026'!$AF11&lt;1,0,'Entries July 2026'!$AF12-'Entries July 2026'!$AF11)</f>
        <v>0</v>
      </c>
      <c r="H90" s="159">
        <f>IF('Entries July 2026'!$AF13-'Entries July 2026'!$AF12&lt;1,0,'Entries July 2026'!$AF13-'Entries July 2026'!$AF12)</f>
        <v>0</v>
      </c>
      <c r="I90" s="159">
        <f>IF('Entries July 2026'!AF14-'Entries July 2026'!AF13&lt;1,0,'Entries July 2026'!AF14-'Entries July 2026'!AF13)</f>
        <v>0</v>
      </c>
      <c r="J90" s="159">
        <f>IF('Entries July 2026'!AF15-'Entries July 2026'!AF14&lt;1,0,'Entries July 2026'!AF15-'Entries July 2026'!AF14)</f>
        <v>0</v>
      </c>
      <c r="K90" s="159">
        <f>IF('Entries July 2026'!AF16-'Entries July 2026'!AF15&lt;1,0,'Entries July 2026'!AF16-'Entries July 2026'!AF15)</f>
        <v>0</v>
      </c>
      <c r="L90" s="159">
        <f>IF('Entries July 2026'!$AF17-'Entries July 2026'!$AF16&lt;1,0,'Entries July 2026'!$AF17-'Entries July 2026'!$AF16)</f>
        <v>0</v>
      </c>
      <c r="M90" s="159">
        <f>IF('Entries July 2026'!$AF18-'Entries July 2026'!$AF17&lt;1,0,'Entries July 2026'!$AF18-'Entries July 2026'!$AF17)</f>
        <v>0</v>
      </c>
      <c r="N90" s="159">
        <f>IF('Entries July 2026'!$AF19-'Entries July 2026'!$AF18&lt;1,0,'Entries July 2026'!$AF19-'Entries July 2026'!$AF18)</f>
        <v>0</v>
      </c>
      <c r="O90" s="159">
        <f>IF('Entries July 2026'!$AF20-'Entries July 2026'!$AF19&lt;1,0,'Entries July 2026'!$AF20-'Entries July 2026'!$AF19)</f>
        <v>0</v>
      </c>
      <c r="P90" s="159">
        <f>IF('Entries July 2026'!$AF21-'Entries July 2026'!$AF20&lt;1,0,'Entries July 2026'!$AF21-'Entries July 2026'!$AF20)</f>
        <v>0</v>
      </c>
      <c r="Q90" s="159">
        <f>IF('Entries July 2026'!$AF22-'Entries July 2026'!$AF21&lt;1,0,'Entries July 2026'!$AF22-'Entries July 2026'!$AF21)</f>
        <v>0</v>
      </c>
      <c r="R90" s="159">
        <f>IF('Entries July 2026'!$AF23-'Entries July 2026'!$AF22&lt;1,0,'Entries July 2026'!$AF23-'Entries July 2026'!$AF22)</f>
        <v>0</v>
      </c>
      <c r="S90" s="159">
        <f>IF('Entries July 2026'!$AF24-'Entries July 2026'!$AF23&lt;1,0,'Entries July 2026'!$AF24-'Entries July 2026'!$AF23)</f>
        <v>0</v>
      </c>
      <c r="T90" s="159">
        <f>IF('Entries July 2026'!$AF25-'Entries July 2026'!$AF24&lt;1,0,'Entries July 2026'!$AF25-'Entries July 2026'!$AF24)</f>
        <v>0</v>
      </c>
      <c r="U90" s="159">
        <f>IF('Entries July 2026'!$AF26-'Entries July 2026'!$AF25&lt;1,0,'Entries July 2026'!$AF26-'Entries July 2026'!$AF25)</f>
        <v>0</v>
      </c>
      <c r="V90" s="159">
        <f>IF('Entries July 2026'!$AF27-'Entries July 2026'!$AF26&lt;1,0,'Entries July 2026'!$AF27-'Entries July 2026'!$AF26)</f>
        <v>0</v>
      </c>
      <c r="W90" s="159">
        <f>IF('Entries July 2026'!$AF28-'Entries July 2026'!$AF27&lt;1,0,'Entries July 2026'!$AF28-'Entries July 2026'!$AF27)</f>
        <v>0</v>
      </c>
      <c r="X90" s="159">
        <f>IF('Entries July 2026'!$AF29-'Entries July 2026'!$AF28&lt;1,0,'Entries July 2026'!$AF29-'Entries July 2026'!$AF28)</f>
        <v>0</v>
      </c>
      <c r="Y90" s="159">
        <f>IF('Entries July 2026'!$AF30-'Entries July 2026'!$AF29&lt;1,0,'Entries July 2026'!$AF30-'Entries July 2026'!$AF29)</f>
        <v>0</v>
      </c>
      <c r="Z90" s="159">
        <f>IF('Entries July 2026'!$AF31-'Entries July 2026'!$AF30&lt;1,0,'Entries July 2026'!$AF31-'Entries July 2026'!$AF30)</f>
        <v>0</v>
      </c>
      <c r="AA90" s="159">
        <f>IF('Entries July 2026'!$AF32-'Entries July 2026'!$AF31&lt;1,0,'Entries July 2026'!$AF32-'Entries July 2026'!$AF31)</f>
        <v>0</v>
      </c>
      <c r="AB90" s="159">
        <f>IF('Entries July 2026'!$AF33-'Entries July 2026'!$AF32&lt;1,0,'Entries July 2026'!$AF33-'Entries July 2026'!$AF32)</f>
        <v>0</v>
      </c>
      <c r="AC90" s="159">
        <f>IF('Entries July 2026'!$AF34-'Entries July 2026'!$AF33&lt;1,0,'Entries July 2026'!$AF34-'Entries July 2026'!$AF33)</f>
        <v>0</v>
      </c>
      <c r="AD90" s="159">
        <f>IF('Entries July 2026'!$AF35-'Entries July 2026'!$AF34&lt;1,0,'Entries July 2026'!$AF35-'Entries July 2026'!$AF34)</f>
        <v>0</v>
      </c>
      <c r="AE90" s="159">
        <f>IF('Entries July 2026'!$AF36-'Entries July 2026'!$AF35&lt;1,0,'Entries July 2026'!$AF36-'Entries July 2026'!$AF35)</f>
        <v>0</v>
      </c>
      <c r="AF90" s="159">
        <f>IF('Entries July 2026'!$AF26-'Entries July 2026'!$AF25&lt;1,0,'Entries July 2026'!$AF26-'Entries July 2026'!$AF25)</f>
        <v>0</v>
      </c>
      <c r="AG90" s="213">
        <f>SUM(B90:AF90)</f>
        <v>0</v>
      </c>
      <c r="AH90" s="213"/>
      <c r="AI90" s="264"/>
    </row>
    <row r="91" spans="1:37" ht="18" x14ac:dyDescent="0.25">
      <c r="A91" s="104"/>
      <c r="B91" s="95"/>
      <c r="C91" s="95"/>
      <c r="D91" s="95"/>
      <c r="E91" s="95"/>
      <c r="F91" s="95"/>
      <c r="G91" s="95"/>
      <c r="H91" s="95"/>
      <c r="I91" s="95"/>
      <c r="J91" s="95"/>
      <c r="K91" s="95"/>
      <c r="L91" s="95"/>
      <c r="M91" s="95"/>
      <c r="N91" s="95"/>
      <c r="O91" s="95"/>
      <c r="P91" s="95"/>
      <c r="Q91" s="95"/>
      <c r="R91" s="95"/>
      <c r="S91" s="95"/>
      <c r="T91" s="95"/>
      <c r="U91" s="95"/>
      <c r="V91" s="95"/>
      <c r="W91" s="95"/>
      <c r="X91" s="95"/>
      <c r="Y91" s="95"/>
      <c r="Z91" s="95"/>
      <c r="AA91" s="95"/>
      <c r="AB91" s="95"/>
      <c r="AC91" s="95"/>
      <c r="AD91" s="95"/>
      <c r="AE91" s="95"/>
      <c r="AF91" s="95"/>
      <c r="AG91" s="204"/>
      <c r="AH91" s="204"/>
      <c r="AI91" s="264"/>
    </row>
    <row r="92" spans="1:37" ht="18" x14ac:dyDescent="0.25">
      <c r="A92" s="104" t="s">
        <v>161</v>
      </c>
      <c r="B92" s="95"/>
      <c r="C92" s="95"/>
      <c r="D92" s="95"/>
      <c r="E92" s="95"/>
      <c r="F92" s="95"/>
      <c r="G92" s="95"/>
      <c r="H92" s="95"/>
      <c r="I92" s="95"/>
      <c r="J92" s="95"/>
      <c r="K92" s="95"/>
      <c r="L92" s="95"/>
      <c r="M92" s="95"/>
      <c r="N92" s="95"/>
      <c r="O92" s="95"/>
      <c r="P92" s="95"/>
      <c r="Q92" s="95"/>
      <c r="R92" s="95"/>
      <c r="S92" s="95"/>
      <c r="T92" s="95"/>
      <c r="U92" s="95"/>
      <c r="V92" s="95"/>
      <c r="W92" s="95"/>
      <c r="X92" s="95"/>
      <c r="Y92" s="95"/>
      <c r="Z92" s="95"/>
      <c r="AA92" s="95"/>
      <c r="AB92" s="95"/>
      <c r="AC92" s="95"/>
      <c r="AD92" s="95"/>
      <c r="AE92" s="95"/>
      <c r="AF92" s="95"/>
      <c r="AG92" s="204"/>
      <c r="AH92" s="204"/>
      <c r="AI92" s="264"/>
    </row>
    <row r="93" spans="1:37" ht="18" x14ac:dyDescent="0.25">
      <c r="A93" s="164" t="s">
        <v>213</v>
      </c>
      <c r="B93" s="165">
        <f>'Daily KPIs'!B12</f>
        <v>342.9</v>
      </c>
      <c r="C93" s="165">
        <f>'Daily KPIs'!C12</f>
        <v>350.9</v>
      </c>
      <c r="D93" s="165">
        <f>'Daily KPIs'!D12</f>
        <v>355.6</v>
      </c>
      <c r="E93" s="165">
        <f>'Daily KPIs'!E12</f>
        <v>0</v>
      </c>
      <c r="F93" s="165">
        <f>'Daily KPIs'!F12</f>
        <v>0</v>
      </c>
      <c r="G93" s="165">
        <f>'Daily KPIs'!G12</f>
        <v>201.2</v>
      </c>
      <c r="H93" s="165">
        <f>'Daily KPIs'!H12</f>
        <v>351.7</v>
      </c>
      <c r="I93" s="165">
        <f>'Daily KPIs'!I12</f>
        <v>452.3</v>
      </c>
      <c r="J93" s="165">
        <f>'Daily KPIs'!J12</f>
        <v>0</v>
      </c>
      <c r="K93" s="165">
        <f>'Daily KPIs'!K12</f>
        <v>203.7</v>
      </c>
      <c r="L93" s="165">
        <f>'Daily KPIs'!L12</f>
        <v>300</v>
      </c>
      <c r="M93" s="165">
        <f>'Daily KPIs'!M12</f>
        <v>98.9</v>
      </c>
      <c r="N93" s="165">
        <f>'Daily KPIs'!N12</f>
        <v>50.2</v>
      </c>
      <c r="O93" s="165">
        <f>'Daily KPIs'!O12</f>
        <v>448.5</v>
      </c>
      <c r="P93" s="165">
        <f>'Daily KPIs'!P12</f>
        <v>357.4</v>
      </c>
      <c r="Q93" s="165">
        <f>'Daily KPIs'!Q12</f>
        <v>400.8</v>
      </c>
      <c r="R93" s="165">
        <f>'Daily KPIs'!R12</f>
        <v>0</v>
      </c>
      <c r="S93" s="165">
        <f>'Daily KPIs'!S12</f>
        <v>0</v>
      </c>
      <c r="T93" s="165">
        <f>'Daily KPIs'!T12</f>
        <v>0</v>
      </c>
      <c r="U93" s="165">
        <f>'Daily KPIs'!U12</f>
        <v>303.7</v>
      </c>
      <c r="V93" s="165">
        <f>'Daily KPIs'!V12</f>
        <v>455.3</v>
      </c>
      <c r="W93" s="165">
        <f>'Daily KPIs'!W12</f>
        <v>453</v>
      </c>
      <c r="X93" s="165">
        <f>'Daily KPIs'!X12</f>
        <v>498.7</v>
      </c>
      <c r="Y93" s="165">
        <f>'Daily KPIs'!Y12</f>
        <v>283.39999999999998</v>
      </c>
      <c r="Z93" s="165">
        <f>'Daily KPIs'!Z12</f>
        <v>0</v>
      </c>
      <c r="AA93" s="165">
        <f>'Daily KPIs'!AA12</f>
        <v>0</v>
      </c>
      <c r="AB93" s="165">
        <f>'Daily KPIs'!AB12</f>
        <v>93.6</v>
      </c>
      <c r="AC93" s="165">
        <f>'Daily KPIs'!AC12</f>
        <v>387.3</v>
      </c>
      <c r="AD93" s="165">
        <f>'Daily KPIs'!AD12</f>
        <v>452.3</v>
      </c>
      <c r="AE93" s="165">
        <f>'Daily KPIs'!AE12</f>
        <v>495.8</v>
      </c>
      <c r="AF93" s="201">
        <f>'Daily KPIs'!AD12</f>
        <v>452.3</v>
      </c>
      <c r="AG93" s="253">
        <f>SUM(B93:AF93)</f>
        <v>7789.5000000000009</v>
      </c>
      <c r="AH93" s="254"/>
      <c r="AI93" s="282"/>
    </row>
    <row r="94" spans="1:37" ht="18" x14ac:dyDescent="0.25">
      <c r="A94" s="164" t="s">
        <v>214</v>
      </c>
      <c r="B94" s="166" t="e">
        <f>'Daily KPIs'!#REF!</f>
        <v>#REF!</v>
      </c>
      <c r="C94" s="166" t="str">
        <f>'Daily KPIs'!C13</f>
        <v>GU</v>
      </c>
      <c r="D94" s="166" t="str">
        <f>'Daily KPIs'!D13</f>
        <v>GU/CB</v>
      </c>
      <c r="E94" s="166">
        <f>'Daily KPIs'!E13</f>
        <v>0</v>
      </c>
      <c r="F94" s="166">
        <f>'Daily KPIs'!F13</f>
        <v>0</v>
      </c>
      <c r="G94" s="166" t="str">
        <f>'Daily KPIs'!G10</f>
        <v>ST</v>
      </c>
      <c r="H94" s="166" t="str">
        <f>'Daily KPIs'!H13</f>
        <v>CB</v>
      </c>
      <c r="I94" s="166" t="str">
        <f>'Daily KPIs'!I13</f>
        <v>CB</v>
      </c>
      <c r="J94" s="166">
        <f>'Daily KPIs'!J13</f>
        <v>0</v>
      </c>
      <c r="K94" s="166" t="str">
        <f>'Daily KPIs'!K13</f>
        <v>CB</v>
      </c>
      <c r="L94" s="166" t="str">
        <f>'Daily KPIs'!L13</f>
        <v>ST</v>
      </c>
      <c r="M94" s="166" t="str">
        <f>'Daily KPIs'!M13</f>
        <v>ST</v>
      </c>
      <c r="N94" s="166" t="str">
        <f>'Daily KPIs'!N13</f>
        <v>ST</v>
      </c>
      <c r="O94" s="166" t="str">
        <f>'Daily KPIs'!O13</f>
        <v>ST/CB</v>
      </c>
      <c r="P94" s="166" t="str">
        <f>'Daily KPIs'!P13</f>
        <v>CB</v>
      </c>
      <c r="Q94" s="166" t="str">
        <f>'Daily KPIs'!Q13</f>
        <v>CB/SM</v>
      </c>
      <c r="R94" s="166">
        <f>'Daily KPIs'!R13</f>
        <v>0</v>
      </c>
      <c r="S94" s="166">
        <f>'Daily KPIs'!S13</f>
        <v>0</v>
      </c>
      <c r="T94" s="166">
        <f>'Daily KPIs'!T13</f>
        <v>0</v>
      </c>
      <c r="U94" s="166" t="str">
        <f>'Daily KPIs'!U13</f>
        <v>GU/CB</v>
      </c>
      <c r="V94" s="166" t="str">
        <f>'Daily KPIs'!V13</f>
        <v>CB</v>
      </c>
      <c r="W94" s="166" t="str">
        <f>'Daily KPIs'!W13</f>
        <v>CB</v>
      </c>
      <c r="X94" s="166" t="str">
        <f>'Daily KPIs'!X13</f>
        <v>CB/ ST</v>
      </c>
      <c r="Y94" s="166" t="str">
        <f>'Daily KPIs'!Y13</f>
        <v>VM</v>
      </c>
      <c r="Z94" s="166">
        <f>'Daily KPIs'!Z13</f>
        <v>0</v>
      </c>
      <c r="AA94" s="166">
        <f>'Daily KPIs'!AA13</f>
        <v>0</v>
      </c>
      <c r="AB94" s="166" t="str">
        <f>'Daily KPIs'!AB13</f>
        <v>VM</v>
      </c>
      <c r="AC94" s="166" t="str">
        <f>'Daily KPIs'!AC13</f>
        <v>ST</v>
      </c>
      <c r="AD94" s="166" t="str">
        <f>'Daily KPIs'!AD13</f>
        <v>CB</v>
      </c>
      <c r="AE94" s="166" t="str">
        <f>'Daily KPIs'!AE13</f>
        <v>CB/ST</v>
      </c>
      <c r="AF94" s="202" t="str">
        <f>'Daily KPIs'!AD13</f>
        <v>CB</v>
      </c>
      <c r="AG94" s="254"/>
      <c r="AH94" s="254"/>
      <c r="AI94" s="282"/>
    </row>
    <row r="95" spans="1:37" ht="18" x14ac:dyDescent="0.25">
      <c r="A95" s="173" t="s">
        <v>216</v>
      </c>
      <c r="B95" s="174" t="str">
        <f>'Daily KPIs'!B13</f>
        <v>CB/MK</v>
      </c>
      <c r="C95" s="174">
        <f>'Daily KPIs'!C14</f>
        <v>7</v>
      </c>
      <c r="D95" s="174">
        <f>'Daily KPIs'!D14</f>
        <v>7</v>
      </c>
      <c r="E95" s="174">
        <f>'Daily KPIs'!E14</f>
        <v>0</v>
      </c>
      <c r="F95" s="174">
        <f>'Daily KPIs'!F14</f>
        <v>0</v>
      </c>
      <c r="G95" s="174">
        <f>'Daily KPIs'!G14</f>
        <v>4</v>
      </c>
      <c r="H95" s="174">
        <f>'Daily KPIs'!H14</f>
        <v>7</v>
      </c>
      <c r="I95" s="174">
        <f>'Daily KPIs'!I14</f>
        <v>9</v>
      </c>
      <c r="J95" s="174">
        <f>'Daily KPIs'!J14</f>
        <v>0</v>
      </c>
      <c r="K95" s="174">
        <f>'Daily KPIs'!K14</f>
        <v>4</v>
      </c>
      <c r="L95" s="174">
        <f>'Daily KPIs'!L14</f>
        <v>6</v>
      </c>
      <c r="M95" s="174">
        <f>'Daily KPIs'!M14</f>
        <v>2</v>
      </c>
      <c r="N95" s="174">
        <f>'Daily KPIs'!N14</f>
        <v>1</v>
      </c>
      <c r="O95" s="174">
        <f>'Daily KPIs'!O14</f>
        <v>9</v>
      </c>
      <c r="P95" s="174">
        <f>'Daily KPIs'!P14</f>
        <v>7</v>
      </c>
      <c r="Q95" s="174">
        <f>'Daily KPIs'!Q14</f>
        <v>8</v>
      </c>
      <c r="R95" s="174">
        <f>'Daily KPIs'!R14</f>
        <v>0</v>
      </c>
      <c r="S95" s="174">
        <f>'Daily KPIs'!S14</f>
        <v>0</v>
      </c>
      <c r="T95" s="174">
        <f>'Daily KPIs'!T14</f>
        <v>0</v>
      </c>
      <c r="U95" s="174">
        <f>'Daily KPIs'!U14</f>
        <v>6</v>
      </c>
      <c r="V95" s="174">
        <f>'Daily KPIs'!V14</f>
        <v>9</v>
      </c>
      <c r="W95" s="174">
        <f>'Daily KPIs'!W14</f>
        <v>9</v>
      </c>
      <c r="X95" s="174">
        <f>'Daily KPIs'!X14</f>
        <v>10</v>
      </c>
      <c r="Y95" s="174">
        <f>'Daily KPIs'!Y14</f>
        <v>6</v>
      </c>
      <c r="Z95" s="174">
        <f>'Daily KPIs'!Z14</f>
        <v>0</v>
      </c>
      <c r="AA95" s="174">
        <f>'Daily KPIs'!AA14</f>
        <v>0</v>
      </c>
      <c r="AB95" s="174">
        <f>'Daily KPIs'!AB14</f>
        <v>2</v>
      </c>
      <c r="AC95" s="174">
        <f>'Daily KPIs'!AC14</f>
        <v>8</v>
      </c>
      <c r="AD95" s="174">
        <f>'Daily KPIs'!AD14</f>
        <v>9</v>
      </c>
      <c r="AE95" s="174">
        <f>'Daily KPIs'!AE14</f>
        <v>10</v>
      </c>
      <c r="AF95" s="199">
        <f>'Daily KPIs'!AD14</f>
        <v>9</v>
      </c>
      <c r="AG95" s="255">
        <f>SUM($B95:AF95)</f>
        <v>149</v>
      </c>
      <c r="AH95" s="255"/>
      <c r="AI95" s="283"/>
    </row>
    <row r="96" spans="1:37" ht="18" x14ac:dyDescent="0.25">
      <c r="A96" s="109" t="s">
        <v>148</v>
      </c>
      <c r="B96" s="110">
        <f>+'Water '!$F7</f>
        <v>188</v>
      </c>
      <c r="C96" s="110">
        <f>+'Water '!$F8</f>
        <v>220</v>
      </c>
      <c r="D96" s="110">
        <f>+'Water '!$F9</f>
        <v>149</v>
      </c>
      <c r="E96" s="110">
        <f>+'Water '!$F10</f>
        <v>194</v>
      </c>
      <c r="F96" s="110">
        <f>+'Water '!$F11</f>
        <v>42</v>
      </c>
      <c r="G96" s="110">
        <f>+'Water '!$F12</f>
        <v>197</v>
      </c>
      <c r="H96" s="110">
        <f>+'Water '!$F13</f>
        <v>130</v>
      </c>
      <c r="I96" s="110">
        <f>+'Water '!$F14</f>
        <v>123</v>
      </c>
      <c r="J96" s="110">
        <f>+'Water '!$F15</f>
        <v>204</v>
      </c>
      <c r="K96" s="110">
        <f>+'Water '!$F16</f>
        <v>188</v>
      </c>
      <c r="L96" s="110">
        <f>+'Water '!$F17</f>
        <v>100</v>
      </c>
      <c r="M96" s="110">
        <f>+'Water '!$F18</f>
        <v>226</v>
      </c>
      <c r="N96" s="110">
        <f>+'Water '!$F19</f>
        <v>84</v>
      </c>
      <c r="O96" s="110">
        <f>+'Water '!$F19</f>
        <v>84</v>
      </c>
      <c r="P96" s="110">
        <f>+'Water '!$F19</f>
        <v>84</v>
      </c>
      <c r="Q96" s="110">
        <f>+'Water '!$F19</f>
        <v>84</v>
      </c>
      <c r="R96" s="110">
        <f>+'Water '!$F19</f>
        <v>84</v>
      </c>
      <c r="S96" s="110">
        <f>+'Water '!$F19</f>
        <v>84</v>
      </c>
      <c r="T96" s="110">
        <f>+'Water '!$F25</f>
        <v>71</v>
      </c>
      <c r="U96" s="110">
        <f>+'Water '!$F26</f>
        <v>169</v>
      </c>
      <c r="V96" s="110">
        <f>+'Water '!$F27</f>
        <v>122</v>
      </c>
      <c r="W96" s="110">
        <f>+'Water '!$F28</f>
        <v>225</v>
      </c>
      <c r="X96" s="110">
        <f>+'Water '!$F29</f>
        <v>212</v>
      </c>
      <c r="Y96" s="110">
        <f>+'Water '!$F30</f>
        <v>254</v>
      </c>
      <c r="Z96" s="110">
        <f>+'Water '!$F31</f>
        <v>103</v>
      </c>
      <c r="AA96" s="110">
        <f>+'Water '!$F31</f>
        <v>103</v>
      </c>
      <c r="AB96" s="110">
        <f>+'Water '!$F31</f>
        <v>103</v>
      </c>
      <c r="AC96" s="110">
        <f>+'Water '!$F31</f>
        <v>103</v>
      </c>
      <c r="AD96" s="110">
        <f>+'Water '!$F31</f>
        <v>103</v>
      </c>
      <c r="AE96" s="110">
        <f>+'Water '!$F31</f>
        <v>103</v>
      </c>
      <c r="AF96" s="198">
        <f>+'Water '!$F35</f>
        <v>126</v>
      </c>
      <c r="AG96" s="213">
        <f>SUM($B96:AF96)</f>
        <v>4262</v>
      </c>
      <c r="AH96" s="213"/>
      <c r="AI96" s="264"/>
    </row>
    <row r="97" spans="1:35" ht="18" x14ac:dyDescent="0.25">
      <c r="A97" s="104" t="s">
        <v>149</v>
      </c>
      <c r="B97" s="161" t="s">
        <v>150</v>
      </c>
      <c r="C97" s="95"/>
      <c r="D97" s="95"/>
      <c r="E97" s="95"/>
      <c r="F97" s="95"/>
      <c r="G97" s="95"/>
      <c r="H97" s="95"/>
      <c r="I97" s="95"/>
      <c r="J97" s="95"/>
      <c r="K97" s="95"/>
      <c r="L97" s="95"/>
      <c r="M97" s="95"/>
      <c r="N97" s="95"/>
      <c r="O97" s="95"/>
      <c r="P97" s="95"/>
      <c r="Q97" s="95"/>
      <c r="R97" s="95"/>
      <c r="S97" s="95"/>
      <c r="T97" s="95"/>
      <c r="U97" s="95"/>
      <c r="V97" s="95"/>
      <c r="W97" s="95"/>
      <c r="X97" s="95"/>
      <c r="Y97" s="95"/>
      <c r="Z97" s="95"/>
      <c r="AA97" s="95"/>
      <c r="AB97" s="95"/>
      <c r="AC97" s="95"/>
      <c r="AD97" s="95"/>
      <c r="AE97" s="95"/>
      <c r="AF97" s="199"/>
      <c r="AG97" s="213">
        <f>SUM($B97:AC97)</f>
        <v>0</v>
      </c>
      <c r="AH97" s="213"/>
      <c r="AI97" s="264"/>
    </row>
    <row r="98" spans="1:35" ht="18" x14ac:dyDescent="0.25">
      <c r="A98" s="104"/>
      <c r="B98" s="95"/>
      <c r="C98" s="95"/>
      <c r="D98" s="95"/>
      <c r="E98" s="95"/>
      <c r="F98" s="95"/>
      <c r="G98" s="95"/>
      <c r="H98" s="95"/>
      <c r="I98" s="95"/>
      <c r="J98" s="95"/>
      <c r="K98" s="95"/>
      <c r="L98" s="95"/>
      <c r="M98" s="95"/>
      <c r="N98" s="95"/>
      <c r="O98" s="95"/>
      <c r="P98" s="95"/>
      <c r="Q98" s="95"/>
      <c r="R98" s="95"/>
      <c r="S98" s="95"/>
      <c r="T98" s="95"/>
      <c r="U98" s="95"/>
      <c r="V98" s="95"/>
      <c r="W98" s="95"/>
      <c r="X98" s="95"/>
      <c r="Y98" s="95"/>
      <c r="Z98" s="95"/>
      <c r="AA98" s="95"/>
      <c r="AB98" s="95"/>
      <c r="AC98" s="95"/>
      <c r="AD98" s="95"/>
      <c r="AE98" s="95"/>
      <c r="AF98" s="199"/>
      <c r="AG98" s="204"/>
      <c r="AH98" s="204"/>
      <c r="AI98" s="264"/>
    </row>
    <row r="99" spans="1:35" ht="18" x14ac:dyDescent="0.25">
      <c r="A99" s="104"/>
      <c r="B99" s="95"/>
      <c r="C99" s="95"/>
      <c r="D99" s="95"/>
      <c r="E99" s="95"/>
      <c r="F99" s="95"/>
      <c r="G99" s="95"/>
      <c r="H99" s="95"/>
      <c r="I99" s="95"/>
      <c r="J99" s="95"/>
      <c r="K99" s="95"/>
      <c r="L99" s="95"/>
      <c r="M99" s="95"/>
      <c r="N99" s="95"/>
      <c r="O99" s="95"/>
      <c r="P99" s="95"/>
      <c r="Q99" s="95"/>
      <c r="R99" s="95"/>
      <c r="S99" s="95"/>
      <c r="T99" s="95"/>
      <c r="U99" s="95"/>
      <c r="V99" s="95"/>
      <c r="W99" s="95"/>
      <c r="X99" s="95"/>
      <c r="Y99" s="95"/>
      <c r="Z99" s="95"/>
      <c r="AA99" s="95"/>
      <c r="AB99" s="95"/>
      <c r="AC99" s="95"/>
      <c r="AD99" s="95"/>
      <c r="AE99" s="95"/>
      <c r="AF99" s="199"/>
      <c r="AG99" s="204"/>
      <c r="AH99" s="204"/>
      <c r="AI99" s="264"/>
    </row>
    <row r="100" spans="1:35" ht="18" x14ac:dyDescent="0.25">
      <c r="A100" s="104"/>
      <c r="B100" s="95"/>
      <c r="C100" s="95"/>
      <c r="D100" s="95"/>
      <c r="E100" s="95"/>
      <c r="F100" s="95"/>
      <c r="G100" s="95"/>
      <c r="H100" s="95"/>
      <c r="I100" s="95"/>
      <c r="J100" s="95"/>
      <c r="K100" s="95"/>
      <c r="L100" s="95"/>
      <c r="M100" s="95"/>
      <c r="N100" s="95"/>
      <c r="O100" s="95"/>
      <c r="P100" s="95"/>
      <c r="Q100" s="95"/>
      <c r="R100" s="95"/>
      <c r="S100" s="95"/>
      <c r="T100" s="95"/>
      <c r="U100" s="95"/>
      <c r="V100" s="95"/>
      <c r="W100" s="95"/>
      <c r="X100" s="95"/>
      <c r="Y100" s="95"/>
      <c r="Z100" s="95"/>
      <c r="AA100" s="95"/>
      <c r="AB100" s="95"/>
      <c r="AC100" s="95"/>
      <c r="AD100" s="95"/>
      <c r="AE100" s="95"/>
      <c r="AF100" s="199"/>
      <c r="AG100" s="204"/>
      <c r="AH100" s="204"/>
      <c r="AI100" s="264"/>
    </row>
    <row r="101" spans="1:35" ht="18" x14ac:dyDescent="0.25">
      <c r="A101" s="104"/>
      <c r="B101" s="159">
        <f>'Daily KPIs CO2'!B52</f>
        <v>6440</v>
      </c>
      <c r="C101" s="159">
        <f>'Daily KPIs CO2'!C52</f>
        <v>8601</v>
      </c>
      <c r="D101" s="159">
        <f>'Daily KPIs CO2'!D52</f>
        <v>8712</v>
      </c>
      <c r="E101" s="159">
        <f>'Daily KPIs CO2'!E52</f>
        <v>3652</v>
      </c>
      <c r="F101" s="159">
        <f>'Daily KPIs CO2'!F52</f>
        <v>5363</v>
      </c>
      <c r="G101" s="159">
        <f>'Daily KPIs CO2'!G52</f>
        <v>7179</v>
      </c>
      <c r="H101" s="159">
        <f>'Daily KPIs CO2'!H52</f>
        <v>8166</v>
      </c>
      <c r="I101" s="159">
        <f>'Daily KPIs CO2'!I52</f>
        <v>10084</v>
      </c>
      <c r="J101" s="159">
        <f>'Daily KPIs CO2'!J52</f>
        <v>6592</v>
      </c>
      <c r="K101" s="159">
        <f>'Daily KPIs CO2'!K52</f>
        <v>7603</v>
      </c>
      <c r="L101" s="159">
        <f>'Daily KPIs CO2'!L52</f>
        <v>3837</v>
      </c>
      <c r="M101" s="159">
        <f>'Daily KPIs CO2'!M52</f>
        <v>4845</v>
      </c>
      <c r="N101" s="159">
        <f>'Daily KPIs CO2'!N52</f>
        <v>8262</v>
      </c>
      <c r="O101" s="159">
        <f>'Daily KPIs CO2'!O52</f>
        <v>8508</v>
      </c>
      <c r="P101" s="159">
        <f>'Daily KPIs CO2'!P52</f>
        <v>8647</v>
      </c>
      <c r="Q101" s="159">
        <f>'Daily KPIs CO2'!Q52</f>
        <v>7504</v>
      </c>
      <c r="R101" s="159">
        <f>'Daily KPIs CO2'!R52</f>
        <v>7017</v>
      </c>
      <c r="S101" s="159">
        <f>'Daily KPIs CO2'!S52</f>
        <v>3504</v>
      </c>
      <c r="T101" s="159">
        <f>'Daily KPIs CO2'!T52</f>
        <v>3504</v>
      </c>
      <c r="U101" s="159">
        <f>'Daily KPIs CO2'!U52</f>
        <v>3504</v>
      </c>
      <c r="V101" s="159">
        <f>'Daily KPIs CO2'!V52</f>
        <v>3504</v>
      </c>
      <c r="W101" s="159">
        <f>'Daily KPIs CO2'!W52</f>
        <v>3504</v>
      </c>
      <c r="X101" s="159">
        <f>'Daily KPIs CO2'!X52</f>
        <v>3504</v>
      </c>
      <c r="Y101" s="159">
        <f>'Daily KPIs CO2'!Y52</f>
        <v>3504</v>
      </c>
      <c r="Z101" s="159">
        <f>'Daily KPIs CO2'!Z52</f>
        <v>3504</v>
      </c>
      <c r="AA101" s="159">
        <f>'Daily KPIs CO2'!AA52</f>
        <v>3504</v>
      </c>
      <c r="AB101" s="159">
        <f>'Daily KPIs CO2'!AB52</f>
        <v>3504</v>
      </c>
      <c r="AC101" s="159">
        <f>'Daily KPIs CO2'!AC52</f>
        <v>3504</v>
      </c>
      <c r="AD101" s="159">
        <f>'Daily KPIs CO2'!AD52</f>
        <v>3504</v>
      </c>
      <c r="AE101" s="159">
        <f>'Daily KPIs CO2'!AE52</f>
        <v>3504</v>
      </c>
      <c r="AF101" s="200">
        <f>'Daily KPIs CO2'!AF52</f>
        <v>3504</v>
      </c>
      <c r="AG101" s="256">
        <f>'Daily KPIs CO2'!AG52</f>
        <v>159556</v>
      </c>
      <c r="AH101" s="204"/>
      <c r="AI101" s="264"/>
    </row>
    <row r="102" spans="1:35" x14ac:dyDescent="0.2">
      <c r="M102" s="82"/>
    </row>
    <row r="103" spans="1:35" x14ac:dyDescent="0.2">
      <c r="M103" s="82"/>
    </row>
    <row r="104" spans="1:35" x14ac:dyDescent="0.2">
      <c r="M104" s="82"/>
    </row>
    <row r="105" spans="1:35" x14ac:dyDescent="0.2">
      <c r="M105" s="82"/>
    </row>
    <row r="106" spans="1:35" x14ac:dyDescent="0.2">
      <c r="M106" s="82"/>
    </row>
    <row r="107" spans="1:35" x14ac:dyDescent="0.2">
      <c r="M107" s="82"/>
    </row>
    <row r="108" spans="1:35" x14ac:dyDescent="0.2">
      <c r="H108" s="82" t="s">
        <v>211</v>
      </c>
      <c r="M108" s="82"/>
    </row>
    <row r="109" spans="1:35" x14ac:dyDescent="0.2">
      <c r="M109" s="82"/>
    </row>
    <row r="110" spans="1:35" x14ac:dyDescent="0.2">
      <c r="M110" s="82"/>
    </row>
    <row r="111" spans="1:35" x14ac:dyDescent="0.2">
      <c r="M111" s="82"/>
    </row>
    <row r="112" spans="1:35" x14ac:dyDescent="0.2">
      <c r="M112" s="82"/>
    </row>
    <row r="113" spans="13:13" x14ac:dyDescent="0.2">
      <c r="M113" s="82"/>
    </row>
    <row r="114" spans="13:13" x14ac:dyDescent="0.2">
      <c r="M114" s="82"/>
    </row>
    <row r="115" spans="13:13" x14ac:dyDescent="0.2">
      <c r="M115" s="82"/>
    </row>
    <row r="116" spans="13:13" x14ac:dyDescent="0.2">
      <c r="M116" s="82"/>
    </row>
    <row r="117" spans="13:13" x14ac:dyDescent="0.2">
      <c r="M117" s="82"/>
    </row>
    <row r="118" spans="13:13" x14ac:dyDescent="0.2">
      <c r="M118" s="82"/>
    </row>
    <row r="119" spans="13:13" x14ac:dyDescent="0.2">
      <c r="M119" s="82"/>
    </row>
    <row r="120" spans="13:13" x14ac:dyDescent="0.2">
      <c r="M120" s="82"/>
    </row>
    <row r="121" spans="13:13" x14ac:dyDescent="0.2">
      <c r="M121" s="82"/>
    </row>
    <row r="122" spans="13:13" x14ac:dyDescent="0.2">
      <c r="M122" s="82"/>
    </row>
    <row r="123" spans="13:13" x14ac:dyDescent="0.2">
      <c r="M123" s="82"/>
    </row>
    <row r="124" spans="13:13" x14ac:dyDescent="0.2">
      <c r="M124" s="82"/>
    </row>
    <row r="125" spans="13:13" x14ac:dyDescent="0.2">
      <c r="M125" s="82"/>
    </row>
    <row r="126" spans="13:13" x14ac:dyDescent="0.2">
      <c r="M126" s="82"/>
    </row>
    <row r="127" spans="13:13" x14ac:dyDescent="0.2">
      <c r="M127" s="82"/>
    </row>
    <row r="128" spans="13:13" x14ac:dyDescent="0.2">
      <c r="M128" s="82"/>
    </row>
    <row r="129" spans="13:13" x14ac:dyDescent="0.2">
      <c r="M129" s="82"/>
    </row>
    <row r="130" spans="13:13" x14ac:dyDescent="0.2">
      <c r="M130" s="82"/>
    </row>
    <row r="131" spans="13:13" x14ac:dyDescent="0.2">
      <c r="M131" s="82"/>
    </row>
    <row r="132" spans="13:13" x14ac:dyDescent="0.2">
      <c r="M132" s="82"/>
    </row>
    <row r="133" spans="13:13" x14ac:dyDescent="0.2">
      <c r="M133" s="82"/>
    </row>
    <row r="134" spans="13:13" x14ac:dyDescent="0.2">
      <c r="M134" s="82"/>
    </row>
    <row r="135" spans="13:13" x14ac:dyDescent="0.2">
      <c r="M135" s="82"/>
    </row>
    <row r="136" spans="13:13" x14ac:dyDescent="0.2">
      <c r="M136" s="82"/>
    </row>
    <row r="137" spans="13:13" x14ac:dyDescent="0.2">
      <c r="M137" s="82"/>
    </row>
    <row r="138" spans="13:13" x14ac:dyDescent="0.2">
      <c r="M138" s="82"/>
    </row>
    <row r="139" spans="13:13" x14ac:dyDescent="0.2">
      <c r="M139" s="82"/>
    </row>
    <row r="140" spans="13:13" x14ac:dyDescent="0.2">
      <c r="M140" s="82"/>
    </row>
    <row r="141" spans="13:13" x14ac:dyDescent="0.2">
      <c r="M141" s="82"/>
    </row>
    <row r="142" spans="13:13" x14ac:dyDescent="0.2">
      <c r="M142" s="82"/>
    </row>
    <row r="143" spans="13:13" x14ac:dyDescent="0.2">
      <c r="M143" s="82"/>
    </row>
  </sheetData>
  <mergeCells count="2">
    <mergeCell ref="Y10:Z10"/>
    <mergeCell ref="AH6:AH7"/>
  </mergeCells>
  <phoneticPr fontId="2" type="noConversion"/>
  <conditionalFormatting sqref="B82:AF82">
    <cfRule type="cellIs" dxfId="39" priority="3" operator="greaterThan">
      <formula>26</formula>
    </cfRule>
  </conditionalFormatting>
  <conditionalFormatting sqref="B84:AF84">
    <cfRule type="cellIs" dxfId="38" priority="4" operator="greaterThan">
      <formula>6.8</formula>
    </cfRule>
  </conditionalFormatting>
  <conditionalFormatting sqref="D64:D65 D67 T69:AI70 D71 D73:D77">
    <cfRule type="cellIs" dxfId="37" priority="5" stopIfTrue="1" operator="greaterThan">
      <formula>3.8</formula>
    </cfRule>
  </conditionalFormatting>
  <conditionalFormatting sqref="D69:S69 B70:S70">
    <cfRule type="cellIs" dxfId="36" priority="13" stopIfTrue="1" operator="greaterThan">
      <formula>3.8</formula>
    </cfRule>
  </conditionalFormatting>
  <conditionalFormatting sqref="AI8">
    <cfRule type="cellIs" dxfId="35" priority="1" operator="greaterThan">
      <formula>0</formula>
    </cfRule>
    <cfRule type="cellIs" dxfId="34" priority="2" operator="lessThan">
      <formula>0</formula>
    </cfRule>
  </conditionalFormatting>
  <pageMargins left="0.5" right="0.25" top="0.28000000000000003" bottom="0" header="0" footer="0"/>
  <pageSetup paperSize="5" scale="29" orientation="landscape" r:id="rId1"/>
  <headerFooter alignWithMargins="0"/>
  <rowBreaks count="1" manualBreakCount="1">
    <brk id="101"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indexed="11"/>
    <pageSetUpPr fitToPage="1"/>
  </sheetPr>
  <dimension ref="A1:ES174"/>
  <sheetViews>
    <sheetView showGridLines="0" tabSelected="1" topLeftCell="A71" zoomScale="60" zoomScaleNormal="60" zoomScaleSheetLayoutView="50" workbookViewId="0">
      <pane xSplit="1" topLeftCell="Y1" activePane="topRight" state="frozen"/>
      <selection pane="topRight" activeCell="AH90" sqref="AH90"/>
    </sheetView>
  </sheetViews>
  <sheetFormatPr defaultColWidth="9.28515625" defaultRowHeight="26.25" outlineLevelRow="1" x14ac:dyDescent="0.35"/>
  <cols>
    <col min="1" max="1" width="69.28515625" style="470" customWidth="1"/>
    <col min="2" max="2" width="42.28515625" style="284" customWidth="1"/>
    <col min="3" max="3" width="24.140625" style="284" customWidth="1"/>
    <col min="4" max="4" width="27.28515625" style="284" customWidth="1"/>
    <col min="5" max="5" width="23.28515625" style="284" customWidth="1"/>
    <col min="6" max="6" width="30.140625" style="284" customWidth="1"/>
    <col min="7" max="7" width="36.42578125" style="284" customWidth="1"/>
    <col min="8" max="8" width="35.5703125" style="284" customWidth="1"/>
    <col min="9" max="9" width="23.7109375" style="284" customWidth="1"/>
    <col min="10" max="10" width="22.140625" style="472" customWidth="1"/>
    <col min="11" max="11" width="29.7109375" style="472" customWidth="1"/>
    <col min="12" max="12" width="30.5703125" style="472" customWidth="1"/>
    <col min="13" max="13" width="29.7109375" style="473" customWidth="1"/>
    <col min="14" max="16" width="29.7109375" style="472" customWidth="1"/>
    <col min="17" max="17" width="26" style="472" customWidth="1"/>
    <col min="18" max="32" width="29.7109375" style="472" customWidth="1"/>
    <col min="33" max="33" width="26" style="472" customWidth="1"/>
    <col min="34" max="34" width="29.7109375" style="471" customWidth="1"/>
    <col min="35" max="35" width="24.7109375" style="471" customWidth="1"/>
    <col min="36" max="36" width="24.7109375" style="284" customWidth="1"/>
    <col min="37" max="37" width="13.85546875" style="284" customWidth="1"/>
    <col min="38" max="38" width="20.7109375" style="284" customWidth="1"/>
    <col min="39" max="40" width="9.28515625" style="284"/>
    <col min="41" max="41" width="11.28515625" style="284" bestFit="1" customWidth="1"/>
    <col min="42" max="59" width="9.28515625" style="284"/>
    <col min="60" max="16384" width="9.28515625" style="470"/>
  </cols>
  <sheetData>
    <row r="1" spans="1:149" x14ac:dyDescent="0.35">
      <c r="B1" s="471"/>
      <c r="M1" s="501"/>
      <c r="AH1" s="284"/>
      <c r="AI1" s="284"/>
    </row>
    <row r="2" spans="1:149" x14ac:dyDescent="0.35">
      <c r="B2" s="471"/>
      <c r="M2" s="501"/>
      <c r="AH2" s="284"/>
      <c r="AI2" s="284" t="s">
        <v>58</v>
      </c>
    </row>
    <row r="3" spans="1:149" x14ac:dyDescent="0.4">
      <c r="A3" s="474" t="s">
        <v>134</v>
      </c>
      <c r="B3" s="471"/>
      <c r="C3" s="471"/>
      <c r="M3" s="501"/>
      <c r="AH3" s="284"/>
      <c r="AI3" s="284"/>
    </row>
    <row r="4" spans="1:149" hidden="1" x14ac:dyDescent="0.4">
      <c r="A4" s="474"/>
      <c r="M4" s="475"/>
    </row>
    <row r="5" spans="1:149" hidden="1" x14ac:dyDescent="0.35">
      <c r="B5" s="476"/>
      <c r="C5" s="476"/>
      <c r="D5" s="476"/>
      <c r="E5" s="476"/>
      <c r="F5" s="476"/>
      <c r="G5" s="476"/>
      <c r="H5" s="476"/>
      <c r="I5" s="476"/>
      <c r="J5" s="476"/>
      <c r="K5" s="476"/>
      <c r="L5" s="476"/>
      <c r="M5" s="476"/>
      <c r="N5" s="476"/>
      <c r="O5" s="476"/>
      <c r="P5" s="476"/>
      <c r="Q5" s="476"/>
      <c r="R5" s="476"/>
      <c r="S5" s="476"/>
      <c r="T5" s="476"/>
      <c r="U5" s="476"/>
      <c r="V5" s="476"/>
      <c r="W5" s="476"/>
      <c r="X5" s="476"/>
      <c r="Y5" s="476">
        <v>1800</v>
      </c>
      <c r="Z5" s="476"/>
      <c r="AA5" s="476"/>
      <c r="AB5" s="476"/>
      <c r="AC5" s="476"/>
      <c r="AD5" s="476"/>
      <c r="AE5" s="476"/>
      <c r="AF5" s="476"/>
      <c r="AG5" s="476"/>
      <c r="AH5" s="476"/>
      <c r="AI5" s="476"/>
      <c r="AJ5" s="476"/>
    </row>
    <row r="6" spans="1:149" x14ac:dyDescent="0.4">
      <c r="A6" s="183">
        <v>46204</v>
      </c>
      <c r="B6" s="477">
        <v>1</v>
      </c>
      <c r="C6" s="477">
        <v>2</v>
      </c>
      <c r="D6" s="477">
        <v>3</v>
      </c>
      <c r="E6" s="477">
        <v>4</v>
      </c>
      <c r="F6" s="477">
        <v>5</v>
      </c>
      <c r="G6" s="477">
        <v>6</v>
      </c>
      <c r="H6" s="477">
        <v>7</v>
      </c>
      <c r="I6" s="477">
        <v>8</v>
      </c>
      <c r="J6" s="477">
        <v>9</v>
      </c>
      <c r="K6" s="477">
        <v>10</v>
      </c>
      <c r="L6" s="477">
        <v>11</v>
      </c>
      <c r="M6" s="477">
        <v>12</v>
      </c>
      <c r="N6" s="477">
        <v>13</v>
      </c>
      <c r="O6" s="477">
        <v>14</v>
      </c>
      <c r="P6" s="477">
        <v>15</v>
      </c>
      <c r="Q6" s="477">
        <v>16</v>
      </c>
      <c r="R6" s="477">
        <v>17</v>
      </c>
      <c r="S6" s="477">
        <v>18</v>
      </c>
      <c r="T6" s="477">
        <v>19</v>
      </c>
      <c r="U6" s="477">
        <v>20</v>
      </c>
      <c r="V6" s="477">
        <v>21</v>
      </c>
      <c r="W6" s="477">
        <v>22</v>
      </c>
      <c r="X6" s="477">
        <v>23</v>
      </c>
      <c r="Y6" s="477">
        <v>24</v>
      </c>
      <c r="Z6" s="477">
        <v>25</v>
      </c>
      <c r="AA6" s="477">
        <v>26</v>
      </c>
      <c r="AB6" s="477">
        <v>27</v>
      </c>
      <c r="AC6" s="477">
        <v>28</v>
      </c>
      <c r="AD6" s="477">
        <v>29</v>
      </c>
      <c r="AE6" s="477">
        <v>30</v>
      </c>
      <c r="AF6" s="477">
        <v>31</v>
      </c>
      <c r="AG6" s="284"/>
      <c r="AI6" s="849" t="s">
        <v>219</v>
      </c>
    </row>
    <row r="7" spans="1:149" s="481" customFormat="1" x14ac:dyDescent="0.4">
      <c r="A7" s="478"/>
      <c r="B7" s="479" t="s">
        <v>98</v>
      </c>
      <c r="C7" s="479" t="s">
        <v>92</v>
      </c>
      <c r="D7" s="479" t="s">
        <v>93</v>
      </c>
      <c r="E7" s="479" t="s">
        <v>94</v>
      </c>
      <c r="F7" s="479" t="s">
        <v>95</v>
      </c>
      <c r="G7" s="479" t="s">
        <v>96</v>
      </c>
      <c r="H7" s="479" t="s">
        <v>97</v>
      </c>
      <c r="I7" s="479" t="s">
        <v>98</v>
      </c>
      <c r="J7" s="479" t="s">
        <v>92</v>
      </c>
      <c r="K7" s="479" t="s">
        <v>93</v>
      </c>
      <c r="L7" s="479" t="s">
        <v>94</v>
      </c>
      <c r="M7" s="479" t="s">
        <v>95</v>
      </c>
      <c r="N7" s="479" t="s">
        <v>96</v>
      </c>
      <c r="O7" s="479" t="s">
        <v>97</v>
      </c>
      <c r="P7" s="479" t="s">
        <v>98</v>
      </c>
      <c r="Q7" s="479" t="s">
        <v>92</v>
      </c>
      <c r="R7" s="479" t="s">
        <v>93</v>
      </c>
      <c r="S7" s="479" t="s">
        <v>94</v>
      </c>
      <c r="T7" s="479" t="s">
        <v>95</v>
      </c>
      <c r="U7" s="479" t="s">
        <v>96</v>
      </c>
      <c r="V7" s="479" t="s">
        <v>97</v>
      </c>
      <c r="W7" s="479" t="s">
        <v>98</v>
      </c>
      <c r="X7" s="479" t="s">
        <v>92</v>
      </c>
      <c r="Y7" s="479" t="s">
        <v>93</v>
      </c>
      <c r="Z7" s="479" t="s">
        <v>94</v>
      </c>
      <c r="AA7" s="479" t="s">
        <v>95</v>
      </c>
      <c r="AB7" s="479" t="s">
        <v>96</v>
      </c>
      <c r="AC7" s="479" t="s">
        <v>97</v>
      </c>
      <c r="AD7" s="479" t="s">
        <v>98</v>
      </c>
      <c r="AE7" s="479" t="s">
        <v>92</v>
      </c>
      <c r="AF7" s="479" t="s">
        <v>93</v>
      </c>
      <c r="AG7" s="284"/>
      <c r="AH7" s="480" t="s">
        <v>19</v>
      </c>
      <c r="AI7" s="849"/>
      <c r="AJ7" s="285" t="s">
        <v>232</v>
      </c>
      <c r="AK7" s="285"/>
      <c r="AL7" s="285"/>
      <c r="AM7" s="285"/>
      <c r="AN7" s="285" t="s">
        <v>58</v>
      </c>
      <c r="AO7" s="285"/>
      <c r="AP7" s="285"/>
      <c r="AQ7" s="285"/>
      <c r="AR7" s="285"/>
      <c r="AS7" s="285"/>
      <c r="AT7" s="285"/>
      <c r="AU7" s="285"/>
      <c r="AV7" s="285"/>
      <c r="AW7" s="285"/>
      <c r="AX7" s="285"/>
      <c r="AY7" s="285"/>
      <c r="AZ7" s="285"/>
      <c r="BA7" s="285"/>
      <c r="BB7" s="285"/>
      <c r="BC7" s="285"/>
      <c r="BD7" s="285"/>
      <c r="BE7" s="285"/>
      <c r="BF7" s="285"/>
      <c r="BG7" s="285"/>
    </row>
    <row r="8" spans="1:149" s="485" customFormat="1" x14ac:dyDescent="0.35">
      <c r="A8" s="482" t="s">
        <v>136</v>
      </c>
      <c r="B8" s="682">
        <f>5638+1409</f>
        <v>7047</v>
      </c>
      <c r="C8" s="682">
        <f>(2378+1396)+3640</f>
        <v>7414</v>
      </c>
      <c r="D8" s="794">
        <f>3445+4011</f>
        <v>7456</v>
      </c>
      <c r="E8" s="682"/>
      <c r="F8" s="682"/>
      <c r="G8" s="682">
        <v>6224</v>
      </c>
      <c r="H8" s="682">
        <f>2168+1012</f>
        <v>3180</v>
      </c>
      <c r="I8" s="682">
        <f>3469+666+769+702+102</f>
        <v>5708</v>
      </c>
      <c r="J8" s="682">
        <f>2192+(808+1891)</f>
        <v>4891</v>
      </c>
      <c r="K8" s="685">
        <f>2687+2615</f>
        <v>5302</v>
      </c>
      <c r="L8" s="685"/>
      <c r="M8" s="685"/>
      <c r="N8" s="682">
        <f>4221+1949</f>
        <v>6170</v>
      </c>
      <c r="O8" s="682">
        <v>9145</v>
      </c>
      <c r="P8" s="682">
        <f>2896+2978</f>
        <v>5874</v>
      </c>
      <c r="Q8" s="682">
        <f>1316+(1858+1176+2091)</f>
        <v>6441</v>
      </c>
      <c r="R8" s="682">
        <v>1090</v>
      </c>
      <c r="S8" s="682"/>
      <c r="T8" s="682"/>
      <c r="U8" s="682">
        <v>6165</v>
      </c>
      <c r="V8" s="682">
        <f>6077+1501</f>
        <v>7578</v>
      </c>
      <c r="W8" s="682">
        <v>3069</v>
      </c>
      <c r="X8" s="682">
        <f>2605+1316</f>
        <v>3921</v>
      </c>
      <c r="Y8" s="682">
        <v>1392</v>
      </c>
      <c r="Z8" s="682"/>
      <c r="AA8" s="682"/>
      <c r="AB8" s="682">
        <v>5545</v>
      </c>
      <c r="AC8" s="682">
        <f>5914+3814</f>
        <v>9728</v>
      </c>
      <c r="AD8" s="682">
        <f>(716+787)+4074</f>
        <v>5577</v>
      </c>
      <c r="AE8" s="682">
        <f>1196+7317+595</f>
        <v>9108</v>
      </c>
      <c r="AF8" s="794">
        <v>7553</v>
      </c>
      <c r="AG8" s="846">
        <f>44*2.75</f>
        <v>121</v>
      </c>
      <c r="AH8" s="483">
        <f>SUM(B8:AG8)</f>
        <v>135699</v>
      </c>
      <c r="AI8" s="529">
        <v>126675</v>
      </c>
      <c r="AJ8" s="287">
        <f>AH8-AI8</f>
        <v>9024</v>
      </c>
      <c r="AK8" s="484"/>
      <c r="AL8" s="484"/>
      <c r="AM8" s="484"/>
      <c r="AN8" s="484"/>
      <c r="AO8" s="484"/>
      <c r="AP8" s="484"/>
      <c r="AQ8" s="484"/>
      <c r="AR8" s="484"/>
      <c r="AS8" s="484"/>
      <c r="AT8" s="484"/>
      <c r="AU8" s="484"/>
      <c r="AV8" s="484"/>
      <c r="AW8" s="484"/>
      <c r="AX8" s="484"/>
      <c r="AY8" s="484"/>
      <c r="AZ8" s="484"/>
      <c r="BA8" s="484"/>
      <c r="BB8" s="484"/>
      <c r="BC8" s="484"/>
      <c r="BD8" s="484"/>
      <c r="BE8" s="484"/>
      <c r="BF8" s="484"/>
      <c r="BG8" s="484"/>
    </row>
    <row r="9" spans="1:149" x14ac:dyDescent="0.35">
      <c r="A9" s="486" t="s">
        <v>138</v>
      </c>
      <c r="B9" s="682">
        <f>0.066*5638+0.0708*1409</f>
        <v>471.86520000000002</v>
      </c>
      <c r="C9" s="682">
        <f>3640*0.066+0.0708*3773</f>
        <v>507.36840000000001</v>
      </c>
      <c r="D9" s="682">
        <f>D8*0.066</f>
        <v>492.096</v>
      </c>
      <c r="E9" s="682"/>
      <c r="F9" s="682"/>
      <c r="G9" s="682">
        <f>G8*0.066</f>
        <v>410.78399999999999</v>
      </c>
      <c r="H9" s="682">
        <f>H8*0.066</f>
        <v>209.88000000000002</v>
      </c>
      <c r="I9" s="682">
        <f>I8*0.066</f>
        <v>376.72800000000001</v>
      </c>
      <c r="J9" s="682">
        <f>J8*0.066</f>
        <v>322.80600000000004</v>
      </c>
      <c r="K9" s="682">
        <f>K8*0.066</f>
        <v>349.93200000000002</v>
      </c>
      <c r="L9" s="682">
        <f t="shared" ref="L9:M9" si="0">L8*0.066</f>
        <v>0</v>
      </c>
      <c r="M9" s="682">
        <f t="shared" si="0"/>
        <v>0</v>
      </c>
      <c r="N9" s="682">
        <f>N8*0.066</f>
        <v>407.22</v>
      </c>
      <c r="O9" s="682">
        <f>O8*0.066</f>
        <v>603.57000000000005</v>
      </c>
      <c r="P9" s="682">
        <f>P8*0.066</f>
        <v>387.68400000000003</v>
      </c>
      <c r="Q9" s="682">
        <f>Q8*0.066</f>
        <v>425.10599999999999</v>
      </c>
      <c r="R9" s="682">
        <f>R8*0.066</f>
        <v>71.94</v>
      </c>
      <c r="S9" s="682">
        <f t="shared" ref="S9:AA9" si="1">S8*0.066</f>
        <v>0</v>
      </c>
      <c r="T9" s="682">
        <f t="shared" si="1"/>
        <v>0</v>
      </c>
      <c r="U9" s="682">
        <f t="shared" si="1"/>
        <v>406.89000000000004</v>
      </c>
      <c r="V9" s="682">
        <f>V8*0.066</f>
        <v>500.14800000000002</v>
      </c>
      <c r="W9" s="682">
        <f t="shared" si="1"/>
        <v>202.554</v>
      </c>
      <c r="X9" s="682">
        <f>X8*0.066</f>
        <v>258.786</v>
      </c>
      <c r="Y9" s="682">
        <f>Y8*0.066</f>
        <v>91.872</v>
      </c>
      <c r="Z9" s="682">
        <f t="shared" si="1"/>
        <v>0</v>
      </c>
      <c r="AA9" s="682">
        <f t="shared" si="1"/>
        <v>0</v>
      </c>
      <c r="AB9" s="682">
        <f>AB8*0.066</f>
        <v>365.97</v>
      </c>
      <c r="AC9" s="682">
        <f t="shared" ref="AC9" si="2">AC8*0.066</f>
        <v>642.048</v>
      </c>
      <c r="AD9" s="682">
        <f>(716+787)*0.066+4074*0.0708</f>
        <v>387.63720000000001</v>
      </c>
      <c r="AE9" s="682">
        <f>0.0708*1196+(7317+595)*0.066</f>
        <v>606.86879999999996</v>
      </c>
      <c r="AF9" s="682">
        <f>AF8*0.066</f>
        <v>498.49800000000005</v>
      </c>
      <c r="AG9" s="847">
        <f>AG8*0.066</f>
        <v>7.9860000000000007</v>
      </c>
      <c r="AH9" s="487">
        <f>SUM($B9:AG9)</f>
        <v>9006.2376000000004</v>
      </c>
      <c r="AI9" s="487"/>
      <c r="AL9" s="284" t="s">
        <v>58</v>
      </c>
      <c r="AO9" s="488"/>
    </row>
    <row r="10" spans="1:149" s="489" customFormat="1" x14ac:dyDescent="0.35">
      <c r="A10" s="489" t="s">
        <v>135</v>
      </c>
      <c r="B10" s="758" t="s">
        <v>300</v>
      </c>
      <c r="C10" s="758" t="s">
        <v>302</v>
      </c>
      <c r="D10" s="758" t="s">
        <v>303</v>
      </c>
      <c r="E10" s="687"/>
      <c r="F10" s="687"/>
      <c r="G10" s="796" t="s">
        <v>305</v>
      </c>
      <c r="H10" s="796" t="s">
        <v>308</v>
      </c>
      <c r="I10" s="754" t="s">
        <v>309</v>
      </c>
      <c r="J10" s="798" t="s">
        <v>310</v>
      </c>
      <c r="K10" s="687" t="s">
        <v>311</v>
      </c>
      <c r="L10" s="687"/>
      <c r="M10" s="687"/>
      <c r="N10" s="686" t="s">
        <v>312</v>
      </c>
      <c r="O10" s="686" t="s">
        <v>305</v>
      </c>
      <c r="P10" s="687" t="s">
        <v>314</v>
      </c>
      <c r="Q10" s="687" t="s">
        <v>315</v>
      </c>
      <c r="R10" s="687" t="s">
        <v>306</v>
      </c>
      <c r="S10" s="687"/>
      <c r="T10" s="686"/>
      <c r="U10" s="789" t="s">
        <v>318</v>
      </c>
      <c r="V10" s="789" t="s">
        <v>319</v>
      </c>
      <c r="W10" s="819" t="s">
        <v>321</v>
      </c>
      <c r="X10" s="821" t="s">
        <v>323</v>
      </c>
      <c r="Y10" s="820" t="s">
        <v>324</v>
      </c>
      <c r="Z10" s="686"/>
      <c r="AA10" s="687"/>
      <c r="AB10" s="673" t="s">
        <v>306</v>
      </c>
      <c r="AC10" s="673" t="s">
        <v>326</v>
      </c>
      <c r="AD10" s="789" t="s">
        <v>327</v>
      </c>
      <c r="AE10" s="686" t="s">
        <v>328</v>
      </c>
      <c r="AF10" s="687" t="s">
        <v>306</v>
      </c>
      <c r="AG10" s="848" t="s">
        <v>329</v>
      </c>
      <c r="AH10" s="490"/>
      <c r="AI10" s="490"/>
      <c r="AJ10" s="284"/>
      <c r="AK10" s="484"/>
      <c r="AL10" s="484" t="s">
        <v>58</v>
      </c>
      <c r="AM10" s="484" t="s">
        <v>58</v>
      </c>
      <c r="AN10" s="484"/>
      <c r="AO10" s="484" t="s">
        <v>58</v>
      </c>
      <c r="AP10" s="484"/>
      <c r="AQ10" s="484"/>
      <c r="AR10" s="484"/>
      <c r="AS10" s="484"/>
      <c r="AT10" s="484"/>
      <c r="AU10" s="484"/>
      <c r="AV10" s="484"/>
      <c r="AW10" s="484"/>
      <c r="AX10" s="484"/>
      <c r="AY10" s="484"/>
      <c r="AZ10" s="484"/>
      <c r="BA10" s="484"/>
      <c r="BB10" s="484"/>
      <c r="BC10" s="484"/>
      <c r="BD10" s="484"/>
      <c r="BE10" s="484"/>
      <c r="BF10" s="484"/>
      <c r="BG10" s="484"/>
    </row>
    <row r="11" spans="1:149" s="494" customFormat="1" ht="1.5" customHeight="1" x14ac:dyDescent="0.35">
      <c r="A11" s="491"/>
      <c r="B11" s="683"/>
      <c r="C11" s="683"/>
      <c r="D11" s="683"/>
      <c r="E11" s="736"/>
      <c r="F11" s="702"/>
      <c r="G11" s="731"/>
      <c r="H11" s="689"/>
      <c r="I11" s="683"/>
      <c r="J11" s="689"/>
      <c r="K11" s="683"/>
      <c r="L11" s="736"/>
      <c r="M11" s="702"/>
      <c r="N11" s="689"/>
      <c r="O11" s="683"/>
      <c r="P11" s="683"/>
      <c r="Q11" s="683"/>
      <c r="R11" s="683"/>
      <c r="S11" s="683"/>
      <c r="T11" s="689"/>
      <c r="U11" s="689"/>
      <c r="V11" s="683"/>
      <c r="W11" s="683"/>
      <c r="X11" s="705"/>
      <c r="Y11" s="683"/>
      <c r="Z11" s="683"/>
      <c r="AA11" s="683"/>
      <c r="AB11" s="683"/>
      <c r="AC11" s="683"/>
      <c r="AD11" s="683"/>
      <c r="AE11" s="683"/>
      <c r="AF11" s="683"/>
      <c r="AG11" s="690"/>
      <c r="AH11" s="492"/>
      <c r="AI11" s="492"/>
      <c r="AJ11" s="493"/>
      <c r="AK11" s="484"/>
      <c r="AL11" s="484"/>
      <c r="AM11" s="484"/>
      <c r="AN11" s="484"/>
      <c r="AO11" s="484"/>
      <c r="AP11" s="484"/>
      <c r="AQ11" s="484"/>
      <c r="AR11" s="484"/>
      <c r="AS11" s="484"/>
      <c r="AT11" s="484"/>
      <c r="AU11" s="484"/>
      <c r="AV11" s="484"/>
      <c r="AW11" s="484"/>
      <c r="AX11" s="484"/>
      <c r="AY11" s="484"/>
      <c r="AZ11" s="484"/>
      <c r="BA11" s="484"/>
      <c r="BB11" s="484"/>
      <c r="BC11" s="484"/>
      <c r="BD11" s="484"/>
      <c r="BE11" s="484"/>
      <c r="BF11" s="484"/>
      <c r="BG11" s="484"/>
      <c r="BH11" s="489"/>
      <c r="BI11" s="489"/>
      <c r="BJ11" s="489"/>
      <c r="BK11" s="489"/>
      <c r="BL11" s="489"/>
      <c r="BM11" s="489"/>
      <c r="BN11" s="489"/>
      <c r="BO11" s="489"/>
      <c r="BP11" s="489"/>
      <c r="BQ11" s="489"/>
      <c r="BR11" s="489"/>
      <c r="BS11" s="489"/>
      <c r="BT11" s="489"/>
      <c r="BU11" s="489"/>
      <c r="BV11" s="489"/>
      <c r="BW11" s="489"/>
      <c r="BX11" s="489"/>
      <c r="BY11" s="489"/>
      <c r="BZ11" s="489"/>
      <c r="CA11" s="489"/>
      <c r="CB11" s="489"/>
      <c r="CC11" s="489"/>
      <c r="CD11" s="489"/>
      <c r="CE11" s="489"/>
      <c r="CF11" s="489"/>
      <c r="CG11" s="489"/>
      <c r="CH11" s="489"/>
      <c r="CI11" s="489"/>
      <c r="CJ11" s="489"/>
      <c r="CK11" s="489"/>
      <c r="CL11" s="489"/>
      <c r="CM11" s="489"/>
      <c r="CN11" s="489"/>
      <c r="CO11" s="489"/>
      <c r="CP11" s="489"/>
      <c r="CQ11" s="489"/>
      <c r="CR11" s="489"/>
      <c r="CS11" s="489"/>
      <c r="CT11" s="489"/>
      <c r="CU11" s="489"/>
      <c r="CV11" s="489"/>
      <c r="CW11" s="489"/>
      <c r="CX11" s="489"/>
      <c r="CY11" s="489"/>
      <c r="CZ11" s="489"/>
      <c r="DA11" s="489"/>
      <c r="DB11" s="489"/>
      <c r="DC11" s="489"/>
      <c r="DD11" s="489"/>
      <c r="DE11" s="489"/>
      <c r="DF11" s="489"/>
      <c r="DG11" s="489"/>
      <c r="DH11" s="489"/>
      <c r="DI11" s="489"/>
      <c r="DJ11" s="489"/>
      <c r="DK11" s="489"/>
      <c r="DL11" s="489"/>
      <c r="DM11" s="489"/>
      <c r="DN11" s="489"/>
      <c r="DO11" s="489"/>
      <c r="DP11" s="489"/>
      <c r="DQ11" s="489"/>
      <c r="DR11" s="489"/>
      <c r="DS11" s="489"/>
      <c r="DT11" s="489"/>
      <c r="DU11" s="489"/>
      <c r="DV11" s="489"/>
      <c r="DW11" s="489"/>
      <c r="DX11" s="489"/>
      <c r="DY11" s="489"/>
      <c r="DZ11" s="489"/>
      <c r="EA11" s="489"/>
      <c r="EB11" s="489"/>
      <c r="EC11" s="489"/>
      <c r="ED11" s="489"/>
      <c r="EE11" s="489"/>
      <c r="EF11" s="489"/>
      <c r="EG11" s="489"/>
      <c r="EH11" s="489"/>
      <c r="EI11" s="489"/>
      <c r="EJ11" s="489"/>
      <c r="EK11" s="489"/>
      <c r="EL11" s="489"/>
      <c r="EM11" s="489"/>
      <c r="EN11" s="489"/>
      <c r="EO11" s="489"/>
      <c r="EP11" s="489"/>
      <c r="EQ11" s="489"/>
      <c r="ER11" s="489"/>
      <c r="ES11" s="489"/>
    </row>
    <row r="12" spans="1:149" ht="27.75" customHeight="1" x14ac:dyDescent="0.4">
      <c r="A12" s="495" t="s">
        <v>213</v>
      </c>
      <c r="B12" s="284">
        <v>342.9</v>
      </c>
      <c r="C12" s="497">
        <v>350.9</v>
      </c>
      <c r="D12" s="497">
        <v>355.6</v>
      </c>
      <c r="E12" s="497"/>
      <c r="F12" s="497"/>
      <c r="G12" s="497">
        <v>201.2</v>
      </c>
      <c r="H12" s="497">
        <v>351.7</v>
      </c>
      <c r="I12" s="497">
        <v>452.3</v>
      </c>
      <c r="J12" s="497"/>
      <c r="K12" s="497">
        <v>203.7</v>
      </c>
      <c r="L12" s="497">
        <v>300</v>
      </c>
      <c r="M12" s="497">
        <v>98.9</v>
      </c>
      <c r="N12" s="497">
        <v>50.2</v>
      </c>
      <c r="O12" s="497">
        <v>448.5</v>
      </c>
      <c r="P12" s="497">
        <v>357.4</v>
      </c>
      <c r="Q12" s="472">
        <v>400.8</v>
      </c>
      <c r="R12" s="497"/>
      <c r="S12" s="497"/>
      <c r="T12" s="497"/>
      <c r="U12" s="497">
        <v>303.7</v>
      </c>
      <c r="V12" s="497">
        <v>455.3</v>
      </c>
      <c r="W12" s="497">
        <v>453</v>
      </c>
      <c r="X12" s="497">
        <v>498.7</v>
      </c>
      <c r="Y12" s="497">
        <v>283.39999999999998</v>
      </c>
      <c r="Z12" s="497"/>
      <c r="AA12" s="497"/>
      <c r="AB12" s="497">
        <v>93.6</v>
      </c>
      <c r="AC12" s="497">
        <v>387.3</v>
      </c>
      <c r="AD12" s="497">
        <v>452.3</v>
      </c>
      <c r="AE12" s="497">
        <v>495.8</v>
      </c>
      <c r="AF12" s="497">
        <v>307.7</v>
      </c>
      <c r="AG12" s="497"/>
      <c r="AH12" s="498">
        <f>SUM(B12:AF12)</f>
        <v>7644.9000000000005</v>
      </c>
      <c r="AI12" s="499"/>
      <c r="AJ12" s="472"/>
      <c r="AL12" s="284" t="s">
        <v>230</v>
      </c>
    </row>
    <row r="13" spans="1:149" x14ac:dyDescent="0.35">
      <c r="A13" s="500" t="s">
        <v>214</v>
      </c>
      <c r="B13" s="793" t="s">
        <v>301</v>
      </c>
      <c r="C13" s="703" t="s">
        <v>304</v>
      </c>
      <c r="D13" s="703" t="s">
        <v>307</v>
      </c>
      <c r="E13" s="703"/>
      <c r="F13" s="688"/>
      <c r="G13" s="673" t="s">
        <v>306</v>
      </c>
      <c r="H13" s="673" t="s">
        <v>306</v>
      </c>
      <c r="I13" s="673" t="s">
        <v>306</v>
      </c>
      <c r="J13" s="673"/>
      <c r="K13" s="673" t="s">
        <v>306</v>
      </c>
      <c r="L13" s="688" t="s">
        <v>305</v>
      </c>
      <c r="M13" s="688" t="s">
        <v>305</v>
      </c>
      <c r="N13" s="688" t="s">
        <v>305</v>
      </c>
      <c r="O13" s="688" t="s">
        <v>313</v>
      </c>
      <c r="P13" s="673" t="s">
        <v>306</v>
      </c>
      <c r="Q13" s="673" t="s">
        <v>316</v>
      </c>
      <c r="R13" s="688"/>
      <c r="S13" s="673"/>
      <c r="T13" s="673"/>
      <c r="U13" s="703" t="s">
        <v>307</v>
      </c>
      <c r="V13" s="673" t="s">
        <v>306</v>
      </c>
      <c r="W13" s="673" t="s">
        <v>306</v>
      </c>
      <c r="X13" s="673" t="s">
        <v>322</v>
      </c>
      <c r="Y13" s="841" t="s">
        <v>325</v>
      </c>
      <c r="Z13" s="688"/>
      <c r="AA13" s="673"/>
      <c r="AB13" s="841" t="s">
        <v>325</v>
      </c>
      <c r="AC13" s="688" t="s">
        <v>305</v>
      </c>
      <c r="AD13" s="673" t="s">
        <v>306</v>
      </c>
      <c r="AE13" s="673" t="s">
        <v>314</v>
      </c>
      <c r="AF13" s="673" t="s">
        <v>306</v>
      </c>
      <c r="AG13" s="691"/>
      <c r="AH13" s="499"/>
      <c r="AI13" s="499"/>
      <c r="AJ13" s="472"/>
      <c r="AL13" s="284" t="s">
        <v>58</v>
      </c>
      <c r="AO13" s="284" t="s">
        <v>58</v>
      </c>
    </row>
    <row r="14" spans="1:149" ht="24.75" customHeight="1" x14ac:dyDescent="0.35">
      <c r="A14" s="470" t="s">
        <v>216</v>
      </c>
      <c r="B14" s="284">
        <f>3+4</f>
        <v>7</v>
      </c>
      <c r="C14" s="501">
        <v>7</v>
      </c>
      <c r="D14" s="501">
        <f>3+4</f>
        <v>7</v>
      </c>
      <c r="E14" s="501"/>
      <c r="F14" s="501"/>
      <c r="G14" s="501">
        <v>4</v>
      </c>
      <c r="H14" s="501">
        <v>7</v>
      </c>
      <c r="I14" s="501">
        <v>9</v>
      </c>
      <c r="J14" s="501"/>
      <c r="K14" s="501">
        <v>4</v>
      </c>
      <c r="L14" s="501">
        <v>6</v>
      </c>
      <c r="M14" s="501">
        <v>2</v>
      </c>
      <c r="N14" s="501">
        <v>1</v>
      </c>
      <c r="O14" s="501">
        <f>7+2</f>
        <v>9</v>
      </c>
      <c r="P14" s="501">
        <v>7</v>
      </c>
      <c r="Q14" s="472">
        <f>7+1</f>
        <v>8</v>
      </c>
      <c r="R14" s="501"/>
      <c r="S14" s="501"/>
      <c r="T14" s="501"/>
      <c r="U14" s="732">
        <f>4+2</f>
        <v>6</v>
      </c>
      <c r="V14" s="732">
        <v>9</v>
      </c>
      <c r="W14" s="732">
        <v>9</v>
      </c>
      <c r="X14" s="501">
        <f>4+6</f>
        <v>10</v>
      </c>
      <c r="Y14" s="501">
        <v>6</v>
      </c>
      <c r="Z14" s="501"/>
      <c r="AA14" s="501"/>
      <c r="AB14" s="501">
        <v>2</v>
      </c>
      <c r="AC14" s="501">
        <v>8</v>
      </c>
      <c r="AD14" s="501">
        <v>9</v>
      </c>
      <c r="AE14" s="501">
        <f>9+1</f>
        <v>10</v>
      </c>
      <c r="AF14" s="501">
        <v>6</v>
      </c>
      <c r="AG14" s="501"/>
      <c r="AH14" s="471">
        <f>SUM($B14:AF14)</f>
        <v>153</v>
      </c>
    </row>
    <row r="15" spans="1:149" s="507" customFormat="1" ht="26.25" customHeight="1" x14ac:dyDescent="0.35">
      <c r="A15" s="502" t="s">
        <v>215</v>
      </c>
      <c r="B15" s="723">
        <f>IF(C$12=0,"",+(B36*10)/C$12)</f>
        <v>4.3887147335423204</v>
      </c>
      <c r="C15" s="723">
        <f>IF(D$12=0,"",+(C36*10)/D$12)</f>
        <v>6.1867266591676033</v>
      </c>
      <c r="D15" s="723" t="str">
        <f>IF(E$12=0,"",+(D36*10)/E$12)</f>
        <v/>
      </c>
      <c r="E15" s="723" t="str">
        <f>IF(F$12=0,"",+(E36*10)/F$12)</f>
        <v/>
      </c>
      <c r="F15" s="723" t="str">
        <f t="shared" ref="F15:AE15" si="3">IF(F$12=0,"",+(F36*10)/F$12)</f>
        <v/>
      </c>
      <c r="G15" s="723">
        <f t="shared" si="3"/>
        <v>5.2186878727634198</v>
      </c>
      <c r="H15" s="723">
        <f t="shared" si="3"/>
        <v>3.8669320443559854</v>
      </c>
      <c r="I15" s="723">
        <f t="shared" si="3"/>
        <v>4.2891885916427146</v>
      </c>
      <c r="J15" s="723" t="str">
        <f t="shared" si="3"/>
        <v/>
      </c>
      <c r="K15" s="723">
        <f t="shared" si="3"/>
        <v>8.0510554737358859</v>
      </c>
      <c r="L15" s="723">
        <f t="shared" si="3"/>
        <v>3.2</v>
      </c>
      <c r="M15" s="724">
        <f t="shared" si="3"/>
        <v>5.9656218402426688</v>
      </c>
      <c r="N15" s="724">
        <f t="shared" si="3"/>
        <v>6.9721115537848606</v>
      </c>
      <c r="O15" s="724">
        <f t="shared" si="3"/>
        <v>4.5930880713489408</v>
      </c>
      <c r="P15" s="724">
        <f t="shared" si="3"/>
        <v>4.224958030218243</v>
      </c>
      <c r="Q15" s="724">
        <f t="shared" si="3"/>
        <v>4.1167664670658679</v>
      </c>
      <c r="R15" s="724" t="str">
        <f t="shared" si="3"/>
        <v/>
      </c>
      <c r="S15" s="724" t="str">
        <f t="shared" si="3"/>
        <v/>
      </c>
      <c r="T15" s="724" t="str">
        <f t="shared" si="3"/>
        <v/>
      </c>
      <c r="U15" s="724">
        <f t="shared" si="3"/>
        <v>3.1939413895291406</v>
      </c>
      <c r="V15" s="724">
        <f t="shared" si="3"/>
        <v>5.1833955633648143</v>
      </c>
      <c r="W15" s="724">
        <f t="shared" si="3"/>
        <v>3.1346578366445916</v>
      </c>
      <c r="X15" s="724">
        <f t="shared" si="3"/>
        <v>5.1935031080810106</v>
      </c>
      <c r="Y15" s="724">
        <f t="shared" si="3"/>
        <v>4.2342978122794639</v>
      </c>
      <c r="Z15" s="724" t="str">
        <f t="shared" si="3"/>
        <v/>
      </c>
      <c r="AA15" s="724" t="str">
        <f t="shared" si="3"/>
        <v/>
      </c>
      <c r="AB15" s="724">
        <f t="shared" si="3"/>
        <v>8.867521367521368</v>
      </c>
      <c r="AC15" s="724">
        <f t="shared" si="3"/>
        <v>4.0278853601859019</v>
      </c>
      <c r="AD15" s="724">
        <f t="shared" si="3"/>
        <v>3.3827105903161616</v>
      </c>
      <c r="AE15" s="724">
        <f t="shared" si="3"/>
        <v>3.4288019362646227</v>
      </c>
      <c r="AF15" s="724">
        <f t="shared" ref="AF15" si="4">IF(AF$12=0,"",+(AF36*10)/AF$12)</f>
        <v>6.1748456288592788</v>
      </c>
      <c r="AG15" s="724"/>
      <c r="AH15" s="503">
        <f>IF(AH12=0,"",+(AH36*10)/AH12)</f>
        <v>5.0151081112898792</v>
      </c>
      <c r="AI15" s="505"/>
      <c r="AJ15" s="506"/>
      <c r="AK15" s="284"/>
      <c r="AL15" s="284"/>
      <c r="AM15" s="284"/>
      <c r="AN15" s="284"/>
      <c r="AO15" s="284"/>
      <c r="AP15" s="284"/>
      <c r="AQ15" s="284"/>
      <c r="AR15" s="284"/>
      <c r="AS15" s="284"/>
      <c r="AT15" s="284"/>
      <c r="AU15" s="284"/>
      <c r="AV15" s="284"/>
      <c r="AW15" s="284"/>
      <c r="AX15" s="284"/>
      <c r="AY15" s="284"/>
      <c r="AZ15" s="284"/>
      <c r="BA15" s="284"/>
      <c r="BB15" s="284"/>
      <c r="BC15" s="284"/>
      <c r="BD15" s="284"/>
      <c r="BE15" s="284"/>
      <c r="BF15" s="284"/>
      <c r="BG15" s="284"/>
      <c r="BH15" s="470"/>
      <c r="BI15" s="470"/>
      <c r="BJ15" s="470"/>
      <c r="BK15" s="470"/>
      <c r="BL15" s="470"/>
      <c r="BM15" s="470"/>
      <c r="BN15" s="470"/>
      <c r="BO15" s="470"/>
      <c r="BP15" s="470"/>
      <c r="BQ15" s="470"/>
      <c r="BR15" s="470"/>
      <c r="BS15" s="470"/>
      <c r="BT15" s="470"/>
      <c r="BU15" s="470"/>
      <c r="BV15" s="470"/>
      <c r="BW15" s="470"/>
      <c r="BX15" s="470"/>
      <c r="BY15" s="470"/>
      <c r="BZ15" s="470"/>
      <c r="CA15" s="470"/>
      <c r="CB15" s="470"/>
      <c r="CC15" s="470"/>
      <c r="CD15" s="470"/>
      <c r="CE15" s="470"/>
      <c r="CF15" s="470"/>
      <c r="CG15" s="470"/>
      <c r="CH15" s="470"/>
      <c r="CI15" s="470"/>
      <c r="CJ15" s="470"/>
      <c r="CK15" s="470"/>
      <c r="CL15" s="470"/>
      <c r="CM15" s="470"/>
      <c r="CN15" s="470"/>
      <c r="CO15" s="470"/>
      <c r="CP15" s="470"/>
      <c r="CQ15" s="470"/>
      <c r="CR15" s="470"/>
      <c r="CS15" s="470"/>
      <c r="CT15" s="470"/>
      <c r="CU15" s="470"/>
      <c r="CV15" s="470"/>
      <c r="CW15" s="470"/>
      <c r="CX15" s="470"/>
      <c r="CY15" s="470"/>
      <c r="CZ15" s="470"/>
      <c r="DA15" s="470"/>
      <c r="DB15" s="470"/>
      <c r="DC15" s="470"/>
      <c r="DD15" s="470"/>
      <c r="DE15" s="470"/>
      <c r="DF15" s="470"/>
      <c r="DG15" s="470"/>
      <c r="DH15" s="470"/>
      <c r="DI15" s="470"/>
      <c r="DJ15" s="470"/>
      <c r="DK15" s="470"/>
      <c r="DL15" s="470"/>
      <c r="DM15" s="470"/>
      <c r="DN15" s="470"/>
      <c r="DO15" s="470"/>
      <c r="DP15" s="470"/>
      <c r="DQ15" s="470"/>
      <c r="DR15" s="470"/>
      <c r="DS15" s="470"/>
      <c r="DT15" s="470"/>
      <c r="DU15" s="470"/>
      <c r="DV15" s="470"/>
      <c r="DW15" s="470"/>
      <c r="DX15" s="470"/>
      <c r="DY15" s="470"/>
      <c r="DZ15" s="470"/>
      <c r="EA15" s="470"/>
      <c r="EB15" s="470"/>
      <c r="EC15" s="470"/>
      <c r="ED15" s="470"/>
      <c r="EE15" s="470"/>
      <c r="EF15" s="470"/>
      <c r="EG15" s="470"/>
      <c r="EH15" s="470"/>
      <c r="EI15" s="470"/>
      <c r="EJ15" s="470"/>
      <c r="EK15" s="470"/>
      <c r="EL15" s="470"/>
      <c r="EM15" s="470"/>
      <c r="EN15" s="470"/>
      <c r="EO15" s="470"/>
      <c r="EP15" s="470"/>
      <c r="EQ15" s="470"/>
      <c r="ER15" s="470"/>
      <c r="ES15" s="470"/>
    </row>
    <row r="16" spans="1:149" ht="19.5" customHeight="1" x14ac:dyDescent="0.35">
      <c r="M16" s="472"/>
    </row>
    <row r="17" spans="1:149" ht="30" x14ac:dyDescent="0.4">
      <c r="A17" s="474" t="s">
        <v>221</v>
      </c>
      <c r="M17" s="472"/>
    </row>
    <row r="18" spans="1:149" s="509" customFormat="1" hidden="1" outlineLevel="1" x14ac:dyDescent="0.4">
      <c r="A18" s="481"/>
      <c r="B18" s="508"/>
      <c r="C18" s="508"/>
      <c r="D18" s="508"/>
      <c r="E18" s="508"/>
      <c r="F18" s="508"/>
      <c r="G18" s="508"/>
      <c r="H18" s="508"/>
      <c r="I18" s="508"/>
      <c r="J18" s="508"/>
      <c r="K18" s="508"/>
      <c r="L18" s="508"/>
      <c r="M18" s="508"/>
      <c r="N18" s="508"/>
      <c r="O18" s="508"/>
      <c r="P18" s="508"/>
      <c r="Q18" s="508"/>
      <c r="R18" s="508"/>
      <c r="S18" s="508"/>
      <c r="T18" s="508"/>
      <c r="U18" s="508"/>
      <c r="V18" s="508"/>
      <c r="W18" s="508"/>
      <c r="X18" s="508"/>
      <c r="Y18" s="508"/>
      <c r="Z18" s="508"/>
      <c r="AA18" s="508"/>
      <c r="AB18" s="508"/>
      <c r="AC18" s="508"/>
      <c r="AD18" s="508"/>
      <c r="AE18" s="508"/>
      <c r="AF18" s="508"/>
      <c r="AG18" s="508"/>
      <c r="AH18" s="285" t="s">
        <v>85</v>
      </c>
      <c r="AI18" s="285"/>
      <c r="AJ18" s="508"/>
      <c r="AK18" s="508"/>
      <c r="AL18" s="508"/>
      <c r="AM18" s="508"/>
      <c r="AN18" s="508" t="s">
        <v>58</v>
      </c>
      <c r="AO18" s="508"/>
      <c r="AP18" s="508"/>
      <c r="AQ18" s="508"/>
      <c r="AR18" s="508"/>
      <c r="AS18" s="508"/>
      <c r="AT18" s="508"/>
      <c r="AU18" s="508"/>
      <c r="AV18" s="508"/>
      <c r="AW18" s="508"/>
      <c r="AX18" s="508"/>
      <c r="AY18" s="508"/>
      <c r="AZ18" s="508"/>
      <c r="BA18" s="508"/>
      <c r="BB18" s="508"/>
      <c r="BC18" s="508"/>
      <c r="BD18" s="508"/>
      <c r="BE18" s="508"/>
      <c r="BF18" s="508"/>
      <c r="BG18" s="508"/>
    </row>
    <row r="19" spans="1:149" ht="45.75" hidden="1" customHeight="1" outlineLevel="1" x14ac:dyDescent="0.35">
      <c r="A19" s="510" t="s">
        <v>139</v>
      </c>
      <c r="B19" s="511" t="str">
        <f>+'Water '!$C7</f>
        <v>0</v>
      </c>
      <c r="C19" s="511" t="str">
        <f>+'Water '!$C8</f>
        <v>0</v>
      </c>
      <c r="D19" s="511" t="str">
        <f>+'Water '!$C9</f>
        <v>0</v>
      </c>
      <c r="E19" s="511" t="str">
        <f>+'Water '!$C10</f>
        <v>0</v>
      </c>
      <c r="F19" s="511" t="str">
        <f>+'Water '!$C11</f>
        <v>0</v>
      </c>
      <c r="G19" s="511" t="str">
        <f>+'Water '!$C12</f>
        <v>0</v>
      </c>
      <c r="H19" s="511" t="str">
        <f>+'Water '!$C13</f>
        <v>0</v>
      </c>
      <c r="I19" s="511" t="str">
        <f>+'Water '!$C14</f>
        <v>0</v>
      </c>
      <c r="J19" s="512" t="str">
        <f>+'Water '!$C15</f>
        <v>0</v>
      </c>
      <c r="K19" s="512" t="str">
        <f>+'Water '!$C16</f>
        <v>0</v>
      </c>
      <c r="L19" s="512" t="str">
        <f>+'Water '!$C17</f>
        <v>0</v>
      </c>
      <c r="M19" s="512" t="str">
        <f>+'Water '!$C18</f>
        <v>0</v>
      </c>
      <c r="N19" s="512" t="str">
        <f>+'Water '!$C18</f>
        <v>0</v>
      </c>
      <c r="O19" s="512" t="str">
        <f>+'Water '!$C20</f>
        <v>0</v>
      </c>
      <c r="P19" s="512" t="str">
        <f>+'Water '!$C21</f>
        <v>0</v>
      </c>
      <c r="Q19" s="512" t="str">
        <f>+'Water '!$C22</f>
        <v>0</v>
      </c>
      <c r="R19" s="512" t="str">
        <f>+'Water '!$C23</f>
        <v>0</v>
      </c>
      <c r="S19" s="512" t="str">
        <f>+'Water '!$C24</f>
        <v>0</v>
      </c>
      <c r="T19" s="512" t="str">
        <f>+'Water '!$C25</f>
        <v>0</v>
      </c>
      <c r="U19" s="512" t="str">
        <f>+'Water '!$C26</f>
        <v>0</v>
      </c>
      <c r="V19" s="512" t="str">
        <f>+'Water '!$C27</f>
        <v>0</v>
      </c>
      <c r="W19" s="512" t="str">
        <f>+'Water '!$C28</f>
        <v>0</v>
      </c>
      <c r="X19" s="512" t="str">
        <f>+'Water '!$C29</f>
        <v>0</v>
      </c>
      <c r="Y19" s="512" t="str">
        <f>+'Water '!$C30</f>
        <v>0</v>
      </c>
      <c r="Z19" s="512" t="str">
        <f>+'Water '!$C31</f>
        <v>0</v>
      </c>
      <c r="AA19" s="512" t="str">
        <f>+'Water '!$C32</f>
        <v>0</v>
      </c>
      <c r="AB19" s="512" t="str">
        <f>+'Water '!$C33</f>
        <v>0</v>
      </c>
      <c r="AC19" s="512" t="str">
        <f>+'Water '!$C34</f>
        <v>0</v>
      </c>
      <c r="AD19" s="512" t="str">
        <f>+'Water '!$C35</f>
        <v>0</v>
      </c>
      <c r="AE19" s="512" t="str">
        <f>+'Water '!$C36</f>
        <v>0</v>
      </c>
      <c r="AF19" s="512" t="str">
        <f>+'Water '!$C37</f>
        <v>0</v>
      </c>
      <c r="AG19" s="512"/>
      <c r="AH19" s="487">
        <f>SUM($B19:AF19)</f>
        <v>0</v>
      </c>
      <c r="AI19" s="487"/>
      <c r="AN19" s="284" t="s">
        <v>58</v>
      </c>
    </row>
    <row r="20" spans="1:149" hidden="1" outlineLevel="1" x14ac:dyDescent="0.35">
      <c r="A20" s="510" t="s">
        <v>124</v>
      </c>
      <c r="B20" s="511">
        <f>+'Water '!$D7</f>
        <v>266</v>
      </c>
      <c r="C20" s="511">
        <f>+'Water '!$D8</f>
        <v>269</v>
      </c>
      <c r="D20" s="511">
        <f>+'Water '!$D9</f>
        <v>7</v>
      </c>
      <c r="E20" s="511">
        <f>+'Water '!$D10</f>
        <v>21</v>
      </c>
      <c r="F20" s="511">
        <f>+'Water '!$D11</f>
        <v>1</v>
      </c>
      <c r="G20" s="511">
        <f>+'Water '!$D12</f>
        <v>125</v>
      </c>
      <c r="H20" s="511">
        <f>+'Water '!$D13</f>
        <v>267</v>
      </c>
      <c r="I20" s="511">
        <f>+'Water '!$D14</f>
        <v>1</v>
      </c>
      <c r="J20" s="512">
        <f>+'Water '!$D15</f>
        <v>213</v>
      </c>
      <c r="K20" s="512">
        <f>+'Water '!$D16</f>
        <v>234</v>
      </c>
      <c r="L20" s="512" t="str">
        <f>+'Water '!$D17</f>
        <v>0</v>
      </c>
      <c r="M20" s="512">
        <f>+'Water '!$D18</f>
        <v>249</v>
      </c>
      <c r="N20" s="512">
        <f>+'Water '!$D19</f>
        <v>200</v>
      </c>
      <c r="O20" s="512">
        <f>+'Water '!$D20</f>
        <v>197</v>
      </c>
      <c r="P20" s="512">
        <f>+'Water '!$D21</f>
        <v>358</v>
      </c>
      <c r="Q20" s="512">
        <f>+'Water '!$D22</f>
        <v>136</v>
      </c>
      <c r="R20" s="512">
        <f>+'Water '!$D23</f>
        <v>74</v>
      </c>
      <c r="S20" s="513">
        <f>+'Water '!$D24</f>
        <v>30</v>
      </c>
      <c r="T20" s="512">
        <f>+'Water '!$D25</f>
        <v>42</v>
      </c>
      <c r="U20" s="512">
        <f>+'Water '!$D26</f>
        <v>131</v>
      </c>
      <c r="V20" s="512">
        <f>+'Water '!$D27</f>
        <v>289</v>
      </c>
      <c r="W20" s="512">
        <f>+'Water '!$D28</f>
        <v>179</v>
      </c>
      <c r="X20" s="512">
        <f>+'Water '!$D29</f>
        <v>149</v>
      </c>
      <c r="Y20" s="512">
        <f>+'Water '!$D30</f>
        <v>233</v>
      </c>
      <c r="Z20" s="512">
        <f>+'Water '!$D31</f>
        <v>127</v>
      </c>
      <c r="AA20" s="512" t="str">
        <f>+'Water '!$D32</f>
        <v>0</v>
      </c>
      <c r="AB20" s="512">
        <f>+'Water '!$D33</f>
        <v>73</v>
      </c>
      <c r="AC20" s="512">
        <f>+'Water '!$D34</f>
        <v>123</v>
      </c>
      <c r="AD20" s="512">
        <f>+'Water '!$D35</f>
        <v>335</v>
      </c>
      <c r="AE20" s="512">
        <f>+'Water '!$D36</f>
        <v>235</v>
      </c>
      <c r="AF20" s="512">
        <f>+'Water '!$D37</f>
        <v>247</v>
      </c>
      <c r="AG20" s="512"/>
      <c r="AH20" s="487">
        <f>SUM($B20:AF20)</f>
        <v>4811</v>
      </c>
      <c r="AI20" s="487"/>
      <c r="AJ20" s="488"/>
    </row>
    <row r="21" spans="1:149" hidden="1" outlineLevel="1" x14ac:dyDescent="0.35">
      <c r="A21" s="510" t="s">
        <v>125</v>
      </c>
      <c r="B21" s="511">
        <f>+'Water '!$E7</f>
        <v>177</v>
      </c>
      <c r="C21" s="514">
        <f>+'Water '!$E8</f>
        <v>213</v>
      </c>
      <c r="D21" s="514">
        <f>+'Water '!$E9</f>
        <v>143</v>
      </c>
      <c r="E21" s="514">
        <f>+'Water '!$E10</f>
        <v>184</v>
      </c>
      <c r="F21" s="514">
        <f>+'Water '!$E11</f>
        <v>41</v>
      </c>
      <c r="G21" s="514">
        <f>+'Water '!$E12</f>
        <v>188</v>
      </c>
      <c r="H21" s="514">
        <f>+'Water '!$E13</f>
        <v>124</v>
      </c>
      <c r="I21" s="514">
        <f>+'Water '!$E14</f>
        <v>117</v>
      </c>
      <c r="J21" s="514">
        <f>+'Water '!$E15</f>
        <v>195</v>
      </c>
      <c r="K21" s="514">
        <f>+'Water '!$E16</f>
        <v>179</v>
      </c>
      <c r="L21" s="514">
        <f>+'Water '!$E17</f>
        <v>97</v>
      </c>
      <c r="M21" s="514">
        <f>+'Water '!$E18</f>
        <v>216</v>
      </c>
      <c r="N21" s="514">
        <f>+'Water '!$E19</f>
        <v>80</v>
      </c>
      <c r="O21" s="514">
        <f>+'Water '!$E20</f>
        <v>139</v>
      </c>
      <c r="P21" s="514">
        <f>+'Water '!$E21</f>
        <v>168</v>
      </c>
      <c r="Q21" s="514">
        <f>+'Water '!$E22</f>
        <v>197</v>
      </c>
      <c r="R21" s="514">
        <f>+'Water '!$E23</f>
        <v>262</v>
      </c>
      <c r="S21" s="514">
        <f>+'Water '!$E24</f>
        <v>107</v>
      </c>
      <c r="T21" s="514">
        <f>+'Water '!$E25</f>
        <v>67</v>
      </c>
      <c r="U21" s="514">
        <f>+'Water '!$E26</f>
        <v>157</v>
      </c>
      <c r="V21" s="514">
        <f>+'Water '!$E27</f>
        <v>121</v>
      </c>
      <c r="W21" s="514">
        <f>+'Water '!$E28</f>
        <v>215</v>
      </c>
      <c r="X21" s="514">
        <f>+'Water '!$E29</f>
        <v>203</v>
      </c>
      <c r="Y21" s="515">
        <f>+'Water '!$E30</f>
        <v>204</v>
      </c>
      <c r="Z21" s="514">
        <f>+'Water '!$E31</f>
        <v>136</v>
      </c>
      <c r="AA21" s="512" t="str">
        <f>+'Water '!$E32</f>
        <v>0</v>
      </c>
      <c r="AB21" s="512">
        <f>+'Water '!$E33</f>
        <v>242</v>
      </c>
      <c r="AC21" s="512">
        <f>+'Water '!$E34</f>
        <v>218</v>
      </c>
      <c r="AD21" s="512">
        <f>+'Water '!$E35</f>
        <v>120</v>
      </c>
      <c r="AE21" s="512">
        <f>+'Water '!$E36</f>
        <v>112</v>
      </c>
      <c r="AF21" s="512">
        <f>+'Water '!$E37</f>
        <v>90</v>
      </c>
      <c r="AG21" s="512"/>
      <c r="AH21" s="487">
        <f>SUM($B21:AF21)</f>
        <v>4712</v>
      </c>
      <c r="AI21" s="487"/>
    </row>
    <row r="22" spans="1:149" s="521" customFormat="1" collapsed="1" x14ac:dyDescent="0.4">
      <c r="A22" s="516" t="s">
        <v>167</v>
      </c>
      <c r="B22" s="517">
        <f>SUM(B19:B21)</f>
        <v>443</v>
      </c>
      <c r="C22" s="517">
        <f>SUM(C19:C21)</f>
        <v>482</v>
      </c>
      <c r="D22" s="517">
        <f>SUM(D19:D21)</f>
        <v>150</v>
      </c>
      <c r="E22" s="517">
        <f>SUM(E19:E21)</f>
        <v>205</v>
      </c>
      <c r="F22" s="517">
        <f t="shared" ref="F22:AF22" si="5">SUM(F19:F21)</f>
        <v>42</v>
      </c>
      <c r="G22" s="517">
        <f t="shared" si="5"/>
        <v>313</v>
      </c>
      <c r="H22" s="517">
        <f t="shared" si="5"/>
        <v>391</v>
      </c>
      <c r="I22" s="517">
        <f>SUM(I19:I21)</f>
        <v>118</v>
      </c>
      <c r="J22" s="517">
        <f>SUM(J19:J21)</f>
        <v>408</v>
      </c>
      <c r="K22" s="517">
        <f t="shared" si="5"/>
        <v>413</v>
      </c>
      <c r="L22" s="517">
        <f>SUM(L19:L21)</f>
        <v>97</v>
      </c>
      <c r="M22" s="517">
        <f t="shared" si="5"/>
        <v>465</v>
      </c>
      <c r="N22" s="517">
        <f>SUM(N19:N21)</f>
        <v>280</v>
      </c>
      <c r="O22" s="517">
        <f t="shared" si="5"/>
        <v>336</v>
      </c>
      <c r="P22" s="517">
        <f>SUM(P19:P21)</f>
        <v>526</v>
      </c>
      <c r="Q22" s="517">
        <f t="shared" si="5"/>
        <v>333</v>
      </c>
      <c r="R22" s="517">
        <f>SUM(R19:R21)</f>
        <v>336</v>
      </c>
      <c r="S22" s="517">
        <f>SUM(S19:S21)</f>
        <v>137</v>
      </c>
      <c r="T22" s="517">
        <f t="shared" si="5"/>
        <v>109</v>
      </c>
      <c r="U22" s="517">
        <f t="shared" si="5"/>
        <v>288</v>
      </c>
      <c r="V22" s="517">
        <f>SUM(V19:V21)</f>
        <v>410</v>
      </c>
      <c r="W22" s="517">
        <f t="shared" si="5"/>
        <v>394</v>
      </c>
      <c r="X22" s="517">
        <f t="shared" si="5"/>
        <v>352</v>
      </c>
      <c r="Y22" s="517">
        <f>SUM(Y19:Y21)</f>
        <v>437</v>
      </c>
      <c r="Z22" s="517">
        <f t="shared" si="5"/>
        <v>263</v>
      </c>
      <c r="AA22" s="518">
        <f>SUM(AA19:AA21)</f>
        <v>0</v>
      </c>
      <c r="AB22" s="518">
        <f>SUM(AB19:AB21)</f>
        <v>315</v>
      </c>
      <c r="AC22" s="518">
        <f>SUM(AC19:AC21)</f>
        <v>341</v>
      </c>
      <c r="AD22" s="518">
        <f>SUM(AD19:AD21)</f>
        <v>455</v>
      </c>
      <c r="AE22" s="518">
        <f t="shared" si="5"/>
        <v>347</v>
      </c>
      <c r="AF22" s="518">
        <f t="shared" si="5"/>
        <v>337</v>
      </c>
      <c r="AG22" s="518"/>
      <c r="AH22" s="519">
        <f>SUM($B22:AF22)</f>
        <v>9523</v>
      </c>
      <c r="AI22" s="517"/>
      <c r="AJ22" s="520"/>
      <c r="AK22" s="471"/>
      <c r="AL22" s="471"/>
      <c r="AM22" s="471"/>
      <c r="AN22" s="471"/>
      <c r="AO22" s="471"/>
      <c r="AP22" s="471"/>
      <c r="AQ22" s="471"/>
      <c r="AR22" s="471"/>
      <c r="AS22" s="471"/>
      <c r="AT22" s="471"/>
      <c r="AU22" s="471"/>
      <c r="AV22" s="471"/>
      <c r="AW22" s="471"/>
      <c r="AX22" s="471"/>
      <c r="AY22" s="471"/>
      <c r="AZ22" s="471"/>
      <c r="BA22" s="471"/>
      <c r="BB22" s="471"/>
      <c r="BC22" s="471"/>
      <c r="BD22" s="471"/>
      <c r="BE22" s="471"/>
      <c r="BF22" s="471"/>
      <c r="BG22" s="471"/>
      <c r="BH22" s="474"/>
      <c r="BI22" s="474"/>
      <c r="BJ22" s="474"/>
      <c r="BK22" s="474"/>
      <c r="BL22" s="474"/>
      <c r="BM22" s="474"/>
      <c r="BN22" s="474"/>
      <c r="BO22" s="474"/>
      <c r="BP22" s="474"/>
      <c r="BQ22" s="474"/>
      <c r="BR22" s="474"/>
      <c r="BS22" s="474"/>
      <c r="BT22" s="474"/>
      <c r="BU22" s="474"/>
      <c r="BV22" s="474"/>
      <c r="BW22" s="474"/>
      <c r="BX22" s="474"/>
      <c r="BY22" s="474"/>
      <c r="BZ22" s="474"/>
      <c r="CA22" s="474"/>
      <c r="CB22" s="474"/>
      <c r="CC22" s="474"/>
      <c r="CD22" s="474"/>
      <c r="CE22" s="474"/>
      <c r="CF22" s="474"/>
      <c r="CG22" s="474"/>
      <c r="CH22" s="474"/>
      <c r="CI22" s="474"/>
      <c r="CJ22" s="474"/>
      <c r="CK22" s="474"/>
      <c r="CL22" s="474"/>
      <c r="CM22" s="474"/>
      <c r="CN22" s="474"/>
      <c r="CO22" s="474"/>
      <c r="CP22" s="474"/>
      <c r="CQ22" s="474"/>
      <c r="CR22" s="474"/>
      <c r="CS22" s="474"/>
      <c r="CT22" s="474"/>
      <c r="CU22" s="474"/>
      <c r="CV22" s="474"/>
      <c r="CW22" s="474"/>
      <c r="CX22" s="474"/>
      <c r="CY22" s="474"/>
      <c r="CZ22" s="474"/>
      <c r="DA22" s="474"/>
      <c r="DB22" s="474"/>
      <c r="DC22" s="474"/>
      <c r="DD22" s="474"/>
      <c r="DE22" s="474"/>
      <c r="DF22" s="474"/>
      <c r="DG22" s="474"/>
      <c r="DH22" s="474"/>
      <c r="DI22" s="474"/>
      <c r="DJ22" s="474"/>
      <c r="DK22" s="474"/>
      <c r="DL22" s="474"/>
      <c r="DM22" s="474"/>
      <c r="DN22" s="474"/>
      <c r="DO22" s="474"/>
      <c r="DP22" s="474"/>
      <c r="DQ22" s="474"/>
      <c r="DR22" s="474"/>
      <c r="DS22" s="474"/>
      <c r="DT22" s="474"/>
      <c r="DU22" s="474"/>
      <c r="DV22" s="474"/>
      <c r="DW22" s="474"/>
      <c r="DX22" s="474"/>
      <c r="DY22" s="474"/>
      <c r="DZ22" s="474"/>
      <c r="EA22" s="474"/>
      <c r="EB22" s="474"/>
      <c r="EC22" s="474"/>
      <c r="ED22" s="474"/>
      <c r="EE22" s="474"/>
      <c r="EF22" s="474"/>
      <c r="EG22" s="474"/>
      <c r="EH22" s="474"/>
      <c r="EI22" s="474"/>
      <c r="EJ22" s="474"/>
      <c r="EK22" s="474"/>
      <c r="EL22" s="474"/>
      <c r="EM22" s="474"/>
      <c r="EN22" s="474"/>
      <c r="EO22" s="474"/>
      <c r="EP22" s="474"/>
      <c r="EQ22" s="474"/>
      <c r="ER22" s="474"/>
      <c r="ES22" s="474"/>
    </row>
    <row r="23" spans="1:149" s="474" customFormat="1" hidden="1" x14ac:dyDescent="0.4">
      <c r="A23" s="522"/>
      <c r="B23" s="487"/>
      <c r="C23" s="487"/>
      <c r="D23" s="487"/>
      <c r="E23" s="487"/>
      <c r="F23" s="487"/>
      <c r="G23" s="487"/>
      <c r="H23" s="487"/>
      <c r="I23" s="487"/>
      <c r="J23" s="523"/>
      <c r="K23" s="523"/>
      <c r="L23" s="523"/>
      <c r="M23" s="523"/>
      <c r="N23" s="523"/>
      <c r="O23" s="523"/>
      <c r="P23" s="523"/>
      <c r="Q23" s="523"/>
      <c r="R23" s="523"/>
      <c r="S23" s="523"/>
      <c r="T23" s="523"/>
      <c r="U23" s="523"/>
      <c r="V23" s="523"/>
      <c r="W23" s="523"/>
      <c r="X23" s="523"/>
      <c r="Y23" s="523"/>
      <c r="Z23" s="523"/>
      <c r="AA23" s="523"/>
      <c r="AB23" s="523"/>
      <c r="AC23" s="523"/>
      <c r="AD23" s="523"/>
      <c r="AE23" s="523"/>
      <c r="AF23" s="523"/>
      <c r="AG23" s="523"/>
      <c r="AH23" s="487"/>
      <c r="AI23" s="487"/>
      <c r="AJ23" s="471"/>
      <c r="AK23" s="471"/>
      <c r="AL23" s="471"/>
      <c r="AM23" s="471"/>
      <c r="AN23" s="471"/>
      <c r="AO23" s="471"/>
      <c r="AP23" s="471"/>
      <c r="AQ23" s="471"/>
      <c r="AR23" s="471"/>
      <c r="AS23" s="471"/>
      <c r="AT23" s="471"/>
      <c r="AU23" s="471"/>
      <c r="AV23" s="471"/>
      <c r="AW23" s="471"/>
      <c r="AX23" s="471"/>
      <c r="AY23" s="471"/>
      <c r="AZ23" s="471"/>
      <c r="BA23" s="471"/>
      <c r="BB23" s="471"/>
      <c r="BC23" s="471"/>
      <c r="BD23" s="471"/>
      <c r="BE23" s="471"/>
      <c r="BF23" s="471"/>
      <c r="BG23" s="471"/>
    </row>
    <row r="24" spans="1:149" hidden="1" x14ac:dyDescent="0.35">
      <c r="B24" s="488"/>
      <c r="C24" s="488"/>
      <c r="D24" s="488"/>
      <c r="E24" s="488"/>
      <c r="F24" s="488"/>
      <c r="G24" s="488"/>
      <c r="H24" s="488"/>
      <c r="I24" s="488"/>
      <c r="J24" s="524"/>
      <c r="K24" s="524"/>
      <c r="L24" s="524"/>
      <c r="M24" s="524"/>
      <c r="N24" s="524"/>
      <c r="O24" s="524"/>
      <c r="P24" s="524"/>
      <c r="Q24" s="524"/>
      <c r="R24" s="524"/>
      <c r="S24" s="524"/>
      <c r="T24" s="524"/>
      <c r="U24" s="524"/>
      <c r="V24" s="524"/>
      <c r="W24" s="524"/>
      <c r="X24" s="524"/>
      <c r="Y24" s="524"/>
      <c r="Z24" s="524"/>
      <c r="AA24" s="524"/>
      <c r="AB24" s="524"/>
      <c r="AC24" s="524"/>
      <c r="AD24" s="524"/>
      <c r="AE24" s="524"/>
      <c r="AH24" s="487"/>
      <c r="AI24" s="487"/>
    </row>
    <row r="25" spans="1:149" x14ac:dyDescent="0.35">
      <c r="A25" s="510"/>
      <c r="B25" s="488"/>
      <c r="C25" s="488"/>
      <c r="D25" s="488"/>
      <c r="E25" s="488"/>
      <c r="F25" s="488"/>
      <c r="G25" s="488"/>
      <c r="H25" s="488"/>
      <c r="I25" s="488"/>
      <c r="J25" s="524"/>
      <c r="K25" s="524"/>
      <c r="L25" s="524"/>
      <c r="M25" s="524"/>
      <c r="AH25" s="487">
        <f>SUM($B25:AF25)</f>
        <v>0</v>
      </c>
      <c r="AI25" s="487"/>
    </row>
    <row r="26" spans="1:149" hidden="1" outlineLevel="1" x14ac:dyDescent="0.35">
      <c r="A26" s="525" t="s">
        <v>151</v>
      </c>
      <c r="B26" s="488">
        <f>0.73*(B71+B19)</f>
        <v>137.24</v>
      </c>
      <c r="C26" s="488">
        <f>0.73*(C112+C19)</f>
        <v>160.6</v>
      </c>
      <c r="D26" s="488">
        <f t="shared" ref="D26:AF26" si="6">0.73*(D71+D19)</f>
        <v>108.77</v>
      </c>
      <c r="E26" s="488">
        <f t="shared" si="6"/>
        <v>141.62</v>
      </c>
      <c r="F26" s="488">
        <f t="shared" si="6"/>
        <v>30.66</v>
      </c>
      <c r="G26" s="488">
        <f t="shared" si="6"/>
        <v>143.81</v>
      </c>
      <c r="H26" s="488">
        <f t="shared" si="6"/>
        <v>94.899999999999991</v>
      </c>
      <c r="I26" s="488">
        <f t="shared" si="6"/>
        <v>89.789999999999992</v>
      </c>
      <c r="J26" s="524">
        <f t="shared" si="6"/>
        <v>148.91999999999999</v>
      </c>
      <c r="K26" s="524">
        <f>0.73*(K71+K19)</f>
        <v>137.24</v>
      </c>
      <c r="L26" s="524">
        <f t="shared" si="6"/>
        <v>73</v>
      </c>
      <c r="M26" s="524">
        <f t="shared" si="6"/>
        <v>164.98</v>
      </c>
      <c r="N26" s="524">
        <f t="shared" si="6"/>
        <v>61.32</v>
      </c>
      <c r="O26" s="524">
        <f t="shared" si="6"/>
        <v>100.00999999999999</v>
      </c>
      <c r="P26" s="524">
        <f t="shared" si="6"/>
        <v>129.21</v>
      </c>
      <c r="Q26" s="524">
        <f t="shared" si="6"/>
        <v>143.81</v>
      </c>
      <c r="R26" s="524">
        <f t="shared" si="6"/>
        <v>200.75</v>
      </c>
      <c r="S26" s="524">
        <f t="shared" si="6"/>
        <v>81.759999999999991</v>
      </c>
      <c r="T26" s="524">
        <f t="shared" si="6"/>
        <v>51.83</v>
      </c>
      <c r="U26" s="524">
        <f t="shared" si="6"/>
        <v>123.36999999999999</v>
      </c>
      <c r="V26" s="524">
        <f t="shared" si="6"/>
        <v>89.06</v>
      </c>
      <c r="W26" s="524">
        <f t="shared" si="6"/>
        <v>164.25</v>
      </c>
      <c r="X26" s="524">
        <f t="shared" si="6"/>
        <v>154.76</v>
      </c>
      <c r="Y26" s="524">
        <f t="shared" si="6"/>
        <v>185.42</v>
      </c>
      <c r="Z26" s="524">
        <f t="shared" si="6"/>
        <v>75.19</v>
      </c>
      <c r="AA26" s="524">
        <f t="shared" si="6"/>
        <v>0</v>
      </c>
      <c r="AB26" s="524">
        <f t="shared" si="6"/>
        <v>185.42</v>
      </c>
      <c r="AC26" s="524">
        <f t="shared" si="6"/>
        <v>167.17</v>
      </c>
      <c r="AD26" s="524">
        <f t="shared" si="6"/>
        <v>91.98</v>
      </c>
      <c r="AE26" s="524">
        <f t="shared" si="6"/>
        <v>85.41</v>
      </c>
      <c r="AF26" s="524">
        <f t="shared" si="6"/>
        <v>68.62</v>
      </c>
      <c r="AG26" s="524"/>
      <c r="AH26" s="487">
        <f>SUM($B26:AF26)</f>
        <v>3590.87</v>
      </c>
      <c r="AI26" s="526">
        <f>AH29+AH45+AH36</f>
        <v>10045</v>
      </c>
      <c r="AK26" s="527">
        <f>(AI26*10)/AH9</f>
        <v>11.153381074467767</v>
      </c>
    </row>
    <row r="27" spans="1:149" hidden="1" outlineLevel="1" x14ac:dyDescent="0.35">
      <c r="E27" s="488">
        <f>0.73*(E112+E20)</f>
        <v>15.33</v>
      </c>
      <c r="M27" s="472"/>
      <c r="AI27" s="487"/>
    </row>
    <row r="28" spans="1:149" hidden="1" outlineLevel="1" x14ac:dyDescent="0.35">
      <c r="A28" s="525" t="s">
        <v>130</v>
      </c>
      <c r="B28" s="488" t="str">
        <f>'Water '!R7</f>
        <v>0</v>
      </c>
      <c r="C28" s="488" t="str">
        <f>'Water '!R8</f>
        <v>0</v>
      </c>
      <c r="D28" s="488" t="str">
        <f>'Water '!R9</f>
        <v>0</v>
      </c>
      <c r="E28" s="488" t="str">
        <f>'Water '!R10</f>
        <v>0</v>
      </c>
      <c r="F28" s="488" t="str">
        <f>'Water '!R11</f>
        <v>0</v>
      </c>
      <c r="G28" s="488" t="str">
        <f>'Water '!R12</f>
        <v>0</v>
      </c>
      <c r="H28" s="488" t="str">
        <f>'Water '!R13</f>
        <v>0</v>
      </c>
      <c r="I28" s="488" t="str">
        <f>'Water '!R14</f>
        <v>0</v>
      </c>
      <c r="J28" s="524" t="str">
        <f>'Water '!R15</f>
        <v>0</v>
      </c>
      <c r="K28" s="524" t="str">
        <f>'Water '!R16</f>
        <v>0</v>
      </c>
      <c r="L28" s="524" t="str">
        <f>'Water '!R17</f>
        <v>0</v>
      </c>
      <c r="M28" s="524" t="str">
        <f>'Water '!R18</f>
        <v>0</v>
      </c>
      <c r="N28" s="524" t="str">
        <f>'Water '!R19</f>
        <v>0</v>
      </c>
      <c r="O28" s="524" t="str">
        <f>'Water '!R20</f>
        <v>0</v>
      </c>
      <c r="P28" s="524" t="str">
        <f>'Water '!R21</f>
        <v>0</v>
      </c>
      <c r="Q28" s="524" t="str">
        <f>'Water '!R22</f>
        <v>0</v>
      </c>
      <c r="R28" s="524" t="str">
        <f>'Water '!R23</f>
        <v>0</v>
      </c>
      <c r="S28" s="524" t="str">
        <f>'Water '!R24</f>
        <v>0</v>
      </c>
      <c r="T28" s="524" t="str">
        <f>'Water '!R25</f>
        <v>0</v>
      </c>
      <c r="U28" s="524" t="str">
        <f>'Water '!R26</f>
        <v>0</v>
      </c>
      <c r="V28" s="524" t="str">
        <f>'Water '!R27</f>
        <v>0</v>
      </c>
      <c r="W28" s="524" t="str">
        <f>'Water '!R28</f>
        <v>0</v>
      </c>
      <c r="X28" s="524" t="str">
        <f>'Water '!R29</f>
        <v>0</v>
      </c>
      <c r="Y28" s="524" t="str">
        <f>'Water '!R30</f>
        <v>0</v>
      </c>
      <c r="Z28" s="524" t="str">
        <f>'Water '!R31</f>
        <v>0</v>
      </c>
      <c r="AA28" s="524" t="str">
        <f>'Water '!R32</f>
        <v>0</v>
      </c>
      <c r="AB28" s="524" t="str">
        <f>'Water '!R33</f>
        <v>0</v>
      </c>
      <c r="AC28" s="524" t="str">
        <f>'Water '!R32</f>
        <v>0</v>
      </c>
      <c r="AD28" s="524" t="str">
        <f>'Water '!R35</f>
        <v>0</v>
      </c>
      <c r="AE28" s="524" t="str">
        <f>'Water '!R36</f>
        <v>0</v>
      </c>
      <c r="AF28" s="524" t="str">
        <f>'Water '!R37</f>
        <v>0</v>
      </c>
      <c r="AG28" s="524"/>
      <c r="AH28" s="487">
        <f>SUM($B28:AF28)</f>
        <v>0</v>
      </c>
      <c r="AI28" s="487"/>
      <c r="AR28" s="284" t="s">
        <v>58</v>
      </c>
    </row>
    <row r="29" spans="1:149" hidden="1" outlineLevel="1" x14ac:dyDescent="0.35">
      <c r="A29" s="510" t="s">
        <v>165</v>
      </c>
      <c r="B29" s="511">
        <f>'Water '!H7</f>
        <v>218</v>
      </c>
      <c r="C29" s="511">
        <f>'Water '!H8</f>
        <v>247</v>
      </c>
      <c r="D29" s="511">
        <f>'Water '!H9</f>
        <v>186</v>
      </c>
      <c r="E29" s="511">
        <f>'Water '!H10</f>
        <v>81</v>
      </c>
      <c r="F29" s="511">
        <f>'Water '!H11</f>
        <v>89</v>
      </c>
      <c r="G29" s="511">
        <f>'Water '!H12</f>
        <v>226</v>
      </c>
      <c r="H29" s="511">
        <f>'Water '!H13</f>
        <v>145</v>
      </c>
      <c r="I29" s="511">
        <f>'Water '!H14</f>
        <v>224</v>
      </c>
      <c r="J29" s="512">
        <f>'Water '!H15</f>
        <v>212</v>
      </c>
      <c r="K29" s="512">
        <f>'Water '!H16</f>
        <v>187</v>
      </c>
      <c r="L29" s="512">
        <f>'Water '!H17</f>
        <v>100</v>
      </c>
      <c r="M29" s="512">
        <f>'Water '!H18</f>
        <v>432</v>
      </c>
      <c r="N29" s="512">
        <f>'Water '!H19</f>
        <v>75</v>
      </c>
      <c r="O29" s="512">
        <f>'Water '!$H20</f>
        <v>471</v>
      </c>
      <c r="P29" s="512">
        <f>'Water '!$H21</f>
        <v>187</v>
      </c>
      <c r="Q29" s="512">
        <f>'Water '!$H22</f>
        <v>156</v>
      </c>
      <c r="R29" s="512">
        <f>'Water '!$H23</f>
        <v>192</v>
      </c>
      <c r="S29" s="512">
        <f>'Water '!$H24</f>
        <v>71</v>
      </c>
      <c r="T29" s="512">
        <f>'Water '!$H25</f>
        <v>49</v>
      </c>
      <c r="U29" s="512">
        <f>'Water '!$H26</f>
        <v>216</v>
      </c>
      <c r="V29" s="512">
        <f>'Water '!$H27</f>
        <v>311</v>
      </c>
      <c r="W29" s="512">
        <f>'Water '!$H28</f>
        <v>136</v>
      </c>
      <c r="X29" s="512">
        <f>'Water '!$H29</f>
        <v>159</v>
      </c>
      <c r="Y29" s="512">
        <f>'Water '!$H30</f>
        <v>158</v>
      </c>
      <c r="Z29" s="512">
        <f>'Water '!$H31</f>
        <v>82</v>
      </c>
      <c r="AA29" s="512">
        <f>'Water '!$H32</f>
        <v>31</v>
      </c>
      <c r="AB29" s="512">
        <f>'Water '!$H33</f>
        <v>224</v>
      </c>
      <c r="AC29" s="512">
        <f>'Water '!$H34</f>
        <v>236</v>
      </c>
      <c r="AD29" s="512">
        <f>'Water '!$H35</f>
        <v>237</v>
      </c>
      <c r="AE29" s="512">
        <f>'Water '!$H36</f>
        <v>279</v>
      </c>
      <c r="AF29" s="512">
        <f>'Water '!$H37</f>
        <v>0</v>
      </c>
      <c r="AG29" s="512"/>
      <c r="AH29" s="487">
        <f>SUM($B29:AF29)</f>
        <v>5617</v>
      </c>
      <c r="AI29" s="487"/>
      <c r="AJ29" s="487"/>
    </row>
    <row r="30" spans="1:149" hidden="1" outlineLevel="1" x14ac:dyDescent="0.35">
      <c r="A30" s="510" t="str">
        <f t="shared" ref="A30:AF30" si="7">A36</f>
        <v>Brewhouse</v>
      </c>
      <c r="B30" s="511">
        <f t="shared" si="7"/>
        <v>154</v>
      </c>
      <c r="C30" s="511">
        <f t="shared" si="7"/>
        <v>220</v>
      </c>
      <c r="D30" s="511">
        <f t="shared" si="7"/>
        <v>140</v>
      </c>
      <c r="E30" s="511">
        <f t="shared" si="7"/>
        <v>64</v>
      </c>
      <c r="F30" s="511">
        <f t="shared" si="7"/>
        <v>7</v>
      </c>
      <c r="G30" s="511">
        <f t="shared" si="7"/>
        <v>105</v>
      </c>
      <c r="H30" s="511">
        <f>H36</f>
        <v>136</v>
      </c>
      <c r="I30" s="511">
        <f t="shared" si="7"/>
        <v>194</v>
      </c>
      <c r="J30" s="512">
        <f t="shared" si="7"/>
        <v>65</v>
      </c>
      <c r="K30" s="512">
        <f t="shared" si="7"/>
        <v>164</v>
      </c>
      <c r="L30" s="512">
        <f t="shared" si="7"/>
        <v>96</v>
      </c>
      <c r="M30" s="512">
        <f t="shared" si="7"/>
        <v>59</v>
      </c>
      <c r="N30" s="512">
        <f t="shared" si="7"/>
        <v>35</v>
      </c>
      <c r="O30" s="512">
        <f t="shared" si="7"/>
        <v>206</v>
      </c>
      <c r="P30" s="512">
        <f t="shared" si="7"/>
        <v>151</v>
      </c>
      <c r="Q30" s="512">
        <f t="shared" si="7"/>
        <v>165</v>
      </c>
      <c r="R30" s="512">
        <f t="shared" si="7"/>
        <v>164</v>
      </c>
      <c r="S30" s="512">
        <f t="shared" si="7"/>
        <v>40</v>
      </c>
      <c r="T30" s="512">
        <f t="shared" si="7"/>
        <v>58</v>
      </c>
      <c r="U30" s="512">
        <f t="shared" si="7"/>
        <v>97</v>
      </c>
      <c r="V30" s="512">
        <f t="shared" si="7"/>
        <v>236</v>
      </c>
      <c r="W30" s="512">
        <f t="shared" si="7"/>
        <v>142</v>
      </c>
      <c r="X30" s="512">
        <f t="shared" si="7"/>
        <v>259</v>
      </c>
      <c r="Y30" s="512">
        <f>Y36</f>
        <v>120</v>
      </c>
      <c r="Z30" s="512">
        <f t="shared" si="7"/>
        <v>1</v>
      </c>
      <c r="AA30" s="512">
        <f t="shared" si="7"/>
        <v>4</v>
      </c>
      <c r="AB30" s="512">
        <f t="shared" si="7"/>
        <v>83</v>
      </c>
      <c r="AC30" s="512">
        <f>AC36</f>
        <v>156</v>
      </c>
      <c r="AD30" s="512">
        <f t="shared" si="7"/>
        <v>153</v>
      </c>
      <c r="AE30" s="512">
        <f t="shared" si="7"/>
        <v>170</v>
      </c>
      <c r="AF30" s="512">
        <f t="shared" si="7"/>
        <v>190</v>
      </c>
      <c r="AG30" s="512"/>
      <c r="AH30" s="487">
        <f>AH36</f>
        <v>3834</v>
      </c>
      <c r="AI30" s="487"/>
      <c r="AJ30" s="487"/>
    </row>
    <row r="31" spans="1:149" hidden="1" outlineLevel="1" x14ac:dyDescent="0.35">
      <c r="A31" s="510" t="str">
        <f t="shared" ref="A31:AF31" si="8">A45</f>
        <v>Boiler Supply</v>
      </c>
      <c r="B31" s="511">
        <f t="shared" si="8"/>
        <v>15</v>
      </c>
      <c r="C31" s="511">
        <f t="shared" si="8"/>
        <v>18</v>
      </c>
      <c r="D31" s="511">
        <f t="shared" si="8"/>
        <v>17</v>
      </c>
      <c r="E31" s="511">
        <f t="shared" si="8"/>
        <v>6</v>
      </c>
      <c r="F31" s="511">
        <f t="shared" si="8"/>
        <v>14</v>
      </c>
      <c r="G31" s="511">
        <f t="shared" si="8"/>
        <v>27</v>
      </c>
      <c r="H31" s="511">
        <f t="shared" si="8"/>
        <v>29</v>
      </c>
      <c r="I31" s="511">
        <f t="shared" si="8"/>
        <v>32</v>
      </c>
      <c r="J31" s="512">
        <f>J45</f>
        <v>28</v>
      </c>
      <c r="K31" s="512">
        <f>K45</f>
        <v>33</v>
      </c>
      <c r="L31" s="512">
        <f t="shared" si="8"/>
        <v>13</v>
      </c>
      <c r="M31" s="512">
        <f>M45</f>
        <v>15</v>
      </c>
      <c r="N31" s="512">
        <f t="shared" si="8"/>
        <v>17</v>
      </c>
      <c r="O31" s="512">
        <f t="shared" si="8"/>
        <v>24</v>
      </c>
      <c r="P31" s="512">
        <f t="shared" si="8"/>
        <v>21</v>
      </c>
      <c r="Q31" s="512">
        <f t="shared" si="8"/>
        <v>19</v>
      </c>
      <c r="R31" s="512">
        <f t="shared" si="8"/>
        <v>19</v>
      </c>
      <c r="S31" s="512">
        <f t="shared" si="8"/>
        <v>7</v>
      </c>
      <c r="T31" s="512">
        <f t="shared" si="8"/>
        <v>12</v>
      </c>
      <c r="U31" s="512">
        <f t="shared" si="8"/>
        <v>22</v>
      </c>
      <c r="V31" s="512">
        <f>V45</f>
        <v>24</v>
      </c>
      <c r="W31" s="512">
        <f t="shared" si="8"/>
        <v>1</v>
      </c>
      <c r="X31" s="512">
        <f t="shared" si="8"/>
        <v>40</v>
      </c>
      <c r="Y31" s="512">
        <f t="shared" si="8"/>
        <v>18</v>
      </c>
      <c r="Z31" s="512">
        <f t="shared" si="8"/>
        <v>3</v>
      </c>
      <c r="AA31" s="512">
        <f t="shared" si="8"/>
        <v>24</v>
      </c>
      <c r="AB31" s="512">
        <f t="shared" si="8"/>
        <v>1</v>
      </c>
      <c r="AC31" s="512">
        <f t="shared" si="8"/>
        <v>23</v>
      </c>
      <c r="AD31" s="512">
        <f t="shared" si="8"/>
        <v>25</v>
      </c>
      <c r="AE31" s="512">
        <f t="shared" si="8"/>
        <v>25</v>
      </c>
      <c r="AF31" s="512">
        <f t="shared" si="8"/>
        <v>22</v>
      </c>
      <c r="AG31" s="512"/>
      <c r="AH31" s="487">
        <f>AH45</f>
        <v>594</v>
      </c>
      <c r="AI31" s="487"/>
      <c r="AJ31" s="487"/>
    </row>
    <row r="32" spans="1:149" s="532" customFormat="1" collapsed="1" x14ac:dyDescent="0.4">
      <c r="A32" s="528" t="s">
        <v>152</v>
      </c>
      <c r="B32" s="529">
        <f>SUM(B28:B31)</f>
        <v>387</v>
      </c>
      <c r="C32" s="529">
        <f>SUM(C28:C31)</f>
        <v>485</v>
      </c>
      <c r="D32" s="529">
        <f t="shared" ref="D32:AF32" si="9">SUM(D28:D31)</f>
        <v>343</v>
      </c>
      <c r="E32" s="529">
        <f t="shared" si="9"/>
        <v>151</v>
      </c>
      <c r="F32" s="529">
        <f t="shared" si="9"/>
        <v>110</v>
      </c>
      <c r="G32" s="529">
        <f t="shared" si="9"/>
        <v>358</v>
      </c>
      <c r="H32" s="529">
        <f t="shared" si="9"/>
        <v>310</v>
      </c>
      <c r="I32" s="529">
        <f t="shared" si="9"/>
        <v>450</v>
      </c>
      <c r="J32" s="530">
        <f t="shared" si="9"/>
        <v>305</v>
      </c>
      <c r="K32" s="530">
        <f>SUM(K28:K31)</f>
        <v>384</v>
      </c>
      <c r="L32" s="530">
        <f t="shared" si="9"/>
        <v>209</v>
      </c>
      <c r="M32" s="530">
        <f t="shared" si="9"/>
        <v>506</v>
      </c>
      <c r="N32" s="530">
        <f t="shared" si="9"/>
        <v>127</v>
      </c>
      <c r="O32" s="530">
        <f t="shared" si="9"/>
        <v>701</v>
      </c>
      <c r="P32" s="530">
        <f t="shared" si="9"/>
        <v>359</v>
      </c>
      <c r="Q32" s="530">
        <f>SUM(Q28:Q31)</f>
        <v>340</v>
      </c>
      <c r="R32" s="530">
        <f t="shared" si="9"/>
        <v>375</v>
      </c>
      <c r="S32" s="530">
        <f t="shared" si="9"/>
        <v>118</v>
      </c>
      <c r="T32" s="530">
        <f t="shared" si="9"/>
        <v>119</v>
      </c>
      <c r="U32" s="530">
        <f t="shared" si="9"/>
        <v>335</v>
      </c>
      <c r="V32" s="530">
        <f t="shared" si="9"/>
        <v>571</v>
      </c>
      <c r="W32" s="529">
        <f t="shared" si="9"/>
        <v>279</v>
      </c>
      <c r="X32" s="530">
        <f t="shared" si="9"/>
        <v>458</v>
      </c>
      <c r="Y32" s="530">
        <f t="shared" si="9"/>
        <v>296</v>
      </c>
      <c r="Z32" s="530">
        <f t="shared" si="9"/>
        <v>86</v>
      </c>
      <c r="AA32" s="530">
        <f t="shared" si="9"/>
        <v>59</v>
      </c>
      <c r="AB32" s="530">
        <f t="shared" si="9"/>
        <v>308</v>
      </c>
      <c r="AC32" s="530">
        <f>SUM(AC28:AC31)</f>
        <v>415</v>
      </c>
      <c r="AD32" s="530">
        <f>SUM(AD28:AD31)</f>
        <v>415</v>
      </c>
      <c r="AE32" s="530">
        <f t="shared" si="9"/>
        <v>474</v>
      </c>
      <c r="AF32" s="530">
        <f t="shared" si="9"/>
        <v>212</v>
      </c>
      <c r="AG32" s="530"/>
      <c r="AH32" s="529">
        <f>SUM($B32:AF32)</f>
        <v>10045</v>
      </c>
      <c r="AI32" s="529"/>
      <c r="AJ32" s="531"/>
      <c r="AK32" s="531"/>
      <c r="AL32" s="531"/>
      <c r="AM32" s="531"/>
      <c r="AN32" s="531"/>
      <c r="AO32" s="531"/>
      <c r="AP32" s="531"/>
      <c r="AQ32" s="531"/>
      <c r="AR32" s="531"/>
      <c r="AS32" s="531"/>
      <c r="AT32" s="531"/>
      <c r="AU32" s="531"/>
      <c r="AV32" s="531"/>
      <c r="AW32" s="531"/>
      <c r="AX32" s="531"/>
      <c r="AY32" s="531"/>
      <c r="AZ32" s="531"/>
      <c r="BA32" s="531"/>
      <c r="BB32" s="531"/>
      <c r="BC32" s="531"/>
      <c r="BD32" s="531"/>
      <c r="BE32" s="531"/>
      <c r="BF32" s="531"/>
      <c r="BG32" s="531"/>
    </row>
    <row r="33" spans="1:149" s="474" customFormat="1" x14ac:dyDescent="0.4">
      <c r="A33" s="533"/>
      <c r="B33" s="487"/>
      <c r="C33" s="487"/>
      <c r="D33" s="487"/>
      <c r="E33" s="487"/>
      <c r="F33" s="487"/>
      <c r="G33" s="487"/>
      <c r="H33" s="487"/>
      <c r="I33" s="487"/>
      <c r="J33" s="523"/>
      <c r="K33" s="523"/>
      <c r="L33" s="523"/>
      <c r="M33" s="523"/>
      <c r="N33" s="523"/>
      <c r="O33" s="523"/>
      <c r="P33" s="523"/>
      <c r="Q33" s="523"/>
      <c r="R33" s="523"/>
      <c r="S33" s="523"/>
      <c r="T33" s="523"/>
      <c r="U33" s="523"/>
      <c r="V33" s="523"/>
      <c r="W33" s="523"/>
      <c r="X33" s="523"/>
      <c r="Y33" s="523"/>
      <c r="Z33" s="523"/>
      <c r="AA33" s="523"/>
      <c r="AB33" s="523"/>
      <c r="AC33" s="523"/>
      <c r="AD33" s="523"/>
      <c r="AE33" s="523"/>
      <c r="AF33" s="523"/>
      <c r="AG33" s="523"/>
      <c r="AH33" s="487"/>
      <c r="AI33" s="487"/>
      <c r="AJ33" s="471"/>
      <c r="AK33" s="471"/>
      <c r="AL33" s="471"/>
      <c r="AM33" s="471"/>
      <c r="AN33" s="471"/>
      <c r="AO33" s="471"/>
      <c r="AP33" s="471"/>
      <c r="AQ33" s="471"/>
      <c r="AR33" s="471"/>
      <c r="AS33" s="471"/>
      <c r="AT33" s="471"/>
      <c r="AU33" s="471"/>
      <c r="AV33" s="471"/>
      <c r="AW33" s="471"/>
      <c r="AX33" s="471"/>
      <c r="AY33" s="471"/>
      <c r="AZ33" s="471"/>
      <c r="BA33" s="471"/>
      <c r="BB33" s="471"/>
      <c r="BC33" s="471"/>
      <c r="BD33" s="471"/>
      <c r="BE33" s="471"/>
      <c r="BF33" s="471"/>
      <c r="BG33" s="471"/>
    </row>
    <row r="34" spans="1:149" x14ac:dyDescent="0.35">
      <c r="A34" s="510"/>
      <c r="B34" s="534"/>
      <c r="C34" s="534"/>
      <c r="D34" s="534"/>
      <c r="E34" s="534"/>
      <c r="F34" s="534"/>
      <c r="G34" s="534"/>
      <c r="H34" s="534"/>
      <c r="I34" s="534"/>
      <c r="J34" s="496"/>
      <c r="K34" s="496"/>
      <c r="L34" s="496"/>
      <c r="M34" s="496"/>
      <c r="N34" s="496"/>
      <c r="O34" s="496"/>
      <c r="P34" s="496"/>
      <c r="Q34" s="496"/>
      <c r="R34" s="496"/>
      <c r="S34" s="496"/>
      <c r="T34" s="496"/>
      <c r="U34" s="496"/>
      <c r="V34" s="496"/>
      <c r="W34" s="496"/>
      <c r="X34" s="496"/>
      <c r="Y34" s="496"/>
      <c r="Z34" s="496"/>
      <c r="AA34" s="496"/>
      <c r="AB34" s="496"/>
      <c r="AC34" s="496"/>
      <c r="AD34" s="496"/>
      <c r="AE34" s="496"/>
      <c r="AF34" s="496"/>
      <c r="AG34" s="496"/>
      <c r="AH34" s="535"/>
      <c r="AI34" s="536"/>
    </row>
    <row r="35" spans="1:149" x14ac:dyDescent="0.35">
      <c r="A35" s="522" t="s">
        <v>168</v>
      </c>
      <c r="B35" s="488"/>
      <c r="C35" s="488"/>
      <c r="D35" s="488"/>
      <c r="E35" s="488"/>
      <c r="F35" s="488"/>
      <c r="G35" s="488"/>
      <c r="H35" s="488"/>
      <c r="I35" s="488"/>
      <c r="J35" s="524"/>
      <c r="K35" s="524"/>
      <c r="L35" s="524"/>
      <c r="M35" s="524"/>
      <c r="AH35" s="487"/>
      <c r="AI35" s="487"/>
    </row>
    <row r="36" spans="1:149" x14ac:dyDescent="0.35">
      <c r="A36" s="537" t="s">
        <v>73</v>
      </c>
      <c r="B36" s="538">
        <f>+'Water '!$J7</f>
        <v>154</v>
      </c>
      <c r="C36" s="538">
        <f>+'Water '!$J8</f>
        <v>220</v>
      </c>
      <c r="D36" s="538">
        <f>+'Water '!$J9</f>
        <v>140</v>
      </c>
      <c r="E36" s="538">
        <f>+'Water '!$J10</f>
        <v>64</v>
      </c>
      <c r="F36" s="538">
        <f>+'Water '!$J11</f>
        <v>7</v>
      </c>
      <c r="G36" s="538">
        <f>+'Water '!$J12</f>
        <v>105</v>
      </c>
      <c r="H36" s="511">
        <f>+'Water '!$J13</f>
        <v>136</v>
      </c>
      <c r="I36" s="538">
        <f>+'Water '!$J14</f>
        <v>194</v>
      </c>
      <c r="J36" s="538">
        <f>+'Water '!$J15</f>
        <v>65</v>
      </c>
      <c r="K36" s="538">
        <f>+'Water '!$J16</f>
        <v>164</v>
      </c>
      <c r="L36" s="511">
        <f>+'Water '!$J17</f>
        <v>96</v>
      </c>
      <c r="M36" s="538">
        <f>+'Water '!$J18</f>
        <v>59</v>
      </c>
      <c r="N36" s="538">
        <f>+'Water '!$J19</f>
        <v>35</v>
      </c>
      <c r="O36" s="538">
        <f>+'Water '!$J20</f>
        <v>206</v>
      </c>
      <c r="P36" s="511">
        <f>+'Water '!$J21</f>
        <v>151</v>
      </c>
      <c r="Q36" s="538">
        <f>+'Water '!$J22</f>
        <v>165</v>
      </c>
      <c r="R36" s="511">
        <f>+'Water '!$J23</f>
        <v>164</v>
      </c>
      <c r="S36" s="538">
        <f>+'Water '!$J24</f>
        <v>40</v>
      </c>
      <c r="T36" s="511">
        <f>+'Water '!$J25</f>
        <v>58</v>
      </c>
      <c r="U36" s="538">
        <f>+'Water '!$J26</f>
        <v>97</v>
      </c>
      <c r="V36" s="538">
        <f>+'Water '!$J27</f>
        <v>236</v>
      </c>
      <c r="W36" s="538">
        <f>+'Water '!$J28</f>
        <v>142</v>
      </c>
      <c r="X36" s="538">
        <f>+'Water '!$J29</f>
        <v>259</v>
      </c>
      <c r="Y36" s="538">
        <f>+'Water '!$J30</f>
        <v>120</v>
      </c>
      <c r="Z36" s="538">
        <f>+'Water '!$J31</f>
        <v>1</v>
      </c>
      <c r="AA36" s="538">
        <f>+'Water '!$J32</f>
        <v>4</v>
      </c>
      <c r="AB36" s="538">
        <f>+'Water '!$J33</f>
        <v>83</v>
      </c>
      <c r="AC36" s="511">
        <f>+'Water '!$J34</f>
        <v>156</v>
      </c>
      <c r="AD36" s="511">
        <f>+'Water '!$J35</f>
        <v>153</v>
      </c>
      <c r="AE36" s="511">
        <f>+'Water '!$J36</f>
        <v>170</v>
      </c>
      <c r="AF36" s="511">
        <f>+'Water '!$J37</f>
        <v>190</v>
      </c>
      <c r="AG36" s="511"/>
      <c r="AH36" s="487">
        <f>SUM($B36:AF36)</f>
        <v>3834</v>
      </c>
      <c r="AI36" s="487"/>
    </row>
    <row r="37" spans="1:149" s="507" customFormat="1" x14ac:dyDescent="0.35">
      <c r="A37" s="539" t="s">
        <v>229</v>
      </c>
      <c r="B37" s="540" t="str">
        <f>'Water '!X7</f>
        <v>0</v>
      </c>
      <c r="C37" s="540" t="str">
        <f>'Water '!X8</f>
        <v>0</v>
      </c>
      <c r="D37" s="540" t="str">
        <f>'Water '!X9</f>
        <v>0</v>
      </c>
      <c r="E37" s="540" t="str">
        <f>'Water '!X10</f>
        <v>0</v>
      </c>
      <c r="F37" s="540" t="str">
        <f>'Water '!X11</f>
        <v>0</v>
      </c>
      <c r="G37" s="540" t="str">
        <f>'Water '!X12</f>
        <v>0</v>
      </c>
      <c r="H37" s="540" t="str">
        <f>'Water '!X13</f>
        <v>0</v>
      </c>
      <c r="I37" s="540" t="str">
        <f>'Water '!X14</f>
        <v>0</v>
      </c>
      <c r="J37" s="540" t="str">
        <f>'Water '!X15</f>
        <v>0</v>
      </c>
      <c r="K37" s="540" t="str">
        <f>'Water '!X16</f>
        <v>0</v>
      </c>
      <c r="L37" s="540" t="str">
        <f>'Water '!X17</f>
        <v>0</v>
      </c>
      <c r="M37" s="540" t="str">
        <f>'Water '!X18</f>
        <v>0</v>
      </c>
      <c r="N37" s="540" t="str">
        <f>'Water '!X19</f>
        <v>0</v>
      </c>
      <c r="O37" s="540" t="str">
        <f>'Water '!X20</f>
        <v>0</v>
      </c>
      <c r="P37" s="540" t="str">
        <f>'Water '!X21</f>
        <v>0</v>
      </c>
      <c r="Q37" s="540" t="str">
        <f>'Water '!X22</f>
        <v>0</v>
      </c>
      <c r="R37" s="540" t="str">
        <f>'Water '!X23</f>
        <v>0</v>
      </c>
      <c r="S37" s="540" t="str">
        <f>'Water '!X24</f>
        <v>0</v>
      </c>
      <c r="T37" s="540" t="str">
        <f>'Water '!X25</f>
        <v>0</v>
      </c>
      <c r="U37" s="540" t="str">
        <f>'Water '!X26</f>
        <v>0</v>
      </c>
      <c r="V37" s="540" t="str">
        <f>'Water '!X27</f>
        <v>0</v>
      </c>
      <c r="W37" s="540" t="str">
        <f>'Water '!X28</f>
        <v>0</v>
      </c>
      <c r="X37" s="540" t="str">
        <f>'Water '!X29</f>
        <v>0</v>
      </c>
      <c r="Y37" s="540" t="str">
        <f>'Water '!X30</f>
        <v>0</v>
      </c>
      <c r="Z37" s="540" t="str">
        <f>'Water '!X31</f>
        <v>0</v>
      </c>
      <c r="AA37" s="540" t="str">
        <f>'Water '!X32</f>
        <v>0</v>
      </c>
      <c r="AB37" s="540" t="str">
        <f>'Water '!X33</f>
        <v>0</v>
      </c>
      <c r="AC37" s="540" t="str">
        <f>'Water '!X34</f>
        <v>0</v>
      </c>
      <c r="AD37" s="540" t="str">
        <f>'Water '!X35</f>
        <v>0</v>
      </c>
      <c r="AE37" s="540" t="str">
        <f>'Water '!X36</f>
        <v>0</v>
      </c>
      <c r="AF37" s="540" t="str">
        <f>'Water '!X37</f>
        <v>0</v>
      </c>
      <c r="AG37" s="540"/>
      <c r="AH37" s="517">
        <f>SUM($B37:AF37)</f>
        <v>0</v>
      </c>
      <c r="AI37" s="517"/>
      <c r="AJ37" s="477"/>
      <c r="AK37" s="284"/>
      <c r="AL37" s="284"/>
      <c r="AM37" s="284"/>
      <c r="AN37" s="284"/>
      <c r="AO37" s="284"/>
      <c r="AP37" s="284"/>
      <c r="AQ37" s="284"/>
      <c r="AR37" s="284"/>
      <c r="AS37" s="284"/>
      <c r="AT37" s="284"/>
      <c r="AU37" s="284"/>
      <c r="AV37" s="284"/>
      <c r="AW37" s="284"/>
      <c r="AX37" s="284"/>
      <c r="AY37" s="284"/>
      <c r="AZ37" s="284"/>
      <c r="BA37" s="284"/>
      <c r="BB37" s="284"/>
      <c r="BC37" s="284"/>
      <c r="BD37" s="284"/>
      <c r="BE37" s="284"/>
      <c r="BF37" s="284"/>
      <c r="BG37" s="284"/>
      <c r="BH37" s="470"/>
      <c r="BI37" s="470"/>
      <c r="BJ37" s="470"/>
      <c r="BK37" s="470"/>
      <c r="BL37" s="470"/>
      <c r="BM37" s="470"/>
      <c r="BN37" s="470"/>
      <c r="BO37" s="470"/>
      <c r="BP37" s="470"/>
      <c r="BQ37" s="470"/>
      <c r="BR37" s="470"/>
      <c r="BS37" s="470"/>
      <c r="BT37" s="470"/>
      <c r="BU37" s="470"/>
      <c r="BV37" s="470"/>
      <c r="BW37" s="470"/>
      <c r="BX37" s="470"/>
      <c r="BY37" s="470"/>
      <c r="BZ37" s="470"/>
      <c r="CA37" s="470"/>
      <c r="CB37" s="470"/>
      <c r="CC37" s="470"/>
      <c r="CD37" s="470"/>
      <c r="CE37" s="470"/>
      <c r="CF37" s="470"/>
      <c r="CG37" s="470"/>
      <c r="CH37" s="470"/>
      <c r="CI37" s="470"/>
      <c r="CJ37" s="470"/>
      <c r="CK37" s="470"/>
      <c r="CL37" s="470"/>
      <c r="CM37" s="470"/>
      <c r="CN37" s="470"/>
      <c r="CO37" s="470"/>
      <c r="CP37" s="470"/>
      <c r="CQ37" s="470"/>
      <c r="CR37" s="470"/>
      <c r="CS37" s="470"/>
      <c r="CT37" s="470"/>
      <c r="CU37" s="470"/>
      <c r="CV37" s="470"/>
      <c r="CW37" s="470"/>
      <c r="CX37" s="470"/>
      <c r="CY37" s="470"/>
      <c r="CZ37" s="470"/>
      <c r="DA37" s="470"/>
      <c r="DB37" s="470"/>
      <c r="DC37" s="470"/>
      <c r="DD37" s="470"/>
      <c r="DE37" s="470"/>
      <c r="DF37" s="470"/>
      <c r="DG37" s="470"/>
      <c r="DH37" s="470"/>
      <c r="DI37" s="470"/>
      <c r="DJ37" s="470"/>
      <c r="DK37" s="470"/>
      <c r="DL37" s="470"/>
      <c r="DM37" s="470"/>
      <c r="DN37" s="470"/>
      <c r="DO37" s="470"/>
      <c r="DP37" s="470"/>
      <c r="DQ37" s="470"/>
      <c r="DR37" s="470"/>
      <c r="DS37" s="470"/>
      <c r="DT37" s="470"/>
      <c r="DU37" s="470"/>
      <c r="DV37" s="470"/>
      <c r="DW37" s="470"/>
      <c r="DX37" s="470"/>
      <c r="DY37" s="470"/>
      <c r="DZ37" s="470"/>
      <c r="EA37" s="470"/>
      <c r="EB37" s="470"/>
      <c r="EC37" s="470"/>
      <c r="ED37" s="470"/>
      <c r="EE37" s="470"/>
      <c r="EF37" s="470"/>
      <c r="EG37" s="470"/>
      <c r="EH37" s="470"/>
      <c r="EI37" s="470"/>
      <c r="EJ37" s="470"/>
      <c r="EK37" s="470"/>
      <c r="EL37" s="470"/>
      <c r="EM37" s="470"/>
      <c r="EN37" s="470"/>
      <c r="EO37" s="470"/>
      <c r="EP37" s="470"/>
      <c r="EQ37" s="470"/>
      <c r="ER37" s="470"/>
      <c r="ES37" s="470"/>
    </row>
    <row r="38" spans="1:149" ht="32.25" customHeight="1" x14ac:dyDescent="0.35">
      <c r="A38" s="525" t="s">
        <v>188</v>
      </c>
      <c r="B38" s="488"/>
      <c r="C38" s="488"/>
      <c r="D38" s="488"/>
      <c r="E38" s="488"/>
      <c r="F38" s="488"/>
      <c r="G38" s="488"/>
      <c r="H38" s="488"/>
      <c r="I38" s="488"/>
      <c r="J38" s="488"/>
      <c r="K38" s="488"/>
      <c r="L38" s="488"/>
      <c r="M38" s="488"/>
      <c r="N38" s="488"/>
      <c r="O38" s="488"/>
      <c r="P38" s="488"/>
      <c r="Q38" s="488"/>
      <c r="R38" s="488"/>
      <c r="S38" s="488"/>
      <c r="T38" s="488"/>
      <c r="U38" s="488"/>
      <c r="V38" s="488"/>
      <c r="W38" s="488"/>
      <c r="X38" s="488"/>
      <c r="Y38" s="488"/>
      <c r="Z38" s="488"/>
      <c r="AA38" s="488"/>
      <c r="AB38" s="488"/>
      <c r="AC38" s="488"/>
      <c r="AD38" s="488"/>
      <c r="AE38" s="488"/>
      <c r="AF38" s="488"/>
      <c r="AG38" s="488"/>
      <c r="AH38" s="487"/>
      <c r="AI38" s="487"/>
    </row>
    <row r="39" spans="1:149" x14ac:dyDescent="0.35">
      <c r="A39" s="510" t="s">
        <v>220</v>
      </c>
      <c r="B39" s="511" t="str">
        <f>+'Water '!$K7</f>
        <v>0</v>
      </c>
      <c r="C39" s="511" t="str">
        <f>+'Water '!$K8</f>
        <v>0</v>
      </c>
      <c r="D39" s="511" t="str">
        <f>+'Water '!$K9</f>
        <v>0</v>
      </c>
      <c r="E39" s="511" t="str">
        <f>+'Water '!$K10</f>
        <v>0</v>
      </c>
      <c r="F39" s="511" t="str">
        <f>+'Water '!$K9</f>
        <v>0</v>
      </c>
      <c r="G39" s="511" t="str">
        <f>+'Water '!$K12</f>
        <v>0</v>
      </c>
      <c r="H39" s="511" t="str">
        <f>+'Water '!$K13</f>
        <v>0</v>
      </c>
      <c r="I39" s="511" t="str">
        <f>+'Water '!$K14</f>
        <v>0</v>
      </c>
      <c r="J39" s="511" t="str">
        <f>+'Water '!$K15</f>
        <v>0</v>
      </c>
      <c r="K39" s="511" t="str">
        <f>+'Water '!$K16</f>
        <v>0</v>
      </c>
      <c r="L39" s="511" t="str">
        <f>+'Water '!$K17</f>
        <v>0</v>
      </c>
      <c r="M39" s="511" t="str">
        <f>+'Water '!$K18</f>
        <v>0</v>
      </c>
      <c r="N39" s="511" t="str">
        <f>+'Water '!$K19</f>
        <v>0</v>
      </c>
      <c r="O39" s="511" t="str">
        <f>+'Water '!$K20</f>
        <v>0</v>
      </c>
      <c r="P39" s="511" t="str">
        <f>+'Water '!$K21</f>
        <v>0</v>
      </c>
      <c r="Q39" s="511" t="str">
        <f>+'Water '!$K22</f>
        <v>0</v>
      </c>
      <c r="R39" s="511" t="str">
        <f>+'Water '!$K23</f>
        <v>0</v>
      </c>
      <c r="S39" s="511" t="str">
        <f>+'Water '!$K24</f>
        <v>0</v>
      </c>
      <c r="T39" s="511" t="str">
        <f>+'Water '!$K25</f>
        <v>0</v>
      </c>
      <c r="U39" s="511" t="str">
        <f>+'Water '!$K26</f>
        <v>0</v>
      </c>
      <c r="V39" s="511" t="str">
        <f>+'Water '!$K27</f>
        <v>0</v>
      </c>
      <c r="W39" s="511" t="str">
        <f>+'Water '!$K28</f>
        <v>0</v>
      </c>
      <c r="X39" s="511" t="str">
        <f>+'Water '!$K29</f>
        <v>0</v>
      </c>
      <c r="Y39" s="511" t="str">
        <f>+'Water '!$K30</f>
        <v>0</v>
      </c>
      <c r="Z39" s="511" t="str">
        <f>+'Water '!$K31</f>
        <v>0</v>
      </c>
      <c r="AA39" s="511" t="str">
        <f>+'Water '!$K32</f>
        <v>0</v>
      </c>
      <c r="AB39" s="511" t="str">
        <f>+'Water '!$K33</f>
        <v>0</v>
      </c>
      <c r="AC39" s="511" t="str">
        <f>+'Water '!$K34</f>
        <v>0</v>
      </c>
      <c r="AD39" s="511" t="str">
        <f>+'Water '!$K35</f>
        <v>0</v>
      </c>
      <c r="AE39" s="511" t="str">
        <f>+'Water '!$K36</f>
        <v>0</v>
      </c>
      <c r="AF39" s="511" t="str">
        <f>+'Water '!$K37</f>
        <v>0</v>
      </c>
      <c r="AG39" s="511"/>
      <c r="AH39" s="487">
        <f>SUM($B39:AF39)</f>
        <v>0</v>
      </c>
      <c r="AI39" s="487"/>
      <c r="AJ39" s="487"/>
    </row>
    <row r="40" spans="1:149" s="507" customFormat="1" ht="27" customHeight="1" x14ac:dyDescent="0.35">
      <c r="A40" s="541" t="s">
        <v>173</v>
      </c>
      <c r="B40" s="540" t="str">
        <f>'Water '!L7</f>
        <v>0</v>
      </c>
      <c r="C40" s="540" t="str">
        <f>'Water '!L8</f>
        <v>0</v>
      </c>
      <c r="D40" s="540" t="str">
        <f>'Water '!L9</f>
        <v>0</v>
      </c>
      <c r="E40" s="540" t="str">
        <f>'Water '!L10</f>
        <v>0</v>
      </c>
      <c r="F40" s="540" t="str">
        <f>'Water '!L11</f>
        <v>0</v>
      </c>
      <c r="G40" s="540" t="str">
        <f>'Water '!L12</f>
        <v>0</v>
      </c>
      <c r="H40" s="540" t="str">
        <f>'Water '!L13</f>
        <v>0</v>
      </c>
      <c r="I40" s="540" t="str">
        <f>'Water '!L14</f>
        <v>0</v>
      </c>
      <c r="J40" s="540" t="str">
        <f>'Water '!L15</f>
        <v>0</v>
      </c>
      <c r="K40" s="540" t="str">
        <f>'Water '!L16</f>
        <v>0</v>
      </c>
      <c r="L40" s="540" t="str">
        <f>'Water '!L17</f>
        <v>0</v>
      </c>
      <c r="M40" s="540" t="str">
        <f>'Water '!L18</f>
        <v>0</v>
      </c>
      <c r="N40" s="540" t="str">
        <f>'Water '!L19</f>
        <v>0</v>
      </c>
      <c r="O40" s="540" t="str">
        <f>'Water '!L20</f>
        <v>0</v>
      </c>
      <c r="P40" s="540" t="str">
        <f>'Water '!L21</f>
        <v>0</v>
      </c>
      <c r="Q40" s="540" t="str">
        <f>'Water '!L22</f>
        <v>0</v>
      </c>
      <c r="R40" s="540" t="str">
        <f>'Water '!L23</f>
        <v>0</v>
      </c>
      <c r="S40" s="540" t="str">
        <f>'Water '!L24</f>
        <v>0</v>
      </c>
      <c r="T40" s="540" t="str">
        <f>'Water '!L25</f>
        <v>0</v>
      </c>
      <c r="U40" s="540" t="str">
        <f>'Water '!L26</f>
        <v>0</v>
      </c>
      <c r="V40" s="540" t="str">
        <f>'Water '!L27</f>
        <v>0</v>
      </c>
      <c r="W40" s="540" t="str">
        <f>'Water '!L28</f>
        <v>0</v>
      </c>
      <c r="X40" s="540" t="str">
        <f>'Water '!L29</f>
        <v>0</v>
      </c>
      <c r="Y40" s="540" t="str">
        <f>'Water '!L30</f>
        <v>0</v>
      </c>
      <c r="Z40" s="540" t="str">
        <f>'Water '!L31</f>
        <v>0</v>
      </c>
      <c r="AA40" s="540" t="str">
        <f>'Water '!L32</f>
        <v>0</v>
      </c>
      <c r="AB40" s="540" t="str">
        <f>'Water '!L33</f>
        <v>0</v>
      </c>
      <c r="AC40" s="540" t="str">
        <f>'Water '!L34</f>
        <v>0</v>
      </c>
      <c r="AD40" s="540" t="str">
        <f>'Water '!L35</f>
        <v>0</v>
      </c>
      <c r="AE40" s="540" t="str">
        <f>'Water '!L36</f>
        <v>0</v>
      </c>
      <c r="AF40" s="540" t="str">
        <f>'Water '!L37</f>
        <v>0</v>
      </c>
      <c r="AG40" s="540"/>
      <c r="AH40" s="517">
        <f>SUM($B40:AF40)</f>
        <v>0</v>
      </c>
      <c r="AI40" s="517"/>
      <c r="AJ40" s="517"/>
      <c r="AK40" s="284"/>
      <c r="AL40" s="284"/>
      <c r="AM40" s="284"/>
      <c r="AN40" s="284"/>
      <c r="AO40" s="284"/>
      <c r="AP40" s="284"/>
      <c r="AQ40" s="284"/>
      <c r="AR40" s="284"/>
      <c r="AS40" s="284"/>
      <c r="AT40" s="284"/>
      <c r="AU40" s="284"/>
      <c r="AV40" s="284"/>
      <c r="AW40" s="284"/>
      <c r="AX40" s="284"/>
      <c r="AY40" s="284"/>
      <c r="AZ40" s="284"/>
      <c r="BA40" s="284"/>
      <c r="BB40" s="284"/>
      <c r="BC40" s="284"/>
      <c r="BD40" s="284"/>
      <c r="BE40" s="284"/>
      <c r="BF40" s="284"/>
      <c r="BG40" s="284"/>
      <c r="BH40" s="470"/>
      <c r="BI40" s="470"/>
      <c r="BJ40" s="470"/>
      <c r="BK40" s="470"/>
      <c r="BL40" s="470"/>
      <c r="BM40" s="470"/>
      <c r="BN40" s="470"/>
      <c r="BO40" s="470"/>
      <c r="BP40" s="470"/>
      <c r="BQ40" s="470"/>
      <c r="BR40" s="470"/>
      <c r="BS40" s="470"/>
      <c r="BT40" s="470"/>
      <c r="BU40" s="470"/>
      <c r="BV40" s="470"/>
      <c r="BW40" s="470"/>
      <c r="BX40" s="470"/>
      <c r="BY40" s="470"/>
      <c r="BZ40" s="470"/>
      <c r="CA40" s="470"/>
      <c r="CB40" s="470"/>
      <c r="CC40" s="470"/>
      <c r="CD40" s="470"/>
      <c r="CE40" s="470"/>
      <c r="CF40" s="470"/>
      <c r="CG40" s="470"/>
      <c r="CH40" s="470"/>
      <c r="CI40" s="470"/>
      <c r="CJ40" s="470"/>
      <c r="CK40" s="470"/>
      <c r="CL40" s="470"/>
      <c r="CM40" s="470"/>
      <c r="CN40" s="470"/>
      <c r="CO40" s="470"/>
      <c r="CP40" s="470"/>
      <c r="CQ40" s="470"/>
      <c r="CR40" s="470"/>
      <c r="CS40" s="470"/>
      <c r="CT40" s="470"/>
      <c r="CU40" s="470"/>
      <c r="CV40" s="470"/>
      <c r="CW40" s="470"/>
      <c r="CX40" s="470"/>
      <c r="CY40" s="470"/>
      <c r="CZ40" s="470"/>
      <c r="DA40" s="470"/>
      <c r="DB40" s="470"/>
      <c r="DC40" s="470"/>
      <c r="DD40" s="470"/>
      <c r="DE40" s="470"/>
      <c r="DF40" s="470"/>
      <c r="DG40" s="470"/>
      <c r="DH40" s="470"/>
      <c r="DI40" s="470"/>
      <c r="DJ40" s="470"/>
      <c r="DK40" s="470"/>
      <c r="DL40" s="470"/>
      <c r="DM40" s="470"/>
      <c r="DN40" s="470"/>
      <c r="DO40" s="470"/>
      <c r="DP40" s="470"/>
      <c r="DQ40" s="470"/>
      <c r="DR40" s="470"/>
      <c r="DS40" s="470"/>
      <c r="DT40" s="470"/>
      <c r="DU40" s="470"/>
      <c r="DV40" s="470"/>
      <c r="DW40" s="470"/>
      <c r="DX40" s="470"/>
      <c r="DY40" s="470"/>
      <c r="DZ40" s="470"/>
      <c r="EA40" s="470"/>
      <c r="EB40" s="470"/>
      <c r="EC40" s="470"/>
      <c r="ED40" s="470"/>
      <c r="EE40" s="470"/>
      <c r="EF40" s="470"/>
      <c r="EG40" s="470"/>
      <c r="EH40" s="470"/>
      <c r="EI40" s="470"/>
      <c r="EJ40" s="470"/>
      <c r="EK40" s="470"/>
      <c r="EL40" s="470"/>
      <c r="EM40" s="470"/>
      <c r="EN40" s="470"/>
      <c r="EO40" s="470"/>
      <c r="EP40" s="470"/>
      <c r="EQ40" s="470"/>
      <c r="ER40" s="470"/>
      <c r="ES40" s="470"/>
    </row>
    <row r="41" spans="1:149" s="507" customFormat="1" x14ac:dyDescent="0.35">
      <c r="A41" s="541" t="s">
        <v>99</v>
      </c>
      <c r="B41" s="542">
        <f>+'Water '!$N7</f>
        <v>42</v>
      </c>
      <c r="C41" s="542">
        <f>+'Water '!$N8</f>
        <v>50</v>
      </c>
      <c r="D41" s="542">
        <f>+'Water '!$N9</f>
        <v>19</v>
      </c>
      <c r="E41" s="542" t="str">
        <f>+'Water '!$N10</f>
        <v>0</v>
      </c>
      <c r="F41" s="542">
        <f>+'Water '!$N11</f>
        <v>1</v>
      </c>
      <c r="G41" s="542">
        <f>+'Water '!$N12</f>
        <v>65</v>
      </c>
      <c r="H41" s="542">
        <f>+'Water '!$N13</f>
        <v>16</v>
      </c>
      <c r="I41" s="542">
        <f>+'Water '!$N14</f>
        <v>35</v>
      </c>
      <c r="J41" s="542">
        <f>+'Water '!$N15</f>
        <v>52</v>
      </c>
      <c r="K41" s="542">
        <f>+'Water '!$N16</f>
        <v>30</v>
      </c>
      <c r="L41" s="542" t="str">
        <f>+'Water '!$N17</f>
        <v>0</v>
      </c>
      <c r="M41" s="661">
        <f>+'Water '!$N18</f>
        <v>10</v>
      </c>
      <c r="N41" s="542">
        <f>+'Water '!$N19</f>
        <v>50</v>
      </c>
      <c r="O41" s="542">
        <f>+'Water '!$N20</f>
        <v>23</v>
      </c>
      <c r="P41" s="542">
        <f>+'Water '!$N21</f>
        <v>22</v>
      </c>
      <c r="Q41" s="542">
        <f>+'Water '!$N22</f>
        <v>46</v>
      </c>
      <c r="R41" s="542">
        <f>+'Water '!$N23</f>
        <v>47</v>
      </c>
      <c r="S41" s="542">
        <f>+'Water '!$N24</f>
        <v>1</v>
      </c>
      <c r="T41" s="542">
        <f>+'Water '!$N25</f>
        <v>26</v>
      </c>
      <c r="U41" s="542">
        <f>+'Water '!$N26</f>
        <v>50</v>
      </c>
      <c r="V41" s="542">
        <f>+'Water '!$N27</f>
        <v>66</v>
      </c>
      <c r="W41" s="542">
        <f>+'Water '!$N28</f>
        <v>26</v>
      </c>
      <c r="X41" s="542">
        <f>+'Water '!$N29</f>
        <v>37</v>
      </c>
      <c r="Y41" s="542">
        <f>+'Water '!$N30</f>
        <v>49</v>
      </c>
      <c r="Z41" s="542" t="str">
        <f>+'Water '!$N31</f>
        <v>0</v>
      </c>
      <c r="AA41" s="542">
        <f>+'Water '!$N32</f>
        <v>8</v>
      </c>
      <c r="AB41" s="542">
        <f>+'Water '!$N33</f>
        <v>21</v>
      </c>
      <c r="AC41" s="542">
        <f>+'Water '!$N34</f>
        <v>37</v>
      </c>
      <c r="AD41" s="542">
        <f>+'Water '!$N35</f>
        <v>55</v>
      </c>
      <c r="AE41" s="542">
        <f>+'Water '!$N36</f>
        <v>58</v>
      </c>
      <c r="AF41" s="542">
        <f>+'Water '!$N37</f>
        <v>22</v>
      </c>
      <c r="AG41" s="542"/>
      <c r="AH41" s="517">
        <f>SUM($B41:AF41)</f>
        <v>964</v>
      </c>
      <c r="AI41" s="517"/>
      <c r="AJ41" s="517"/>
      <c r="AK41" s="284"/>
      <c r="AL41" s="284"/>
      <c r="AM41" s="284"/>
      <c r="AN41" s="284"/>
      <c r="AO41" s="284"/>
      <c r="AP41" s="284"/>
      <c r="AQ41" s="284"/>
      <c r="AR41" s="284"/>
      <c r="AS41" s="284"/>
      <c r="AT41" s="284"/>
      <c r="AU41" s="284"/>
      <c r="AV41" s="284"/>
      <c r="AW41" s="284"/>
      <c r="AX41" s="284"/>
      <c r="AY41" s="284"/>
      <c r="AZ41" s="284"/>
      <c r="BA41" s="284"/>
      <c r="BB41" s="284"/>
      <c r="BC41" s="284"/>
      <c r="BD41" s="284"/>
      <c r="BE41" s="284"/>
      <c r="BF41" s="284"/>
      <c r="BG41" s="284"/>
      <c r="BH41" s="470"/>
      <c r="BI41" s="470"/>
      <c r="BJ41" s="470"/>
      <c r="BK41" s="470"/>
      <c r="BL41" s="470"/>
      <c r="BM41" s="470"/>
      <c r="BN41" s="470"/>
      <c r="BO41" s="470"/>
      <c r="BP41" s="470"/>
      <c r="BQ41" s="470"/>
      <c r="BR41" s="470"/>
      <c r="BS41" s="470"/>
      <c r="BT41" s="470"/>
      <c r="BU41" s="470"/>
      <c r="BV41" s="470"/>
      <c r="BW41" s="470"/>
      <c r="BX41" s="470"/>
      <c r="BY41" s="470"/>
      <c r="BZ41" s="470"/>
      <c r="CA41" s="470"/>
      <c r="CB41" s="470"/>
      <c r="CC41" s="470"/>
      <c r="CD41" s="470"/>
      <c r="CE41" s="470"/>
      <c r="CF41" s="470"/>
      <c r="CG41" s="470"/>
      <c r="CH41" s="470"/>
      <c r="CI41" s="470"/>
      <c r="CJ41" s="470"/>
      <c r="CK41" s="470"/>
      <c r="CL41" s="470"/>
      <c r="CM41" s="470"/>
      <c r="CN41" s="470"/>
      <c r="CO41" s="470"/>
      <c r="CP41" s="470"/>
      <c r="CQ41" s="470"/>
      <c r="CR41" s="470"/>
      <c r="CS41" s="470"/>
      <c r="CT41" s="470"/>
      <c r="CU41" s="470"/>
      <c r="CV41" s="470"/>
      <c r="CW41" s="470"/>
      <c r="CX41" s="470"/>
      <c r="CY41" s="470"/>
      <c r="CZ41" s="470"/>
      <c r="DA41" s="470"/>
      <c r="DB41" s="470"/>
      <c r="DC41" s="470"/>
      <c r="DD41" s="470"/>
      <c r="DE41" s="470"/>
      <c r="DF41" s="470"/>
      <c r="DG41" s="470"/>
      <c r="DH41" s="470"/>
      <c r="DI41" s="470"/>
      <c r="DJ41" s="470"/>
      <c r="DK41" s="470"/>
      <c r="DL41" s="470"/>
      <c r="DM41" s="470"/>
      <c r="DN41" s="470"/>
      <c r="DO41" s="470"/>
      <c r="DP41" s="470"/>
      <c r="DQ41" s="470"/>
      <c r="DR41" s="470"/>
      <c r="DS41" s="470"/>
      <c r="DT41" s="470"/>
      <c r="DU41" s="470"/>
      <c r="DV41" s="470"/>
      <c r="DW41" s="470"/>
      <c r="DX41" s="470"/>
      <c r="DY41" s="470"/>
      <c r="DZ41" s="470"/>
      <c r="EA41" s="470"/>
      <c r="EB41" s="470"/>
      <c r="EC41" s="470"/>
      <c r="ED41" s="470"/>
      <c r="EE41" s="470"/>
      <c r="EF41" s="470"/>
      <c r="EG41" s="470"/>
      <c r="EH41" s="470"/>
      <c r="EI41" s="470"/>
      <c r="EJ41" s="470"/>
      <c r="EK41" s="470"/>
      <c r="EL41" s="470"/>
      <c r="EM41" s="470"/>
      <c r="EN41" s="470"/>
      <c r="EO41" s="470"/>
      <c r="EP41" s="470"/>
      <c r="EQ41" s="470"/>
      <c r="ER41" s="470"/>
      <c r="ES41" s="470"/>
    </row>
    <row r="42" spans="1:149" s="507" customFormat="1" x14ac:dyDescent="0.35">
      <c r="A42" s="525" t="s">
        <v>128</v>
      </c>
      <c r="B42" s="511">
        <f>+'Water '!$O7</f>
        <v>64</v>
      </c>
      <c r="C42" s="511">
        <f>+'Water '!$O8</f>
        <v>83</v>
      </c>
      <c r="D42" s="511">
        <f>+'Water '!$O9</f>
        <v>86</v>
      </c>
      <c r="E42" s="511">
        <f>+'Water '!$O10</f>
        <v>5</v>
      </c>
      <c r="F42" s="511">
        <f>+'Water '!$O11</f>
        <v>34</v>
      </c>
      <c r="G42" s="511">
        <f>+'Water '!$O12</f>
        <v>76</v>
      </c>
      <c r="H42" s="511">
        <f>+'Water '!$O13</f>
        <v>49</v>
      </c>
      <c r="I42" s="511">
        <f>+'Water '!$O14</f>
        <v>81</v>
      </c>
      <c r="J42" s="511">
        <f>+'Water '!$O15</f>
        <v>73</v>
      </c>
      <c r="K42" s="511">
        <f>+'Water '!$O16</f>
        <v>70</v>
      </c>
      <c r="L42" s="511">
        <f>+'Water '!$O17</f>
        <v>41</v>
      </c>
      <c r="M42" s="511" t="str">
        <f>+'Water '!$O18</f>
        <v>0</v>
      </c>
      <c r="N42" s="511">
        <f>+'Water '!$O19</f>
        <v>88</v>
      </c>
      <c r="O42" s="511">
        <f>+'Water '!$O20</f>
        <v>119</v>
      </c>
      <c r="P42" s="511">
        <f>+'Water '!$O21</f>
        <v>97</v>
      </c>
      <c r="Q42" s="511">
        <f>+'Water '!$O22</f>
        <v>70</v>
      </c>
      <c r="R42" s="511">
        <f>+'Water '!$O23</f>
        <v>24</v>
      </c>
      <c r="S42" s="511">
        <f>+'Water '!$O24</f>
        <v>28</v>
      </c>
      <c r="T42" s="511" t="str">
        <f>+'Water '!$O25</f>
        <v>0</v>
      </c>
      <c r="U42" s="511">
        <f>+'Water '!$O26</f>
        <v>91</v>
      </c>
      <c r="V42" s="511">
        <f>+'Water '!$O27</f>
        <v>101</v>
      </c>
      <c r="W42" s="511">
        <f>+'Water '!$O28</f>
        <v>56</v>
      </c>
      <c r="X42" s="511">
        <f>+'Water '!$O29</f>
        <v>64</v>
      </c>
      <c r="Y42" s="511">
        <f>+'Water '!$O30</f>
        <v>47</v>
      </c>
      <c r="Z42" s="511">
        <f>+'Water '!$O31</f>
        <v>31</v>
      </c>
      <c r="AA42" s="511" t="str">
        <f>+'Water '!$O32</f>
        <v>0</v>
      </c>
      <c r="AB42" s="511">
        <f>+'Water '!$O33</f>
        <v>120</v>
      </c>
      <c r="AC42" s="511">
        <f>+'Water '!$O34</f>
        <v>125</v>
      </c>
      <c r="AD42" s="511">
        <f>+'Water '!$O35</f>
        <v>69</v>
      </c>
      <c r="AE42" s="511">
        <f>+'Water '!$O36</f>
        <v>111</v>
      </c>
      <c r="AF42" s="511">
        <f>+'Water '!$O37</f>
        <v>120</v>
      </c>
      <c r="AG42" s="511"/>
      <c r="AH42" s="543">
        <f>SUM($B42:AF42)</f>
        <v>2023</v>
      </c>
      <c r="AI42" s="511"/>
      <c r="AJ42" s="511"/>
      <c r="AK42" s="284"/>
      <c r="AL42" s="284"/>
      <c r="AM42" s="284"/>
      <c r="AN42" s="284"/>
      <c r="AO42" s="284"/>
      <c r="AP42" s="284"/>
      <c r="AQ42" s="284"/>
      <c r="AR42" s="284"/>
      <c r="AS42" s="284"/>
      <c r="AT42" s="284"/>
      <c r="AU42" s="284"/>
      <c r="AV42" s="284"/>
      <c r="AW42" s="284"/>
      <c r="AX42" s="284"/>
      <c r="AY42" s="284"/>
      <c r="AZ42" s="284"/>
      <c r="BA42" s="284"/>
      <c r="BB42" s="284"/>
      <c r="BC42" s="284"/>
      <c r="BD42" s="284"/>
      <c r="BE42" s="284"/>
      <c r="BF42" s="284"/>
      <c r="BG42" s="284"/>
      <c r="BH42" s="470"/>
      <c r="BI42" s="470"/>
      <c r="BJ42" s="470"/>
      <c r="BK42" s="470"/>
      <c r="BL42" s="470"/>
      <c r="BM42" s="470"/>
      <c r="BN42" s="470"/>
      <c r="BO42" s="470"/>
      <c r="BP42" s="470"/>
      <c r="BQ42" s="470"/>
      <c r="BR42" s="470"/>
      <c r="BS42" s="470"/>
      <c r="BT42" s="470"/>
      <c r="BU42" s="470"/>
      <c r="BV42" s="470"/>
      <c r="BW42" s="470"/>
      <c r="BX42" s="470"/>
      <c r="BY42" s="470"/>
      <c r="BZ42" s="470"/>
      <c r="CA42" s="470"/>
      <c r="CB42" s="470"/>
      <c r="CC42" s="470"/>
      <c r="CD42" s="470"/>
      <c r="CE42" s="470"/>
      <c r="CF42" s="470"/>
      <c r="CG42" s="470"/>
      <c r="CH42" s="470"/>
      <c r="CI42" s="470"/>
      <c r="CJ42" s="470"/>
      <c r="CK42" s="470"/>
      <c r="CL42" s="470"/>
      <c r="CM42" s="470"/>
      <c r="CN42" s="470"/>
      <c r="CO42" s="470"/>
      <c r="CP42" s="470"/>
      <c r="CQ42" s="470"/>
      <c r="CR42" s="470"/>
      <c r="CS42" s="470"/>
      <c r="CT42" s="470"/>
      <c r="CU42" s="470"/>
      <c r="CV42" s="470"/>
      <c r="CW42" s="470"/>
      <c r="CX42" s="470"/>
      <c r="CY42" s="470"/>
      <c r="CZ42" s="470"/>
      <c r="DA42" s="470"/>
      <c r="DB42" s="470"/>
      <c r="DC42" s="470"/>
      <c r="DD42" s="470"/>
      <c r="DE42" s="470"/>
      <c r="DF42" s="470"/>
      <c r="DG42" s="470"/>
      <c r="DH42" s="470"/>
      <c r="DI42" s="470"/>
      <c r="DJ42" s="470"/>
      <c r="DK42" s="470"/>
      <c r="DL42" s="470"/>
      <c r="DM42" s="470"/>
      <c r="DN42" s="470"/>
      <c r="DO42" s="470"/>
      <c r="DP42" s="470"/>
      <c r="DQ42" s="470"/>
      <c r="DR42" s="470"/>
      <c r="DS42" s="470"/>
      <c r="DT42" s="470"/>
      <c r="DU42" s="470"/>
      <c r="DV42" s="470"/>
      <c r="DW42" s="470"/>
      <c r="DX42" s="470"/>
      <c r="DY42" s="470"/>
      <c r="DZ42" s="470"/>
      <c r="EA42" s="470"/>
      <c r="EB42" s="470"/>
      <c r="EC42" s="470"/>
      <c r="ED42" s="470"/>
      <c r="EE42" s="470"/>
      <c r="EF42" s="470"/>
      <c r="EG42" s="470"/>
      <c r="EH42" s="470"/>
      <c r="EI42" s="470"/>
      <c r="EJ42" s="470"/>
      <c r="EK42" s="470"/>
      <c r="EL42" s="470"/>
      <c r="EM42" s="470"/>
      <c r="EN42" s="470"/>
      <c r="EO42" s="470"/>
      <c r="EP42" s="470"/>
      <c r="EQ42" s="470"/>
      <c r="ER42" s="470"/>
      <c r="ES42" s="470"/>
    </row>
    <row r="43" spans="1:149" s="507" customFormat="1" x14ac:dyDescent="0.35">
      <c r="A43" s="541" t="s">
        <v>169</v>
      </c>
      <c r="B43" s="544" cm="1">
        <f t="array" ref="B43:AF43">TRANSPOSE('Water '!P7:P37)</f>
        <v>19</v>
      </c>
      <c r="C43" s="544">
        <v>30</v>
      </c>
      <c r="D43" s="544">
        <v>23</v>
      </c>
      <c r="E43" s="544" t="str">
        <v>0</v>
      </c>
      <c r="F43" s="545">
        <v>1</v>
      </c>
      <c r="G43" s="545">
        <v>29</v>
      </c>
      <c r="H43" s="545">
        <v>16</v>
      </c>
      <c r="I43" s="545">
        <v>32</v>
      </c>
      <c r="J43" s="545">
        <v>21</v>
      </c>
      <c r="K43" s="545">
        <v>23</v>
      </c>
      <c r="L43" s="545">
        <v>5</v>
      </c>
      <c r="M43" s="545" t="str">
        <v>0</v>
      </c>
      <c r="N43" s="545">
        <v>26</v>
      </c>
      <c r="O43" s="545">
        <v>31</v>
      </c>
      <c r="P43" s="545">
        <v>25</v>
      </c>
      <c r="Q43" s="545">
        <v>27</v>
      </c>
      <c r="R43" s="545">
        <v>9</v>
      </c>
      <c r="S43" s="545">
        <v>30</v>
      </c>
      <c r="T43" s="545" t="str">
        <v>0</v>
      </c>
      <c r="U43" s="545">
        <v>1</v>
      </c>
      <c r="V43" s="545">
        <v>23</v>
      </c>
      <c r="W43" s="545">
        <v>9</v>
      </c>
      <c r="X43" s="545">
        <v>19</v>
      </c>
      <c r="Y43" s="545">
        <v>11</v>
      </c>
      <c r="Z43" s="545" t="str">
        <v>0</v>
      </c>
      <c r="AA43" s="545" t="str">
        <v>0</v>
      </c>
      <c r="AB43" s="545">
        <v>25</v>
      </c>
      <c r="AC43" s="545">
        <v>27</v>
      </c>
      <c r="AD43" s="545">
        <v>16</v>
      </c>
      <c r="AE43" s="545">
        <v>24</v>
      </c>
      <c r="AF43" s="545">
        <v>23</v>
      </c>
      <c r="AG43" s="545"/>
      <c r="AH43" s="546">
        <f>SUM($B43:AF43)</f>
        <v>525</v>
      </c>
      <c r="AI43" s="547"/>
      <c r="AJ43" s="477"/>
      <c r="AK43" s="284"/>
      <c r="AL43" s="488"/>
      <c r="AM43" s="284"/>
      <c r="AN43" s="284"/>
      <c r="AO43" s="284"/>
      <c r="AP43" s="284"/>
      <c r="AQ43" s="284"/>
      <c r="AR43" s="284"/>
      <c r="AS43" s="284"/>
      <c r="AT43" s="284"/>
      <c r="AU43" s="284"/>
      <c r="AV43" s="284"/>
      <c r="AW43" s="284"/>
      <c r="AX43" s="284"/>
      <c r="AY43" s="284"/>
      <c r="AZ43" s="284"/>
      <c r="BA43" s="284"/>
      <c r="BB43" s="284"/>
      <c r="BC43" s="284"/>
      <c r="BD43" s="284"/>
      <c r="BE43" s="284"/>
      <c r="BF43" s="284"/>
      <c r="BG43" s="284"/>
      <c r="BH43" s="470"/>
      <c r="BI43" s="470"/>
      <c r="BJ43" s="470"/>
      <c r="BK43" s="470"/>
      <c r="BL43" s="470"/>
      <c r="BM43" s="470"/>
      <c r="BN43" s="470"/>
      <c r="BO43" s="470"/>
      <c r="BP43" s="470"/>
      <c r="BQ43" s="470"/>
      <c r="BR43" s="470"/>
      <c r="BS43" s="470"/>
      <c r="BT43" s="470"/>
      <c r="BU43" s="470"/>
      <c r="BV43" s="470"/>
      <c r="BW43" s="470"/>
      <c r="BX43" s="470"/>
      <c r="BY43" s="470"/>
      <c r="BZ43" s="470"/>
      <c r="CA43" s="470"/>
      <c r="CB43" s="470"/>
      <c r="CC43" s="470"/>
      <c r="CD43" s="470"/>
      <c r="CE43" s="470"/>
      <c r="CF43" s="470"/>
      <c r="CG43" s="470"/>
      <c r="CH43" s="470"/>
      <c r="CI43" s="470"/>
      <c r="CJ43" s="470"/>
      <c r="CK43" s="470"/>
      <c r="CL43" s="470"/>
      <c r="CM43" s="470"/>
      <c r="CN43" s="470"/>
      <c r="CO43" s="470"/>
      <c r="CP43" s="470"/>
      <c r="CQ43" s="470"/>
      <c r="CR43" s="470"/>
      <c r="CS43" s="470"/>
      <c r="CT43" s="470"/>
      <c r="CU43" s="470"/>
      <c r="CV43" s="470"/>
      <c r="CW43" s="470"/>
      <c r="CX43" s="470"/>
      <c r="CY43" s="470"/>
      <c r="CZ43" s="470"/>
      <c r="DA43" s="470"/>
      <c r="DB43" s="470"/>
      <c r="DC43" s="470"/>
      <c r="DD43" s="470"/>
      <c r="DE43" s="470"/>
      <c r="DF43" s="470"/>
      <c r="DG43" s="470"/>
      <c r="DH43" s="470"/>
      <c r="DI43" s="470"/>
      <c r="DJ43" s="470"/>
      <c r="DK43" s="470"/>
      <c r="DL43" s="470"/>
      <c r="DM43" s="470"/>
      <c r="DN43" s="470"/>
      <c r="DO43" s="470"/>
      <c r="DP43" s="470"/>
      <c r="DQ43" s="470"/>
      <c r="DR43" s="470"/>
      <c r="DS43" s="470"/>
      <c r="DT43" s="470"/>
      <c r="DU43" s="470"/>
      <c r="DV43" s="470"/>
      <c r="DW43" s="470"/>
      <c r="DX43" s="470"/>
      <c r="DY43" s="470"/>
      <c r="DZ43" s="470"/>
      <c r="EA43" s="470"/>
      <c r="EB43" s="470"/>
      <c r="EC43" s="470"/>
      <c r="ED43" s="470"/>
      <c r="EE43" s="470"/>
      <c r="EF43" s="470"/>
      <c r="EG43" s="470"/>
      <c r="EH43" s="470"/>
      <c r="EI43" s="470"/>
      <c r="EJ43" s="470"/>
      <c r="EK43" s="470"/>
      <c r="EL43" s="470"/>
      <c r="EM43" s="470"/>
      <c r="EN43" s="470"/>
      <c r="EO43" s="470"/>
      <c r="EP43" s="470"/>
      <c r="EQ43" s="470"/>
      <c r="ER43" s="470"/>
      <c r="ES43" s="470"/>
    </row>
    <row r="44" spans="1:149" s="507" customFormat="1" x14ac:dyDescent="0.35">
      <c r="A44" s="510" t="s">
        <v>127</v>
      </c>
      <c r="B44" s="543">
        <f>+'Water '!$M7</f>
        <v>3</v>
      </c>
      <c r="C44" s="511">
        <f>+'Water '!$M8</f>
        <v>7</v>
      </c>
      <c r="D44" s="511">
        <f>+'Water '!$M9</f>
        <v>2</v>
      </c>
      <c r="E44" s="511">
        <f>+'Water '!$M10</f>
        <v>36</v>
      </c>
      <c r="F44" s="511">
        <f>+'Water '!$M11</f>
        <v>3</v>
      </c>
      <c r="G44" s="511">
        <f>+'Water '!$M12</f>
        <v>6</v>
      </c>
      <c r="H44" s="511">
        <f>+'Water '!$M13</f>
        <v>7</v>
      </c>
      <c r="I44" s="511">
        <f>+'Water '!$M14</f>
        <v>5</v>
      </c>
      <c r="J44" s="511" t="str">
        <f>+'Water '!$M15</f>
        <v>0</v>
      </c>
      <c r="K44" s="511">
        <f>+'Water '!$M16</f>
        <v>2</v>
      </c>
      <c r="L44" s="511" t="str">
        <f>+'Water '!$M17</f>
        <v>0</v>
      </c>
      <c r="M44" s="511" t="str">
        <f>+'Water '!$M18</f>
        <v>0</v>
      </c>
      <c r="N44" s="511">
        <f>+'Water '!$M19</f>
        <v>5</v>
      </c>
      <c r="O44" s="511">
        <f>+'Water '!$M20</f>
        <v>3</v>
      </c>
      <c r="P44" s="511">
        <f>+'Water '!$M21</f>
        <v>3</v>
      </c>
      <c r="Q44" s="511">
        <f>+'Water '!$M22</f>
        <v>1</v>
      </c>
      <c r="R44" s="511">
        <f>+'Water '!$M23</f>
        <v>2</v>
      </c>
      <c r="S44" s="511" t="str">
        <f>+'Water '!$M24</f>
        <v>0</v>
      </c>
      <c r="T44" s="511" t="str">
        <f>+'Water '!$M25</f>
        <v>0</v>
      </c>
      <c r="U44" s="511">
        <f>+'Water '!$M26</f>
        <v>4</v>
      </c>
      <c r="V44" s="511">
        <f>+'Water '!$M27</f>
        <v>5</v>
      </c>
      <c r="W44" s="511">
        <f>+'Water '!$M28</f>
        <v>2</v>
      </c>
      <c r="X44" s="511">
        <f>+'Water '!$M29</f>
        <v>2</v>
      </c>
      <c r="Y44" s="511">
        <f>+'Water '!$M30</f>
        <v>3</v>
      </c>
      <c r="Z44" s="511" t="str">
        <f>+'Water '!$M31</f>
        <v>0</v>
      </c>
      <c r="AA44" s="511" t="str">
        <f>+'Water '!$M32</f>
        <v>0</v>
      </c>
      <c r="AB44" s="511">
        <f>+'Water '!$M33</f>
        <v>2</v>
      </c>
      <c r="AC44" s="511">
        <f>+'Water '!$M34</f>
        <v>1</v>
      </c>
      <c r="AD44" s="511">
        <f>+'Water '!$M35</f>
        <v>3</v>
      </c>
      <c r="AE44" s="511">
        <f>+'Water '!$M36</f>
        <v>6</v>
      </c>
      <c r="AF44" s="511">
        <f>+'Water '!$M37</f>
        <v>2</v>
      </c>
      <c r="AG44" s="511"/>
      <c r="AH44" s="487">
        <f>SUM($B44:AF44)</f>
        <v>115</v>
      </c>
      <c r="AI44" s="487"/>
      <c r="AJ44" s="284"/>
      <c r="AK44" s="284"/>
      <c r="AL44" s="284"/>
      <c r="AM44" s="284"/>
      <c r="AN44" s="284"/>
      <c r="AO44" s="284"/>
      <c r="AP44" s="284"/>
      <c r="AQ44" s="284"/>
      <c r="AR44" s="284"/>
      <c r="AS44" s="284"/>
      <c r="AT44" s="284"/>
      <c r="AU44" s="284"/>
      <c r="AV44" s="284"/>
      <c r="AW44" s="284"/>
      <c r="AX44" s="284"/>
      <c r="AY44" s="284"/>
      <c r="AZ44" s="284"/>
      <c r="BA44" s="284"/>
      <c r="BB44" s="284"/>
      <c r="BC44" s="284"/>
      <c r="BD44" s="284"/>
      <c r="BE44" s="284"/>
      <c r="BF44" s="284"/>
      <c r="BG44" s="284"/>
      <c r="BH44" s="470"/>
      <c r="BI44" s="470"/>
      <c r="BJ44" s="470"/>
      <c r="BK44" s="470"/>
      <c r="BL44" s="470"/>
      <c r="BM44" s="470"/>
      <c r="BN44" s="470"/>
      <c r="BO44" s="470"/>
      <c r="BP44" s="470"/>
      <c r="BQ44" s="470"/>
      <c r="BR44" s="470"/>
      <c r="BS44" s="470"/>
      <c r="BT44" s="470"/>
      <c r="BU44" s="470"/>
      <c r="BV44" s="470"/>
      <c r="BW44" s="470"/>
      <c r="BX44" s="470"/>
      <c r="BY44" s="470"/>
      <c r="BZ44" s="470"/>
      <c r="CA44" s="470"/>
      <c r="CB44" s="470"/>
      <c r="CC44" s="470"/>
      <c r="CD44" s="470"/>
      <c r="CE44" s="470"/>
      <c r="CF44" s="470"/>
      <c r="CG44" s="470"/>
      <c r="CH44" s="470"/>
      <c r="CI44" s="470"/>
      <c r="CJ44" s="470"/>
      <c r="CK44" s="470"/>
      <c r="CL44" s="470"/>
      <c r="CM44" s="470"/>
      <c r="CN44" s="470"/>
      <c r="CO44" s="470"/>
      <c r="CP44" s="470"/>
      <c r="CQ44" s="470"/>
      <c r="CR44" s="470"/>
      <c r="CS44" s="470"/>
      <c r="CT44" s="470"/>
      <c r="CU44" s="470"/>
      <c r="CV44" s="470"/>
      <c r="CW44" s="470"/>
      <c r="CX44" s="470"/>
      <c r="CY44" s="470"/>
      <c r="CZ44" s="470"/>
      <c r="DA44" s="470"/>
      <c r="DB44" s="470"/>
      <c r="DC44" s="470"/>
      <c r="DD44" s="470"/>
      <c r="DE44" s="470"/>
      <c r="DF44" s="470"/>
      <c r="DG44" s="470"/>
      <c r="DH44" s="470"/>
      <c r="DI44" s="470"/>
      <c r="DJ44" s="470"/>
      <c r="DK44" s="470"/>
      <c r="DL44" s="470"/>
      <c r="DM44" s="470"/>
      <c r="DN44" s="470"/>
      <c r="DO44" s="470"/>
      <c r="DP44" s="470"/>
      <c r="DQ44" s="470"/>
      <c r="DR44" s="470"/>
      <c r="DS44" s="470"/>
      <c r="DT44" s="470"/>
      <c r="DU44" s="470"/>
      <c r="DV44" s="470"/>
      <c r="DW44" s="470"/>
      <c r="DX44" s="470"/>
      <c r="DY44" s="470"/>
      <c r="DZ44" s="470"/>
      <c r="EA44" s="470"/>
      <c r="EB44" s="470"/>
      <c r="EC44" s="470"/>
      <c r="ED44" s="470"/>
      <c r="EE44" s="470"/>
      <c r="EF44" s="470"/>
      <c r="EG44" s="470"/>
      <c r="EH44" s="470"/>
      <c r="EI44" s="470"/>
      <c r="EJ44" s="470"/>
      <c r="EK44" s="470"/>
      <c r="EL44" s="470"/>
      <c r="EM44" s="470"/>
      <c r="EN44" s="470"/>
      <c r="EO44" s="470"/>
      <c r="EP44" s="470"/>
      <c r="EQ44" s="470"/>
      <c r="ER44" s="470"/>
      <c r="ES44" s="470"/>
    </row>
    <row r="45" spans="1:149" s="507" customFormat="1" ht="35.25" customHeight="1" x14ac:dyDescent="0.35">
      <c r="A45" s="541" t="s">
        <v>129</v>
      </c>
      <c r="B45" s="542">
        <f>+'Water '!$Q7</f>
        <v>15</v>
      </c>
      <c r="C45" s="542">
        <f>+'Water '!$Q8</f>
        <v>18</v>
      </c>
      <c r="D45" s="542">
        <f>+'Water '!$Q9</f>
        <v>17</v>
      </c>
      <c r="E45" s="542">
        <f>+'Water '!$Q10</f>
        <v>6</v>
      </c>
      <c r="F45" s="542">
        <f>+'Water '!$Q11</f>
        <v>14</v>
      </c>
      <c r="G45" s="542">
        <f>+'Water '!$Q12</f>
        <v>27</v>
      </c>
      <c r="H45" s="542">
        <f>+'Water '!$Q13</f>
        <v>29</v>
      </c>
      <c r="I45" s="542">
        <f>+'Water '!$Q14</f>
        <v>32</v>
      </c>
      <c r="J45" s="542">
        <f>+'Water '!$Q15</f>
        <v>28</v>
      </c>
      <c r="K45" s="542">
        <f>+'Water '!$Q16</f>
        <v>33</v>
      </c>
      <c r="L45" s="542">
        <f>+'Water '!$Q17</f>
        <v>13</v>
      </c>
      <c r="M45" s="542">
        <f>+'Water '!$Q18</f>
        <v>15</v>
      </c>
      <c r="N45" s="542">
        <f>+'Water '!$Q19</f>
        <v>17</v>
      </c>
      <c r="O45" s="542">
        <f>'Water '!$Q20</f>
        <v>24</v>
      </c>
      <c r="P45" s="542">
        <f>'Water '!$Q21</f>
        <v>21</v>
      </c>
      <c r="Q45" s="542">
        <f>+'Water '!$Q22</f>
        <v>19</v>
      </c>
      <c r="R45" s="542">
        <f>'Water '!$Q23</f>
        <v>19</v>
      </c>
      <c r="S45" s="542">
        <f>+'Water '!$Q24</f>
        <v>7</v>
      </c>
      <c r="T45" s="542">
        <f>+'Water '!$Q25</f>
        <v>12</v>
      </c>
      <c r="U45" s="542">
        <f>+'Water '!$Q26</f>
        <v>22</v>
      </c>
      <c r="V45" s="542">
        <f>+'Water '!$Q27</f>
        <v>24</v>
      </c>
      <c r="W45" s="542">
        <f>+'Water '!$Q28</f>
        <v>1</v>
      </c>
      <c r="X45" s="542">
        <f>+'Water '!$Q29</f>
        <v>40</v>
      </c>
      <c r="Y45" s="542">
        <f>+'Water '!$Q30</f>
        <v>18</v>
      </c>
      <c r="Z45" s="542">
        <f>+'Water '!$Q31</f>
        <v>3</v>
      </c>
      <c r="AA45" s="542">
        <f>+'Water '!$Q32</f>
        <v>24</v>
      </c>
      <c r="AB45" s="542">
        <f>+'Water '!$Q33</f>
        <v>1</v>
      </c>
      <c r="AC45" s="542">
        <f>+'Water '!$Q34</f>
        <v>23</v>
      </c>
      <c r="AD45" s="542">
        <f>+'Water '!$Q35</f>
        <v>25</v>
      </c>
      <c r="AE45" s="542">
        <f>+'Water '!$Q36</f>
        <v>25</v>
      </c>
      <c r="AF45" s="542">
        <f>+'Water '!$Q37</f>
        <v>22</v>
      </c>
      <c r="AG45" s="542"/>
      <c r="AH45" s="517">
        <f>SUM($B45:AF45)</f>
        <v>594</v>
      </c>
      <c r="AI45" s="517"/>
      <c r="AJ45" s="517"/>
      <c r="AK45" s="284"/>
      <c r="AL45" s="284"/>
      <c r="AM45" s="284"/>
      <c r="AN45" s="284"/>
      <c r="AO45" s="284"/>
      <c r="AP45" s="284"/>
      <c r="AQ45" s="284"/>
      <c r="AR45" s="284"/>
      <c r="AS45" s="284"/>
      <c r="AT45" s="284"/>
      <c r="AU45" s="284"/>
      <c r="AV45" s="284"/>
      <c r="AW45" s="284"/>
      <c r="AX45" s="284"/>
      <c r="AY45" s="284"/>
      <c r="AZ45" s="284"/>
      <c r="BA45" s="284"/>
      <c r="BB45" s="284"/>
      <c r="BC45" s="284"/>
      <c r="BD45" s="284"/>
      <c r="BE45" s="284"/>
      <c r="BF45" s="284"/>
      <c r="BG45" s="284"/>
      <c r="BH45" s="470"/>
      <c r="BI45" s="470"/>
      <c r="BJ45" s="470"/>
      <c r="BK45" s="470"/>
      <c r="BL45" s="470"/>
      <c r="BM45" s="470"/>
      <c r="BN45" s="470"/>
      <c r="BO45" s="470"/>
      <c r="BP45" s="470"/>
      <c r="BQ45" s="470"/>
      <c r="BR45" s="470"/>
      <c r="BS45" s="470"/>
      <c r="BT45" s="470"/>
      <c r="BU45" s="470"/>
      <c r="BV45" s="470"/>
      <c r="BW45" s="470"/>
      <c r="BX45" s="470"/>
      <c r="BY45" s="470"/>
      <c r="BZ45" s="470"/>
      <c r="CA45" s="470"/>
      <c r="CB45" s="470"/>
      <c r="CC45" s="470"/>
      <c r="CD45" s="470"/>
      <c r="CE45" s="470"/>
      <c r="CF45" s="470"/>
      <c r="CG45" s="470"/>
      <c r="CH45" s="470"/>
      <c r="CI45" s="470"/>
      <c r="CJ45" s="470"/>
      <c r="CK45" s="470"/>
      <c r="CL45" s="470"/>
      <c r="CM45" s="470"/>
      <c r="CN45" s="470"/>
      <c r="CO45" s="470"/>
      <c r="CP45" s="470"/>
      <c r="CQ45" s="470"/>
      <c r="CR45" s="470"/>
      <c r="CS45" s="470"/>
      <c r="CT45" s="470"/>
      <c r="CU45" s="470"/>
      <c r="CV45" s="470"/>
      <c r="CW45" s="470"/>
      <c r="CX45" s="470"/>
      <c r="CY45" s="470"/>
      <c r="CZ45" s="470"/>
      <c r="DA45" s="470"/>
      <c r="DB45" s="470"/>
      <c r="DC45" s="470"/>
      <c r="DD45" s="470"/>
      <c r="DE45" s="470"/>
      <c r="DF45" s="470"/>
      <c r="DG45" s="470"/>
      <c r="DH45" s="470"/>
      <c r="DI45" s="470"/>
      <c r="DJ45" s="470"/>
      <c r="DK45" s="470"/>
      <c r="DL45" s="470"/>
      <c r="DM45" s="470"/>
      <c r="DN45" s="470"/>
      <c r="DO45" s="470"/>
      <c r="DP45" s="470"/>
      <c r="DQ45" s="470"/>
      <c r="DR45" s="470"/>
      <c r="DS45" s="470"/>
      <c r="DT45" s="470"/>
      <c r="DU45" s="470"/>
      <c r="DV45" s="470"/>
      <c r="DW45" s="470"/>
      <c r="DX45" s="470"/>
      <c r="DY45" s="470"/>
      <c r="DZ45" s="470"/>
      <c r="EA45" s="470"/>
      <c r="EB45" s="470"/>
      <c r="EC45" s="470"/>
      <c r="ED45" s="470"/>
      <c r="EE45" s="470"/>
      <c r="EF45" s="470"/>
      <c r="EG45" s="470"/>
      <c r="EH45" s="470"/>
      <c r="EI45" s="470"/>
      <c r="EJ45" s="470"/>
      <c r="EK45" s="470"/>
      <c r="EL45" s="470"/>
      <c r="EM45" s="470"/>
      <c r="EN45" s="470"/>
      <c r="EO45" s="470"/>
      <c r="EP45" s="470"/>
      <c r="EQ45" s="470"/>
      <c r="ER45" s="470"/>
      <c r="ES45" s="470"/>
    </row>
    <row r="46" spans="1:149" s="507" customFormat="1" x14ac:dyDescent="0.35">
      <c r="A46" s="525" t="s">
        <v>201</v>
      </c>
      <c r="B46" s="488" t="str">
        <f>'Water '!Y7</f>
        <v>0</v>
      </c>
      <c r="C46" s="488" t="str">
        <f>'Water '!Y8</f>
        <v>0</v>
      </c>
      <c r="D46" s="488" t="str">
        <f>'Water '!Y9</f>
        <v>0</v>
      </c>
      <c r="E46" s="488" t="str">
        <f>'Water '!Y10</f>
        <v>0</v>
      </c>
      <c r="F46" s="488" t="str">
        <f>'Water '!Y11</f>
        <v>0</v>
      </c>
      <c r="G46" s="488" t="str">
        <f>'Water '!Y12</f>
        <v>0</v>
      </c>
      <c r="H46" s="488" t="str">
        <f>'Water '!Y13</f>
        <v>0</v>
      </c>
      <c r="I46" s="488" t="str">
        <f>'Water '!Y14</f>
        <v>0</v>
      </c>
      <c r="J46" s="488" t="str">
        <f>'Water '!Y15</f>
        <v>0</v>
      </c>
      <c r="K46" s="488" t="str">
        <f>'Water '!Y16</f>
        <v>0</v>
      </c>
      <c r="L46" s="488" t="str">
        <f>'Water '!Y17</f>
        <v>0</v>
      </c>
      <c r="M46" s="488" t="str">
        <f>'Water '!Y18</f>
        <v>0</v>
      </c>
      <c r="N46" s="488" t="str">
        <f>'Water '!Y19</f>
        <v>0</v>
      </c>
      <c r="O46" s="488" t="str">
        <f>'Water '!Y20</f>
        <v>0</v>
      </c>
      <c r="P46" s="488" t="str">
        <f>'Water '!Y21</f>
        <v>0</v>
      </c>
      <c r="Q46" s="488" t="str">
        <f>'Water '!Y22</f>
        <v>0</v>
      </c>
      <c r="R46" s="488" t="str">
        <f>'Water '!Y23</f>
        <v>0</v>
      </c>
      <c r="S46" s="488" t="str">
        <f>'Water '!Y24</f>
        <v>0</v>
      </c>
      <c r="T46" s="488" t="str">
        <f>'Water '!Y25</f>
        <v>0</v>
      </c>
      <c r="U46" s="488" t="str">
        <f>'Water '!Y26</f>
        <v>0</v>
      </c>
      <c r="V46" s="488" t="str">
        <f>'Water '!Y27</f>
        <v>0</v>
      </c>
      <c r="W46" s="488" t="str">
        <f>'Water '!Y28</f>
        <v>0</v>
      </c>
      <c r="X46" s="488" t="str">
        <f>'Water '!Y29</f>
        <v>0</v>
      </c>
      <c r="Y46" s="488" t="str">
        <f>'Water '!Y30</f>
        <v>0</v>
      </c>
      <c r="Z46" s="488" t="str">
        <f>'Water '!Y31</f>
        <v>0</v>
      </c>
      <c r="AA46" s="488" t="str">
        <f>'Water '!Y32</f>
        <v>0</v>
      </c>
      <c r="AB46" s="488" t="str">
        <f>'Water '!Y33</f>
        <v>0</v>
      </c>
      <c r="AC46" s="488" t="str">
        <f>'Water '!Y34</f>
        <v>0</v>
      </c>
      <c r="AD46" s="488" t="str">
        <f>'Water '!Y35</f>
        <v>0</v>
      </c>
      <c r="AE46" s="488" t="str">
        <f>'Water '!Y36</f>
        <v>0</v>
      </c>
      <c r="AF46" s="488" t="str">
        <f>'Water '!Y37</f>
        <v>0</v>
      </c>
      <c r="AG46" s="488"/>
      <c r="AH46" s="487">
        <f>SUM($B46:AF46)</f>
        <v>0</v>
      </c>
      <c r="AI46" s="487"/>
      <c r="AJ46" s="284"/>
      <c r="AK46" s="284"/>
      <c r="AL46" s="284"/>
      <c r="AM46" s="284"/>
      <c r="AN46" s="284"/>
      <c r="AO46" s="284"/>
      <c r="AP46" s="284"/>
      <c r="AQ46" s="284"/>
      <c r="AR46" s="284"/>
      <c r="AS46" s="284"/>
      <c r="AT46" s="284"/>
      <c r="AU46" s="284"/>
      <c r="AV46" s="284"/>
      <c r="AW46" s="284"/>
      <c r="AX46" s="284"/>
      <c r="AY46" s="284"/>
      <c r="AZ46" s="284"/>
      <c r="BA46" s="284"/>
      <c r="BB46" s="284"/>
      <c r="BC46" s="284"/>
      <c r="BD46" s="284"/>
      <c r="BE46" s="284"/>
      <c r="BF46" s="284"/>
      <c r="BG46" s="284"/>
      <c r="BH46" s="470"/>
      <c r="BI46" s="470"/>
      <c r="BJ46" s="470"/>
      <c r="BK46" s="470"/>
      <c r="BL46" s="470"/>
      <c r="BM46" s="470"/>
      <c r="BN46" s="470"/>
      <c r="BO46" s="470"/>
      <c r="BP46" s="470"/>
      <c r="BQ46" s="470"/>
      <c r="BR46" s="470"/>
      <c r="BS46" s="470"/>
      <c r="BT46" s="470"/>
      <c r="BU46" s="470"/>
      <c r="BV46" s="470"/>
      <c r="BW46" s="470"/>
      <c r="BX46" s="470"/>
      <c r="BY46" s="470"/>
      <c r="BZ46" s="470"/>
      <c r="CA46" s="470"/>
      <c r="CB46" s="470"/>
      <c r="CC46" s="470"/>
      <c r="CD46" s="470"/>
      <c r="CE46" s="470"/>
      <c r="CF46" s="470"/>
      <c r="CG46" s="470"/>
      <c r="CH46" s="470"/>
      <c r="CI46" s="470"/>
      <c r="CJ46" s="470"/>
      <c r="CK46" s="470"/>
      <c r="CL46" s="470"/>
      <c r="CM46" s="470"/>
      <c r="CN46" s="470"/>
      <c r="CO46" s="470"/>
      <c r="CP46" s="470"/>
      <c r="CQ46" s="470"/>
      <c r="CR46" s="470"/>
      <c r="CS46" s="470"/>
      <c r="CT46" s="470"/>
      <c r="CU46" s="470"/>
      <c r="CV46" s="470"/>
      <c r="CW46" s="470"/>
      <c r="CX46" s="470"/>
      <c r="CY46" s="470"/>
      <c r="CZ46" s="470"/>
      <c r="DA46" s="470"/>
      <c r="DB46" s="470"/>
      <c r="DC46" s="470"/>
      <c r="DD46" s="470"/>
      <c r="DE46" s="470"/>
      <c r="DF46" s="470"/>
      <c r="DG46" s="470"/>
      <c r="DH46" s="470"/>
      <c r="DI46" s="470"/>
      <c r="DJ46" s="470"/>
      <c r="DK46" s="470"/>
      <c r="DL46" s="470"/>
      <c r="DM46" s="470"/>
      <c r="DN46" s="470"/>
      <c r="DO46" s="470"/>
      <c r="DP46" s="470"/>
      <c r="DQ46" s="470"/>
      <c r="DR46" s="470"/>
      <c r="DS46" s="470"/>
      <c r="DT46" s="470"/>
      <c r="DU46" s="470"/>
      <c r="DV46" s="470"/>
      <c r="DW46" s="470"/>
      <c r="DX46" s="470"/>
      <c r="DY46" s="470"/>
      <c r="DZ46" s="470"/>
      <c r="EA46" s="470"/>
      <c r="EB46" s="470"/>
      <c r="EC46" s="470"/>
      <c r="ED46" s="470"/>
      <c r="EE46" s="470"/>
      <c r="EF46" s="470"/>
      <c r="EG46" s="470"/>
      <c r="EH46" s="470"/>
      <c r="EI46" s="470"/>
      <c r="EJ46" s="470"/>
      <c r="EK46" s="470"/>
      <c r="EL46" s="470"/>
      <c r="EM46" s="470"/>
      <c r="EN46" s="470"/>
      <c r="EO46" s="470"/>
      <c r="EP46" s="470"/>
      <c r="EQ46" s="470"/>
      <c r="ER46" s="470"/>
      <c r="ES46" s="470"/>
    </row>
    <row r="47" spans="1:149" x14ac:dyDescent="0.35">
      <c r="A47" s="525" t="s">
        <v>187</v>
      </c>
      <c r="B47" s="488">
        <f>'Water '!I7</f>
        <v>0</v>
      </c>
      <c r="C47" s="488">
        <f>'Water '!I8</f>
        <v>0</v>
      </c>
      <c r="D47" s="488">
        <f>'Water '!I9</f>
        <v>0</v>
      </c>
      <c r="E47" s="488">
        <f>'Water '!I10</f>
        <v>0</v>
      </c>
      <c r="F47" s="488">
        <f>'Water '!I11</f>
        <v>0</v>
      </c>
      <c r="G47" s="488">
        <f>'Water '!I12</f>
        <v>0</v>
      </c>
      <c r="H47" s="488">
        <f>'Water '!I13</f>
        <v>0</v>
      </c>
      <c r="I47" s="488">
        <f>'Water '!I14</f>
        <v>0</v>
      </c>
      <c r="J47" s="488">
        <f>'Water '!I15</f>
        <v>0</v>
      </c>
      <c r="K47" s="488">
        <f>'Water '!I16</f>
        <v>0</v>
      </c>
      <c r="L47" s="488">
        <f>'Water '!I17</f>
        <v>0</v>
      </c>
      <c r="M47" s="488">
        <f>'Water '!I18</f>
        <v>0</v>
      </c>
      <c r="N47" s="488">
        <f>'Water '!I19</f>
        <v>0</v>
      </c>
      <c r="O47" s="488">
        <f>'Water '!I20</f>
        <v>0</v>
      </c>
      <c r="P47" s="488">
        <f>'Water '!I21</f>
        <v>0</v>
      </c>
      <c r="Q47" s="488">
        <f>'Water '!I22</f>
        <v>0</v>
      </c>
      <c r="R47" s="488">
        <f>'Water '!I23</f>
        <v>0</v>
      </c>
      <c r="S47" s="488">
        <f>'Water '!I24</f>
        <v>0</v>
      </c>
      <c r="T47" s="488">
        <f>'Water '!I25</f>
        <v>0</v>
      </c>
      <c r="U47" s="488">
        <f>'Water '!I26</f>
        <v>0</v>
      </c>
      <c r="V47" s="488">
        <f>'Water '!I27</f>
        <v>0</v>
      </c>
      <c r="W47" s="488">
        <f>'Water '!I28</f>
        <v>0</v>
      </c>
      <c r="X47" s="488">
        <f>'Water '!I29</f>
        <v>0</v>
      </c>
      <c r="Y47" s="488">
        <f>'Water '!I30</f>
        <v>0</v>
      </c>
      <c r="Z47" s="488">
        <f>'Water '!I31</f>
        <v>0</v>
      </c>
      <c r="AA47" s="488">
        <f>'Water '!I32</f>
        <v>0</v>
      </c>
      <c r="AB47" s="488">
        <f>'Water '!I33</f>
        <v>0</v>
      </c>
      <c r="AC47" s="488">
        <f>'Water '!I34</f>
        <v>0</v>
      </c>
      <c r="AD47" s="488">
        <f>'Water '!I35</f>
        <v>0</v>
      </c>
      <c r="AE47" s="488">
        <f>'Water '!I36</f>
        <v>0</v>
      </c>
      <c r="AF47" s="488">
        <f>'Water '!I37</f>
        <v>0</v>
      </c>
      <c r="AG47" s="488"/>
      <c r="AH47" s="487">
        <f>SUM($B47:AF47)</f>
        <v>0</v>
      </c>
      <c r="AI47" s="487"/>
    </row>
    <row r="48" spans="1:149" ht="24" customHeight="1" x14ac:dyDescent="0.35">
      <c r="A48" s="525" t="s">
        <v>200</v>
      </c>
      <c r="B48" s="488"/>
      <c r="C48" s="488"/>
      <c r="D48" s="488"/>
      <c r="E48" s="488"/>
      <c r="F48" s="488"/>
      <c r="G48" s="488"/>
      <c r="H48" s="488"/>
      <c r="I48" s="488"/>
      <c r="J48" s="488"/>
      <c r="K48" s="488"/>
      <c r="L48" s="488"/>
      <c r="M48" s="488"/>
      <c r="N48" s="488"/>
      <c r="O48" s="488"/>
      <c r="P48" s="488"/>
      <c r="Q48" s="488"/>
      <c r="R48" s="488"/>
      <c r="S48" s="488"/>
      <c r="T48" s="488"/>
      <c r="U48" s="488"/>
      <c r="V48" s="488"/>
      <c r="W48" s="488"/>
      <c r="X48" s="488"/>
      <c r="Y48" s="488"/>
      <c r="Z48" s="488"/>
      <c r="AA48" s="488"/>
      <c r="AB48" s="488"/>
      <c r="AC48" s="488"/>
      <c r="AD48" s="488"/>
      <c r="AE48" s="488"/>
      <c r="AF48" s="488"/>
      <c r="AG48" s="488"/>
      <c r="AH48" s="487"/>
      <c r="AI48" s="487"/>
    </row>
    <row r="49" spans="1:59" x14ac:dyDescent="0.35">
      <c r="A49" s="525" t="s">
        <v>166</v>
      </c>
      <c r="B49" s="511"/>
      <c r="C49" s="511"/>
      <c r="D49" s="511"/>
      <c r="E49" s="511"/>
      <c r="F49" s="511"/>
      <c r="G49" s="511"/>
      <c r="H49" s="511"/>
      <c r="I49" s="511"/>
      <c r="J49" s="511"/>
      <c r="K49" s="511"/>
      <c r="L49" s="511"/>
      <c r="M49" s="511"/>
      <c r="N49" s="511"/>
      <c r="O49" s="511"/>
      <c r="P49" s="511"/>
      <c r="Q49" s="511"/>
      <c r="R49" s="511"/>
      <c r="S49" s="511"/>
      <c r="T49" s="511"/>
      <c r="U49" s="511"/>
      <c r="V49" s="511"/>
      <c r="W49" s="511"/>
      <c r="X49" s="511"/>
      <c r="Y49" s="511"/>
      <c r="Z49" s="511"/>
      <c r="AA49" s="511"/>
      <c r="AB49" s="511"/>
      <c r="AC49" s="511"/>
      <c r="AD49" s="511"/>
      <c r="AE49" s="511"/>
      <c r="AF49" s="511"/>
      <c r="AG49" s="511"/>
      <c r="AH49" s="487">
        <f>SUM($B49:AF49)</f>
        <v>0</v>
      </c>
      <c r="AI49" s="487"/>
      <c r="AJ49" s="487"/>
    </row>
    <row r="50" spans="1:59" ht="30" x14ac:dyDescent="0.4">
      <c r="A50" s="474" t="s">
        <v>222</v>
      </c>
      <c r="B50" s="487">
        <f>SUM(B36:B48)</f>
        <v>297</v>
      </c>
      <c r="C50" s="487">
        <f t="shared" ref="C50:AE50" si="10">SUM(C36:C48)</f>
        <v>408</v>
      </c>
      <c r="D50" s="487">
        <f t="shared" si="10"/>
        <v>287</v>
      </c>
      <c r="E50" s="487">
        <f t="shared" si="10"/>
        <v>111</v>
      </c>
      <c r="F50" s="487">
        <f t="shared" si="10"/>
        <v>60</v>
      </c>
      <c r="G50" s="487">
        <f>SUM(G36:G48)</f>
        <v>308</v>
      </c>
      <c r="H50" s="487">
        <f t="shared" si="10"/>
        <v>253</v>
      </c>
      <c r="I50" s="487">
        <f t="shared" si="10"/>
        <v>379</v>
      </c>
      <c r="J50" s="487">
        <f t="shared" si="10"/>
        <v>239</v>
      </c>
      <c r="K50" s="487">
        <f t="shared" si="10"/>
        <v>322</v>
      </c>
      <c r="L50" s="487">
        <f t="shared" si="10"/>
        <v>155</v>
      </c>
      <c r="M50" s="487">
        <f t="shared" si="10"/>
        <v>84</v>
      </c>
      <c r="N50" s="487">
        <f t="shared" si="10"/>
        <v>221</v>
      </c>
      <c r="O50" s="487">
        <f t="shared" si="10"/>
        <v>406</v>
      </c>
      <c r="P50" s="487">
        <f t="shared" si="10"/>
        <v>319</v>
      </c>
      <c r="Q50" s="487">
        <f>SUM(Q36:Q48)</f>
        <v>328</v>
      </c>
      <c r="R50" s="487">
        <f t="shared" si="10"/>
        <v>265</v>
      </c>
      <c r="S50" s="487">
        <f>SUM(S36:S48)</f>
        <v>106</v>
      </c>
      <c r="T50" s="487">
        <f t="shared" si="10"/>
        <v>96</v>
      </c>
      <c r="U50" s="487">
        <f t="shared" si="10"/>
        <v>265</v>
      </c>
      <c r="V50" s="487">
        <f t="shared" si="10"/>
        <v>455</v>
      </c>
      <c r="W50" s="487">
        <f t="shared" si="10"/>
        <v>236</v>
      </c>
      <c r="X50" s="487">
        <f t="shared" si="10"/>
        <v>421</v>
      </c>
      <c r="Y50" s="487">
        <f t="shared" si="10"/>
        <v>248</v>
      </c>
      <c r="Z50" s="487">
        <f t="shared" si="10"/>
        <v>35</v>
      </c>
      <c r="AA50" s="487">
        <f t="shared" si="10"/>
        <v>36</v>
      </c>
      <c r="AB50" s="487">
        <f t="shared" si="10"/>
        <v>252</v>
      </c>
      <c r="AC50" s="487">
        <f t="shared" si="10"/>
        <v>369</v>
      </c>
      <c r="AD50" s="487">
        <f>SUM(AD36:AD48)</f>
        <v>321</v>
      </c>
      <c r="AE50" s="487">
        <f t="shared" si="10"/>
        <v>394</v>
      </c>
      <c r="AF50" s="487">
        <f>SUM(AF36:AF48)</f>
        <v>379</v>
      </c>
      <c r="AG50" s="487"/>
      <c r="AH50" s="487">
        <f>SUM($B50:AF50)</f>
        <v>8055</v>
      </c>
      <c r="AI50" s="487"/>
    </row>
    <row r="51" spans="1:59" x14ac:dyDescent="0.35">
      <c r="A51" s="533"/>
      <c r="B51" s="487"/>
      <c r="C51" s="487"/>
      <c r="D51" s="487"/>
      <c r="E51" s="487"/>
      <c r="F51" s="487"/>
      <c r="G51" s="487"/>
      <c r="H51" s="487"/>
      <c r="I51" s="487"/>
      <c r="J51" s="523"/>
      <c r="K51" s="523"/>
      <c r="L51" s="523"/>
      <c r="M51" s="523"/>
      <c r="N51" s="523"/>
      <c r="O51" s="523"/>
      <c r="P51" s="523"/>
      <c r="Q51" s="523"/>
      <c r="R51" s="523"/>
      <c r="S51" s="523"/>
      <c r="T51" s="523"/>
      <c r="U51" s="523"/>
      <c r="V51" s="523"/>
      <c r="W51" s="523"/>
      <c r="X51" s="523"/>
      <c r="Y51" s="523"/>
      <c r="Z51" s="523"/>
      <c r="AA51" s="523"/>
      <c r="AB51" s="523"/>
      <c r="AC51" s="523"/>
      <c r="AD51" s="523"/>
      <c r="AE51" s="523"/>
      <c r="AH51" s="487"/>
      <c r="AI51" s="487"/>
    </row>
    <row r="52" spans="1:59" x14ac:dyDescent="0.35">
      <c r="A52" s="533"/>
      <c r="B52" s="487"/>
      <c r="C52" s="487"/>
      <c r="D52" s="487"/>
      <c r="E52" s="487"/>
      <c r="F52" s="487"/>
      <c r="G52" s="487"/>
      <c r="H52" s="487"/>
      <c r="I52" s="487"/>
      <c r="J52" s="523"/>
      <c r="K52" s="523"/>
      <c r="L52" s="523"/>
      <c r="M52" s="523"/>
      <c r="N52" s="523"/>
      <c r="O52" s="523"/>
      <c r="P52" s="523"/>
      <c r="Q52" s="523"/>
      <c r="R52" s="523"/>
      <c r="S52" s="523"/>
      <c r="T52" s="523"/>
      <c r="U52" s="523"/>
      <c r="V52" s="523"/>
      <c r="W52" s="523"/>
      <c r="X52" s="523"/>
      <c r="Y52" s="523"/>
      <c r="Z52" s="523"/>
      <c r="AA52" s="523"/>
      <c r="AB52" s="523"/>
      <c r="AC52" s="523"/>
      <c r="AD52" s="523"/>
      <c r="AE52" s="523"/>
      <c r="AH52" s="487"/>
      <c r="AI52" s="487"/>
    </row>
    <row r="53" spans="1:59" x14ac:dyDescent="0.35">
      <c r="A53" s="522" t="s">
        <v>140</v>
      </c>
      <c r="M53" s="472"/>
      <c r="O53" s="472" t="s">
        <v>58</v>
      </c>
      <c r="AH53" s="285" t="s">
        <v>85</v>
      </c>
      <c r="AI53" s="285" t="s">
        <v>153</v>
      </c>
      <c r="AJ53" s="285" t="s">
        <v>202</v>
      </c>
    </row>
    <row r="54" spans="1:59" x14ac:dyDescent="0.35">
      <c r="A54" s="510" t="s">
        <v>228</v>
      </c>
      <c r="B54" s="548">
        <f t="shared" ref="B54:G54" si="11">IF(B$9=0,"",+(B36*10)/B$9)</f>
        <v>3.2636439389893552</v>
      </c>
      <c r="C54" s="548">
        <f t="shared" si="11"/>
        <v>4.336099764983393</v>
      </c>
      <c r="D54" s="548">
        <f t="shared" si="11"/>
        <v>2.8449733385355702</v>
      </c>
      <c r="E54" s="548" t="str">
        <f t="shared" si="11"/>
        <v/>
      </c>
      <c r="F54" s="548" t="str">
        <f t="shared" si="11"/>
        <v/>
      </c>
      <c r="G54" s="548">
        <f t="shared" si="11"/>
        <v>2.5560878709978967</v>
      </c>
      <c r="H54" s="548">
        <f t="shared" ref="H54:AF54" si="12">IF(H$9=0,"",+(H36*10)/H$9)</f>
        <v>6.4798932723461018</v>
      </c>
      <c r="I54" s="548">
        <f t="shared" si="12"/>
        <v>5.1496039582935165</v>
      </c>
      <c r="J54" s="548">
        <f t="shared" si="12"/>
        <v>2.0135933037180225</v>
      </c>
      <c r="K54" s="548">
        <f t="shared" si="12"/>
        <v>4.6866248299669646</v>
      </c>
      <c r="L54" s="548" t="str">
        <f t="shared" si="12"/>
        <v/>
      </c>
      <c r="M54" s="548" t="str">
        <f t="shared" si="12"/>
        <v/>
      </c>
      <c r="N54" s="548">
        <f t="shared" si="12"/>
        <v>0.85948627277638612</v>
      </c>
      <c r="O54" s="548">
        <f t="shared" si="12"/>
        <v>3.4130258296469336</v>
      </c>
      <c r="P54" s="548">
        <f t="shared" si="12"/>
        <v>3.894924732514109</v>
      </c>
      <c r="Q54" s="548">
        <f t="shared" si="12"/>
        <v>3.881384878124515</v>
      </c>
      <c r="R54" s="548">
        <f t="shared" si="12"/>
        <v>22.796775090353073</v>
      </c>
      <c r="S54" s="548" t="str">
        <f t="shared" si="12"/>
        <v/>
      </c>
      <c r="T54" s="548" t="str">
        <f t="shared" si="12"/>
        <v/>
      </c>
      <c r="U54" s="548">
        <f t="shared" si="12"/>
        <v>2.3839366905060335</v>
      </c>
      <c r="V54" s="548">
        <f t="shared" si="12"/>
        <v>4.7186032934251463</v>
      </c>
      <c r="W54" s="548">
        <f t="shared" si="12"/>
        <v>7.0104762186873621</v>
      </c>
      <c r="X54" s="548">
        <f t="shared" si="12"/>
        <v>10.00826938087841</v>
      </c>
      <c r="Y54" s="548">
        <f>IF(Y$9=0,"",+(Y36*10)/Y$9)</f>
        <v>13.061650992685475</v>
      </c>
      <c r="Z54" s="548" t="str">
        <f t="shared" si="12"/>
        <v/>
      </c>
      <c r="AA54" s="548" t="str">
        <f t="shared" si="12"/>
        <v/>
      </c>
      <c r="AB54" s="548">
        <f t="shared" si="12"/>
        <v>2.2679454600103832</v>
      </c>
      <c r="AC54" s="548">
        <f>IF(AC$9=0,"",+(AC36*10)/AC$9)</f>
        <v>2.4297248803827749</v>
      </c>
      <c r="AD54" s="548">
        <f t="shared" si="12"/>
        <v>3.9469896078085385</v>
      </c>
      <c r="AE54" s="548">
        <f t="shared" si="12"/>
        <v>2.8012644578202077</v>
      </c>
      <c r="AF54" s="548">
        <f t="shared" si="12"/>
        <v>3.8114495945821245</v>
      </c>
      <c r="AG54" s="548"/>
      <c r="AH54" s="549">
        <f>+(AH36*10)/AH$9</f>
        <v>4.2570495808371742</v>
      </c>
      <c r="AI54" s="844">
        <v>3.2</v>
      </c>
      <c r="AJ54" s="550">
        <f t="shared" ref="AJ54:AJ67" si="13">AI54-AH54</f>
        <v>-1.057049580837174</v>
      </c>
    </row>
    <row r="55" spans="1:59" s="556" customFormat="1" ht="25.5" customHeight="1" x14ac:dyDescent="0.35">
      <c r="A55" s="551" t="s">
        <v>172</v>
      </c>
      <c r="B55" s="552"/>
      <c r="C55" s="552"/>
      <c r="D55" s="552"/>
      <c r="E55" s="552"/>
      <c r="F55" s="552"/>
      <c r="G55" s="552"/>
      <c r="H55" s="552"/>
      <c r="I55" s="552"/>
      <c r="J55" s="552"/>
      <c r="K55" s="552"/>
      <c r="L55" s="552"/>
      <c r="M55" s="552"/>
      <c r="N55" s="552"/>
      <c r="O55" s="552"/>
      <c r="P55" s="552"/>
      <c r="Q55" s="552"/>
      <c r="R55" s="552"/>
      <c r="S55" s="552"/>
      <c r="T55" s="552"/>
      <c r="U55" s="552"/>
      <c r="V55" s="552"/>
      <c r="W55" s="552"/>
      <c r="X55" s="552"/>
      <c r="Y55" s="552"/>
      <c r="Z55" s="552"/>
      <c r="AA55" s="552"/>
      <c r="AB55" s="552"/>
      <c r="AC55" s="552"/>
      <c r="AD55" s="552"/>
      <c r="AE55" s="552"/>
      <c r="AF55" s="552"/>
      <c r="AG55" s="552"/>
      <c r="AH55" s="553">
        <f t="shared" ref="AH55:AH62" si="14">+(AH37*10)/AH$9</f>
        <v>0</v>
      </c>
      <c r="AI55" s="553">
        <v>0.1</v>
      </c>
      <c r="AJ55" s="554">
        <f t="shared" si="13"/>
        <v>0.1</v>
      </c>
      <c r="AK55" s="555"/>
      <c r="AL55" s="477"/>
      <c r="AM55" s="555"/>
      <c r="AN55" s="555"/>
      <c r="AO55" s="555"/>
      <c r="AP55" s="555"/>
      <c r="AQ55" s="555"/>
      <c r="AR55" s="555"/>
      <c r="AS55" s="555"/>
      <c r="AT55" s="555"/>
      <c r="AU55" s="555"/>
      <c r="AV55" s="555"/>
      <c r="AW55" s="555"/>
      <c r="AX55" s="555"/>
      <c r="AY55" s="555"/>
      <c r="AZ55" s="555"/>
      <c r="BA55" s="555"/>
      <c r="BB55" s="555"/>
      <c r="BC55" s="555"/>
      <c r="BD55" s="555"/>
      <c r="BE55" s="555"/>
      <c r="BF55" s="555"/>
      <c r="BG55" s="555"/>
    </row>
    <row r="56" spans="1:59" s="562" customFormat="1" x14ac:dyDescent="0.35">
      <c r="A56" s="557" t="s">
        <v>188</v>
      </c>
      <c r="B56" s="548">
        <f t="shared" ref="B56:C63" si="15">IF(B$9=0,"",+(B38*10)/B$9)</f>
        <v>0</v>
      </c>
      <c r="C56" s="548">
        <f t="shared" si="15"/>
        <v>0</v>
      </c>
      <c r="D56" s="548">
        <f t="shared" ref="D56:F62" si="16">IF(D$9=0,"",+(D38*10)/D$9)</f>
        <v>0</v>
      </c>
      <c r="E56" s="548" t="str">
        <f t="shared" si="16"/>
        <v/>
      </c>
      <c r="F56" s="548" t="str">
        <f t="shared" si="16"/>
        <v/>
      </c>
      <c r="G56" s="548">
        <f t="shared" ref="G56:AF56" si="17">IF(G$9=0,"",+(G38*10)/G$9)</f>
        <v>0</v>
      </c>
      <c r="H56" s="548">
        <f t="shared" si="17"/>
        <v>0</v>
      </c>
      <c r="I56" s="548">
        <f t="shared" si="17"/>
        <v>0</v>
      </c>
      <c r="J56" s="548">
        <f t="shared" si="17"/>
        <v>0</v>
      </c>
      <c r="K56" s="548">
        <f t="shared" si="17"/>
        <v>0</v>
      </c>
      <c r="L56" s="548" t="str">
        <f t="shared" si="17"/>
        <v/>
      </c>
      <c r="M56" s="548" t="str">
        <f t="shared" si="17"/>
        <v/>
      </c>
      <c r="N56" s="548">
        <f t="shared" si="17"/>
        <v>0</v>
      </c>
      <c r="O56" s="548">
        <f t="shared" si="17"/>
        <v>0</v>
      </c>
      <c r="P56" s="548">
        <f t="shared" si="17"/>
        <v>0</v>
      </c>
      <c r="Q56" s="548">
        <f t="shared" si="17"/>
        <v>0</v>
      </c>
      <c r="R56" s="548">
        <f t="shared" si="17"/>
        <v>0</v>
      </c>
      <c r="S56" s="548" t="str">
        <f t="shared" si="17"/>
        <v/>
      </c>
      <c r="T56" s="548" t="str">
        <f t="shared" si="17"/>
        <v/>
      </c>
      <c r="U56" s="548">
        <f t="shared" si="17"/>
        <v>0</v>
      </c>
      <c r="V56" s="548">
        <f t="shared" si="17"/>
        <v>0</v>
      </c>
      <c r="W56" s="548">
        <f t="shared" si="17"/>
        <v>0</v>
      </c>
      <c r="X56" s="548">
        <f t="shared" si="17"/>
        <v>0</v>
      </c>
      <c r="Y56" s="548">
        <f t="shared" ref="Y56:Y63" si="18">IF(Y$9=0,"",+(Y38*10)/Y$9)</f>
        <v>0</v>
      </c>
      <c r="Z56" s="548" t="str">
        <f t="shared" si="17"/>
        <v/>
      </c>
      <c r="AA56" s="548" t="str">
        <f t="shared" si="17"/>
        <v/>
      </c>
      <c r="AB56" s="548">
        <f t="shared" si="17"/>
        <v>0</v>
      </c>
      <c r="AC56" s="548">
        <f t="shared" ref="AC56:AC63" si="19">IF(AC$9=0,"",+(AC38*10)/AC$9)</f>
        <v>0</v>
      </c>
      <c r="AD56" s="548">
        <f t="shared" si="17"/>
        <v>0</v>
      </c>
      <c r="AE56" s="548">
        <f t="shared" si="17"/>
        <v>0</v>
      </c>
      <c r="AF56" s="548">
        <f t="shared" si="17"/>
        <v>0</v>
      </c>
      <c r="AG56" s="548"/>
      <c r="AH56" s="558">
        <f t="shared" si="14"/>
        <v>0</v>
      </c>
      <c r="AI56" s="559">
        <v>0.1</v>
      </c>
      <c r="AJ56" s="560">
        <f t="shared" si="13"/>
        <v>0.1</v>
      </c>
      <c r="AK56" s="561"/>
      <c r="AL56" s="561"/>
      <c r="AM56" s="561"/>
      <c r="AN56" s="561"/>
      <c r="AO56" s="561"/>
      <c r="AP56" s="561"/>
      <c r="AQ56" s="561"/>
      <c r="AR56" s="561"/>
      <c r="AS56" s="561"/>
      <c r="AT56" s="561"/>
      <c r="AU56" s="561"/>
      <c r="AV56" s="561"/>
      <c r="AW56" s="561"/>
      <c r="AX56" s="561"/>
      <c r="AY56" s="561"/>
      <c r="AZ56" s="561"/>
      <c r="BA56" s="561"/>
      <c r="BB56" s="561"/>
      <c r="BC56" s="561"/>
      <c r="BD56" s="561"/>
      <c r="BE56" s="561"/>
      <c r="BF56" s="561"/>
      <c r="BG56" s="561"/>
    </row>
    <row r="57" spans="1:59" s="507" customFormat="1" x14ac:dyDescent="0.35">
      <c r="A57" s="563" t="s">
        <v>220</v>
      </c>
      <c r="B57" s="552">
        <f t="shared" si="15"/>
        <v>0</v>
      </c>
      <c r="C57" s="552">
        <f t="shared" si="15"/>
        <v>0</v>
      </c>
      <c r="D57" s="552">
        <f t="shared" si="16"/>
        <v>0</v>
      </c>
      <c r="E57" s="552" t="str">
        <f t="shared" si="16"/>
        <v/>
      </c>
      <c r="F57" s="552" t="str">
        <f t="shared" si="16"/>
        <v/>
      </c>
      <c r="G57" s="552">
        <f t="shared" ref="G57:AF57" si="20">IF(G$9=0,"",+(G39*10)/G$9)</f>
        <v>0</v>
      </c>
      <c r="H57" s="552">
        <f t="shared" si="20"/>
        <v>0</v>
      </c>
      <c r="I57" s="552">
        <f t="shared" si="20"/>
        <v>0</v>
      </c>
      <c r="J57" s="552">
        <f t="shared" si="20"/>
        <v>0</v>
      </c>
      <c r="K57" s="552">
        <f t="shared" si="20"/>
        <v>0</v>
      </c>
      <c r="L57" s="552" t="str">
        <f t="shared" si="20"/>
        <v/>
      </c>
      <c r="M57" s="552" t="str">
        <f t="shared" si="20"/>
        <v/>
      </c>
      <c r="N57" s="552">
        <f t="shared" si="20"/>
        <v>0</v>
      </c>
      <c r="O57" s="552">
        <f t="shared" si="20"/>
        <v>0</v>
      </c>
      <c r="P57" s="552">
        <f t="shared" si="20"/>
        <v>0</v>
      </c>
      <c r="Q57" s="552">
        <f t="shared" si="20"/>
        <v>0</v>
      </c>
      <c r="R57" s="552">
        <f t="shared" si="20"/>
        <v>0</v>
      </c>
      <c r="S57" s="552" t="str">
        <f t="shared" si="20"/>
        <v/>
      </c>
      <c r="T57" s="552" t="str">
        <f t="shared" si="20"/>
        <v/>
      </c>
      <c r="U57" s="552">
        <f t="shared" si="20"/>
        <v>0</v>
      </c>
      <c r="V57" s="552">
        <f t="shared" si="20"/>
        <v>0</v>
      </c>
      <c r="W57" s="552">
        <f t="shared" si="20"/>
        <v>0</v>
      </c>
      <c r="X57" s="552">
        <f t="shared" si="20"/>
        <v>0</v>
      </c>
      <c r="Y57" s="552">
        <f t="shared" si="18"/>
        <v>0</v>
      </c>
      <c r="Z57" s="552" t="str">
        <f t="shared" si="20"/>
        <v/>
      </c>
      <c r="AA57" s="552" t="str">
        <f t="shared" si="20"/>
        <v/>
      </c>
      <c r="AB57" s="552">
        <f t="shared" si="20"/>
        <v>0</v>
      </c>
      <c r="AC57" s="552">
        <f t="shared" si="19"/>
        <v>0</v>
      </c>
      <c r="AD57" s="552">
        <f t="shared" si="20"/>
        <v>0</v>
      </c>
      <c r="AE57" s="552">
        <f t="shared" si="20"/>
        <v>0</v>
      </c>
      <c r="AF57" s="552">
        <f t="shared" si="20"/>
        <v>0</v>
      </c>
      <c r="AG57" s="552"/>
      <c r="AH57" s="553">
        <f t="shared" si="14"/>
        <v>0</v>
      </c>
      <c r="AI57" s="553">
        <v>0.7</v>
      </c>
      <c r="AJ57" s="554">
        <f t="shared" si="13"/>
        <v>0.7</v>
      </c>
      <c r="AK57" s="477"/>
      <c r="AL57" s="477"/>
      <c r="AM57" s="477"/>
      <c r="AN57" s="477"/>
      <c r="AO57" s="477"/>
      <c r="AP57" s="477"/>
      <c r="AQ57" s="477"/>
      <c r="AR57" s="477"/>
      <c r="AS57" s="477"/>
      <c r="AT57" s="477"/>
      <c r="AU57" s="477"/>
      <c r="AV57" s="477"/>
      <c r="AW57" s="477"/>
      <c r="AX57" s="477"/>
      <c r="AY57" s="477"/>
      <c r="AZ57" s="477"/>
      <c r="BA57" s="477"/>
      <c r="BB57" s="477"/>
      <c r="BC57" s="477"/>
      <c r="BD57" s="477"/>
      <c r="BE57" s="477"/>
      <c r="BF57" s="477"/>
      <c r="BG57" s="477"/>
    </row>
    <row r="58" spans="1:59" s="568" customFormat="1" x14ac:dyDescent="0.35">
      <c r="A58" s="564" t="s">
        <v>173</v>
      </c>
      <c r="B58" s="548">
        <f t="shared" si="15"/>
        <v>0</v>
      </c>
      <c r="C58" s="548">
        <f t="shared" si="15"/>
        <v>0</v>
      </c>
      <c r="D58" s="548">
        <f t="shared" si="16"/>
        <v>0</v>
      </c>
      <c r="E58" s="548" t="str">
        <f t="shared" si="16"/>
        <v/>
      </c>
      <c r="F58" s="548" t="str">
        <f t="shared" si="16"/>
        <v/>
      </c>
      <c r="G58" s="548">
        <f t="shared" ref="G58:AF58" si="21">IF(G$9=0,"",+(G40*10)/G$9)</f>
        <v>0</v>
      </c>
      <c r="H58" s="548">
        <f t="shared" si="21"/>
        <v>0</v>
      </c>
      <c r="I58" s="548">
        <f t="shared" si="21"/>
        <v>0</v>
      </c>
      <c r="J58" s="548">
        <f t="shared" si="21"/>
        <v>0</v>
      </c>
      <c r="K58" s="548">
        <f t="shared" si="21"/>
        <v>0</v>
      </c>
      <c r="L58" s="548" t="str">
        <f t="shared" si="21"/>
        <v/>
      </c>
      <c r="M58" s="548" t="str">
        <f t="shared" si="21"/>
        <v/>
      </c>
      <c r="N58" s="548">
        <f t="shared" si="21"/>
        <v>0</v>
      </c>
      <c r="O58" s="548">
        <f t="shared" si="21"/>
        <v>0</v>
      </c>
      <c r="P58" s="548">
        <f t="shared" si="21"/>
        <v>0</v>
      </c>
      <c r="Q58" s="548">
        <f t="shared" si="21"/>
        <v>0</v>
      </c>
      <c r="R58" s="548">
        <f t="shared" si="21"/>
        <v>0</v>
      </c>
      <c r="S58" s="548" t="str">
        <f t="shared" si="21"/>
        <v/>
      </c>
      <c r="T58" s="548" t="str">
        <f t="shared" si="21"/>
        <v/>
      </c>
      <c r="U58" s="548">
        <f t="shared" si="21"/>
        <v>0</v>
      </c>
      <c r="V58" s="548">
        <f t="shared" si="21"/>
        <v>0</v>
      </c>
      <c r="W58" s="548">
        <f t="shared" si="21"/>
        <v>0</v>
      </c>
      <c r="X58" s="548">
        <f t="shared" si="21"/>
        <v>0</v>
      </c>
      <c r="Y58" s="548">
        <f t="shared" si="18"/>
        <v>0</v>
      </c>
      <c r="Z58" s="548" t="str">
        <f t="shared" si="21"/>
        <v/>
      </c>
      <c r="AA58" s="548" t="str">
        <f t="shared" si="21"/>
        <v/>
      </c>
      <c r="AB58" s="548">
        <f t="shared" si="21"/>
        <v>0</v>
      </c>
      <c r="AC58" s="548">
        <f t="shared" si="19"/>
        <v>0</v>
      </c>
      <c r="AD58" s="548">
        <f t="shared" si="21"/>
        <v>0</v>
      </c>
      <c r="AE58" s="548">
        <f t="shared" si="21"/>
        <v>0</v>
      </c>
      <c r="AF58" s="548">
        <f t="shared" si="21"/>
        <v>0</v>
      </c>
      <c r="AG58" s="548"/>
      <c r="AH58" s="558">
        <f t="shared" si="14"/>
        <v>0</v>
      </c>
      <c r="AI58" s="565">
        <v>1</v>
      </c>
      <c r="AJ58" s="566">
        <f t="shared" si="13"/>
        <v>1</v>
      </c>
      <c r="AK58" s="567"/>
      <c r="AL58" s="567"/>
      <c r="AM58" s="567"/>
      <c r="AN58" s="567"/>
      <c r="AO58" s="567"/>
      <c r="AP58" s="567"/>
      <c r="AQ58" s="567" t="s">
        <v>58</v>
      </c>
      <c r="AR58" s="567"/>
      <c r="AS58" s="567"/>
      <c r="AT58" s="567"/>
      <c r="AU58" s="567"/>
      <c r="AV58" s="567"/>
      <c r="AW58" s="567"/>
      <c r="AX58" s="567"/>
      <c r="AY58" s="567"/>
      <c r="AZ58" s="567"/>
      <c r="BA58" s="567"/>
      <c r="BB58" s="567"/>
      <c r="BC58" s="567"/>
      <c r="BD58" s="567"/>
      <c r="BE58" s="567"/>
      <c r="BF58" s="567"/>
      <c r="BG58" s="567"/>
    </row>
    <row r="59" spans="1:59" s="507" customFormat="1" x14ac:dyDescent="0.35">
      <c r="A59" s="541" t="s">
        <v>99</v>
      </c>
      <c r="B59" s="552">
        <f t="shared" si="15"/>
        <v>0.89008471063346051</v>
      </c>
      <c r="C59" s="552">
        <f t="shared" si="15"/>
        <v>0.98547721931440746</v>
      </c>
      <c r="D59" s="552">
        <f t="shared" si="16"/>
        <v>0.3861035245155417</v>
      </c>
      <c r="E59" s="552" t="str">
        <f t="shared" si="16"/>
        <v/>
      </c>
      <c r="F59" s="552" t="str">
        <f t="shared" si="16"/>
        <v/>
      </c>
      <c r="G59" s="552">
        <f t="shared" ref="G59:AF59" si="22">IF(G$9=0,"",+(G41*10)/G$9)</f>
        <v>1.5823401106177457</v>
      </c>
      <c r="H59" s="552">
        <f t="shared" si="22"/>
        <v>0.76234038498189438</v>
      </c>
      <c r="I59" s="552">
        <f t="shared" si="22"/>
        <v>0.92905226051687162</v>
      </c>
      <c r="J59" s="552">
        <f t="shared" si="22"/>
        <v>1.6108746429744178</v>
      </c>
      <c r="K59" s="552">
        <f t="shared" si="22"/>
        <v>0.85730942011590816</v>
      </c>
      <c r="L59" s="552" t="str">
        <f t="shared" si="22"/>
        <v/>
      </c>
      <c r="M59" s="552" t="str">
        <f t="shared" si="22"/>
        <v/>
      </c>
      <c r="N59" s="552">
        <f t="shared" si="22"/>
        <v>1.2278375325376945</v>
      </c>
      <c r="O59" s="552">
        <f t="shared" si="22"/>
        <v>0.38106599068873531</v>
      </c>
      <c r="P59" s="552">
        <f t="shared" si="22"/>
        <v>0.5674724775848371</v>
      </c>
      <c r="Q59" s="552">
        <f t="shared" si="22"/>
        <v>1.0820830569316828</v>
      </c>
      <c r="R59" s="552">
        <f t="shared" si="22"/>
        <v>6.5332221295524047</v>
      </c>
      <c r="S59" s="552" t="str">
        <f t="shared" si="22"/>
        <v/>
      </c>
      <c r="T59" s="552" t="str">
        <f>IF(T$9=0,"",+(T41*10)/T$9)</f>
        <v/>
      </c>
      <c r="U59" s="552">
        <f t="shared" si="22"/>
        <v>1.2288333456216667</v>
      </c>
      <c r="V59" s="552">
        <f t="shared" si="22"/>
        <v>1.3196093956188968</v>
      </c>
      <c r="W59" s="552">
        <f t="shared" si="22"/>
        <v>1.2836083217314889</v>
      </c>
      <c r="X59" s="552">
        <f t="shared" si="22"/>
        <v>1.4297527686969156</v>
      </c>
      <c r="Y59" s="552">
        <f t="shared" si="18"/>
        <v>5.3335074886799028</v>
      </c>
      <c r="Z59" s="552" t="str">
        <f t="shared" si="22"/>
        <v/>
      </c>
      <c r="AA59" s="552" t="str">
        <f t="shared" si="22"/>
        <v/>
      </c>
      <c r="AB59" s="552">
        <f t="shared" si="22"/>
        <v>0.57381752602672342</v>
      </c>
      <c r="AC59" s="552">
        <f t="shared" si="19"/>
        <v>0.57628090111642738</v>
      </c>
      <c r="AD59" s="552">
        <f t="shared" si="22"/>
        <v>1.4188524733952261</v>
      </c>
      <c r="AE59" s="552">
        <f t="shared" si="22"/>
        <v>0.95572552090336504</v>
      </c>
      <c r="AF59" s="552">
        <f t="shared" si="22"/>
        <v>0.44132574253056178</v>
      </c>
      <c r="AG59" s="552"/>
      <c r="AH59" s="843">
        <f t="shared" si="14"/>
        <v>1.0703692738463839</v>
      </c>
      <c r="AI59" s="553">
        <v>0.7</v>
      </c>
      <c r="AJ59" s="554">
        <f t="shared" si="13"/>
        <v>-0.37036927384638396</v>
      </c>
      <c r="AK59" s="477"/>
      <c r="AL59" s="477"/>
      <c r="AM59" s="477"/>
      <c r="AN59" s="477"/>
      <c r="AO59" s="477"/>
      <c r="AP59" s="477"/>
      <c r="AQ59" s="477"/>
      <c r="AR59" s="477"/>
      <c r="AS59" s="477"/>
      <c r="AT59" s="477"/>
      <c r="AU59" s="477"/>
      <c r="AV59" s="477"/>
      <c r="AW59" s="477"/>
      <c r="AX59" s="477"/>
      <c r="AY59" s="477"/>
      <c r="AZ59" s="477"/>
      <c r="BA59" s="477"/>
      <c r="BB59" s="477"/>
      <c r="BC59" s="477"/>
      <c r="BD59" s="477"/>
      <c r="BE59" s="477"/>
      <c r="BF59" s="477"/>
      <c r="BG59" s="477"/>
    </row>
    <row r="60" spans="1:59" x14ac:dyDescent="0.35">
      <c r="A60" s="569" t="s">
        <v>128</v>
      </c>
      <c r="B60" s="548">
        <f t="shared" si="15"/>
        <v>1.3563195590605113</v>
      </c>
      <c r="C60" s="548">
        <f t="shared" si="15"/>
        <v>1.6358921840619163</v>
      </c>
      <c r="D60" s="548">
        <f t="shared" si="16"/>
        <v>1.747626479386136</v>
      </c>
      <c r="E60" s="548" t="str">
        <f t="shared" si="16"/>
        <v/>
      </c>
      <c r="F60" s="570" t="str">
        <f t="shared" si="16"/>
        <v/>
      </c>
      <c r="G60" s="548">
        <f t="shared" ref="G60:AF60" si="23">IF(G$9=0,"",+(G42*10)/G$9)</f>
        <v>1.8501207447222872</v>
      </c>
      <c r="H60" s="548">
        <f t="shared" si="23"/>
        <v>2.3346674290070513</v>
      </c>
      <c r="I60" s="548">
        <f t="shared" si="23"/>
        <v>2.1500923743390454</v>
      </c>
      <c r="J60" s="548">
        <f t="shared" si="23"/>
        <v>2.261420171867933</v>
      </c>
      <c r="K60" s="548">
        <f t="shared" si="23"/>
        <v>2.000388646937119</v>
      </c>
      <c r="L60" s="548" t="str">
        <f>IF(L$9=0,"",+(L42*10)/L$9)</f>
        <v/>
      </c>
      <c r="M60" s="548" t="str">
        <f t="shared" si="23"/>
        <v/>
      </c>
      <c r="N60" s="548">
        <f t="shared" si="23"/>
        <v>2.1609940572663424</v>
      </c>
      <c r="O60" s="548">
        <f t="shared" si="23"/>
        <v>1.9716022996504132</v>
      </c>
      <c r="P60" s="548">
        <f t="shared" si="23"/>
        <v>2.5020377420786</v>
      </c>
      <c r="Q60" s="548">
        <f t="shared" si="23"/>
        <v>1.6466481301134306</v>
      </c>
      <c r="R60" s="548">
        <f t="shared" si="23"/>
        <v>3.3361134278565472</v>
      </c>
      <c r="S60" s="548" t="str">
        <f t="shared" si="23"/>
        <v/>
      </c>
      <c r="T60" s="548" t="str">
        <f t="shared" si="23"/>
        <v/>
      </c>
      <c r="U60" s="548">
        <f t="shared" si="23"/>
        <v>2.2364766890314334</v>
      </c>
      <c r="V60" s="548">
        <f t="shared" si="23"/>
        <v>2.0194022569319481</v>
      </c>
      <c r="W60" s="548">
        <f t="shared" si="23"/>
        <v>2.7646948468062837</v>
      </c>
      <c r="X60" s="548">
        <f t="shared" si="23"/>
        <v>2.4730858701784486</v>
      </c>
      <c r="Y60" s="548">
        <f t="shared" si="18"/>
        <v>5.1158133054684782</v>
      </c>
      <c r="Z60" s="548" t="str">
        <f t="shared" si="23"/>
        <v/>
      </c>
      <c r="AA60" s="548" t="str">
        <f t="shared" si="23"/>
        <v/>
      </c>
      <c r="AB60" s="548">
        <f t="shared" si="23"/>
        <v>3.278957291581277</v>
      </c>
      <c r="AC60" s="548">
        <f t="shared" si="19"/>
        <v>1.9468949362041468</v>
      </c>
      <c r="AD60" s="548">
        <f t="shared" si="23"/>
        <v>1.7800149211685565</v>
      </c>
      <c r="AE60" s="548">
        <f t="shared" si="23"/>
        <v>1.8290609106943709</v>
      </c>
      <c r="AF60" s="548">
        <f t="shared" si="23"/>
        <v>2.4072313228939732</v>
      </c>
      <c r="AG60" s="548"/>
      <c r="AH60" s="549">
        <f t="shared" si="14"/>
        <v>2.2462209968788742</v>
      </c>
      <c r="AI60" s="558">
        <v>2.1</v>
      </c>
      <c r="AJ60" s="550">
        <f t="shared" si="13"/>
        <v>-0.14622099687887413</v>
      </c>
    </row>
    <row r="61" spans="1:59" s="507" customFormat="1" x14ac:dyDescent="0.35">
      <c r="A61" s="541" t="s">
        <v>169</v>
      </c>
      <c r="B61" s="552">
        <f t="shared" si="15"/>
        <v>0.40265736909608929</v>
      </c>
      <c r="C61" s="552">
        <f t="shared" si="15"/>
        <v>0.59128633158864441</v>
      </c>
      <c r="D61" s="552">
        <f t="shared" si="16"/>
        <v>0.46738847704512942</v>
      </c>
      <c r="E61" s="552" t="str">
        <f t="shared" si="16"/>
        <v/>
      </c>
      <c r="F61" s="552" t="str">
        <f t="shared" si="16"/>
        <v/>
      </c>
      <c r="G61" s="552">
        <f t="shared" ref="G61:AF61" si="24">IF(G$9=0,"",+(G43*10)/G$9)</f>
        <v>0.70596712627560954</v>
      </c>
      <c r="H61" s="552">
        <f t="shared" si="24"/>
        <v>0.76234038498189438</v>
      </c>
      <c r="I61" s="552">
        <f t="shared" si="24"/>
        <v>0.84941920961542539</v>
      </c>
      <c r="J61" s="552">
        <f t="shared" si="24"/>
        <v>0.65054552889351491</v>
      </c>
      <c r="K61" s="552">
        <f t="shared" si="24"/>
        <v>0.65727055542219626</v>
      </c>
      <c r="L61" s="552" t="str">
        <f t="shared" si="24"/>
        <v/>
      </c>
      <c r="M61" s="552" t="str">
        <f t="shared" si="24"/>
        <v/>
      </c>
      <c r="N61" s="552">
        <f t="shared" si="24"/>
        <v>0.63847551691960114</v>
      </c>
      <c r="O61" s="552">
        <f t="shared" si="24"/>
        <v>0.51361068310220848</v>
      </c>
      <c r="P61" s="552">
        <f t="shared" si="24"/>
        <v>0.64485508816458759</v>
      </c>
      <c r="Q61" s="552">
        <f t="shared" si="24"/>
        <v>0.63513570732946611</v>
      </c>
      <c r="R61" s="552">
        <f t="shared" si="24"/>
        <v>1.2510425354462051</v>
      </c>
      <c r="S61" s="552" t="str">
        <f t="shared" si="24"/>
        <v/>
      </c>
      <c r="T61" s="552" t="str">
        <f t="shared" si="24"/>
        <v/>
      </c>
      <c r="U61" s="552">
        <f t="shared" si="24"/>
        <v>2.4576666912433334E-2</v>
      </c>
      <c r="V61" s="552">
        <f t="shared" si="24"/>
        <v>0.45986388029143371</v>
      </c>
      <c r="W61" s="552">
        <f t="shared" si="24"/>
        <v>0.44432595752243847</v>
      </c>
      <c r="X61" s="552">
        <f t="shared" si="24"/>
        <v>0.73419736770922694</v>
      </c>
      <c r="Y61" s="552">
        <f t="shared" si="18"/>
        <v>1.1973180076628354</v>
      </c>
      <c r="Z61" s="552" t="str">
        <f t="shared" si="24"/>
        <v/>
      </c>
      <c r="AA61" s="552" t="str">
        <f t="shared" si="24"/>
        <v/>
      </c>
      <c r="AB61" s="552">
        <f t="shared" si="24"/>
        <v>0.68311610241276599</v>
      </c>
      <c r="AC61" s="552">
        <f t="shared" si="19"/>
        <v>0.42052930622009571</v>
      </c>
      <c r="AD61" s="552">
        <f t="shared" si="24"/>
        <v>0.41275708316952037</v>
      </c>
      <c r="AE61" s="552">
        <f t="shared" si="24"/>
        <v>0.39547262933932342</v>
      </c>
      <c r="AF61" s="843">
        <f t="shared" si="24"/>
        <v>0.46138600355467824</v>
      </c>
      <c r="AG61" s="552"/>
      <c r="AH61" s="844">
        <f t="shared" si="14"/>
        <v>0.58292932444953482</v>
      </c>
      <c r="AI61" s="553">
        <v>0.7</v>
      </c>
      <c r="AJ61" s="554">
        <f t="shared" si="13"/>
        <v>0.11707067555046513</v>
      </c>
      <c r="AK61" s="477"/>
      <c r="AL61" s="477"/>
      <c r="AM61" s="477"/>
      <c r="AN61" s="477"/>
      <c r="AO61" s="477"/>
      <c r="AP61" s="477"/>
      <c r="AQ61" s="477"/>
      <c r="AR61" s="477"/>
      <c r="AS61" s="477"/>
      <c r="AT61" s="477"/>
      <c r="AU61" s="477"/>
      <c r="AV61" s="477"/>
      <c r="AW61" s="477"/>
      <c r="AX61" s="477"/>
      <c r="AY61" s="477"/>
      <c r="AZ61" s="477"/>
      <c r="BA61" s="477"/>
      <c r="BB61" s="477"/>
      <c r="BC61" s="477"/>
      <c r="BD61" s="477"/>
      <c r="BE61" s="477"/>
      <c r="BF61" s="477"/>
      <c r="BG61" s="477"/>
    </row>
    <row r="62" spans="1:59" x14ac:dyDescent="0.35">
      <c r="A62" s="510" t="s">
        <v>127</v>
      </c>
      <c r="B62" s="548">
        <f t="shared" si="15"/>
        <v>6.3577479330961473E-2</v>
      </c>
      <c r="C62" s="548">
        <f t="shared" si="15"/>
        <v>0.13796681070401703</v>
      </c>
      <c r="D62" s="548">
        <f t="shared" si="16"/>
        <v>4.0642476264793864E-2</v>
      </c>
      <c r="E62" s="548" t="str">
        <f t="shared" si="16"/>
        <v/>
      </c>
      <c r="F62" s="548" t="str">
        <f t="shared" si="16"/>
        <v/>
      </c>
      <c r="G62" s="548">
        <f t="shared" ref="G62:AF62" si="25">IF(G$9=0,"",+(G44*10)/G$9)</f>
        <v>0.14606216405702266</v>
      </c>
      <c r="H62" s="548">
        <f t="shared" si="25"/>
        <v>0.33352391842957879</v>
      </c>
      <c r="I62" s="548">
        <f t="shared" si="25"/>
        <v>0.13272175150241022</v>
      </c>
      <c r="J62" s="548">
        <f t="shared" si="25"/>
        <v>0</v>
      </c>
      <c r="K62" s="548">
        <f t="shared" si="25"/>
        <v>5.7153961341060544E-2</v>
      </c>
      <c r="L62" s="548" t="str">
        <f t="shared" si="25"/>
        <v/>
      </c>
      <c r="M62" s="548" t="str">
        <f t="shared" si="25"/>
        <v/>
      </c>
      <c r="N62" s="548">
        <f t="shared" si="25"/>
        <v>0.12278375325376946</v>
      </c>
      <c r="O62" s="548">
        <f t="shared" si="25"/>
        <v>4.9704259655052437E-2</v>
      </c>
      <c r="P62" s="548">
        <f t="shared" si="25"/>
        <v>7.7382610579750516E-2</v>
      </c>
      <c r="Q62" s="548">
        <f t="shared" si="25"/>
        <v>2.3523544715906151E-2</v>
      </c>
      <c r="R62" s="548">
        <f t="shared" si="25"/>
        <v>0.27800945232137891</v>
      </c>
      <c r="S62" s="548" t="str">
        <f t="shared" si="25"/>
        <v/>
      </c>
      <c r="T62" s="548" t="str">
        <f t="shared" si="25"/>
        <v/>
      </c>
      <c r="U62" s="548">
        <f t="shared" si="25"/>
        <v>9.8306667649733337E-2</v>
      </c>
      <c r="V62" s="548">
        <f t="shared" si="25"/>
        <v>9.9970408759007326E-2</v>
      </c>
      <c r="W62" s="548">
        <f t="shared" si="25"/>
        <v>9.8739101671652993E-2</v>
      </c>
      <c r="X62" s="548">
        <f t="shared" si="25"/>
        <v>7.7283933443076519E-2</v>
      </c>
      <c r="Y62" s="548">
        <f t="shared" si="18"/>
        <v>0.32654127481713691</v>
      </c>
      <c r="Z62" s="548" t="str">
        <f t="shared" si="25"/>
        <v/>
      </c>
      <c r="AA62" s="548" t="str">
        <f t="shared" si="25"/>
        <v/>
      </c>
      <c r="AB62" s="548">
        <f t="shared" si="25"/>
        <v>5.4649288193021284E-2</v>
      </c>
      <c r="AC62" s="548">
        <f t="shared" si="19"/>
        <v>1.5575159489633174E-2</v>
      </c>
      <c r="AD62" s="548">
        <f t="shared" si="25"/>
        <v>7.7391953094285065E-2</v>
      </c>
      <c r="AE62" s="548">
        <f t="shared" si="25"/>
        <v>9.8868157334830856E-2</v>
      </c>
      <c r="AF62" s="548">
        <f t="shared" si="25"/>
        <v>4.0120522048232889E-2</v>
      </c>
      <c r="AG62" s="548"/>
      <c r="AH62" s="844">
        <f t="shared" si="14"/>
        <v>0.12768928059370763</v>
      </c>
      <c r="AI62" s="558">
        <v>0.1</v>
      </c>
      <c r="AJ62" s="550">
        <f t="shared" si="13"/>
        <v>-2.7689280593707621E-2</v>
      </c>
    </row>
    <row r="63" spans="1:59" s="507" customFormat="1" x14ac:dyDescent="0.35">
      <c r="A63" s="541" t="s">
        <v>129</v>
      </c>
      <c r="B63" s="552">
        <f t="shared" si="15"/>
        <v>0.31788739665480736</v>
      </c>
      <c r="C63" s="552">
        <f t="shared" si="15"/>
        <v>0.35477179895318667</v>
      </c>
      <c r="D63" s="552">
        <f>IF(D$9=0,"",+(D45*10)/D$9)</f>
        <v>0.3454610482507478</v>
      </c>
      <c r="E63" s="571" t="str">
        <f t="shared" ref="E63:AF63" si="26">IF(E$9=0,"",+(E45*10)/E$9)</f>
        <v/>
      </c>
      <c r="F63" s="571" t="str">
        <f t="shared" si="26"/>
        <v/>
      </c>
      <c r="G63" s="571">
        <f t="shared" si="26"/>
        <v>0.65727973825660202</v>
      </c>
      <c r="H63" s="571">
        <f t="shared" si="26"/>
        <v>1.3817419477796835</v>
      </c>
      <c r="I63" s="571">
        <f t="shared" si="26"/>
        <v>0.84941920961542539</v>
      </c>
      <c r="J63" s="571">
        <f t="shared" si="26"/>
        <v>0.86739403852468655</v>
      </c>
      <c r="K63" s="571">
        <f t="shared" si="26"/>
        <v>0.94304036212749898</v>
      </c>
      <c r="L63" s="571" t="str">
        <f t="shared" si="26"/>
        <v/>
      </c>
      <c r="M63" s="571" t="str">
        <f t="shared" si="26"/>
        <v/>
      </c>
      <c r="N63" s="571">
        <f t="shared" si="26"/>
        <v>0.41746476106281616</v>
      </c>
      <c r="O63" s="571">
        <f t="shared" si="26"/>
        <v>0.39763407724041949</v>
      </c>
      <c r="P63" s="552">
        <f t="shared" si="26"/>
        <v>0.54167827405825364</v>
      </c>
      <c r="Q63" s="552">
        <f t="shared" si="26"/>
        <v>0.44694734960221688</v>
      </c>
      <c r="R63" s="571">
        <f t="shared" si="26"/>
        <v>2.6410897970531</v>
      </c>
      <c r="S63" s="571" t="str">
        <f t="shared" si="26"/>
        <v/>
      </c>
      <c r="T63" s="552" t="str">
        <f t="shared" si="26"/>
        <v/>
      </c>
      <c r="U63" s="552">
        <f t="shared" si="26"/>
        <v>0.54068667207353338</v>
      </c>
      <c r="V63" s="552">
        <f t="shared" si="26"/>
        <v>0.47985796204323516</v>
      </c>
      <c r="W63" s="552">
        <f t="shared" si="26"/>
        <v>4.9369550835826496E-2</v>
      </c>
      <c r="X63" s="552">
        <f t="shared" si="26"/>
        <v>1.5456786688615303</v>
      </c>
      <c r="Y63" s="552">
        <f t="shared" si="18"/>
        <v>1.9592476489028212</v>
      </c>
      <c r="Z63" s="552" t="str">
        <f t="shared" si="26"/>
        <v/>
      </c>
      <c r="AA63" s="552" t="str">
        <f t="shared" si="26"/>
        <v/>
      </c>
      <c r="AB63" s="552">
        <f t="shared" si="26"/>
        <v>2.7324644096510642E-2</v>
      </c>
      <c r="AC63" s="552">
        <f t="shared" si="19"/>
        <v>0.35822866826156302</v>
      </c>
      <c r="AD63" s="552">
        <f t="shared" si="26"/>
        <v>0.64493294245237553</v>
      </c>
      <c r="AE63" s="552">
        <f t="shared" si="26"/>
        <v>0.41195065556179528</v>
      </c>
      <c r="AF63" s="552">
        <f t="shared" si="26"/>
        <v>0.44132574253056178</v>
      </c>
      <c r="AG63" s="552"/>
      <c r="AH63" s="549">
        <f>+(AH45*10)/AH$9</f>
        <v>0.6595428928057594</v>
      </c>
      <c r="AI63" s="553">
        <v>0.6</v>
      </c>
      <c r="AJ63" s="554">
        <f t="shared" si="13"/>
        <v>-5.9542892805759418E-2</v>
      </c>
      <c r="AK63" s="477"/>
      <c r="AL63" s="477"/>
      <c r="AM63" s="477"/>
      <c r="AN63" s="477"/>
      <c r="AO63" s="477"/>
      <c r="AP63" s="477"/>
      <c r="AQ63" s="477"/>
      <c r="AR63" s="477"/>
      <c r="AS63" s="477"/>
      <c r="AT63" s="477"/>
      <c r="AU63" s="477"/>
      <c r="AV63" s="477"/>
      <c r="AW63" s="477"/>
      <c r="AX63" s="477"/>
      <c r="AY63" s="477"/>
      <c r="AZ63" s="477"/>
      <c r="BA63" s="477"/>
      <c r="BB63" s="477"/>
      <c r="BC63" s="477"/>
      <c r="BD63" s="477"/>
      <c r="BE63" s="477"/>
      <c r="BF63" s="477"/>
      <c r="BG63" s="477"/>
    </row>
    <row r="64" spans="1:59" s="576" customFormat="1" x14ac:dyDescent="0.35">
      <c r="A64" s="572" t="s">
        <v>166</v>
      </c>
      <c r="B64" s="548"/>
      <c r="C64" s="548"/>
      <c r="D64" s="548"/>
      <c r="E64" s="548"/>
      <c r="F64" s="548"/>
      <c r="G64" s="548"/>
      <c r="H64" s="548"/>
      <c r="I64" s="548"/>
      <c r="J64" s="548"/>
      <c r="K64" s="548"/>
      <c r="L64" s="548"/>
      <c r="M64" s="548"/>
      <c r="N64" s="548"/>
      <c r="O64" s="548"/>
      <c r="P64" s="548"/>
      <c r="Q64" s="548"/>
      <c r="R64" s="548"/>
      <c r="S64" s="548"/>
      <c r="T64" s="548"/>
      <c r="U64" s="548"/>
      <c r="V64" s="548"/>
      <c r="W64" s="548"/>
      <c r="X64" s="548"/>
      <c r="Y64" s="548"/>
      <c r="Z64" s="548"/>
      <c r="AA64" s="548"/>
      <c r="AB64" s="548"/>
      <c r="AC64" s="548"/>
      <c r="AD64" s="548"/>
      <c r="AE64" s="548"/>
      <c r="AF64" s="548"/>
      <c r="AG64" s="548"/>
      <c r="AH64" s="558"/>
      <c r="AI64" s="573">
        <v>0.5</v>
      </c>
      <c r="AJ64" s="574">
        <f t="shared" si="13"/>
        <v>0.5</v>
      </c>
      <c r="AK64" s="575"/>
      <c r="AL64" s="284"/>
      <c r="AM64" s="575"/>
      <c r="AN64" s="575"/>
      <c r="AO64" s="575"/>
      <c r="AP64" s="575"/>
      <c r="AQ64" s="575"/>
      <c r="AR64" s="575"/>
      <c r="AS64" s="575"/>
      <c r="AT64" s="575"/>
      <c r="AU64" s="575"/>
      <c r="AV64" s="575"/>
      <c r="AW64" s="575"/>
      <c r="AX64" s="575"/>
      <c r="AY64" s="575"/>
      <c r="AZ64" s="575"/>
      <c r="BA64" s="575"/>
      <c r="BB64" s="575"/>
      <c r="BC64" s="575"/>
      <c r="BD64" s="575"/>
      <c r="BE64" s="575"/>
      <c r="BF64" s="575"/>
      <c r="BG64" s="575"/>
    </row>
    <row r="65" spans="1:59" s="507" customFormat="1" x14ac:dyDescent="0.35">
      <c r="A65" s="541" t="s">
        <v>201</v>
      </c>
      <c r="B65" s="552">
        <f>IF(B$9=0,"",+(B46*10)/B$9)</f>
        <v>0</v>
      </c>
      <c r="C65" s="552">
        <f>IF(C$9=0,"",+(C46*10)/C$9)</f>
        <v>0</v>
      </c>
      <c r="D65" s="552">
        <f>IF(D$9=0,"",+(D46*10)/D$9)</f>
        <v>0</v>
      </c>
      <c r="E65" s="577" t="str">
        <f t="shared" ref="E65:AF65" si="27">IF(E$9=0,"",+(E46*10)/E$9)</f>
        <v/>
      </c>
      <c r="F65" s="577" t="str">
        <f t="shared" si="27"/>
        <v/>
      </c>
      <c r="G65" s="577">
        <f t="shared" si="27"/>
        <v>0</v>
      </c>
      <c r="H65" s="552">
        <f t="shared" si="27"/>
        <v>0</v>
      </c>
      <c r="I65" s="552">
        <f t="shared" si="27"/>
        <v>0</v>
      </c>
      <c r="J65" s="552">
        <f>IF(J$9=0,"",+(J46*10)/J$9)</f>
        <v>0</v>
      </c>
      <c r="K65" s="552">
        <f t="shared" si="27"/>
        <v>0</v>
      </c>
      <c r="L65" s="577" t="str">
        <f t="shared" si="27"/>
        <v/>
      </c>
      <c r="M65" s="552" t="str">
        <f t="shared" si="27"/>
        <v/>
      </c>
      <c r="N65" s="552">
        <f t="shared" si="27"/>
        <v>0</v>
      </c>
      <c r="O65" s="552">
        <f t="shared" si="27"/>
        <v>0</v>
      </c>
      <c r="P65" s="552">
        <f t="shared" si="27"/>
        <v>0</v>
      </c>
      <c r="Q65" s="552">
        <f t="shared" si="27"/>
        <v>0</v>
      </c>
      <c r="R65" s="552">
        <f t="shared" si="27"/>
        <v>0</v>
      </c>
      <c r="S65" s="552" t="str">
        <f t="shared" si="27"/>
        <v/>
      </c>
      <c r="T65" s="552" t="str">
        <f t="shared" si="27"/>
        <v/>
      </c>
      <c r="U65" s="552">
        <f t="shared" si="27"/>
        <v>0</v>
      </c>
      <c r="V65" s="577">
        <f t="shared" si="27"/>
        <v>0</v>
      </c>
      <c r="W65" s="577">
        <f t="shared" si="27"/>
        <v>0</v>
      </c>
      <c r="X65" s="577">
        <f t="shared" si="27"/>
        <v>0</v>
      </c>
      <c r="Y65" s="577">
        <f>IF(Y$9=0,"",+(Y46*10)/Y$9)</f>
        <v>0</v>
      </c>
      <c r="Z65" s="577" t="str">
        <f t="shared" si="27"/>
        <v/>
      </c>
      <c r="AA65" s="577" t="str">
        <f t="shared" si="27"/>
        <v/>
      </c>
      <c r="AB65" s="577">
        <f t="shared" si="27"/>
        <v>0</v>
      </c>
      <c r="AC65" s="577">
        <f>IF(AC$9=0,"",+(AC46*10)/AC$9)</f>
        <v>0</v>
      </c>
      <c r="AD65" s="577">
        <f t="shared" si="27"/>
        <v>0</v>
      </c>
      <c r="AE65" s="577">
        <f t="shared" si="27"/>
        <v>0</v>
      </c>
      <c r="AF65" s="577">
        <f t="shared" si="27"/>
        <v>0</v>
      </c>
      <c r="AG65" s="577"/>
      <c r="AH65" s="553">
        <f>+(AH46*10)/AH$9</f>
        <v>0</v>
      </c>
      <c r="AI65" s="553">
        <v>0.3</v>
      </c>
      <c r="AJ65" s="554">
        <f t="shared" si="13"/>
        <v>0.3</v>
      </c>
      <c r="AK65" s="477"/>
      <c r="AL65" s="477"/>
      <c r="AM65" s="477"/>
      <c r="AN65" s="477"/>
      <c r="AO65" s="477"/>
      <c r="AP65" s="477"/>
      <c r="AQ65" s="477"/>
      <c r="AR65" s="477"/>
      <c r="AS65" s="477"/>
      <c r="AT65" s="477"/>
      <c r="AU65" s="477"/>
      <c r="AV65" s="477"/>
      <c r="AW65" s="477"/>
      <c r="AX65" s="477"/>
      <c r="AY65" s="477"/>
      <c r="AZ65" s="477"/>
      <c r="BA65" s="477"/>
      <c r="BB65" s="477"/>
      <c r="BC65" s="477"/>
      <c r="BD65" s="477"/>
      <c r="BE65" s="477"/>
      <c r="BF65" s="477"/>
      <c r="BG65" s="477"/>
    </row>
    <row r="66" spans="1:59" s="576" customFormat="1" hidden="1" x14ac:dyDescent="0.35">
      <c r="A66" s="572" t="s">
        <v>187</v>
      </c>
      <c r="B66" s="578"/>
      <c r="C66" s="578"/>
      <c r="D66" s="578"/>
      <c r="E66" s="578"/>
      <c r="F66" s="578"/>
      <c r="G66" s="578"/>
      <c r="H66" s="578"/>
      <c r="I66" s="578"/>
      <c r="J66" s="579"/>
      <c r="K66" s="579"/>
      <c r="L66" s="579"/>
      <c r="M66" s="579"/>
      <c r="N66" s="579"/>
      <c r="O66" s="579"/>
      <c r="P66" s="579"/>
      <c r="Q66" s="579"/>
      <c r="R66" s="579"/>
      <c r="S66" s="579"/>
      <c r="T66" s="579"/>
      <c r="U66" s="579"/>
      <c r="V66" s="579"/>
      <c r="W66" s="579"/>
      <c r="X66" s="579"/>
      <c r="Y66" s="579"/>
      <c r="Z66" s="579"/>
      <c r="AA66" s="579"/>
      <c r="AB66" s="579"/>
      <c r="AC66" s="579"/>
      <c r="AD66" s="579"/>
      <c r="AE66" s="579"/>
      <c r="AF66" s="579"/>
      <c r="AG66" s="579"/>
      <c r="AH66" s="573"/>
      <c r="AI66" s="573">
        <v>0.4</v>
      </c>
      <c r="AJ66" s="574">
        <f t="shared" si="13"/>
        <v>0.4</v>
      </c>
      <c r="AK66" s="575"/>
      <c r="AL66" s="284"/>
      <c r="AM66" s="575"/>
      <c r="AN66" s="575"/>
      <c r="AO66" s="575"/>
      <c r="AP66" s="575"/>
      <c r="AQ66" s="575"/>
      <c r="AR66" s="575"/>
      <c r="AS66" s="575"/>
      <c r="AT66" s="575"/>
      <c r="AU66" s="575"/>
      <c r="AV66" s="575"/>
      <c r="AW66" s="575"/>
      <c r="AX66" s="575"/>
      <c r="AY66" s="575"/>
      <c r="AZ66" s="575"/>
      <c r="BA66" s="575"/>
      <c r="BB66" s="575"/>
      <c r="BC66" s="575"/>
      <c r="BD66" s="575"/>
      <c r="BE66" s="575"/>
      <c r="BF66" s="575"/>
      <c r="BG66" s="575"/>
    </row>
    <row r="67" spans="1:59" s="556" customFormat="1" hidden="1" x14ac:dyDescent="0.35">
      <c r="A67" s="580" t="s">
        <v>200</v>
      </c>
      <c r="B67" s="581"/>
      <c r="C67" s="581"/>
      <c r="D67" s="581"/>
      <c r="E67" s="581"/>
      <c r="F67" s="581"/>
      <c r="G67" s="581"/>
      <c r="H67" s="581"/>
      <c r="I67" s="581"/>
      <c r="J67" s="582"/>
      <c r="K67" s="582"/>
      <c r="L67" s="582"/>
      <c r="M67" s="582"/>
      <c r="N67" s="582"/>
      <c r="O67" s="582"/>
      <c r="P67" s="582"/>
      <c r="Q67" s="582"/>
      <c r="R67" s="582"/>
      <c r="S67" s="582"/>
      <c r="T67" s="582"/>
      <c r="U67" s="582"/>
      <c r="V67" s="582"/>
      <c r="W67" s="582"/>
      <c r="X67" s="582"/>
      <c r="Y67" s="582"/>
      <c r="Z67" s="582"/>
      <c r="AA67" s="582"/>
      <c r="AB67" s="582"/>
      <c r="AC67" s="582"/>
      <c r="AD67" s="582"/>
      <c r="AE67" s="582"/>
      <c r="AF67" s="582"/>
      <c r="AG67" s="582"/>
      <c r="AH67" s="583"/>
      <c r="AI67" s="583">
        <v>0.2</v>
      </c>
      <c r="AJ67" s="584">
        <f t="shared" si="13"/>
        <v>0.2</v>
      </c>
      <c r="AK67" s="555"/>
      <c r="AL67" s="477"/>
      <c r="AM67" s="555"/>
      <c r="AN67" s="555"/>
      <c r="AO67" s="555"/>
      <c r="AP67" s="555"/>
      <c r="AQ67" s="555"/>
      <c r="AR67" s="555"/>
      <c r="AS67" s="555"/>
      <c r="AT67" s="555"/>
      <c r="AU67" s="555"/>
      <c r="AV67" s="555"/>
      <c r="AW67" s="555"/>
      <c r="AX67" s="555"/>
      <c r="AY67" s="555"/>
      <c r="AZ67" s="555"/>
      <c r="BA67" s="555"/>
      <c r="BB67" s="555"/>
      <c r="BC67" s="555"/>
      <c r="BD67" s="555"/>
      <c r="BE67" s="555"/>
      <c r="BF67" s="555"/>
      <c r="BG67" s="555"/>
    </row>
    <row r="68" spans="1:59" s="474" customFormat="1" ht="30" x14ac:dyDescent="0.4">
      <c r="A68" s="585" t="s">
        <v>224</v>
      </c>
      <c r="B68" s="586">
        <f>SUM(B54:B63,B65)</f>
        <v>6.2941704537651857</v>
      </c>
      <c r="C68" s="586">
        <f>SUM(C54:C63,C65)</f>
        <v>8.0414941096055657</v>
      </c>
      <c r="D68" s="586">
        <f>SUM(D54:D63,D65)</f>
        <v>5.8321953439979186</v>
      </c>
      <c r="E68" s="586">
        <f>SUM(E54:E63,E65)</f>
        <v>0</v>
      </c>
      <c r="F68" s="586">
        <f t="shared" ref="F68:AJ68" si="28">SUM(F54:F63,F65)</f>
        <v>0</v>
      </c>
      <c r="G68" s="586">
        <f t="shared" si="28"/>
        <v>7.4978577549271641</v>
      </c>
      <c r="H68" s="586">
        <f t="shared" si="28"/>
        <v>12.054507337526205</v>
      </c>
      <c r="I68" s="586">
        <f t="shared" si="28"/>
        <v>10.060308763882693</v>
      </c>
      <c r="J68" s="587">
        <f t="shared" si="28"/>
        <v>7.403827685978575</v>
      </c>
      <c r="K68" s="587">
        <f t="shared" si="28"/>
        <v>9.2017877759107467</v>
      </c>
      <c r="L68" s="587">
        <f t="shared" si="28"/>
        <v>0</v>
      </c>
      <c r="M68" s="587">
        <f t="shared" si="28"/>
        <v>0</v>
      </c>
      <c r="N68" s="587">
        <f t="shared" si="28"/>
        <v>5.4270418938166101</v>
      </c>
      <c r="O68" s="587">
        <f t="shared" si="28"/>
        <v>6.7266431399837625</v>
      </c>
      <c r="P68" s="587">
        <f t="shared" si="28"/>
        <v>8.2283509249801376</v>
      </c>
      <c r="Q68" s="587">
        <f t="shared" si="28"/>
        <v>7.715722666817217</v>
      </c>
      <c r="R68" s="587">
        <f t="shared" si="28"/>
        <v>36.836252432582704</v>
      </c>
      <c r="S68" s="587">
        <f t="shared" si="28"/>
        <v>0</v>
      </c>
      <c r="T68" s="587">
        <f t="shared" si="28"/>
        <v>0</v>
      </c>
      <c r="U68" s="587">
        <f t="shared" si="28"/>
        <v>6.5128167317948344</v>
      </c>
      <c r="V68" s="587">
        <f t="shared" si="28"/>
        <v>9.097307197069668</v>
      </c>
      <c r="W68" s="587">
        <f t="shared" si="28"/>
        <v>11.651213997255054</v>
      </c>
      <c r="X68" s="587">
        <f t="shared" si="28"/>
        <v>16.268267989767608</v>
      </c>
      <c r="Y68" s="587">
        <f t="shared" si="28"/>
        <v>26.994078718216652</v>
      </c>
      <c r="Z68" s="587">
        <f t="shared" si="28"/>
        <v>0</v>
      </c>
      <c r="AA68" s="587">
        <f t="shared" si="28"/>
        <v>0</v>
      </c>
      <c r="AB68" s="587">
        <f t="shared" si="28"/>
        <v>6.8858103123206815</v>
      </c>
      <c r="AC68" s="587">
        <f t="shared" si="28"/>
        <v>5.7472338516746406</v>
      </c>
      <c r="AD68" s="587">
        <f t="shared" si="28"/>
        <v>8.2809389810885001</v>
      </c>
      <c r="AE68" s="587">
        <f t="shared" si="28"/>
        <v>6.4923423316538935</v>
      </c>
      <c r="AF68" s="587">
        <f t="shared" si="28"/>
        <v>7.6028389281401321</v>
      </c>
      <c r="AG68" s="587"/>
      <c r="AH68" s="586">
        <f t="shared" si="28"/>
        <v>8.9438013494114355</v>
      </c>
      <c r="AI68" s="586">
        <f>SUM(AI54:AI63,AI65)</f>
        <v>9.6</v>
      </c>
      <c r="AJ68" s="550">
        <f t="shared" si="28"/>
        <v>0.65619865058856586</v>
      </c>
      <c r="AK68" s="471"/>
      <c r="AL68" s="284"/>
      <c r="AM68" s="471"/>
      <c r="AN68" s="471"/>
      <c r="AO68" s="471"/>
      <c r="AP68" s="471"/>
      <c r="AQ68" s="471"/>
      <c r="AR68" s="471"/>
      <c r="AS68" s="471"/>
      <c r="AT68" s="471"/>
      <c r="AU68" s="471"/>
      <c r="AV68" s="471"/>
      <c r="AW68" s="471"/>
      <c r="AX68" s="471"/>
      <c r="AY68" s="471"/>
      <c r="AZ68" s="471"/>
      <c r="BA68" s="471"/>
      <c r="BB68" s="471"/>
      <c r="BC68" s="471"/>
      <c r="BD68" s="471"/>
      <c r="BE68" s="471"/>
      <c r="BF68" s="471"/>
      <c r="BG68" s="471"/>
    </row>
    <row r="69" spans="1:59" s="592" customFormat="1" ht="25.5" x14ac:dyDescent="0.35">
      <c r="A69" s="588" t="s">
        <v>203</v>
      </c>
      <c r="B69" s="589">
        <f>SUM(B60:B62)</f>
        <v>1.8225544074875621</v>
      </c>
      <c r="C69" s="589">
        <f>SUM(C60:C62)</f>
        <v>2.3651453263545776</v>
      </c>
      <c r="D69" s="589">
        <f t="shared" ref="D69:AJ69" si="29">SUM(D60:D62)</f>
        <v>2.2556574326960592</v>
      </c>
      <c r="E69" s="589">
        <f t="shared" si="29"/>
        <v>0</v>
      </c>
      <c r="F69" s="589">
        <f t="shared" si="29"/>
        <v>0</v>
      </c>
      <c r="G69" s="589">
        <f t="shared" si="29"/>
        <v>2.7021500350549195</v>
      </c>
      <c r="H69" s="589">
        <f t="shared" si="29"/>
        <v>3.4305317324185243</v>
      </c>
      <c r="I69" s="589">
        <f t="shared" si="29"/>
        <v>3.1322333354568808</v>
      </c>
      <c r="J69" s="590">
        <f t="shared" si="29"/>
        <v>2.9119657007614479</v>
      </c>
      <c r="K69" s="590">
        <f t="shared" si="29"/>
        <v>2.7148131637003758</v>
      </c>
      <c r="L69" s="590">
        <f t="shared" si="29"/>
        <v>0</v>
      </c>
      <c r="M69" s="590">
        <f t="shared" si="29"/>
        <v>0</v>
      </c>
      <c r="N69" s="590">
        <f t="shared" si="29"/>
        <v>2.9222533274397131</v>
      </c>
      <c r="O69" s="590">
        <f t="shared" si="29"/>
        <v>2.534917242407674</v>
      </c>
      <c r="P69" s="590">
        <f t="shared" si="29"/>
        <v>3.2242754408229377</v>
      </c>
      <c r="Q69" s="590">
        <f t="shared" si="29"/>
        <v>2.3053073821588028</v>
      </c>
      <c r="R69" s="590">
        <f t="shared" si="29"/>
        <v>4.8651654156241309</v>
      </c>
      <c r="S69" s="590">
        <f t="shared" si="29"/>
        <v>0</v>
      </c>
      <c r="T69" s="590">
        <f t="shared" si="29"/>
        <v>0</v>
      </c>
      <c r="U69" s="590">
        <f t="shared" si="29"/>
        <v>2.3593600235936001</v>
      </c>
      <c r="V69" s="590">
        <f t="shared" si="29"/>
        <v>2.5792365459823894</v>
      </c>
      <c r="W69" s="590">
        <f t="shared" si="29"/>
        <v>3.3077599060003751</v>
      </c>
      <c r="X69" s="590">
        <f t="shared" si="29"/>
        <v>3.2845671713307523</v>
      </c>
      <c r="Y69" s="590">
        <f t="shared" si="29"/>
        <v>6.6396725879484499</v>
      </c>
      <c r="Z69" s="590">
        <f t="shared" si="29"/>
        <v>0</v>
      </c>
      <c r="AA69" s="590">
        <f t="shared" si="29"/>
        <v>0</v>
      </c>
      <c r="AB69" s="590">
        <f t="shared" si="29"/>
        <v>4.0167226821870639</v>
      </c>
      <c r="AC69" s="590">
        <f t="shared" si="29"/>
        <v>2.3829994019138758</v>
      </c>
      <c r="AD69" s="590">
        <f t="shared" si="29"/>
        <v>2.270163957432362</v>
      </c>
      <c r="AE69" s="590">
        <f t="shared" si="29"/>
        <v>2.3234016973685252</v>
      </c>
      <c r="AF69" s="590">
        <f t="shared" si="29"/>
        <v>2.9087378484968847</v>
      </c>
      <c r="AG69" s="590"/>
      <c r="AH69" s="845">
        <f t="shared" si="29"/>
        <v>2.9568396019221166</v>
      </c>
      <c r="AI69" s="589">
        <f t="shared" si="29"/>
        <v>2.9</v>
      </c>
      <c r="AJ69" s="589">
        <f t="shared" si="29"/>
        <v>-5.6839601922116623E-2</v>
      </c>
      <c r="AK69" s="591"/>
      <c r="AL69" s="284"/>
      <c r="AM69" s="591"/>
      <c r="AN69" s="591"/>
      <c r="AO69" s="591"/>
      <c r="AP69" s="591"/>
      <c r="AQ69" s="591"/>
      <c r="AR69" s="591"/>
      <c r="AS69" s="591"/>
      <c r="AT69" s="591"/>
      <c r="AU69" s="591"/>
      <c r="AV69" s="591"/>
      <c r="AW69" s="591"/>
      <c r="AX69" s="591"/>
      <c r="AY69" s="591"/>
      <c r="AZ69" s="591"/>
      <c r="BA69" s="591"/>
      <c r="BB69" s="591"/>
      <c r="BC69" s="591"/>
      <c r="BD69" s="591"/>
      <c r="BE69" s="591"/>
      <c r="BF69" s="591"/>
      <c r="BG69" s="591"/>
    </row>
    <row r="70" spans="1:59" x14ac:dyDescent="0.35">
      <c r="A70" s="533"/>
      <c r="B70" s="487"/>
      <c r="C70" s="487"/>
      <c r="D70" s="487"/>
      <c r="E70" s="487"/>
      <c r="F70" s="487"/>
      <c r="G70" s="487"/>
      <c r="H70" s="487"/>
      <c r="I70" s="487"/>
      <c r="J70" s="523"/>
      <c r="K70" s="523"/>
      <c r="L70" s="523"/>
      <c r="M70" s="523"/>
      <c r="N70" s="523"/>
      <c r="O70" s="523"/>
      <c r="P70" s="523"/>
      <c r="Q70" s="523"/>
      <c r="R70" s="523"/>
      <c r="S70" s="523"/>
      <c r="T70" s="523"/>
      <c r="U70" s="523"/>
      <c r="V70" s="523"/>
      <c r="W70" s="523"/>
      <c r="X70" s="523"/>
      <c r="Y70" s="523"/>
      <c r="Z70" s="523"/>
      <c r="AA70" s="523"/>
      <c r="AB70" s="523"/>
      <c r="AC70" s="523"/>
      <c r="AD70" s="523"/>
      <c r="AE70" s="523"/>
      <c r="AH70" s="487"/>
      <c r="AI70" s="487"/>
    </row>
    <row r="71" spans="1:59" s="598" customFormat="1" ht="52.5" x14ac:dyDescent="0.4">
      <c r="A71" s="593" t="s">
        <v>233</v>
      </c>
      <c r="B71" s="594">
        <f>+'Water '!$F7</f>
        <v>188</v>
      </c>
      <c r="C71" s="594">
        <f>+'Water '!$F8</f>
        <v>220</v>
      </c>
      <c r="D71" s="594">
        <f>+'Water '!$F9</f>
        <v>149</v>
      </c>
      <c r="E71" s="594">
        <f>+'Water '!$F10</f>
        <v>194</v>
      </c>
      <c r="F71" s="594">
        <f>+'Water '!$F11</f>
        <v>42</v>
      </c>
      <c r="G71" s="594">
        <f>+'Water '!$F12</f>
        <v>197</v>
      </c>
      <c r="H71" s="594">
        <f>+'Water '!$F13</f>
        <v>130</v>
      </c>
      <c r="I71" s="594">
        <f>+'Water '!$F14</f>
        <v>123</v>
      </c>
      <c r="J71" s="595">
        <f>+'Water '!$F15</f>
        <v>204</v>
      </c>
      <c r="K71" s="595">
        <f>+'Water '!$F16</f>
        <v>188</v>
      </c>
      <c r="L71" s="595">
        <f>+'Water '!$F17</f>
        <v>100</v>
      </c>
      <c r="M71" s="595">
        <f>+'Water '!$F18</f>
        <v>226</v>
      </c>
      <c r="N71" s="595">
        <f>+'Water '!$F19</f>
        <v>84</v>
      </c>
      <c r="O71" s="595">
        <f>+'Water '!$F20</f>
        <v>137</v>
      </c>
      <c r="P71" s="595">
        <f>+'Water '!$F21</f>
        <v>177</v>
      </c>
      <c r="Q71" s="595">
        <f>+'Water '!$F22</f>
        <v>197</v>
      </c>
      <c r="R71" s="595">
        <f>+'Water '!$F23</f>
        <v>275</v>
      </c>
      <c r="S71" s="595">
        <f>+'Water '!$F24</f>
        <v>112</v>
      </c>
      <c r="T71" s="595">
        <f>+'Water '!$F25</f>
        <v>71</v>
      </c>
      <c r="U71" s="595">
        <f>+'Water '!$F26</f>
        <v>169</v>
      </c>
      <c r="V71" s="595">
        <f>+'Water '!$F27</f>
        <v>122</v>
      </c>
      <c r="W71" s="595">
        <f>+'Water '!$F28</f>
        <v>225</v>
      </c>
      <c r="X71" s="595">
        <f>+'Water '!$F29</f>
        <v>212</v>
      </c>
      <c r="Y71" s="595">
        <f>+'Water '!$F30</f>
        <v>254</v>
      </c>
      <c r="Z71" s="595">
        <f>+'Water '!$F31</f>
        <v>103</v>
      </c>
      <c r="AA71" s="595" t="str">
        <f>+'Water '!$F32</f>
        <v>0</v>
      </c>
      <c r="AB71" s="595">
        <f>+'Water '!$F33</f>
        <v>254</v>
      </c>
      <c r="AC71" s="595">
        <f>+'Water '!$F34</f>
        <v>229</v>
      </c>
      <c r="AD71" s="595">
        <f>+'Water '!$F35</f>
        <v>126</v>
      </c>
      <c r="AE71" s="595">
        <f>+'Water '!$F36</f>
        <v>117</v>
      </c>
      <c r="AF71" s="595">
        <f>+'Water '!$F37</f>
        <v>94</v>
      </c>
      <c r="AG71" s="595"/>
      <c r="AH71" s="596">
        <f>SUM($B71:AF71)</f>
        <v>4919</v>
      </c>
      <c r="AI71" s="596"/>
      <c r="AJ71" s="597"/>
      <c r="AK71" s="597"/>
      <c r="AL71" s="597"/>
      <c r="AM71" s="597"/>
      <c r="AN71" s="597"/>
      <c r="AO71" s="597"/>
      <c r="AP71" s="597"/>
      <c r="AQ71" s="597"/>
      <c r="AR71" s="597"/>
      <c r="AS71" s="597"/>
      <c r="AT71" s="597"/>
      <c r="AU71" s="597"/>
      <c r="AV71" s="597"/>
      <c r="AW71" s="597"/>
      <c r="AX71" s="597"/>
      <c r="AY71" s="597"/>
      <c r="AZ71" s="597"/>
      <c r="BA71" s="597"/>
      <c r="BB71" s="597"/>
      <c r="BC71" s="597"/>
      <c r="BD71" s="597"/>
      <c r="BE71" s="597"/>
      <c r="BF71" s="597"/>
      <c r="BG71" s="597"/>
    </row>
    <row r="72" spans="1:59" x14ac:dyDescent="0.35">
      <c r="A72" s="533"/>
      <c r="B72" s="487"/>
      <c r="C72" s="487"/>
      <c r="D72" s="487"/>
      <c r="E72" s="487"/>
      <c r="F72" s="487"/>
      <c r="G72" s="487"/>
      <c r="H72" s="487"/>
      <c r="I72" s="487"/>
      <c r="J72" s="523"/>
      <c r="K72" s="523"/>
      <c r="L72" s="523"/>
      <c r="M72" s="523"/>
      <c r="N72" s="523"/>
      <c r="O72" s="523"/>
      <c r="P72" s="523"/>
      <c r="Q72" s="523"/>
      <c r="R72" s="523"/>
      <c r="S72" s="523"/>
      <c r="T72" s="523"/>
      <c r="U72" s="523"/>
      <c r="V72" s="523"/>
      <c r="W72" s="523"/>
      <c r="X72" s="523"/>
      <c r="Y72" s="523"/>
      <c r="Z72" s="523"/>
      <c r="AA72" s="523"/>
      <c r="AB72" s="523"/>
      <c r="AC72" s="523"/>
      <c r="AD72" s="523"/>
      <c r="AE72" s="523"/>
      <c r="AH72" s="487"/>
      <c r="AI72" s="487"/>
    </row>
    <row r="73" spans="1:59" ht="25.5" hidden="1" customHeight="1" x14ac:dyDescent="0.5">
      <c r="A73" s="599" t="s">
        <v>241</v>
      </c>
      <c r="B73" s="487"/>
      <c r="C73" s="487"/>
      <c r="D73" s="487"/>
      <c r="E73" s="487"/>
      <c r="F73" s="523"/>
      <c r="G73" s="523"/>
      <c r="H73" s="523"/>
      <c r="I73" s="523"/>
      <c r="J73" s="523"/>
      <c r="K73" s="523"/>
      <c r="L73" s="523"/>
      <c r="M73" s="523"/>
      <c r="N73" s="523"/>
      <c r="O73" s="523"/>
      <c r="P73" s="523"/>
      <c r="Q73" s="523"/>
      <c r="R73" s="523"/>
      <c r="S73" s="523"/>
      <c r="T73" s="523"/>
      <c r="U73" s="523"/>
      <c r="V73" s="523"/>
      <c r="W73" s="523"/>
      <c r="X73" s="523"/>
      <c r="Y73" s="523"/>
      <c r="Z73" s="523"/>
      <c r="AA73" s="523"/>
      <c r="AB73" s="523"/>
      <c r="AC73" s="523"/>
      <c r="AD73" s="523"/>
      <c r="AE73" s="523"/>
      <c r="AF73" s="523"/>
      <c r="AG73" s="523"/>
      <c r="AH73" s="523">
        <f>SUM(B73:AF73)</f>
        <v>0</v>
      </c>
      <c r="AI73" s="600"/>
    </row>
    <row r="74" spans="1:59" s="507" customFormat="1" ht="37.5" customHeight="1" x14ac:dyDescent="0.5">
      <c r="A74" s="532" t="s">
        <v>223</v>
      </c>
      <c r="B74" s="790">
        <v>2800</v>
      </c>
      <c r="C74" s="790">
        <v>2500</v>
      </c>
      <c r="D74" s="795">
        <v>3100</v>
      </c>
      <c r="E74" s="601"/>
      <c r="F74" s="601"/>
      <c r="G74" s="601">
        <v>1600</v>
      </c>
      <c r="H74" s="601">
        <v>1600</v>
      </c>
      <c r="I74" s="797">
        <f>2100+1100</f>
        <v>3200</v>
      </c>
      <c r="J74" s="797">
        <f>1200+400</f>
        <v>1600</v>
      </c>
      <c r="K74" s="801">
        <f>1500+400</f>
        <v>1900</v>
      </c>
      <c r="L74" s="799">
        <v>300</v>
      </c>
      <c r="M74" s="800">
        <v>500</v>
      </c>
      <c r="N74" s="799">
        <v>1800</v>
      </c>
      <c r="O74" s="809">
        <f>1200+1600</f>
        <v>2800</v>
      </c>
      <c r="P74" s="809">
        <f>1150+750</f>
        <v>1900</v>
      </c>
      <c r="Q74" s="809">
        <f>1150+1150</f>
        <v>2300</v>
      </c>
      <c r="R74" s="795">
        <f>600+1200</f>
        <v>1800</v>
      </c>
      <c r="S74" s="810">
        <v>-900</v>
      </c>
      <c r="T74" s="790">
        <v>800</v>
      </c>
      <c r="U74" s="790">
        <v>2200</v>
      </c>
      <c r="V74" s="817">
        <f>2000+900</f>
        <v>2900</v>
      </c>
      <c r="W74" s="790">
        <v>1700</v>
      </c>
      <c r="X74" s="795">
        <f>2000+400</f>
        <v>2400</v>
      </c>
      <c r="Y74" s="601">
        <v>2000</v>
      </c>
      <c r="Z74" s="601">
        <v>0</v>
      </c>
      <c r="AA74" s="842">
        <v>800</v>
      </c>
      <c r="AB74" s="601">
        <v>1600</v>
      </c>
      <c r="AC74" s="809">
        <v>3500</v>
      </c>
      <c r="AD74" s="799">
        <v>2000</v>
      </c>
      <c r="AE74" s="790">
        <v>2500</v>
      </c>
      <c r="AF74" s="790">
        <v>1900</v>
      </c>
      <c r="AG74" s="790">
        <v>0</v>
      </c>
      <c r="AH74" s="519">
        <f>SUM(B74:AF74)</f>
        <v>53100</v>
      </c>
      <c r="AI74" s="540"/>
      <c r="AJ74" s="540"/>
      <c r="AK74" s="477"/>
      <c r="AL74" s="477"/>
      <c r="AM74" s="477"/>
      <c r="AN74" s="477"/>
      <c r="AO74" s="477"/>
      <c r="AP74" s="477"/>
      <c r="AQ74" s="477"/>
      <c r="AR74" s="477"/>
      <c r="AS74" s="477"/>
      <c r="AT74" s="477"/>
      <c r="AU74" s="477"/>
      <c r="AV74" s="477"/>
      <c r="AW74" s="477"/>
      <c r="AX74" s="477"/>
      <c r="AY74" s="477"/>
      <c r="AZ74" s="477"/>
      <c r="BA74" s="477"/>
      <c r="BB74" s="477"/>
      <c r="BC74" s="477"/>
      <c r="BD74" s="477"/>
      <c r="BE74" s="477"/>
      <c r="BF74" s="477"/>
      <c r="BG74" s="477"/>
    </row>
    <row r="75" spans="1:59" s="606" customFormat="1" x14ac:dyDescent="0.4">
      <c r="A75" s="604" t="s">
        <v>287</v>
      </c>
      <c r="B75" s="605" cm="1">
        <f t="array" ref="B75:AF75">TRANSPOSE('CO2'!D7:D37)</f>
        <v>2727.0899999999674</v>
      </c>
      <c r="C75" s="605">
        <v>2440.9900000000489</v>
      </c>
      <c r="D75" s="605">
        <v>1912.9199999999837</v>
      </c>
      <c r="E75" s="605" t="str">
        <v>0</v>
      </c>
      <c r="F75" s="605">
        <v>108</v>
      </c>
      <c r="G75" s="605">
        <v>1829.429999999993</v>
      </c>
      <c r="H75" s="605">
        <v>1376.6900000000023</v>
      </c>
      <c r="I75" s="605">
        <v>3199.6900000000023</v>
      </c>
      <c r="J75" s="605">
        <v>1600.7199999999721</v>
      </c>
      <c r="K75" s="605">
        <v>1828.6800000000512</v>
      </c>
      <c r="L75" s="605">
        <v>142.07999999995809</v>
      </c>
      <c r="M75" s="605" t="str">
        <v>0</v>
      </c>
      <c r="N75" s="605">
        <v>1466.7399999999907</v>
      </c>
      <c r="O75" s="605">
        <v>2219.4000000000233</v>
      </c>
      <c r="P75" s="605">
        <v>1795.3700000000536</v>
      </c>
      <c r="Q75" s="605">
        <v>2240.5099999998929</v>
      </c>
      <c r="R75" s="605">
        <v>1076.5</v>
      </c>
      <c r="S75" s="605" t="str">
        <v>0</v>
      </c>
      <c r="T75" s="605">
        <v>297.87000000011176</v>
      </c>
      <c r="U75" s="605">
        <v>2307.1899999999441</v>
      </c>
      <c r="V75" s="605">
        <v>3150.1600000000326</v>
      </c>
      <c r="W75" s="605">
        <v>1505.7199999999721</v>
      </c>
      <c r="X75" s="605">
        <v>2036.6500000000233</v>
      </c>
      <c r="Y75" s="602">
        <v>787.71999999997206</v>
      </c>
      <c r="Z75" s="603" t="str">
        <v>0</v>
      </c>
      <c r="AA75" s="602">
        <v>202.06000000005588</v>
      </c>
      <c r="AB75" s="602">
        <v>1564.5399999999208</v>
      </c>
      <c r="AC75" s="602">
        <v>3671.1300000000047</v>
      </c>
      <c r="AD75" s="602">
        <v>1896.0800000000745</v>
      </c>
      <c r="AE75" s="602">
        <v>2594.5199999999022</v>
      </c>
      <c r="AF75" s="602">
        <v>1982.1700000000419</v>
      </c>
      <c r="AG75" s="602"/>
      <c r="AH75" s="519">
        <f>SUM(B75:AF75)</f>
        <v>47960.619999999995</v>
      </c>
      <c r="AI75" s="603"/>
      <c r="AJ75" s="603"/>
      <c r="AK75" s="603"/>
      <c r="AL75" s="603"/>
      <c r="AM75" s="603"/>
      <c r="AN75" s="603"/>
      <c r="AO75" s="603"/>
      <c r="AP75" s="603"/>
      <c r="AQ75" s="603"/>
      <c r="AR75" s="603"/>
      <c r="AS75" s="603"/>
      <c r="AT75" s="603"/>
      <c r="AU75" s="603"/>
      <c r="AV75" s="603"/>
      <c r="AW75" s="603"/>
      <c r="AX75" s="603"/>
      <c r="AY75" s="603"/>
      <c r="AZ75" s="603"/>
      <c r="BA75" s="603"/>
      <c r="BB75" s="603"/>
      <c r="BC75" s="603"/>
      <c r="BD75" s="603"/>
      <c r="BE75" s="603"/>
      <c r="BF75" s="603"/>
    </row>
    <row r="76" spans="1:59" s="607" customFormat="1" x14ac:dyDescent="0.2">
      <c r="A76" s="607" t="s">
        <v>293</v>
      </c>
      <c r="B76" s="608" cm="1">
        <f t="array" ref="B76:AF76">TRANSPOSE('CO2'!B7:B37)</f>
        <v>293.59000000001106</v>
      </c>
      <c r="C76" s="608">
        <v>446.58999999999651</v>
      </c>
      <c r="D76" s="608">
        <v>210.05000000000291</v>
      </c>
      <c r="E76" s="608" t="str">
        <v>0</v>
      </c>
      <c r="F76" s="608">
        <v>16.30000000000291</v>
      </c>
      <c r="G76" s="608">
        <v>211.69999999999709</v>
      </c>
      <c r="H76" s="608">
        <v>117.66999999999825</v>
      </c>
      <c r="I76" s="608">
        <v>280.24000000000524</v>
      </c>
      <c r="J76" s="608">
        <v>157.80999999999767</v>
      </c>
      <c r="K76" s="608">
        <v>201.15999999998894</v>
      </c>
      <c r="L76" s="608" t="str">
        <v>0</v>
      </c>
      <c r="M76" s="608" t="str">
        <v>0</v>
      </c>
      <c r="N76" s="608">
        <v>213.01000000000931</v>
      </c>
      <c r="O76" s="608">
        <v>309.86000000000058</v>
      </c>
      <c r="P76" s="608">
        <v>267.38999999999942</v>
      </c>
      <c r="Q76" s="608">
        <v>218.67999999999302</v>
      </c>
      <c r="R76" s="608">
        <v>41.460000000006403</v>
      </c>
      <c r="S76" s="608" t="str">
        <v>0</v>
      </c>
      <c r="T76" s="608" t="str">
        <v>0</v>
      </c>
      <c r="U76" s="608">
        <v>241.59999999999127</v>
      </c>
      <c r="V76" s="608">
        <v>314.54000000000815</v>
      </c>
      <c r="W76" s="608">
        <v>87.910000000003492</v>
      </c>
      <c r="X76" s="608">
        <v>152.23999999999069</v>
      </c>
      <c r="Y76" s="608">
        <v>62.260000000009313</v>
      </c>
      <c r="Z76" s="608" t="str">
        <v>0</v>
      </c>
      <c r="AA76" s="608" t="str">
        <v>0</v>
      </c>
      <c r="AB76" s="608">
        <v>193.30999999999767</v>
      </c>
      <c r="AC76" s="608">
        <v>364.52000000000407</v>
      </c>
      <c r="AD76" s="608">
        <v>215.04999999998836</v>
      </c>
      <c r="AE76" s="608">
        <v>266.26000000000931</v>
      </c>
      <c r="AF76" s="608">
        <v>219.75999999999476</v>
      </c>
      <c r="AG76" s="608"/>
      <c r="AH76" s="608">
        <f>SUM($B76:AF76)</f>
        <v>5102.9600000000064</v>
      </c>
      <c r="AI76" s="609"/>
      <c r="AJ76" s="610"/>
      <c r="AK76" s="610"/>
      <c r="AL76" s="610"/>
      <c r="AM76" s="610"/>
      <c r="AN76" s="610"/>
      <c r="AO76" s="610"/>
      <c r="AP76" s="610"/>
      <c r="AQ76" s="610"/>
      <c r="AR76" s="610"/>
      <c r="AS76" s="610"/>
      <c r="AT76" s="610"/>
      <c r="AU76" s="610"/>
      <c r="AV76" s="610"/>
      <c r="AW76" s="610"/>
      <c r="AX76" s="610"/>
      <c r="AY76" s="610"/>
      <c r="AZ76" s="610"/>
      <c r="BA76" s="610"/>
      <c r="BB76" s="610"/>
      <c r="BC76" s="610"/>
      <c r="BD76" s="610"/>
      <c r="BE76" s="610"/>
      <c r="BF76" s="610"/>
      <c r="BG76" s="610"/>
    </row>
    <row r="77" spans="1:59" s="774" customFormat="1" x14ac:dyDescent="0.4">
      <c r="A77" s="704" t="s">
        <v>317</v>
      </c>
      <c r="B77" s="772" cm="1">
        <f t="array" ref="B77:AF77">TRANSPOSE('CO2'!C7:C37)</f>
        <v>983.70999999999913</v>
      </c>
      <c r="C77" s="772">
        <v>561.02999999999884</v>
      </c>
      <c r="D77" s="772">
        <v>511.30000000000291</v>
      </c>
      <c r="E77" s="772" t="str">
        <v>0</v>
      </c>
      <c r="F77" s="772">
        <v>42.349999999998545</v>
      </c>
      <c r="G77" s="772">
        <v>906.40000000000146</v>
      </c>
      <c r="H77" s="772">
        <v>641.09999999999854</v>
      </c>
      <c r="I77" s="772">
        <v>1021.9700000000012</v>
      </c>
      <c r="J77" s="611">
        <v>396.95999999999913</v>
      </c>
      <c r="K77" s="611">
        <v>729.04000000000087</v>
      </c>
      <c r="L77" s="611" t="str">
        <v>0</v>
      </c>
      <c r="M77" s="611" t="str">
        <v>0</v>
      </c>
      <c r="N77" s="772">
        <v>206.33000000000175</v>
      </c>
      <c r="O77" s="611">
        <v>431.89999999999418</v>
      </c>
      <c r="P77" s="611">
        <v>410.09000000000378</v>
      </c>
      <c r="Q77" s="611">
        <v>698.90999999999622</v>
      </c>
      <c r="R77" s="611">
        <v>818.38000000000466</v>
      </c>
      <c r="S77" s="611" t="str">
        <v>0</v>
      </c>
      <c r="T77" s="611">
        <v>121.23999999999796</v>
      </c>
      <c r="U77" s="611">
        <v>1058.9599999999991</v>
      </c>
      <c r="V77" s="611">
        <v>1094.2799999999988</v>
      </c>
      <c r="W77" s="611">
        <v>707.02000000000407</v>
      </c>
      <c r="X77" s="611">
        <v>612.87999999999738</v>
      </c>
      <c r="Y77" s="611">
        <v>204.4800000000032</v>
      </c>
      <c r="Z77" s="611" t="str">
        <v>0</v>
      </c>
      <c r="AA77" s="611">
        <v>8.1100000000005821</v>
      </c>
      <c r="AB77" s="611">
        <v>55.529999999998836</v>
      </c>
      <c r="AC77" s="611">
        <v>1796.8700000000026</v>
      </c>
      <c r="AD77" s="611">
        <v>349.22000000000116</v>
      </c>
      <c r="AE77" s="611">
        <v>610.0199999999968</v>
      </c>
      <c r="AF77" s="611">
        <v>656.19000000000233</v>
      </c>
      <c r="AG77" s="611"/>
      <c r="AH77" s="608">
        <f>SUM($B77:AF77)</f>
        <v>15634.270000000004</v>
      </c>
      <c r="AI77" s="773"/>
      <c r="AJ77" s="773"/>
      <c r="AK77" s="773"/>
      <c r="AL77" s="773"/>
      <c r="AM77" s="773"/>
      <c r="AN77" s="773"/>
      <c r="AO77" s="773"/>
      <c r="AP77" s="773"/>
      <c r="AQ77" s="773"/>
      <c r="AR77" s="773"/>
      <c r="AS77" s="773"/>
      <c r="AT77" s="773"/>
      <c r="AU77" s="773"/>
      <c r="AV77" s="773"/>
      <c r="AW77" s="773"/>
      <c r="AX77" s="773"/>
      <c r="AY77" s="773"/>
      <c r="AZ77" s="773"/>
      <c r="BA77" s="773"/>
      <c r="BB77" s="773"/>
      <c r="BC77" s="773"/>
      <c r="BD77" s="773"/>
      <c r="BE77" s="773"/>
      <c r="BF77" s="773"/>
    </row>
    <row r="78" spans="1:59" s="816" customFormat="1" x14ac:dyDescent="0.35">
      <c r="A78" s="811" t="s">
        <v>320</v>
      </c>
      <c r="B78" s="812">
        <f t="shared" ref="B78:M78" si="30">B75-B76-B77</f>
        <v>1449.7899999999572</v>
      </c>
      <c r="C78" s="812">
        <f t="shared" si="30"/>
        <v>1433.3700000000536</v>
      </c>
      <c r="D78" s="812">
        <f t="shared" si="30"/>
        <v>1191.5699999999779</v>
      </c>
      <c r="E78" s="812">
        <f t="shared" si="30"/>
        <v>0</v>
      </c>
      <c r="F78" s="812">
        <f t="shared" si="30"/>
        <v>49.349999999998545</v>
      </c>
      <c r="G78" s="812">
        <f t="shared" si="30"/>
        <v>711.32999999999447</v>
      </c>
      <c r="H78" s="812">
        <f t="shared" si="30"/>
        <v>617.92000000000553</v>
      </c>
      <c r="I78" s="812">
        <f t="shared" si="30"/>
        <v>1897.4799999999959</v>
      </c>
      <c r="J78" s="812">
        <f t="shared" si="30"/>
        <v>1045.9499999999753</v>
      </c>
      <c r="K78" s="812">
        <f t="shared" si="30"/>
        <v>898.48000000006141</v>
      </c>
      <c r="L78" s="812">
        <f t="shared" si="30"/>
        <v>142.07999999995809</v>
      </c>
      <c r="M78" s="812">
        <f t="shared" si="30"/>
        <v>0</v>
      </c>
      <c r="N78" s="812">
        <f>N75-N76-N77</f>
        <v>1047.3999999999796</v>
      </c>
      <c r="O78" s="812">
        <f>O75-O76-O77</f>
        <v>1477.6400000000285</v>
      </c>
      <c r="P78" s="812">
        <f>P75-P76-P77</f>
        <v>1117.8900000000503</v>
      </c>
      <c r="Q78" s="812">
        <f t="shared" ref="Q78:AG78" si="31">Q75-Q76-Q77</f>
        <v>1322.9199999999037</v>
      </c>
      <c r="R78" s="812">
        <f t="shared" si="31"/>
        <v>216.65999999998894</v>
      </c>
      <c r="S78" s="812">
        <f t="shared" si="31"/>
        <v>0</v>
      </c>
      <c r="T78" s="812">
        <f t="shared" si="31"/>
        <v>176.6300000001138</v>
      </c>
      <c r="U78" s="812">
        <f t="shared" si="31"/>
        <v>1006.6299999999537</v>
      </c>
      <c r="V78" s="812">
        <f t="shared" si="31"/>
        <v>1741.3400000000256</v>
      </c>
      <c r="W78" s="812">
        <f t="shared" si="31"/>
        <v>710.78999999996449</v>
      </c>
      <c r="X78" s="812">
        <f t="shared" si="31"/>
        <v>1271.5300000000352</v>
      </c>
      <c r="Y78" s="812">
        <f t="shared" si="31"/>
        <v>520.97999999995955</v>
      </c>
      <c r="Z78" s="812">
        <f t="shared" si="31"/>
        <v>0</v>
      </c>
      <c r="AA78" s="812">
        <f t="shared" si="31"/>
        <v>193.9500000000553</v>
      </c>
      <c r="AB78" s="812">
        <f t="shared" si="31"/>
        <v>1315.6999999999243</v>
      </c>
      <c r="AC78" s="812">
        <f t="shared" si="31"/>
        <v>1509.739999999998</v>
      </c>
      <c r="AD78" s="812">
        <f t="shared" si="31"/>
        <v>1331.810000000085</v>
      </c>
      <c r="AE78" s="812">
        <f t="shared" si="31"/>
        <v>1718.2399999998961</v>
      </c>
      <c r="AF78" s="812">
        <f t="shared" si="31"/>
        <v>1106.2200000000448</v>
      </c>
      <c r="AG78" s="812">
        <f t="shared" si="31"/>
        <v>0</v>
      </c>
      <c r="AH78" s="813">
        <f>SUM($B78:AF78)</f>
        <v>27223.389999999985</v>
      </c>
      <c r="AI78" s="814"/>
      <c r="AJ78" s="815"/>
      <c r="AK78" s="815"/>
      <c r="AL78" s="815"/>
      <c r="AM78" s="815"/>
      <c r="AN78" s="815"/>
      <c r="AO78" s="815"/>
      <c r="AP78" s="815"/>
      <c r="AQ78" s="815"/>
      <c r="AR78" s="815"/>
      <c r="AS78" s="815"/>
      <c r="AT78" s="815"/>
      <c r="AU78" s="815"/>
      <c r="AV78" s="815"/>
      <c r="AW78" s="815"/>
      <c r="AX78" s="815"/>
      <c r="AY78" s="815"/>
      <c r="AZ78" s="815"/>
      <c r="BA78" s="815"/>
      <c r="BB78" s="815"/>
      <c r="BC78" s="815"/>
      <c r="BD78" s="815"/>
      <c r="BE78" s="815"/>
      <c r="BF78" s="815"/>
      <c r="BG78" s="815"/>
    </row>
    <row r="79" spans="1:59" ht="35.450000000000003" hidden="1" customHeight="1" x14ac:dyDescent="0.5">
      <c r="A79" s="612" t="s">
        <v>235</v>
      </c>
      <c r="B79" s="613">
        <f>'Daily KPIs CO2'!B47</f>
        <v>2727.0899999999674</v>
      </c>
      <c r="C79" s="613">
        <f>'Daily KPIs CO2'!C47</f>
        <v>2440.9900000000489</v>
      </c>
      <c r="D79" s="613">
        <f>'Daily KPIs CO2'!D47</f>
        <v>1912.9199999999837</v>
      </c>
      <c r="E79" s="613">
        <f>'Daily KPIs CO2'!E47</f>
        <v>0</v>
      </c>
      <c r="F79" s="613">
        <f>'Daily KPIs CO2'!F47</f>
        <v>108</v>
      </c>
      <c r="G79" s="613" t="e">
        <f>'Daily KPIs CO2'!G47</f>
        <v>#REF!</v>
      </c>
      <c r="H79" s="613" t="e">
        <f>'Daily KPIs CO2'!H47</f>
        <v>#REF!</v>
      </c>
      <c r="I79" s="613">
        <f>'Daily KPIs CO2'!I47</f>
        <v>3199.6900000000023</v>
      </c>
      <c r="J79" s="614">
        <f>'Daily KPIs CO2'!J47</f>
        <v>1600.7199999999721</v>
      </c>
      <c r="K79" s="614">
        <f>'Daily KPIs CO2'!K47</f>
        <v>1828.6800000000512</v>
      </c>
      <c r="L79" s="614" t="s">
        <v>240</v>
      </c>
      <c r="M79" s="614">
        <f>'Daily KPIs CO2'!M47</f>
        <v>0</v>
      </c>
      <c r="N79" s="614"/>
      <c r="O79" s="614">
        <f>'Daily KPIs CO2'!O47</f>
        <v>2219.4000000000233</v>
      </c>
      <c r="P79" s="614">
        <f>'Daily KPIs CO2'!P47</f>
        <v>1795.3700000000536</v>
      </c>
      <c r="Q79" s="614">
        <f>'Daily KPIs CO2'!Q47</f>
        <v>2240.5099999998929</v>
      </c>
      <c r="R79" s="614">
        <f>'Daily KPIs CO2'!R47</f>
        <v>1076.5</v>
      </c>
      <c r="S79" s="614">
        <f>'Daily KPIs CO2'!S47</f>
        <v>41.460000000006403</v>
      </c>
      <c r="T79" s="614">
        <f>'Daily KPIs CO2'!T47</f>
        <v>74</v>
      </c>
      <c r="U79" s="614">
        <f>'Daily KPIs CO2'!U47</f>
        <v>262</v>
      </c>
      <c r="V79" s="614">
        <f>'Daily KPIs CO2'!V47</f>
        <v>30</v>
      </c>
      <c r="W79" s="614">
        <f>'Daily KPIs CO2'!W47</f>
        <v>107</v>
      </c>
      <c r="X79" s="614">
        <f>'Daily KPIs CO2'!X47</f>
        <v>71</v>
      </c>
      <c r="Y79" s="614">
        <f>'Daily KPIs CO2'!Y47</f>
        <v>0</v>
      </c>
      <c r="Z79" s="614">
        <f>'Daily KPIs CO2'!Z47</f>
        <v>40</v>
      </c>
      <c r="AA79" s="614">
        <f>'Daily KPIs CO2'!AA47</f>
        <v>0</v>
      </c>
      <c r="AB79" s="614">
        <f>'Daily KPIs CO2'!AB47</f>
        <v>0</v>
      </c>
      <c r="AC79" s="613">
        <f>'Daily KPIs CO2'!AC47</f>
        <v>112</v>
      </c>
      <c r="AD79" s="614">
        <f>'Daily KPIs CO2'!AF47</f>
        <v>28</v>
      </c>
      <c r="AE79" s="613" t="e">
        <f>'Daily KPIs CO2'!AG47</f>
        <v>#REF!</v>
      </c>
      <c r="AF79" s="614">
        <f>'Daily KPIs CO2'!AH47</f>
        <v>0</v>
      </c>
      <c r="AG79" s="614"/>
      <c r="AH79" s="615"/>
      <c r="AI79" s="487"/>
      <c r="AL79" s="191"/>
    </row>
    <row r="80" spans="1:59" s="619" customFormat="1" ht="32.450000000000003" customHeight="1" x14ac:dyDescent="0.4">
      <c r="A80" s="598" t="s">
        <v>291</v>
      </c>
      <c r="B80" s="616" cm="1">
        <f t="array" ref="B80:AF80">TRANSPOSE('Elec.July 2026'!B7:B37)</f>
        <v>6440</v>
      </c>
      <c r="C80" s="616">
        <v>8601</v>
      </c>
      <c r="D80" s="616">
        <v>8712</v>
      </c>
      <c r="E80" s="616">
        <v>3652</v>
      </c>
      <c r="F80" s="616">
        <v>5363</v>
      </c>
      <c r="G80" s="616">
        <v>7179</v>
      </c>
      <c r="H80" s="616">
        <v>8166</v>
      </c>
      <c r="I80" s="616">
        <v>10084</v>
      </c>
      <c r="J80" s="616">
        <v>6592</v>
      </c>
      <c r="K80" s="617">
        <v>7603</v>
      </c>
      <c r="L80" s="617">
        <v>3837</v>
      </c>
      <c r="M80" s="617">
        <v>4845</v>
      </c>
      <c r="N80" s="617">
        <v>8262</v>
      </c>
      <c r="O80" s="617">
        <v>8508</v>
      </c>
      <c r="P80" s="617">
        <v>8647</v>
      </c>
      <c r="Q80" s="617">
        <v>7504</v>
      </c>
      <c r="R80" s="617">
        <v>7017</v>
      </c>
      <c r="S80" s="617">
        <v>3504</v>
      </c>
      <c r="T80" s="617">
        <v>4779</v>
      </c>
      <c r="U80" s="617">
        <v>8371</v>
      </c>
      <c r="V80" s="818">
        <v>10629</v>
      </c>
      <c r="W80" s="617">
        <v>7013</v>
      </c>
      <c r="X80" s="617">
        <v>8070</v>
      </c>
      <c r="Y80" s="617">
        <v>7948</v>
      </c>
      <c r="Z80" s="617">
        <v>2705</v>
      </c>
      <c r="AA80" s="617">
        <v>3192</v>
      </c>
      <c r="AB80" s="617">
        <v>7688</v>
      </c>
      <c r="AC80" s="617">
        <v>8951</v>
      </c>
      <c r="AD80" s="617">
        <v>8672</v>
      </c>
      <c r="AE80" s="617">
        <v>9708</v>
      </c>
      <c r="AF80" s="617">
        <v>8223</v>
      </c>
      <c r="AG80" s="617"/>
      <c r="AH80" s="596">
        <f>SUM(B80:AF80)</f>
        <v>220465</v>
      </c>
      <c r="AI80" s="596"/>
      <c r="AJ80" s="618"/>
      <c r="AK80" s="618"/>
      <c r="AL80" s="618"/>
      <c r="AM80" s="618"/>
      <c r="AN80" s="618"/>
      <c r="AO80" s="618"/>
      <c r="AP80" s="618"/>
      <c r="AQ80" s="618"/>
      <c r="AR80" s="618"/>
      <c r="AS80" s="618"/>
      <c r="AT80" s="618"/>
      <c r="AU80" s="618"/>
      <c r="AV80" s="618"/>
      <c r="AW80" s="618"/>
      <c r="AX80" s="618"/>
      <c r="AY80" s="618"/>
      <c r="AZ80" s="618"/>
      <c r="BA80" s="618"/>
      <c r="BB80" s="618"/>
      <c r="BC80" s="618"/>
      <c r="BD80" s="618"/>
      <c r="BE80" s="618"/>
      <c r="BF80" s="618"/>
      <c r="BG80" s="618"/>
    </row>
    <row r="81" spans="1:59" s="619" customFormat="1" hidden="1" x14ac:dyDescent="0.4">
      <c r="A81" s="598"/>
      <c r="B81" s="616" t="e" cm="1" vm="1">
        <f t="array" aca="1" ref="B81" ca="1">TRANSPOSE('Elec.July 2026'!E8:E38)</f>
        <v>#VALUE!</v>
      </c>
      <c r="C81" s="616"/>
      <c r="D81" s="616" t="s">
        <v>58</v>
      </c>
      <c r="E81" s="616"/>
      <c r="F81" s="616"/>
      <c r="G81" s="616"/>
      <c r="H81" s="616"/>
      <c r="I81" s="616"/>
      <c r="J81" s="617"/>
      <c r="K81" s="617"/>
      <c r="L81" s="617"/>
      <c r="M81" s="617"/>
      <c r="N81" s="617"/>
      <c r="O81" s="617"/>
      <c r="P81" s="620"/>
      <c r="Q81" s="617"/>
      <c r="R81" s="617"/>
      <c r="S81" s="617"/>
      <c r="T81" s="617"/>
      <c r="U81" s="617"/>
      <c r="V81" s="617"/>
      <c r="W81" s="617"/>
      <c r="X81" s="617"/>
      <c r="Y81" s="617"/>
      <c r="Z81" s="617"/>
      <c r="AA81" s="617"/>
      <c r="AB81" s="617"/>
      <c r="AC81" s="617"/>
      <c r="AD81" s="617"/>
      <c r="AE81" s="617"/>
      <c r="AF81" s="617"/>
      <c r="AG81" s="617"/>
      <c r="AH81" s="596" t="e" vm="2">
        <f ca="1">SUM(B81:AF81)</f>
        <v>#VALUE!</v>
      </c>
      <c r="AI81" s="596"/>
      <c r="AJ81" s="618"/>
      <c r="AK81" s="618"/>
      <c r="AL81" s="618"/>
      <c r="AM81" s="618"/>
      <c r="AN81" s="618"/>
      <c r="AO81" s="618"/>
      <c r="AP81" s="618"/>
      <c r="AQ81" s="618"/>
      <c r="AR81" s="618"/>
      <c r="AS81" s="618"/>
      <c r="AT81" s="618"/>
      <c r="AU81" s="618"/>
      <c r="AV81" s="618"/>
      <c r="AW81" s="618"/>
      <c r="AX81" s="618"/>
      <c r="AY81" s="618"/>
      <c r="AZ81" s="618"/>
      <c r="BA81" s="618"/>
      <c r="BB81" s="618"/>
      <c r="BC81" s="618"/>
      <c r="BD81" s="618"/>
      <c r="BE81" s="618"/>
      <c r="BF81" s="618"/>
      <c r="BG81" s="618"/>
    </row>
    <row r="82" spans="1:59" s="619" customFormat="1" hidden="1" x14ac:dyDescent="0.4">
      <c r="A82" s="598"/>
      <c r="B82" s="616" cm="1">
        <f t="array" ref="B82:AF82">TRANSPOSE('Elec.July 2026'!E9:E39)</f>
        <v>9246.4</v>
      </c>
      <c r="C82" s="618">
        <v>5110</v>
      </c>
      <c r="D82" s="618">
        <v>6437.4</v>
      </c>
      <c r="E82" s="618">
        <v>8328.1</v>
      </c>
      <c r="F82" s="618">
        <v>9619.2999999999993</v>
      </c>
      <c r="G82" s="618">
        <v>11422.1</v>
      </c>
      <c r="H82" s="618">
        <v>7896</v>
      </c>
      <c r="I82" s="618">
        <v>9002.9</v>
      </c>
      <c r="J82" s="621">
        <v>4348.8999999999996</v>
      </c>
      <c r="K82" s="621">
        <v>5180.7</v>
      </c>
      <c r="L82" s="621">
        <v>9002.4</v>
      </c>
      <c r="M82" s="621">
        <v>10000</v>
      </c>
      <c r="N82" s="621">
        <v>10064.200000000001</v>
      </c>
      <c r="O82" s="621">
        <v>8937.1</v>
      </c>
      <c r="P82" s="621">
        <v>8433.5</v>
      </c>
      <c r="Q82" s="621">
        <v>4887</v>
      </c>
      <c r="R82" s="621">
        <v>5691</v>
      </c>
      <c r="S82" s="621">
        <v>9602.4</v>
      </c>
      <c r="T82" s="621">
        <v>12049.4</v>
      </c>
      <c r="U82" s="621">
        <v>8454.2000000000007</v>
      </c>
      <c r="V82" s="621">
        <v>9435.7999999999993</v>
      </c>
      <c r="W82" s="621">
        <v>9406.2000000000007</v>
      </c>
      <c r="X82" s="621">
        <v>4123.3999999999996</v>
      </c>
      <c r="Y82" s="622">
        <v>4774.6000000000004</v>
      </c>
      <c r="Z82" s="622">
        <v>9082.9</v>
      </c>
      <c r="AA82" s="621">
        <v>10042.4</v>
      </c>
      <c r="AB82" s="621">
        <v>10265.700000000001</v>
      </c>
      <c r="AC82" s="621">
        <v>11215.1</v>
      </c>
      <c r="AD82" s="621">
        <v>8223</v>
      </c>
      <c r="AE82" s="621">
        <v>258346.09999999998</v>
      </c>
      <c r="AF82" s="621">
        <v>0</v>
      </c>
      <c r="AG82" s="621"/>
      <c r="AH82" s="596">
        <f>SUM(B82:AF82)</f>
        <v>498628.19999999995</v>
      </c>
      <c r="AI82" s="596"/>
      <c r="AJ82" s="618"/>
      <c r="AK82" s="618"/>
      <c r="AL82" s="618"/>
      <c r="AM82" s="618"/>
      <c r="AN82" s="618"/>
      <c r="AO82" s="618"/>
      <c r="AP82" s="618"/>
      <c r="AQ82" s="618"/>
      <c r="AR82" s="618"/>
      <c r="AS82" s="618"/>
      <c r="AT82" s="618"/>
      <c r="AU82" s="618"/>
      <c r="AV82" s="618"/>
      <c r="AW82" s="618"/>
      <c r="AX82" s="618"/>
      <c r="AY82" s="618"/>
      <c r="AZ82" s="618"/>
      <c r="BA82" s="618"/>
      <c r="BB82" s="618"/>
      <c r="BC82" s="618"/>
      <c r="BD82" s="618"/>
      <c r="BE82" s="618"/>
      <c r="BF82" s="618"/>
      <c r="BG82" s="618"/>
    </row>
    <row r="83" spans="1:59" s="706" customFormat="1" x14ac:dyDescent="0.4">
      <c r="A83" s="788" t="s">
        <v>299</v>
      </c>
      <c r="B83" s="596" cm="1">
        <f t="array" ref="B83:AF83">TRANSPOSE('Elec.July 2026'!D7:D37)</f>
        <v>1524</v>
      </c>
      <c r="C83" s="596">
        <v>1499</v>
      </c>
      <c r="D83" s="596">
        <v>534.4</v>
      </c>
      <c r="E83" s="596">
        <v>1458</v>
      </c>
      <c r="F83" s="596">
        <v>1074.4000000000001</v>
      </c>
      <c r="G83" s="596">
        <v>1149.0999999999999</v>
      </c>
      <c r="H83" s="596">
        <v>1453.3</v>
      </c>
      <c r="I83" s="596">
        <v>1338.1</v>
      </c>
      <c r="J83" s="625">
        <v>1304</v>
      </c>
      <c r="K83" s="625">
        <v>1399.9</v>
      </c>
      <c r="L83" s="625">
        <v>511.9</v>
      </c>
      <c r="M83" s="625">
        <v>335.7</v>
      </c>
      <c r="N83" s="625">
        <v>740.4</v>
      </c>
      <c r="O83" s="625">
        <v>1492</v>
      </c>
      <c r="P83" s="625">
        <v>1417.2</v>
      </c>
      <c r="Q83" s="625">
        <v>1433.1</v>
      </c>
      <c r="R83" s="625">
        <v>1416.5</v>
      </c>
      <c r="S83" s="625">
        <v>1383</v>
      </c>
      <c r="T83" s="625">
        <v>912</v>
      </c>
      <c r="U83" s="625">
        <v>1231.4000000000001</v>
      </c>
      <c r="V83" s="625">
        <v>1420.4</v>
      </c>
      <c r="W83" s="625">
        <v>1441.2</v>
      </c>
      <c r="X83" s="625">
        <v>1365.8</v>
      </c>
      <c r="Y83" s="712">
        <v>1458.2</v>
      </c>
      <c r="Z83" s="712">
        <v>1418.4</v>
      </c>
      <c r="AA83" s="625">
        <v>1582.6</v>
      </c>
      <c r="AB83" s="625">
        <v>1394.9</v>
      </c>
      <c r="AC83" s="625">
        <v>1091.4000000000001</v>
      </c>
      <c r="AD83" s="625">
        <v>1593.7</v>
      </c>
      <c r="AE83" s="625">
        <v>1507.1</v>
      </c>
      <c r="AF83" s="617">
        <v>1320.9</v>
      </c>
      <c r="AG83" s="625"/>
      <c r="AH83" s="596">
        <f>SUM(B83:AF83)</f>
        <v>39202</v>
      </c>
      <c r="AI83" s="596"/>
      <c r="AJ83" s="596"/>
      <c r="AK83" s="596"/>
      <c r="AL83" s="596"/>
      <c r="AM83" s="596"/>
      <c r="AN83" s="596"/>
      <c r="AO83" s="596"/>
      <c r="AP83" s="596"/>
      <c r="AQ83" s="596"/>
      <c r="AR83" s="596"/>
      <c r="AS83" s="596"/>
      <c r="AT83" s="596"/>
      <c r="AU83" s="596"/>
      <c r="AV83" s="596"/>
      <c r="AW83" s="596"/>
      <c r="AX83" s="596"/>
      <c r="AY83" s="596"/>
      <c r="AZ83" s="596"/>
      <c r="BA83" s="596"/>
      <c r="BB83" s="596"/>
      <c r="BC83" s="596"/>
      <c r="BD83" s="596"/>
      <c r="BE83" s="596"/>
      <c r="BF83" s="596"/>
      <c r="BG83" s="596"/>
    </row>
    <row r="84" spans="1:59" s="619" customFormat="1" x14ac:dyDescent="0.4">
      <c r="A84" s="598" t="s">
        <v>133</v>
      </c>
      <c r="B84" s="623">
        <f>+'Fuel '!$K7</f>
        <v>2840</v>
      </c>
      <c r="C84" s="623">
        <f>+'Fuel '!$K8</f>
        <v>3450</v>
      </c>
      <c r="D84" s="623">
        <f>+'Fuel '!$K9</f>
        <v>2990</v>
      </c>
      <c r="E84" s="623">
        <f>+'Fuel '!$K10</f>
        <v>940</v>
      </c>
      <c r="F84" s="623">
        <f>+'Fuel '!$K11</f>
        <v>1480</v>
      </c>
      <c r="G84" s="623">
        <f>+'Fuel '!$K12</f>
        <v>2410</v>
      </c>
      <c r="H84" s="623">
        <f>+'Fuel '!$K13</f>
        <v>2810</v>
      </c>
      <c r="I84" s="623">
        <f>+'Fuel '!$K14</f>
        <v>3510</v>
      </c>
      <c r="J84" s="624">
        <f>+'Fuel '!$K15</f>
        <v>2510</v>
      </c>
      <c r="K84" s="624">
        <f>+'Fuel '!$K16</f>
        <v>2950</v>
      </c>
      <c r="L84" s="624">
        <f>+'Fuel '!$K17</f>
        <v>2000</v>
      </c>
      <c r="M84" s="624">
        <f>+'Fuel '!$K18</f>
        <v>2480</v>
      </c>
      <c r="N84" s="624">
        <f>+'Fuel '!$K19</f>
        <v>2280</v>
      </c>
      <c r="O84" s="624">
        <f>+'Fuel '!$K20</f>
        <v>3620</v>
      </c>
      <c r="P84" s="624">
        <f>+'Fuel '!$K21</f>
        <v>2990</v>
      </c>
      <c r="Q84" s="624">
        <f>+'Fuel '!$K22</f>
        <v>2910</v>
      </c>
      <c r="R84" s="624">
        <f>+'Fuel '!$K23</f>
        <v>2830</v>
      </c>
      <c r="S84" s="624">
        <f>+'Fuel '!$K24</f>
        <v>840</v>
      </c>
      <c r="T84" s="624">
        <f>+'Fuel '!$K25</f>
        <v>2010</v>
      </c>
      <c r="U84" s="624">
        <f>+'Fuel '!$K26</f>
        <v>3320</v>
      </c>
      <c r="V84" s="624">
        <f>+'Fuel '!$K27</f>
        <v>3960</v>
      </c>
      <c r="W84" s="624">
        <f>+'Fuel '!$K28</f>
        <v>2980</v>
      </c>
      <c r="X84" s="624">
        <f>+'Fuel '!$K29</f>
        <v>3230</v>
      </c>
      <c r="Y84" s="624">
        <f>+'Fuel '!$K30</f>
        <v>2840</v>
      </c>
      <c r="Z84" s="624">
        <f>+'Fuel '!$K31</f>
        <v>450</v>
      </c>
      <c r="AA84" s="624">
        <f>+'Fuel '!$K32</f>
        <v>940</v>
      </c>
      <c r="AB84" s="624">
        <f>+'Fuel '!$K33</f>
        <v>2870</v>
      </c>
      <c r="AC84" s="624">
        <f>+'Fuel '!$K34</f>
        <v>3650</v>
      </c>
      <c r="AD84" s="624">
        <f>+'Fuel '!$K35</f>
        <v>3310</v>
      </c>
      <c r="AE84" s="624">
        <f>+'Fuel '!$K36</f>
        <v>3920</v>
      </c>
      <c r="AF84" s="617">
        <f>+'Fuel '!$K37</f>
        <v>3050</v>
      </c>
      <c r="AG84" s="624"/>
      <c r="AH84" s="625">
        <f>SUM($B84:AF84)</f>
        <v>82370</v>
      </c>
      <c r="AI84" s="596"/>
      <c r="AJ84" s="618"/>
      <c r="AK84" s="618"/>
      <c r="AL84" s="618"/>
      <c r="AM84" s="618"/>
      <c r="AN84" s="618"/>
      <c r="AO84" s="618"/>
      <c r="AP84" s="618"/>
      <c r="AQ84" s="618"/>
      <c r="AR84" s="618"/>
      <c r="AS84" s="618"/>
      <c r="AT84" s="618"/>
      <c r="AU84" s="618"/>
      <c r="AV84" s="618"/>
      <c r="AW84" s="618"/>
      <c r="AX84" s="618"/>
      <c r="AY84" s="618"/>
      <c r="AZ84" s="618"/>
      <c r="BA84" s="618"/>
      <c r="BB84" s="618"/>
      <c r="BC84" s="618"/>
      <c r="BD84" s="618"/>
      <c r="BE84" s="618"/>
      <c r="BF84" s="618"/>
      <c r="BG84" s="618"/>
    </row>
    <row r="85" spans="1:59" s="629" customFormat="1" x14ac:dyDescent="0.4">
      <c r="A85" s="775" t="s">
        <v>237</v>
      </c>
      <c r="B85" s="626" t="str">
        <f>'Steam Mass Flow '!B5</f>
        <v>0</v>
      </c>
      <c r="C85" s="626" t="str">
        <f>'Steam Mass Flow '!B6</f>
        <v>0</v>
      </c>
      <c r="D85" s="626">
        <f>'Steam Mass Flow '!B7</f>
        <v>81.964999999850988</v>
      </c>
      <c r="E85" s="626">
        <f>'Steam Mass Flow '!B8</f>
        <v>9.5770000005140901</v>
      </c>
      <c r="F85" s="626">
        <f>'Steam Mass Flow '!B9</f>
        <v>435.43599999975413</v>
      </c>
      <c r="G85" s="626" t="str">
        <f>'Steam Mass Flow '!B10</f>
        <v>0</v>
      </c>
      <c r="H85" s="626">
        <f>'Steam Mass Flow '!B11</f>
        <v>29.026000000536442</v>
      </c>
      <c r="I85" s="626" t="str">
        <f>'Steam Mass Flow '!B12</f>
        <v>0</v>
      </c>
      <c r="J85" s="626" t="str">
        <f>'Steam Mass Flow '!B13</f>
        <v>0</v>
      </c>
      <c r="K85" s="626" t="str">
        <f>'Steam Mass Flow '!B14</f>
        <v>0</v>
      </c>
      <c r="L85" s="626" t="str">
        <f>'Steam Mass Flow '!B15</f>
        <v>0</v>
      </c>
      <c r="M85" s="626" t="str">
        <f>'Steam Mass Flow '!B16</f>
        <v>0</v>
      </c>
      <c r="N85" s="626" t="str">
        <f>'Steam Mass Flow '!B17</f>
        <v>0</v>
      </c>
      <c r="O85" s="626" t="str">
        <f>'Steam Mass Flow '!B18</f>
        <v>0</v>
      </c>
      <c r="P85" s="626" t="str">
        <f>'Steam Mass Flow '!B19</f>
        <v>0</v>
      </c>
      <c r="Q85" s="626" t="str">
        <f>'Steam Mass Flow '!B20</f>
        <v>0</v>
      </c>
      <c r="R85" s="626" t="str">
        <f>'Steam Mass Flow '!B21</f>
        <v>0</v>
      </c>
      <c r="S85" s="626" t="str">
        <f>'Steam Mass Flow '!B22</f>
        <v>0</v>
      </c>
      <c r="T85" s="626" t="str">
        <f>'Steam Mass Flow '!B23</f>
        <v>0</v>
      </c>
      <c r="U85" s="626">
        <f>'Steam Mass Flow '!B24</f>
        <v>33.818999999202788</v>
      </c>
      <c r="V85" s="626" t="str">
        <f>'Steam Mass Flow '!B25</f>
        <v>0</v>
      </c>
      <c r="W85" s="626" t="str">
        <f>'Steam Mass Flow '!B26</f>
        <v>0</v>
      </c>
      <c r="X85" s="626" t="str">
        <f>'Steam Mass Flow '!B27</f>
        <v>0</v>
      </c>
      <c r="Y85" s="626" t="str">
        <f>'Steam Mass Flow '!B28</f>
        <v>0</v>
      </c>
      <c r="Z85" s="626" t="str">
        <f>'Steam Mass Flow '!B29</f>
        <v>0</v>
      </c>
      <c r="AA85" s="626" t="str">
        <f>'Steam Mass Flow '!B30</f>
        <v>0</v>
      </c>
      <c r="AB85" s="626" t="str">
        <f>'Steam Mass Flow '!B31</f>
        <v>0</v>
      </c>
      <c r="AC85" s="626" t="str">
        <f>'Steam Mass Flow '!B32</f>
        <v>0</v>
      </c>
      <c r="AD85" s="626" t="str">
        <f>'Steam Mass Flow '!B33</f>
        <v>0</v>
      </c>
      <c r="AE85" s="626" t="str">
        <f>'Steam Mass Flow '!B34</f>
        <v>0</v>
      </c>
      <c r="AF85" s="626" t="str">
        <f>'Steam Mass Flow '!B35</f>
        <v>0</v>
      </c>
      <c r="AG85" s="626"/>
      <c r="AH85" s="627">
        <f>SUM($B85:AF85)</f>
        <v>589.82299999985844</v>
      </c>
      <c r="AI85" s="626"/>
      <c r="AJ85" s="628"/>
      <c r="AK85" s="628"/>
      <c r="AL85" s="628"/>
      <c r="AM85" s="628"/>
      <c r="AN85" s="628"/>
      <c r="AO85" s="628"/>
      <c r="AP85" s="628"/>
      <c r="AQ85" s="628"/>
      <c r="AR85" s="628"/>
      <c r="AS85" s="628"/>
      <c r="AT85" s="628"/>
      <c r="AU85" s="628"/>
      <c r="AV85" s="628"/>
      <c r="AW85" s="628"/>
      <c r="AX85" s="628"/>
      <c r="AY85" s="628"/>
      <c r="AZ85" s="628"/>
      <c r="BA85" s="628"/>
      <c r="BB85" s="628"/>
      <c r="BC85" s="628"/>
      <c r="BD85" s="628"/>
      <c r="BE85" s="628"/>
      <c r="BF85" s="628"/>
      <c r="BG85" s="628"/>
    </row>
    <row r="86" spans="1:59" x14ac:dyDescent="0.4">
      <c r="A86" s="474"/>
      <c r="B86" s="471"/>
      <c r="C86" s="471"/>
      <c r="D86" s="471"/>
      <c r="E86" s="471"/>
      <c r="F86" s="471"/>
      <c r="G86" s="471"/>
      <c r="H86" s="471"/>
      <c r="I86" s="471"/>
      <c r="J86" s="499"/>
      <c r="K86" s="499"/>
      <c r="L86" s="499"/>
      <c r="M86" s="499"/>
      <c r="N86" s="499"/>
      <c r="O86" s="499"/>
      <c r="P86" s="499"/>
      <c r="Q86" s="499"/>
      <c r="R86" s="499"/>
      <c r="S86" s="499"/>
      <c r="T86" s="499"/>
      <c r="U86" s="499"/>
      <c r="V86" s="499"/>
      <c r="W86" s="499"/>
      <c r="X86" s="499"/>
      <c r="Y86" s="499"/>
      <c r="Z86" s="499"/>
      <c r="AA86" s="499"/>
      <c r="AB86" s="499"/>
      <c r="AC86" s="499"/>
      <c r="AD86" s="499"/>
      <c r="AE86" s="499"/>
      <c r="AH86" s="487"/>
      <c r="AI86" s="487"/>
    </row>
    <row r="87" spans="1:59" hidden="1" x14ac:dyDescent="0.35">
      <c r="B87" s="471"/>
      <c r="C87" s="471"/>
      <c r="D87" s="471"/>
      <c r="E87" s="471"/>
      <c r="F87" s="471"/>
      <c r="G87" s="471"/>
      <c r="H87" s="471"/>
      <c r="I87" s="471"/>
      <c r="J87" s="499"/>
      <c r="K87" s="499"/>
      <c r="L87" s="499"/>
      <c r="M87" s="499"/>
      <c r="N87" s="499"/>
      <c r="O87" s="499"/>
      <c r="P87" s="499"/>
      <c r="Q87" s="499"/>
      <c r="R87" s="499"/>
      <c r="S87" s="499"/>
      <c r="T87" s="499"/>
      <c r="U87" s="499"/>
      <c r="V87" s="499"/>
      <c r="W87" s="499"/>
      <c r="X87" s="499"/>
      <c r="Y87" s="499"/>
      <c r="Z87" s="499"/>
      <c r="AA87" s="499"/>
      <c r="AB87" s="499"/>
      <c r="AC87" s="499"/>
      <c r="AD87" s="499"/>
      <c r="AE87" s="499"/>
      <c r="AH87" s="487"/>
      <c r="AI87" s="487"/>
    </row>
    <row r="88" spans="1:59" ht="27.75" customHeight="1" thickBot="1" x14ac:dyDescent="0.45">
      <c r="A88" s="474" t="s">
        <v>221</v>
      </c>
      <c r="M88" s="472"/>
    </row>
    <row r="89" spans="1:59" ht="27" thickBot="1" x14ac:dyDescent="0.45">
      <c r="A89" s="474" t="s">
        <v>123</v>
      </c>
      <c r="B89" s="284">
        <v>1</v>
      </c>
      <c r="C89" s="284">
        <v>2</v>
      </c>
      <c r="D89" s="284">
        <v>3</v>
      </c>
      <c r="E89" s="284">
        <v>4</v>
      </c>
      <c r="F89" s="284">
        <v>5</v>
      </c>
      <c r="G89" s="284">
        <v>6</v>
      </c>
      <c r="H89" s="284">
        <v>7</v>
      </c>
      <c r="I89" s="284">
        <v>8</v>
      </c>
      <c r="J89" s="284">
        <v>9</v>
      </c>
      <c r="K89" s="284">
        <v>10</v>
      </c>
      <c r="L89" s="284">
        <v>11</v>
      </c>
      <c r="M89" s="284">
        <v>12</v>
      </c>
      <c r="N89" s="284">
        <v>13</v>
      </c>
      <c r="O89" s="284">
        <v>14</v>
      </c>
      <c r="P89" s="284">
        <v>15</v>
      </c>
      <c r="Q89" s="284">
        <v>16</v>
      </c>
      <c r="R89" s="284">
        <v>17</v>
      </c>
      <c r="S89" s="284">
        <v>18</v>
      </c>
      <c r="T89" s="284">
        <v>19</v>
      </c>
      <c r="U89" s="284">
        <v>20</v>
      </c>
      <c r="V89" s="284">
        <v>21</v>
      </c>
      <c r="W89" s="284">
        <v>22</v>
      </c>
      <c r="X89" s="284">
        <v>23</v>
      </c>
      <c r="Y89" s="284">
        <v>24</v>
      </c>
      <c r="Z89" s="284">
        <v>25</v>
      </c>
      <c r="AA89" s="284">
        <v>26</v>
      </c>
      <c r="AB89" s="284">
        <v>27</v>
      </c>
      <c r="AC89" s="284">
        <v>28</v>
      </c>
      <c r="AD89" s="284">
        <v>29</v>
      </c>
      <c r="AE89" s="284">
        <v>30</v>
      </c>
      <c r="AF89" s="284">
        <v>31</v>
      </c>
      <c r="AG89" s="284"/>
      <c r="AH89" s="662" t="s">
        <v>85</v>
      </c>
      <c r="AI89" s="665" t="s">
        <v>153</v>
      </c>
      <c r="AJ89" s="668" t="s">
        <v>202</v>
      </c>
      <c r="AK89" s="670" t="s">
        <v>251</v>
      </c>
    </row>
    <row r="90" spans="1:59" s="635" customFormat="1" x14ac:dyDescent="0.4">
      <c r="A90" s="630" t="s">
        <v>137</v>
      </c>
      <c r="B90" s="657">
        <f t="shared" ref="B90:AF90" si="32">IF(B$9=0,"",+(B22*10)/B$9)</f>
        <v>9.3882744478719768</v>
      </c>
      <c r="C90" s="657">
        <f>IF(C$9=0,"",+(C22*10)/C$9)</f>
        <v>9.5000003941908879</v>
      </c>
      <c r="D90" s="657">
        <f t="shared" si="32"/>
        <v>3.0481857198595397</v>
      </c>
      <c r="E90" s="657" t="str">
        <f t="shared" si="32"/>
        <v/>
      </c>
      <c r="F90" s="657" t="str">
        <f t="shared" si="32"/>
        <v/>
      </c>
      <c r="G90" s="657">
        <f t="shared" si="32"/>
        <v>7.6195762249746828</v>
      </c>
      <c r="H90" s="657">
        <f t="shared" si="32"/>
        <v>18.629693157995042</v>
      </c>
      <c r="I90" s="657">
        <f t="shared" si="32"/>
        <v>3.1322333354568812</v>
      </c>
      <c r="J90" s="657">
        <f t="shared" si="32"/>
        <v>12.639170275645432</v>
      </c>
      <c r="K90" s="657">
        <f t="shared" si="32"/>
        <v>11.802293016929003</v>
      </c>
      <c r="L90" s="657" t="str">
        <f t="shared" si="32"/>
        <v/>
      </c>
      <c r="M90" s="657" t="str">
        <f t="shared" si="32"/>
        <v/>
      </c>
      <c r="N90" s="657">
        <f t="shared" si="32"/>
        <v>6.8758901822110889</v>
      </c>
      <c r="O90" s="657">
        <f t="shared" si="32"/>
        <v>5.566877081365873</v>
      </c>
      <c r="P90" s="657">
        <f t="shared" si="32"/>
        <v>13.567751054982923</v>
      </c>
      <c r="Q90" s="657">
        <f t="shared" si="32"/>
        <v>7.8333403903967485</v>
      </c>
      <c r="R90" s="657">
        <f>IF(R$9=0,"",+(R22*10)/R$9)</f>
        <v>46.705587989991663</v>
      </c>
      <c r="S90" s="657" t="str">
        <f t="shared" si="32"/>
        <v/>
      </c>
      <c r="T90" s="657" t="str">
        <f t="shared" si="32"/>
        <v/>
      </c>
      <c r="U90" s="657">
        <f>IF(U$9=0,"",+(U22*10)/U$9)</f>
        <v>7.0780800707807998</v>
      </c>
      <c r="V90" s="657">
        <f t="shared" si="32"/>
        <v>8.1975735182386007</v>
      </c>
      <c r="W90" s="657">
        <f t="shared" si="32"/>
        <v>19.451603029315638</v>
      </c>
      <c r="X90" s="657">
        <f t="shared" si="32"/>
        <v>13.601972285981468</v>
      </c>
      <c r="Y90" s="657">
        <f t="shared" si="32"/>
        <v>47.566179031696272</v>
      </c>
      <c r="Z90" s="657" t="str">
        <f t="shared" si="32"/>
        <v/>
      </c>
      <c r="AA90" s="657" t="str">
        <f t="shared" si="32"/>
        <v/>
      </c>
      <c r="AB90" s="657">
        <f t="shared" si="32"/>
        <v>8.6072628904008521</v>
      </c>
      <c r="AC90" s="657">
        <f t="shared" si="32"/>
        <v>5.3111293859649127</v>
      </c>
      <c r="AD90" s="657">
        <f t="shared" si="32"/>
        <v>11.737779552633235</v>
      </c>
      <c r="AE90" s="657">
        <f>IF(AE$9=0,"",+(AE22*10)/AE$9)</f>
        <v>5.7178750991977179</v>
      </c>
      <c r="AF90" s="658">
        <f t="shared" si="32"/>
        <v>6.7603079651272413</v>
      </c>
      <c r="AG90" s="631"/>
      <c r="AH90" s="663">
        <f>IF(AH$9=0,"0",+(AH22*10)/AH$9)</f>
        <v>10.573782774729372</v>
      </c>
      <c r="AI90" s="666">
        <v>10.199999999999999</v>
      </c>
      <c r="AJ90" s="669">
        <f>+AI90-AH90</f>
        <v>-0.37378277472937249</v>
      </c>
      <c r="AK90" s="671">
        <f>AH90/AI90*100</f>
        <v>103.6645370071507</v>
      </c>
      <c r="AL90" s="633"/>
      <c r="AM90" s="634"/>
      <c r="AN90" s="634"/>
      <c r="AO90" s="634"/>
      <c r="AP90" s="634"/>
      <c r="AQ90" s="634"/>
      <c r="AR90" s="634"/>
      <c r="AS90" s="634"/>
      <c r="AT90" s="634"/>
      <c r="AU90" s="634"/>
      <c r="AV90" s="634"/>
      <c r="AW90" s="634"/>
      <c r="AX90" s="634"/>
      <c r="AY90" s="634"/>
      <c r="AZ90" s="634"/>
      <c r="BA90" s="634"/>
      <c r="BB90" s="634"/>
      <c r="BC90" s="634"/>
      <c r="BD90" s="634"/>
      <c r="BE90" s="634"/>
      <c r="BF90" s="634"/>
      <c r="BG90" s="634"/>
    </row>
    <row r="91" spans="1:59" s="638" customFormat="1" hidden="1" x14ac:dyDescent="0.35">
      <c r="A91" s="636"/>
      <c r="B91" s="659"/>
      <c r="C91" s="659"/>
      <c r="D91" s="659"/>
      <c r="E91" s="659"/>
      <c r="F91" s="659"/>
      <c r="G91" s="659"/>
      <c r="H91" s="659"/>
      <c r="I91" s="659"/>
      <c r="J91" s="659"/>
      <c r="K91" s="659"/>
      <c r="L91" s="659"/>
      <c r="M91" s="659"/>
      <c r="N91" s="659"/>
      <c r="O91" s="659"/>
      <c r="P91" s="659"/>
      <c r="Q91" s="659"/>
      <c r="R91" s="659"/>
      <c r="S91" s="659"/>
      <c r="T91" s="659"/>
      <c r="U91" s="659"/>
      <c r="V91" s="659"/>
      <c r="W91" s="659"/>
      <c r="X91" s="659"/>
      <c r="Y91" s="659"/>
      <c r="Z91" s="659"/>
      <c r="AA91" s="659"/>
      <c r="AB91" s="659"/>
      <c r="AC91" s="659"/>
      <c r="AD91" s="659"/>
      <c r="AE91" s="659"/>
      <c r="AF91" s="660"/>
      <c r="AG91" s="637"/>
      <c r="AH91" s="674">
        <f>IF(AH$9=0,"0",+(AH23*10)/AH$9)</f>
        <v>0</v>
      </c>
      <c r="AI91" s="675"/>
      <c r="AJ91" s="676"/>
      <c r="AK91" s="677" t="e">
        <f t="shared" ref="AK91:AK96" si="33">AH91/AI91*100</f>
        <v>#DIV/0!</v>
      </c>
      <c r="AL91" s="633"/>
      <c r="AM91" s="633"/>
      <c r="AN91" s="633"/>
      <c r="AO91" s="633"/>
      <c r="AP91" s="633"/>
      <c r="AQ91" s="633"/>
      <c r="AR91" s="633"/>
      <c r="AS91" s="633"/>
      <c r="AT91" s="633"/>
      <c r="AU91" s="633"/>
      <c r="AV91" s="633"/>
      <c r="AW91" s="633"/>
      <c r="AX91" s="633"/>
      <c r="AY91" s="633"/>
      <c r="AZ91" s="633"/>
      <c r="BA91" s="633"/>
      <c r="BB91" s="633"/>
      <c r="BC91" s="633"/>
      <c r="BD91" s="633"/>
      <c r="BE91" s="633"/>
      <c r="BF91" s="633"/>
      <c r="BG91" s="633"/>
    </row>
    <row r="92" spans="1:59" s="635" customFormat="1" ht="29.25" x14ac:dyDescent="0.5">
      <c r="A92" s="635" t="s">
        <v>225</v>
      </c>
      <c r="B92" s="657">
        <f t="shared" ref="B92:AF92" si="34">IF(B$9=0,"",+B74/B$9)</f>
        <v>5.9338980708897369</v>
      </c>
      <c r="C92" s="657">
        <f t="shared" si="34"/>
        <v>4.9273860965720369</v>
      </c>
      <c r="D92" s="657">
        <f t="shared" si="34"/>
        <v>6.2995838210430488</v>
      </c>
      <c r="E92" s="657" t="str">
        <f t="shared" si="34"/>
        <v/>
      </c>
      <c r="F92" s="657" t="str">
        <f t="shared" si="34"/>
        <v/>
      </c>
      <c r="G92" s="657">
        <f t="shared" si="34"/>
        <v>3.8949910415206044</v>
      </c>
      <c r="H92" s="657">
        <f t="shared" si="34"/>
        <v>7.6234038498189429</v>
      </c>
      <c r="I92" s="657">
        <f t="shared" si="34"/>
        <v>8.4941920961542543</v>
      </c>
      <c r="J92" s="657">
        <f t="shared" si="34"/>
        <v>4.9565373629982092</v>
      </c>
      <c r="K92" s="657">
        <f t="shared" si="34"/>
        <v>5.4296263274007517</v>
      </c>
      <c r="L92" s="657" t="str">
        <f t="shared" si="34"/>
        <v/>
      </c>
      <c r="M92" s="657" t="str">
        <f t="shared" si="34"/>
        <v/>
      </c>
      <c r="N92" s="657">
        <f t="shared" si="34"/>
        <v>4.4202151171357</v>
      </c>
      <c r="O92" s="657">
        <f t="shared" si="34"/>
        <v>4.6390642344715607</v>
      </c>
      <c r="P92" s="657">
        <f t="shared" si="34"/>
        <v>4.9008986700508661</v>
      </c>
      <c r="Q92" s="657">
        <f t="shared" si="34"/>
        <v>5.4104152846584146</v>
      </c>
      <c r="R92" s="657">
        <f t="shared" si="34"/>
        <v>25.020850708924105</v>
      </c>
      <c r="S92" s="657" t="str">
        <f t="shared" si="34"/>
        <v/>
      </c>
      <c r="T92" s="657" t="str">
        <f t="shared" si="34"/>
        <v/>
      </c>
      <c r="U92" s="657">
        <f t="shared" si="34"/>
        <v>5.4068667207353336</v>
      </c>
      <c r="V92" s="657">
        <f t="shared" si="34"/>
        <v>5.7982837080224252</v>
      </c>
      <c r="W92" s="657">
        <f t="shared" si="34"/>
        <v>8.3928236420905034</v>
      </c>
      <c r="X92" s="657">
        <f t="shared" si="34"/>
        <v>9.2740720131691816</v>
      </c>
      <c r="Y92" s="657">
        <f t="shared" si="34"/>
        <v>21.76941832114246</v>
      </c>
      <c r="Z92" s="657" t="str">
        <f t="shared" si="34"/>
        <v/>
      </c>
      <c r="AA92" s="657" t="str">
        <f t="shared" si="34"/>
        <v/>
      </c>
      <c r="AB92" s="657">
        <f t="shared" si="34"/>
        <v>4.3719430554417027</v>
      </c>
      <c r="AC92" s="657">
        <f t="shared" si="34"/>
        <v>5.4513058213716112</v>
      </c>
      <c r="AD92" s="657">
        <f t="shared" si="34"/>
        <v>5.1594635396190043</v>
      </c>
      <c r="AE92" s="657">
        <f t="shared" si="34"/>
        <v>4.1195065556179529</v>
      </c>
      <c r="AF92" s="657">
        <f t="shared" si="34"/>
        <v>3.8114495945821245</v>
      </c>
      <c r="AG92" s="632"/>
      <c r="AH92" s="674">
        <f>IF(AH$9=0,"0",+(AH74)/AH$9)</f>
        <v>5.8959137387181517</v>
      </c>
      <c r="AI92" s="678">
        <v>5</v>
      </c>
      <c r="AJ92" s="679">
        <f>AI92-AH92</f>
        <v>-0.89591373871815172</v>
      </c>
      <c r="AK92" s="677">
        <f t="shared" si="33"/>
        <v>117.91827477436303</v>
      </c>
      <c r="AL92" s="633"/>
      <c r="AM92" s="634"/>
      <c r="AN92" s="634"/>
      <c r="AO92" s="634" t="s">
        <v>211</v>
      </c>
      <c r="AP92" s="634"/>
      <c r="AQ92" s="634"/>
      <c r="AR92" s="634"/>
      <c r="AS92" s="634"/>
      <c r="AT92" s="634"/>
      <c r="AU92" s="634"/>
      <c r="AV92" s="634"/>
      <c r="AW92" s="634"/>
      <c r="AX92" s="634"/>
      <c r="AY92" s="634"/>
      <c r="AZ92" s="634"/>
      <c r="BA92" s="634"/>
      <c r="BB92" s="634"/>
      <c r="BC92" s="634"/>
      <c r="BD92" s="634"/>
      <c r="BE92" s="634"/>
      <c r="BF92" s="634"/>
      <c r="BG92" s="634"/>
    </row>
    <row r="93" spans="1:59" s="635" customFormat="1" ht="29.25" x14ac:dyDescent="0.5">
      <c r="A93" s="635" t="s">
        <v>284</v>
      </c>
      <c r="B93" s="657">
        <f>IF(B$9=0,"",+B76/B$9)</f>
        <v>0.62219040522592273</v>
      </c>
      <c r="C93" s="657">
        <f t="shared" ref="C93:AF93" si="35">IF(C$9=0,"",+C76/C$9)</f>
        <v>0.88020854274723559</v>
      </c>
      <c r="D93" s="657">
        <f t="shared" si="35"/>
        <v>0.42684760697100343</v>
      </c>
      <c r="E93" s="657" t="str">
        <f t="shared" si="35"/>
        <v/>
      </c>
      <c r="F93" s="657" t="str">
        <f t="shared" si="35"/>
        <v/>
      </c>
      <c r="G93" s="657">
        <f t="shared" si="35"/>
        <v>0.51535600218118793</v>
      </c>
      <c r="H93" s="657">
        <f t="shared" si="35"/>
        <v>0.56065370688011362</v>
      </c>
      <c r="I93" s="657">
        <f t="shared" si="35"/>
        <v>0.74387887282072274</v>
      </c>
      <c r="J93" s="657">
        <f t="shared" si="35"/>
        <v>0.48886947578420986</v>
      </c>
      <c r="K93" s="657">
        <f t="shared" si="35"/>
        <v>0.57485454316835538</v>
      </c>
      <c r="L93" s="657" t="str">
        <f t="shared" si="35"/>
        <v/>
      </c>
      <c r="M93" s="657" t="str">
        <f t="shared" si="35"/>
        <v/>
      </c>
      <c r="N93" s="657">
        <f t="shared" si="35"/>
        <v>0.52308334561173153</v>
      </c>
      <c r="O93" s="657">
        <f t="shared" si="35"/>
        <v>0.51337872989048583</v>
      </c>
      <c r="P93" s="657">
        <f t="shared" si="35"/>
        <v>0.68971120809731479</v>
      </c>
      <c r="Q93" s="657">
        <f t="shared" si="35"/>
        <v>0.51441287584741924</v>
      </c>
      <c r="R93" s="657">
        <f t="shared" si="35"/>
        <v>0.57631359466230758</v>
      </c>
      <c r="S93" s="657" t="str">
        <f t="shared" si="35"/>
        <v/>
      </c>
      <c r="T93" s="657" t="str">
        <f t="shared" si="35"/>
        <v/>
      </c>
      <c r="U93" s="657">
        <f t="shared" si="35"/>
        <v>0.59377227260436782</v>
      </c>
      <c r="V93" s="657">
        <f t="shared" si="35"/>
        <v>0.6288938474211796</v>
      </c>
      <c r="W93" s="657">
        <f t="shared" si="35"/>
        <v>0.43400772139776794</v>
      </c>
      <c r="X93" s="657">
        <f t="shared" si="35"/>
        <v>0.58828530136866242</v>
      </c>
      <c r="Y93" s="657">
        <f t="shared" si="35"/>
        <v>0.67768199233726611</v>
      </c>
      <c r="Z93" s="657" t="str">
        <f t="shared" si="35"/>
        <v/>
      </c>
      <c r="AA93" s="657" t="str">
        <f t="shared" si="35"/>
        <v/>
      </c>
      <c r="AB93" s="657">
        <f t="shared" si="35"/>
        <v>0.52821269502964086</v>
      </c>
      <c r="AC93" s="657">
        <f t="shared" si="35"/>
        <v>0.56774571371611482</v>
      </c>
      <c r="AD93" s="657">
        <f t="shared" si="35"/>
        <v>0.55477131709750338</v>
      </c>
      <c r="AE93" s="657">
        <f t="shared" si="35"/>
        <v>0.43874392619954977</v>
      </c>
      <c r="AF93" s="657">
        <f t="shared" si="35"/>
        <v>0.44084429626597244</v>
      </c>
      <c r="AG93" s="632"/>
      <c r="AH93" s="674">
        <f>IF(AH$9=0,"0",+AH76/AH$9)</f>
        <v>0.56660286199866705</v>
      </c>
      <c r="AI93" s="678">
        <v>1.7</v>
      </c>
      <c r="AJ93" s="680">
        <f>AI93-AH93</f>
        <v>1.133397138001333</v>
      </c>
      <c r="AK93" s="677">
        <f t="shared" si="33"/>
        <v>33.329580117568653</v>
      </c>
      <c r="AL93" s="639"/>
      <c r="AM93" s="640"/>
      <c r="AN93" s="640"/>
      <c r="AO93" s="640"/>
      <c r="AP93" s="640"/>
      <c r="AQ93" s="640"/>
      <c r="AR93" s="640"/>
      <c r="AS93" s="640"/>
      <c r="AT93" s="640"/>
      <c r="AU93" s="640"/>
      <c r="AV93" s="640"/>
      <c r="AW93" s="640"/>
      <c r="AX93" s="640"/>
      <c r="AY93" s="640"/>
      <c r="AZ93" s="640"/>
      <c r="BA93" s="640"/>
      <c r="BB93" s="640"/>
      <c r="BC93" s="640"/>
      <c r="BD93" s="640"/>
      <c r="BE93" s="640"/>
      <c r="BF93" s="640"/>
      <c r="BG93" s="640"/>
    </row>
    <row r="94" spans="1:59" s="635" customFormat="1" x14ac:dyDescent="0.4">
      <c r="A94" s="635" t="s">
        <v>189</v>
      </c>
      <c r="B94" s="657">
        <f>IF(B$9=0,"",(B80+B83)/B$9)</f>
        <v>16.877701513059236</v>
      </c>
      <c r="C94" s="657">
        <f>IF(C$9=0,"",(C80+C83)/C$9)</f>
        <v>19.906639830151029</v>
      </c>
      <c r="D94" s="657">
        <f>IF(D$9=0,"",(D80+D83)/D$9)</f>
        <v>18.789829626739497</v>
      </c>
      <c r="E94" s="657" t="str">
        <f t="shared" ref="E94:AF94" si="36">IF(E$9=0,"",(E80+E83)/E$9)</f>
        <v/>
      </c>
      <c r="F94" s="657" t="str">
        <f t="shared" si="36"/>
        <v/>
      </c>
      <c r="G94" s="657">
        <f t="shared" si="36"/>
        <v>20.273671808054843</v>
      </c>
      <c r="H94" s="657">
        <f t="shared" si="36"/>
        <v>45.832380407852099</v>
      </c>
      <c r="I94" s="657">
        <f t="shared" si="36"/>
        <v>30.319222356713599</v>
      </c>
      <c r="J94" s="657">
        <f t="shared" si="36"/>
        <v>24.460511886396162</v>
      </c>
      <c r="K94" s="657">
        <f>IF(K$9=0,"",(K80+K83)/K$9)</f>
        <v>25.727569927871698</v>
      </c>
      <c r="L94" s="657" t="str">
        <f t="shared" si="36"/>
        <v/>
      </c>
      <c r="M94" s="657" t="str">
        <f t="shared" si="36"/>
        <v/>
      </c>
      <c r="N94" s="657">
        <f t="shared" si="36"/>
        <v>22.10696920583468</v>
      </c>
      <c r="O94" s="657">
        <f>IF(O$9=0,"",(O80+O83)/O$9)</f>
        <v>16.568086551684143</v>
      </c>
      <c r="P94" s="657">
        <f t="shared" si="36"/>
        <v>25.959802313224174</v>
      </c>
      <c r="Q94" s="657">
        <f t="shared" si="36"/>
        <v>21.023227148052488</v>
      </c>
      <c r="R94" s="657">
        <f t="shared" si="36"/>
        <v>117.22963580761746</v>
      </c>
      <c r="S94" s="657" t="str">
        <f t="shared" si="36"/>
        <v/>
      </c>
      <c r="T94" s="657" t="str">
        <f t="shared" si="36"/>
        <v/>
      </c>
      <c r="U94" s="657">
        <f t="shared" si="36"/>
        <v>23.599498635994983</v>
      </c>
      <c r="V94" s="657">
        <f t="shared" si="36"/>
        <v>24.091668866015656</v>
      </c>
      <c r="W94" s="657">
        <f t="shared" si="36"/>
        <v>41.738005667624442</v>
      </c>
      <c r="X94" s="657">
        <f>IF(X$9=0,"",(X80+X83)/X$9)</f>
        <v>36.46178695910907</v>
      </c>
      <c r="Y94" s="657">
        <f>IF(Y$9=0,"",(Y80+Y83)/Y$9)</f>
        <v>102.38375130616511</v>
      </c>
      <c r="Z94" s="657" t="str">
        <f t="shared" si="36"/>
        <v/>
      </c>
      <c r="AA94" s="657" t="str">
        <f t="shared" si="36"/>
        <v/>
      </c>
      <c r="AB94" s="657">
        <f>IF(AB$9=0,"",(AB80+AB83)/AB$9)</f>
        <v>24.81870098641965</v>
      </c>
      <c r="AC94" s="657">
        <f>IF(AC$9=0,"",(AC80+AC83)/AC$9)</f>
        <v>15.641198165869218</v>
      </c>
      <c r="AD94" s="657">
        <f t="shared" si="36"/>
        <v>26.482752429333409</v>
      </c>
      <c r="AE94" s="657">
        <f t="shared" si="36"/>
        <v>18.480271188764359</v>
      </c>
      <c r="AF94" s="657">
        <f t="shared" si="36"/>
        <v>19.145312518806492</v>
      </c>
      <c r="AG94" s="631"/>
      <c r="AH94" s="674">
        <f>IF(AH$9=0,"0",+(AH80+AH83)/AH$9)</f>
        <v>28.831906455588069</v>
      </c>
      <c r="AI94" s="678">
        <v>22</v>
      </c>
      <c r="AJ94" s="679">
        <f>AI94-AH94</f>
        <v>-6.8319064555880686</v>
      </c>
      <c r="AK94" s="677">
        <f>AH94/AI94*100</f>
        <v>131.05412025267304</v>
      </c>
      <c r="AL94" s="633"/>
      <c r="AM94" s="634"/>
      <c r="AN94" s="634"/>
      <c r="AO94" s="634"/>
      <c r="AP94" s="634"/>
      <c r="AQ94" s="634"/>
      <c r="AR94" s="634"/>
      <c r="AS94" s="634"/>
      <c r="AT94" s="634"/>
      <c r="AU94" s="634"/>
      <c r="AV94" s="634"/>
      <c r="AW94" s="634"/>
      <c r="AX94" s="634"/>
      <c r="AY94" s="634"/>
      <c r="AZ94" s="634"/>
      <c r="BA94" s="634"/>
      <c r="BB94" s="634"/>
      <c r="BC94" s="634"/>
      <c r="BD94" s="634"/>
      <c r="BE94" s="634"/>
      <c r="BF94" s="634"/>
      <c r="BG94" s="634"/>
    </row>
    <row r="95" spans="1:59" s="635" customFormat="1" hidden="1" x14ac:dyDescent="0.4">
      <c r="B95" s="657"/>
      <c r="C95" s="657"/>
      <c r="D95" s="657"/>
      <c r="E95" s="657"/>
      <c r="F95" s="657"/>
      <c r="G95" s="657"/>
      <c r="H95" s="657"/>
      <c r="I95" s="657"/>
      <c r="J95" s="657"/>
      <c r="K95" s="657"/>
      <c r="L95" s="657"/>
      <c r="M95" s="657"/>
      <c r="N95" s="657"/>
      <c r="O95" s="657"/>
      <c r="P95" s="657"/>
      <c r="Q95" s="657"/>
      <c r="R95" s="657"/>
      <c r="S95" s="657"/>
      <c r="T95" s="657"/>
      <c r="U95" s="657"/>
      <c r="V95" s="657"/>
      <c r="W95" s="657"/>
      <c r="X95" s="657"/>
      <c r="Y95" s="657"/>
      <c r="Z95" s="657"/>
      <c r="AA95" s="657"/>
      <c r="AB95" s="657"/>
      <c r="AC95" s="657"/>
      <c r="AD95" s="657"/>
      <c r="AE95" s="657"/>
      <c r="AF95" s="658"/>
      <c r="AG95" s="641"/>
      <c r="AH95" s="674">
        <f>IF(AH$9=0,"0",+(AH78*10)/AH$9)</f>
        <v>30.227261603668978</v>
      </c>
      <c r="AI95" s="678"/>
      <c r="AJ95" s="680"/>
      <c r="AK95" s="677" t="e">
        <f t="shared" si="33"/>
        <v>#DIV/0!</v>
      </c>
      <c r="AL95" s="633"/>
      <c r="AM95" s="634"/>
      <c r="AN95" s="634"/>
      <c r="AO95" s="634"/>
      <c r="AP95" s="634"/>
      <c r="AQ95" s="634"/>
      <c r="AR95" s="634"/>
      <c r="AS95" s="634"/>
      <c r="AT95" s="634"/>
      <c r="AU95" s="634"/>
      <c r="AV95" s="634"/>
      <c r="AW95" s="634"/>
      <c r="AX95" s="634"/>
      <c r="AY95" s="634"/>
      <c r="AZ95" s="634"/>
      <c r="BA95" s="634"/>
      <c r="BB95" s="634"/>
      <c r="BC95" s="634"/>
      <c r="BD95" s="634"/>
      <c r="BE95" s="634"/>
      <c r="BF95" s="634"/>
      <c r="BG95" s="634"/>
    </row>
    <row r="96" spans="1:59" s="635" customFormat="1" ht="27" thickBot="1" x14ac:dyDescent="0.45">
      <c r="A96" s="635" t="s">
        <v>190</v>
      </c>
      <c r="B96" s="657">
        <f t="shared" ref="B96:I96" si="37">IF(B$9=0,"",B84/B$9)</f>
        <v>6.0186680433310187</v>
      </c>
      <c r="C96" s="657">
        <f t="shared" si="37"/>
        <v>6.799792813269411</v>
      </c>
      <c r="D96" s="658">
        <f t="shared" si="37"/>
        <v>6.076050201586682</v>
      </c>
      <c r="E96" s="657" t="str">
        <f t="shared" si="37"/>
        <v/>
      </c>
      <c r="F96" s="657" t="str">
        <f t="shared" si="37"/>
        <v/>
      </c>
      <c r="G96" s="657">
        <f t="shared" si="37"/>
        <v>5.8668302562904104</v>
      </c>
      <c r="H96" s="658">
        <f t="shared" si="37"/>
        <v>13.38860301124452</v>
      </c>
      <c r="I96" s="658">
        <f t="shared" si="37"/>
        <v>9.3170669554691976</v>
      </c>
      <c r="J96" s="658">
        <f t="shared" ref="J96:AE96" si="38">IF(J$9=0,"",J84/J$9)</f>
        <v>7.7755679882034405</v>
      </c>
      <c r="K96" s="658">
        <f t="shared" si="38"/>
        <v>8.4302092978064298</v>
      </c>
      <c r="L96" s="658" t="str">
        <f t="shared" si="38"/>
        <v/>
      </c>
      <c r="M96" s="658" t="str">
        <f t="shared" si="38"/>
        <v/>
      </c>
      <c r="N96" s="658">
        <f t="shared" si="38"/>
        <v>5.5989391483718869</v>
      </c>
      <c r="O96" s="658">
        <f t="shared" si="38"/>
        <v>5.9976473317096604</v>
      </c>
      <c r="P96" s="658">
        <f>IF(P$9=0,"",P84/P$9)</f>
        <v>7.7124668544484676</v>
      </c>
      <c r="Q96" s="658">
        <f t="shared" si="38"/>
        <v>6.8453515123286897</v>
      </c>
      <c r="R96" s="658">
        <f t="shared" si="38"/>
        <v>39.338337503475117</v>
      </c>
      <c r="S96" s="658" t="str">
        <f t="shared" si="38"/>
        <v/>
      </c>
      <c r="T96" s="658" t="str">
        <f>IF(T$9=0,"",T84/T$9)</f>
        <v/>
      </c>
      <c r="U96" s="658">
        <f t="shared" si="38"/>
        <v>8.1594534149278672</v>
      </c>
      <c r="V96" s="658">
        <f t="shared" si="38"/>
        <v>7.9176563737133803</v>
      </c>
      <c r="W96" s="658">
        <f t="shared" si="38"/>
        <v>14.712126149076296</v>
      </c>
      <c r="X96" s="658">
        <f t="shared" si="38"/>
        <v>12.481355251056858</v>
      </c>
      <c r="Y96" s="658">
        <f>IF(Y$9=0,"",Y84/Y$9)</f>
        <v>30.91257401602229</v>
      </c>
      <c r="Z96" s="658" t="str">
        <f t="shared" si="38"/>
        <v/>
      </c>
      <c r="AA96" s="658" t="str">
        <f>IF(AA$9=0,"",AA84/AA$9)</f>
        <v/>
      </c>
      <c r="AB96" s="658">
        <f t="shared" si="38"/>
        <v>7.8421728556985544</v>
      </c>
      <c r="AC96" s="658">
        <f>IF(AC$9=0,"",AC84/AC$9)</f>
        <v>5.6849332137161088</v>
      </c>
      <c r="AD96" s="658">
        <f t="shared" si="38"/>
        <v>8.5389121580694525</v>
      </c>
      <c r="AE96" s="658">
        <f t="shared" si="38"/>
        <v>6.4593862792089496</v>
      </c>
      <c r="AF96" s="658">
        <f>IF(AF$9=0,"",AF84/AF$9)</f>
        <v>6.1183796123555156</v>
      </c>
      <c r="AG96" s="631"/>
      <c r="AH96" s="664">
        <f>IF(AH$9=0,"0",+(AH84)/AH$9)</f>
        <v>9.1458835152206071</v>
      </c>
      <c r="AI96" s="667">
        <v>7.2</v>
      </c>
      <c r="AJ96" s="681">
        <f>AI96-AH96</f>
        <v>-1.9458835152206069</v>
      </c>
      <c r="AK96" s="672">
        <f t="shared" si="33"/>
        <v>127.02615993361954</v>
      </c>
      <c r="AL96" s="633"/>
      <c r="AM96" s="634"/>
      <c r="AN96" s="634"/>
      <c r="AO96" s="634"/>
      <c r="AP96" s="634"/>
      <c r="AQ96" s="634"/>
      <c r="AR96" s="634"/>
      <c r="AS96" s="634"/>
      <c r="AT96" s="634"/>
      <c r="AU96" s="634"/>
      <c r="AV96" s="634"/>
      <c r="AW96" s="634"/>
      <c r="AX96" s="634"/>
      <c r="AY96" s="634"/>
      <c r="AZ96" s="634"/>
      <c r="BA96" s="634"/>
      <c r="BB96" s="634"/>
      <c r="BC96" s="634"/>
      <c r="BD96" s="634"/>
      <c r="BE96" s="634"/>
      <c r="BF96" s="634"/>
      <c r="BG96" s="634"/>
    </row>
    <row r="97" spans="1:79" s="474" customFormat="1" hidden="1" x14ac:dyDescent="0.4">
      <c r="B97" s="471"/>
      <c r="C97" s="471"/>
      <c r="D97" s="471"/>
      <c r="E97" s="471"/>
      <c r="F97" s="471"/>
      <c r="G97" s="471"/>
      <c r="H97" s="471"/>
      <c r="I97" s="471"/>
      <c r="J97" s="499"/>
      <c r="K97" s="499"/>
      <c r="L97" s="499"/>
      <c r="M97" s="499"/>
      <c r="N97" s="499"/>
      <c r="O97" s="499"/>
      <c r="P97" s="499"/>
      <c r="Q97" s="499"/>
      <c r="R97" s="499"/>
      <c r="S97" s="499"/>
      <c r="T97" s="499"/>
      <c r="U97" s="499"/>
      <c r="V97" s="499"/>
      <c r="W97" s="499"/>
      <c r="X97" s="499"/>
      <c r="Y97" s="499"/>
      <c r="Z97" s="499"/>
      <c r="AA97" s="499"/>
      <c r="AB97" s="499"/>
      <c r="AC97" s="499"/>
      <c r="AD97" s="499"/>
      <c r="AE97" s="499"/>
      <c r="AF97" s="499"/>
      <c r="AG97" s="499"/>
      <c r="AH97" s="634"/>
      <c r="AI97" s="471"/>
      <c r="AJ97" s="471"/>
      <c r="AK97" s="471"/>
      <c r="AL97" s="284"/>
      <c r="AM97" s="471"/>
      <c r="AN97" s="471"/>
      <c r="AO97" s="471"/>
      <c r="AP97" s="471"/>
      <c r="AQ97" s="471"/>
      <c r="AR97" s="471"/>
      <c r="AS97" s="471"/>
      <c r="AT97" s="471"/>
      <c r="AU97" s="471"/>
      <c r="AV97" s="471"/>
      <c r="AW97" s="471"/>
      <c r="AX97" s="471"/>
      <c r="AY97" s="471"/>
      <c r="AZ97" s="471"/>
      <c r="BA97" s="471"/>
      <c r="BB97" s="471"/>
      <c r="BC97" s="471"/>
      <c r="BD97" s="471"/>
      <c r="BE97" s="471"/>
      <c r="BF97" s="471"/>
      <c r="BG97" s="471"/>
    </row>
    <row r="98" spans="1:79" s="474" customFormat="1" hidden="1" x14ac:dyDescent="0.4">
      <c r="B98" s="471"/>
      <c r="C98" s="471"/>
      <c r="D98" s="471"/>
      <c r="E98" s="471"/>
      <c r="F98" s="471"/>
      <c r="G98" s="471"/>
      <c r="H98" s="471"/>
      <c r="I98" s="471"/>
      <c r="J98" s="499"/>
      <c r="K98" s="499"/>
      <c r="L98" s="499"/>
      <c r="M98" s="499"/>
      <c r="N98" s="499"/>
      <c r="O98" s="499"/>
      <c r="P98" s="499"/>
      <c r="Q98" s="499"/>
      <c r="R98" s="499"/>
      <c r="S98" s="499"/>
      <c r="T98" s="499"/>
      <c r="U98" s="499"/>
      <c r="V98" s="499"/>
      <c r="W98" s="499"/>
      <c r="X98" s="499"/>
      <c r="Y98" s="499"/>
      <c r="Z98" s="499"/>
      <c r="AA98" s="499"/>
      <c r="AB98" s="499"/>
      <c r="AC98" s="499"/>
      <c r="AD98" s="499"/>
      <c r="AE98" s="499"/>
      <c r="AF98" s="499"/>
      <c r="AG98" s="499"/>
      <c r="AH98" s="634"/>
      <c r="AI98" s="471"/>
      <c r="AJ98" s="471"/>
      <c r="AK98" s="471"/>
      <c r="AL98" s="284"/>
      <c r="AM98" s="471"/>
      <c r="AN98" s="471"/>
      <c r="AO98" s="471"/>
      <c r="AP98" s="471"/>
      <c r="AQ98" s="471"/>
      <c r="AR98" s="471"/>
      <c r="AS98" s="471"/>
      <c r="AT98" s="471"/>
      <c r="AU98" s="471"/>
      <c r="AV98" s="471"/>
      <c r="AW98" s="471"/>
      <c r="AX98" s="471"/>
      <c r="AY98" s="471"/>
      <c r="AZ98" s="471"/>
      <c r="BA98" s="471"/>
      <c r="BB98" s="471"/>
      <c r="BC98" s="471"/>
      <c r="BD98" s="471"/>
      <c r="BE98" s="471"/>
      <c r="BF98" s="471"/>
      <c r="BG98" s="471"/>
    </row>
    <row r="99" spans="1:79" ht="25.5" hidden="1" x14ac:dyDescent="0.35">
      <c r="A99" s="592" t="s">
        <v>217</v>
      </c>
      <c r="B99" s="642"/>
      <c r="C99" s="642"/>
      <c r="D99" s="642"/>
      <c r="E99" s="642"/>
      <c r="F99" s="642"/>
      <c r="G99" s="642"/>
      <c r="H99" s="642"/>
      <c r="I99" s="642"/>
      <c r="J99" s="643"/>
      <c r="K99" s="643"/>
      <c r="L99" s="643"/>
      <c r="M99" s="643"/>
      <c r="N99" s="643"/>
      <c r="O99" s="643"/>
      <c r="P99" s="643"/>
      <c r="Q99" s="643"/>
      <c r="R99" s="643"/>
      <c r="S99" s="643"/>
      <c r="T99" s="643"/>
      <c r="U99" s="643"/>
      <c r="V99" s="643"/>
      <c r="W99" s="643"/>
      <c r="X99" s="643"/>
      <c r="Y99" s="643"/>
      <c r="Z99" s="643"/>
      <c r="AA99" s="643"/>
      <c r="AB99" s="643"/>
      <c r="AC99" s="643"/>
      <c r="AD99" s="643"/>
      <c r="AE99" s="643"/>
      <c r="AF99" s="643"/>
      <c r="AG99" s="643"/>
      <c r="AH99" s="644">
        <f>SUM($B99:AF99)</f>
        <v>0</v>
      </c>
      <c r="AI99" s="645"/>
      <c r="AJ99" s="642" t="s">
        <v>186</v>
      </c>
    </row>
    <row r="100" spans="1:79" s="507" customFormat="1" ht="25.5" hidden="1" x14ac:dyDescent="0.35">
      <c r="A100" s="646" t="s">
        <v>218</v>
      </c>
      <c r="B100" s="503" t="str">
        <f t="shared" ref="B100:AF100" si="39">IF(B$99=0,"",+(B42*10)/B$99)</f>
        <v/>
      </c>
      <c r="C100" s="503" t="str">
        <f t="shared" si="39"/>
        <v/>
      </c>
      <c r="D100" s="503" t="str">
        <f t="shared" si="39"/>
        <v/>
      </c>
      <c r="E100" s="503" t="str">
        <f t="shared" si="39"/>
        <v/>
      </c>
      <c r="F100" s="503" t="str">
        <f t="shared" si="39"/>
        <v/>
      </c>
      <c r="G100" s="503" t="str">
        <f t="shared" si="39"/>
        <v/>
      </c>
      <c r="H100" s="503" t="str">
        <f t="shared" si="39"/>
        <v/>
      </c>
      <c r="I100" s="503" t="str">
        <f t="shared" si="39"/>
        <v/>
      </c>
      <c r="J100" s="504" t="str">
        <f t="shared" si="39"/>
        <v/>
      </c>
      <c r="K100" s="504" t="str">
        <f t="shared" si="39"/>
        <v/>
      </c>
      <c r="L100" s="504" t="str">
        <f t="shared" si="39"/>
        <v/>
      </c>
      <c r="M100" s="504" t="str">
        <f t="shared" si="39"/>
        <v/>
      </c>
      <c r="N100" s="504" t="str">
        <f t="shared" si="39"/>
        <v/>
      </c>
      <c r="O100" s="504" t="str">
        <f t="shared" si="39"/>
        <v/>
      </c>
      <c r="P100" s="504" t="str">
        <f t="shared" si="39"/>
        <v/>
      </c>
      <c r="Q100" s="504" t="str">
        <f t="shared" si="39"/>
        <v/>
      </c>
      <c r="R100" s="504" t="str">
        <f t="shared" si="39"/>
        <v/>
      </c>
      <c r="S100" s="504" t="str">
        <f t="shared" si="39"/>
        <v/>
      </c>
      <c r="T100" s="504" t="str">
        <f t="shared" si="39"/>
        <v/>
      </c>
      <c r="U100" s="504" t="str">
        <f t="shared" si="39"/>
        <v/>
      </c>
      <c r="V100" s="504" t="str">
        <f t="shared" si="39"/>
        <v/>
      </c>
      <c r="W100" s="504" t="str">
        <f t="shared" si="39"/>
        <v/>
      </c>
      <c r="X100" s="504" t="str">
        <f t="shared" si="39"/>
        <v/>
      </c>
      <c r="Y100" s="504" t="str">
        <f t="shared" si="39"/>
        <v/>
      </c>
      <c r="Z100" s="504" t="str">
        <f t="shared" si="39"/>
        <v/>
      </c>
      <c r="AA100" s="504" t="str">
        <f t="shared" si="39"/>
        <v/>
      </c>
      <c r="AB100" s="504" t="str">
        <f t="shared" si="39"/>
        <v/>
      </c>
      <c r="AC100" s="504" t="str">
        <f t="shared" si="39"/>
        <v/>
      </c>
      <c r="AD100" s="504" t="str">
        <f t="shared" si="39"/>
        <v/>
      </c>
      <c r="AE100" s="504" t="str">
        <f t="shared" si="39"/>
        <v/>
      </c>
      <c r="AF100" s="504" t="str">
        <f t="shared" si="39"/>
        <v/>
      </c>
      <c r="AG100" s="504"/>
      <c r="AH100" s="505" t="e">
        <f>+(AH42*10)/AH$99</f>
        <v>#DIV/0!</v>
      </c>
      <c r="AI100" s="505">
        <v>2.6</v>
      </c>
      <c r="AJ100" s="647" t="e">
        <f>AI100-AH100</f>
        <v>#DIV/0!</v>
      </c>
      <c r="AK100" s="284"/>
      <c r="AL100" s="284"/>
      <c r="AM100" s="284"/>
      <c r="AN100" s="284"/>
      <c r="AO100" s="284"/>
      <c r="AP100" s="284"/>
      <c r="AQ100" s="284"/>
      <c r="AR100" s="284"/>
      <c r="AS100" s="284"/>
      <c r="AT100" s="284"/>
      <c r="AU100" s="284"/>
      <c r="AV100" s="284"/>
      <c r="AW100" s="284"/>
      <c r="AX100" s="284"/>
      <c r="AY100" s="284"/>
      <c r="AZ100" s="284"/>
      <c r="BA100" s="284"/>
      <c r="BB100" s="284"/>
      <c r="BC100" s="284"/>
      <c r="BD100" s="284"/>
      <c r="BE100" s="284"/>
      <c r="BF100" s="284"/>
      <c r="BG100" s="284"/>
      <c r="BH100" s="470"/>
      <c r="BI100" s="470"/>
      <c r="BJ100" s="470"/>
      <c r="BK100" s="470"/>
      <c r="BL100" s="470"/>
      <c r="BM100" s="470"/>
      <c r="BN100" s="470"/>
      <c r="BO100" s="470"/>
      <c r="BP100" s="470"/>
      <c r="BQ100" s="470"/>
      <c r="BR100" s="470"/>
      <c r="BS100" s="470"/>
      <c r="BT100" s="470"/>
      <c r="BU100" s="470"/>
      <c r="BV100" s="470"/>
      <c r="BW100" s="470"/>
      <c r="BX100" s="470"/>
      <c r="BY100" s="470"/>
      <c r="BZ100" s="470"/>
      <c r="CA100" s="470"/>
    </row>
    <row r="101" spans="1:79" ht="25.5" hidden="1" x14ac:dyDescent="0.35">
      <c r="A101" s="648"/>
      <c r="B101" s="649"/>
      <c r="C101" s="649"/>
      <c r="D101" s="649"/>
      <c r="E101" s="649"/>
      <c r="F101" s="649"/>
      <c r="G101" s="649"/>
      <c r="H101" s="649"/>
      <c r="I101" s="649"/>
      <c r="J101" s="650"/>
      <c r="K101" s="650"/>
      <c r="L101" s="650"/>
      <c r="M101" s="650"/>
      <c r="N101" s="650"/>
      <c r="O101" s="650"/>
      <c r="P101" s="650"/>
      <c r="Q101" s="650"/>
      <c r="R101" s="650"/>
      <c r="S101" s="650"/>
      <c r="T101" s="650"/>
      <c r="U101" s="650"/>
      <c r="V101" s="650"/>
      <c r="W101" s="650"/>
      <c r="X101" s="650"/>
      <c r="Y101" s="650"/>
      <c r="Z101" s="650"/>
      <c r="AA101" s="650"/>
      <c r="AB101" s="650"/>
      <c r="AC101" s="650"/>
      <c r="AD101" s="650"/>
      <c r="AE101" s="650"/>
      <c r="AF101" s="650"/>
      <c r="AG101" s="650"/>
      <c r="AH101" s="651"/>
      <c r="AI101" s="651"/>
      <c r="AJ101" s="652"/>
    </row>
    <row r="102" spans="1:79" ht="25.5" hidden="1" x14ac:dyDescent="0.35">
      <c r="A102" s="648"/>
      <c r="B102" s="649"/>
      <c r="C102" s="649"/>
      <c r="D102" s="649"/>
      <c r="E102" s="649"/>
      <c r="F102" s="649"/>
      <c r="G102" s="649"/>
      <c r="H102" s="649"/>
      <c r="I102" s="649"/>
      <c r="J102" s="650"/>
      <c r="K102" s="650"/>
      <c r="L102" s="650"/>
      <c r="M102" s="650"/>
      <c r="N102" s="650"/>
      <c r="O102" s="650"/>
      <c r="P102" s="650"/>
      <c r="Q102" s="650"/>
      <c r="R102" s="650"/>
      <c r="S102" s="650"/>
      <c r="T102" s="650"/>
      <c r="U102" s="650"/>
      <c r="V102" s="650"/>
      <c r="W102" s="650"/>
      <c r="X102" s="650"/>
      <c r="Y102" s="650"/>
      <c r="Z102" s="650"/>
      <c r="AA102" s="650"/>
      <c r="AB102" s="650"/>
      <c r="AC102" s="650"/>
      <c r="AD102" s="650"/>
      <c r="AE102" s="650"/>
      <c r="AF102" s="650"/>
      <c r="AG102" s="650"/>
      <c r="AH102" s="651"/>
      <c r="AI102" s="651"/>
      <c r="AJ102" s="652"/>
    </row>
    <row r="103" spans="1:79" ht="29.25" hidden="1" x14ac:dyDescent="0.5">
      <c r="A103" s="474" t="s">
        <v>226</v>
      </c>
      <c r="B103" s="653">
        <f>IF('Entries July 2026'!L7-'Entries July 2026'!L6&lt;1,0,'Entries July 2026'!L7-'Entries July 2026'!L6)</f>
        <v>983.70999999999913</v>
      </c>
      <c r="C103" s="653">
        <f>IF('Entries July 2026'!L8-'Entries July 2026'!L7&lt;1,0,'Entries July 2026'!L8-'Entries July 2026'!L7)</f>
        <v>561.02999999999884</v>
      </c>
      <c r="D103" s="653">
        <f>IF('Entries July 2026'!L9-'Entries July 2026'!L8&lt;1,0,'Entries July 2026'!L9-'Entries July 2026'!L8)</f>
        <v>511.30000000000291</v>
      </c>
      <c r="E103" s="653">
        <f>IF('Entries July 2026'!L10-'Entries July 2026'!L9&lt;1,0,'Entries July 2026'!L10-'Entries July 2026'!L9)</f>
        <v>0</v>
      </c>
      <c r="F103" s="653">
        <f>IF('Entries July 2026'!L11-'Entries July 2026'!L10&lt;1,0,'Entries July 2026'!L11-'Entries July 2026'!L10)</f>
        <v>42.349999999998545</v>
      </c>
      <c r="G103" s="653">
        <f>IF('Entries July 2026'!L12-'Entries July 2026'!L11&lt;1,0,'Entries July 2026'!L12-'Entries July 2026'!L11)</f>
        <v>906.40000000000146</v>
      </c>
      <c r="H103" s="653">
        <f>IF('Entries July 2026'!M12-'Entries July 2026'!L12&lt;1,0,'Entries July 2026'!M12-'Entries July 2026'!L12)</f>
        <v>460281.83999999997</v>
      </c>
      <c r="I103" s="653">
        <f>IF('Entries July 2026'!L14-'Entries July 2026'!M12&lt;1,0,'Entries July 2026'!L14-'Entries July 2026'!M12)</f>
        <v>0</v>
      </c>
      <c r="J103" s="654">
        <f>IF('Entries July 2026'!L15-'Entries July 2026'!L14&lt;1,0,'Entries July 2026'!L15-'Entries July 2026'!L14)</f>
        <v>396.95999999999913</v>
      </c>
      <c r="K103" s="654">
        <f>IF('Entries July 2026'!L16-'Entries July 2026'!L15&lt;1,0,'Entries July 2026'!L16-'Entries July 2026'!L15)</f>
        <v>729.04000000000087</v>
      </c>
      <c r="L103" s="654">
        <f>IF('Entries July 2026'!L17-'Entries July 2026'!L16&lt;1,0,'Entries July 2026'!L17-'Entries July 2026'!L16)</f>
        <v>0</v>
      </c>
      <c r="M103" s="654">
        <f>IF('Entries July 2026'!L18-'Entries July 2026'!L17&lt;1,0,'Entries July 2026'!L18-'Entries July 2026'!L17)</f>
        <v>0</v>
      </c>
      <c r="N103" s="524">
        <f>IF('Entries July 2026'!L19-'Entries July 2026'!L18&lt;1,0,'Entries July 2026'!L19-'Entries July 2026'!L18)</f>
        <v>206.33000000000175</v>
      </c>
      <c r="O103" s="524">
        <f>IF('Entries July 2026'!L20-'Entries July 2026'!L19&lt;1,0,'Entries July 2026'!L20-'Entries July 2026'!L19)</f>
        <v>431.89999999999418</v>
      </c>
      <c r="P103" s="524">
        <f>IF('Entries July 2026'!L21-'Entries July 2026'!L20&lt;1,0,'Entries July 2026'!L21-'Entries July 2026'!L20)</f>
        <v>410.09000000000378</v>
      </c>
      <c r="Q103" s="524">
        <f>IF('Entries July 2026'!L22-'Entries July 2026'!L21&lt;1,0,'Entries July 2026'!L22-'Entries July 2026'!L21)</f>
        <v>698.90999999999622</v>
      </c>
      <c r="R103" s="524">
        <f>IF('Entries July 2026'!L23-'Entries July 2026'!L22&lt;1,0,'Entries July 2026'!L23-'Entries July 2026'!L22)</f>
        <v>818.38000000000466</v>
      </c>
      <c r="S103" s="524">
        <f>IF('Entries July 2026'!L24-'Entries July 2026'!L23&lt;1,0,'Entries July 2026'!L24-'Entries July 2026'!L23)</f>
        <v>0</v>
      </c>
      <c r="T103" s="524">
        <f>IF('Entries July 2026'!L25-'Entries July 2026'!L24&lt;1,0,'Entries July 2026'!L25-'Entries July 2026'!L24)</f>
        <v>121.23999999999796</v>
      </c>
      <c r="U103" s="524">
        <f>IF('Entries July 2026'!L26-'Entries July 2026'!L25&lt;1,0,'Entries July 2026'!L26-'Entries July 2026'!L25)</f>
        <v>1058.9599999999991</v>
      </c>
      <c r="V103" s="524">
        <f>IF('Entries July 2026'!L27-'Entries July 2026'!L26&lt;1,0,'Entries July 2026'!L27-'Entries July 2026'!L26)</f>
        <v>1094.2799999999988</v>
      </c>
      <c r="W103" s="524">
        <f>IF('Entries July 2026'!L28-'Entries July 2026'!L27&lt;1,0,'Entries July 2026'!L28-'Entries July 2026'!L27)</f>
        <v>707.02000000000407</v>
      </c>
      <c r="X103" s="524">
        <f>IF('Entries July 2026'!L29-'Entries July 2026'!L28&lt;1,0,'Entries July 2026'!L29-'Entries July 2026'!L28)</f>
        <v>612.87999999999738</v>
      </c>
      <c r="Y103" s="524">
        <f>IF('Entries July 2026'!L30-'Entries July 2026'!L29&lt;1,0,'Entries July 2026'!L30-'Entries July 2026'!L29)</f>
        <v>204.4800000000032</v>
      </c>
      <c r="Z103" s="524">
        <f>IF('Entries July 2026'!L31-'Entries July 2026'!L30&lt;1,0,'Entries July 2026'!L31-'Entries July 2026'!L30)</f>
        <v>0</v>
      </c>
      <c r="AA103" s="524">
        <f>IF('Entries July 2026'!L32-'Entries July 2026'!L31&lt;1,0,'Entries July 2026'!L32-'Entries July 2026'!L31)</f>
        <v>8.1100000000005821</v>
      </c>
      <c r="AB103" s="524">
        <f>IF('Entries July 2026'!L33-'Entries July 2026'!L32&lt;1,0,'Entries July 2026'!L33-'Entries July 2026'!L32)</f>
        <v>55.529999999998836</v>
      </c>
      <c r="AC103" s="524">
        <f>IF('Entries July 2026'!L34-'Entries July 2026'!L33&lt;1,0,'Entries July 2026'!L34-'Entries July 2026'!L33)</f>
        <v>1796.8700000000026</v>
      </c>
      <c r="AD103" s="524" t="e">
        <f>IF('Entries July 2026'!#REF!-'Entries July 2026'!L34&lt;1,0,'Entries July 2026'!#REF!-'Entries July 2026'!L34)</f>
        <v>#REF!</v>
      </c>
      <c r="AE103" s="524" t="e">
        <f>IF('Entries July 2026'!L35-'Entries July 2026'!#REF!&lt;1,0,'Entries July 2026'!L35-'Entries July 2026'!#REF!)</f>
        <v>#REF!</v>
      </c>
      <c r="AF103" s="524">
        <f>IF('Entries July 2026'!L36-'Entries July 2026'!L35&lt;1,0,'Entries July 2026'!L36-'Entries July 2026'!L35)</f>
        <v>610.0199999999968</v>
      </c>
      <c r="AG103" s="524"/>
      <c r="AH103" s="487" t="e">
        <f>SUM($B103:AF103)</f>
        <v>#REF!</v>
      </c>
      <c r="AI103" s="487"/>
    </row>
    <row r="104" spans="1:79" hidden="1" x14ac:dyDescent="0.4">
      <c r="A104" s="474" t="s">
        <v>205</v>
      </c>
      <c r="M104" s="472"/>
      <c r="AH104" s="471">
        <f>SUM(B104:AF104)</f>
        <v>0</v>
      </c>
      <c r="AK104" s="284" t="s">
        <v>231</v>
      </c>
    </row>
    <row r="105" spans="1:79" hidden="1" x14ac:dyDescent="0.4">
      <c r="A105" s="474" t="s">
        <v>206</v>
      </c>
      <c r="B105" s="655">
        <f t="shared" ref="B105:AF105" si="40">IF(B103=0,"",B104/B103)</f>
        <v>0</v>
      </c>
      <c r="C105" s="655">
        <f>IF(C103=0,"",C104/C103)</f>
        <v>0</v>
      </c>
      <c r="D105" s="655">
        <f t="shared" si="40"/>
        <v>0</v>
      </c>
      <c r="E105" s="655" t="str">
        <f t="shared" si="40"/>
        <v/>
      </c>
      <c r="F105" s="655">
        <f t="shared" si="40"/>
        <v>0</v>
      </c>
      <c r="G105" s="655" t="s">
        <v>58</v>
      </c>
      <c r="H105" s="655">
        <f t="shared" si="40"/>
        <v>0</v>
      </c>
      <c r="I105" s="655" t="str">
        <f>IF(I103=0,"",I104/I103)</f>
        <v/>
      </c>
      <c r="J105" s="656">
        <f t="shared" si="40"/>
        <v>0</v>
      </c>
      <c r="K105" s="656">
        <f t="shared" si="40"/>
        <v>0</v>
      </c>
      <c r="L105" s="656" t="str">
        <f t="shared" si="40"/>
        <v/>
      </c>
      <c r="M105" s="656" t="str">
        <f t="shared" si="40"/>
        <v/>
      </c>
      <c r="N105" s="656">
        <f t="shared" si="40"/>
        <v>0</v>
      </c>
      <c r="O105" s="656">
        <f t="shared" si="40"/>
        <v>0</v>
      </c>
      <c r="P105" s="656">
        <f t="shared" si="40"/>
        <v>0</v>
      </c>
      <c r="Q105" s="656">
        <f t="shared" si="40"/>
        <v>0</v>
      </c>
      <c r="R105" s="656">
        <f t="shared" si="40"/>
        <v>0</v>
      </c>
      <c r="S105" s="656" t="str">
        <f t="shared" si="40"/>
        <v/>
      </c>
      <c r="T105" s="656">
        <f t="shared" si="40"/>
        <v>0</v>
      </c>
      <c r="U105" s="656">
        <f>IF(U103=0,"",U104/U103)</f>
        <v>0</v>
      </c>
      <c r="V105" s="656">
        <f t="shared" si="40"/>
        <v>0</v>
      </c>
      <c r="W105" s="656">
        <f t="shared" si="40"/>
        <v>0</v>
      </c>
      <c r="X105" s="656">
        <f t="shared" si="40"/>
        <v>0</v>
      </c>
      <c r="Y105" s="656">
        <f t="shared" si="40"/>
        <v>0</v>
      </c>
      <c r="Z105" s="656" t="str">
        <f t="shared" si="40"/>
        <v/>
      </c>
      <c r="AA105" s="656">
        <f t="shared" si="40"/>
        <v>0</v>
      </c>
      <c r="AB105" s="656">
        <f t="shared" si="40"/>
        <v>0</v>
      </c>
      <c r="AC105" s="656">
        <f t="shared" si="40"/>
        <v>0</v>
      </c>
      <c r="AD105" s="656" t="e">
        <f t="shared" si="40"/>
        <v>#REF!</v>
      </c>
      <c r="AE105" s="656" t="e">
        <f t="shared" si="40"/>
        <v>#REF!</v>
      </c>
      <c r="AF105" s="656">
        <f t="shared" si="40"/>
        <v>0</v>
      </c>
      <c r="AG105" s="656"/>
      <c r="AH105" s="655" t="e">
        <f>IF(AH103=0,"",AH104/AH103)</f>
        <v>#REF!</v>
      </c>
    </row>
    <row r="106" spans="1:79" ht="30" hidden="1" x14ac:dyDescent="0.4">
      <c r="A106" s="474" t="s">
        <v>227</v>
      </c>
      <c r="B106" s="653">
        <f>IF('Entries July 2026'!$AF7-'Entries July 2026'!$AF6&lt;1,0,'Entries July 2026'!$AF7-'Entries July 2026'!$AF6)</f>
        <v>0</v>
      </c>
      <c r="C106" s="653">
        <f>IF('Entries July 2026'!$AF8-'Entries July 2026'!$AF7&lt;1,0,'Entries July 2026'!$AF8-'Entries July 2026'!$AF7)</f>
        <v>0</v>
      </c>
      <c r="D106" s="653">
        <f>IF('Entries July 2026'!$AF9-'Entries July 2026'!$AF8&lt;1,0,'Entries July 2026'!$AF9-'Entries July 2026'!$AF8)</f>
        <v>0</v>
      </c>
      <c r="E106" s="653">
        <f>IF('Entries July 2026'!$AF10-'Entries July 2026'!$AF9&lt;1,0,'Entries July 2026'!$AF10-'Entries July 2026'!$AF9)</f>
        <v>0</v>
      </c>
      <c r="F106" s="653">
        <f>IF('Entries July 2026'!$AF11-'Entries July 2026'!$AF10&lt;1,0,'Entries July 2026'!$AF11-'Entries July 2026'!$AF10)</f>
        <v>0</v>
      </c>
      <c r="G106" s="653">
        <f>IF('Entries July 2026'!$AF12-'Entries July 2026'!$AF11&lt;1,0,'Entries July 2026'!$AF12-'Entries July 2026'!$AF11)</f>
        <v>0</v>
      </c>
      <c r="H106" s="653">
        <f>IF('Entries July 2026'!$AF13-'Entries July 2026'!$AF12&lt;1,0,'Entries July 2026'!$AF13-'Entries July 2026'!$AF12)</f>
        <v>0</v>
      </c>
      <c r="I106" s="653">
        <f>IF('Entries July 2026'!AF14-'Entries July 2026'!AF13&lt;1,0,'Entries July 2026'!AF14-'Entries July 2026'!AF13)</f>
        <v>0</v>
      </c>
      <c r="J106" s="654">
        <f>IF('Entries July 2026'!AF15-'Entries July 2026'!AF14&lt;1,0,'Entries July 2026'!AF15-'Entries July 2026'!AF14)</f>
        <v>0</v>
      </c>
      <c r="K106" s="654">
        <f>IF('Entries July 2026'!AF16-'Entries July 2026'!AF15&lt;1,0,'Entries July 2026'!AF16-'Entries July 2026'!AF15)</f>
        <v>0</v>
      </c>
      <c r="L106" s="654">
        <f>IF('Entries July 2026'!$AF17-'Entries July 2026'!$AF16&lt;1,0,'Entries July 2026'!$AF17-'Entries July 2026'!$AF16)</f>
        <v>0</v>
      </c>
      <c r="M106" s="654">
        <f>IF('Entries July 2026'!$AF18-'Entries July 2026'!$AF17&lt;1,0,'Entries July 2026'!$AF18-'Entries July 2026'!$AF17)</f>
        <v>0</v>
      </c>
      <c r="N106" s="654">
        <f>IF('Entries July 2026'!$AF19-'Entries July 2026'!$AF18&lt;1,0,'Entries July 2026'!$AF19-'Entries July 2026'!$AF18)</f>
        <v>0</v>
      </c>
      <c r="O106" s="654">
        <f>IF('Entries July 2026'!$AF20-'Entries July 2026'!$AF19&lt;1,0,'Entries July 2026'!$AF20-'Entries July 2026'!$AF19)</f>
        <v>0</v>
      </c>
      <c r="P106" s="654">
        <f>IF('Entries July 2026'!$AF21-'Entries July 2026'!$AF20&lt;1,0,'Entries July 2026'!$AF21-'Entries July 2026'!$AF20)</f>
        <v>0</v>
      </c>
      <c r="Q106" s="654">
        <f>IF('Entries July 2026'!$AF22-'Entries July 2026'!$AF21&lt;1,0,'Entries July 2026'!$AF22-'Entries July 2026'!$AF21)</f>
        <v>0</v>
      </c>
      <c r="R106" s="654">
        <f>IF('Entries July 2026'!$AF23-'Entries July 2026'!$AF22&lt;1,0,'Entries July 2026'!$AF23-'Entries July 2026'!$AF22)</f>
        <v>0</v>
      </c>
      <c r="S106" s="654">
        <f>IF('Entries July 2026'!$AF24-'Entries July 2026'!$AF23&lt;1,0,'Entries July 2026'!$AF24-'Entries July 2026'!$AF23)</f>
        <v>0</v>
      </c>
      <c r="T106" s="654">
        <f>IF('Entries July 2026'!$AF25-'Entries July 2026'!$AF24&lt;1,0,'Entries July 2026'!$AF25-'Entries July 2026'!$AF24)</f>
        <v>0</v>
      </c>
      <c r="U106" s="654">
        <f>IF('Entries July 2026'!$AF26-'Entries July 2026'!$AF25&lt;1,0,'Entries July 2026'!$AF26-'Entries July 2026'!$AF25)</f>
        <v>0</v>
      </c>
      <c r="V106" s="654">
        <f>IF('Entries July 2026'!$AF27-'Entries July 2026'!$AF26&lt;1,0,'Entries July 2026'!$AF27-'Entries July 2026'!$AF26)</f>
        <v>0</v>
      </c>
      <c r="W106" s="654">
        <f>IF('Entries July 2026'!$AF28-'Entries July 2026'!$AF27&lt;1,0,'Entries July 2026'!$AF28-'Entries July 2026'!$AF27)</f>
        <v>0</v>
      </c>
      <c r="X106" s="654">
        <f>IF('Entries July 2026'!$AF29-'Entries July 2026'!$AF28&lt;1,0,'Entries July 2026'!$AF29-'Entries July 2026'!$AF28)</f>
        <v>0</v>
      </c>
      <c r="Y106" s="654">
        <f>IF('Entries July 2026'!$AF30-'Entries July 2026'!$AF29&lt;1,0,'Entries July 2026'!$AF30-'Entries July 2026'!$AF29)</f>
        <v>0</v>
      </c>
      <c r="Z106" s="654">
        <f>IF('Entries July 2026'!$AF31-'Entries July 2026'!$AF30&lt;1,0,'Entries July 2026'!$AF31-'Entries July 2026'!$AF30)</f>
        <v>0</v>
      </c>
      <c r="AA106" s="654">
        <f>IF('Entries July 2026'!$AF32-'Entries July 2026'!$AF30&lt;1,0,'Entries July 2026'!$AF32-'Entries July 2026'!$AF30)</f>
        <v>0</v>
      </c>
      <c r="AB106" s="654">
        <f>IF('Entries July 2026'!$AF33-'Entries July 2026'!$AF32&lt;1,0,'Entries July 2026'!$AF33-'Entries July 2026'!$AF32)</f>
        <v>0</v>
      </c>
      <c r="AC106" s="654">
        <f>IF('Entries July 2026'!$AF34-'Entries July 2026'!$AF33&lt;1,0,'Entries July 2026'!$AF34-'Entries July 2026'!$AF33)</f>
        <v>0</v>
      </c>
      <c r="AD106" s="654" t="e">
        <f>IF('Entries July 2026'!#REF!-'Entries July 2026'!$AF34&lt;1,0,'Entries July 2026'!#REF!-'Entries July 2026'!$AF34)</f>
        <v>#REF!</v>
      </c>
      <c r="AE106" s="654" t="e">
        <f>IF('Entries July 2026'!$AF35-'Entries July 2026'!#REF!&lt;1,0,'Entries July 2026'!$AF35-'Entries July 2026'!#REF!)</f>
        <v>#REF!</v>
      </c>
      <c r="AF106" s="654">
        <f>IF('Entries July 2026'!$AF36-'Entries July 2026'!$AF35&lt;1,0,'Entries July 2026'!$AF36-'Entries July 2026'!$AF35)</f>
        <v>0</v>
      </c>
      <c r="AG106" s="654"/>
      <c r="AH106" s="487" t="e">
        <f>SUM(B106:AF106)</f>
        <v>#REF!</v>
      </c>
      <c r="AI106" s="487"/>
    </row>
    <row r="107" spans="1:79" hidden="1" x14ac:dyDescent="0.35">
      <c r="M107" s="472"/>
    </row>
    <row r="108" spans="1:79" hidden="1" x14ac:dyDescent="0.35">
      <c r="A108" s="470" t="s">
        <v>161</v>
      </c>
      <c r="M108" s="472"/>
    </row>
    <row r="109" spans="1:79" hidden="1" x14ac:dyDescent="0.35">
      <c r="M109" s="472"/>
    </row>
    <row r="110" spans="1:79" hidden="1" x14ac:dyDescent="0.35">
      <c r="M110" s="472"/>
    </row>
    <row r="111" spans="1:79" hidden="1" x14ac:dyDescent="0.35">
      <c r="M111" s="472"/>
    </row>
    <row r="112" spans="1:79" hidden="1" x14ac:dyDescent="0.35">
      <c r="A112" s="470" t="s">
        <v>149</v>
      </c>
      <c r="B112" s="527" t="s">
        <v>150</v>
      </c>
      <c r="C112" s="511">
        <f>+'Water '!$F8</f>
        <v>220</v>
      </c>
      <c r="M112" s="472"/>
      <c r="AB112" s="472" t="s">
        <v>150</v>
      </c>
      <c r="AC112" s="472" t="s">
        <v>150</v>
      </c>
      <c r="AF112" s="472" t="s">
        <v>150</v>
      </c>
      <c r="AH112" s="487">
        <f>SUM($B112:AC112)</f>
        <v>220</v>
      </c>
      <c r="AI112" s="487"/>
    </row>
    <row r="113" spans="2:34" hidden="1" x14ac:dyDescent="0.35">
      <c r="M113" s="472"/>
    </row>
    <row r="114" spans="2:34" hidden="1" x14ac:dyDescent="0.35">
      <c r="M114" s="472"/>
    </row>
    <row r="115" spans="2:34" hidden="1" x14ac:dyDescent="0.35">
      <c r="M115" s="472"/>
    </row>
    <row r="116" spans="2:34" hidden="1" x14ac:dyDescent="0.35">
      <c r="B116" s="653">
        <f>'Daily KPIs'!B80</f>
        <v>6440</v>
      </c>
      <c r="D116" s="653">
        <f>'Daily KPIs'!D80</f>
        <v>8712</v>
      </c>
      <c r="E116" s="653">
        <f>'Daily KPIs'!E80</f>
        <v>3652</v>
      </c>
      <c r="F116" s="653">
        <f>'Daily KPIs'!F80</f>
        <v>5363</v>
      </c>
      <c r="G116" s="653">
        <f>'Daily KPIs'!G80</f>
        <v>7179</v>
      </c>
      <c r="H116" s="653">
        <f>'Daily KPIs'!H80</f>
        <v>8166</v>
      </c>
      <c r="I116" s="653">
        <f>'Daily KPIs'!I80</f>
        <v>10084</v>
      </c>
      <c r="J116" s="654">
        <f>'Daily KPIs'!J80</f>
        <v>6592</v>
      </c>
      <c r="K116" s="654">
        <f>'Daily KPIs'!K80</f>
        <v>7603</v>
      </c>
      <c r="L116" s="654">
        <f>'Daily KPIs'!L80</f>
        <v>3837</v>
      </c>
      <c r="M116" s="654">
        <f>'Daily KPIs'!M80</f>
        <v>4845</v>
      </c>
      <c r="N116" s="654">
        <f>'Daily KPIs'!N80</f>
        <v>8262</v>
      </c>
      <c r="O116" s="654">
        <f>'Daily KPIs'!O80</f>
        <v>8508</v>
      </c>
      <c r="P116" s="654">
        <f>'Daily KPIs'!P80</f>
        <v>8647</v>
      </c>
      <c r="Q116" s="654">
        <f>'Daily KPIs'!Q80</f>
        <v>7504</v>
      </c>
      <c r="R116" s="654">
        <f>'Daily KPIs'!R80</f>
        <v>7017</v>
      </c>
      <c r="S116" s="654">
        <f>'Daily KPIs'!S80</f>
        <v>3504</v>
      </c>
      <c r="T116" s="654">
        <f>'Daily KPIs'!T80</f>
        <v>4779</v>
      </c>
      <c r="U116" s="654">
        <f>'Daily KPIs'!U80</f>
        <v>8371</v>
      </c>
      <c r="V116" s="654">
        <f>'Daily KPIs'!V80</f>
        <v>10629</v>
      </c>
      <c r="W116" s="654">
        <f>'Daily KPIs'!W80</f>
        <v>7013</v>
      </c>
      <c r="X116" s="654">
        <f>'Daily KPIs'!X80</f>
        <v>8070</v>
      </c>
      <c r="Y116" s="654">
        <f>'Daily KPIs'!Y80</f>
        <v>7948</v>
      </c>
      <c r="Z116" s="654">
        <f>'Daily KPIs'!Z80</f>
        <v>2705</v>
      </c>
      <c r="AA116" s="654">
        <f>'Daily KPIs'!AA80</f>
        <v>3192</v>
      </c>
      <c r="AB116" s="654">
        <f>'Daily KPIs'!AB80</f>
        <v>7688</v>
      </c>
      <c r="AC116" s="654">
        <f>'Daily KPIs'!AC80</f>
        <v>8951</v>
      </c>
      <c r="AD116" s="654">
        <f>'Daily KPIs'!AD80</f>
        <v>8672</v>
      </c>
      <c r="AE116" s="654">
        <f>'Daily KPIs'!AE80</f>
        <v>9708</v>
      </c>
      <c r="AF116" s="654">
        <f>'Daily KPIs'!AF80</f>
        <v>8223</v>
      </c>
      <c r="AG116" s="654"/>
      <c r="AH116" s="653">
        <f>'Daily KPIs'!AH80</f>
        <v>220465</v>
      </c>
    </row>
    <row r="117" spans="2:34" hidden="1" x14ac:dyDescent="0.35">
      <c r="C117" s="653">
        <f>'Daily KPIs'!C80</f>
        <v>8601</v>
      </c>
      <c r="M117" s="472"/>
    </row>
    <row r="118" spans="2:34" hidden="1" x14ac:dyDescent="0.35">
      <c r="M118" s="472"/>
    </row>
    <row r="119" spans="2:34" hidden="1" x14ac:dyDescent="0.35">
      <c r="M119" s="472"/>
    </row>
    <row r="120" spans="2:34" hidden="1" x14ac:dyDescent="0.35">
      <c r="M120" s="472"/>
    </row>
    <row r="121" spans="2:34" hidden="1" x14ac:dyDescent="0.35">
      <c r="M121" s="472"/>
    </row>
    <row r="122" spans="2:34" hidden="1" x14ac:dyDescent="0.35">
      <c r="M122" s="472"/>
    </row>
    <row r="123" spans="2:34" hidden="1" x14ac:dyDescent="0.35">
      <c r="H123" s="284" t="s">
        <v>211</v>
      </c>
      <c r="M123" s="472"/>
      <c r="R123" s="499"/>
    </row>
    <row r="124" spans="2:34" hidden="1" x14ac:dyDescent="0.35">
      <c r="M124" s="472"/>
      <c r="R124" s="499"/>
    </row>
    <row r="125" spans="2:34" hidden="1" x14ac:dyDescent="0.35">
      <c r="M125" s="472"/>
    </row>
    <row r="126" spans="2:34" hidden="1" x14ac:dyDescent="0.35">
      <c r="M126" s="472"/>
    </row>
    <row r="127" spans="2:34" hidden="1" x14ac:dyDescent="0.35">
      <c r="M127" s="472"/>
    </row>
    <row r="128" spans="2:34" hidden="1" x14ac:dyDescent="0.35">
      <c r="M128" s="472"/>
    </row>
    <row r="129" spans="7:39" hidden="1" x14ac:dyDescent="0.35">
      <c r="M129" s="472"/>
    </row>
    <row r="130" spans="7:39" hidden="1" x14ac:dyDescent="0.35">
      <c r="M130" s="472"/>
    </row>
    <row r="131" spans="7:39" hidden="1" x14ac:dyDescent="0.35">
      <c r="M131" s="472"/>
    </row>
    <row r="132" spans="7:39" hidden="1" x14ac:dyDescent="0.35">
      <c r="M132" s="472"/>
    </row>
    <row r="133" spans="7:39" hidden="1" x14ac:dyDescent="0.35">
      <c r="M133" s="472"/>
    </row>
    <row r="134" spans="7:39" hidden="1" x14ac:dyDescent="0.35">
      <c r="M134" s="472"/>
    </row>
    <row r="135" spans="7:39" hidden="1" x14ac:dyDescent="0.35">
      <c r="M135" s="472"/>
    </row>
    <row r="136" spans="7:39" hidden="1" x14ac:dyDescent="0.35">
      <c r="M136" s="472"/>
    </row>
    <row r="137" spans="7:39" hidden="1" x14ac:dyDescent="0.35">
      <c r="M137" s="472"/>
    </row>
    <row r="138" spans="7:39" x14ac:dyDescent="0.35">
      <c r="M138" s="472"/>
    </row>
    <row r="139" spans="7:39" x14ac:dyDescent="0.35">
      <c r="M139" s="472"/>
    </row>
    <row r="140" spans="7:39" x14ac:dyDescent="0.35">
      <c r="M140" s="472" t="s">
        <v>58</v>
      </c>
      <c r="AE140" s="472" t="s">
        <v>58</v>
      </c>
      <c r="AH140" s="791">
        <f>AH83/(AH80+AH83)*100</f>
        <v>15.097028116780336</v>
      </c>
      <c r="AI140" s="792" t="s">
        <v>251</v>
      </c>
      <c r="AM140" s="757"/>
    </row>
    <row r="141" spans="7:39" x14ac:dyDescent="0.35">
      <c r="G141" s="284" t="s">
        <v>58</v>
      </c>
      <c r="M141" s="472"/>
      <c r="S141" s="472" t="s">
        <v>58</v>
      </c>
    </row>
    <row r="142" spans="7:39" x14ac:dyDescent="0.35">
      <c r="M142" s="472"/>
      <c r="U142" s="472" t="s">
        <v>58</v>
      </c>
      <c r="Z142" s="472" t="s">
        <v>58</v>
      </c>
      <c r="AF142" s="472" t="s">
        <v>58</v>
      </c>
      <c r="AG142" s="472" t="s">
        <v>58</v>
      </c>
    </row>
    <row r="143" spans="7:39" x14ac:dyDescent="0.35">
      <c r="M143" s="472"/>
    </row>
    <row r="144" spans="7:39" x14ac:dyDescent="0.35">
      <c r="G144" s="284" t="s">
        <v>58</v>
      </c>
      <c r="M144" s="472"/>
    </row>
    <row r="145" spans="10:13" x14ac:dyDescent="0.35">
      <c r="M145" s="472"/>
    </row>
    <row r="146" spans="10:13" x14ac:dyDescent="0.35">
      <c r="M146" s="472"/>
    </row>
    <row r="147" spans="10:13" x14ac:dyDescent="0.35">
      <c r="M147" s="472"/>
    </row>
    <row r="148" spans="10:13" x14ac:dyDescent="0.35">
      <c r="M148" s="472"/>
    </row>
    <row r="149" spans="10:13" x14ac:dyDescent="0.35">
      <c r="M149" s="472"/>
    </row>
    <row r="150" spans="10:13" x14ac:dyDescent="0.35">
      <c r="M150" s="472"/>
    </row>
    <row r="151" spans="10:13" x14ac:dyDescent="0.35">
      <c r="M151" s="472"/>
    </row>
    <row r="152" spans="10:13" x14ac:dyDescent="0.35">
      <c r="M152" s="472"/>
    </row>
    <row r="153" spans="10:13" x14ac:dyDescent="0.35">
      <c r="M153" s="472"/>
    </row>
    <row r="154" spans="10:13" x14ac:dyDescent="0.35">
      <c r="M154" s="472"/>
    </row>
    <row r="155" spans="10:13" x14ac:dyDescent="0.35">
      <c r="J155" s="472" t="s">
        <v>58</v>
      </c>
      <c r="M155" s="472"/>
    </row>
    <row r="156" spans="10:13" x14ac:dyDescent="0.35">
      <c r="M156" s="472"/>
    </row>
    <row r="157" spans="10:13" x14ac:dyDescent="0.35">
      <c r="M157" s="472"/>
    </row>
    <row r="158" spans="10:13" x14ac:dyDescent="0.35">
      <c r="M158" s="472"/>
    </row>
    <row r="159" spans="10:13" x14ac:dyDescent="0.35">
      <c r="M159" s="472"/>
    </row>
    <row r="160" spans="10:13" x14ac:dyDescent="0.35">
      <c r="M160" s="472"/>
    </row>
    <row r="161" spans="13:13" x14ac:dyDescent="0.35">
      <c r="M161" s="472"/>
    </row>
    <row r="162" spans="13:13" x14ac:dyDescent="0.35">
      <c r="M162" s="472"/>
    </row>
    <row r="163" spans="13:13" x14ac:dyDescent="0.35">
      <c r="M163" s="472"/>
    </row>
    <row r="164" spans="13:13" x14ac:dyDescent="0.35">
      <c r="M164" s="472"/>
    </row>
    <row r="165" spans="13:13" x14ac:dyDescent="0.35">
      <c r="M165" s="472"/>
    </row>
    <row r="166" spans="13:13" x14ac:dyDescent="0.35">
      <c r="M166" s="472"/>
    </row>
    <row r="167" spans="13:13" x14ac:dyDescent="0.35">
      <c r="M167" s="472"/>
    </row>
    <row r="168" spans="13:13" x14ac:dyDescent="0.35">
      <c r="M168" s="472"/>
    </row>
    <row r="169" spans="13:13" x14ac:dyDescent="0.35">
      <c r="M169" s="472"/>
    </row>
    <row r="170" spans="13:13" x14ac:dyDescent="0.35">
      <c r="M170" s="472"/>
    </row>
    <row r="171" spans="13:13" x14ac:dyDescent="0.35">
      <c r="M171" s="472"/>
    </row>
    <row r="172" spans="13:13" x14ac:dyDescent="0.35">
      <c r="M172" s="472"/>
    </row>
    <row r="173" spans="13:13" x14ac:dyDescent="0.35">
      <c r="M173" s="472"/>
    </row>
    <row r="174" spans="13:13" x14ac:dyDescent="0.35">
      <c r="M174" s="472"/>
    </row>
  </sheetData>
  <mergeCells count="1">
    <mergeCell ref="AI6:AI7"/>
  </mergeCells>
  <phoneticPr fontId="32" type="noConversion"/>
  <conditionalFormatting sqref="B93:C93 AH93">
    <cfRule type="cellIs" dxfId="33" priority="110" operator="greaterThan">
      <formula>$AI$93</formula>
    </cfRule>
  </conditionalFormatting>
  <conditionalFormatting sqref="B90:AF90">
    <cfRule type="cellIs" dxfId="32" priority="19" operator="greaterThan">
      <formula>10.2</formula>
    </cfRule>
  </conditionalFormatting>
  <conditionalFormatting sqref="B92:AF92">
    <cfRule type="cellIs" dxfId="31" priority="9" operator="greaterThan">
      <formula>5</formula>
    </cfRule>
    <cfRule type="cellIs" dxfId="30" priority="10" operator="lessThanOrEqual">
      <formula>5</formula>
    </cfRule>
  </conditionalFormatting>
  <conditionalFormatting sqref="B94:AF94">
    <cfRule type="cellIs" dxfId="29" priority="16" operator="greaterThan">
      <formula>22</formula>
    </cfRule>
  </conditionalFormatting>
  <conditionalFormatting sqref="B96:AF96">
    <cfRule type="cellIs" dxfId="28" priority="15" operator="greaterThan">
      <formula>7.2</formula>
    </cfRule>
  </conditionalFormatting>
  <conditionalFormatting sqref="B22:AG22">
    <cfRule type="cellIs" dxfId="27" priority="84" operator="greaterThan">
      <formula>400</formula>
    </cfRule>
  </conditionalFormatting>
  <conditionalFormatting sqref="B42:AG42">
    <cfRule type="cellIs" dxfId="26" priority="30" operator="greaterThan">
      <formula>70</formula>
    </cfRule>
  </conditionalFormatting>
  <conditionalFormatting sqref="B44:AG44">
    <cfRule type="colorScale" priority="1166">
      <colorScale>
        <cfvo type="min"/>
        <cfvo type="max"/>
        <color theme="0"/>
        <color rgb="FFFF0000"/>
      </colorScale>
    </cfRule>
  </conditionalFormatting>
  <conditionalFormatting sqref="B94:AG94">
    <cfRule type="cellIs" dxfId="25" priority="1157" operator="greaterThan">
      <formula>$AI$94</formula>
    </cfRule>
  </conditionalFormatting>
  <conditionalFormatting sqref="B96:AG96">
    <cfRule type="cellIs" dxfId="24" priority="1159" operator="greaterThan">
      <formula>$AI$96</formula>
    </cfRule>
  </conditionalFormatting>
  <conditionalFormatting sqref="B15:AH15">
    <cfRule type="cellIs" dxfId="23" priority="1" operator="greaterThan">
      <formula>3.2</formula>
    </cfRule>
  </conditionalFormatting>
  <conditionalFormatting sqref="B54:AH54">
    <cfRule type="cellIs" dxfId="22" priority="106" operator="greaterThan">
      <formula>3.2</formula>
    </cfRule>
  </conditionalFormatting>
  <conditionalFormatting sqref="B56:AH56">
    <cfRule type="cellIs" dxfId="21" priority="44" operator="greaterThan">
      <formula>0.1</formula>
    </cfRule>
  </conditionalFormatting>
  <conditionalFormatting sqref="B57:AH57 B59:AH59 B61:AH61">
    <cfRule type="cellIs" dxfId="20" priority="45" operator="greaterThan">
      <formula>0.7</formula>
    </cfRule>
  </conditionalFormatting>
  <conditionalFormatting sqref="B58:AH58 B62:AH62">
    <cfRule type="cellIs" dxfId="19" priority="46" operator="greaterThan">
      <formula>1</formula>
    </cfRule>
  </conditionalFormatting>
  <conditionalFormatting sqref="B60:AH60">
    <cfRule type="cellIs" dxfId="18" priority="5" operator="greaterThan">
      <formula>2.1</formula>
    </cfRule>
  </conditionalFormatting>
  <conditionalFormatting sqref="B65:AH65">
    <cfRule type="cellIs" dxfId="17" priority="39" operator="greaterThan">
      <formula>0.3</formula>
    </cfRule>
  </conditionalFormatting>
  <conditionalFormatting sqref="B68:AH68">
    <cfRule type="cellIs" dxfId="16" priority="41" operator="greaterThan">
      <formula>9.6</formula>
    </cfRule>
  </conditionalFormatting>
  <conditionalFormatting sqref="B69:AH69">
    <cfRule type="cellIs" dxfId="15" priority="42" operator="greaterThan">
      <formula>2.9</formula>
    </cfRule>
  </conditionalFormatting>
  <conditionalFormatting sqref="B92:AH92">
    <cfRule type="cellIs" dxfId="14" priority="31" operator="greaterThan">
      <formula>5.04</formula>
    </cfRule>
  </conditionalFormatting>
  <conditionalFormatting sqref="B93:AH93">
    <cfRule type="cellIs" dxfId="13" priority="17" operator="greaterThan">
      <formula>1.7</formula>
    </cfRule>
  </conditionalFormatting>
  <conditionalFormatting sqref="B96:AH96">
    <cfRule type="cellIs" dxfId="12" priority="20" operator="greaterThan">
      <formula>7.2</formula>
    </cfRule>
  </conditionalFormatting>
  <conditionalFormatting sqref="E96">
    <cfRule type="cellIs" dxfId="11" priority="22" operator="greaterThan">
      <formula>7.2</formula>
    </cfRule>
  </conditionalFormatting>
  <conditionalFormatting sqref="I63:AH63">
    <cfRule type="cellIs" dxfId="10" priority="51" operator="greaterThan">
      <formula>0.6</formula>
    </cfRule>
  </conditionalFormatting>
  <conditionalFormatting sqref="AC54:AG54">
    <cfRule type="cellIs" dxfId="9" priority="65" operator="greaterThan">
      <formula>$AI$54</formula>
    </cfRule>
  </conditionalFormatting>
  <conditionalFormatting sqref="AC55:AG59 AC61:AG61 AC63:AG63 B64:AG64">
    <cfRule type="cellIs" dxfId="8" priority="1118" operator="greaterThan">
      <formula>$AI59</formula>
    </cfRule>
  </conditionalFormatting>
  <conditionalFormatting sqref="AH94">
    <cfRule type="cellIs" dxfId="7" priority="11" operator="lessThanOrEqual">
      <formula>22</formula>
    </cfRule>
  </conditionalFormatting>
  <conditionalFormatting sqref="AH94:AH96 B90:AH90 AH91">
    <cfRule type="cellIs" dxfId="6" priority="1151" operator="greaterThan">
      <formula>$AI$90</formula>
    </cfRule>
  </conditionalFormatting>
  <conditionalFormatting sqref="AH96">
    <cfRule type="cellIs" dxfId="5" priority="12" operator="greaterThan">
      <formula>7.2</formula>
    </cfRule>
    <cfRule type="cellIs" dxfId="4" priority="13" operator="lessThan">
      <formula>7.2</formula>
    </cfRule>
    <cfRule type="cellIs" dxfId="3" priority="23" operator="greaterThan">
      <formula>7.2</formula>
    </cfRule>
  </conditionalFormatting>
  <conditionalFormatting sqref="AJ8">
    <cfRule type="cellIs" dxfId="2" priority="88" operator="greaterThan">
      <formula>0</formula>
    </cfRule>
    <cfRule type="cellIs" dxfId="1" priority="89" operator="lessThan">
      <formula>0</formula>
    </cfRule>
  </conditionalFormatting>
  <conditionalFormatting sqref="AK90:AK96">
    <cfRule type="cellIs" dxfId="0" priority="33" operator="greaterThan">
      <formula>100</formula>
    </cfRule>
  </conditionalFormatting>
  <printOptions horizontalCentered="1" verticalCentered="1"/>
  <pageMargins left="0" right="0" top="0" bottom="0" header="0.25" footer="0"/>
  <pageSetup scale="30" fitToWidth="0" orientation="landscape" r:id="rId1"/>
  <headerFooter alignWithMargins="0"/>
  <ignoredErrors>
    <ignoredError sqref="AH105" formula="1"/>
  </ignoredError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indexed="12"/>
  </sheetPr>
  <dimension ref="A1:R38"/>
  <sheetViews>
    <sheetView workbookViewId="0">
      <selection activeCell="F2" sqref="F2"/>
    </sheetView>
  </sheetViews>
  <sheetFormatPr defaultRowHeight="12.75" x14ac:dyDescent="0.2"/>
  <cols>
    <col min="2" max="2" width="13.5703125" customWidth="1"/>
    <col min="3" max="3" width="18.5703125" customWidth="1"/>
    <col min="4" max="4" width="17.7109375" customWidth="1"/>
    <col min="5" max="5" width="14" customWidth="1"/>
    <col min="6" max="6" width="14.28515625" customWidth="1"/>
    <col min="7" max="7" width="16.28515625" customWidth="1"/>
    <col min="8" max="9" width="14.5703125" customWidth="1"/>
    <col min="10" max="12" width="15.42578125" customWidth="1"/>
    <col min="13" max="14" width="15.7109375" customWidth="1"/>
    <col min="15" max="15" width="14" customWidth="1"/>
    <col min="16" max="16" width="12" customWidth="1"/>
    <col min="17" max="17" width="12.28515625" customWidth="1"/>
    <col min="18" max="18" width="11.28515625" customWidth="1"/>
  </cols>
  <sheetData>
    <row r="1" spans="1:18" ht="15.75" x14ac:dyDescent="0.25">
      <c r="A1" s="8"/>
      <c r="B1" s="8"/>
      <c r="C1" s="8"/>
      <c r="D1" s="8"/>
      <c r="E1" s="8"/>
      <c r="F1" s="66" t="s">
        <v>298</v>
      </c>
      <c r="G1" s="9"/>
      <c r="H1" s="9"/>
      <c r="I1" s="9"/>
      <c r="J1" s="9"/>
      <c r="K1" s="9"/>
      <c r="L1" s="9"/>
      <c r="M1" s="9"/>
      <c r="N1" s="9"/>
      <c r="O1" s="8"/>
      <c r="P1" s="8"/>
      <c r="Q1" s="8"/>
      <c r="R1" s="8"/>
    </row>
    <row r="2" spans="1:18" ht="15" x14ac:dyDescent="0.2">
      <c r="A2" s="8"/>
      <c r="B2" s="8"/>
      <c r="C2" s="8"/>
      <c r="D2" s="8"/>
      <c r="E2" s="8"/>
      <c r="F2" s="8"/>
      <c r="G2" s="8"/>
      <c r="H2" s="8"/>
      <c r="I2" s="8"/>
      <c r="J2" s="8"/>
      <c r="K2" s="8"/>
      <c r="L2" s="8"/>
      <c r="M2" s="8"/>
      <c r="N2" s="8"/>
      <c r="O2" s="8"/>
      <c r="P2" s="8"/>
      <c r="Q2" s="8"/>
      <c r="R2" s="8"/>
    </row>
    <row r="3" spans="1:18" ht="15" x14ac:dyDescent="0.2">
      <c r="A3" s="8"/>
      <c r="B3" s="8"/>
      <c r="C3" s="8"/>
      <c r="D3" s="8"/>
      <c r="E3" s="8"/>
      <c r="F3" s="8"/>
      <c r="G3" s="8"/>
      <c r="H3" s="8"/>
      <c r="I3" s="8"/>
      <c r="J3" s="8"/>
      <c r="K3" s="8"/>
      <c r="L3" s="8"/>
      <c r="M3" s="8"/>
      <c r="N3" s="8"/>
      <c r="O3" s="8"/>
      <c r="P3" s="8"/>
      <c r="Q3" s="8"/>
      <c r="R3" s="8"/>
    </row>
    <row r="4" spans="1:18" ht="15.75" x14ac:dyDescent="0.25">
      <c r="A4" s="67"/>
      <c r="B4" s="68" t="s">
        <v>18</v>
      </c>
      <c r="C4" s="68" t="s">
        <v>77</v>
      </c>
      <c r="D4" s="69" t="s">
        <v>76</v>
      </c>
      <c r="E4" s="69" t="s">
        <v>74</v>
      </c>
      <c r="F4" s="69" t="s">
        <v>75</v>
      </c>
      <c r="G4" s="69" t="s">
        <v>75</v>
      </c>
      <c r="H4" s="68" t="s">
        <v>71</v>
      </c>
      <c r="I4" s="68" t="s">
        <v>71</v>
      </c>
      <c r="J4" s="68" t="s">
        <v>72</v>
      </c>
      <c r="K4" s="68" t="s">
        <v>72</v>
      </c>
      <c r="L4" s="68" t="s">
        <v>78</v>
      </c>
      <c r="M4" s="69" t="s">
        <v>73</v>
      </c>
      <c r="N4" s="69" t="s">
        <v>155</v>
      </c>
      <c r="O4" s="69" t="s">
        <v>53</v>
      </c>
      <c r="P4" s="69"/>
      <c r="Q4" s="69"/>
      <c r="R4" s="67"/>
    </row>
    <row r="5" spans="1:18" ht="15.75" x14ac:dyDescent="0.25">
      <c r="A5" s="70" t="s">
        <v>7</v>
      </c>
      <c r="B5" s="68" t="s">
        <v>117</v>
      </c>
      <c r="C5" s="68" t="s">
        <v>118</v>
      </c>
      <c r="D5" s="68" t="s">
        <v>119</v>
      </c>
      <c r="E5" s="68" t="s">
        <v>120</v>
      </c>
      <c r="F5" s="68" t="s">
        <v>120</v>
      </c>
      <c r="G5" s="68" t="s">
        <v>118</v>
      </c>
      <c r="H5" s="68" t="s">
        <v>121</v>
      </c>
      <c r="I5" s="68" t="s">
        <v>122</v>
      </c>
      <c r="J5" s="68" t="s">
        <v>121</v>
      </c>
      <c r="K5" s="68" t="s">
        <v>122</v>
      </c>
      <c r="L5" s="68" t="s">
        <v>122</v>
      </c>
      <c r="M5" s="68" t="s">
        <v>121</v>
      </c>
      <c r="N5" s="68" t="s">
        <v>121</v>
      </c>
      <c r="O5" s="68" t="s">
        <v>62</v>
      </c>
      <c r="P5" s="69" t="s">
        <v>54</v>
      </c>
      <c r="Q5" s="69" t="s">
        <v>48</v>
      </c>
      <c r="R5" s="71" t="s">
        <v>15</v>
      </c>
    </row>
    <row r="6" spans="1:18" ht="15.75" thickBot="1" x14ac:dyDescent="0.25">
      <c r="A6" s="54">
        <v>31</v>
      </c>
      <c r="B6" s="54"/>
      <c r="C6" s="54"/>
      <c r="D6" s="54"/>
      <c r="E6" s="54"/>
      <c r="F6" s="54"/>
      <c r="G6" s="54"/>
      <c r="H6" s="54"/>
      <c r="I6" s="54"/>
      <c r="J6" s="54"/>
      <c r="K6" s="54"/>
      <c r="L6" s="54"/>
      <c r="M6" s="54"/>
      <c r="N6" s="54"/>
      <c r="O6" s="54"/>
      <c r="P6" s="54"/>
      <c r="Q6" s="54"/>
      <c r="R6" s="53" t="s">
        <v>63</v>
      </c>
    </row>
    <row r="7" spans="1:18" ht="15" x14ac:dyDescent="0.25">
      <c r="A7" s="46">
        <v>1</v>
      </c>
      <c r="B7" s="55">
        <f>'Entries July 2026'!O6</f>
        <v>239094</v>
      </c>
      <c r="C7" s="55">
        <f>B8-B7</f>
        <v>266</v>
      </c>
      <c r="D7" s="55">
        <f>C7-G7</f>
        <v>78</v>
      </c>
      <c r="E7" s="56">
        <f>'Entries July 2026'!Y6</f>
        <v>64265</v>
      </c>
      <c r="F7" s="57">
        <f>'Entries July 2026'!V6</f>
        <v>1351661</v>
      </c>
      <c r="G7" s="57">
        <f>F8-F7</f>
        <v>188</v>
      </c>
      <c r="H7" s="57">
        <f>'Entries July 2026'!AA6</f>
        <v>97122</v>
      </c>
      <c r="I7" s="58">
        <f>H8-H7</f>
        <v>0</v>
      </c>
      <c r="J7" s="57">
        <f>'Entries July 2026'!V6</f>
        <v>1351661</v>
      </c>
      <c r="K7" s="58">
        <f>J8-J7</f>
        <v>-1351661</v>
      </c>
      <c r="L7" s="58">
        <f>K7+I7</f>
        <v>-1351661</v>
      </c>
      <c r="M7" s="57">
        <f>'Entries July 2026'!R6</f>
        <v>0</v>
      </c>
      <c r="N7" s="57">
        <f>'Entries July 2026'!AC7-'Entries July 2026'!AC6</f>
        <v>19</v>
      </c>
      <c r="O7" s="57">
        <f>C7+D7+G7</f>
        <v>532</v>
      </c>
      <c r="P7" s="59"/>
      <c r="Q7" s="45"/>
      <c r="R7" s="60" t="e">
        <f t="shared" ref="R7:R34" si="0">SUM(O7/Q7)</f>
        <v>#DIV/0!</v>
      </c>
    </row>
    <row r="8" spans="1:18" ht="15" x14ac:dyDescent="0.25">
      <c r="A8" s="46">
        <v>2</v>
      </c>
      <c r="B8" s="55">
        <f>'Entries July 2026'!O7</f>
        <v>239360</v>
      </c>
      <c r="C8" s="55">
        <f t="shared" ref="C8:C34" si="1">B9-B8</f>
        <v>269</v>
      </c>
      <c r="D8" s="55">
        <f t="shared" ref="D8:D35" si="2">C8-G8</f>
        <v>49</v>
      </c>
      <c r="E8" s="56">
        <f>'Entries July 2026'!W7</f>
        <v>0</v>
      </c>
      <c r="F8" s="57">
        <f>'Entries July 2026'!V7</f>
        <v>1351849</v>
      </c>
      <c r="G8" s="43">
        <f>F9-F8</f>
        <v>220</v>
      </c>
      <c r="H8" s="57">
        <f>'Entries July 2026'!AA7</f>
        <v>97122</v>
      </c>
      <c r="I8" s="58">
        <f t="shared" ref="I8:I34" si="3">H9-H8</f>
        <v>0</v>
      </c>
      <c r="J8" s="57">
        <f>'Entries July 2026'!T7</f>
        <v>0</v>
      </c>
      <c r="K8" s="58">
        <f t="shared" ref="K8:K34" si="4">J9-J8</f>
        <v>0</v>
      </c>
      <c r="L8" s="58">
        <f>K8+I8</f>
        <v>0</v>
      </c>
      <c r="M8" s="57">
        <f>'Entries July 2026'!R7</f>
        <v>0</v>
      </c>
      <c r="N8" s="57">
        <f>'Entries July 2026'!AC8-'Entries July 2026'!AC7</f>
        <v>30</v>
      </c>
      <c r="O8" s="57">
        <f t="shared" ref="O8:O34" si="5">C8+D8+G8</f>
        <v>538</v>
      </c>
      <c r="P8" s="62"/>
      <c r="Q8" s="42"/>
      <c r="R8" s="60" t="e">
        <f t="shared" si="0"/>
        <v>#DIV/0!</v>
      </c>
    </row>
    <row r="9" spans="1:18" ht="15" x14ac:dyDescent="0.25">
      <c r="A9" s="46">
        <v>3</v>
      </c>
      <c r="B9" s="55">
        <f>'Entries July 2026'!O8</f>
        <v>239629</v>
      </c>
      <c r="C9" s="55">
        <f t="shared" si="1"/>
        <v>7</v>
      </c>
      <c r="D9" s="55">
        <f t="shared" si="2"/>
        <v>-142</v>
      </c>
      <c r="E9" s="56">
        <f>'Entries July 2026'!W8</f>
        <v>0</v>
      </c>
      <c r="F9" s="57">
        <f>'Entries July 2026'!V8</f>
        <v>1352069</v>
      </c>
      <c r="G9" s="57">
        <f>F10-F9</f>
        <v>149</v>
      </c>
      <c r="H9" s="57">
        <f>'Entries July 2026'!AA8</f>
        <v>97122</v>
      </c>
      <c r="I9" s="58">
        <f t="shared" si="3"/>
        <v>0</v>
      </c>
      <c r="J9" s="57">
        <f>'Entries July 2026'!T8</f>
        <v>0</v>
      </c>
      <c r="K9" s="58">
        <f t="shared" si="4"/>
        <v>0</v>
      </c>
      <c r="L9" s="58">
        <f t="shared" ref="L9:L34" si="6">K9+I9</f>
        <v>0</v>
      </c>
      <c r="M9" s="57">
        <f>'Entries July 2026'!R10</f>
        <v>0</v>
      </c>
      <c r="N9" s="57">
        <f>'Entries July 2026'!AC9-'Entries July 2026'!AC8</f>
        <v>23</v>
      </c>
      <c r="O9" s="57">
        <f t="shared" si="5"/>
        <v>14</v>
      </c>
      <c r="P9" s="62"/>
      <c r="Q9" s="42"/>
      <c r="R9" s="60" t="e">
        <f t="shared" si="0"/>
        <v>#DIV/0!</v>
      </c>
    </row>
    <row r="10" spans="1:18" ht="15" x14ac:dyDescent="0.25">
      <c r="A10" s="46">
        <v>4</v>
      </c>
      <c r="B10" s="55">
        <f>'Entries July 2026'!O9</f>
        <v>239636</v>
      </c>
      <c r="C10" s="55">
        <f t="shared" si="1"/>
        <v>21</v>
      </c>
      <c r="D10" s="55">
        <f t="shared" si="2"/>
        <v>-173</v>
      </c>
      <c r="E10" s="56">
        <f>'Entries July 2026'!W9</f>
        <v>0</v>
      </c>
      <c r="F10" s="57">
        <f>'Entries July 2026'!V9</f>
        <v>1352218</v>
      </c>
      <c r="G10" s="43">
        <f t="shared" ref="G10:G34" si="7">F11-F10</f>
        <v>194</v>
      </c>
      <c r="H10" s="57">
        <f>'Entries July 2026'!AA9</f>
        <v>97122</v>
      </c>
      <c r="I10" s="58">
        <f t="shared" si="3"/>
        <v>0</v>
      </c>
      <c r="J10" s="57">
        <f>'Entries July 2026'!T9</f>
        <v>0</v>
      </c>
      <c r="K10" s="58">
        <f t="shared" si="4"/>
        <v>0</v>
      </c>
      <c r="L10" s="58">
        <f t="shared" si="6"/>
        <v>0</v>
      </c>
      <c r="M10" s="57">
        <f>'Entries July 2026'!R9</f>
        <v>0</v>
      </c>
      <c r="N10" s="57">
        <f>'Entries July 2026'!AC10-'Entries July 2026'!AC9</f>
        <v>0</v>
      </c>
      <c r="O10" s="57">
        <f t="shared" si="5"/>
        <v>42</v>
      </c>
      <c r="P10" s="62"/>
      <c r="Q10" s="42"/>
      <c r="R10" s="60" t="e">
        <f t="shared" si="0"/>
        <v>#DIV/0!</v>
      </c>
    </row>
    <row r="11" spans="1:18" ht="15" x14ac:dyDescent="0.25">
      <c r="A11" s="46">
        <v>5</v>
      </c>
      <c r="B11" s="55">
        <f>'Entries July 2026'!O10</f>
        <v>239657</v>
      </c>
      <c r="C11" s="55">
        <f t="shared" si="1"/>
        <v>1</v>
      </c>
      <c r="D11" s="55">
        <f t="shared" si="2"/>
        <v>-41</v>
      </c>
      <c r="E11" s="56">
        <f>'Entries July 2026'!W10</f>
        <v>0</v>
      </c>
      <c r="F11" s="57">
        <f>'Entries July 2026'!V10</f>
        <v>1352412</v>
      </c>
      <c r="G11" s="57">
        <f t="shared" si="7"/>
        <v>42</v>
      </c>
      <c r="H11" s="57">
        <f>'Entries July 2026'!AA10</f>
        <v>97122</v>
      </c>
      <c r="I11" s="58">
        <f t="shared" si="3"/>
        <v>0</v>
      </c>
      <c r="J11" s="57">
        <f>'Entries July 2026'!T10</f>
        <v>0</v>
      </c>
      <c r="K11" s="58">
        <f t="shared" si="4"/>
        <v>0</v>
      </c>
      <c r="L11" s="58">
        <f t="shared" si="6"/>
        <v>0</v>
      </c>
      <c r="M11" s="57">
        <f>'Entries July 2026'!R10</f>
        <v>0</v>
      </c>
      <c r="N11" s="57">
        <f>'Entries July 2026'!AC11-'Entries July 2026'!AC10</f>
        <v>1</v>
      </c>
      <c r="O11" s="57">
        <f t="shared" si="5"/>
        <v>2</v>
      </c>
      <c r="P11" s="62"/>
      <c r="Q11" s="45"/>
      <c r="R11" s="60" t="e">
        <f t="shared" si="0"/>
        <v>#DIV/0!</v>
      </c>
    </row>
    <row r="12" spans="1:18" ht="15" x14ac:dyDescent="0.25">
      <c r="A12" s="46">
        <v>6</v>
      </c>
      <c r="B12" s="55">
        <f>'Entries July 2026'!O11</f>
        <v>239658</v>
      </c>
      <c r="C12" s="55">
        <f t="shared" si="1"/>
        <v>125</v>
      </c>
      <c r="D12" s="55">
        <f t="shared" si="2"/>
        <v>-72</v>
      </c>
      <c r="E12" s="56">
        <f>'Entries July 2026'!W11</f>
        <v>0</v>
      </c>
      <c r="F12" s="57">
        <f>'Entries July 2026'!V11</f>
        <v>1352454</v>
      </c>
      <c r="G12" s="57">
        <f t="shared" si="7"/>
        <v>197</v>
      </c>
      <c r="H12" s="57">
        <f>'Entries July 2026'!AA11</f>
        <v>97122</v>
      </c>
      <c r="I12" s="58">
        <f t="shared" si="3"/>
        <v>0</v>
      </c>
      <c r="J12" s="57">
        <f>'Entries July 2026'!T11</f>
        <v>0</v>
      </c>
      <c r="K12" s="58">
        <f t="shared" si="4"/>
        <v>309</v>
      </c>
      <c r="L12" s="58">
        <f t="shared" si="6"/>
        <v>309</v>
      </c>
      <c r="M12" s="57">
        <f>'Entries July 2026'!R11</f>
        <v>0</v>
      </c>
      <c r="N12" s="57">
        <f>'Entries July 2026'!AC12-'Entries July 2026'!AC11</f>
        <v>29</v>
      </c>
      <c r="O12" s="57">
        <f t="shared" si="5"/>
        <v>250</v>
      </c>
      <c r="P12" s="62"/>
      <c r="Q12" s="45"/>
      <c r="R12" s="60" t="e">
        <f t="shared" si="0"/>
        <v>#DIV/0!</v>
      </c>
    </row>
    <row r="13" spans="1:18" ht="15" x14ac:dyDescent="0.25">
      <c r="A13" s="46">
        <v>7</v>
      </c>
      <c r="B13" s="55">
        <f>'Entries July 2026'!O12</f>
        <v>239783</v>
      </c>
      <c r="C13" s="55">
        <f t="shared" si="1"/>
        <v>267</v>
      </c>
      <c r="D13" s="55">
        <f t="shared" si="2"/>
        <v>137</v>
      </c>
      <c r="E13" s="56">
        <f>'Entries July 2026'!W12</f>
        <v>0</v>
      </c>
      <c r="F13" s="57">
        <f>'Entries July 2026'!V12</f>
        <v>1352651</v>
      </c>
      <c r="G13" s="57">
        <f t="shared" si="7"/>
        <v>130</v>
      </c>
      <c r="H13" s="57">
        <f>'Entries July 2026'!AA12</f>
        <v>97122</v>
      </c>
      <c r="I13" s="58">
        <f t="shared" si="3"/>
        <v>0</v>
      </c>
      <c r="J13" s="57">
        <f>'Entries July 2026'!U12</f>
        <v>309</v>
      </c>
      <c r="K13" s="58">
        <f t="shared" si="4"/>
        <v>-309</v>
      </c>
      <c r="L13" s="58">
        <f t="shared" si="6"/>
        <v>-309</v>
      </c>
      <c r="M13" s="57">
        <f>'Entries July 2026'!R12</f>
        <v>0</v>
      </c>
      <c r="N13" s="57">
        <f>'Entries July 2026'!AC13-'Entries July 2026'!AC12</f>
        <v>16</v>
      </c>
      <c r="O13" s="57">
        <f t="shared" si="5"/>
        <v>534</v>
      </c>
      <c r="P13" s="62"/>
      <c r="Q13" s="45"/>
      <c r="R13" s="60" t="e">
        <f t="shared" si="0"/>
        <v>#DIV/0!</v>
      </c>
    </row>
    <row r="14" spans="1:18" ht="15" x14ac:dyDescent="0.25">
      <c r="A14" s="46">
        <v>8</v>
      </c>
      <c r="B14" s="55">
        <f>'Entries July 2026'!O13</f>
        <v>240050</v>
      </c>
      <c r="C14" s="55">
        <f t="shared" si="1"/>
        <v>1</v>
      </c>
      <c r="D14" s="55">
        <f t="shared" si="2"/>
        <v>-122</v>
      </c>
      <c r="E14" s="56">
        <f>'Entries July 2026'!W13</f>
        <v>0</v>
      </c>
      <c r="F14" s="57">
        <f>'Entries July 2026'!V13</f>
        <v>1352781</v>
      </c>
      <c r="G14" s="57">
        <f>F15-F14</f>
        <v>123</v>
      </c>
      <c r="H14" s="57">
        <f>'Entries July 2026'!AA13</f>
        <v>97122</v>
      </c>
      <c r="I14" s="58">
        <f t="shared" si="3"/>
        <v>0</v>
      </c>
      <c r="J14" s="57">
        <f>'Entries July 2026'!T13</f>
        <v>0</v>
      </c>
      <c r="K14" s="58">
        <f t="shared" si="4"/>
        <v>0</v>
      </c>
      <c r="L14" s="58">
        <f t="shared" si="6"/>
        <v>0</v>
      </c>
      <c r="M14" s="57">
        <f>'Entries July 2026'!R13</f>
        <v>0</v>
      </c>
      <c r="N14" s="57">
        <f>'Entries July 2026'!AC14-'Entries July 2026'!AC13</f>
        <v>32</v>
      </c>
      <c r="O14" s="57">
        <f t="shared" si="5"/>
        <v>2</v>
      </c>
      <c r="P14" s="62"/>
      <c r="Q14" s="45"/>
      <c r="R14" s="60" t="e">
        <f t="shared" si="0"/>
        <v>#DIV/0!</v>
      </c>
    </row>
    <row r="15" spans="1:18" ht="15" x14ac:dyDescent="0.25">
      <c r="A15" s="46">
        <v>9</v>
      </c>
      <c r="B15" s="55">
        <f>'Entries July 2026'!O14</f>
        <v>240051</v>
      </c>
      <c r="C15" s="55">
        <f t="shared" si="1"/>
        <v>213</v>
      </c>
      <c r="D15" s="55">
        <f t="shared" si="2"/>
        <v>9</v>
      </c>
      <c r="E15" s="56">
        <f>'Entries July 2026'!W14</f>
        <v>0</v>
      </c>
      <c r="F15" s="57">
        <f>'Entries July 2026'!V14</f>
        <v>1352904</v>
      </c>
      <c r="G15" s="57">
        <f t="shared" si="7"/>
        <v>204</v>
      </c>
      <c r="H15" s="57">
        <f>'Entries July 2026'!AA14</f>
        <v>97122</v>
      </c>
      <c r="I15" s="58">
        <f t="shared" si="3"/>
        <v>0</v>
      </c>
      <c r="J15" s="57">
        <f>'Entries July 2026'!T14</f>
        <v>0</v>
      </c>
      <c r="K15" s="58">
        <f t="shared" si="4"/>
        <v>0</v>
      </c>
      <c r="L15" s="58">
        <f t="shared" si="6"/>
        <v>0</v>
      </c>
      <c r="M15" s="57">
        <f>'Entries July 2026'!R14</f>
        <v>0</v>
      </c>
      <c r="N15" s="57">
        <f>'Entries July 2026'!AC15-'Entries July 2026'!AC14</f>
        <v>21</v>
      </c>
      <c r="O15" s="57">
        <f t="shared" si="5"/>
        <v>426</v>
      </c>
      <c r="P15" s="62"/>
      <c r="Q15" s="45"/>
      <c r="R15" s="60" t="e">
        <f t="shared" si="0"/>
        <v>#DIV/0!</v>
      </c>
    </row>
    <row r="16" spans="1:18" ht="15" x14ac:dyDescent="0.25">
      <c r="A16" s="46">
        <v>10</v>
      </c>
      <c r="B16" s="55">
        <f>'Entries July 2026'!O15</f>
        <v>240264</v>
      </c>
      <c r="C16" s="55">
        <f t="shared" si="1"/>
        <v>234</v>
      </c>
      <c r="D16" s="55">
        <f t="shared" si="2"/>
        <v>46</v>
      </c>
      <c r="E16" s="56">
        <f>'Entries July 2026'!W15</f>
        <v>0</v>
      </c>
      <c r="F16" s="57">
        <f>'Entries July 2026'!V15</f>
        <v>1353108</v>
      </c>
      <c r="G16" s="57">
        <f t="shared" si="7"/>
        <v>188</v>
      </c>
      <c r="H16" s="57">
        <f>'Entries July 2026'!AA15</f>
        <v>97122</v>
      </c>
      <c r="I16" s="58">
        <f t="shared" si="3"/>
        <v>0</v>
      </c>
      <c r="J16" s="57">
        <f>'Entries July 2026'!T15</f>
        <v>0</v>
      </c>
      <c r="K16" s="58">
        <f t="shared" si="4"/>
        <v>0</v>
      </c>
      <c r="L16" s="58">
        <f t="shared" si="6"/>
        <v>0</v>
      </c>
      <c r="M16" s="57">
        <f>'Entries July 2026'!R15</f>
        <v>0</v>
      </c>
      <c r="N16" s="57">
        <f>'Entries July 2026'!AC16-'Entries July 2026'!AC15</f>
        <v>23</v>
      </c>
      <c r="O16" s="57">
        <f t="shared" si="5"/>
        <v>468</v>
      </c>
      <c r="P16" s="62"/>
      <c r="Q16" s="45"/>
      <c r="R16" s="60" t="e">
        <f t="shared" si="0"/>
        <v>#DIV/0!</v>
      </c>
    </row>
    <row r="17" spans="1:18" ht="15" x14ac:dyDescent="0.25">
      <c r="A17" s="46">
        <v>11</v>
      </c>
      <c r="B17" s="55">
        <f>'Entries July 2026'!O16</f>
        <v>240498</v>
      </c>
      <c r="C17" s="55">
        <f t="shared" si="1"/>
        <v>0</v>
      </c>
      <c r="D17" s="55">
        <f t="shared" si="2"/>
        <v>-100</v>
      </c>
      <c r="E17" s="56">
        <f>'Entries July 2026'!W16</f>
        <v>0</v>
      </c>
      <c r="F17" s="57">
        <f>'Entries July 2026'!V16</f>
        <v>1353296</v>
      </c>
      <c r="G17" s="57">
        <f t="shared" si="7"/>
        <v>100</v>
      </c>
      <c r="H17" s="57">
        <f>'Entries July 2026'!AA16</f>
        <v>97122</v>
      </c>
      <c r="I17" s="58">
        <f t="shared" si="3"/>
        <v>0</v>
      </c>
      <c r="J17" s="57">
        <f>'Entries July 2026'!T16</f>
        <v>0</v>
      </c>
      <c r="K17" s="58">
        <f t="shared" si="4"/>
        <v>0</v>
      </c>
      <c r="L17" s="58">
        <f t="shared" si="6"/>
        <v>0</v>
      </c>
      <c r="M17" s="57">
        <f>'Entries July 2026'!R16</f>
        <v>0</v>
      </c>
      <c r="N17" s="57">
        <f>'Entries July 2026'!AC17-'Entries July 2026'!AC16</f>
        <v>5</v>
      </c>
      <c r="O17" s="57">
        <f t="shared" si="5"/>
        <v>0</v>
      </c>
      <c r="P17" s="62"/>
      <c r="Q17" s="45"/>
      <c r="R17" s="60" t="e">
        <f t="shared" si="0"/>
        <v>#DIV/0!</v>
      </c>
    </row>
    <row r="18" spans="1:18" ht="15" x14ac:dyDescent="0.25">
      <c r="A18" s="46">
        <v>12</v>
      </c>
      <c r="B18" s="55">
        <f>'Entries July 2026'!O17</f>
        <v>240498</v>
      </c>
      <c r="C18" s="55">
        <f t="shared" si="1"/>
        <v>249</v>
      </c>
      <c r="D18" s="55">
        <f t="shared" si="2"/>
        <v>23</v>
      </c>
      <c r="E18" s="56">
        <f>'Entries July 2026'!W17</f>
        <v>0</v>
      </c>
      <c r="F18" s="57">
        <f>'Entries July 2026'!V17</f>
        <v>1353396</v>
      </c>
      <c r="G18" s="57">
        <f t="shared" si="7"/>
        <v>226</v>
      </c>
      <c r="H18" s="57">
        <f>'Entries July 2026'!AA17</f>
        <v>97122</v>
      </c>
      <c r="I18" s="58">
        <f t="shared" si="3"/>
        <v>0</v>
      </c>
      <c r="J18" s="57">
        <f>'Entries July 2026'!T17</f>
        <v>0</v>
      </c>
      <c r="K18" s="58">
        <f t="shared" si="4"/>
        <v>0</v>
      </c>
      <c r="L18" s="58">
        <f t="shared" si="6"/>
        <v>0</v>
      </c>
      <c r="M18" s="57">
        <f>'Entries July 2026'!R17</f>
        <v>0</v>
      </c>
      <c r="N18" s="57">
        <f>'Entries July 2026'!AC18-'Entries July 2026'!AC17</f>
        <v>0</v>
      </c>
      <c r="O18" s="57">
        <f t="shared" si="5"/>
        <v>498</v>
      </c>
      <c r="P18" s="62"/>
      <c r="Q18" s="45"/>
      <c r="R18" s="60" t="e">
        <f t="shared" si="0"/>
        <v>#DIV/0!</v>
      </c>
    </row>
    <row r="19" spans="1:18" ht="15" x14ac:dyDescent="0.25">
      <c r="A19" s="46">
        <v>13</v>
      </c>
      <c r="B19" s="55">
        <f>'Entries July 2026'!O18</f>
        <v>240747</v>
      </c>
      <c r="C19" s="55">
        <f t="shared" si="1"/>
        <v>200</v>
      </c>
      <c r="D19" s="55">
        <f t="shared" si="2"/>
        <v>116</v>
      </c>
      <c r="E19" s="56">
        <f>'Entries July 2026'!W18</f>
        <v>0</v>
      </c>
      <c r="F19" s="57">
        <f>'Entries July 2026'!V18</f>
        <v>1353622</v>
      </c>
      <c r="G19" s="57">
        <f t="shared" si="7"/>
        <v>84</v>
      </c>
      <c r="H19" s="57">
        <f>'Entries July 2026'!AA18</f>
        <v>97122</v>
      </c>
      <c r="I19" s="58">
        <f t="shared" si="3"/>
        <v>0</v>
      </c>
      <c r="J19" s="57">
        <f>'Entries July 2026'!T18</f>
        <v>0</v>
      </c>
      <c r="K19" s="58">
        <f>J20-J19</f>
        <v>0</v>
      </c>
      <c r="L19" s="58">
        <f t="shared" si="6"/>
        <v>0</v>
      </c>
      <c r="M19" s="57">
        <f>'Entries July 2026'!R18</f>
        <v>0</v>
      </c>
      <c r="N19" s="57">
        <f>'Entries July 2026'!AC19-'Entries July 2026'!AC18</f>
        <v>26</v>
      </c>
      <c r="O19" s="57">
        <f t="shared" si="5"/>
        <v>400</v>
      </c>
      <c r="P19" s="62"/>
      <c r="Q19" s="45"/>
      <c r="R19" s="60" t="e">
        <f t="shared" si="0"/>
        <v>#DIV/0!</v>
      </c>
    </row>
    <row r="20" spans="1:18" ht="15" x14ac:dyDescent="0.25">
      <c r="A20" s="46">
        <v>14</v>
      </c>
      <c r="B20" s="55">
        <f>'Entries July 2026'!O19</f>
        <v>240947</v>
      </c>
      <c r="C20" s="55">
        <f t="shared" si="1"/>
        <v>197</v>
      </c>
      <c r="D20" s="55">
        <f t="shared" si="2"/>
        <v>60</v>
      </c>
      <c r="E20" s="56">
        <f>'Entries July 2026'!W19</f>
        <v>0</v>
      </c>
      <c r="F20" s="57">
        <f>'Entries July 2026'!V19</f>
        <v>1353706</v>
      </c>
      <c r="G20" s="57">
        <f t="shared" si="7"/>
        <v>137</v>
      </c>
      <c r="H20" s="57">
        <f>'Entries July 2026'!AA19</f>
        <v>97122</v>
      </c>
      <c r="I20" s="58">
        <f t="shared" si="3"/>
        <v>0</v>
      </c>
      <c r="J20" s="57">
        <f>'Entries July 2026'!T19</f>
        <v>0</v>
      </c>
      <c r="K20" s="58">
        <f t="shared" si="4"/>
        <v>0</v>
      </c>
      <c r="L20" s="58">
        <f t="shared" si="6"/>
        <v>0</v>
      </c>
      <c r="M20" s="57">
        <f>'Entries July 2026'!R19</f>
        <v>0</v>
      </c>
      <c r="N20" s="57">
        <f>'Entries July 2026'!AC20-'Entries July 2026'!AC19</f>
        <v>31</v>
      </c>
      <c r="O20" s="57">
        <f t="shared" si="5"/>
        <v>394</v>
      </c>
      <c r="P20" s="62"/>
      <c r="Q20" s="45"/>
      <c r="R20" s="60" t="e">
        <f t="shared" si="0"/>
        <v>#DIV/0!</v>
      </c>
    </row>
    <row r="21" spans="1:18" ht="15" x14ac:dyDescent="0.25">
      <c r="A21" s="46">
        <v>15</v>
      </c>
      <c r="B21" s="55">
        <f>'Entries July 2026'!O20</f>
        <v>241144</v>
      </c>
      <c r="C21" s="55">
        <f t="shared" si="1"/>
        <v>358</v>
      </c>
      <c r="D21" s="55">
        <f t="shared" si="2"/>
        <v>181</v>
      </c>
      <c r="E21" s="56">
        <f>'Entries July 2026'!W20</f>
        <v>0</v>
      </c>
      <c r="F21" s="57">
        <f>'Entries July 2026'!V20</f>
        <v>1353843</v>
      </c>
      <c r="G21" s="57">
        <f t="shared" si="7"/>
        <v>177</v>
      </c>
      <c r="H21" s="57">
        <f>'Entries July 2026'!AA20</f>
        <v>97122</v>
      </c>
      <c r="I21" s="58">
        <f t="shared" si="3"/>
        <v>0</v>
      </c>
      <c r="J21" s="57">
        <f>'Entries July 2026'!T20</f>
        <v>0</v>
      </c>
      <c r="K21" s="58">
        <f t="shared" si="4"/>
        <v>0</v>
      </c>
      <c r="L21" s="58">
        <f t="shared" si="6"/>
        <v>0</v>
      </c>
      <c r="M21" s="57">
        <f>'Entries July 2026'!R20</f>
        <v>0</v>
      </c>
      <c r="N21" s="57">
        <f>'Entries July 2026'!AC21-'Entries July 2026'!AC20</f>
        <v>25</v>
      </c>
      <c r="O21" s="57">
        <f t="shared" si="5"/>
        <v>716</v>
      </c>
      <c r="P21" s="62"/>
      <c r="Q21" s="45"/>
      <c r="R21" s="60" t="e">
        <f t="shared" si="0"/>
        <v>#DIV/0!</v>
      </c>
    </row>
    <row r="22" spans="1:18" ht="15" x14ac:dyDescent="0.25">
      <c r="A22" s="46">
        <v>16</v>
      </c>
      <c r="B22" s="55">
        <f>'Entries July 2026'!O21</f>
        <v>241502</v>
      </c>
      <c r="C22" s="55">
        <f t="shared" si="1"/>
        <v>136</v>
      </c>
      <c r="D22" s="55">
        <f t="shared" si="2"/>
        <v>-61</v>
      </c>
      <c r="E22" s="56">
        <f>'Entries July 2026'!W21</f>
        <v>0</v>
      </c>
      <c r="F22" s="57">
        <f>'Entries July 2026'!V21</f>
        <v>1354020</v>
      </c>
      <c r="G22" s="57">
        <f t="shared" si="7"/>
        <v>197</v>
      </c>
      <c r="H22" s="57">
        <f>'Entries July 2026'!AA21</f>
        <v>97122</v>
      </c>
      <c r="I22" s="58">
        <f t="shared" si="3"/>
        <v>0</v>
      </c>
      <c r="J22" s="57">
        <f>'Entries July 2026'!T21</f>
        <v>0</v>
      </c>
      <c r="K22" s="58">
        <f t="shared" si="4"/>
        <v>0</v>
      </c>
      <c r="L22" s="58">
        <f t="shared" si="6"/>
        <v>0</v>
      </c>
      <c r="M22" s="57">
        <f>'Entries July 2026'!R21</f>
        <v>0</v>
      </c>
      <c r="N22" s="57">
        <f>'Entries July 2026'!AC22-'Entries July 2026'!AC21</f>
        <v>27</v>
      </c>
      <c r="O22" s="57">
        <f t="shared" si="5"/>
        <v>272</v>
      </c>
      <c r="P22" s="62"/>
      <c r="Q22" s="45"/>
      <c r="R22" s="60" t="e">
        <f t="shared" si="0"/>
        <v>#DIV/0!</v>
      </c>
    </row>
    <row r="23" spans="1:18" ht="15" x14ac:dyDescent="0.25">
      <c r="A23" s="46">
        <v>17</v>
      </c>
      <c r="B23" s="55">
        <f>'Entries July 2026'!O22</f>
        <v>241638</v>
      </c>
      <c r="C23" s="55">
        <f t="shared" si="1"/>
        <v>74</v>
      </c>
      <c r="D23" s="55">
        <f t="shared" si="2"/>
        <v>-201</v>
      </c>
      <c r="E23" s="56">
        <f>'Entries July 2026'!W22</f>
        <v>0</v>
      </c>
      <c r="F23" s="57">
        <f>'Entries July 2026'!V22</f>
        <v>1354217</v>
      </c>
      <c r="G23" s="57">
        <f t="shared" si="7"/>
        <v>275</v>
      </c>
      <c r="H23" s="57">
        <f>'Entries July 2026'!AA22</f>
        <v>97122</v>
      </c>
      <c r="I23" s="58">
        <f t="shared" si="3"/>
        <v>0</v>
      </c>
      <c r="J23" s="57">
        <f>'Entries July 2026'!T22</f>
        <v>0</v>
      </c>
      <c r="K23" s="58">
        <f t="shared" si="4"/>
        <v>0</v>
      </c>
      <c r="L23" s="58">
        <f t="shared" si="6"/>
        <v>0</v>
      </c>
      <c r="M23" s="57">
        <f>'Entries July 2026'!R22</f>
        <v>0</v>
      </c>
      <c r="N23" s="57">
        <f>'Entries July 2026'!AC23-'Entries July 2026'!AC22</f>
        <v>9</v>
      </c>
      <c r="O23" s="57">
        <f t="shared" si="5"/>
        <v>148</v>
      </c>
      <c r="P23" s="62"/>
      <c r="Q23" s="45"/>
      <c r="R23" s="60" t="e">
        <f t="shared" si="0"/>
        <v>#DIV/0!</v>
      </c>
    </row>
    <row r="24" spans="1:18" ht="15" x14ac:dyDescent="0.25">
      <c r="A24" s="46">
        <v>18</v>
      </c>
      <c r="B24" s="55">
        <f>'Entries July 2026'!O23</f>
        <v>241712</v>
      </c>
      <c r="C24" s="55">
        <f t="shared" si="1"/>
        <v>30</v>
      </c>
      <c r="D24" s="55">
        <f t="shared" si="2"/>
        <v>-82</v>
      </c>
      <c r="E24" s="56">
        <f>'Entries July 2026'!W23</f>
        <v>0</v>
      </c>
      <c r="F24" s="57">
        <f>'Entries July 2026'!V23</f>
        <v>1354492</v>
      </c>
      <c r="G24" s="57">
        <f t="shared" si="7"/>
        <v>112</v>
      </c>
      <c r="H24" s="57">
        <f>'Entries July 2026'!AA23</f>
        <v>97122</v>
      </c>
      <c r="I24" s="58">
        <f t="shared" si="3"/>
        <v>0</v>
      </c>
      <c r="J24" s="57">
        <f>'Entries July 2026'!T23</f>
        <v>0</v>
      </c>
      <c r="K24" s="58">
        <f t="shared" si="4"/>
        <v>0</v>
      </c>
      <c r="L24" s="58">
        <f t="shared" si="6"/>
        <v>0</v>
      </c>
      <c r="M24" s="57">
        <f>'Entries July 2026'!R23</f>
        <v>0</v>
      </c>
      <c r="N24" s="57">
        <f>'Entries July 2026'!AC24-'Entries July 2026'!AC23</f>
        <v>30</v>
      </c>
      <c r="O24" s="57">
        <f t="shared" si="5"/>
        <v>60</v>
      </c>
      <c r="P24" s="62"/>
      <c r="Q24" s="45"/>
      <c r="R24" s="60" t="e">
        <f t="shared" si="0"/>
        <v>#DIV/0!</v>
      </c>
    </row>
    <row r="25" spans="1:18" ht="15" x14ac:dyDescent="0.25">
      <c r="A25" s="46">
        <v>19</v>
      </c>
      <c r="B25" s="55">
        <f>'Entries July 2026'!O24</f>
        <v>241742</v>
      </c>
      <c r="C25" s="55">
        <f t="shared" si="1"/>
        <v>42</v>
      </c>
      <c r="D25" s="55">
        <f t="shared" si="2"/>
        <v>-29</v>
      </c>
      <c r="E25" s="56">
        <f>'Entries July 2026'!W24</f>
        <v>0</v>
      </c>
      <c r="F25" s="57">
        <f>'Entries July 2026'!V24</f>
        <v>1354604</v>
      </c>
      <c r="G25" s="57">
        <f t="shared" si="7"/>
        <v>71</v>
      </c>
      <c r="H25" s="57">
        <f>'Entries July 2026'!AA24</f>
        <v>97122</v>
      </c>
      <c r="I25" s="58">
        <f t="shared" si="3"/>
        <v>0</v>
      </c>
      <c r="J25" s="57">
        <f>'Entries July 2026'!T24</f>
        <v>0</v>
      </c>
      <c r="K25" s="58">
        <f t="shared" si="4"/>
        <v>0</v>
      </c>
      <c r="L25" s="58">
        <f t="shared" si="6"/>
        <v>0</v>
      </c>
      <c r="M25" s="57">
        <f>'Entries July 2026'!R24</f>
        <v>0</v>
      </c>
      <c r="N25" s="57">
        <f>'Entries July 2026'!AC25-'Entries July 2026'!AC24</f>
        <v>0</v>
      </c>
      <c r="O25" s="57">
        <f t="shared" si="5"/>
        <v>84</v>
      </c>
      <c r="P25" s="62"/>
      <c r="Q25" s="45"/>
      <c r="R25" s="60" t="e">
        <f t="shared" si="0"/>
        <v>#DIV/0!</v>
      </c>
    </row>
    <row r="26" spans="1:18" ht="15" x14ac:dyDescent="0.25">
      <c r="A26" s="46">
        <v>20</v>
      </c>
      <c r="B26" s="55">
        <f>'Entries July 2026'!O25</f>
        <v>241784</v>
      </c>
      <c r="C26" s="55">
        <f t="shared" si="1"/>
        <v>131</v>
      </c>
      <c r="D26" s="55">
        <f t="shared" si="2"/>
        <v>-38</v>
      </c>
      <c r="E26" s="56">
        <f>'Entries July 2026'!W25</f>
        <v>0</v>
      </c>
      <c r="F26" s="57">
        <f>'Entries July 2026'!V25</f>
        <v>1354675</v>
      </c>
      <c r="G26" s="57">
        <f t="shared" si="7"/>
        <v>169</v>
      </c>
      <c r="H26" s="57">
        <f>'Entries July 2026'!AA25</f>
        <v>97122</v>
      </c>
      <c r="I26" s="58">
        <f t="shared" si="3"/>
        <v>0</v>
      </c>
      <c r="J26" s="57">
        <f>'Entries July 2026'!T25</f>
        <v>0</v>
      </c>
      <c r="K26" s="58">
        <f t="shared" si="4"/>
        <v>0</v>
      </c>
      <c r="L26" s="58">
        <f t="shared" si="6"/>
        <v>0</v>
      </c>
      <c r="M26" s="57">
        <f>'Entries July 2026'!R25</f>
        <v>0</v>
      </c>
      <c r="N26" s="57">
        <f>'Entries July 2026'!AC26-'Entries July 2026'!AC25</f>
        <v>1</v>
      </c>
      <c r="O26" s="57">
        <f t="shared" si="5"/>
        <v>262</v>
      </c>
      <c r="P26" s="62"/>
      <c r="Q26" s="45"/>
      <c r="R26" s="60" t="e">
        <f t="shared" si="0"/>
        <v>#DIV/0!</v>
      </c>
    </row>
    <row r="27" spans="1:18" ht="15" x14ac:dyDescent="0.25">
      <c r="A27" s="46">
        <v>21</v>
      </c>
      <c r="B27" s="55">
        <f>'Entries July 2026'!O26</f>
        <v>241915</v>
      </c>
      <c r="C27" s="55">
        <f t="shared" si="1"/>
        <v>289</v>
      </c>
      <c r="D27" s="55">
        <f t="shared" si="2"/>
        <v>167</v>
      </c>
      <c r="E27" s="56">
        <f>'Entries July 2026'!W26</f>
        <v>0</v>
      </c>
      <c r="F27" s="57">
        <f>'Entries July 2026'!V26</f>
        <v>1354844</v>
      </c>
      <c r="G27" s="57">
        <f t="shared" si="7"/>
        <v>122</v>
      </c>
      <c r="H27" s="57">
        <f>'Entries July 2026'!AA26</f>
        <v>97122</v>
      </c>
      <c r="I27" s="58">
        <f t="shared" si="3"/>
        <v>0</v>
      </c>
      <c r="J27" s="57">
        <f>'Entries July 2026'!T26</f>
        <v>0</v>
      </c>
      <c r="K27" s="58">
        <f t="shared" si="4"/>
        <v>0</v>
      </c>
      <c r="L27" s="58">
        <f t="shared" si="6"/>
        <v>0</v>
      </c>
      <c r="M27" s="57">
        <f>'Entries July 2026'!R26</f>
        <v>0</v>
      </c>
      <c r="N27" s="57">
        <f>'Entries July 2026'!AC27-'Entries July 2026'!AC26</f>
        <v>23</v>
      </c>
      <c r="O27" s="57">
        <f t="shared" si="5"/>
        <v>578</v>
      </c>
      <c r="P27" s="62"/>
      <c r="Q27" s="45"/>
      <c r="R27" s="60" t="e">
        <f t="shared" si="0"/>
        <v>#DIV/0!</v>
      </c>
    </row>
    <row r="28" spans="1:18" ht="15" x14ac:dyDescent="0.25">
      <c r="A28" s="46">
        <v>22</v>
      </c>
      <c r="B28" s="55">
        <f>'Entries July 2026'!O27</f>
        <v>242204</v>
      </c>
      <c r="C28" s="55">
        <f t="shared" si="1"/>
        <v>179</v>
      </c>
      <c r="D28" s="55">
        <f t="shared" si="2"/>
        <v>-46</v>
      </c>
      <c r="E28" s="56">
        <f>'Entries July 2026'!W27</f>
        <v>0</v>
      </c>
      <c r="F28" s="57">
        <f>'Entries July 2026'!V27</f>
        <v>1354966</v>
      </c>
      <c r="G28" s="57">
        <f t="shared" si="7"/>
        <v>225</v>
      </c>
      <c r="H28" s="57">
        <f>'Entries July 2026'!AA27</f>
        <v>97122</v>
      </c>
      <c r="I28" s="58">
        <f t="shared" si="3"/>
        <v>0</v>
      </c>
      <c r="J28" s="57">
        <f>'Entries July 2026'!T27</f>
        <v>0</v>
      </c>
      <c r="K28" s="58">
        <f t="shared" si="4"/>
        <v>0</v>
      </c>
      <c r="L28" s="58">
        <f t="shared" si="6"/>
        <v>0</v>
      </c>
      <c r="M28" s="57">
        <f>'Entries July 2026'!R27</f>
        <v>0</v>
      </c>
      <c r="N28" s="57">
        <f>'Entries July 2026'!AC28-'Entries July 2026'!AC27</f>
        <v>9</v>
      </c>
      <c r="O28" s="57">
        <f t="shared" si="5"/>
        <v>358</v>
      </c>
      <c r="P28" s="62"/>
      <c r="Q28" s="45"/>
      <c r="R28" s="60" t="e">
        <f t="shared" si="0"/>
        <v>#DIV/0!</v>
      </c>
    </row>
    <row r="29" spans="1:18" ht="15" x14ac:dyDescent="0.25">
      <c r="A29" s="46">
        <v>23</v>
      </c>
      <c r="B29" s="55">
        <f>'Entries July 2026'!O28</f>
        <v>242383</v>
      </c>
      <c r="C29" s="55">
        <f t="shared" si="1"/>
        <v>149</v>
      </c>
      <c r="D29" s="55">
        <f t="shared" si="2"/>
        <v>-63</v>
      </c>
      <c r="E29" s="56">
        <f>'Entries July 2026'!W28</f>
        <v>0</v>
      </c>
      <c r="F29" s="57">
        <f>'Entries July 2026'!V28</f>
        <v>1355191</v>
      </c>
      <c r="G29" s="57">
        <f t="shared" si="7"/>
        <v>212</v>
      </c>
      <c r="H29" s="57">
        <f>'Entries July 2026'!AA28</f>
        <v>97122</v>
      </c>
      <c r="I29" s="58">
        <f t="shared" si="3"/>
        <v>0</v>
      </c>
      <c r="J29" s="57">
        <f>'Entries July 2026'!T28</f>
        <v>0</v>
      </c>
      <c r="K29" s="58">
        <f t="shared" si="4"/>
        <v>0</v>
      </c>
      <c r="L29" s="58">
        <f t="shared" si="6"/>
        <v>0</v>
      </c>
      <c r="M29" s="57">
        <f>'Entries July 2026'!R28</f>
        <v>0</v>
      </c>
      <c r="N29" s="57">
        <f>'Entries July 2026'!AC29-'Entries July 2026'!AC28</f>
        <v>19</v>
      </c>
      <c r="O29" s="57">
        <f t="shared" si="5"/>
        <v>298</v>
      </c>
      <c r="P29" s="62"/>
      <c r="Q29" s="45"/>
      <c r="R29" s="60" t="e">
        <f t="shared" si="0"/>
        <v>#DIV/0!</v>
      </c>
    </row>
    <row r="30" spans="1:18" ht="15" x14ac:dyDescent="0.25">
      <c r="A30" s="46">
        <v>24</v>
      </c>
      <c r="B30" s="55">
        <f>'Entries July 2026'!O29</f>
        <v>242532</v>
      </c>
      <c r="C30" s="55">
        <f t="shared" si="1"/>
        <v>233</v>
      </c>
      <c r="D30" s="55">
        <f t="shared" si="2"/>
        <v>-21</v>
      </c>
      <c r="E30" s="56">
        <f>'Entries July 2026'!W29</f>
        <v>0</v>
      </c>
      <c r="F30" s="57">
        <f>'Entries July 2026'!V29</f>
        <v>1355403</v>
      </c>
      <c r="G30" s="57">
        <f t="shared" si="7"/>
        <v>254</v>
      </c>
      <c r="H30" s="57">
        <f>'Entries July 2026'!AA29</f>
        <v>97122</v>
      </c>
      <c r="I30" s="58">
        <f t="shared" si="3"/>
        <v>0</v>
      </c>
      <c r="J30" s="57">
        <f>'Entries July 2026'!T29</f>
        <v>0</v>
      </c>
      <c r="K30" s="58">
        <f t="shared" si="4"/>
        <v>0</v>
      </c>
      <c r="L30" s="58">
        <f t="shared" si="6"/>
        <v>0</v>
      </c>
      <c r="M30" s="57">
        <f>'Entries July 2026'!R29</f>
        <v>0</v>
      </c>
      <c r="N30" s="57">
        <f>'Entries July 2026'!AC30-'Entries July 2026'!AC29</f>
        <v>11</v>
      </c>
      <c r="O30" s="57">
        <f t="shared" si="5"/>
        <v>466</v>
      </c>
      <c r="P30" s="62"/>
      <c r="Q30" s="45"/>
      <c r="R30" s="60" t="e">
        <f t="shared" si="0"/>
        <v>#DIV/0!</v>
      </c>
    </row>
    <row r="31" spans="1:18" ht="15" x14ac:dyDescent="0.25">
      <c r="A31" s="46">
        <v>25</v>
      </c>
      <c r="B31" s="55">
        <f>'Entries July 2026'!O30</f>
        <v>242765</v>
      </c>
      <c r="C31" s="55">
        <f t="shared" si="1"/>
        <v>127</v>
      </c>
      <c r="D31" s="55">
        <f t="shared" si="2"/>
        <v>24</v>
      </c>
      <c r="E31" s="56">
        <f>'Entries July 2026'!W30</f>
        <v>0</v>
      </c>
      <c r="F31" s="57">
        <f>'Entries July 2026'!V30</f>
        <v>1355657</v>
      </c>
      <c r="G31" s="57">
        <f t="shared" si="7"/>
        <v>103</v>
      </c>
      <c r="H31" s="57">
        <f>'Entries July 2026'!AA30</f>
        <v>97122</v>
      </c>
      <c r="I31" s="58">
        <f t="shared" si="3"/>
        <v>0</v>
      </c>
      <c r="J31" s="57">
        <f>'Entries July 2026'!T30</f>
        <v>0</v>
      </c>
      <c r="K31" s="58">
        <f t="shared" si="4"/>
        <v>0</v>
      </c>
      <c r="L31" s="58">
        <f t="shared" si="6"/>
        <v>0</v>
      </c>
      <c r="M31" s="57">
        <f>'Entries July 2026'!R30</f>
        <v>0</v>
      </c>
      <c r="N31" s="57">
        <f>'Entries July 2026'!AC31-'Entries July 2026'!AC30</f>
        <v>0</v>
      </c>
      <c r="O31" s="57">
        <f t="shared" si="5"/>
        <v>254</v>
      </c>
      <c r="P31" s="62"/>
      <c r="Q31" s="45"/>
      <c r="R31" s="60" t="e">
        <f t="shared" si="0"/>
        <v>#DIV/0!</v>
      </c>
    </row>
    <row r="32" spans="1:18" ht="15" x14ac:dyDescent="0.25">
      <c r="A32" s="46">
        <v>26</v>
      </c>
      <c r="B32" s="55">
        <f>'Entries July 2026'!O31</f>
        <v>242892</v>
      </c>
      <c r="C32" s="55">
        <f t="shared" si="1"/>
        <v>0</v>
      </c>
      <c r="D32" s="55">
        <f t="shared" si="2"/>
        <v>0</v>
      </c>
      <c r="E32" s="56">
        <f>'Entries July 2026'!W31</f>
        <v>0</v>
      </c>
      <c r="F32" s="57">
        <f>'Entries July 2026'!V31</f>
        <v>1355760</v>
      </c>
      <c r="G32" s="57">
        <f t="shared" si="7"/>
        <v>0</v>
      </c>
      <c r="H32" s="57">
        <f>'Entries July 2026'!AA31</f>
        <v>97122</v>
      </c>
      <c r="I32" s="58">
        <f t="shared" si="3"/>
        <v>0</v>
      </c>
      <c r="J32" s="57">
        <f>'Entries July 2026'!T31</f>
        <v>0</v>
      </c>
      <c r="K32" s="58">
        <f t="shared" si="4"/>
        <v>0</v>
      </c>
      <c r="L32" s="58">
        <f t="shared" si="6"/>
        <v>0</v>
      </c>
      <c r="M32" s="57">
        <f>'Entries July 2026'!R31</f>
        <v>0</v>
      </c>
      <c r="N32" s="57">
        <f>'Entries July 2026'!AC32-'Entries July 2026'!AC31</f>
        <v>0</v>
      </c>
      <c r="O32" s="57">
        <f t="shared" si="5"/>
        <v>0</v>
      </c>
      <c r="P32" s="62"/>
      <c r="Q32" s="45"/>
      <c r="R32" s="60" t="e">
        <f t="shared" si="0"/>
        <v>#DIV/0!</v>
      </c>
    </row>
    <row r="33" spans="1:18" ht="15" x14ac:dyDescent="0.25">
      <c r="A33" s="46">
        <v>27</v>
      </c>
      <c r="B33" s="55">
        <f>'Entries July 2026'!O32</f>
        <v>242892</v>
      </c>
      <c r="C33" s="55">
        <f t="shared" si="1"/>
        <v>73</v>
      </c>
      <c r="D33" s="55">
        <f t="shared" si="2"/>
        <v>-181</v>
      </c>
      <c r="E33" s="56">
        <f>'Entries July 2026'!W32</f>
        <v>0</v>
      </c>
      <c r="F33" s="57">
        <f>'Entries July 2026'!V32</f>
        <v>1355760</v>
      </c>
      <c r="G33" s="57">
        <f t="shared" si="7"/>
        <v>254</v>
      </c>
      <c r="H33" s="57">
        <f>'Entries July 2026'!AA32</f>
        <v>97122</v>
      </c>
      <c r="I33" s="58">
        <f t="shared" si="3"/>
        <v>0</v>
      </c>
      <c r="J33" s="57">
        <f>'Entries July 2026'!T32</f>
        <v>0</v>
      </c>
      <c r="K33" s="58">
        <f t="shared" si="4"/>
        <v>0</v>
      </c>
      <c r="L33" s="58">
        <f t="shared" si="6"/>
        <v>0</v>
      </c>
      <c r="M33" s="57">
        <f>'Entries July 2026'!R32</f>
        <v>0</v>
      </c>
      <c r="N33" s="57">
        <f>'Entries July 2026'!AC33-'Entries July 2026'!AC32</f>
        <v>25</v>
      </c>
      <c r="O33" s="57">
        <f t="shared" si="5"/>
        <v>146</v>
      </c>
      <c r="P33" s="62"/>
      <c r="Q33" s="45"/>
      <c r="R33" s="60" t="e">
        <f t="shared" si="0"/>
        <v>#DIV/0!</v>
      </c>
    </row>
    <row r="34" spans="1:18" ht="15" x14ac:dyDescent="0.25">
      <c r="A34" s="46">
        <v>28</v>
      </c>
      <c r="B34" s="55">
        <f>'Entries July 2026'!O33</f>
        <v>242965</v>
      </c>
      <c r="C34" s="55">
        <f t="shared" si="1"/>
        <v>123</v>
      </c>
      <c r="D34" s="55">
        <f t="shared" si="2"/>
        <v>-106</v>
      </c>
      <c r="E34" s="56">
        <f>'Entries July 2026'!W33</f>
        <v>0</v>
      </c>
      <c r="F34" s="57">
        <f>'Entries July 2026'!V33</f>
        <v>1356014</v>
      </c>
      <c r="G34" s="57">
        <f t="shared" si="7"/>
        <v>229</v>
      </c>
      <c r="H34" s="57">
        <f>'Entries July 2026'!AA33</f>
        <v>97122</v>
      </c>
      <c r="I34" s="58">
        <f t="shared" si="3"/>
        <v>0</v>
      </c>
      <c r="J34" s="57">
        <f>'Entries July 2026'!T33</f>
        <v>0</v>
      </c>
      <c r="K34" s="58">
        <f t="shared" si="4"/>
        <v>0</v>
      </c>
      <c r="L34" s="58">
        <f t="shared" si="6"/>
        <v>0</v>
      </c>
      <c r="M34" s="57">
        <f>'Entries July 2026'!R33</f>
        <v>0</v>
      </c>
      <c r="N34" s="57">
        <f>'Entries July 2026'!AC34-'Entries July 2026'!AC33</f>
        <v>27</v>
      </c>
      <c r="O34" s="57">
        <f t="shared" si="5"/>
        <v>246</v>
      </c>
      <c r="P34" s="62"/>
      <c r="Q34" s="45"/>
      <c r="R34" s="60" t="e">
        <f t="shared" si="0"/>
        <v>#DIV/0!</v>
      </c>
    </row>
    <row r="35" spans="1:18" ht="15" x14ac:dyDescent="0.25">
      <c r="A35" s="46"/>
      <c r="B35" s="55">
        <f>'Entries July 2026'!O34</f>
        <v>243088</v>
      </c>
      <c r="C35" s="63"/>
      <c r="D35" s="55">
        <f t="shared" si="2"/>
        <v>0</v>
      </c>
      <c r="E35" s="56"/>
      <c r="F35" s="57">
        <f>'Entries July 2026'!V34</f>
        <v>1356243</v>
      </c>
      <c r="G35" s="57"/>
      <c r="H35" s="57">
        <f>'Entries July 2026'!AA34</f>
        <v>97122</v>
      </c>
      <c r="I35" s="58"/>
      <c r="J35" s="57"/>
      <c r="K35" s="58"/>
      <c r="L35" s="58"/>
      <c r="M35" s="57"/>
      <c r="N35" s="57"/>
      <c r="O35" s="57"/>
      <c r="P35" s="62"/>
      <c r="Q35" s="45"/>
      <c r="R35" s="60"/>
    </row>
    <row r="36" spans="1:18" ht="15" x14ac:dyDescent="0.25">
      <c r="A36" s="46"/>
      <c r="B36" s="55"/>
      <c r="C36" s="64"/>
      <c r="D36" s="61"/>
      <c r="E36" s="56"/>
      <c r="F36" s="57"/>
      <c r="G36" s="57"/>
      <c r="H36" s="57"/>
      <c r="I36" s="58"/>
      <c r="J36" s="57"/>
      <c r="K36" s="58"/>
      <c r="L36" s="58"/>
      <c r="M36" s="57"/>
      <c r="N36" s="57"/>
      <c r="O36" s="57"/>
      <c r="P36" s="62"/>
      <c r="Q36" s="45"/>
      <c r="R36" s="60"/>
    </row>
    <row r="37" spans="1:18" ht="15" x14ac:dyDescent="0.25">
      <c r="A37" s="46"/>
      <c r="B37" s="55"/>
      <c r="C37" s="63"/>
      <c r="D37" s="61"/>
      <c r="E37" s="56"/>
      <c r="F37" s="57"/>
      <c r="G37" s="57"/>
      <c r="H37" s="57"/>
      <c r="I37" s="58"/>
      <c r="J37" s="57"/>
      <c r="K37" s="58"/>
      <c r="L37" s="58"/>
      <c r="M37" s="57"/>
      <c r="N37" s="57"/>
      <c r="O37" s="57"/>
      <c r="P37" s="62"/>
      <c r="Q37" s="45"/>
      <c r="R37" s="60"/>
    </row>
    <row r="38" spans="1:18" ht="14.25" x14ac:dyDescent="0.2">
      <c r="A38" s="46" t="s">
        <v>19</v>
      </c>
      <c r="B38" s="65"/>
      <c r="C38" s="65">
        <f>SUM(C7:C34)</f>
        <v>3994</v>
      </c>
      <c r="D38" s="65">
        <f>SUM(D7:D34)</f>
        <v>-588</v>
      </c>
      <c r="E38" s="65"/>
      <c r="F38" s="65"/>
      <c r="G38" s="65">
        <f t="shared" ref="G38:R38" si="8">SUM(G7:G34)</f>
        <v>4582</v>
      </c>
      <c r="H38" s="65"/>
      <c r="I38" s="65">
        <f t="shared" si="8"/>
        <v>0</v>
      </c>
      <c r="J38" s="65">
        <f t="shared" si="8"/>
        <v>1351970</v>
      </c>
      <c r="K38" s="65">
        <f t="shared" si="8"/>
        <v>-1351661</v>
      </c>
      <c r="L38" s="65">
        <f t="shared" si="8"/>
        <v>-1351661</v>
      </c>
      <c r="M38" s="65">
        <f t="shared" si="8"/>
        <v>0</v>
      </c>
      <c r="N38" s="65">
        <f t="shared" si="8"/>
        <v>462</v>
      </c>
      <c r="O38" s="65">
        <f t="shared" si="8"/>
        <v>7988</v>
      </c>
      <c r="P38" s="65">
        <f t="shared" si="8"/>
        <v>0</v>
      </c>
      <c r="Q38" s="65">
        <f t="shared" si="8"/>
        <v>0</v>
      </c>
      <c r="R38" s="65" t="e">
        <f t="shared" si="8"/>
        <v>#DIV/0!</v>
      </c>
    </row>
  </sheetData>
  <phoneticPr fontId="0" type="noConversion"/>
  <pageMargins left="0.75" right="0.75" top="1" bottom="1" header="0.5" footer="0.5"/>
  <pageSetup orientation="portrait" horizontalDpi="4294967294"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indexed="11"/>
  </sheetPr>
  <dimension ref="A1"/>
  <sheetViews>
    <sheetView topLeftCell="B16" workbookViewId="0">
      <selection activeCell="L21" sqref="L21"/>
    </sheetView>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Entries July 2026</vt:lpstr>
      <vt:lpstr>Utility Analysis July 2026</vt:lpstr>
      <vt:lpstr>Steam Mass Flow </vt:lpstr>
      <vt:lpstr>Fuel </vt:lpstr>
      <vt:lpstr>Water </vt:lpstr>
      <vt:lpstr>Elec.July 2026</vt:lpstr>
      <vt:lpstr>PROD.FIG. </vt:lpstr>
      <vt:lpstr>CO2</vt:lpstr>
      <vt:lpstr>Daily KPIs CO2</vt:lpstr>
      <vt:lpstr>Daily KPIs</vt:lpstr>
      <vt:lpstr>Water Analysis. '26</vt:lpstr>
      <vt:lpstr>Sheet1</vt:lpstr>
      <vt:lpstr>'Daily KPIs'!Print_Area</vt:lpstr>
      <vt:lpstr>'Entries July 2026'!Print_Area</vt:lpstr>
    </vt:vector>
  </TitlesOfParts>
  <Company>GBL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Boyd</dc:creator>
  <cp:lastModifiedBy>Kaylil Baptiste</cp:lastModifiedBy>
  <cp:lastPrinted>2026-05-01T14:23:39Z</cp:lastPrinted>
  <dcterms:created xsi:type="dcterms:W3CDTF">2003-05-05T15:42:25Z</dcterms:created>
  <dcterms:modified xsi:type="dcterms:W3CDTF">2026-08-05T16:01:26Z</dcterms:modified>
</cp:coreProperties>
</file>