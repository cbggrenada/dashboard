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omments6.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7.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omments8.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omments9.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omments10.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omments11.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omments12.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https://ansamcal.sharepoint.com/sites/CBGPackagingLineOperations/Shared Documents/General/"/>
    </mc:Choice>
  </mc:AlternateContent>
  <xr:revisionPtr revIDLastSave="0" documentId="8_{411DF5D3-A0A6-4294-B5C2-AA3D7793A9A6}" xr6:coauthVersionLast="47" xr6:coauthVersionMax="47" xr10:uidLastSave="{00000000-0000-0000-0000-000000000000}"/>
  <bookViews>
    <workbookView minimized="1" xWindow="11484" yWindow="3960" windowWidth="12948" windowHeight="9672" tabRatio="598" firstSheet="11" activeTab="11" xr2:uid="{00000000-000D-0000-FFFF-FFFF00000000}"/>
  </bookViews>
  <sheets>
    <sheet name="January 2025 (w Utilization)" sheetId="39" r:id="rId1"/>
    <sheet name="February 2025 (w Utilization) " sheetId="38" r:id="rId2"/>
    <sheet name="March 2025 (w Utilization" sheetId="40" r:id="rId3"/>
    <sheet name="April 2025 (w Utilization) " sheetId="37" r:id="rId4"/>
    <sheet name="May 2025 (w Utilization)" sheetId="28" r:id="rId5"/>
    <sheet name="June 2025 (w Utilization)" sheetId="29" r:id="rId6"/>
    <sheet name="July 2025 (w Utilization)" sheetId="30" r:id="rId7"/>
    <sheet name="August 2025 (w Utilization)" sheetId="31" r:id="rId8"/>
    <sheet name="September 2025 (w Utilization)" sheetId="32" r:id="rId9"/>
    <sheet name="October 2025 (w Utilization) " sheetId="33" r:id="rId10"/>
    <sheet name="November 2025 (w Utilization)" sheetId="34" r:id="rId11"/>
    <sheet name="December 2025 (w Utilization)" sheetId="35" r:id="rId12"/>
    <sheet name="Summary" sheetId="27" r:id="rId13"/>
    <sheet name="Data Sheet " sheetId="3" state="hidden" r:id="rId14"/>
  </sheets>
  <externalReferences>
    <externalReference r:id="rId1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1" i="35" l="1"/>
  <c r="S50" i="35"/>
  <c r="S49" i="35"/>
  <c r="S48" i="35"/>
  <c r="S47" i="35"/>
  <c r="S46" i="35"/>
  <c r="S45" i="35"/>
  <c r="S44" i="35"/>
  <c r="S43" i="35"/>
  <c r="S42" i="35"/>
  <c r="R41" i="35"/>
  <c r="S40" i="35"/>
  <c r="I27" i="35"/>
  <c r="L27" i="35"/>
  <c r="H27" i="35"/>
  <c r="O27" i="35"/>
  <c r="H26" i="35"/>
  <c r="I26" i="35"/>
  <c r="L26" i="35"/>
  <c r="O26" i="35"/>
  <c r="H25" i="35"/>
  <c r="I25" i="35"/>
  <c r="L25" i="35"/>
  <c r="O25" i="35"/>
  <c r="H23" i="35"/>
  <c r="I24" i="35"/>
  <c r="H24" i="35"/>
  <c r="L24" i="35"/>
  <c r="O24" i="35"/>
  <c r="I23" i="35"/>
  <c r="L23" i="35"/>
  <c r="O23" i="35"/>
  <c r="L22" i="35"/>
  <c r="H22" i="35"/>
  <c r="I22" i="35"/>
  <c r="O22" i="35"/>
  <c r="G22" i="35"/>
  <c r="L21" i="35"/>
  <c r="H21" i="35"/>
  <c r="I21" i="35"/>
  <c r="O21" i="35"/>
  <c r="H20" i="35"/>
  <c r="I20" i="35"/>
  <c r="L20" i="35"/>
  <c r="E20" i="35"/>
  <c r="O20" i="35"/>
  <c r="H19" i="35"/>
  <c r="H18" i="35"/>
  <c r="H17" i="35"/>
  <c r="H16" i="35"/>
  <c r="H15" i="35"/>
  <c r="H14" i="35"/>
  <c r="H13" i="35"/>
  <c r="I19" i="35"/>
  <c r="L19" i="35"/>
  <c r="O19" i="35"/>
  <c r="I18" i="35"/>
  <c r="L18" i="35"/>
  <c r="O18" i="35"/>
  <c r="L17" i="35"/>
  <c r="I17" i="35"/>
  <c r="O17" i="35"/>
  <c r="I16" i="35"/>
  <c r="L16" i="35"/>
  <c r="O16" i="35"/>
  <c r="I15" i="35"/>
  <c r="O15" i="35"/>
  <c r="D14" i="35"/>
  <c r="E14" i="35"/>
  <c r="G14" i="35"/>
  <c r="I14" i="35"/>
  <c r="J14" i="35"/>
  <c r="L14" i="35"/>
  <c r="M14" i="35"/>
  <c r="O14" i="35"/>
  <c r="P14" i="35"/>
  <c r="U14" i="35"/>
  <c r="V14" i="35" s="1"/>
  <c r="S13" i="35"/>
  <c r="O13" i="35"/>
  <c r="L13" i="35"/>
  <c r="I13" i="35"/>
  <c r="S9" i="35"/>
  <c r="S10" i="35"/>
  <c r="U8" i="35"/>
  <c r="U5" i="35"/>
  <c r="U6" i="35"/>
  <c r="U7" i="35"/>
  <c r="U9" i="35"/>
  <c r="U10" i="35"/>
  <c r="U11" i="35"/>
  <c r="U12" i="35"/>
  <c r="S8" i="35"/>
  <c r="S22" i="34"/>
  <c r="S17" i="34"/>
  <c r="H8" i="35"/>
  <c r="H11" i="35"/>
  <c r="L12" i="35"/>
  <c r="H12" i="35"/>
  <c r="I12" i="35"/>
  <c r="O12" i="35"/>
  <c r="I11" i="35"/>
  <c r="O11" i="35"/>
  <c r="O10" i="35"/>
  <c r="H10" i="35"/>
  <c r="I10" i="35"/>
  <c r="L10" i="35"/>
  <c r="G10" i="35"/>
  <c r="H9" i="35"/>
  <c r="I9" i="35"/>
  <c r="L9" i="35"/>
  <c r="O9" i="35"/>
  <c r="I8" i="35"/>
  <c r="L8" i="35"/>
  <c r="O8" i="35"/>
  <c r="H7" i="35"/>
  <c r="L7" i="35"/>
  <c r="I7" i="35"/>
  <c r="O7" i="35"/>
  <c r="H6" i="35"/>
  <c r="L6" i="35"/>
  <c r="I6" i="35"/>
  <c r="G6" i="35"/>
  <c r="E6" i="35"/>
  <c r="O6" i="35"/>
  <c r="L5" i="35"/>
  <c r="H5" i="35"/>
  <c r="I5" i="35"/>
  <c r="O5" i="35"/>
  <c r="G4" i="35"/>
  <c r="I4" i="35"/>
  <c r="H4" i="35"/>
  <c r="L4" i="35"/>
  <c r="O4" i="35"/>
  <c r="H3" i="35"/>
  <c r="L3" i="35"/>
  <c r="I3" i="35"/>
  <c r="O3" i="35"/>
  <c r="L23" i="34"/>
  <c r="I23" i="34"/>
  <c r="H23" i="34"/>
  <c r="O23" i="34"/>
  <c r="R23" i="34"/>
  <c r="H22" i="34"/>
  <c r="I22" i="34"/>
  <c r="L22" i="34"/>
  <c r="O22" i="34"/>
  <c r="I21" i="34"/>
  <c r="L21" i="34"/>
  <c r="H21" i="34"/>
  <c r="O21" i="34"/>
  <c r="O20" i="34"/>
  <c r="I20" i="34"/>
  <c r="H20" i="34"/>
  <c r="L20" i="34"/>
  <c r="E20" i="34"/>
  <c r="H19" i="34"/>
  <c r="H18" i="34"/>
  <c r="I19" i="34"/>
  <c r="L19" i="34"/>
  <c r="L18" i="34"/>
  <c r="I18" i="34"/>
  <c r="O18" i="34"/>
  <c r="I17" i="34"/>
  <c r="H17" i="34"/>
  <c r="L17" i="34"/>
  <c r="O17" i="34"/>
  <c r="L16" i="34"/>
  <c r="H16" i="34"/>
  <c r="I16" i="34"/>
  <c r="G16" i="34"/>
  <c r="O16" i="34"/>
  <c r="I15" i="34"/>
  <c r="H15" i="34"/>
  <c r="L15" i="34"/>
  <c r="O15" i="34"/>
  <c r="H14" i="34"/>
  <c r="I14" i="34"/>
  <c r="L14" i="34"/>
  <c r="O14" i="34"/>
  <c r="D12" i="34"/>
  <c r="G12" i="34"/>
  <c r="H12" i="34"/>
  <c r="I12" i="34"/>
  <c r="J12" i="34"/>
  <c r="M12" i="34"/>
  <c r="O12" i="34"/>
  <c r="P12" i="34"/>
  <c r="U12" i="34"/>
  <c r="V12" i="34"/>
  <c r="W12" i="34"/>
  <c r="X12" i="34"/>
  <c r="D13" i="34"/>
  <c r="G13" i="34"/>
  <c r="I13" i="34"/>
  <c r="J13" i="34"/>
  <c r="L13" i="34"/>
  <c r="M13" i="34"/>
  <c r="O13" i="34"/>
  <c r="P13" i="34"/>
  <c r="U13" i="34"/>
  <c r="V13" i="34"/>
  <c r="W13" i="34"/>
  <c r="X13" i="34"/>
  <c r="D14" i="34"/>
  <c r="G14" i="34"/>
  <c r="J14" i="34"/>
  <c r="M14" i="34"/>
  <c r="P14" i="34"/>
  <c r="U14" i="34"/>
  <c r="V14" i="34"/>
  <c r="W14" i="34"/>
  <c r="X14" i="34"/>
  <c r="D15" i="34"/>
  <c r="G15" i="34"/>
  <c r="J15" i="34"/>
  <c r="M15" i="34"/>
  <c r="P15" i="34"/>
  <c r="U15" i="34"/>
  <c r="V15" i="34"/>
  <c r="W15" i="34"/>
  <c r="X15" i="34"/>
  <c r="D11" i="34"/>
  <c r="G11" i="34"/>
  <c r="H11" i="34"/>
  <c r="I11" i="34"/>
  <c r="J11" i="34"/>
  <c r="L11" i="34"/>
  <c r="M11" i="34"/>
  <c r="O11" i="34"/>
  <c r="P11" i="34"/>
  <c r="U11" i="34"/>
  <c r="V11" i="34"/>
  <c r="W11" i="34"/>
  <c r="X11" i="34"/>
  <c r="H10" i="34"/>
  <c r="L10" i="34"/>
  <c r="I10" i="34"/>
  <c r="O10" i="34"/>
  <c r="U9" i="34"/>
  <c r="V9" i="34" s="1"/>
  <c r="O9" i="34"/>
  <c r="P9" i="34" s="1"/>
  <c r="L9" i="34"/>
  <c r="I9" i="34"/>
  <c r="H9" i="34"/>
  <c r="G9" i="34"/>
  <c r="D9" i="34"/>
  <c r="U8" i="34"/>
  <c r="V8" i="34" s="1"/>
  <c r="O8" i="34"/>
  <c r="P8" i="34" s="1"/>
  <c r="L8" i="34"/>
  <c r="I8" i="34"/>
  <c r="H8" i="34"/>
  <c r="G8" i="34"/>
  <c r="D8" i="34"/>
  <c r="U7" i="34"/>
  <c r="V7" i="34" s="1"/>
  <c r="O7" i="34"/>
  <c r="P7" i="34" s="1"/>
  <c r="L7" i="34"/>
  <c r="I7" i="34"/>
  <c r="H7" i="34"/>
  <c r="E7" i="34"/>
  <c r="G7" i="34" s="1"/>
  <c r="D7" i="34"/>
  <c r="V5" i="35"/>
  <c r="P5" i="35"/>
  <c r="G5" i="35"/>
  <c r="D5" i="35"/>
  <c r="U4" i="35"/>
  <c r="V4" i="35" s="1"/>
  <c r="P4" i="35"/>
  <c r="D4" i="35"/>
  <c r="U3" i="35"/>
  <c r="V3" i="35" s="1"/>
  <c r="P3" i="35"/>
  <c r="G3" i="35"/>
  <c r="D3" i="35"/>
  <c r="H6" i="34"/>
  <c r="L6" i="34"/>
  <c r="I6" i="34"/>
  <c r="O6" i="34"/>
  <c r="H3" i="34"/>
  <c r="L5" i="34"/>
  <c r="I5" i="34"/>
  <c r="H5" i="34"/>
  <c r="E5" i="34"/>
  <c r="O5" i="34"/>
  <c r="L4" i="34"/>
  <c r="H4" i="34"/>
  <c r="I4" i="34"/>
  <c r="O4" i="34"/>
  <c r="P4" i="34" s="1"/>
  <c r="L3" i="34"/>
  <c r="I3" i="34"/>
  <c r="E3" i="34"/>
  <c r="O3" i="34"/>
  <c r="J24" i="33"/>
  <c r="M24" i="33"/>
  <c r="H24" i="33"/>
  <c r="L24" i="33"/>
  <c r="I24" i="33"/>
  <c r="E24" i="33"/>
  <c r="P24" i="33"/>
  <c r="O24" i="33"/>
  <c r="D24" i="33"/>
  <c r="L23" i="33"/>
  <c r="I23" i="33"/>
  <c r="H23" i="33"/>
  <c r="O23" i="33"/>
  <c r="H21" i="33"/>
  <c r="V22" i="33"/>
  <c r="W22" i="33"/>
  <c r="X22" i="33"/>
  <c r="L22" i="33"/>
  <c r="I22" i="33"/>
  <c r="H22" i="33"/>
  <c r="L21" i="33"/>
  <c r="I21" i="33"/>
  <c r="E21" i="33"/>
  <c r="O22" i="33"/>
  <c r="O21" i="33"/>
  <c r="L20" i="33"/>
  <c r="H20" i="33"/>
  <c r="I20" i="33"/>
  <c r="O20" i="33"/>
  <c r="E20" i="33"/>
  <c r="H19" i="33"/>
  <c r="L19" i="33"/>
  <c r="I19" i="33"/>
  <c r="O19" i="33"/>
  <c r="I18" i="33"/>
  <c r="H18" i="33"/>
  <c r="L18" i="33"/>
  <c r="O18" i="33"/>
  <c r="H17" i="33"/>
  <c r="O17" i="33"/>
  <c r="E17" i="33"/>
  <c r="I17" i="33"/>
  <c r="L17" i="33"/>
  <c r="M10" i="33"/>
  <c r="M11" i="33"/>
  <c r="O16" i="33"/>
  <c r="I16" i="33"/>
  <c r="L16" i="33"/>
  <c r="H16" i="33"/>
  <c r="L15" i="33"/>
  <c r="I15" i="33"/>
  <c r="H15" i="33"/>
  <c r="E15" i="33"/>
  <c r="O15" i="33"/>
  <c r="L14" i="33"/>
  <c r="I14" i="33"/>
  <c r="H14" i="33"/>
  <c r="O14" i="33"/>
  <c r="S14" i="33"/>
  <c r="I13" i="33"/>
  <c r="H13" i="33"/>
  <c r="L13" i="33"/>
  <c r="O13" i="33"/>
  <c r="I12" i="33"/>
  <c r="H12" i="33"/>
  <c r="L12" i="33"/>
  <c r="S12" i="33"/>
  <c r="O12" i="33"/>
  <c r="E12" i="33"/>
  <c r="I11" i="33"/>
  <c r="H11" i="33"/>
  <c r="P11" i="33"/>
  <c r="O11" i="33"/>
  <c r="I10" i="33"/>
  <c r="L10" i="33"/>
  <c r="H10" i="33"/>
  <c r="O10" i="33"/>
  <c r="L9" i="33"/>
  <c r="I9" i="33"/>
  <c r="H9" i="33"/>
  <c r="O9" i="33"/>
  <c r="S5" i="33"/>
  <c r="O8" i="33"/>
  <c r="L8" i="33"/>
  <c r="H8" i="33"/>
  <c r="I8" i="33"/>
  <c r="L7" i="33"/>
  <c r="H7" i="33"/>
  <c r="O7" i="33"/>
  <c r="I7" i="33"/>
  <c r="U6" i="33"/>
  <c r="V6" i="33" s="1"/>
  <c r="L6" i="33"/>
  <c r="O6" i="33"/>
  <c r="P6" i="33"/>
  <c r="D6" i="33"/>
  <c r="M6" i="33" s="1"/>
  <c r="G6" i="33"/>
  <c r="H6" i="33"/>
  <c r="I6" i="33"/>
  <c r="J6" i="33"/>
  <c r="U3" i="34"/>
  <c r="V3" i="34"/>
  <c r="P3" i="34"/>
  <c r="D3" i="34"/>
  <c r="G3" i="34"/>
  <c r="J3" i="34"/>
  <c r="H3" i="33"/>
  <c r="H5" i="33"/>
  <c r="I5" i="33"/>
  <c r="L5" i="33"/>
  <c r="E5" i="33"/>
  <c r="O5" i="33"/>
  <c r="I4" i="33"/>
  <c r="H4" i="33"/>
  <c r="E4" i="33"/>
  <c r="O4" i="33"/>
  <c r="W14" i="35" l="1"/>
  <c r="X14" i="35"/>
  <c r="M9" i="34"/>
  <c r="J9" i="34"/>
  <c r="X9" i="34"/>
  <c r="W9" i="34"/>
  <c r="M8" i="34"/>
  <c r="J8" i="34"/>
  <c r="X8" i="34"/>
  <c r="W8" i="34"/>
  <c r="M7" i="34"/>
  <c r="J7" i="34"/>
  <c r="X7" i="34"/>
  <c r="W7" i="34"/>
  <c r="M3" i="35"/>
  <c r="J3" i="35"/>
  <c r="X3" i="35"/>
  <c r="W3" i="35"/>
  <c r="M4" i="35"/>
  <c r="J4" i="35"/>
  <c r="X4" i="35"/>
  <c r="W4" i="35"/>
  <c r="M5" i="35"/>
  <c r="J5" i="35"/>
  <c r="X5" i="35"/>
  <c r="W5" i="35"/>
  <c r="M3" i="34"/>
  <c r="W3" i="34"/>
  <c r="X3" i="34"/>
  <c r="W6" i="33"/>
  <c r="X6" i="33"/>
  <c r="I3" i="33"/>
  <c r="L3" i="33"/>
  <c r="O3" i="33"/>
  <c r="E3" i="33" l="1"/>
  <c r="I23" i="32" l="1"/>
  <c r="H23" i="32"/>
  <c r="L23" i="32"/>
  <c r="O23" i="32"/>
  <c r="E23" i="32"/>
  <c r="H22" i="32"/>
  <c r="I22" i="32"/>
  <c r="L22" i="32"/>
  <c r="O22" i="32"/>
  <c r="P22" i="32"/>
  <c r="I21" i="32"/>
  <c r="H21" i="32"/>
  <c r="L21" i="32"/>
  <c r="I20" i="32"/>
  <c r="P21" i="32"/>
  <c r="O21" i="32"/>
  <c r="H20" i="32"/>
  <c r="L20" i="32"/>
  <c r="S20" i="32"/>
  <c r="O20" i="32"/>
  <c r="H19" i="32"/>
  <c r="O19" i="32"/>
  <c r="V18" i="32"/>
  <c r="W18" i="32"/>
  <c r="X18" i="32"/>
  <c r="I19" i="32"/>
  <c r="L19" i="32"/>
  <c r="P19" i="32"/>
  <c r="C52" i="31"/>
  <c r="D51" i="31"/>
  <c r="E51" i="31" s="1"/>
  <c r="D50" i="31"/>
  <c r="E50" i="31" s="1"/>
  <c r="D49" i="31"/>
  <c r="E49" i="31" s="1"/>
  <c r="H17" i="32"/>
  <c r="O18" i="32"/>
  <c r="H18" i="32"/>
  <c r="L18" i="32"/>
  <c r="I18" i="32"/>
  <c r="I17" i="32"/>
  <c r="L17" i="32"/>
  <c r="E17" i="32"/>
  <c r="O17" i="32"/>
  <c r="I16" i="32"/>
  <c r="H16" i="32"/>
  <c r="L16" i="32"/>
  <c r="O16" i="32"/>
  <c r="I15" i="32"/>
  <c r="H15" i="32"/>
  <c r="L15" i="32"/>
  <c r="O15" i="32"/>
  <c r="H14" i="32"/>
  <c r="I14" i="32"/>
  <c r="L14" i="32"/>
  <c r="O14" i="32"/>
  <c r="O13" i="32"/>
  <c r="L13" i="32"/>
  <c r="H13" i="32"/>
  <c r="I13" i="32"/>
  <c r="D12" i="32"/>
  <c r="G12" i="32"/>
  <c r="I12" i="32"/>
  <c r="J12" i="32"/>
  <c r="M12" i="32"/>
  <c r="O12" i="32"/>
  <c r="P12" i="32"/>
  <c r="U12" i="32"/>
  <c r="V12" i="32"/>
  <c r="W12" i="32"/>
  <c r="X12" i="32"/>
  <c r="H11" i="32"/>
  <c r="I10" i="32"/>
  <c r="H10" i="32"/>
  <c r="L10" i="32"/>
  <c r="O10" i="32"/>
  <c r="L9" i="32"/>
  <c r="I9" i="32"/>
  <c r="H9" i="32"/>
  <c r="P9" i="32"/>
  <c r="O9" i="32"/>
  <c r="I34" i="27"/>
  <c r="H34" i="27"/>
  <c r="G34" i="27"/>
  <c r="F34" i="27"/>
  <c r="E34" i="27"/>
  <c r="I33" i="27"/>
  <c r="H33" i="27"/>
  <c r="G33" i="27"/>
  <c r="F33" i="27"/>
  <c r="E33" i="27"/>
  <c r="D33" i="27"/>
  <c r="C33" i="27"/>
  <c r="C4" i="27"/>
  <c r="L8" i="32"/>
  <c r="H8" i="32"/>
  <c r="I8" i="32"/>
  <c r="O8" i="32"/>
  <c r="D7" i="32"/>
  <c r="G7" i="32"/>
  <c r="H7" i="32"/>
  <c r="I7" i="32"/>
  <c r="J7" i="32"/>
  <c r="M7" i="32"/>
  <c r="O7" i="32"/>
  <c r="P7" i="32"/>
  <c r="U7" i="32"/>
  <c r="V7" i="32"/>
  <c r="W7" i="32"/>
  <c r="X7" i="32"/>
  <c r="I6" i="32"/>
  <c r="H6" i="32"/>
  <c r="L6" i="32"/>
  <c r="O6" i="32"/>
  <c r="J6" i="32"/>
  <c r="U5" i="32"/>
  <c r="H5" i="32"/>
  <c r="D5" i="32"/>
  <c r="J5" i="32"/>
  <c r="I5" i="32"/>
  <c r="L5" i="32"/>
  <c r="O5" i="32"/>
  <c r="H3" i="32"/>
  <c r="P5" i="32"/>
  <c r="V5" i="32"/>
  <c r="W5" i="32"/>
  <c r="L4" i="32"/>
  <c r="I4" i="32"/>
  <c r="H4" i="32"/>
  <c r="O4" i="32"/>
  <c r="I3" i="32"/>
  <c r="L3" i="32"/>
  <c r="O3" i="32"/>
  <c r="O18" i="31"/>
  <c r="I18" i="31"/>
  <c r="H18" i="31"/>
  <c r="L18" i="31"/>
  <c r="O17" i="31"/>
  <c r="E17" i="31"/>
  <c r="I17" i="31"/>
  <c r="H17" i="31"/>
  <c r="L17" i="31"/>
  <c r="F17" i="31"/>
  <c r="O16" i="31"/>
  <c r="L16" i="31"/>
  <c r="I16" i="31"/>
  <c r="H16" i="31"/>
  <c r="I15" i="31"/>
  <c r="H15" i="31"/>
  <c r="L15" i="31"/>
  <c r="O15" i="31"/>
  <c r="O14" i="31"/>
  <c r="H14" i="31"/>
  <c r="L14" i="31"/>
  <c r="I14" i="31"/>
  <c r="E13" i="31"/>
  <c r="O13" i="31"/>
  <c r="H13" i="31"/>
  <c r="L13" i="31"/>
  <c r="I13" i="31"/>
  <c r="G13" i="31"/>
  <c r="H12" i="31"/>
  <c r="L12" i="31"/>
  <c r="I12" i="31"/>
  <c r="O12" i="31"/>
  <c r="S12" i="31"/>
  <c r="E11" i="31"/>
  <c r="I11" i="31"/>
  <c r="L11" i="31"/>
  <c r="H11" i="31"/>
  <c r="P11" i="31"/>
  <c r="O11" i="31"/>
  <c r="H10" i="31"/>
  <c r="L10" i="31"/>
  <c r="I10" i="31"/>
  <c r="O10" i="31"/>
  <c r="I9" i="31"/>
  <c r="L9" i="31"/>
  <c r="H9" i="31"/>
  <c r="O9" i="31"/>
  <c r="L8" i="31"/>
  <c r="H8" i="31"/>
  <c r="I8" i="31"/>
  <c r="O8" i="31"/>
  <c r="H5" i="31"/>
  <c r="H3" i="31"/>
  <c r="I7" i="31"/>
  <c r="H7" i="31"/>
  <c r="L7" i="31"/>
  <c r="O7" i="31"/>
  <c r="G5" i="32"/>
  <c r="M5" i="32" s="1"/>
  <c r="X5" i="32"/>
  <c r="U4" i="32"/>
  <c r="V4" i="32" s="1"/>
  <c r="P4" i="32"/>
  <c r="G4" i="32"/>
  <c r="D4" i="32"/>
  <c r="U3" i="32"/>
  <c r="V3" i="32" s="1"/>
  <c r="P3" i="32"/>
  <c r="G3" i="32"/>
  <c r="D3" i="32"/>
  <c r="I6" i="31"/>
  <c r="H6" i="31"/>
  <c r="L6" i="31"/>
  <c r="O6" i="31"/>
  <c r="O23" i="30"/>
  <c r="D23" i="30"/>
  <c r="G23" i="30"/>
  <c r="H23" i="30"/>
  <c r="I23" i="30"/>
  <c r="J23" i="30"/>
  <c r="L23" i="30"/>
  <c r="M23" i="30"/>
  <c r="P23" i="30"/>
  <c r="U23" i="30"/>
  <c r="V23" i="30"/>
  <c r="W23" i="30"/>
  <c r="X23" i="30"/>
  <c r="C34" i="27" l="1"/>
  <c r="D34" i="27" s="1"/>
  <c r="M3" i="32"/>
  <c r="J3" i="32"/>
  <c r="X3" i="32"/>
  <c r="W3" i="32"/>
  <c r="M4" i="32"/>
  <c r="J4" i="32"/>
  <c r="X4" i="32"/>
  <c r="W4" i="32"/>
  <c r="L5" i="31"/>
  <c r="I5" i="31"/>
  <c r="O5" i="31"/>
  <c r="H4" i="31"/>
  <c r="I4" i="31"/>
  <c r="L4" i="31"/>
  <c r="P4" i="31"/>
  <c r="O4" i="31"/>
  <c r="L3" i="31"/>
  <c r="I3" i="31"/>
  <c r="O3" i="31"/>
  <c r="V22" i="30"/>
  <c r="W22" i="30"/>
  <c r="X22" i="30"/>
  <c r="H22" i="30"/>
  <c r="I22" i="30"/>
  <c r="O22" i="30"/>
  <c r="V21" i="30"/>
  <c r="W21" i="30"/>
  <c r="X21" i="30"/>
  <c r="V24" i="30"/>
  <c r="W24" i="30"/>
  <c r="X24" i="30"/>
  <c r="V25" i="30"/>
  <c r="W25" i="30"/>
  <c r="X25" i="30"/>
  <c r="V26" i="30"/>
  <c r="W26" i="30"/>
  <c r="X26" i="30"/>
  <c r="V27" i="30"/>
  <c r="W27" i="30"/>
  <c r="X27" i="30"/>
  <c r="O21" i="30"/>
  <c r="I21" i="30"/>
  <c r="L21" i="30"/>
  <c r="H21" i="30"/>
  <c r="I20" i="30"/>
  <c r="H20" i="30"/>
  <c r="L20" i="30"/>
  <c r="P20" i="30"/>
  <c r="O20" i="30"/>
  <c r="S19" i="30"/>
  <c r="I19" i="30"/>
  <c r="H19" i="30"/>
  <c r="E19" i="30"/>
  <c r="L19" i="30"/>
  <c r="O19" i="30"/>
  <c r="L18" i="30"/>
  <c r="I18" i="30"/>
  <c r="H18" i="30"/>
  <c r="P18" i="30"/>
  <c r="O18" i="30"/>
  <c r="H17" i="30"/>
  <c r="L17" i="30"/>
  <c r="I17" i="30"/>
  <c r="S17" i="30"/>
  <c r="O17" i="30"/>
  <c r="I16" i="30"/>
  <c r="H16" i="30"/>
  <c r="L16" i="30"/>
  <c r="E16" i="30"/>
  <c r="O16" i="30"/>
  <c r="I15" i="30"/>
  <c r="L15" i="30"/>
  <c r="H15" i="30"/>
  <c r="O15" i="30"/>
  <c r="L14" i="30"/>
  <c r="H14" i="30"/>
  <c r="I14" i="30"/>
  <c r="S14" i="30"/>
  <c r="O14" i="30"/>
  <c r="E14" i="30"/>
  <c r="O13" i="30"/>
  <c r="H13" i="30"/>
  <c r="L13" i="30"/>
  <c r="I13" i="30"/>
  <c r="J13" i="30"/>
  <c r="O12" i="30"/>
  <c r="L12" i="30"/>
  <c r="H12" i="30"/>
  <c r="I12" i="30"/>
  <c r="H11" i="30"/>
  <c r="O11" i="30"/>
  <c r="I11" i="30"/>
  <c r="L11" i="30"/>
  <c r="F10" i="30"/>
  <c r="E10" i="30"/>
  <c r="H10" i="30"/>
  <c r="I10" i="30"/>
  <c r="L10" i="30"/>
  <c r="O10" i="30"/>
  <c r="S10" i="30"/>
  <c r="O9" i="30"/>
  <c r="H9" i="30"/>
  <c r="I9" i="30"/>
  <c r="L9" i="30"/>
  <c r="U10" i="29"/>
  <c r="C52" i="30"/>
  <c r="L8" i="30"/>
  <c r="H8" i="30"/>
  <c r="I8" i="30"/>
  <c r="O8" i="30"/>
  <c r="O7" i="30"/>
  <c r="L7" i="30"/>
  <c r="H7" i="30"/>
  <c r="I7" i="30"/>
  <c r="H4" i="30"/>
  <c r="H3" i="30"/>
  <c r="I6" i="30"/>
  <c r="H6" i="30"/>
  <c r="L6" i="30"/>
  <c r="H5" i="30"/>
  <c r="L5" i="30"/>
  <c r="I5" i="30"/>
  <c r="O6" i="30"/>
  <c r="F6" i="30"/>
  <c r="S5" i="30"/>
  <c r="U5" i="30" s="1"/>
  <c r="V5" i="30" s="1"/>
  <c r="O5" i="30"/>
  <c r="P5" i="30" s="1"/>
  <c r="E5" i="30"/>
  <c r="G5" i="30" s="1"/>
  <c r="D5" i="30"/>
  <c r="U4" i="30"/>
  <c r="V4" i="30" s="1"/>
  <c r="O4" i="30"/>
  <c r="P4" i="30" s="1"/>
  <c r="L4" i="30"/>
  <c r="I4" i="30"/>
  <c r="E4" i="30"/>
  <c r="G4" i="30" s="1"/>
  <c r="D4" i="30"/>
  <c r="C52" i="29"/>
  <c r="D51" i="29"/>
  <c r="E51" i="29" s="1"/>
  <c r="D50" i="29"/>
  <c r="E50" i="29" s="1"/>
  <c r="D49" i="29"/>
  <c r="E49" i="29" s="1"/>
  <c r="L3" i="30"/>
  <c r="I3" i="30"/>
  <c r="O3" i="30"/>
  <c r="G21" i="29"/>
  <c r="I21" i="29"/>
  <c r="H21" i="29"/>
  <c r="L21" i="29"/>
  <c r="F21" i="29"/>
  <c r="O21" i="29"/>
  <c r="E20" i="29"/>
  <c r="I20" i="29"/>
  <c r="L20" i="29"/>
  <c r="F20" i="29"/>
  <c r="G20" i="29" s="1"/>
  <c r="H20" i="29"/>
  <c r="O20" i="29"/>
  <c r="H19" i="29"/>
  <c r="I19" i="29"/>
  <c r="L19" i="29"/>
  <c r="O19" i="29"/>
  <c r="M4" i="30" l="1"/>
  <c r="J4" i="30"/>
  <c r="X4" i="30"/>
  <c r="W4" i="30"/>
  <c r="M5" i="30"/>
  <c r="J5" i="30"/>
  <c r="X5" i="30"/>
  <c r="W5" i="30"/>
  <c r="H18" i="29"/>
  <c r="Q18" i="29"/>
  <c r="R18" i="29"/>
  <c r="O18" i="29"/>
  <c r="L18" i="29"/>
  <c r="I18" i="29"/>
  <c r="S18" i="29" l="1"/>
  <c r="L17" i="29"/>
  <c r="I17" i="29"/>
  <c r="H17" i="29"/>
  <c r="G17" i="29"/>
  <c r="P17" i="29"/>
  <c r="P18" i="29"/>
  <c r="O17" i="29"/>
  <c r="H16" i="29"/>
  <c r="I16" i="29"/>
  <c r="L16" i="29"/>
  <c r="O16" i="29"/>
  <c r="S16" i="29"/>
  <c r="L15" i="29"/>
  <c r="I15" i="29"/>
  <c r="H15" i="29"/>
  <c r="F15" i="29"/>
  <c r="O15" i="29"/>
  <c r="E15" i="29"/>
  <c r="S14" i="29"/>
  <c r="O14" i="29"/>
  <c r="F14" i="29"/>
  <c r="L14" i="29"/>
  <c r="I14" i="29"/>
  <c r="H14" i="29"/>
  <c r="K14" i="29"/>
  <c r="H13" i="29"/>
  <c r="L13" i="29"/>
  <c r="I13" i="29"/>
  <c r="O13" i="29"/>
  <c r="H12" i="29"/>
  <c r="I12" i="29"/>
  <c r="L12" i="29"/>
  <c r="O12" i="29"/>
  <c r="O11" i="29"/>
  <c r="V10" i="29"/>
  <c r="I11" i="29"/>
  <c r="H11" i="29"/>
  <c r="L11" i="29"/>
  <c r="S7" i="29"/>
  <c r="S10" i="29" l="1"/>
  <c r="P11" i="29"/>
  <c r="O10" i="29"/>
  <c r="P10" i="29" s="1"/>
  <c r="H10" i="29"/>
  <c r="I10" i="29"/>
  <c r="L10" i="29"/>
  <c r="F10" i="29"/>
  <c r="E10" i="29"/>
  <c r="O9" i="29"/>
  <c r="I9" i="29"/>
  <c r="H9" i="29"/>
  <c r="L9" i="29"/>
  <c r="I8" i="29"/>
  <c r="H8" i="29"/>
  <c r="P9" i="29"/>
  <c r="O8" i="29"/>
  <c r="P8" i="29" s="1"/>
  <c r="O7" i="29"/>
  <c r="I7" i="29"/>
  <c r="H7" i="29"/>
  <c r="L7" i="29"/>
  <c r="O6" i="29"/>
  <c r="H6" i="29"/>
  <c r="I6" i="29"/>
  <c r="L6" i="29"/>
  <c r="F6" i="29"/>
  <c r="E6" i="29"/>
  <c r="C52" i="28"/>
  <c r="H5" i="29"/>
  <c r="L5" i="29"/>
  <c r="I5" i="29"/>
  <c r="F5" i="29"/>
  <c r="E5" i="29"/>
  <c r="P6" i="29"/>
  <c r="O5" i="29"/>
  <c r="P5" i="29" s="1"/>
  <c r="S5" i="29"/>
  <c r="O4" i="29"/>
  <c r="L4" i="29"/>
  <c r="I4" i="29"/>
  <c r="H4" i="29"/>
  <c r="H3" i="29"/>
  <c r="I3" i="29"/>
  <c r="L3" i="29"/>
  <c r="O3" i="29"/>
  <c r="S3" i="29"/>
  <c r="G3" i="29"/>
  <c r="O22" i="28"/>
  <c r="I22" i="28"/>
  <c r="L22" i="28"/>
  <c r="H22" i="28"/>
  <c r="H21" i="28"/>
  <c r="O21" i="28"/>
  <c r="L21" i="28"/>
  <c r="I21" i="28"/>
  <c r="H20" i="28"/>
  <c r="O20" i="28" l="1"/>
  <c r="L20" i="28"/>
  <c r="R20" i="28"/>
  <c r="I20" i="28"/>
  <c r="E20" i="28" l="1"/>
  <c r="F20" i="28"/>
  <c r="G19" i="28" l="1"/>
  <c r="G20" i="28"/>
  <c r="H19" i="28"/>
  <c r="L19" i="28"/>
  <c r="I19" i="28"/>
  <c r="O19" i="28"/>
  <c r="H18" i="28"/>
  <c r="I18" i="28"/>
  <c r="L18" i="28"/>
  <c r="O18" i="28"/>
  <c r="O17" i="28"/>
  <c r="I17" i="28"/>
  <c r="H17" i="28"/>
  <c r="L17" i="28"/>
  <c r="G17" i="28"/>
  <c r="L10" i="28"/>
  <c r="O16" i="28"/>
  <c r="L16" i="28"/>
  <c r="H16" i="28"/>
  <c r="I16" i="28"/>
  <c r="O15" i="28"/>
  <c r="I15" i="28"/>
  <c r="H15" i="28"/>
  <c r="L15" i="28"/>
  <c r="F15" i="28"/>
  <c r="E15" i="28"/>
  <c r="O14" i="28"/>
  <c r="I14" i="28"/>
  <c r="H14" i="28"/>
  <c r="L14" i="28"/>
  <c r="O13" i="28"/>
  <c r="L13" i="28"/>
  <c r="H13" i="28"/>
  <c r="I13" i="28"/>
  <c r="E13" i="28"/>
  <c r="G13" i="28"/>
  <c r="F13" i="28"/>
  <c r="O12" i="28"/>
  <c r="I12" i="28"/>
  <c r="H12" i="28"/>
  <c r="S8" i="28"/>
  <c r="H11" i="28"/>
  <c r="O11" i="28"/>
  <c r="G11" i="28"/>
  <c r="O10" i="28"/>
  <c r="H10" i="28"/>
  <c r="I10" i="28"/>
  <c r="R9" i="28"/>
  <c r="H9" i="28"/>
  <c r="O9" i="28"/>
  <c r="I9" i="28"/>
  <c r="L9" i="28"/>
  <c r="F9" i="28"/>
  <c r="H8" i="28"/>
  <c r="O8" i="28"/>
  <c r="I8" i="28"/>
  <c r="L8" i="28"/>
  <c r="O7" i="28"/>
  <c r="H7" i="28"/>
  <c r="L7" i="28"/>
  <c r="I7" i="28"/>
  <c r="D7" i="28"/>
  <c r="O6" i="28"/>
  <c r="H6" i="28"/>
  <c r="H5" i="28"/>
  <c r="H4" i="28"/>
  <c r="H3" i="28"/>
  <c r="I6" i="28" l="1"/>
  <c r="L6" i="28"/>
  <c r="E6" i="28"/>
  <c r="F6" i="28"/>
  <c r="S4" i="28" l="1"/>
  <c r="O5" i="28"/>
  <c r="L5" i="28"/>
  <c r="I5" i="28"/>
  <c r="E5" i="28"/>
  <c r="F5" i="28"/>
  <c r="D49" i="37"/>
  <c r="E49" i="37" s="1"/>
  <c r="D50" i="37"/>
  <c r="E50" i="37"/>
  <c r="D51" i="37"/>
  <c r="E51" i="37" s="1"/>
  <c r="C52" i="37"/>
  <c r="I4" i="28"/>
  <c r="L4" i="28"/>
  <c r="E4" i="28" l="1"/>
  <c r="R4" i="28" l="1"/>
  <c r="Q4" i="28"/>
  <c r="O4" i="28"/>
  <c r="O3" i="28" l="1"/>
  <c r="P3" i="28" s="1"/>
  <c r="I3" i="28"/>
  <c r="L3" i="28"/>
  <c r="F3" i="28"/>
  <c r="G3" i="28" s="1"/>
  <c r="R3" i="28"/>
  <c r="D3" i="28"/>
  <c r="J3" i="28" s="1"/>
  <c r="U3" i="28"/>
  <c r="I21" i="37"/>
  <c r="H21" i="37"/>
  <c r="L21" i="37"/>
  <c r="E21" i="37"/>
  <c r="F21" i="37"/>
  <c r="O21" i="37"/>
  <c r="O20" i="37"/>
  <c r="P20" i="37" s="1"/>
  <c r="L20" i="37"/>
  <c r="I20" i="37"/>
  <c r="H20" i="37"/>
  <c r="K20" i="37"/>
  <c r="R20" i="37"/>
  <c r="S18" i="37"/>
  <c r="H19" i="37"/>
  <c r="H18" i="37"/>
  <c r="D19" i="37"/>
  <c r="G19" i="37"/>
  <c r="J19" i="37" s="1"/>
  <c r="I19" i="37"/>
  <c r="L19" i="37"/>
  <c r="O19" i="37"/>
  <c r="P19" i="37"/>
  <c r="S19" i="37"/>
  <c r="U19" i="37" s="1"/>
  <c r="V19" i="37" s="1"/>
  <c r="O18" i="37"/>
  <c r="P18" i="37" s="1"/>
  <c r="I18" i="37"/>
  <c r="L18" i="37"/>
  <c r="G17" i="37"/>
  <c r="F18" i="37"/>
  <c r="E18" i="37"/>
  <c r="D18" i="37"/>
  <c r="R17" i="37"/>
  <c r="O17" i="37"/>
  <c r="H17" i="37"/>
  <c r="I17" i="37"/>
  <c r="L17" i="37"/>
  <c r="H16" i="37"/>
  <c r="L16" i="37"/>
  <c r="F16" i="37"/>
  <c r="I16" i="37"/>
  <c r="O16" i="37"/>
  <c r="P16" i="37" s="1"/>
  <c r="O15" i="37"/>
  <c r="H15" i="37"/>
  <c r="L15" i="37"/>
  <c r="I15" i="37"/>
  <c r="H12" i="37"/>
  <c r="O14" i="37"/>
  <c r="L14" i="37"/>
  <c r="I14" i="37"/>
  <c r="H14" i="37"/>
  <c r="L13" i="37"/>
  <c r="I13" i="37"/>
  <c r="H13" i="37"/>
  <c r="E14" i="37"/>
  <c r="F14" i="37"/>
  <c r="F38" i="40"/>
  <c r="E52" i="40"/>
  <c r="D52" i="40"/>
  <c r="C52" i="40"/>
  <c r="D51" i="40"/>
  <c r="E51" i="40" s="1"/>
  <c r="O13" i="37"/>
  <c r="F13" i="37"/>
  <c r="E13" i="37"/>
  <c r="O12" i="37"/>
  <c r="L12" i="37"/>
  <c r="I12" i="37"/>
  <c r="F12" i="37"/>
  <c r="E12" i="37"/>
  <c r="S11" i="37"/>
  <c r="I11" i="37"/>
  <c r="L11" i="37"/>
  <c r="H11" i="37"/>
  <c r="O11" i="37"/>
  <c r="F11" i="37"/>
  <c r="E11" i="37"/>
  <c r="S19" i="39"/>
  <c r="S15" i="40"/>
  <c r="S8" i="37"/>
  <c r="V3" i="28" l="1"/>
  <c r="W3" i="28" s="1"/>
  <c r="W19" i="37"/>
  <c r="M19" i="37"/>
  <c r="X19" i="37" s="1"/>
  <c r="M3" i="28"/>
  <c r="X3" i="28" s="1"/>
  <c r="L10" i="37"/>
  <c r="I10" i="37"/>
  <c r="H10" i="37"/>
  <c r="F10" i="37"/>
  <c r="O10" i="37"/>
  <c r="E10" i="37"/>
  <c r="H9" i="37"/>
  <c r="I9" i="37"/>
  <c r="L9" i="37"/>
  <c r="F9" i="37"/>
  <c r="R9" i="37"/>
  <c r="O9" i="37"/>
  <c r="E9" i="37"/>
  <c r="L8" i="37"/>
  <c r="I8" i="37"/>
  <c r="H8" i="37"/>
  <c r="O8" i="37"/>
  <c r="R8" i="37"/>
  <c r="P8" i="37"/>
  <c r="G8" i="37"/>
  <c r="I7" i="37"/>
  <c r="L7" i="37"/>
  <c r="H7" i="37"/>
  <c r="R7" i="37"/>
  <c r="O7" i="37"/>
  <c r="P7" i="37"/>
  <c r="O6" i="37"/>
  <c r="P6" i="37" s="1"/>
  <c r="E6" i="37"/>
  <c r="G7" i="37"/>
  <c r="R6" i="37"/>
  <c r="G5" i="37"/>
  <c r="I6" i="37"/>
  <c r="L6" i="37"/>
  <c r="H6" i="37"/>
  <c r="F6" i="37"/>
  <c r="G6" i="37" s="1"/>
  <c r="L5" i="37"/>
  <c r="I5" i="37"/>
  <c r="H5" i="37"/>
  <c r="O5" i="37"/>
  <c r="P5" i="37" s="1"/>
  <c r="H4" i="37"/>
  <c r="H3" i="37"/>
  <c r="S23" i="40"/>
  <c r="O4" i="37"/>
  <c r="P4" i="37" s="1"/>
  <c r="R4" i="37"/>
  <c r="I4" i="37"/>
  <c r="L4" i="37"/>
  <c r="G4" i="37"/>
  <c r="I3" i="37"/>
  <c r="L3" i="37"/>
  <c r="G3" i="37"/>
  <c r="R3" i="37"/>
  <c r="S14" i="40" l="1"/>
  <c r="O3" i="37" l="1"/>
  <c r="P3" i="37" s="1"/>
  <c r="R23" i="40"/>
  <c r="O23" i="40"/>
  <c r="H23" i="40"/>
  <c r="L23" i="40"/>
  <c r="I23" i="40"/>
  <c r="K23" i="40"/>
  <c r="F23" i="40"/>
  <c r="H22" i="40"/>
  <c r="L22" i="40"/>
  <c r="I22" i="40"/>
  <c r="G22" i="40"/>
  <c r="O22" i="40"/>
  <c r="H21" i="40"/>
  <c r="I21" i="40"/>
  <c r="L21" i="40"/>
  <c r="O21" i="40"/>
  <c r="H17" i="40"/>
  <c r="I20" i="40"/>
  <c r="H20" i="40"/>
  <c r="L20" i="40"/>
  <c r="D20" i="40"/>
  <c r="F20" i="40"/>
  <c r="O20" i="40"/>
  <c r="P20" i="40" s="1"/>
  <c r="R20" i="40"/>
  <c r="I19" i="40"/>
  <c r="H19" i="40"/>
  <c r="L19" i="40"/>
  <c r="G19" i="40"/>
  <c r="G20" i="40"/>
  <c r="O19" i="40"/>
  <c r="R19" i="40"/>
  <c r="D19" i="40"/>
  <c r="O18" i="40"/>
  <c r="H18" i="40"/>
  <c r="I18" i="40"/>
  <c r="G18" i="40"/>
  <c r="O17" i="40"/>
  <c r="P17" i="40" s="1"/>
  <c r="G17" i="40"/>
  <c r="I17" i="40"/>
  <c r="L17" i="40"/>
  <c r="D17" i="40"/>
  <c r="D18" i="40"/>
  <c r="J17" i="40" l="1"/>
  <c r="J18" i="40"/>
  <c r="L16" i="40" l="1"/>
  <c r="I16" i="40"/>
  <c r="H16" i="40"/>
  <c r="G16" i="40"/>
  <c r="D16" i="40"/>
  <c r="O16" i="40"/>
  <c r="P16" i="40" s="1"/>
  <c r="H15" i="40"/>
  <c r="I15" i="40"/>
  <c r="L15" i="40"/>
  <c r="F15" i="40" l="1"/>
  <c r="E15" i="40"/>
  <c r="D15" i="40"/>
  <c r="G15" i="40" l="1"/>
  <c r="M15" i="40"/>
  <c r="O15" i="40"/>
  <c r="P15" i="40" s="1"/>
  <c r="I6" i="40"/>
  <c r="H6" i="40"/>
  <c r="H14" i="40"/>
  <c r="H13" i="40"/>
  <c r="H12" i="40"/>
  <c r="H11" i="40"/>
  <c r="H10" i="40"/>
  <c r="H9" i="40"/>
  <c r="H8" i="40"/>
  <c r="H7" i="40"/>
  <c r="H5" i="40"/>
  <c r="H4" i="40"/>
  <c r="H3" i="40"/>
  <c r="I14" i="40"/>
  <c r="L14" i="40"/>
  <c r="O14" i="40"/>
  <c r="R14" i="40"/>
  <c r="G14" i="40"/>
  <c r="D14" i="40"/>
  <c r="I13" i="40" l="1"/>
  <c r="L13" i="40"/>
  <c r="O13" i="40"/>
  <c r="G13" i="40"/>
  <c r="D13" i="40"/>
  <c r="Q12" i="40"/>
  <c r="R12" i="40"/>
  <c r="O12" i="40"/>
  <c r="I12" i="40"/>
  <c r="L12" i="40"/>
  <c r="D12" i="40"/>
  <c r="G12" i="40"/>
  <c r="I11" i="40"/>
  <c r="L11" i="40"/>
  <c r="R11" i="40"/>
  <c r="G11" i="40"/>
  <c r="D11" i="40"/>
  <c r="O11" i="40"/>
  <c r="I10" i="40"/>
  <c r="L10" i="40"/>
  <c r="O10" i="40"/>
  <c r="G10" i="40"/>
  <c r="D10" i="40"/>
  <c r="I9" i="40"/>
  <c r="O9" i="40"/>
  <c r="E9" i="40"/>
  <c r="M13" i="40" l="1"/>
  <c r="F9" i="40"/>
  <c r="G9" i="40" s="1"/>
  <c r="D9" i="40"/>
  <c r="G8" i="40"/>
  <c r="O8" i="40"/>
  <c r="D8" i="40" l="1"/>
  <c r="J8" i="40" s="1"/>
  <c r="O7" i="40"/>
  <c r="P7" i="40" s="1"/>
  <c r="L7" i="40"/>
  <c r="I7" i="40"/>
  <c r="P8" i="40"/>
  <c r="P9" i="40"/>
  <c r="P10" i="40"/>
  <c r="P11" i="40"/>
  <c r="P12" i="40"/>
  <c r="P13" i="40"/>
  <c r="P14" i="40"/>
  <c r="P18" i="40"/>
  <c r="P19" i="40"/>
  <c r="P21" i="40"/>
  <c r="P22" i="40"/>
  <c r="P23" i="40"/>
  <c r="P24" i="40"/>
  <c r="P25" i="40"/>
  <c r="M9" i="40"/>
  <c r="M10" i="40"/>
  <c r="M11" i="40"/>
  <c r="M12" i="40"/>
  <c r="M14" i="40"/>
  <c r="M16" i="40"/>
  <c r="M17" i="40"/>
  <c r="M18" i="40"/>
  <c r="M19" i="40"/>
  <c r="M20" i="40"/>
  <c r="M24" i="40"/>
  <c r="M25" i="40"/>
  <c r="M26" i="40"/>
  <c r="J9" i="40"/>
  <c r="J10" i="40"/>
  <c r="J11" i="40"/>
  <c r="J12" i="40"/>
  <c r="J13" i="40"/>
  <c r="J14" i="40"/>
  <c r="J15" i="40"/>
  <c r="J16" i="40"/>
  <c r="J19" i="40"/>
  <c r="J20" i="40"/>
  <c r="M8" i="40" l="1"/>
  <c r="R7" i="40" l="1"/>
  <c r="S6" i="40"/>
  <c r="U26" i="40"/>
  <c r="U25" i="40"/>
  <c r="U24" i="40"/>
  <c r="U23" i="40"/>
  <c r="U22" i="40"/>
  <c r="U21" i="40"/>
  <c r="U20" i="40"/>
  <c r="U19" i="40"/>
  <c r="U18" i="40"/>
  <c r="V18" i="40" s="1"/>
  <c r="U17" i="40"/>
  <c r="V17" i="40" s="1"/>
  <c r="U16" i="40"/>
  <c r="V16" i="40" s="1"/>
  <c r="U15" i="40"/>
  <c r="V15" i="40" s="1"/>
  <c r="U14" i="40"/>
  <c r="V14" i="40" s="1"/>
  <c r="U13" i="40"/>
  <c r="V13" i="40" s="1"/>
  <c r="U12" i="40"/>
  <c r="V12" i="40" s="1"/>
  <c r="U11" i="40"/>
  <c r="V11" i="40" s="1"/>
  <c r="U10" i="40"/>
  <c r="V10" i="40" s="1"/>
  <c r="U9" i="40"/>
  <c r="V9" i="40" s="1"/>
  <c r="U8" i="40"/>
  <c r="V8" i="40" s="1"/>
  <c r="U7" i="40"/>
  <c r="V7" i="40" s="1"/>
  <c r="U6" i="40"/>
  <c r="U5" i="40"/>
  <c r="U4" i="40"/>
  <c r="U3" i="40"/>
  <c r="S20" i="38"/>
  <c r="W8" i="40" l="1"/>
  <c r="X8" i="40"/>
  <c r="X9" i="40"/>
  <c r="W9" i="40"/>
  <c r="W10" i="40"/>
  <c r="X10" i="40"/>
  <c r="W11" i="40"/>
  <c r="X11" i="40"/>
  <c r="W12" i="40"/>
  <c r="X12" i="40"/>
  <c r="W13" i="40"/>
  <c r="X13" i="40"/>
  <c r="W17" i="40"/>
  <c r="X17" i="40"/>
  <c r="X18" i="40"/>
  <c r="W18" i="40"/>
  <c r="W16" i="40"/>
  <c r="X16" i="40"/>
  <c r="X15" i="40"/>
  <c r="W15" i="40"/>
  <c r="X14" i="40"/>
  <c r="W14" i="40"/>
  <c r="O6" i="40"/>
  <c r="P6" i="40" l="1"/>
  <c r="Q6" i="40"/>
  <c r="V6" i="40" s="1"/>
  <c r="L6" i="40"/>
  <c r="G6" i="40" l="1"/>
  <c r="G7" i="40"/>
  <c r="D6" i="40"/>
  <c r="D7" i="40"/>
  <c r="J7" i="40" l="1"/>
  <c r="W7" i="40" s="1"/>
  <c r="M7" i="40"/>
  <c r="X7" i="40" s="1"/>
  <c r="J6" i="40"/>
  <c r="W6" i="40" s="1"/>
  <c r="M6" i="40"/>
  <c r="X6" i="40" s="1"/>
  <c r="F5" i="40"/>
  <c r="I5" i="40"/>
  <c r="L5" i="40"/>
  <c r="E5" i="40"/>
  <c r="D5" i="40"/>
  <c r="O5" i="40"/>
  <c r="P5" i="40" s="1"/>
  <c r="R5" i="40"/>
  <c r="Q5" i="40"/>
  <c r="V5" i="40" s="1"/>
  <c r="Q4" i="40"/>
  <c r="V4" i="40" s="1"/>
  <c r="O4" i="40"/>
  <c r="P4" i="40" s="1"/>
  <c r="L4" i="40"/>
  <c r="I4" i="40"/>
  <c r="D4" i="40"/>
  <c r="F4" i="40"/>
  <c r="E4" i="40"/>
  <c r="L21" i="38"/>
  <c r="I21" i="38"/>
  <c r="H21" i="38"/>
  <c r="G5" i="40" l="1"/>
  <c r="J5" i="40"/>
  <c r="G4" i="40"/>
  <c r="M4" i="40"/>
  <c r="X4" i="40" s="1"/>
  <c r="J4" i="40"/>
  <c r="W4" i="40" s="1"/>
  <c r="W5" i="40"/>
  <c r="M5" i="40"/>
  <c r="X5" i="40" s="1"/>
  <c r="Q3" i="40"/>
  <c r="O3" i="40"/>
  <c r="P3" i="40" s="1"/>
  <c r="L3" i="40"/>
  <c r="I3" i="40"/>
  <c r="E3" i="40"/>
  <c r="V3" i="40"/>
  <c r="D3" i="40"/>
  <c r="G3" i="40"/>
  <c r="M3" i="40" s="1"/>
  <c r="E21" i="38"/>
  <c r="O21" i="38"/>
  <c r="F21" i="38"/>
  <c r="L20" i="38"/>
  <c r="H20" i="38"/>
  <c r="I20" i="38"/>
  <c r="O20" i="38"/>
  <c r="E20" i="38"/>
  <c r="O19" i="38"/>
  <c r="H19" i="38"/>
  <c r="I19" i="38"/>
  <c r="L19" i="38"/>
  <c r="H18" i="38"/>
  <c r="O18" i="38"/>
  <c r="L18" i="38"/>
  <c r="J3" i="40" l="1"/>
  <c r="W3" i="40" s="1"/>
  <c r="X3" i="40"/>
  <c r="I18" i="38"/>
  <c r="U17" i="38"/>
  <c r="U18" i="38"/>
  <c r="U19" i="38"/>
  <c r="U20" i="38"/>
  <c r="U21" i="38"/>
  <c r="U22" i="38"/>
  <c r="U23" i="38"/>
  <c r="U24" i="38"/>
  <c r="U25" i="38"/>
  <c r="U26" i="38"/>
  <c r="U27" i="38"/>
  <c r="U28" i="38"/>
  <c r="U29" i="38"/>
  <c r="U30" i="38"/>
  <c r="U31" i="38"/>
  <c r="U32" i="38"/>
  <c r="U33" i="38"/>
  <c r="U34" i="38"/>
  <c r="U35" i="38"/>
  <c r="U36" i="38"/>
  <c r="U4" i="38"/>
  <c r="U5" i="38"/>
  <c r="U6" i="38"/>
  <c r="U7" i="38"/>
  <c r="U8" i="38"/>
  <c r="U9" i="38"/>
  <c r="U10" i="38"/>
  <c r="U11" i="38"/>
  <c r="U12" i="38"/>
  <c r="U13" i="38"/>
  <c r="U14" i="38"/>
  <c r="U15" i="38"/>
  <c r="U16" i="38"/>
  <c r="S15" i="38" l="1"/>
  <c r="H17" i="38"/>
  <c r="H16" i="38" l="1"/>
  <c r="L17" i="38" l="1"/>
  <c r="I17" i="38"/>
  <c r="O17" i="38"/>
  <c r="I16" i="38" l="1"/>
  <c r="D16" i="38"/>
  <c r="J16" i="38" s="1"/>
  <c r="E16" i="38"/>
  <c r="G16" i="38" s="1"/>
  <c r="F16" i="38"/>
  <c r="L16" i="38"/>
  <c r="O16" i="38"/>
  <c r="P16" i="38" s="1"/>
  <c r="V16" i="38"/>
  <c r="R16" i="38"/>
  <c r="H15" i="38"/>
  <c r="O15" i="38"/>
  <c r="L15" i="38"/>
  <c r="I15" i="38"/>
  <c r="G17" i="38"/>
  <c r="G18" i="38"/>
  <c r="G19" i="38"/>
  <c r="G20" i="38"/>
  <c r="G21" i="38"/>
  <c r="G22" i="38"/>
  <c r="G23" i="38"/>
  <c r="G24" i="38"/>
  <c r="G25" i="38"/>
  <c r="G26" i="38"/>
  <c r="G15" i="38"/>
  <c r="F15" i="38"/>
  <c r="J14" i="38"/>
  <c r="J22" i="38"/>
  <c r="J23" i="38"/>
  <c r="J24" i="38"/>
  <c r="J25" i="38"/>
  <c r="J26" i="38"/>
  <c r="J27" i="38"/>
  <c r="J28" i="38"/>
  <c r="J29" i="38"/>
  <c r="J30" i="38"/>
  <c r="J31" i="38"/>
  <c r="J32" i="38"/>
  <c r="J33" i="38"/>
  <c r="J34" i="38"/>
  <c r="J35" i="38"/>
  <c r="J36" i="38"/>
  <c r="J37" i="38"/>
  <c r="E15" i="38"/>
  <c r="H14" i="38"/>
  <c r="I14" i="38"/>
  <c r="L14" i="38"/>
  <c r="F14" i="38"/>
  <c r="E14" i="38"/>
  <c r="R14" i="38"/>
  <c r="V14" i="38"/>
  <c r="O14" i="38"/>
  <c r="G14" i="38"/>
  <c r="S13" i="38"/>
  <c r="S12" i="38"/>
  <c r="H13" i="38"/>
  <c r="I13" i="38"/>
  <c r="L13" i="38"/>
  <c r="E13" i="38"/>
  <c r="F13" i="38"/>
  <c r="W16" i="38" l="1"/>
  <c r="M16" i="38"/>
  <c r="X16" i="38" s="1"/>
  <c r="J15" i="38"/>
  <c r="O13" i="38"/>
  <c r="P13" i="38" s="1"/>
  <c r="V12" i="38"/>
  <c r="D12" i="38"/>
  <c r="J12" i="38" s="1"/>
  <c r="G12" i="38"/>
  <c r="H12" i="38"/>
  <c r="I12" i="38"/>
  <c r="L12" i="38"/>
  <c r="O12" i="38"/>
  <c r="P12" i="38"/>
  <c r="R12" i="38"/>
  <c r="V11" i="38"/>
  <c r="D11" i="38"/>
  <c r="J11" i="38" s="1"/>
  <c r="E11" i="38"/>
  <c r="F11" i="38"/>
  <c r="G11" i="38"/>
  <c r="H11" i="38"/>
  <c r="I11" i="38"/>
  <c r="L11" i="38"/>
  <c r="O11" i="38"/>
  <c r="P11" i="38" s="1"/>
  <c r="R11" i="38"/>
  <c r="G13" i="38"/>
  <c r="G27" i="38"/>
  <c r="G28" i="38"/>
  <c r="G29" i="38"/>
  <c r="G30" i="38"/>
  <c r="G31" i="38"/>
  <c r="G32" i="38"/>
  <c r="G33" i="38"/>
  <c r="G34" i="38"/>
  <c r="G35" i="38"/>
  <c r="G36" i="38"/>
  <c r="G37" i="38"/>
  <c r="D10" i="38"/>
  <c r="D13" i="38"/>
  <c r="D14" i="38"/>
  <c r="D15" i="38"/>
  <c r="M15" i="38" s="1"/>
  <c r="D17" i="38"/>
  <c r="J17" i="38" s="1"/>
  <c r="D18" i="38"/>
  <c r="J18" i="38" s="1"/>
  <c r="D19" i="38"/>
  <c r="J19" i="38" s="1"/>
  <c r="D20" i="38"/>
  <c r="J20" i="38" s="1"/>
  <c r="D21" i="38"/>
  <c r="J21" i="38" s="1"/>
  <c r="D22" i="38"/>
  <c r="D23" i="38"/>
  <c r="D24" i="38"/>
  <c r="D25" i="38"/>
  <c r="D26" i="38"/>
  <c r="D27" i="38"/>
  <c r="D28" i="38"/>
  <c r="D29" i="38"/>
  <c r="D30" i="38"/>
  <c r="D31" i="38"/>
  <c r="D32" i="38"/>
  <c r="D33" i="38"/>
  <c r="D34" i="38"/>
  <c r="D35" i="38"/>
  <c r="D36" i="38"/>
  <c r="D37" i="38"/>
  <c r="V13" i="38"/>
  <c r="V15" i="38"/>
  <c r="V17" i="38"/>
  <c r="V18" i="38"/>
  <c r="V19" i="38"/>
  <c r="V20" i="38"/>
  <c r="V21" i="38"/>
  <c r="W21" i="38" s="1"/>
  <c r="V22" i="38"/>
  <c r="W22" i="38"/>
  <c r="X22" i="38"/>
  <c r="V23" i="38"/>
  <c r="W23" i="38"/>
  <c r="X23" i="38"/>
  <c r="V24" i="38"/>
  <c r="W24" i="38"/>
  <c r="X24" i="38"/>
  <c r="V25" i="38"/>
  <c r="W25" i="38"/>
  <c r="X25" i="38"/>
  <c r="V26" i="38"/>
  <c r="W26" i="38"/>
  <c r="X26" i="38"/>
  <c r="V27" i="38"/>
  <c r="W27" i="38"/>
  <c r="X27" i="38"/>
  <c r="V28" i="38"/>
  <c r="W28" i="38"/>
  <c r="X28" i="38"/>
  <c r="V29" i="38"/>
  <c r="W29" i="38"/>
  <c r="X29" i="38"/>
  <c r="V30" i="38"/>
  <c r="W30" i="38"/>
  <c r="X30" i="38"/>
  <c r="V31" i="38"/>
  <c r="W31" i="38"/>
  <c r="X31" i="38"/>
  <c r="V32" i="38"/>
  <c r="W32" i="38"/>
  <c r="X32" i="38"/>
  <c r="V33" i="38"/>
  <c r="W33" i="38"/>
  <c r="X33" i="38"/>
  <c r="V34" i="38"/>
  <c r="W34" i="38"/>
  <c r="X34" i="38"/>
  <c r="V35" i="38"/>
  <c r="W35" i="38"/>
  <c r="X35" i="38"/>
  <c r="V36" i="38"/>
  <c r="W36" i="38"/>
  <c r="X36" i="38"/>
  <c r="V37" i="38"/>
  <c r="W37" i="38"/>
  <c r="X37" i="38"/>
  <c r="P10" i="38"/>
  <c r="P14" i="38"/>
  <c r="P15" i="38"/>
  <c r="P17" i="38"/>
  <c r="P18" i="38"/>
  <c r="P19" i="38"/>
  <c r="P20" i="38"/>
  <c r="P21" i="38"/>
  <c r="P22" i="38"/>
  <c r="P23" i="38"/>
  <c r="P24" i="38"/>
  <c r="P25" i="38"/>
  <c r="P26" i="38"/>
  <c r="P27" i="38"/>
  <c r="P28" i="38"/>
  <c r="P29" i="38"/>
  <c r="P30" i="38"/>
  <c r="P31" i="38"/>
  <c r="P32" i="38"/>
  <c r="P33" i="38"/>
  <c r="P34" i="38"/>
  <c r="P35" i="38"/>
  <c r="P36" i="38"/>
  <c r="P37" i="38"/>
  <c r="M10" i="38"/>
  <c r="M14" i="38"/>
  <c r="X14" i="38" s="1"/>
  <c r="M18" i="38"/>
  <c r="M19" i="38"/>
  <c r="M20" i="38"/>
  <c r="M21" i="38"/>
  <c r="M22" i="38"/>
  <c r="M23" i="38"/>
  <c r="M24" i="38"/>
  <c r="M25" i="38"/>
  <c r="M26" i="38"/>
  <c r="M27" i="38"/>
  <c r="M28" i="38"/>
  <c r="M29" i="38"/>
  <c r="M30" i="38"/>
  <c r="M31" i="38"/>
  <c r="M32" i="38"/>
  <c r="M33" i="38"/>
  <c r="M34" i="38"/>
  <c r="M35" i="38"/>
  <c r="M36" i="38"/>
  <c r="M37" i="38"/>
  <c r="W14" i="38"/>
  <c r="D9" i="38"/>
  <c r="G9" i="38"/>
  <c r="G10" i="38"/>
  <c r="J10" i="38"/>
  <c r="V10" i="38"/>
  <c r="H10" i="38"/>
  <c r="C52" i="38"/>
  <c r="V38" i="38" l="1"/>
  <c r="W19" i="38"/>
  <c r="X21" i="38"/>
  <c r="W20" i="38"/>
  <c r="X20" i="38"/>
  <c r="X19" i="38"/>
  <c r="W18" i="38"/>
  <c r="X18" i="38"/>
  <c r="W17" i="38"/>
  <c r="M17" i="38"/>
  <c r="X17" i="38" s="1"/>
  <c r="W15" i="38"/>
  <c r="X15" i="38"/>
  <c r="M13" i="38"/>
  <c r="X13" i="38" s="1"/>
  <c r="J13" i="38"/>
  <c r="W13" i="38" s="1"/>
  <c r="W11" i="38"/>
  <c r="W12" i="38"/>
  <c r="M12" i="38"/>
  <c r="X12" i="38" s="1"/>
  <c r="M11" i="38"/>
  <c r="X11" i="38" s="1"/>
  <c r="W10" i="38"/>
  <c r="E10" i="38"/>
  <c r="F10" i="38"/>
  <c r="I10" i="38"/>
  <c r="R10" i="38" l="1"/>
  <c r="O10" i="38"/>
  <c r="L10" i="38"/>
  <c r="H9" i="38" l="1"/>
  <c r="I9" i="38"/>
  <c r="J9" i="38"/>
  <c r="L9" i="38"/>
  <c r="O9" i="38"/>
  <c r="P9" i="38" s="1"/>
  <c r="R9" i="38"/>
  <c r="V8" i="38"/>
  <c r="D8" i="38"/>
  <c r="E8" i="38"/>
  <c r="F8" i="38"/>
  <c r="G8" i="38" s="1"/>
  <c r="H8" i="38"/>
  <c r="I8" i="38"/>
  <c r="L8" i="38"/>
  <c r="O8" i="38"/>
  <c r="P8" i="38"/>
  <c r="R8" i="38"/>
  <c r="D7" i="38"/>
  <c r="G7" i="38"/>
  <c r="H7" i="38"/>
  <c r="I7" i="38"/>
  <c r="L7" i="38"/>
  <c r="M7" i="38"/>
  <c r="O7" i="38"/>
  <c r="P7" i="38" s="1"/>
  <c r="V7" i="38"/>
  <c r="D6" i="38"/>
  <c r="E6" i="38"/>
  <c r="F6" i="38"/>
  <c r="H6" i="38"/>
  <c r="I6" i="38"/>
  <c r="L6" i="38"/>
  <c r="O6" i="38"/>
  <c r="P6" i="38"/>
  <c r="D5" i="38"/>
  <c r="G5" i="38"/>
  <c r="H5" i="38"/>
  <c r="I5" i="38"/>
  <c r="L5" i="38"/>
  <c r="M5" i="38"/>
  <c r="O5" i="38"/>
  <c r="P5" i="38" s="1"/>
  <c r="R5" i="38"/>
  <c r="V5" i="38"/>
  <c r="V4" i="38"/>
  <c r="D4" i="38"/>
  <c r="G4" i="38"/>
  <c r="H4" i="38"/>
  <c r="I4" i="38"/>
  <c r="L4" i="38"/>
  <c r="O4" i="38"/>
  <c r="P4" i="38" s="1"/>
  <c r="U20" i="39"/>
  <c r="D20" i="39"/>
  <c r="G20" i="39"/>
  <c r="H20" i="39"/>
  <c r="I20" i="39"/>
  <c r="J20" i="39"/>
  <c r="L20" i="39"/>
  <c r="M20" i="39"/>
  <c r="O20" i="39"/>
  <c r="P20" i="39" s="1"/>
  <c r="Q20" i="39"/>
  <c r="V20" i="39" s="1"/>
  <c r="R20" i="39"/>
  <c r="U19" i="39"/>
  <c r="V19" i="39" s="1"/>
  <c r="D19" i="39"/>
  <c r="J19" i="39" s="1"/>
  <c r="G19" i="39"/>
  <c r="H19" i="39"/>
  <c r="I19" i="39"/>
  <c r="L19" i="39"/>
  <c r="O19" i="39"/>
  <c r="P19" i="39" s="1"/>
  <c r="Q19" i="39"/>
  <c r="R19" i="39"/>
  <c r="D18" i="39"/>
  <c r="J18" i="39" s="1"/>
  <c r="G18" i="39"/>
  <c r="H18" i="39"/>
  <c r="I18" i="39"/>
  <c r="L18" i="39"/>
  <c r="O18" i="39"/>
  <c r="P18" i="39"/>
  <c r="Q18" i="39"/>
  <c r="R18" i="39"/>
  <c r="S18" i="39"/>
  <c r="U18" i="39" s="1"/>
  <c r="V18" i="39" s="1"/>
  <c r="U17" i="39"/>
  <c r="V17" i="39"/>
  <c r="D17" i="39"/>
  <c r="M17" i="39" s="1"/>
  <c r="G17" i="39"/>
  <c r="H17" i="39"/>
  <c r="I17" i="39"/>
  <c r="J17" i="39"/>
  <c r="O17" i="39"/>
  <c r="P17" i="39" s="1"/>
  <c r="Q17" i="39"/>
  <c r="R17" i="39"/>
  <c r="U16" i="39"/>
  <c r="V16" i="39" s="1"/>
  <c r="D16" i="39"/>
  <c r="G16" i="39"/>
  <c r="H16" i="39"/>
  <c r="I16" i="39"/>
  <c r="J16" i="39"/>
  <c r="M16" i="39"/>
  <c r="O16" i="39"/>
  <c r="P16" i="39" s="1"/>
  <c r="Q16" i="39"/>
  <c r="R16" i="39"/>
  <c r="U15" i="39"/>
  <c r="V15" i="39" s="1"/>
  <c r="D15" i="39"/>
  <c r="J15" i="39" s="1"/>
  <c r="G15" i="39"/>
  <c r="H15" i="39"/>
  <c r="I15" i="39"/>
  <c r="O15" i="39"/>
  <c r="P15" i="39"/>
  <c r="Q15" i="39"/>
  <c r="R15" i="39"/>
  <c r="U14" i="39"/>
  <c r="V14" i="39"/>
  <c r="D14" i="39"/>
  <c r="M14" i="39" s="1"/>
  <c r="G14" i="39"/>
  <c r="J14" i="39" s="1"/>
  <c r="H14" i="39"/>
  <c r="I14" i="39"/>
  <c r="L14" i="39"/>
  <c r="O14" i="39"/>
  <c r="P14" i="39" s="1"/>
  <c r="Q14" i="39"/>
  <c r="U13" i="39"/>
  <c r="V13" i="39"/>
  <c r="D13" i="39"/>
  <c r="M13" i="39" s="1"/>
  <c r="G13" i="39"/>
  <c r="H13" i="39"/>
  <c r="I13" i="39"/>
  <c r="J13" i="39"/>
  <c r="O13" i="39"/>
  <c r="P13" i="39"/>
  <c r="U12" i="39"/>
  <c r="V12" i="39" s="1"/>
  <c r="D12" i="39"/>
  <c r="J12" i="39" s="1"/>
  <c r="G12" i="39"/>
  <c r="H12" i="39"/>
  <c r="I12" i="39"/>
  <c r="L12" i="39"/>
  <c r="O12" i="39"/>
  <c r="P12" i="39" s="1"/>
  <c r="Q12" i="39"/>
  <c r="R12" i="39"/>
  <c r="U11" i="39"/>
  <c r="V11" i="39" s="1"/>
  <c r="D11" i="39"/>
  <c r="J11" i="39" s="1"/>
  <c r="G11" i="39"/>
  <c r="H11" i="39"/>
  <c r="I11" i="39"/>
  <c r="L11" i="39"/>
  <c r="O11" i="39"/>
  <c r="P11" i="39" s="1"/>
  <c r="Q11" i="39"/>
  <c r="U10" i="39"/>
  <c r="V10" i="39" s="1"/>
  <c r="D10" i="39"/>
  <c r="J10" i="39" s="1"/>
  <c r="G10" i="39"/>
  <c r="H10" i="39"/>
  <c r="I10" i="39"/>
  <c r="L10" i="39"/>
  <c r="M10" i="39"/>
  <c r="O10" i="39"/>
  <c r="P10" i="39" s="1"/>
  <c r="Q10" i="39"/>
  <c r="U9" i="39"/>
  <c r="D9" i="39"/>
  <c r="G9" i="39"/>
  <c r="H9" i="39"/>
  <c r="J9" i="39" s="1"/>
  <c r="I9" i="39"/>
  <c r="L9" i="39"/>
  <c r="M9" i="39"/>
  <c r="O9" i="39"/>
  <c r="P9" i="39"/>
  <c r="Q9" i="39"/>
  <c r="V9" i="39" s="1"/>
  <c r="R9" i="39"/>
  <c r="U8" i="39"/>
  <c r="V8" i="39"/>
  <c r="D8" i="39"/>
  <c r="J8" i="39" s="1"/>
  <c r="G8" i="39"/>
  <c r="H8" i="39"/>
  <c r="I8" i="39"/>
  <c r="L8" i="39"/>
  <c r="O8" i="39"/>
  <c r="P8" i="39" s="1"/>
  <c r="U7" i="39"/>
  <c r="V7" i="39" s="1"/>
  <c r="D7" i="39"/>
  <c r="E7" i="39"/>
  <c r="G7" i="39" s="1"/>
  <c r="F7" i="39"/>
  <c r="H7" i="39"/>
  <c r="I7" i="39"/>
  <c r="L7" i="39"/>
  <c r="O7" i="39"/>
  <c r="P7" i="39" s="1"/>
  <c r="Q7" i="39"/>
  <c r="R7" i="39"/>
  <c r="U6" i="39"/>
  <c r="D6" i="39"/>
  <c r="J6" i="39" s="1"/>
  <c r="E6" i="39"/>
  <c r="G6" i="39"/>
  <c r="H6" i="39"/>
  <c r="I6" i="39"/>
  <c r="M6" i="39" s="1"/>
  <c r="L6" i="39"/>
  <c r="O6" i="39"/>
  <c r="P6" i="39" s="1"/>
  <c r="Q6" i="39"/>
  <c r="V6" i="39" s="1"/>
  <c r="R6" i="39"/>
  <c r="U5" i="39"/>
  <c r="V5" i="39" s="1"/>
  <c r="D5" i="39"/>
  <c r="G5" i="39"/>
  <c r="J5" i="39" s="1"/>
  <c r="H5" i="39"/>
  <c r="I5" i="39"/>
  <c r="L5" i="39"/>
  <c r="M5" i="39"/>
  <c r="O5" i="39"/>
  <c r="P5" i="39"/>
  <c r="Q5" i="39"/>
  <c r="R5" i="39"/>
  <c r="U4" i="39"/>
  <c r="V4" i="39"/>
  <c r="D4" i="39"/>
  <c r="J4" i="39" s="1"/>
  <c r="G4" i="39"/>
  <c r="M4" i="39" s="1"/>
  <c r="H4" i="39"/>
  <c r="I4" i="39"/>
  <c r="L4" i="39"/>
  <c r="O4" i="39"/>
  <c r="P4" i="39"/>
  <c r="V19" i="40"/>
  <c r="W19" i="40" s="1"/>
  <c r="V20" i="40"/>
  <c r="X20" i="40" s="1"/>
  <c r="D21" i="40"/>
  <c r="G21" i="40"/>
  <c r="V21" i="40"/>
  <c r="W20" i="40" l="1"/>
  <c r="X19" i="40"/>
  <c r="M21" i="40"/>
  <c r="X21" i="40" s="1"/>
  <c r="J21" i="40"/>
  <c r="W21" i="40" s="1"/>
  <c r="M8" i="38"/>
  <c r="J8" i="38"/>
  <c r="J5" i="38"/>
  <c r="V6" i="38"/>
  <c r="X6" i="38" s="1"/>
  <c r="J7" i="38"/>
  <c r="W7" i="38" s="1"/>
  <c r="M9" i="38"/>
  <c r="G6" i="38"/>
  <c r="M6" i="38" s="1"/>
  <c r="J4" i="38"/>
  <c r="V9" i="38"/>
  <c r="W9" i="38" s="1"/>
  <c r="M4" i="38"/>
  <c r="X10" i="38"/>
  <c r="W18" i="39"/>
  <c r="J6" i="38"/>
  <c r="W8" i="38"/>
  <c r="X8" i="38"/>
  <c r="W6" i="39"/>
  <c r="X6" i="39"/>
  <c r="W14" i="39"/>
  <c r="W16" i="39"/>
  <c r="X16" i="39"/>
  <c r="W15" i="39"/>
  <c r="X15" i="39"/>
  <c r="X13" i="39"/>
  <c r="W5" i="39"/>
  <c r="X5" i="39"/>
  <c r="W9" i="39"/>
  <c r="X9" i="39"/>
  <c r="X17" i="39"/>
  <c r="W19" i="39"/>
  <c r="X20" i="39"/>
  <c r="W20" i="39"/>
  <c r="W11" i="39"/>
  <c r="W8" i="39"/>
  <c r="W4" i="38"/>
  <c r="X4" i="38"/>
  <c r="J7" i="39"/>
  <c r="W7" i="39" s="1"/>
  <c r="W12" i="39"/>
  <c r="X12" i="39"/>
  <c r="X8" i="39"/>
  <c r="W5" i="38"/>
  <c r="X5" i="38"/>
  <c r="W4" i="39"/>
  <c r="W10" i="39"/>
  <c r="X10" i="39"/>
  <c r="M12" i="39"/>
  <c r="W13" i="39"/>
  <c r="M19" i="39"/>
  <c r="X19" i="39" s="1"/>
  <c r="M18" i="39"/>
  <c r="X18" i="39" s="1"/>
  <c r="M15" i="39"/>
  <c r="M8" i="39"/>
  <c r="M11" i="39"/>
  <c r="M7" i="39"/>
  <c r="X7" i="39" s="1"/>
  <c r="X4" i="39"/>
  <c r="X11" i="39"/>
  <c r="X14" i="39"/>
  <c r="X7" i="38"/>
  <c r="W17" i="39"/>
  <c r="H3" i="38"/>
  <c r="J22" i="39"/>
  <c r="J23" i="39"/>
  <c r="J24" i="39"/>
  <c r="J25" i="39"/>
  <c r="J26" i="39"/>
  <c r="J27" i="39"/>
  <c r="J28" i="39"/>
  <c r="J29" i="39"/>
  <c r="J30" i="39"/>
  <c r="J31" i="39"/>
  <c r="J32" i="39"/>
  <c r="J33" i="39"/>
  <c r="J34" i="39"/>
  <c r="J35" i="39"/>
  <c r="J36" i="39"/>
  <c r="J37" i="39"/>
  <c r="X9" i="38" l="1"/>
  <c r="W6" i="38"/>
  <c r="I3" i="39"/>
  <c r="L3" i="39"/>
  <c r="H3" i="39"/>
  <c r="I3" i="38" l="1"/>
  <c r="L3" i="38"/>
  <c r="O3" i="38"/>
  <c r="R3" i="38"/>
  <c r="E3" i="38"/>
  <c r="F3" i="38"/>
  <c r="D3" i="38" l="1"/>
  <c r="G3" i="38"/>
  <c r="G3" i="39"/>
  <c r="D3" i="39"/>
  <c r="M3" i="39" s="1"/>
  <c r="P3" i="38"/>
  <c r="R3" i="39"/>
  <c r="Q3" i="39"/>
  <c r="O3" i="39"/>
  <c r="P3" i="39" s="1"/>
  <c r="J3" i="38" l="1"/>
  <c r="M3" i="38"/>
  <c r="J3" i="39"/>
  <c r="N38" i="40"/>
  <c r="K38" i="40"/>
  <c r="E38" i="40"/>
  <c r="X37" i="40"/>
  <c r="W37" i="40"/>
  <c r="V37" i="40"/>
  <c r="U37" i="40"/>
  <c r="P37" i="40"/>
  <c r="M37" i="40"/>
  <c r="J37" i="40"/>
  <c r="G37" i="40"/>
  <c r="D37" i="40"/>
  <c r="X36" i="40"/>
  <c r="W36" i="40"/>
  <c r="V36" i="40"/>
  <c r="U36" i="40"/>
  <c r="P36" i="40"/>
  <c r="M36" i="40"/>
  <c r="J36" i="40"/>
  <c r="G36" i="40"/>
  <c r="D36" i="40"/>
  <c r="X35" i="40"/>
  <c r="W35" i="40"/>
  <c r="V35" i="40"/>
  <c r="U35" i="40"/>
  <c r="P35" i="40"/>
  <c r="M35" i="40"/>
  <c r="J35" i="40"/>
  <c r="G35" i="40"/>
  <c r="D35" i="40"/>
  <c r="X34" i="40"/>
  <c r="W34" i="40"/>
  <c r="V34" i="40"/>
  <c r="U34" i="40"/>
  <c r="P34" i="40"/>
  <c r="M34" i="40"/>
  <c r="J34" i="40"/>
  <c r="G34" i="40"/>
  <c r="D34" i="40"/>
  <c r="X33" i="40"/>
  <c r="W33" i="40"/>
  <c r="V33" i="40"/>
  <c r="U33" i="40"/>
  <c r="P33" i="40"/>
  <c r="M33" i="40"/>
  <c r="J33" i="40"/>
  <c r="G33" i="40"/>
  <c r="D33" i="40"/>
  <c r="X32" i="40"/>
  <c r="W32" i="40"/>
  <c r="V32" i="40"/>
  <c r="U32" i="40"/>
  <c r="P32" i="40"/>
  <c r="M32" i="40"/>
  <c r="J32" i="40"/>
  <c r="G32" i="40"/>
  <c r="D32" i="40"/>
  <c r="X31" i="40"/>
  <c r="W31" i="40"/>
  <c r="V31" i="40"/>
  <c r="U31" i="40"/>
  <c r="P31" i="40"/>
  <c r="M31" i="40"/>
  <c r="J31" i="40"/>
  <c r="G31" i="40"/>
  <c r="D31" i="40"/>
  <c r="X30" i="40"/>
  <c r="W30" i="40"/>
  <c r="V30" i="40"/>
  <c r="U30" i="40"/>
  <c r="P30" i="40"/>
  <c r="M30" i="40"/>
  <c r="J30" i="40"/>
  <c r="G30" i="40"/>
  <c r="D30" i="40"/>
  <c r="X29" i="40"/>
  <c r="W29" i="40"/>
  <c r="V29" i="40"/>
  <c r="U29" i="40"/>
  <c r="P29" i="40"/>
  <c r="M29" i="40"/>
  <c r="J29" i="40"/>
  <c r="G29" i="40"/>
  <c r="D29" i="40"/>
  <c r="X28" i="40"/>
  <c r="W28" i="40"/>
  <c r="V28" i="40"/>
  <c r="U28" i="40"/>
  <c r="P28" i="40"/>
  <c r="M28" i="40"/>
  <c r="J28" i="40"/>
  <c r="G28" i="40"/>
  <c r="D28" i="40"/>
  <c r="X27" i="40"/>
  <c r="W27" i="40"/>
  <c r="V27" i="40"/>
  <c r="U27" i="40"/>
  <c r="P27" i="40"/>
  <c r="M27" i="40"/>
  <c r="J27" i="40"/>
  <c r="G27" i="40"/>
  <c r="D27" i="40"/>
  <c r="X26" i="40"/>
  <c r="W26" i="40"/>
  <c r="V26" i="40"/>
  <c r="P26" i="40"/>
  <c r="J26" i="40"/>
  <c r="G26" i="40"/>
  <c r="D26" i="40"/>
  <c r="X25" i="40"/>
  <c r="W25" i="40"/>
  <c r="V25" i="40"/>
  <c r="J25" i="40"/>
  <c r="G25" i="40"/>
  <c r="D25" i="40"/>
  <c r="X24" i="40"/>
  <c r="W24" i="40"/>
  <c r="V24" i="40"/>
  <c r="J24" i="40"/>
  <c r="G24" i="40"/>
  <c r="D24" i="40"/>
  <c r="V23" i="40"/>
  <c r="G23" i="40"/>
  <c r="D23" i="40"/>
  <c r="V22" i="40"/>
  <c r="D22" i="40"/>
  <c r="Q38" i="40"/>
  <c r="L38" i="40"/>
  <c r="I38" i="40"/>
  <c r="H38" i="40"/>
  <c r="C52" i="39"/>
  <c r="O38" i="39"/>
  <c r="N38" i="39"/>
  <c r="K38" i="39"/>
  <c r="F38" i="39"/>
  <c r="E38" i="39"/>
  <c r="X37" i="39"/>
  <c r="W37" i="39"/>
  <c r="V37" i="39"/>
  <c r="U37" i="39"/>
  <c r="P37" i="39"/>
  <c r="M37" i="39"/>
  <c r="G37" i="39"/>
  <c r="D37" i="39"/>
  <c r="X36" i="39"/>
  <c r="W36" i="39"/>
  <c r="V36" i="39"/>
  <c r="U36" i="39"/>
  <c r="P36" i="39"/>
  <c r="M36" i="39"/>
  <c r="G36" i="39"/>
  <c r="D36" i="39"/>
  <c r="X35" i="39"/>
  <c r="W35" i="39"/>
  <c r="V35" i="39"/>
  <c r="U35" i="39"/>
  <c r="P35" i="39"/>
  <c r="M35" i="39"/>
  <c r="G35" i="39"/>
  <c r="D35" i="39"/>
  <c r="X34" i="39"/>
  <c r="W34" i="39"/>
  <c r="V34" i="39"/>
  <c r="U34" i="39"/>
  <c r="P34" i="39"/>
  <c r="M34" i="39"/>
  <c r="G34" i="39"/>
  <c r="D34" i="39"/>
  <c r="X33" i="39"/>
  <c r="W33" i="39"/>
  <c r="V33" i="39"/>
  <c r="U33" i="39"/>
  <c r="P33" i="39"/>
  <c r="M33" i="39"/>
  <c r="G33" i="39"/>
  <c r="D33" i="39"/>
  <c r="X32" i="39"/>
  <c r="W32" i="39"/>
  <c r="V32" i="39"/>
  <c r="U32" i="39"/>
  <c r="P32" i="39"/>
  <c r="M32" i="39"/>
  <c r="G32" i="39"/>
  <c r="D32" i="39"/>
  <c r="X31" i="39"/>
  <c r="W31" i="39"/>
  <c r="V31" i="39"/>
  <c r="U31" i="39"/>
  <c r="P31" i="39"/>
  <c r="M31" i="39"/>
  <c r="G31" i="39"/>
  <c r="D31" i="39"/>
  <c r="X30" i="39"/>
  <c r="W30" i="39"/>
  <c r="V30" i="39"/>
  <c r="U30" i="39"/>
  <c r="P30" i="39"/>
  <c r="M30" i="39"/>
  <c r="G30" i="39"/>
  <c r="D30" i="39"/>
  <c r="X29" i="39"/>
  <c r="W29" i="39"/>
  <c r="V29" i="39"/>
  <c r="U29" i="39"/>
  <c r="P29" i="39"/>
  <c r="M29" i="39"/>
  <c r="G29" i="39"/>
  <c r="D29" i="39"/>
  <c r="X28" i="39"/>
  <c r="W28" i="39"/>
  <c r="V28" i="39"/>
  <c r="U28" i="39"/>
  <c r="P28" i="39"/>
  <c r="M28" i="39"/>
  <c r="G28" i="39"/>
  <c r="D28" i="39"/>
  <c r="X27" i="39"/>
  <c r="W27" i="39"/>
  <c r="V27" i="39"/>
  <c r="U27" i="39"/>
  <c r="P27" i="39"/>
  <c r="M27" i="39"/>
  <c r="G27" i="39"/>
  <c r="D27" i="39"/>
  <c r="X26" i="39"/>
  <c r="W26" i="39"/>
  <c r="V26" i="39"/>
  <c r="U26" i="39"/>
  <c r="P26" i="39"/>
  <c r="M26" i="39"/>
  <c r="G26" i="39"/>
  <c r="D26" i="39"/>
  <c r="X25" i="39"/>
  <c r="W25" i="39"/>
  <c r="V25" i="39"/>
  <c r="U25" i="39"/>
  <c r="P25" i="39"/>
  <c r="M25" i="39"/>
  <c r="G25" i="39"/>
  <c r="D25" i="39"/>
  <c r="X24" i="39"/>
  <c r="W24" i="39"/>
  <c r="V24" i="39"/>
  <c r="U24" i="39"/>
  <c r="P24" i="39"/>
  <c r="M24" i="39"/>
  <c r="G24" i="39"/>
  <c r="D24" i="39"/>
  <c r="X23" i="39"/>
  <c r="W23" i="39"/>
  <c r="V23" i="39"/>
  <c r="U23" i="39"/>
  <c r="P23" i="39"/>
  <c r="M23" i="39"/>
  <c r="G23" i="39"/>
  <c r="D23" i="39"/>
  <c r="X22" i="39"/>
  <c r="W22" i="39"/>
  <c r="V22" i="39"/>
  <c r="U22" i="39"/>
  <c r="P22" i="39"/>
  <c r="M22" i="39"/>
  <c r="G22" i="39"/>
  <c r="D22" i="39"/>
  <c r="Q38" i="39"/>
  <c r="L38" i="39"/>
  <c r="U3" i="39"/>
  <c r="V3" i="39" s="1"/>
  <c r="I38" i="39"/>
  <c r="N38" i="38"/>
  <c r="K38" i="38"/>
  <c r="F38" i="38"/>
  <c r="E38" i="38"/>
  <c r="O38" i="38"/>
  <c r="L38" i="38"/>
  <c r="Q38" i="38"/>
  <c r="U3" i="38"/>
  <c r="V3" i="38" s="1"/>
  <c r="I38" i="38"/>
  <c r="P39" i="37"/>
  <c r="N38" i="37"/>
  <c r="K38" i="37"/>
  <c r="F38" i="37"/>
  <c r="E38" i="37"/>
  <c r="X37" i="37"/>
  <c r="W37" i="37"/>
  <c r="V37" i="37"/>
  <c r="U37" i="37"/>
  <c r="P37" i="37"/>
  <c r="M37" i="37"/>
  <c r="J37" i="37"/>
  <c r="G37" i="37"/>
  <c r="D37" i="37"/>
  <c r="X36" i="37"/>
  <c r="W36" i="37"/>
  <c r="V36" i="37"/>
  <c r="U36" i="37"/>
  <c r="P36" i="37"/>
  <c r="M36" i="37"/>
  <c r="J36" i="37"/>
  <c r="G36" i="37"/>
  <c r="D36" i="37"/>
  <c r="X35" i="37"/>
  <c r="W35" i="37"/>
  <c r="V35" i="37"/>
  <c r="U35" i="37"/>
  <c r="P35" i="37"/>
  <c r="M35" i="37"/>
  <c r="J35" i="37"/>
  <c r="G35" i="37"/>
  <c r="D35" i="37"/>
  <c r="X34" i="37"/>
  <c r="W34" i="37"/>
  <c r="V34" i="37"/>
  <c r="U34" i="37"/>
  <c r="P34" i="37"/>
  <c r="M34" i="37"/>
  <c r="J34" i="37"/>
  <c r="G34" i="37"/>
  <c r="D34" i="37"/>
  <c r="X33" i="37"/>
  <c r="W33" i="37"/>
  <c r="V33" i="37"/>
  <c r="U33" i="37"/>
  <c r="P33" i="37"/>
  <c r="M33" i="37"/>
  <c r="J33" i="37"/>
  <c r="G33" i="37"/>
  <c r="D33" i="37"/>
  <c r="X32" i="37"/>
  <c r="W32" i="37"/>
  <c r="V32" i="37"/>
  <c r="U32" i="37"/>
  <c r="P32" i="37"/>
  <c r="M32" i="37"/>
  <c r="J32" i="37"/>
  <c r="G32" i="37"/>
  <c r="D32" i="37"/>
  <c r="X31" i="37"/>
  <c r="W31" i="37"/>
  <c r="V31" i="37"/>
  <c r="U31" i="37"/>
  <c r="P31" i="37"/>
  <c r="M31" i="37"/>
  <c r="J31" i="37"/>
  <c r="G31" i="37"/>
  <c r="D31" i="37"/>
  <c r="X30" i="37"/>
  <c r="W30" i="37"/>
  <c r="V30" i="37"/>
  <c r="U30" i="37"/>
  <c r="P30" i="37"/>
  <c r="M30" i="37"/>
  <c r="J30" i="37"/>
  <c r="G30" i="37"/>
  <c r="D30" i="37"/>
  <c r="X29" i="37"/>
  <c r="W29" i="37"/>
  <c r="V29" i="37"/>
  <c r="U29" i="37"/>
  <c r="P29" i="37"/>
  <c r="M29" i="37"/>
  <c r="J29" i="37"/>
  <c r="G29" i="37"/>
  <c r="D29" i="37"/>
  <c r="X28" i="37"/>
  <c r="W28" i="37"/>
  <c r="V28" i="37"/>
  <c r="U28" i="37"/>
  <c r="P28" i="37"/>
  <c r="M28" i="37"/>
  <c r="J28" i="37"/>
  <c r="G28" i="37"/>
  <c r="D28" i="37"/>
  <c r="X27" i="37"/>
  <c r="W27" i="37"/>
  <c r="V27" i="37"/>
  <c r="U27" i="37"/>
  <c r="P27" i="37"/>
  <c r="M27" i="37"/>
  <c r="J27" i="37"/>
  <c r="G27" i="37"/>
  <c r="D27" i="37"/>
  <c r="X26" i="37"/>
  <c r="W26" i="37"/>
  <c r="V26" i="37"/>
  <c r="U26" i="37"/>
  <c r="P26" i="37"/>
  <c r="M26" i="37"/>
  <c r="J26" i="37"/>
  <c r="G26" i="37"/>
  <c r="D26" i="37"/>
  <c r="X25" i="37"/>
  <c r="W25" i="37"/>
  <c r="V25" i="37"/>
  <c r="U25" i="37"/>
  <c r="P25" i="37"/>
  <c r="M25" i="37"/>
  <c r="J25" i="37"/>
  <c r="G25" i="37"/>
  <c r="D25" i="37"/>
  <c r="X24" i="37"/>
  <c r="W24" i="37"/>
  <c r="V24" i="37"/>
  <c r="U24" i="37"/>
  <c r="P24" i="37"/>
  <c r="M24" i="37"/>
  <c r="J24" i="37"/>
  <c r="G24" i="37"/>
  <c r="D24" i="37"/>
  <c r="X23" i="37"/>
  <c r="W23" i="37"/>
  <c r="V23" i="37"/>
  <c r="U23" i="37"/>
  <c r="P23" i="37"/>
  <c r="M23" i="37"/>
  <c r="J23" i="37"/>
  <c r="G23" i="37"/>
  <c r="D23" i="37"/>
  <c r="X22" i="37"/>
  <c r="W22" i="37"/>
  <c r="V22" i="37"/>
  <c r="U22" i="37"/>
  <c r="P22" i="37"/>
  <c r="M22" i="37"/>
  <c r="J22" i="37"/>
  <c r="G22" i="37"/>
  <c r="D22" i="37"/>
  <c r="V21" i="37"/>
  <c r="U21" i="37"/>
  <c r="P21" i="37"/>
  <c r="G21" i="37"/>
  <c r="D21" i="37"/>
  <c r="M21" i="37" s="1"/>
  <c r="U20" i="37"/>
  <c r="V20" i="37" s="1"/>
  <c r="G20" i="37"/>
  <c r="D20" i="37"/>
  <c r="M20" i="37" s="1"/>
  <c r="U18" i="37"/>
  <c r="V18" i="37" s="1"/>
  <c r="G18" i="37"/>
  <c r="V17" i="37"/>
  <c r="U17" i="37"/>
  <c r="P17" i="37"/>
  <c r="D17" i="37"/>
  <c r="M17" i="37" s="1"/>
  <c r="U16" i="37"/>
  <c r="V16" i="37" s="1"/>
  <c r="G16" i="37"/>
  <c r="D16" i="37"/>
  <c r="U15" i="37"/>
  <c r="V15" i="37" s="1"/>
  <c r="P15" i="37"/>
  <c r="G15" i="37"/>
  <c r="D15" i="37"/>
  <c r="J15" i="37" s="1"/>
  <c r="U14" i="37"/>
  <c r="V14" i="37" s="1"/>
  <c r="P14" i="37"/>
  <c r="G14" i="37"/>
  <c r="D14" i="37"/>
  <c r="M14" i="37" s="1"/>
  <c r="U13" i="37"/>
  <c r="V13" i="37" s="1"/>
  <c r="P13" i="37"/>
  <c r="G13" i="37"/>
  <c r="D13" i="37"/>
  <c r="U12" i="37"/>
  <c r="V12" i="37" s="1"/>
  <c r="P12" i="37"/>
  <c r="G12" i="37"/>
  <c r="D12" i="37"/>
  <c r="U11" i="37"/>
  <c r="V11" i="37" s="1"/>
  <c r="P11" i="37"/>
  <c r="G11" i="37"/>
  <c r="D11" i="37"/>
  <c r="U10" i="37"/>
  <c r="V10" i="37" s="1"/>
  <c r="Q38" i="37"/>
  <c r="P10" i="37"/>
  <c r="G10" i="37"/>
  <c r="D10" i="37"/>
  <c r="U9" i="37"/>
  <c r="V9" i="37" s="1"/>
  <c r="P9" i="37"/>
  <c r="G9" i="37"/>
  <c r="D9" i="37"/>
  <c r="U8" i="37"/>
  <c r="V8" i="37" s="1"/>
  <c r="D8" i="37"/>
  <c r="J8" i="37" s="1"/>
  <c r="M8" i="37" s="1"/>
  <c r="U7" i="37"/>
  <c r="V7" i="37" s="1"/>
  <c r="O38" i="37"/>
  <c r="D7" i="37"/>
  <c r="J7" i="37" s="1"/>
  <c r="M7" i="37" s="1"/>
  <c r="U6" i="37"/>
  <c r="V6" i="37" s="1"/>
  <c r="D6" i="37"/>
  <c r="J6" i="37" s="1"/>
  <c r="M6" i="37" s="1"/>
  <c r="U5" i="37"/>
  <c r="V5" i="37" s="1"/>
  <c r="D5" i="37"/>
  <c r="U4" i="37"/>
  <c r="V4" i="37" s="1"/>
  <c r="D4" i="37"/>
  <c r="J4" i="37" s="1"/>
  <c r="M4" i="37" s="1"/>
  <c r="U3" i="37"/>
  <c r="V3" i="37" s="1"/>
  <c r="I38" i="37"/>
  <c r="D3" i="37"/>
  <c r="J3" i="37" s="1"/>
  <c r="M3" i="37" s="1"/>
  <c r="J16" i="37" l="1"/>
  <c r="M16" i="37"/>
  <c r="M18" i="37"/>
  <c r="J18" i="37"/>
  <c r="X18" i="37"/>
  <c r="W18" i="37"/>
  <c r="X21" i="37"/>
  <c r="J17" i="37"/>
  <c r="J20" i="37"/>
  <c r="X14" i="37"/>
  <c r="J21" i="37"/>
  <c r="W21" i="37" s="1"/>
  <c r="J14" i="37"/>
  <c r="W14" i="37" s="1"/>
  <c r="J13" i="37"/>
  <c r="W13" i="37" s="1"/>
  <c r="M13" i="37"/>
  <c r="X13" i="37" s="1"/>
  <c r="M11" i="37"/>
  <c r="X11" i="37" s="1"/>
  <c r="J12" i="37"/>
  <c r="W12" i="37" s="1"/>
  <c r="J10" i="37"/>
  <c r="W10" i="37" s="1"/>
  <c r="M10" i="37"/>
  <c r="X10" i="37" s="1"/>
  <c r="J5" i="37"/>
  <c r="M5" i="37" s="1"/>
  <c r="M23" i="40"/>
  <c r="J23" i="40"/>
  <c r="X23" i="40"/>
  <c r="W23" i="40"/>
  <c r="M22" i="40"/>
  <c r="J22" i="40"/>
  <c r="X22" i="40"/>
  <c r="W22" i="40"/>
  <c r="G38" i="40"/>
  <c r="P38" i="38"/>
  <c r="D51" i="38" s="1"/>
  <c r="E51" i="38" s="1"/>
  <c r="X3" i="39"/>
  <c r="P38" i="37"/>
  <c r="G38" i="37"/>
  <c r="D38" i="37"/>
  <c r="D38" i="40"/>
  <c r="P38" i="39"/>
  <c r="D51" i="39" s="1"/>
  <c r="E51" i="39" s="1"/>
  <c r="G38" i="38"/>
  <c r="O38" i="40"/>
  <c r="V38" i="40"/>
  <c r="V38" i="39"/>
  <c r="D38" i="39"/>
  <c r="G38" i="39"/>
  <c r="H38" i="39"/>
  <c r="W3" i="39"/>
  <c r="X3" i="38"/>
  <c r="W3" i="38"/>
  <c r="D52" i="38"/>
  <c r="E52" i="38" s="1"/>
  <c r="H38" i="38"/>
  <c r="D38" i="38"/>
  <c r="W6" i="37"/>
  <c r="X20" i="37"/>
  <c r="W20" i="37"/>
  <c r="X5" i="37"/>
  <c r="W5" i="37"/>
  <c r="W15" i="37"/>
  <c r="X8" i="37"/>
  <c r="W8" i="37"/>
  <c r="X3" i="37"/>
  <c r="W3" i="37"/>
  <c r="V38" i="37"/>
  <c r="D52" i="37" s="1"/>
  <c r="E52" i="37" s="1"/>
  <c r="X16" i="37"/>
  <c r="W16" i="37"/>
  <c r="X4" i="37"/>
  <c r="W4" i="37"/>
  <c r="X17" i="37"/>
  <c r="W17" i="37"/>
  <c r="L38" i="37"/>
  <c r="W7" i="37"/>
  <c r="X6" i="37"/>
  <c r="J9" i="37"/>
  <c r="M15" i="37"/>
  <c r="X15" i="37" s="1"/>
  <c r="H38" i="37"/>
  <c r="M12" i="37"/>
  <c r="X12" i="37" s="1"/>
  <c r="J11" i="37"/>
  <c r="W11" i="37" s="1"/>
  <c r="W9" i="37" l="1"/>
  <c r="M9" i="37"/>
  <c r="X9" i="37" s="1"/>
  <c r="J38" i="37"/>
  <c r="J38" i="40"/>
  <c r="D49" i="40" s="1"/>
  <c r="E49" i="40" s="1"/>
  <c r="P38" i="40"/>
  <c r="M38" i="40"/>
  <c r="J38" i="39"/>
  <c r="D49" i="39" s="1"/>
  <c r="E49" i="39" s="1"/>
  <c r="D52" i="39"/>
  <c r="E52" i="39" s="1"/>
  <c r="M38" i="39"/>
  <c r="J38" i="38"/>
  <c r="D49" i="38" s="1"/>
  <c r="E49" i="38" s="1"/>
  <c r="M38" i="38"/>
  <c r="X7" i="37"/>
  <c r="M38" i="37"/>
  <c r="X38" i="37" s="1"/>
  <c r="D48" i="37" s="1"/>
  <c r="E48" i="37" s="1"/>
  <c r="G12" i="35"/>
  <c r="W38" i="37" l="1"/>
  <c r="D47" i="37" s="1"/>
  <c r="E47" i="37" s="1"/>
  <c r="X38" i="40"/>
  <c r="D48" i="40" s="1"/>
  <c r="E48" i="40" s="1"/>
  <c r="D50" i="40"/>
  <c r="E50" i="40" s="1"/>
  <c r="W38" i="40"/>
  <c r="D47" i="40" s="1"/>
  <c r="E47" i="40" s="1"/>
  <c r="X39" i="40"/>
  <c r="F4" i="27"/>
  <c r="X38" i="38"/>
  <c r="D48" i="38" s="1"/>
  <c r="E48" i="38" s="1"/>
  <c r="D50" i="38"/>
  <c r="E50" i="38" s="1"/>
  <c r="W38" i="38"/>
  <c r="X38" i="39"/>
  <c r="D48" i="39" s="1"/>
  <c r="E48" i="39" s="1"/>
  <c r="D50" i="39"/>
  <c r="E50" i="39" s="1"/>
  <c r="E4" i="27"/>
  <c r="E5" i="27" s="1"/>
  <c r="W38" i="39"/>
  <c r="P41" i="40" l="1"/>
  <c r="D4" i="27"/>
  <c r="D47" i="38"/>
  <c r="E47" i="38" s="1"/>
  <c r="P39" i="39"/>
  <c r="D47" i="39"/>
  <c r="E47" i="39" s="1"/>
  <c r="F5" i="27" l="1"/>
  <c r="C5" i="27"/>
  <c r="D11" i="29"/>
  <c r="G11" i="29"/>
  <c r="D12" i="29"/>
  <c r="G12" i="29"/>
  <c r="J12" i="29" s="1"/>
  <c r="P12" i="29"/>
  <c r="D13" i="29"/>
  <c r="G13" i="29"/>
  <c r="M13" i="29" s="1"/>
  <c r="P13" i="29"/>
  <c r="D14" i="29"/>
  <c r="G14" i="29"/>
  <c r="J14" i="29" s="1"/>
  <c r="P14" i="29"/>
  <c r="D15" i="29"/>
  <c r="G15" i="29"/>
  <c r="M15" i="29" s="1"/>
  <c r="P15" i="29"/>
  <c r="D16" i="29"/>
  <c r="G16" i="29"/>
  <c r="J16" i="29"/>
  <c r="M16" i="29"/>
  <c r="P16" i="29"/>
  <c r="D17" i="29"/>
  <c r="J17" i="29"/>
  <c r="M17" i="29"/>
  <c r="D18" i="29"/>
  <c r="G18" i="29"/>
  <c r="D19" i="29"/>
  <c r="G19" i="29"/>
  <c r="P19" i="29"/>
  <c r="D20" i="29"/>
  <c r="P20" i="29"/>
  <c r="D21" i="29"/>
  <c r="P21" i="29"/>
  <c r="J19" i="29" l="1"/>
  <c r="M11" i="29"/>
  <c r="J11" i="29"/>
  <c r="D5" i="27"/>
  <c r="M12" i="29"/>
  <c r="J13" i="29"/>
  <c r="M14" i="29"/>
  <c r="J15" i="29"/>
  <c r="J18" i="29"/>
  <c r="M18" i="29"/>
  <c r="M19" i="29"/>
  <c r="J21" i="29"/>
  <c r="J20" i="29"/>
  <c r="M20" i="29"/>
  <c r="M21" i="29"/>
  <c r="P39" i="28" l="1"/>
  <c r="P6" i="34" l="1"/>
  <c r="D22" i="33" l="1"/>
  <c r="G22" i="33"/>
  <c r="J22" i="33"/>
  <c r="M22" i="33"/>
  <c r="P22" i="33"/>
  <c r="U22" i="33"/>
  <c r="D16" i="33" l="1"/>
  <c r="G16" i="33"/>
  <c r="P16" i="33"/>
  <c r="U16" i="33"/>
  <c r="V16" i="33"/>
  <c r="J16" i="33" l="1"/>
  <c r="W16" i="33"/>
  <c r="M16" i="33"/>
  <c r="X16" i="33" s="1"/>
  <c r="D8" i="33" l="1"/>
  <c r="G8" i="33"/>
  <c r="J8" i="33"/>
  <c r="M8" i="33"/>
  <c r="P8" i="33"/>
  <c r="U8" i="33"/>
  <c r="V8" i="33" s="1"/>
  <c r="D7" i="33"/>
  <c r="J7" i="33" s="1"/>
  <c r="G7" i="33"/>
  <c r="M7" i="33"/>
  <c r="P7" i="33"/>
  <c r="U7" i="33"/>
  <c r="V7" i="33"/>
  <c r="X8" i="33" l="1"/>
  <c r="W8" i="33"/>
  <c r="X7" i="33"/>
  <c r="W7" i="33"/>
  <c r="G10" i="33"/>
  <c r="D10" i="33"/>
  <c r="P11" i="32" l="1"/>
  <c r="P10" i="32"/>
  <c r="D4" i="31"/>
  <c r="C50" i="35" l="1"/>
  <c r="N38" i="35"/>
  <c r="L38" i="35"/>
  <c r="K38" i="35"/>
  <c r="F38" i="35"/>
  <c r="E38" i="35"/>
  <c r="X37" i="35"/>
  <c r="W37" i="35"/>
  <c r="V37" i="35"/>
  <c r="U37" i="35"/>
  <c r="P37" i="35"/>
  <c r="M37" i="35"/>
  <c r="J37" i="35"/>
  <c r="G37" i="35"/>
  <c r="D37" i="35"/>
  <c r="X36" i="35"/>
  <c r="W36" i="35"/>
  <c r="V36" i="35"/>
  <c r="U36" i="35"/>
  <c r="P36" i="35"/>
  <c r="M36" i="35"/>
  <c r="J36" i="35"/>
  <c r="G36" i="35"/>
  <c r="D36" i="35"/>
  <c r="X35" i="35"/>
  <c r="W35" i="35"/>
  <c r="V35" i="35"/>
  <c r="U35" i="35"/>
  <c r="P35" i="35"/>
  <c r="M35" i="35"/>
  <c r="J35" i="35"/>
  <c r="G35" i="35"/>
  <c r="D35" i="35"/>
  <c r="X34" i="35"/>
  <c r="W34" i="35"/>
  <c r="V34" i="35"/>
  <c r="U34" i="35"/>
  <c r="P34" i="35"/>
  <c r="M34" i="35"/>
  <c r="J34" i="35"/>
  <c r="G34" i="35"/>
  <c r="D34" i="35"/>
  <c r="X33" i="35"/>
  <c r="W33" i="35"/>
  <c r="V33" i="35"/>
  <c r="U33" i="35"/>
  <c r="P33" i="35"/>
  <c r="M33" i="35"/>
  <c r="J33" i="35"/>
  <c r="G33" i="35"/>
  <c r="D33" i="35"/>
  <c r="X32" i="35"/>
  <c r="W32" i="35"/>
  <c r="V32" i="35"/>
  <c r="U32" i="35"/>
  <c r="P32" i="35"/>
  <c r="M32" i="35"/>
  <c r="J32" i="35"/>
  <c r="G32" i="35"/>
  <c r="D32" i="35"/>
  <c r="X31" i="35"/>
  <c r="W31" i="35"/>
  <c r="V31" i="35"/>
  <c r="U31" i="35"/>
  <c r="P31" i="35"/>
  <c r="M31" i="35"/>
  <c r="J31" i="35"/>
  <c r="G31" i="35"/>
  <c r="D31" i="35"/>
  <c r="X30" i="35"/>
  <c r="W30" i="35"/>
  <c r="V30" i="35"/>
  <c r="U30" i="35"/>
  <c r="P30" i="35"/>
  <c r="M30" i="35"/>
  <c r="J30" i="35"/>
  <c r="G30" i="35"/>
  <c r="D30" i="35"/>
  <c r="X29" i="35"/>
  <c r="W29" i="35"/>
  <c r="V29" i="35"/>
  <c r="U29" i="35"/>
  <c r="P29" i="35"/>
  <c r="M29" i="35"/>
  <c r="J29" i="35"/>
  <c r="G29" i="35"/>
  <c r="D29" i="35"/>
  <c r="U27" i="35"/>
  <c r="V27" i="35" s="1"/>
  <c r="P27" i="35"/>
  <c r="G27" i="35"/>
  <c r="D27" i="35"/>
  <c r="U26" i="35"/>
  <c r="V26" i="35" s="1"/>
  <c r="P26" i="35"/>
  <c r="G26" i="35"/>
  <c r="D26" i="35"/>
  <c r="U25" i="35"/>
  <c r="V25" i="35" s="1"/>
  <c r="P25" i="35"/>
  <c r="G25" i="35"/>
  <c r="D25" i="35"/>
  <c r="M25" i="35" s="1"/>
  <c r="U24" i="35"/>
  <c r="V24" i="35" s="1"/>
  <c r="P24" i="35"/>
  <c r="G24" i="35"/>
  <c r="D24" i="35"/>
  <c r="M24" i="35" s="1"/>
  <c r="U23" i="35"/>
  <c r="V23" i="35" s="1"/>
  <c r="P23" i="35"/>
  <c r="G23" i="35"/>
  <c r="D23" i="35"/>
  <c r="M23" i="35" s="1"/>
  <c r="U22" i="35"/>
  <c r="V22" i="35" s="1"/>
  <c r="P22" i="35"/>
  <c r="D22" i="35"/>
  <c r="J22" i="35" s="1"/>
  <c r="W22" i="35" s="1"/>
  <c r="U21" i="35"/>
  <c r="V21" i="35" s="1"/>
  <c r="P21" i="35"/>
  <c r="G21" i="35"/>
  <c r="D21" i="35"/>
  <c r="U20" i="35"/>
  <c r="V20" i="35" s="1"/>
  <c r="P20" i="35"/>
  <c r="G20" i="35"/>
  <c r="D20" i="35"/>
  <c r="M20" i="35" s="1"/>
  <c r="U19" i="35"/>
  <c r="V19" i="35" s="1"/>
  <c r="P19" i="35"/>
  <c r="G19" i="35"/>
  <c r="D19" i="35"/>
  <c r="M19" i="35" s="1"/>
  <c r="U18" i="35"/>
  <c r="V18" i="35" s="1"/>
  <c r="P18" i="35"/>
  <c r="G18" i="35"/>
  <c r="D18" i="35"/>
  <c r="U17" i="35"/>
  <c r="V17" i="35" s="1"/>
  <c r="P17" i="35"/>
  <c r="G17" i="35"/>
  <c r="D17" i="35"/>
  <c r="U16" i="35"/>
  <c r="V16" i="35" s="1"/>
  <c r="P16" i="35"/>
  <c r="G16" i="35"/>
  <c r="D16" i="35"/>
  <c r="U15" i="35"/>
  <c r="V15" i="35" s="1"/>
  <c r="P15" i="35"/>
  <c r="G15" i="35"/>
  <c r="D15" i="35"/>
  <c r="J15" i="35" s="1"/>
  <c r="U13" i="35"/>
  <c r="V13" i="35" s="1"/>
  <c r="P13" i="35"/>
  <c r="G13" i="35"/>
  <c r="D13" i="35"/>
  <c r="M13" i="35" s="1"/>
  <c r="V12" i="35"/>
  <c r="P12" i="35"/>
  <c r="D12" i="35"/>
  <c r="M12" i="35" s="1"/>
  <c r="V11" i="35"/>
  <c r="P11" i="35"/>
  <c r="G11" i="35"/>
  <c r="D11" i="35"/>
  <c r="V10" i="35"/>
  <c r="P10" i="35"/>
  <c r="D10" i="35"/>
  <c r="V9" i="35"/>
  <c r="P9" i="35"/>
  <c r="G9" i="35"/>
  <c r="D9" i="35"/>
  <c r="V8" i="35"/>
  <c r="P8" i="35"/>
  <c r="G8" i="35"/>
  <c r="D8" i="35"/>
  <c r="V7" i="35"/>
  <c r="P7" i="35"/>
  <c r="G7" i="35"/>
  <c r="D7" i="35"/>
  <c r="V6" i="35"/>
  <c r="P6" i="35"/>
  <c r="D6" i="35"/>
  <c r="Q38" i="35"/>
  <c r="I38" i="35"/>
  <c r="H38" i="35"/>
  <c r="C50" i="34"/>
  <c r="N38" i="34"/>
  <c r="L38" i="34"/>
  <c r="K38" i="34"/>
  <c r="F38" i="34"/>
  <c r="E38" i="34"/>
  <c r="X37" i="34"/>
  <c r="W37" i="34"/>
  <c r="V37" i="34"/>
  <c r="U37" i="34"/>
  <c r="P37" i="34"/>
  <c r="M37" i="34"/>
  <c r="J37" i="34"/>
  <c r="G37" i="34"/>
  <c r="D37" i="34"/>
  <c r="X36" i="34"/>
  <c r="W36" i="34"/>
  <c r="V36" i="34"/>
  <c r="U36" i="34"/>
  <c r="P36" i="34"/>
  <c r="M36" i="34"/>
  <c r="J36" i="34"/>
  <c r="G36" i="34"/>
  <c r="D36" i="34"/>
  <c r="X35" i="34"/>
  <c r="W35" i="34"/>
  <c r="V35" i="34"/>
  <c r="U35" i="34"/>
  <c r="P35" i="34"/>
  <c r="M35" i="34"/>
  <c r="J35" i="34"/>
  <c r="G35" i="34"/>
  <c r="D35" i="34"/>
  <c r="X34" i="34"/>
  <c r="W34" i="34"/>
  <c r="V34" i="34"/>
  <c r="U34" i="34"/>
  <c r="P34" i="34"/>
  <c r="M34" i="34"/>
  <c r="J34" i="34"/>
  <c r="G34" i="34"/>
  <c r="D34" i="34"/>
  <c r="X33" i="34"/>
  <c r="W33" i="34"/>
  <c r="V33" i="34"/>
  <c r="U33" i="34"/>
  <c r="P33" i="34"/>
  <c r="M33" i="34"/>
  <c r="J33" i="34"/>
  <c r="G33" i="34"/>
  <c r="D33" i="34"/>
  <c r="X32" i="34"/>
  <c r="W32" i="34"/>
  <c r="V32" i="34"/>
  <c r="U32" i="34"/>
  <c r="P32" i="34"/>
  <c r="M32" i="34"/>
  <c r="J32" i="34"/>
  <c r="G32" i="34"/>
  <c r="D32" i="34"/>
  <c r="X31" i="34"/>
  <c r="W31" i="34"/>
  <c r="V31" i="34"/>
  <c r="U31" i="34"/>
  <c r="P31" i="34"/>
  <c r="M31" i="34"/>
  <c r="J31" i="34"/>
  <c r="G31" i="34"/>
  <c r="D31" i="34"/>
  <c r="X30" i="34"/>
  <c r="W30" i="34"/>
  <c r="V30" i="34"/>
  <c r="U30" i="34"/>
  <c r="P30" i="34"/>
  <c r="M30" i="34"/>
  <c r="J30" i="34"/>
  <c r="G30" i="34"/>
  <c r="D30" i="34"/>
  <c r="X29" i="34"/>
  <c r="W29" i="34"/>
  <c r="V29" i="34"/>
  <c r="U29" i="34"/>
  <c r="P29" i="34"/>
  <c r="M29" i="34"/>
  <c r="J29" i="34"/>
  <c r="G29" i="34"/>
  <c r="D29" i="34"/>
  <c r="X28" i="34"/>
  <c r="W28" i="34"/>
  <c r="V28" i="34"/>
  <c r="U28" i="34"/>
  <c r="P28" i="34"/>
  <c r="M28" i="34"/>
  <c r="J28" i="34"/>
  <c r="G28" i="34"/>
  <c r="D28" i="34"/>
  <c r="X27" i="34"/>
  <c r="W27" i="34"/>
  <c r="V27" i="34"/>
  <c r="U27" i="34"/>
  <c r="P27" i="34"/>
  <c r="M27" i="34"/>
  <c r="J27" i="34"/>
  <c r="G27" i="34"/>
  <c r="D27" i="34"/>
  <c r="X26" i="34"/>
  <c r="W26" i="34"/>
  <c r="V26" i="34"/>
  <c r="U26" i="34"/>
  <c r="P26" i="34"/>
  <c r="M26" i="34"/>
  <c r="J26" i="34"/>
  <c r="G26" i="34"/>
  <c r="D26" i="34"/>
  <c r="U25" i="34"/>
  <c r="V25" i="34" s="1"/>
  <c r="P25" i="34"/>
  <c r="G25" i="34"/>
  <c r="D25" i="34"/>
  <c r="U24" i="34"/>
  <c r="V24" i="34" s="1"/>
  <c r="P24" i="34"/>
  <c r="G24" i="34"/>
  <c r="D24" i="34"/>
  <c r="U23" i="34"/>
  <c r="V23" i="34" s="1"/>
  <c r="P23" i="34"/>
  <c r="G23" i="34"/>
  <c r="D23" i="34"/>
  <c r="U22" i="34"/>
  <c r="V22" i="34" s="1"/>
  <c r="P22" i="34"/>
  <c r="G22" i="34"/>
  <c r="J22" i="34" s="1"/>
  <c r="D22" i="34"/>
  <c r="U21" i="34"/>
  <c r="V21" i="34" s="1"/>
  <c r="P21" i="34"/>
  <c r="G21" i="34"/>
  <c r="D21" i="34"/>
  <c r="U20" i="34"/>
  <c r="V20" i="34" s="1"/>
  <c r="P20" i="34"/>
  <c r="G20" i="34"/>
  <c r="D20" i="34"/>
  <c r="J20" i="34" s="1"/>
  <c r="U19" i="34"/>
  <c r="V19" i="34" s="1"/>
  <c r="P19" i="34"/>
  <c r="G19" i="34"/>
  <c r="D19" i="34"/>
  <c r="U18" i="34"/>
  <c r="V18" i="34" s="1"/>
  <c r="P18" i="34"/>
  <c r="G18" i="34"/>
  <c r="D18" i="34"/>
  <c r="M18" i="34" s="1"/>
  <c r="U17" i="34"/>
  <c r="V17" i="34" s="1"/>
  <c r="P17" i="34"/>
  <c r="G17" i="34"/>
  <c r="D17" i="34"/>
  <c r="U16" i="34"/>
  <c r="V16" i="34" s="1"/>
  <c r="P16" i="34"/>
  <c r="D16" i="34"/>
  <c r="U10" i="34"/>
  <c r="V10" i="34" s="1"/>
  <c r="P10" i="34"/>
  <c r="G10" i="34"/>
  <c r="D10" i="34"/>
  <c r="U6" i="34"/>
  <c r="V6" i="34" s="1"/>
  <c r="G6" i="34"/>
  <c r="D6" i="34"/>
  <c r="J6" i="34" s="1"/>
  <c r="U5" i="34"/>
  <c r="V5" i="34" s="1"/>
  <c r="P5" i="34"/>
  <c r="G5" i="34"/>
  <c r="D5" i="34"/>
  <c r="U4" i="34"/>
  <c r="V4" i="34" s="1"/>
  <c r="G4" i="34"/>
  <c r="D4" i="34"/>
  <c r="Q38" i="34"/>
  <c r="I38" i="34"/>
  <c r="H38" i="34"/>
  <c r="C50" i="33"/>
  <c r="N38" i="33"/>
  <c r="L38" i="33"/>
  <c r="K38" i="33"/>
  <c r="F38" i="33"/>
  <c r="E38" i="33"/>
  <c r="X37" i="33"/>
  <c r="W37" i="33"/>
  <c r="V37" i="33"/>
  <c r="U37" i="33"/>
  <c r="P37" i="33"/>
  <c r="M37" i="33"/>
  <c r="J37" i="33"/>
  <c r="G37" i="33"/>
  <c r="D37" i="33"/>
  <c r="X36" i="33"/>
  <c r="W36" i="33"/>
  <c r="V36" i="33"/>
  <c r="U36" i="33"/>
  <c r="P36" i="33"/>
  <c r="M36" i="33"/>
  <c r="J36" i="33"/>
  <c r="G36" i="33"/>
  <c r="D36" i="33"/>
  <c r="X35" i="33"/>
  <c r="W35" i="33"/>
  <c r="V35" i="33"/>
  <c r="U35" i="33"/>
  <c r="P35" i="33"/>
  <c r="M35" i="33"/>
  <c r="J35" i="33"/>
  <c r="G35" i="33"/>
  <c r="D35" i="33"/>
  <c r="X34" i="33"/>
  <c r="W34" i="33"/>
  <c r="V34" i="33"/>
  <c r="U34" i="33"/>
  <c r="P34" i="33"/>
  <c r="M34" i="33"/>
  <c r="J34" i="33"/>
  <c r="G34" i="33"/>
  <c r="D34" i="33"/>
  <c r="X33" i="33"/>
  <c r="W33" i="33"/>
  <c r="V33" i="33"/>
  <c r="U33" i="33"/>
  <c r="P33" i="33"/>
  <c r="M33" i="33"/>
  <c r="J33" i="33"/>
  <c r="G33" i="33"/>
  <c r="D33" i="33"/>
  <c r="X32" i="33"/>
  <c r="W32" i="33"/>
  <c r="V32" i="33"/>
  <c r="U32" i="33"/>
  <c r="P32" i="33"/>
  <c r="M32" i="33"/>
  <c r="J32" i="33"/>
  <c r="G32" i="33"/>
  <c r="D32" i="33"/>
  <c r="X31" i="33"/>
  <c r="W31" i="33"/>
  <c r="V31" i="33"/>
  <c r="U31" i="33"/>
  <c r="P31" i="33"/>
  <c r="M31" i="33"/>
  <c r="J31" i="33"/>
  <c r="G31" i="33"/>
  <c r="D31" i="33"/>
  <c r="X30" i="33"/>
  <c r="W30" i="33"/>
  <c r="V30" i="33"/>
  <c r="U30" i="33"/>
  <c r="P30" i="33"/>
  <c r="M30" i="33"/>
  <c r="J30" i="33"/>
  <c r="G30" i="33"/>
  <c r="D30" i="33"/>
  <c r="X29" i="33"/>
  <c r="W29" i="33"/>
  <c r="V29" i="33"/>
  <c r="U29" i="33"/>
  <c r="P29" i="33"/>
  <c r="M29" i="33"/>
  <c r="J29" i="33"/>
  <c r="G29" i="33"/>
  <c r="D29" i="33"/>
  <c r="X28" i="33"/>
  <c r="W28" i="33"/>
  <c r="V28" i="33"/>
  <c r="U28" i="33"/>
  <c r="P28" i="33"/>
  <c r="M28" i="33"/>
  <c r="J28" i="33"/>
  <c r="G28" i="33"/>
  <c r="D28" i="33"/>
  <c r="X27" i="33"/>
  <c r="W27" i="33"/>
  <c r="V27" i="33"/>
  <c r="U27" i="33"/>
  <c r="P27" i="33"/>
  <c r="M27" i="33"/>
  <c r="J27" i="33"/>
  <c r="G27" i="33"/>
  <c r="D27" i="33"/>
  <c r="U26" i="33"/>
  <c r="V26" i="33" s="1"/>
  <c r="P26" i="33"/>
  <c r="G26" i="33"/>
  <c r="D26" i="33"/>
  <c r="M26" i="33" s="1"/>
  <c r="U25" i="33"/>
  <c r="V25" i="33" s="1"/>
  <c r="P25" i="33"/>
  <c r="G25" i="33"/>
  <c r="D25" i="33"/>
  <c r="U24" i="33"/>
  <c r="V24" i="33" s="1"/>
  <c r="G24" i="33"/>
  <c r="U23" i="33"/>
  <c r="V23" i="33" s="1"/>
  <c r="P23" i="33"/>
  <c r="G23" i="33"/>
  <c r="D23" i="33"/>
  <c r="U21" i="33"/>
  <c r="V21" i="33" s="1"/>
  <c r="P21" i="33"/>
  <c r="G21" i="33"/>
  <c r="D21" i="33"/>
  <c r="U20" i="33"/>
  <c r="V20" i="33" s="1"/>
  <c r="P20" i="33"/>
  <c r="G20" i="33"/>
  <c r="D20" i="33"/>
  <c r="J20" i="33" s="1"/>
  <c r="U19" i="33"/>
  <c r="V19" i="33" s="1"/>
  <c r="P19" i="33"/>
  <c r="G19" i="33"/>
  <c r="D19" i="33"/>
  <c r="U18" i="33"/>
  <c r="V18" i="33" s="1"/>
  <c r="P18" i="33"/>
  <c r="G18" i="33"/>
  <c r="D18" i="33"/>
  <c r="J18" i="33" s="1"/>
  <c r="U17" i="33"/>
  <c r="V17" i="33" s="1"/>
  <c r="P17" i="33"/>
  <c r="G17" i="33"/>
  <c r="D17" i="33"/>
  <c r="U15" i="33"/>
  <c r="V15" i="33" s="1"/>
  <c r="P15" i="33"/>
  <c r="G15" i="33"/>
  <c r="D15" i="33"/>
  <c r="U14" i="33"/>
  <c r="V14" i="33" s="1"/>
  <c r="P14" i="33"/>
  <c r="G14" i="33"/>
  <c r="D14" i="33"/>
  <c r="J14" i="33" s="1"/>
  <c r="U13" i="33"/>
  <c r="V13" i="33" s="1"/>
  <c r="P13" i="33"/>
  <c r="G13" i="33"/>
  <c r="D13" i="33"/>
  <c r="J13" i="33" s="1"/>
  <c r="U12" i="33"/>
  <c r="V12" i="33" s="1"/>
  <c r="P12" i="33"/>
  <c r="G12" i="33"/>
  <c r="D12" i="33"/>
  <c r="U11" i="33"/>
  <c r="V11" i="33" s="1"/>
  <c r="G11" i="33"/>
  <c r="D11" i="33"/>
  <c r="U10" i="33"/>
  <c r="V10" i="33" s="1"/>
  <c r="P10" i="33"/>
  <c r="J10" i="33"/>
  <c r="U9" i="33"/>
  <c r="V9" i="33" s="1"/>
  <c r="P9" i="33"/>
  <c r="G9" i="33"/>
  <c r="D9" i="33"/>
  <c r="U5" i="33"/>
  <c r="V5" i="33" s="1"/>
  <c r="P5" i="33"/>
  <c r="G5" i="33"/>
  <c r="D5" i="33"/>
  <c r="U4" i="33"/>
  <c r="V4" i="33" s="1"/>
  <c r="P4" i="33"/>
  <c r="G4" i="33"/>
  <c r="D4" i="33"/>
  <c r="U3" i="33"/>
  <c r="Q38" i="33"/>
  <c r="P3" i="33"/>
  <c r="I38" i="33"/>
  <c r="H38" i="33"/>
  <c r="G3" i="33"/>
  <c r="D3" i="33"/>
  <c r="C50" i="32"/>
  <c r="N38" i="32"/>
  <c r="L38" i="32"/>
  <c r="K38" i="32"/>
  <c r="F38" i="32"/>
  <c r="E38" i="32"/>
  <c r="X37" i="32"/>
  <c r="W37" i="32"/>
  <c r="V37" i="32"/>
  <c r="U37" i="32"/>
  <c r="P37" i="32"/>
  <c r="M37" i="32"/>
  <c r="J37" i="32"/>
  <c r="G37" i="32"/>
  <c r="D37" i="32"/>
  <c r="X36" i="32"/>
  <c r="W36" i="32"/>
  <c r="V36" i="32"/>
  <c r="U36" i="32"/>
  <c r="P36" i="32"/>
  <c r="M36" i="32"/>
  <c r="J36" i="32"/>
  <c r="G36" i="32"/>
  <c r="D36" i="32"/>
  <c r="X35" i="32"/>
  <c r="W35" i="32"/>
  <c r="V35" i="32"/>
  <c r="U35" i="32"/>
  <c r="P35" i="32"/>
  <c r="M35" i="32"/>
  <c r="J35" i="32"/>
  <c r="G35" i="32"/>
  <c r="D35" i="32"/>
  <c r="X34" i="32"/>
  <c r="W34" i="32"/>
  <c r="V34" i="32"/>
  <c r="U34" i="32"/>
  <c r="P34" i="32"/>
  <c r="M34" i="32"/>
  <c r="J34" i="32"/>
  <c r="G34" i="32"/>
  <c r="D34" i="32"/>
  <c r="X33" i="32"/>
  <c r="W33" i="32"/>
  <c r="V33" i="32"/>
  <c r="U33" i="32"/>
  <c r="P33" i="32"/>
  <c r="M33" i="32"/>
  <c r="J33" i="32"/>
  <c r="G33" i="32"/>
  <c r="D33" i="32"/>
  <c r="X32" i="32"/>
  <c r="W32" i="32"/>
  <c r="V32" i="32"/>
  <c r="U32" i="32"/>
  <c r="P32" i="32"/>
  <c r="M32" i="32"/>
  <c r="J32" i="32"/>
  <c r="G32" i="32"/>
  <c r="D32" i="32"/>
  <c r="X31" i="32"/>
  <c r="W31" i="32"/>
  <c r="V31" i="32"/>
  <c r="U31" i="32"/>
  <c r="P31" i="32"/>
  <c r="M31" i="32"/>
  <c r="J31" i="32"/>
  <c r="G31" i="32"/>
  <c r="D31" i="32"/>
  <c r="X30" i="32"/>
  <c r="W30" i="32"/>
  <c r="V30" i="32"/>
  <c r="U30" i="32"/>
  <c r="P30" i="32"/>
  <c r="M30" i="32"/>
  <c r="J30" i="32"/>
  <c r="G30" i="32"/>
  <c r="D30" i="32"/>
  <c r="X29" i="32"/>
  <c r="W29" i="32"/>
  <c r="V29" i="32"/>
  <c r="U29" i="32"/>
  <c r="P29" i="32"/>
  <c r="M29" i="32"/>
  <c r="J29" i="32"/>
  <c r="G29" i="32"/>
  <c r="D29" i="32"/>
  <c r="X28" i="32"/>
  <c r="W28" i="32"/>
  <c r="V28" i="32"/>
  <c r="U28" i="32"/>
  <c r="P28" i="32"/>
  <c r="M28" i="32"/>
  <c r="J28" i="32"/>
  <c r="G28" i="32"/>
  <c r="D28" i="32"/>
  <c r="X27" i="32"/>
  <c r="W27" i="32"/>
  <c r="V27" i="32"/>
  <c r="U27" i="32"/>
  <c r="P27" i="32"/>
  <c r="M27" i="32"/>
  <c r="J27" i="32"/>
  <c r="G27" i="32"/>
  <c r="D27" i="32"/>
  <c r="X26" i="32"/>
  <c r="W26" i="32"/>
  <c r="V26" i="32"/>
  <c r="U26" i="32"/>
  <c r="P26" i="32"/>
  <c r="M26" i="32"/>
  <c r="J26" i="32"/>
  <c r="G26" i="32"/>
  <c r="D26" i="32"/>
  <c r="X25" i="32"/>
  <c r="W25" i="32"/>
  <c r="V25" i="32"/>
  <c r="U25" i="32"/>
  <c r="P25" i="32"/>
  <c r="M25" i="32"/>
  <c r="J25" i="32"/>
  <c r="G25" i="32"/>
  <c r="D25" i="32"/>
  <c r="X24" i="32"/>
  <c r="W24" i="32"/>
  <c r="V24" i="32"/>
  <c r="U24" i="32"/>
  <c r="P24" i="32"/>
  <c r="M24" i="32"/>
  <c r="J24" i="32"/>
  <c r="G24" i="32"/>
  <c r="D24" i="32"/>
  <c r="U23" i="32"/>
  <c r="V23" i="32" s="1"/>
  <c r="P23" i="32"/>
  <c r="G23" i="32"/>
  <c r="D23" i="32"/>
  <c r="U22" i="32"/>
  <c r="V22" i="32" s="1"/>
  <c r="G22" i="32"/>
  <c r="D22" i="32"/>
  <c r="J22" i="32" s="1"/>
  <c r="U21" i="32"/>
  <c r="V21" i="32" s="1"/>
  <c r="G21" i="32"/>
  <c r="D21" i="32"/>
  <c r="U20" i="32"/>
  <c r="V20" i="32" s="1"/>
  <c r="P20" i="32"/>
  <c r="G20" i="32"/>
  <c r="D20" i="32"/>
  <c r="U19" i="32"/>
  <c r="V19" i="32" s="1"/>
  <c r="G19" i="32"/>
  <c r="D19" i="32"/>
  <c r="J19" i="32" s="1"/>
  <c r="U18" i="32"/>
  <c r="P18" i="32"/>
  <c r="G18" i="32"/>
  <c r="D18" i="32"/>
  <c r="U17" i="32"/>
  <c r="V17" i="32" s="1"/>
  <c r="P17" i="32"/>
  <c r="G17" i="32"/>
  <c r="D17" i="32"/>
  <c r="U16" i="32"/>
  <c r="V16" i="32" s="1"/>
  <c r="P16" i="32"/>
  <c r="G16" i="32"/>
  <c r="D16" i="32"/>
  <c r="U15" i="32"/>
  <c r="V15" i="32" s="1"/>
  <c r="P15" i="32"/>
  <c r="G15" i="32"/>
  <c r="D15" i="32"/>
  <c r="U14" i="32"/>
  <c r="V14" i="32" s="1"/>
  <c r="P14" i="32"/>
  <c r="G14" i="32"/>
  <c r="D14" i="32"/>
  <c r="U13" i="32"/>
  <c r="V13" i="32" s="1"/>
  <c r="P13" i="32"/>
  <c r="G13" i="32"/>
  <c r="D13" i="32"/>
  <c r="U11" i="32"/>
  <c r="V11" i="32" s="1"/>
  <c r="G11" i="32"/>
  <c r="D11" i="32"/>
  <c r="U10" i="32"/>
  <c r="V10" i="32" s="1"/>
  <c r="G10" i="32"/>
  <c r="D10" i="32"/>
  <c r="U9" i="32"/>
  <c r="V9" i="32" s="1"/>
  <c r="G9" i="32"/>
  <c r="D9" i="32"/>
  <c r="U8" i="32"/>
  <c r="V8" i="32" s="1"/>
  <c r="P8" i="32"/>
  <c r="G8" i="32"/>
  <c r="D8" i="32"/>
  <c r="U6" i="32"/>
  <c r="V6" i="32" s="1"/>
  <c r="P6" i="32"/>
  <c r="G6" i="32"/>
  <c r="D6" i="32"/>
  <c r="Q38" i="32"/>
  <c r="O38" i="32"/>
  <c r="I38" i="32"/>
  <c r="H38" i="32"/>
  <c r="N38" i="31"/>
  <c r="L38" i="31"/>
  <c r="K38" i="31"/>
  <c r="F38" i="31"/>
  <c r="E38" i="31"/>
  <c r="X37" i="31"/>
  <c r="W37" i="31"/>
  <c r="V37" i="31"/>
  <c r="U37" i="31"/>
  <c r="P37" i="31"/>
  <c r="M37" i="31"/>
  <c r="J37" i="31"/>
  <c r="G37" i="31"/>
  <c r="D37" i="31"/>
  <c r="X36" i="31"/>
  <c r="W36" i="31"/>
  <c r="V36" i="31"/>
  <c r="U36" i="31"/>
  <c r="P36" i="31"/>
  <c r="M36" i="31"/>
  <c r="J36" i="31"/>
  <c r="G36" i="31"/>
  <c r="D36" i="31"/>
  <c r="X35" i="31"/>
  <c r="W35" i="31"/>
  <c r="V35" i="31"/>
  <c r="U35" i="31"/>
  <c r="P35" i="31"/>
  <c r="M35" i="31"/>
  <c r="J35" i="31"/>
  <c r="G35" i="31"/>
  <c r="D35" i="31"/>
  <c r="X34" i="31"/>
  <c r="W34" i="31"/>
  <c r="V34" i="31"/>
  <c r="U34" i="31"/>
  <c r="P34" i="31"/>
  <c r="M34" i="31"/>
  <c r="J34" i="31"/>
  <c r="G34" i="31"/>
  <c r="D34" i="31"/>
  <c r="X33" i="31"/>
  <c r="W33" i="31"/>
  <c r="V33" i="31"/>
  <c r="U33" i="31"/>
  <c r="P33" i="31"/>
  <c r="M33" i="31"/>
  <c r="J33" i="31"/>
  <c r="G33" i="31"/>
  <c r="D33" i="31"/>
  <c r="X32" i="31"/>
  <c r="W32" i="31"/>
  <c r="V32" i="31"/>
  <c r="U32" i="31"/>
  <c r="P32" i="31"/>
  <c r="M32" i="31"/>
  <c r="J32" i="31"/>
  <c r="G32" i="31"/>
  <c r="D32" i="31"/>
  <c r="X31" i="31"/>
  <c r="W31" i="31"/>
  <c r="V31" i="31"/>
  <c r="U31" i="31"/>
  <c r="P31" i="31"/>
  <c r="M31" i="31"/>
  <c r="J31" i="31"/>
  <c r="G31" i="31"/>
  <c r="D31" i="31"/>
  <c r="X30" i="31"/>
  <c r="W30" i="31"/>
  <c r="V30" i="31"/>
  <c r="U30" i="31"/>
  <c r="P30" i="31"/>
  <c r="M30" i="31"/>
  <c r="J30" i="31"/>
  <c r="G30" i="31"/>
  <c r="D30" i="31"/>
  <c r="X29" i="31"/>
  <c r="W29" i="31"/>
  <c r="V29" i="31"/>
  <c r="U29" i="31"/>
  <c r="P29" i="31"/>
  <c r="M29" i="31"/>
  <c r="J29" i="31"/>
  <c r="G29" i="31"/>
  <c r="D29" i="31"/>
  <c r="X28" i="31"/>
  <c r="W28" i="31"/>
  <c r="V28" i="31"/>
  <c r="U28" i="31"/>
  <c r="P28" i="31"/>
  <c r="M28" i="31"/>
  <c r="J28" i="31"/>
  <c r="G28" i="31"/>
  <c r="D28" i="31"/>
  <c r="X27" i="31"/>
  <c r="W27" i="31"/>
  <c r="V27" i="31"/>
  <c r="U27" i="31"/>
  <c r="P27" i="31"/>
  <c r="M27" i="31"/>
  <c r="J27" i="31"/>
  <c r="G27" i="31"/>
  <c r="D27" i="31"/>
  <c r="X26" i="31"/>
  <c r="W26" i="31"/>
  <c r="V26" i="31"/>
  <c r="U26" i="31"/>
  <c r="P26" i="31"/>
  <c r="M26" i="31"/>
  <c r="J26" i="31"/>
  <c r="G26" i="31"/>
  <c r="D26" i="31"/>
  <c r="X25" i="31"/>
  <c r="W25" i="31"/>
  <c r="V25" i="31"/>
  <c r="U25" i="31"/>
  <c r="P25" i="31"/>
  <c r="M25" i="31"/>
  <c r="J25" i="31"/>
  <c r="G25" i="31"/>
  <c r="D25" i="31"/>
  <c r="X24" i="31"/>
  <c r="W24" i="31"/>
  <c r="V24" i="31"/>
  <c r="U24" i="31"/>
  <c r="P24" i="31"/>
  <c r="M24" i="31"/>
  <c r="J24" i="31"/>
  <c r="G24" i="31"/>
  <c r="D24" i="31"/>
  <c r="X23" i="31"/>
  <c r="W23" i="31"/>
  <c r="V23" i="31"/>
  <c r="U23" i="31"/>
  <c r="P23" i="31"/>
  <c r="M23" i="31"/>
  <c r="J23" i="31"/>
  <c r="G23" i="31"/>
  <c r="D23" i="31"/>
  <c r="U21" i="31"/>
  <c r="V21" i="31" s="1"/>
  <c r="P21" i="31"/>
  <c r="G21" i="31"/>
  <c r="D21" i="31"/>
  <c r="U20" i="31"/>
  <c r="V20" i="31" s="1"/>
  <c r="P20" i="31"/>
  <c r="G20" i="31"/>
  <c r="D20" i="31"/>
  <c r="U19" i="31"/>
  <c r="V19" i="31" s="1"/>
  <c r="P19" i="31"/>
  <c r="G19" i="31"/>
  <c r="D19" i="31"/>
  <c r="U18" i="31"/>
  <c r="V18" i="31" s="1"/>
  <c r="P18" i="31"/>
  <c r="G18" i="31"/>
  <c r="D18" i="31"/>
  <c r="U17" i="31"/>
  <c r="V17" i="31" s="1"/>
  <c r="P17" i="31"/>
  <c r="G17" i="31"/>
  <c r="D17" i="31"/>
  <c r="U16" i="31"/>
  <c r="V16" i="31" s="1"/>
  <c r="P16" i="31"/>
  <c r="W16" i="31" s="1"/>
  <c r="G16" i="31"/>
  <c r="D16" i="31"/>
  <c r="U15" i="31"/>
  <c r="V15" i="31" s="1"/>
  <c r="P15" i="31"/>
  <c r="G15" i="31"/>
  <c r="D15" i="31"/>
  <c r="U14" i="31"/>
  <c r="V14" i="31" s="1"/>
  <c r="P14" i="31"/>
  <c r="G14" i="31"/>
  <c r="D14" i="31"/>
  <c r="U13" i="31"/>
  <c r="V13" i="31" s="1"/>
  <c r="P13" i="31"/>
  <c r="D13" i="31"/>
  <c r="U12" i="31"/>
  <c r="V12" i="31" s="1"/>
  <c r="P12" i="31"/>
  <c r="G12" i="31"/>
  <c r="D12" i="31"/>
  <c r="U11" i="31"/>
  <c r="V11" i="31" s="1"/>
  <c r="G11" i="31"/>
  <c r="D11" i="31"/>
  <c r="U10" i="31"/>
  <c r="V10" i="31" s="1"/>
  <c r="P10" i="31"/>
  <c r="G10" i="31"/>
  <c r="D10" i="31"/>
  <c r="U9" i="31"/>
  <c r="V9" i="31" s="1"/>
  <c r="P9" i="31"/>
  <c r="G9" i="31"/>
  <c r="D9" i="31"/>
  <c r="U8" i="31"/>
  <c r="V8" i="31" s="1"/>
  <c r="P8" i="31"/>
  <c r="G8" i="31"/>
  <c r="D8" i="31"/>
  <c r="U7" i="31"/>
  <c r="V7" i="31" s="1"/>
  <c r="P7" i="31"/>
  <c r="G7" i="31"/>
  <c r="D7" i="31"/>
  <c r="U6" i="31"/>
  <c r="V6" i="31" s="1"/>
  <c r="P6" i="31"/>
  <c r="G6" i="31"/>
  <c r="D6" i="31"/>
  <c r="U5" i="31"/>
  <c r="V5" i="31" s="1"/>
  <c r="P5" i="31"/>
  <c r="G5" i="31"/>
  <c r="D5" i="31"/>
  <c r="U4" i="31"/>
  <c r="V4" i="31" s="1"/>
  <c r="G4" i="31"/>
  <c r="U3" i="31"/>
  <c r="Q38" i="31"/>
  <c r="I38" i="31"/>
  <c r="H38" i="31"/>
  <c r="G3" i="31"/>
  <c r="D3" i="31"/>
  <c r="N38" i="30"/>
  <c r="L38" i="30"/>
  <c r="K38" i="30"/>
  <c r="F38" i="30"/>
  <c r="E38" i="30"/>
  <c r="X37" i="30"/>
  <c r="W37" i="30"/>
  <c r="V37" i="30"/>
  <c r="U37" i="30"/>
  <c r="P37" i="30"/>
  <c r="M37" i="30"/>
  <c r="J37" i="30"/>
  <c r="G37" i="30"/>
  <c r="D37" i="30"/>
  <c r="X36" i="30"/>
  <c r="W36" i="30"/>
  <c r="V36" i="30"/>
  <c r="U36" i="30"/>
  <c r="P36" i="30"/>
  <c r="M36" i="30"/>
  <c r="J36" i="30"/>
  <c r="G36" i="30"/>
  <c r="D36" i="30"/>
  <c r="X35" i="30"/>
  <c r="W35" i="30"/>
  <c r="V35" i="30"/>
  <c r="U35" i="30"/>
  <c r="P35" i="30"/>
  <c r="M35" i="30"/>
  <c r="J35" i="30"/>
  <c r="G35" i="30"/>
  <c r="D35" i="30"/>
  <c r="X34" i="30"/>
  <c r="W34" i="30"/>
  <c r="V34" i="30"/>
  <c r="U34" i="30"/>
  <c r="P34" i="30"/>
  <c r="M34" i="30"/>
  <c r="J34" i="30"/>
  <c r="G34" i="30"/>
  <c r="D34" i="30"/>
  <c r="X33" i="30"/>
  <c r="W33" i="30"/>
  <c r="V33" i="30"/>
  <c r="U33" i="30"/>
  <c r="P33" i="30"/>
  <c r="M33" i="30"/>
  <c r="J33" i="30"/>
  <c r="G33" i="30"/>
  <c r="D33" i="30"/>
  <c r="X32" i="30"/>
  <c r="W32" i="30"/>
  <c r="V32" i="30"/>
  <c r="U32" i="30"/>
  <c r="P32" i="30"/>
  <c r="M32" i="30"/>
  <c r="J32" i="30"/>
  <c r="G32" i="30"/>
  <c r="D32" i="30"/>
  <c r="X31" i="30"/>
  <c r="W31" i="30"/>
  <c r="V31" i="30"/>
  <c r="U31" i="30"/>
  <c r="P31" i="30"/>
  <c r="M31" i="30"/>
  <c r="J31" i="30"/>
  <c r="G31" i="30"/>
  <c r="D31" i="30"/>
  <c r="X30" i="30"/>
  <c r="W30" i="30"/>
  <c r="V30" i="30"/>
  <c r="U30" i="30"/>
  <c r="P30" i="30"/>
  <c r="M30" i="30"/>
  <c r="J30" i="30"/>
  <c r="G30" i="30"/>
  <c r="D30" i="30"/>
  <c r="X29" i="30"/>
  <c r="W29" i="30"/>
  <c r="V29" i="30"/>
  <c r="U29" i="30"/>
  <c r="P29" i="30"/>
  <c r="M29" i="30"/>
  <c r="J29" i="30"/>
  <c r="G29" i="30"/>
  <c r="D29" i="30"/>
  <c r="X28" i="30"/>
  <c r="W28" i="30"/>
  <c r="V28" i="30"/>
  <c r="U28" i="30"/>
  <c r="P28" i="30"/>
  <c r="M28" i="30"/>
  <c r="J28" i="30"/>
  <c r="G28" i="30"/>
  <c r="D28" i="30"/>
  <c r="U27" i="30"/>
  <c r="P27" i="30"/>
  <c r="M27" i="30"/>
  <c r="J27" i="30"/>
  <c r="G27" i="30"/>
  <c r="D27" i="30"/>
  <c r="U26" i="30"/>
  <c r="P26" i="30"/>
  <c r="M26" i="30"/>
  <c r="J26" i="30"/>
  <c r="G26" i="30"/>
  <c r="D26" i="30"/>
  <c r="U25" i="30"/>
  <c r="P25" i="30"/>
  <c r="M25" i="30"/>
  <c r="J25" i="30"/>
  <c r="G25" i="30"/>
  <c r="D25" i="30"/>
  <c r="U24" i="30"/>
  <c r="P24" i="30"/>
  <c r="G24" i="30"/>
  <c r="D24" i="30"/>
  <c r="U22" i="30"/>
  <c r="P22" i="30"/>
  <c r="G22" i="30"/>
  <c r="D22" i="30"/>
  <c r="J22" i="30" s="1"/>
  <c r="U21" i="30"/>
  <c r="P21" i="30"/>
  <c r="G21" i="30"/>
  <c r="D21" i="30"/>
  <c r="U20" i="30"/>
  <c r="V20" i="30" s="1"/>
  <c r="G20" i="30"/>
  <c r="D20" i="30"/>
  <c r="U19" i="30"/>
  <c r="V19" i="30" s="1"/>
  <c r="P19" i="30"/>
  <c r="G19" i="30"/>
  <c r="D19" i="30"/>
  <c r="U18" i="30"/>
  <c r="V18" i="30" s="1"/>
  <c r="G18" i="30"/>
  <c r="D18" i="30"/>
  <c r="U17" i="30"/>
  <c r="V17" i="30" s="1"/>
  <c r="P17" i="30"/>
  <c r="G17" i="30"/>
  <c r="D17" i="30"/>
  <c r="U16" i="30"/>
  <c r="V16" i="30" s="1"/>
  <c r="P16" i="30"/>
  <c r="G16" i="30"/>
  <c r="D16" i="30"/>
  <c r="U15" i="30"/>
  <c r="V15" i="30" s="1"/>
  <c r="P15" i="30"/>
  <c r="G15" i="30"/>
  <c r="D15" i="30"/>
  <c r="U14" i="30"/>
  <c r="V14" i="30" s="1"/>
  <c r="P14" i="30"/>
  <c r="G14" i="30"/>
  <c r="D14" i="30"/>
  <c r="U13" i="30"/>
  <c r="V13" i="30" s="1"/>
  <c r="P13" i="30"/>
  <c r="G13" i="30"/>
  <c r="D13" i="30"/>
  <c r="U12" i="30"/>
  <c r="V12" i="30" s="1"/>
  <c r="P12" i="30"/>
  <c r="G12" i="30"/>
  <c r="D12" i="30"/>
  <c r="U11" i="30"/>
  <c r="V11" i="30" s="1"/>
  <c r="P11" i="30"/>
  <c r="G11" i="30"/>
  <c r="D11" i="30"/>
  <c r="U10" i="30"/>
  <c r="V10" i="30" s="1"/>
  <c r="P10" i="30"/>
  <c r="G10" i="30"/>
  <c r="D10" i="30"/>
  <c r="J10" i="30" s="1"/>
  <c r="U9" i="30"/>
  <c r="V9" i="30" s="1"/>
  <c r="P9" i="30"/>
  <c r="G9" i="30"/>
  <c r="D9" i="30"/>
  <c r="U8" i="30"/>
  <c r="V8" i="30" s="1"/>
  <c r="P8" i="30"/>
  <c r="G8" i="30"/>
  <c r="D8" i="30"/>
  <c r="U7" i="30"/>
  <c r="V7" i="30" s="1"/>
  <c r="P7" i="30"/>
  <c r="G7" i="30"/>
  <c r="D7" i="30"/>
  <c r="U6" i="30"/>
  <c r="V6" i="30" s="1"/>
  <c r="P6" i="30"/>
  <c r="G6" i="30"/>
  <c r="D6" i="30"/>
  <c r="J6" i="30" s="1"/>
  <c r="U3" i="30"/>
  <c r="Q38" i="30"/>
  <c r="I38" i="30"/>
  <c r="H38" i="30"/>
  <c r="G3" i="30"/>
  <c r="D3" i="30"/>
  <c r="J3" i="30" s="1"/>
  <c r="N38" i="29"/>
  <c r="L38" i="29"/>
  <c r="K38" i="29"/>
  <c r="F38" i="29"/>
  <c r="E38" i="29"/>
  <c r="X37" i="29"/>
  <c r="W37" i="29"/>
  <c r="V37" i="29"/>
  <c r="U37" i="29"/>
  <c r="P37" i="29"/>
  <c r="M37" i="29"/>
  <c r="J37" i="29"/>
  <c r="G37" i="29"/>
  <c r="D37" i="29"/>
  <c r="X36" i="29"/>
  <c r="W36" i="29"/>
  <c r="V36" i="29"/>
  <c r="U36" i="29"/>
  <c r="P36" i="29"/>
  <c r="M36" i="29"/>
  <c r="J36" i="29"/>
  <c r="G36" i="29"/>
  <c r="D36" i="29"/>
  <c r="X35" i="29"/>
  <c r="W35" i="29"/>
  <c r="V35" i="29"/>
  <c r="U35" i="29"/>
  <c r="P35" i="29"/>
  <c r="M35" i="29"/>
  <c r="J35" i="29"/>
  <c r="G35" i="29"/>
  <c r="D35" i="29"/>
  <c r="X34" i="29"/>
  <c r="W34" i="29"/>
  <c r="V34" i="29"/>
  <c r="U34" i="29"/>
  <c r="P34" i="29"/>
  <c r="M34" i="29"/>
  <c r="J34" i="29"/>
  <c r="G34" i="29"/>
  <c r="D34" i="29"/>
  <c r="X33" i="29"/>
  <c r="W33" i="29"/>
  <c r="V33" i="29"/>
  <c r="U33" i="29"/>
  <c r="P33" i="29"/>
  <c r="M33" i="29"/>
  <c r="J33" i="29"/>
  <c r="G33" i="29"/>
  <c r="D33" i="29"/>
  <c r="X32" i="29"/>
  <c r="W32" i="29"/>
  <c r="V32" i="29"/>
  <c r="U32" i="29"/>
  <c r="P32" i="29"/>
  <c r="M32" i="29"/>
  <c r="J32" i="29"/>
  <c r="G32" i="29"/>
  <c r="D32" i="29"/>
  <c r="X31" i="29"/>
  <c r="W31" i="29"/>
  <c r="V31" i="29"/>
  <c r="U31" i="29"/>
  <c r="P31" i="29"/>
  <c r="M31" i="29"/>
  <c r="J31" i="29"/>
  <c r="G31" i="29"/>
  <c r="D31" i="29"/>
  <c r="X30" i="29"/>
  <c r="W30" i="29"/>
  <c r="V30" i="29"/>
  <c r="U30" i="29"/>
  <c r="P30" i="29"/>
  <c r="M30" i="29"/>
  <c r="J30" i="29"/>
  <c r="G30" i="29"/>
  <c r="D30" i="29"/>
  <c r="X29" i="29"/>
  <c r="W29" i="29"/>
  <c r="V29" i="29"/>
  <c r="U29" i="29"/>
  <c r="P29" i="29"/>
  <c r="M29" i="29"/>
  <c r="J29" i="29"/>
  <c r="G29" i="29"/>
  <c r="D29" i="29"/>
  <c r="X28" i="29"/>
  <c r="W28" i="29"/>
  <c r="V28" i="29"/>
  <c r="U28" i="29"/>
  <c r="P28" i="29"/>
  <c r="M28" i="29"/>
  <c r="J28" i="29"/>
  <c r="G28" i="29"/>
  <c r="D28" i="29"/>
  <c r="X27" i="29"/>
  <c r="W27" i="29"/>
  <c r="V27" i="29"/>
  <c r="U27" i="29"/>
  <c r="P27" i="29"/>
  <c r="M27" i="29"/>
  <c r="J27" i="29"/>
  <c r="G27" i="29"/>
  <c r="D27" i="29"/>
  <c r="X26" i="29"/>
  <c r="W26" i="29"/>
  <c r="V26" i="29"/>
  <c r="U26" i="29"/>
  <c r="P26" i="29"/>
  <c r="M26" i="29"/>
  <c r="J26" i="29"/>
  <c r="G26" i="29"/>
  <c r="D26" i="29"/>
  <c r="X25" i="29"/>
  <c r="W25" i="29"/>
  <c r="V25" i="29"/>
  <c r="U25" i="29"/>
  <c r="P25" i="29"/>
  <c r="M25" i="29"/>
  <c r="J25" i="29"/>
  <c r="G25" i="29"/>
  <c r="D25" i="29"/>
  <c r="X24" i="29"/>
  <c r="W24" i="29"/>
  <c r="V24" i="29"/>
  <c r="U24" i="29"/>
  <c r="P24" i="29"/>
  <c r="M24" i="29"/>
  <c r="J24" i="29"/>
  <c r="G24" i="29"/>
  <c r="D24" i="29"/>
  <c r="X23" i="29"/>
  <c r="W23" i="29"/>
  <c r="V23" i="29"/>
  <c r="U23" i="29"/>
  <c r="P23" i="29"/>
  <c r="M23" i="29"/>
  <c r="J23" i="29"/>
  <c r="G23" i="29"/>
  <c r="D23" i="29"/>
  <c r="X22" i="29"/>
  <c r="W22" i="29"/>
  <c r="V22" i="29"/>
  <c r="U22" i="29"/>
  <c r="P22" i="29"/>
  <c r="M22" i="29"/>
  <c r="J22" i="29"/>
  <c r="G22" i="29"/>
  <c r="D22" i="29"/>
  <c r="U21" i="29"/>
  <c r="V21" i="29" s="1"/>
  <c r="U20" i="29"/>
  <c r="V20" i="29" s="1"/>
  <c r="U19" i="29"/>
  <c r="V19" i="29" s="1"/>
  <c r="U18" i="29"/>
  <c r="V18" i="29" s="1"/>
  <c r="U17" i="29"/>
  <c r="V17" i="29" s="1"/>
  <c r="U16" i="29"/>
  <c r="V16" i="29" s="1"/>
  <c r="U15" i="29"/>
  <c r="V15" i="29" s="1"/>
  <c r="U14" i="29"/>
  <c r="V14" i="29" s="1"/>
  <c r="U13" i="29"/>
  <c r="V13" i="29" s="1"/>
  <c r="U12" i="29"/>
  <c r="V12" i="29" s="1"/>
  <c r="U11" i="29"/>
  <c r="V11" i="29" s="1"/>
  <c r="G10" i="29"/>
  <c r="D10" i="29"/>
  <c r="U9" i="29"/>
  <c r="V9" i="29" s="1"/>
  <c r="G9" i="29"/>
  <c r="D9" i="29"/>
  <c r="U8" i="29"/>
  <c r="V8" i="29" s="1"/>
  <c r="G8" i="29"/>
  <c r="D8" i="29"/>
  <c r="U7" i="29"/>
  <c r="V7" i="29" s="1"/>
  <c r="P7" i="29"/>
  <c r="G7" i="29"/>
  <c r="D7" i="29"/>
  <c r="U6" i="29"/>
  <c r="V6" i="29" s="1"/>
  <c r="G6" i="29"/>
  <c r="D6" i="29"/>
  <c r="U5" i="29"/>
  <c r="V5" i="29" s="1"/>
  <c r="G5" i="29"/>
  <c r="D5" i="29"/>
  <c r="U4" i="29"/>
  <c r="V4" i="29" s="1"/>
  <c r="P4" i="29"/>
  <c r="G4" i="29"/>
  <c r="D4" i="29"/>
  <c r="U3" i="29"/>
  <c r="Q38" i="29"/>
  <c r="P3" i="29"/>
  <c r="I38" i="29"/>
  <c r="H38" i="29"/>
  <c r="D3" i="29"/>
  <c r="J3" i="29" s="1"/>
  <c r="N38" i="28"/>
  <c r="L38" i="28"/>
  <c r="K38" i="28"/>
  <c r="F38" i="28"/>
  <c r="E38" i="28"/>
  <c r="X37" i="28"/>
  <c r="W37" i="28"/>
  <c r="V37" i="28"/>
  <c r="U37" i="28"/>
  <c r="P37" i="28"/>
  <c r="M37" i="28"/>
  <c r="J37" i="28"/>
  <c r="G37" i="28"/>
  <c r="D37" i="28"/>
  <c r="X36" i="28"/>
  <c r="W36" i="28"/>
  <c r="V36" i="28"/>
  <c r="U36" i="28"/>
  <c r="P36" i="28"/>
  <c r="M36" i="28"/>
  <c r="J36" i="28"/>
  <c r="G36" i="28"/>
  <c r="D36" i="28"/>
  <c r="X35" i="28"/>
  <c r="W35" i="28"/>
  <c r="V35" i="28"/>
  <c r="U35" i="28"/>
  <c r="P35" i="28"/>
  <c r="M35" i="28"/>
  <c r="J35" i="28"/>
  <c r="G35" i="28"/>
  <c r="D35" i="28"/>
  <c r="X34" i="28"/>
  <c r="W34" i="28"/>
  <c r="V34" i="28"/>
  <c r="U34" i="28"/>
  <c r="P34" i="28"/>
  <c r="M34" i="28"/>
  <c r="J34" i="28"/>
  <c r="G34" i="28"/>
  <c r="D34" i="28"/>
  <c r="X33" i="28"/>
  <c r="W33" i="28"/>
  <c r="V33" i="28"/>
  <c r="U33" i="28"/>
  <c r="P33" i="28"/>
  <c r="M33" i="28"/>
  <c r="J33" i="28"/>
  <c r="G33" i="28"/>
  <c r="D33" i="28"/>
  <c r="X32" i="28"/>
  <c r="W32" i="28"/>
  <c r="V32" i="28"/>
  <c r="U32" i="28"/>
  <c r="P32" i="28"/>
  <c r="M32" i="28"/>
  <c r="J32" i="28"/>
  <c r="G32" i="28"/>
  <c r="D32" i="28"/>
  <c r="X31" i="28"/>
  <c r="W31" i="28"/>
  <c r="V31" i="28"/>
  <c r="U31" i="28"/>
  <c r="P31" i="28"/>
  <c r="M31" i="28"/>
  <c r="J31" i="28"/>
  <c r="G31" i="28"/>
  <c r="D31" i="28"/>
  <c r="X30" i="28"/>
  <c r="W30" i="28"/>
  <c r="V30" i="28"/>
  <c r="U30" i="28"/>
  <c r="P30" i="28"/>
  <c r="M30" i="28"/>
  <c r="J30" i="28"/>
  <c r="G30" i="28"/>
  <c r="D30" i="28"/>
  <c r="X27" i="28"/>
  <c r="W27" i="28"/>
  <c r="V27" i="28"/>
  <c r="U27" i="28"/>
  <c r="P27" i="28"/>
  <c r="M27" i="28"/>
  <c r="J27" i="28"/>
  <c r="G27" i="28"/>
  <c r="D27" i="28"/>
  <c r="X26" i="28"/>
  <c r="W26" i="28"/>
  <c r="V26" i="28"/>
  <c r="U26" i="28"/>
  <c r="P26" i="28"/>
  <c r="M26" i="28"/>
  <c r="J26" i="28"/>
  <c r="G26" i="28"/>
  <c r="D26" i="28"/>
  <c r="X25" i="28"/>
  <c r="W25" i="28"/>
  <c r="V25" i="28"/>
  <c r="U25" i="28"/>
  <c r="P25" i="28"/>
  <c r="M25" i="28"/>
  <c r="J25" i="28"/>
  <c r="G25" i="28"/>
  <c r="D25" i="28"/>
  <c r="X24" i="28"/>
  <c r="W24" i="28"/>
  <c r="V24" i="28"/>
  <c r="U24" i="28"/>
  <c r="P24" i="28"/>
  <c r="M24" i="28"/>
  <c r="J24" i="28"/>
  <c r="G24" i="28"/>
  <c r="D24" i="28"/>
  <c r="X23" i="28"/>
  <c r="W23" i="28"/>
  <c r="V23" i="28"/>
  <c r="U23" i="28"/>
  <c r="P23" i="28"/>
  <c r="M23" i="28"/>
  <c r="J23" i="28"/>
  <c r="G23" i="28"/>
  <c r="D23" i="28"/>
  <c r="U22" i="28"/>
  <c r="V22" i="28" s="1"/>
  <c r="P22" i="28"/>
  <c r="G22" i="28"/>
  <c r="D22" i="28"/>
  <c r="M22" i="28" s="1"/>
  <c r="U21" i="28"/>
  <c r="V21" i="28" s="1"/>
  <c r="P21" i="28"/>
  <c r="M21" i="28"/>
  <c r="J21" i="28"/>
  <c r="G21" i="28"/>
  <c r="D21" i="28"/>
  <c r="U20" i="28"/>
  <c r="V20" i="28" s="1"/>
  <c r="P20" i="28"/>
  <c r="D20" i="28"/>
  <c r="U19" i="28"/>
  <c r="V19" i="28" s="1"/>
  <c r="P19" i="28"/>
  <c r="D19" i="28"/>
  <c r="U18" i="28"/>
  <c r="V18" i="28" s="1"/>
  <c r="P18" i="28"/>
  <c r="G18" i="28"/>
  <c r="D18" i="28"/>
  <c r="U17" i="28"/>
  <c r="V17" i="28" s="1"/>
  <c r="P17" i="28"/>
  <c r="M17" i="28"/>
  <c r="D17" i="28"/>
  <c r="U16" i="28"/>
  <c r="V16" i="28" s="1"/>
  <c r="P16" i="28"/>
  <c r="G16" i="28"/>
  <c r="D16" i="28"/>
  <c r="J16" i="28" s="1"/>
  <c r="U15" i="28"/>
  <c r="V15" i="28" s="1"/>
  <c r="P15" i="28"/>
  <c r="G15" i="28"/>
  <c r="D15" i="28"/>
  <c r="U14" i="28"/>
  <c r="V14" i="28" s="1"/>
  <c r="P14" i="28"/>
  <c r="G14" i="28"/>
  <c r="D14" i="28"/>
  <c r="M14" i="28" s="1"/>
  <c r="U13" i="28"/>
  <c r="V13" i="28" s="1"/>
  <c r="P13" i="28"/>
  <c r="D13" i="28"/>
  <c r="U12" i="28"/>
  <c r="V12" i="28" s="1"/>
  <c r="P12" i="28"/>
  <c r="G12" i="28"/>
  <c r="D12" i="28"/>
  <c r="U11" i="28"/>
  <c r="V11" i="28" s="1"/>
  <c r="P11" i="28"/>
  <c r="D11" i="28"/>
  <c r="J11" i="28" s="1"/>
  <c r="U10" i="28"/>
  <c r="V10" i="28" s="1"/>
  <c r="P10" i="28"/>
  <c r="G10" i="28"/>
  <c r="D10" i="28"/>
  <c r="M10" i="28" s="1"/>
  <c r="U9" i="28"/>
  <c r="V9" i="28" s="1"/>
  <c r="P9" i="28"/>
  <c r="G9" i="28"/>
  <c r="D9" i="28"/>
  <c r="M9" i="28" s="1"/>
  <c r="U8" i="28"/>
  <c r="V8" i="28" s="1"/>
  <c r="P8" i="28"/>
  <c r="G8" i="28"/>
  <c r="D8" i="28"/>
  <c r="U7" i="28"/>
  <c r="V7" i="28" s="1"/>
  <c r="P7" i="28"/>
  <c r="G7" i="28"/>
  <c r="M7" i="28" s="1"/>
  <c r="U6" i="28"/>
  <c r="V6" i="28" s="1"/>
  <c r="P6" i="28"/>
  <c r="G6" i="28"/>
  <c r="D6" i="28"/>
  <c r="U5" i="28"/>
  <c r="V5" i="28" s="1"/>
  <c r="P5" i="28"/>
  <c r="G5" i="28"/>
  <c r="D5" i="28"/>
  <c r="U4" i="28"/>
  <c r="V4" i="28" s="1"/>
  <c r="P4" i="28"/>
  <c r="G4" i="28"/>
  <c r="D4" i="28"/>
  <c r="Q38" i="28"/>
  <c r="I38" i="28"/>
  <c r="H38" i="28"/>
  <c r="M27" i="35" l="1"/>
  <c r="J27" i="35"/>
  <c r="X27" i="35"/>
  <c r="W27" i="35"/>
  <c r="M26" i="35"/>
  <c r="J26" i="35"/>
  <c r="X26" i="35"/>
  <c r="W26" i="35"/>
  <c r="J24" i="35"/>
  <c r="X23" i="35"/>
  <c r="M21" i="35"/>
  <c r="J21" i="35"/>
  <c r="J18" i="35"/>
  <c r="M18" i="35"/>
  <c r="J17" i="35"/>
  <c r="M17" i="35"/>
  <c r="M16" i="35"/>
  <c r="J16" i="35"/>
  <c r="M15" i="35"/>
  <c r="J16" i="34"/>
  <c r="W24" i="33"/>
  <c r="X24" i="33"/>
  <c r="J5" i="33"/>
  <c r="J4" i="33"/>
  <c r="M23" i="32"/>
  <c r="J23" i="32"/>
  <c r="X23" i="32"/>
  <c r="W23" i="32"/>
  <c r="M22" i="32"/>
  <c r="X22" i="32" s="1"/>
  <c r="W22" i="32"/>
  <c r="M21" i="32"/>
  <c r="J21" i="32"/>
  <c r="X21" i="32"/>
  <c r="W21" i="32"/>
  <c r="W10" i="30"/>
  <c r="W6" i="30"/>
  <c r="W11" i="29"/>
  <c r="X11" i="29"/>
  <c r="M10" i="29"/>
  <c r="X10" i="29" s="1"/>
  <c r="J10" i="29"/>
  <c r="W10" i="29" s="1"/>
  <c r="X22" i="28"/>
  <c r="W21" i="28"/>
  <c r="X21" i="28"/>
  <c r="M5" i="29"/>
  <c r="J22" i="28"/>
  <c r="W22" i="28" s="1"/>
  <c r="M20" i="28"/>
  <c r="X20" i="28" s="1"/>
  <c r="J20" i="28"/>
  <c r="W20" i="28" s="1"/>
  <c r="M19" i="28"/>
  <c r="J19" i="28"/>
  <c r="W19" i="28"/>
  <c r="X19" i="28"/>
  <c r="M8" i="28"/>
  <c r="J3" i="31"/>
  <c r="X19" i="35"/>
  <c r="X20" i="35"/>
  <c r="X24" i="35"/>
  <c r="X16" i="35"/>
  <c r="W16" i="35"/>
  <c r="X21" i="35"/>
  <c r="X25" i="35"/>
  <c r="X17" i="35"/>
  <c r="W17" i="35"/>
  <c r="X15" i="35"/>
  <c r="W15" i="35"/>
  <c r="X18" i="35"/>
  <c r="W18" i="35"/>
  <c r="J11" i="35"/>
  <c r="W11" i="35" s="1"/>
  <c r="M22" i="35"/>
  <c r="X22" i="35" s="1"/>
  <c r="J20" i="35"/>
  <c r="W20" i="35" s="1"/>
  <c r="W24" i="35"/>
  <c r="J25" i="35"/>
  <c r="M8" i="35"/>
  <c r="J23" i="35"/>
  <c r="W25" i="35"/>
  <c r="J19" i="35"/>
  <c r="W19" i="35" s="1"/>
  <c r="W23" i="35"/>
  <c r="W21" i="35"/>
  <c r="J9" i="35"/>
  <c r="W9" i="35" s="1"/>
  <c r="M7" i="35"/>
  <c r="X7" i="35" s="1"/>
  <c r="X13" i="35"/>
  <c r="X12" i="35"/>
  <c r="M11" i="35"/>
  <c r="X11" i="35" s="1"/>
  <c r="J12" i="35"/>
  <c r="W12" i="35" s="1"/>
  <c r="J13" i="35"/>
  <c r="W13" i="35" s="1"/>
  <c r="J10" i="35"/>
  <c r="W10" i="35" s="1"/>
  <c r="J6" i="35"/>
  <c r="W6" i="35" s="1"/>
  <c r="M10" i="35"/>
  <c r="X10" i="35" s="1"/>
  <c r="J8" i="35"/>
  <c r="W8" i="35" s="1"/>
  <c r="M9" i="35"/>
  <c r="X9" i="35" s="1"/>
  <c r="X8" i="35"/>
  <c r="J7" i="35"/>
  <c r="W7" i="35" s="1"/>
  <c r="M6" i="35"/>
  <c r="X6" i="35" s="1"/>
  <c r="M19" i="34"/>
  <c r="J25" i="34"/>
  <c r="W25" i="34" s="1"/>
  <c r="M24" i="34"/>
  <c r="X24" i="34" s="1"/>
  <c r="J23" i="34"/>
  <c r="W23" i="34" s="1"/>
  <c r="M25" i="34"/>
  <c r="X25" i="34" s="1"/>
  <c r="J24" i="34"/>
  <c r="W24" i="34" s="1"/>
  <c r="M23" i="34"/>
  <c r="X23" i="34" s="1"/>
  <c r="M22" i="34"/>
  <c r="X22" i="34" s="1"/>
  <c r="W22" i="34"/>
  <c r="J21" i="34"/>
  <c r="W21" i="34" s="1"/>
  <c r="M21" i="34"/>
  <c r="X21" i="34" s="1"/>
  <c r="W20" i="34"/>
  <c r="M20" i="34"/>
  <c r="X20" i="34" s="1"/>
  <c r="X18" i="34"/>
  <c r="J19" i="34"/>
  <c r="W19" i="34" s="1"/>
  <c r="J18" i="34"/>
  <c r="W18" i="34" s="1"/>
  <c r="X19" i="34"/>
  <c r="M17" i="34"/>
  <c r="X17" i="34" s="1"/>
  <c r="J17" i="34"/>
  <c r="W17" i="34" s="1"/>
  <c r="M16" i="34"/>
  <c r="X16" i="34" s="1"/>
  <c r="W16" i="34"/>
  <c r="M17" i="32"/>
  <c r="X17" i="32" s="1"/>
  <c r="X21" i="29"/>
  <c r="W21" i="29"/>
  <c r="M10" i="34"/>
  <c r="X10" i="34" s="1"/>
  <c r="J10" i="34"/>
  <c r="W10" i="34" s="1"/>
  <c r="M6" i="34"/>
  <c r="X6" i="34" s="1"/>
  <c r="W6" i="34"/>
  <c r="M5" i="34"/>
  <c r="X5" i="34" s="1"/>
  <c r="J5" i="34"/>
  <c r="W5" i="34" s="1"/>
  <c r="M4" i="34"/>
  <c r="X4" i="34" s="1"/>
  <c r="G38" i="34"/>
  <c r="J4" i="34"/>
  <c r="W4" i="34" s="1"/>
  <c r="X26" i="33"/>
  <c r="J26" i="33"/>
  <c r="W26" i="33" s="1"/>
  <c r="M25" i="33"/>
  <c r="X25" i="33" s="1"/>
  <c r="J25" i="33"/>
  <c r="W25" i="33" s="1"/>
  <c r="J23" i="33"/>
  <c r="W23" i="33" s="1"/>
  <c r="M23" i="33"/>
  <c r="X23" i="33" s="1"/>
  <c r="M21" i="33"/>
  <c r="X21" i="33" s="1"/>
  <c r="J21" i="33"/>
  <c r="W21" i="33" s="1"/>
  <c r="J17" i="33"/>
  <c r="W17" i="33" s="1"/>
  <c r="M20" i="33"/>
  <c r="X20" i="33" s="1"/>
  <c r="W20" i="33"/>
  <c r="M19" i="33"/>
  <c r="X19" i="33" s="1"/>
  <c r="J19" i="33"/>
  <c r="W19" i="33" s="1"/>
  <c r="W18" i="33"/>
  <c r="M18" i="33"/>
  <c r="X18" i="33" s="1"/>
  <c r="M17" i="33"/>
  <c r="X17" i="33" s="1"/>
  <c r="J15" i="33"/>
  <c r="W15" i="33" s="1"/>
  <c r="M15" i="33"/>
  <c r="X15" i="33" s="1"/>
  <c r="M14" i="33"/>
  <c r="X14" i="33" s="1"/>
  <c r="W14" i="33"/>
  <c r="M13" i="33"/>
  <c r="X13" i="33" s="1"/>
  <c r="W13" i="33"/>
  <c r="M12" i="33"/>
  <c r="X12" i="33" s="1"/>
  <c r="J12" i="33"/>
  <c r="W12" i="33" s="1"/>
  <c r="J11" i="32"/>
  <c r="W11" i="32" s="1"/>
  <c r="M11" i="32"/>
  <c r="X11" i="32" s="1"/>
  <c r="G38" i="32"/>
  <c r="X11" i="33"/>
  <c r="J11" i="33"/>
  <c r="W11" i="33" s="1"/>
  <c r="X10" i="33"/>
  <c r="W10" i="33"/>
  <c r="M9" i="33"/>
  <c r="X9" i="33" s="1"/>
  <c r="J9" i="33"/>
  <c r="W9" i="33" s="1"/>
  <c r="M20" i="32"/>
  <c r="X20" i="32" s="1"/>
  <c r="J20" i="32"/>
  <c r="W20" i="32" s="1"/>
  <c r="W19" i="32"/>
  <c r="M19" i="32"/>
  <c r="X19" i="32" s="1"/>
  <c r="M18" i="32"/>
  <c r="J18" i="32"/>
  <c r="J17" i="32"/>
  <c r="W17" i="32" s="1"/>
  <c r="M16" i="32"/>
  <c r="X16" i="32" s="1"/>
  <c r="P38" i="32"/>
  <c r="D49" i="32" s="1"/>
  <c r="E49" i="32" s="1"/>
  <c r="J16" i="32"/>
  <c r="W16" i="32" s="1"/>
  <c r="M5" i="33"/>
  <c r="X5" i="33" s="1"/>
  <c r="W5" i="33"/>
  <c r="J3" i="33"/>
  <c r="M4" i="33"/>
  <c r="X4" i="33" s="1"/>
  <c r="W4" i="33"/>
  <c r="M15" i="32"/>
  <c r="X15" i="32" s="1"/>
  <c r="J15" i="32"/>
  <c r="W15" i="32" s="1"/>
  <c r="M14" i="32"/>
  <c r="X14" i="32" s="1"/>
  <c r="J14" i="32"/>
  <c r="W14" i="32" s="1"/>
  <c r="M13" i="32"/>
  <c r="X13" i="32" s="1"/>
  <c r="J13" i="32"/>
  <c r="W13" i="32" s="1"/>
  <c r="M10" i="32"/>
  <c r="X10" i="32" s="1"/>
  <c r="J10" i="32"/>
  <c r="W10" i="32" s="1"/>
  <c r="M9" i="32"/>
  <c r="X9" i="32" s="1"/>
  <c r="J9" i="32"/>
  <c r="W9" i="32" s="1"/>
  <c r="M8" i="32"/>
  <c r="X8" i="32" s="1"/>
  <c r="J8" i="32"/>
  <c r="W8" i="32" s="1"/>
  <c r="X6" i="32"/>
  <c r="W6" i="32"/>
  <c r="M21" i="31"/>
  <c r="X21" i="31" s="1"/>
  <c r="J21" i="31"/>
  <c r="W21" i="31"/>
  <c r="M20" i="31"/>
  <c r="J20" i="31"/>
  <c r="X20" i="31"/>
  <c r="W20" i="31"/>
  <c r="M19" i="31"/>
  <c r="X19" i="31" s="1"/>
  <c r="J19" i="31"/>
  <c r="W19" i="31" s="1"/>
  <c r="M18" i="31"/>
  <c r="X18" i="31" s="1"/>
  <c r="J18" i="31"/>
  <c r="W18" i="31" s="1"/>
  <c r="M17" i="31"/>
  <c r="J17" i="31"/>
  <c r="W17" i="31" s="1"/>
  <c r="X17" i="31"/>
  <c r="M16" i="31"/>
  <c r="X16" i="31" s="1"/>
  <c r="J16" i="31"/>
  <c r="M15" i="31"/>
  <c r="X15" i="31" s="1"/>
  <c r="J15" i="31"/>
  <c r="W15" i="31"/>
  <c r="M14" i="31"/>
  <c r="X14" i="31" s="1"/>
  <c r="J14" i="31"/>
  <c r="W14" i="31" s="1"/>
  <c r="M13" i="31"/>
  <c r="X13" i="31" s="1"/>
  <c r="J13" i="31"/>
  <c r="W13" i="31" s="1"/>
  <c r="M12" i="31"/>
  <c r="X12" i="31" s="1"/>
  <c r="J12" i="31"/>
  <c r="W12" i="31"/>
  <c r="M11" i="31"/>
  <c r="X11" i="31" s="1"/>
  <c r="J11" i="31"/>
  <c r="W11" i="31" s="1"/>
  <c r="M10" i="31"/>
  <c r="X10" i="31" s="1"/>
  <c r="J10" i="31"/>
  <c r="W10" i="31"/>
  <c r="M9" i="31"/>
  <c r="J9" i="31"/>
  <c r="X9" i="31"/>
  <c r="W9" i="31"/>
  <c r="M8" i="31"/>
  <c r="X8" i="31" s="1"/>
  <c r="J8" i="31"/>
  <c r="W8" i="31" s="1"/>
  <c r="M7" i="31"/>
  <c r="J7" i="31"/>
  <c r="X7" i="31"/>
  <c r="W7" i="31"/>
  <c r="M6" i="31"/>
  <c r="X6" i="31" s="1"/>
  <c r="J6" i="31"/>
  <c r="W6" i="31" s="1"/>
  <c r="J5" i="31"/>
  <c r="M5" i="31"/>
  <c r="X5" i="31" s="1"/>
  <c r="W5" i="31"/>
  <c r="J4" i="31"/>
  <c r="M4" i="31"/>
  <c r="X4" i="31" s="1"/>
  <c r="W4" i="31"/>
  <c r="M24" i="30"/>
  <c r="J24" i="30"/>
  <c r="M22" i="30"/>
  <c r="M21" i="30"/>
  <c r="J21" i="30"/>
  <c r="M20" i="30"/>
  <c r="J20" i="30"/>
  <c r="W20" i="30" s="1"/>
  <c r="X20" i="30"/>
  <c r="M19" i="30"/>
  <c r="X19" i="30" s="1"/>
  <c r="J19" i="30"/>
  <c r="W19" i="30"/>
  <c r="M18" i="30"/>
  <c r="X18" i="30" s="1"/>
  <c r="J18" i="30"/>
  <c r="W18" i="30"/>
  <c r="M17" i="30"/>
  <c r="X17" i="30" s="1"/>
  <c r="J17" i="30"/>
  <c r="W17" i="30"/>
  <c r="M16" i="30"/>
  <c r="J16" i="30"/>
  <c r="W16" i="30" s="1"/>
  <c r="X16" i="30"/>
  <c r="M15" i="30"/>
  <c r="J15" i="30"/>
  <c r="X15" i="30"/>
  <c r="W15" i="30"/>
  <c r="M14" i="30"/>
  <c r="J14" i="30"/>
  <c r="W14" i="30" s="1"/>
  <c r="X14" i="30"/>
  <c r="M13" i="30"/>
  <c r="X13" i="30" s="1"/>
  <c r="W13" i="30"/>
  <c r="M12" i="30"/>
  <c r="X12" i="30" s="1"/>
  <c r="J12" i="30"/>
  <c r="W12" i="30"/>
  <c r="M11" i="30"/>
  <c r="X11" i="30" s="1"/>
  <c r="J11" i="30"/>
  <c r="W11" i="30"/>
  <c r="M10" i="30"/>
  <c r="X10" i="30" s="1"/>
  <c r="M9" i="30"/>
  <c r="X9" i="30" s="1"/>
  <c r="J9" i="30"/>
  <c r="W9" i="30" s="1"/>
  <c r="M8" i="30"/>
  <c r="X8" i="30" s="1"/>
  <c r="J8" i="30"/>
  <c r="W8" i="30" s="1"/>
  <c r="M7" i="30"/>
  <c r="X7" i="30" s="1"/>
  <c r="J7" i="30"/>
  <c r="W7" i="30" s="1"/>
  <c r="M6" i="30"/>
  <c r="X6" i="30" s="1"/>
  <c r="X20" i="29"/>
  <c r="W20" i="29"/>
  <c r="X19" i="29"/>
  <c r="W19" i="29"/>
  <c r="X18" i="29"/>
  <c r="W18" i="29"/>
  <c r="X17" i="29"/>
  <c r="W17" i="29"/>
  <c r="X16" i="29"/>
  <c r="W16" i="29"/>
  <c r="X15" i="29"/>
  <c r="W15" i="29"/>
  <c r="X14" i="29"/>
  <c r="W14" i="29"/>
  <c r="X13" i="29"/>
  <c r="W13" i="29"/>
  <c r="X12" i="29"/>
  <c r="W12" i="29"/>
  <c r="M9" i="29"/>
  <c r="J9" i="29"/>
  <c r="X9" i="29"/>
  <c r="W9" i="29"/>
  <c r="M8" i="29"/>
  <c r="J8" i="29"/>
  <c r="X8" i="29"/>
  <c r="W8" i="29"/>
  <c r="M7" i="29"/>
  <c r="J7" i="29"/>
  <c r="X7" i="29"/>
  <c r="W7" i="29"/>
  <c r="J5" i="29"/>
  <c r="M6" i="29"/>
  <c r="J6" i="29"/>
  <c r="X6" i="29"/>
  <c r="W6" i="29"/>
  <c r="W5" i="29"/>
  <c r="X5" i="29"/>
  <c r="M4" i="29"/>
  <c r="X4" i="29" s="1"/>
  <c r="J4" i="29"/>
  <c r="W4" i="29" s="1"/>
  <c r="M18" i="28"/>
  <c r="X18" i="28" s="1"/>
  <c r="J18" i="28"/>
  <c r="W18" i="28" s="1"/>
  <c r="X17" i="28"/>
  <c r="J17" i="28"/>
  <c r="W17" i="28" s="1"/>
  <c r="M16" i="28"/>
  <c r="X16" i="28" s="1"/>
  <c r="M15" i="28"/>
  <c r="X15" i="28" s="1"/>
  <c r="W16" i="28"/>
  <c r="J15" i="28"/>
  <c r="W15" i="28" s="1"/>
  <c r="X14" i="28"/>
  <c r="J14" i="28"/>
  <c r="W14" i="28" s="1"/>
  <c r="M13" i="28"/>
  <c r="X13" i="28" s="1"/>
  <c r="M12" i="28"/>
  <c r="X12" i="28" s="1"/>
  <c r="J13" i="28"/>
  <c r="W13" i="28" s="1"/>
  <c r="J12" i="28"/>
  <c r="W12" i="28" s="1"/>
  <c r="X10" i="28"/>
  <c r="J10" i="28"/>
  <c r="W10" i="28" s="1"/>
  <c r="W11" i="28"/>
  <c r="M11" i="28"/>
  <c r="X11" i="28" s="1"/>
  <c r="X9" i="28"/>
  <c r="J9" i="28"/>
  <c r="W9" i="28" s="1"/>
  <c r="X8" i="28"/>
  <c r="J8" i="28"/>
  <c r="W8" i="28"/>
  <c r="J7" i="28"/>
  <c r="W7" i="28" s="1"/>
  <c r="X7" i="28"/>
  <c r="M6" i="28"/>
  <c r="X6" i="28" s="1"/>
  <c r="J6" i="28"/>
  <c r="W6" i="28" s="1"/>
  <c r="G38" i="28"/>
  <c r="M5" i="28"/>
  <c r="J5" i="28"/>
  <c r="X5" i="28"/>
  <c r="W5" i="28"/>
  <c r="M4" i="28"/>
  <c r="X4" i="28" s="1"/>
  <c r="J4" i="28"/>
  <c r="W4" i="28" s="1"/>
  <c r="O38" i="28"/>
  <c r="P38" i="28" s="1"/>
  <c r="D51" i="28" s="1"/>
  <c r="E51" i="28" s="1"/>
  <c r="D38" i="28"/>
  <c r="M3" i="29"/>
  <c r="V3" i="29"/>
  <c r="V38" i="29" s="1"/>
  <c r="D52" i="29" s="1"/>
  <c r="E52" i="29" s="1"/>
  <c r="M3" i="30"/>
  <c r="O38" i="30"/>
  <c r="P38" i="30" s="1"/>
  <c r="D51" i="30" s="1"/>
  <c r="E51" i="30" s="1"/>
  <c r="P3" i="30"/>
  <c r="V3" i="30"/>
  <c r="V38" i="30" s="1"/>
  <c r="D52" i="30" s="1"/>
  <c r="E52" i="30" s="1"/>
  <c r="M3" i="31"/>
  <c r="O38" i="31"/>
  <c r="P38" i="31" s="1"/>
  <c r="P3" i="31"/>
  <c r="V3" i="31"/>
  <c r="W3" i="31" s="1"/>
  <c r="V38" i="32"/>
  <c r="M3" i="33"/>
  <c r="V3" i="33"/>
  <c r="V38" i="34"/>
  <c r="D50" i="34" s="1"/>
  <c r="G38" i="35"/>
  <c r="O38" i="35"/>
  <c r="P38" i="35" s="1"/>
  <c r="D49" i="35" s="1"/>
  <c r="E49" i="35" s="1"/>
  <c r="D38" i="35"/>
  <c r="O38" i="34"/>
  <c r="P38" i="34" s="1"/>
  <c r="D38" i="34"/>
  <c r="G38" i="33"/>
  <c r="O38" i="33"/>
  <c r="P38" i="33" s="1"/>
  <c r="D49" i="33" s="1"/>
  <c r="E49" i="33" s="1"/>
  <c r="D38" i="33"/>
  <c r="D38" i="32"/>
  <c r="G38" i="31"/>
  <c r="D38" i="31"/>
  <c r="G38" i="30"/>
  <c r="D38" i="30"/>
  <c r="G38" i="29"/>
  <c r="O38" i="29"/>
  <c r="P38" i="29" s="1"/>
  <c r="D38" i="29"/>
  <c r="V38" i="28"/>
  <c r="D52" i="28" s="1"/>
  <c r="E52" i="28" s="1"/>
  <c r="W3" i="30" l="1"/>
  <c r="V38" i="35"/>
  <c r="D50" i="35" s="1"/>
  <c r="E50" i="35" s="1"/>
  <c r="X3" i="30"/>
  <c r="D49" i="34"/>
  <c r="E49" i="34" s="1"/>
  <c r="V38" i="31"/>
  <c r="D52" i="31" s="1"/>
  <c r="E52" i="31" s="1"/>
  <c r="X3" i="31"/>
  <c r="W3" i="33"/>
  <c r="X3" i="33"/>
  <c r="V38" i="33"/>
  <c r="D50" i="33" s="1"/>
  <c r="E50" i="33" s="1"/>
  <c r="J38" i="31"/>
  <c r="X3" i="29"/>
  <c r="W3" i="29"/>
  <c r="J38" i="28"/>
  <c r="D49" i="28" s="1"/>
  <c r="E49" i="28" s="1"/>
  <c r="M38" i="28"/>
  <c r="M38" i="35"/>
  <c r="J38" i="35"/>
  <c r="E50" i="34"/>
  <c r="M38" i="34"/>
  <c r="X38" i="34" s="1"/>
  <c r="J38" i="34"/>
  <c r="M38" i="33"/>
  <c r="J38" i="33"/>
  <c r="M38" i="32"/>
  <c r="X38" i="32" s="1"/>
  <c r="K33" i="27" s="1"/>
  <c r="J38" i="32"/>
  <c r="D48" i="32" s="1"/>
  <c r="E48" i="32" s="1"/>
  <c r="D50" i="32"/>
  <c r="E50" i="32" s="1"/>
  <c r="M38" i="31"/>
  <c r="M38" i="30"/>
  <c r="J38" i="30"/>
  <c r="M38" i="29"/>
  <c r="X38" i="29" s="1"/>
  <c r="D48" i="29" s="1"/>
  <c r="E48" i="29" s="1"/>
  <c r="J38" i="29"/>
  <c r="M33" i="27" l="1"/>
  <c r="V41" i="34"/>
  <c r="W38" i="30"/>
  <c r="D47" i="30" s="1"/>
  <c r="E47" i="30" s="1"/>
  <c r="D49" i="30"/>
  <c r="E49" i="30" s="1"/>
  <c r="X38" i="30"/>
  <c r="D50" i="30"/>
  <c r="E50" i="30" s="1"/>
  <c r="X38" i="28"/>
  <c r="D48" i="28" s="1"/>
  <c r="E48" i="28" s="1"/>
  <c r="D50" i="28"/>
  <c r="E50" i="28" s="1"/>
  <c r="X38" i="35"/>
  <c r="N33" i="27" s="1"/>
  <c r="D48" i="34"/>
  <c r="E48" i="34" s="1"/>
  <c r="X38" i="31"/>
  <c r="W38" i="32"/>
  <c r="K4" i="27" s="1"/>
  <c r="X38" i="33"/>
  <c r="W38" i="29"/>
  <c r="W38" i="28"/>
  <c r="D47" i="28" s="1"/>
  <c r="E47" i="28" s="1"/>
  <c r="I4" i="27"/>
  <c r="W38" i="31"/>
  <c r="D48" i="33"/>
  <c r="E48" i="33" s="1"/>
  <c r="W38" i="33"/>
  <c r="L4" i="27" s="1"/>
  <c r="D48" i="35"/>
  <c r="E48" i="35" s="1"/>
  <c r="W38" i="35"/>
  <c r="W38" i="34"/>
  <c r="M4" i="27" l="1"/>
  <c r="W40" i="35"/>
  <c r="D47" i="35"/>
  <c r="E47" i="35" s="1"/>
  <c r="N4" i="27"/>
  <c r="L33" i="27"/>
  <c r="T41" i="33"/>
  <c r="D47" i="33"/>
  <c r="E47" i="33" s="1"/>
  <c r="J4" i="27"/>
  <c r="J5" i="27" s="1"/>
  <c r="D47" i="31"/>
  <c r="E47" i="31" s="1"/>
  <c r="D48" i="31"/>
  <c r="E48" i="31" s="1"/>
  <c r="J33" i="27"/>
  <c r="D48" i="30"/>
  <c r="E48" i="30" s="1"/>
  <c r="G44" i="30"/>
  <c r="D47" i="32"/>
  <c r="E47" i="32" s="1"/>
  <c r="H4" i="27"/>
  <c r="D47" i="29"/>
  <c r="E47" i="29" s="1"/>
  <c r="G4" i="27"/>
  <c r="D47" i="34"/>
  <c r="E47" i="34" s="1"/>
  <c r="N5" i="27" l="1"/>
  <c r="O4" i="27" s="1"/>
  <c r="J34" i="27"/>
  <c r="K34" i="27"/>
  <c r="I5" i="27"/>
  <c r="K5" i="27"/>
  <c r="H5" i="27"/>
  <c r="L5" i="27"/>
  <c r="L34" i="27" s="1"/>
  <c r="G5" i="27"/>
  <c r="M5" i="27"/>
  <c r="M34" i="27" l="1"/>
  <c r="N34" i="27"/>
  <c r="O33"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Kaylil Baptiste</author>
    <author>Reshelle Fleming</author>
  </authors>
  <commentList>
    <comment ref="S5" authorId="0" shapeId="0" xr:uid="{3FE8079E-A49C-4863-B999-F2FD8B1E2C4C}">
      <text>
        <r>
          <rPr>
            <sz val="11"/>
            <color theme="1"/>
            <rFont val="Calibri"/>
            <family val="2"/>
            <scheme val="minor"/>
          </rPr>
          <t>Kaylil Baptiste:
16 cases Pearsecco missing labels</t>
        </r>
      </text>
    </comment>
    <comment ref="S14" authorId="1" shapeId="0" xr:uid="{E7C88C11-6BEC-4881-8D5F-591EC470A394}">
      <text>
        <r>
          <rPr>
            <b/>
            <sz val="9"/>
            <color indexed="81"/>
            <rFont val="Tahoma"/>
            <family val="2"/>
          </rPr>
          <t>Reshelle Fleming:</t>
        </r>
        <r>
          <rPr>
            <sz val="9"/>
            <color indexed="81"/>
            <rFont val="Tahoma"/>
            <family val="2"/>
          </rPr>
          <t xml:space="preserve">
130cases Carib- No Labels </t>
        </r>
      </text>
    </comment>
    <comment ref="S17" authorId="1" shapeId="0" xr:uid="{92EF3883-D9D1-48B4-934F-4E6356033B3F}">
      <text>
        <r>
          <rPr>
            <b/>
            <sz val="9"/>
            <color indexed="81"/>
            <rFont val="Tahoma"/>
            <family val="2"/>
          </rPr>
          <t>Reshelle Fleming:</t>
        </r>
        <r>
          <rPr>
            <sz val="9"/>
            <color indexed="81"/>
            <rFont val="Tahoma"/>
            <family val="2"/>
          </rPr>
          <t xml:space="preserve">
13cases missing labels </t>
        </r>
      </text>
    </comment>
    <comment ref="S18" authorId="1" shapeId="0" xr:uid="{B2E0250B-901A-4E77-B012-8C640A548EE4}">
      <text>
        <r>
          <rPr>
            <b/>
            <sz val="14"/>
            <color indexed="81"/>
            <rFont val="Tahoma"/>
            <family val="2"/>
          </rPr>
          <t>Reshelle Fleming:</t>
        </r>
        <r>
          <rPr>
            <sz val="14"/>
            <color indexed="81"/>
            <rFont val="Tahoma"/>
            <family val="2"/>
          </rPr>
          <t xml:space="preserve">
9 cases and 19pints shandy lime - stayed in pasteurizer overnight, 1case shandy lime due to damaged labels </t>
        </r>
      </text>
    </comment>
    <comment ref="T18" authorId="0" shapeId="0" xr:uid="{B8A3096C-7C9F-4E51-97C6-20D683F3904B}">
      <text>
        <r>
          <rPr>
            <b/>
            <sz val="11"/>
            <color indexed="81"/>
            <rFont val="Tahoma"/>
            <family val="2"/>
          </rPr>
          <t>Kaylil Baptiste:</t>
        </r>
        <r>
          <rPr>
            <sz val="11"/>
            <color indexed="81"/>
            <rFont val="Tahoma"/>
            <family val="2"/>
          </rPr>
          <t xml:space="preserve">
all Shandy Lime released</t>
        </r>
      </text>
    </comment>
    <comment ref="S19" authorId="1" shapeId="0" xr:uid="{3C54D08F-0603-4E84-B073-0CA7E3ED0A87}">
      <text>
        <r>
          <rPr>
            <b/>
            <sz val="9"/>
            <color indexed="81"/>
            <rFont val="Tahoma"/>
            <family val="2"/>
          </rPr>
          <t>Reshelle Fleming:</t>
        </r>
        <r>
          <rPr>
            <sz val="9"/>
            <color indexed="81"/>
            <rFont val="Tahoma"/>
            <family val="2"/>
          </rPr>
          <t xml:space="preserve">
14caribe pearsecco- missing back labels 
5cases ting org. concern with product quality</t>
        </r>
      </text>
    </comment>
    <comment ref="T19" authorId="0" shapeId="0" xr:uid="{53CCB135-7F24-4765-8A7D-B04AA0C41E64}">
      <text>
        <r>
          <rPr>
            <b/>
            <sz val="9"/>
            <color indexed="81"/>
            <rFont val="Tahoma"/>
            <family val="2"/>
          </rPr>
          <t>Kaylil Baptiste:</t>
        </r>
        <r>
          <rPr>
            <sz val="9"/>
            <color indexed="81"/>
            <rFont val="Tahoma"/>
            <family val="2"/>
          </rPr>
          <t xml:space="preserve">
14cases 13pints Pearsecco back labels applied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Reshelle Fleming</author>
  </authors>
  <commentList>
    <comment ref="S3" authorId="0" shapeId="0" xr:uid="{82273F2C-7C7D-4E1C-A3DB-7F8452330B3F}">
      <text>
        <r>
          <rPr>
            <b/>
            <sz val="9"/>
            <color indexed="81"/>
            <rFont val="Tahoma"/>
            <family val="2"/>
          </rPr>
          <t>Reshelle Fleming:</t>
        </r>
        <r>
          <rPr>
            <sz val="9"/>
            <color indexed="81"/>
            <rFont val="Tahoma"/>
            <family val="2"/>
          </rPr>
          <t xml:space="preserve">
8 cases Stag for missing labels</t>
        </r>
      </text>
    </comment>
    <comment ref="S5" authorId="0" shapeId="0" xr:uid="{1B6CF443-AD07-4C27-A92C-C083CC15700F}">
      <text>
        <r>
          <rPr>
            <b/>
            <sz val="9"/>
            <color indexed="81"/>
            <rFont val="Tahoma"/>
            <family val="2"/>
          </rPr>
          <t>Reshelle Fleming:</t>
        </r>
        <r>
          <rPr>
            <sz val="9"/>
            <color indexed="81"/>
            <rFont val="Tahoma"/>
            <family val="2"/>
          </rPr>
          <t xml:space="preserve">
11 cases on hold missing Labels </t>
        </r>
      </text>
    </comment>
    <comment ref="S7" authorId="0" shapeId="0" xr:uid="{6932460F-11A5-47F6-B125-FE79EF4D6B97}">
      <text>
        <r>
          <rPr>
            <b/>
            <sz val="9"/>
            <color indexed="81"/>
            <rFont val="Tahoma"/>
            <family val="2"/>
          </rPr>
          <t>Reshelle Fleming:</t>
        </r>
        <r>
          <rPr>
            <sz val="9"/>
            <color indexed="81"/>
            <rFont val="Tahoma"/>
            <family val="2"/>
          </rPr>
          <t xml:space="preserve">
7cases missing labels </t>
        </r>
      </text>
    </comment>
    <comment ref="S11" authorId="0" shapeId="0" xr:uid="{73488D54-B773-4DE1-BE2D-DEC00C0B6FF7}">
      <text>
        <r>
          <rPr>
            <b/>
            <sz val="9"/>
            <color indexed="81"/>
            <rFont val="Tahoma"/>
            <family val="2"/>
          </rPr>
          <t>Reshelle Fleming:</t>
        </r>
        <r>
          <rPr>
            <sz val="9"/>
            <color indexed="81"/>
            <rFont val="Tahoma"/>
            <family val="2"/>
          </rPr>
          <t xml:space="preserve">
294cases stag no labels </t>
        </r>
      </text>
    </comment>
    <comment ref="T11" authorId="0" shapeId="0" xr:uid="{933AF03C-1346-49FC-9273-A7B8E5EC1FEB}">
      <text>
        <r>
          <rPr>
            <b/>
            <sz val="9"/>
            <color indexed="81"/>
            <rFont val="Tahoma"/>
            <family val="2"/>
          </rPr>
          <t xml:space="preserve">Reshelle Fleming:1
</t>
        </r>
        <r>
          <rPr>
            <sz val="9"/>
            <color indexed="81"/>
            <rFont val="Tahoma"/>
            <family val="2"/>
          </rPr>
          <t>1 pallet stag- missing labels</t>
        </r>
        <r>
          <rPr>
            <b/>
            <sz val="9"/>
            <color indexed="81"/>
            <rFont val="Tahoma"/>
            <family val="2"/>
          </rPr>
          <t xml:space="preserve"> </t>
        </r>
      </text>
    </comment>
    <comment ref="S12" authorId="0" shapeId="0" xr:uid="{BC6892A7-1B65-4E55-8650-07A052B889B8}">
      <text>
        <r>
          <rPr>
            <b/>
            <sz val="9"/>
            <color indexed="81"/>
            <rFont val="Tahoma"/>
            <family val="2"/>
          </rPr>
          <t>Reshelle Fleming:</t>
        </r>
        <r>
          <rPr>
            <sz val="9"/>
            <color indexed="81"/>
            <rFont val="Tahoma"/>
            <family val="2"/>
          </rPr>
          <t xml:space="preserve">
29cases carib missing Labels
44cases Stag missing Labels 
</t>
        </r>
      </text>
    </comment>
    <comment ref="S13" authorId="0" shapeId="0" xr:uid="{9A918019-17FE-4C2C-A63C-CDB8174D5A1E}">
      <text>
        <r>
          <rPr>
            <b/>
            <sz val="9"/>
            <color indexed="81"/>
            <rFont val="Tahoma"/>
            <family val="2"/>
          </rPr>
          <t>Reshelle Fleming:</t>
        </r>
        <r>
          <rPr>
            <sz val="9"/>
            <color indexed="81"/>
            <rFont val="Tahoma"/>
            <family val="2"/>
          </rPr>
          <t xml:space="preserve">
2cases Caribe Pearsecco- Missing 280cases pearsecco- High PU 
2cases shandy Ginger-missing labels </t>
        </r>
      </text>
    </comment>
    <comment ref="T13" authorId="0" shapeId="0" xr:uid="{BF0C4814-409F-4681-83FE-22A6D7EBDC8B}">
      <text>
        <r>
          <rPr>
            <b/>
            <sz val="9"/>
            <color indexed="81"/>
            <rFont val="Tahoma"/>
            <family val="2"/>
          </rPr>
          <t>Reshelle Fleming:</t>
        </r>
        <r>
          <rPr>
            <sz val="9"/>
            <color indexed="81"/>
            <rFont val="Tahoma"/>
            <family val="2"/>
          </rPr>
          <t xml:space="preserve">
4pallets Caribe Pearsecco released- on the 5th 
36cases pearsecco released 7th </t>
        </r>
      </text>
    </comment>
    <comment ref="S15" authorId="0" shapeId="0" xr:uid="{9B91FB16-7702-49C6-B4CF-D4E585874A17}">
      <text>
        <r>
          <rPr>
            <b/>
            <sz val="9"/>
            <color indexed="81"/>
            <rFont val="Tahoma"/>
            <family val="2"/>
          </rPr>
          <t>Reshelle Fleming:</t>
        </r>
        <r>
          <rPr>
            <sz val="9"/>
            <color indexed="81"/>
            <rFont val="Tahoma"/>
            <family val="2"/>
          </rPr>
          <t xml:space="preserve">
50cases Club Soda 
63cases Vita Malt -Broken and Dirty Crates </t>
        </r>
      </text>
    </comment>
    <comment ref="T15" authorId="0" shapeId="0" xr:uid="{C7F398B1-334E-41B0-8C33-0BB574340965}">
      <text>
        <r>
          <rPr>
            <b/>
            <sz val="9"/>
            <color indexed="81"/>
            <rFont val="Tahoma"/>
            <family val="2"/>
          </rPr>
          <t>Reshelle Fleming:</t>
        </r>
        <r>
          <rPr>
            <sz val="9"/>
            <color indexed="81"/>
            <rFont val="Tahoma"/>
            <family val="2"/>
          </rPr>
          <t xml:space="preserve">
63csases Vitamalt released</t>
        </r>
      </text>
    </comment>
    <comment ref="S16" authorId="0" shapeId="0" xr:uid="{73BFFC7C-ECFC-4761-B22A-CAF2F15A62A6}">
      <text>
        <r>
          <rPr>
            <b/>
            <sz val="9"/>
            <color indexed="81"/>
            <rFont val="Tahoma"/>
            <family val="2"/>
          </rPr>
          <t>Reshelle Fleming:</t>
        </r>
        <r>
          <rPr>
            <sz val="9"/>
            <color indexed="81"/>
            <rFont val="Tahoma"/>
            <family val="2"/>
          </rPr>
          <t xml:space="preserve">
50cases Juicy cool Club soda- High and low fill</t>
        </r>
      </text>
    </comment>
    <comment ref="S20" authorId="0" shapeId="0" xr:uid="{B7E4C0E6-BAAA-443E-9945-F36C56928864}">
      <text>
        <r>
          <rPr>
            <b/>
            <sz val="9"/>
            <color indexed="81"/>
            <rFont val="Tahoma"/>
            <family val="2"/>
          </rPr>
          <t>Reshelle Fleming:</t>
        </r>
        <r>
          <rPr>
            <sz val="9"/>
            <color indexed="81"/>
            <rFont val="Tahoma"/>
            <family val="2"/>
          </rPr>
          <t xml:space="preserve">
1pallet,2cases carib- no date code 
14cases Guinn- missing labels </t>
        </r>
      </text>
    </comment>
    <comment ref="T20" authorId="0" shapeId="0" xr:uid="{027A84F7-020D-4A41-8C52-A48A7180D09E}">
      <text>
        <r>
          <rPr>
            <b/>
            <sz val="9"/>
            <color indexed="81"/>
            <rFont val="Tahoma"/>
            <family val="2"/>
          </rPr>
          <t>Reshelle Fleming:</t>
        </r>
        <r>
          <rPr>
            <sz val="9"/>
            <color indexed="81"/>
            <rFont val="Tahoma"/>
            <family val="2"/>
          </rPr>
          <t xml:space="preserve">
1pallet,2cases carib- no date code 
14cases Guinn- missing labels 
both realeased same day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Reshelle Fleming</author>
    <author>Kaylil Baptiste</author>
  </authors>
  <commentList>
    <comment ref="S6" authorId="0" shapeId="0" xr:uid="{9544B39A-3055-4AAA-A32E-0AFB3082F135}">
      <text>
        <r>
          <rPr>
            <b/>
            <sz val="9"/>
            <color indexed="81"/>
            <rFont val="Tahoma"/>
            <family val="2"/>
          </rPr>
          <t>Reshelle Fleming:</t>
        </r>
        <r>
          <rPr>
            <sz val="9"/>
            <color indexed="81"/>
            <rFont val="Tahoma"/>
            <family val="2"/>
          </rPr>
          <t xml:space="preserve">
6cases stag- missing labels
18cases Guinness- missing labels </t>
        </r>
      </text>
    </comment>
    <comment ref="T6" authorId="0" shapeId="0" xr:uid="{8725A3F8-2FA8-4C7E-8770-0CF021A4D79A}">
      <text>
        <r>
          <rPr>
            <b/>
            <sz val="9"/>
            <color indexed="81"/>
            <rFont val="Tahoma"/>
            <family val="2"/>
          </rPr>
          <t>Reshelle Fleming:</t>
        </r>
        <r>
          <rPr>
            <sz val="9"/>
            <color indexed="81"/>
            <rFont val="Tahoma"/>
            <family val="2"/>
          </rPr>
          <t xml:space="preserve">
6cases stag- missing labels
18cases Guinness- missing labels- released </t>
        </r>
      </text>
    </comment>
    <comment ref="S14" authorId="1" shapeId="0" xr:uid="{C769F61D-4B2F-4A5F-B2A0-C8B71E1C896E}">
      <text>
        <r>
          <rPr>
            <b/>
            <sz val="9"/>
            <color indexed="81"/>
            <rFont val="Tahoma"/>
            <family val="2"/>
          </rPr>
          <t xml:space="preserve">Kaylil Baptiste
</t>
        </r>
        <r>
          <rPr>
            <sz val="9"/>
            <color indexed="81"/>
            <rFont val="Tahoma"/>
            <family val="2"/>
          </rPr>
          <t>110cases Carib high PU</t>
        </r>
      </text>
    </comment>
    <comment ref="T14" authorId="1" shapeId="0" xr:uid="{97CC37DB-5938-45B4-B704-BEA8C7B02134}">
      <text>
        <r>
          <rPr>
            <b/>
            <sz val="9"/>
            <color indexed="81"/>
            <rFont val="Tahoma"/>
            <family val="2"/>
          </rPr>
          <t>Kaylil Baptiste:</t>
        </r>
        <r>
          <rPr>
            <sz val="9"/>
            <color indexed="81"/>
            <rFont val="Tahoma"/>
            <family val="2"/>
          </rPr>
          <t xml:space="preserve">
110cases tasting done and product was released </t>
        </r>
      </text>
    </comment>
    <comment ref="S15" authorId="1" shapeId="0" xr:uid="{8C655B0C-9534-42D0-8044-FF44DB773D0B}">
      <text>
        <r>
          <rPr>
            <b/>
            <sz val="11"/>
            <color indexed="81"/>
            <rFont val="Tahoma"/>
            <family val="2"/>
          </rPr>
          <t>Kaylil Baptiste:</t>
        </r>
        <r>
          <rPr>
            <sz val="11"/>
            <color indexed="81"/>
            <rFont val="Tahoma"/>
            <family val="2"/>
          </rPr>
          <t xml:space="preserve">
22 cases -missing neck labels Amber
10cases 18pints Flint  for missing neck labels</t>
        </r>
      </text>
    </comment>
    <comment ref="T15" authorId="1" shapeId="0" xr:uid="{B74961FD-E2C1-4700-87F8-13ACF76B580E}">
      <text>
        <r>
          <rPr>
            <b/>
            <sz val="9"/>
            <color indexed="81"/>
            <rFont val="Tahoma"/>
            <family val="2"/>
          </rPr>
          <t>Kaylil Baptiste:</t>
        </r>
        <r>
          <rPr>
            <sz val="9"/>
            <color indexed="81"/>
            <rFont val="Tahoma"/>
            <family val="2"/>
          </rPr>
          <t xml:space="preserve">
missing labels were applied to 22 cases Carib Amber 
10cases 18pints Flint release 3th April </t>
        </r>
      </text>
    </comment>
    <comment ref="S16" authorId="1" shapeId="0" xr:uid="{C5E93BF4-1878-4363-94E0-B721AC9446F7}">
      <text>
        <r>
          <rPr>
            <sz val="11"/>
            <color theme="1"/>
            <rFont val="Calibri"/>
            <family val="2"/>
            <scheme val="minor"/>
          </rPr>
          <t xml:space="preserve">Kaylil Baptiste:
2 cases Guinness missing labels
140cases Guinness high PU
691 cases Guinness low CO2+Maggots in bottle </t>
        </r>
      </text>
    </comment>
    <comment ref="T16" authorId="1" shapeId="0" xr:uid="{E86763DB-B5F2-4C56-B618-38D7EAFAA81F}">
      <text>
        <r>
          <rPr>
            <sz val="11"/>
            <color theme="1"/>
            <rFont val="Calibri"/>
            <family val="2"/>
            <scheme val="minor"/>
          </rPr>
          <t xml:space="preserve">Kaylil Baptiste:
2 cases missing labels applied on Mar 21st
140cases tasted and release on Mar 25th
691 cases Guinnes tasted and inspected release April 1st </t>
        </r>
      </text>
    </comment>
    <comment ref="S19" authorId="0" shapeId="0" xr:uid="{0840FC7C-E17A-4E1B-BB2A-D3794E27D179}">
      <text>
        <r>
          <rPr>
            <sz val="11"/>
            <color theme="1"/>
            <rFont val="Calibri"/>
            <family val="2"/>
            <scheme val="minor"/>
          </rPr>
          <t>Reshelle Fleming:
29 cases +32pints Carib missing lables</t>
        </r>
      </text>
    </comment>
    <comment ref="T19" authorId="0" shapeId="0" xr:uid="{91949D51-06F5-4DF0-9741-956EF7E0463D}">
      <text>
        <r>
          <rPr>
            <sz val="11"/>
            <color theme="1"/>
            <rFont val="Calibri"/>
            <family val="2"/>
            <scheme val="minor"/>
          </rPr>
          <t>Reshelle Fleming:
29 cases 21 pints Carib labels applied</t>
        </r>
      </text>
    </comment>
    <comment ref="S23" authorId="0" shapeId="0" xr:uid="{5C6C5775-125D-4C69-9552-EF2B24FB64F6}">
      <text>
        <r>
          <rPr>
            <sz val="11"/>
            <color theme="1"/>
            <rFont val="Calibri"/>
            <family val="2"/>
            <scheme val="minor"/>
          </rPr>
          <t>Reshelle Fleming:
186cases Stag missing date code</t>
        </r>
      </text>
    </comment>
    <comment ref="T23" authorId="0" shapeId="0" xr:uid="{5ADE44BC-95E8-4273-AB90-1DAC5F95C25A}">
      <text>
        <r>
          <rPr>
            <sz val="11"/>
            <color theme="1"/>
            <rFont val="Calibri"/>
            <family val="2"/>
            <scheme val="minor"/>
          </rPr>
          <t xml:space="preserve">Reshelle Fleming:
186cases Stag date code applied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Kaylil Baptiste</author>
    <author>Reshelle Fleming</author>
  </authors>
  <commentList>
    <comment ref="S3" authorId="0" shapeId="0" xr:uid="{A10B6611-4D48-4D54-B98B-217257D278E7}">
      <text>
        <r>
          <rPr>
            <sz val="11"/>
            <color theme="1"/>
            <rFont val="Calibri"/>
            <family val="2"/>
            <scheme val="minor"/>
          </rPr>
          <t>Kaylil Baptiste:
26 cases+ 6pints Stag missing labels</t>
        </r>
      </text>
    </comment>
    <comment ref="T3" authorId="1" shapeId="0" xr:uid="{ABE7CA05-AAB1-4B3B-9DC5-D4E2DAED8E9F}">
      <text>
        <r>
          <rPr>
            <sz val="11"/>
            <color theme="1"/>
            <rFont val="Calibri"/>
            <family val="2"/>
            <scheme val="minor"/>
          </rPr>
          <t>Reshelle Fleming:
26cases 6pints Stag missing labels applied</t>
        </r>
      </text>
    </comment>
    <comment ref="S8" authorId="0" shapeId="0" xr:uid="{A7C949F7-5864-4E23-A12D-52FC30339278}">
      <text>
        <r>
          <rPr>
            <sz val="11"/>
            <color theme="1"/>
            <rFont val="Calibri"/>
            <family val="2"/>
            <scheme val="minor"/>
          </rPr>
          <t>Kaylil Baptiste:
79 cases on hold for missing labels Stag
3 cases 18 pints Carib Flint for missing labels</t>
        </r>
      </text>
    </comment>
    <comment ref="T8" authorId="0" shapeId="0" xr:uid="{1B461CD2-53AF-4034-AE31-421C7D2FC7CE}">
      <text>
        <r>
          <rPr>
            <sz val="11"/>
            <color theme="1"/>
            <rFont val="Calibri"/>
            <family val="2"/>
            <scheme val="minor"/>
          </rPr>
          <t>Kaylil Baptiste:
1 pallet for missing and skewed neck labels released @15:07 April 11th -Stag
9 pallets for missing and skewed labels released April 11th @15:18 - Stag
3  cases 18pints Flint release April 11th @15:14</t>
        </r>
      </text>
    </comment>
    <comment ref="S11" authorId="0" shapeId="0" xr:uid="{870825D2-8864-4E64-831B-A454A114B45D}">
      <text>
        <r>
          <rPr>
            <sz val="11"/>
            <color theme="1"/>
            <rFont val="Calibri"/>
            <family val="2"/>
            <scheme val="minor"/>
          </rPr>
          <t>Kaylil Baptiste:
100 cases missing code- Carib Amber
13 cases missing labels-Carib Amber</t>
        </r>
      </text>
    </comment>
    <comment ref="T11" authorId="0" shapeId="0" xr:uid="{C2CFDE7F-6FCD-46D9-AD59-8DD1BFD9B182}">
      <text>
        <r>
          <rPr>
            <sz val="11"/>
            <color theme="1"/>
            <rFont val="Calibri"/>
            <family val="2"/>
            <scheme val="minor"/>
          </rPr>
          <t xml:space="preserve">Kaylil Baptiste:
100 cases Carib Amber date coded and tasted was released </t>
        </r>
      </text>
    </comment>
    <comment ref="S15" authorId="0" shapeId="0" xr:uid="{3DA20592-6263-45C6-8DBF-4A5C3AEE5A41}">
      <text>
        <r>
          <rPr>
            <sz val="11"/>
            <color theme="1"/>
            <rFont val="Calibri"/>
            <family val="2"/>
            <scheme val="minor"/>
          </rPr>
          <t>Kaylil Baptiste:
222 cases Stag for missing labels</t>
        </r>
      </text>
    </comment>
    <comment ref="S18" authorId="0" shapeId="0" xr:uid="{CBF626C5-5C17-446D-96B5-AE2CE6FC682B}">
      <text>
        <r>
          <rPr>
            <sz val="11"/>
            <color theme="1"/>
            <rFont val="Calibri"/>
            <family val="2"/>
            <scheme val="minor"/>
          </rPr>
          <t xml:space="preserve">Kaylil Baptiste:
4.3cases missing labels Guinness
22.13cases Mackeson missing labels
8pints  label issues
1.13cases label issues
</t>
        </r>
      </text>
    </comment>
    <comment ref="S19" authorId="0" shapeId="0" xr:uid="{28904306-A21E-4B1A-B3A4-0AB0CF684A7D}">
      <text>
        <r>
          <rPr>
            <sz val="11"/>
            <color theme="1"/>
            <rFont val="Calibri"/>
            <family val="2"/>
            <scheme val="minor"/>
          </rPr>
          <t>Kaylil Baptiste:
14 upside down body labels, 14missing labels</t>
        </r>
      </text>
    </comment>
    <comment ref="S21" authorId="0" shapeId="0" xr:uid="{799F055B-5938-40A0-9F64-E6BB940D5ED6}">
      <text>
        <r>
          <rPr>
            <sz val="11"/>
            <color theme="1"/>
            <rFont val="Calibri"/>
            <family val="2"/>
            <scheme val="minor"/>
          </rPr>
          <t>Kaylil Baptiste:
5 cases Carib Amber for missing labels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Reshelle Fleming</author>
    <author>Kaylil Baptiste</author>
  </authors>
  <commentList>
    <comment ref="S4" authorId="0" shapeId="0" xr:uid="{DB6496A9-99D3-4D87-9B44-5C3933F70240}">
      <text>
        <r>
          <rPr>
            <sz val="11"/>
            <color theme="1"/>
            <rFont val="Calibri"/>
            <family val="2"/>
            <scheme val="minor"/>
          </rPr>
          <t/>
        </r>
      </text>
    </comment>
    <comment ref="S5" authorId="1" shapeId="0" xr:uid="{174F2855-CC05-4879-8775-1DEF9157E026}">
      <text>
        <r>
          <rPr>
            <sz val="11"/>
            <color theme="1"/>
            <rFont val="Calibri"/>
            <family val="2"/>
            <scheme val="minor"/>
          </rPr>
          <t>Kaylil Baptiste:
7 cases missing labels-Carib 
210 cases damaged cases-Carib</t>
        </r>
      </text>
    </comment>
    <comment ref="S8" authorId="1" shapeId="0" xr:uid="{E759C96D-8112-4222-B1B4-2C130D4B972F}">
      <text>
        <r>
          <rPr>
            <sz val="11"/>
            <color theme="1"/>
            <rFont val="Calibri"/>
            <family val="2"/>
            <scheme val="minor"/>
          </rPr>
          <t>Kaylil Baptiste:
42 cases missing labels Stag
45 cases missing label Carib
280 cases broken and dirty crates</t>
        </r>
      </text>
    </comment>
    <comment ref="T8" authorId="1" shapeId="0" xr:uid="{C626CB4E-D49D-4057-BF5F-BF98A39B9D99}">
      <text>
        <r>
          <rPr>
            <sz val="11"/>
            <color theme="1"/>
            <rFont val="Calibri"/>
            <family val="2"/>
            <scheme val="minor"/>
          </rPr>
          <t>Kaylil Baptiste:
42 cases missing labels applied Stag
45 cases missing label applied Carib
280 cases transferred from broken and dirty crates on 15th May @12:28pm</t>
        </r>
      </text>
    </comment>
    <comment ref="S9" authorId="1" shapeId="0" xr:uid="{81504428-2BB0-4C70-A29C-BBB51FBB3414}">
      <text>
        <r>
          <rPr>
            <sz val="11"/>
            <color theme="1"/>
            <rFont val="Calibri"/>
            <family val="2"/>
            <scheme val="minor"/>
          </rPr>
          <t>Kaylil Baptiste:
19cases missing Stag labels</t>
        </r>
      </text>
    </comment>
    <comment ref="S13" authorId="1" shapeId="0" xr:uid="{CDAAA20B-D0D4-4D13-AEA3-9FDC6AAC0164}">
      <text>
        <r>
          <rPr>
            <sz val="11"/>
            <color theme="1"/>
            <rFont val="Calibri"/>
            <family val="2"/>
            <scheme val="minor"/>
          </rPr>
          <t>Kaylil Baptiste:
109 cases Stag missing labels</t>
        </r>
      </text>
    </comment>
    <comment ref="S21" authorId="1" shapeId="0" xr:uid="{C11AD5FE-147B-4BB0-B67A-F7B18067A5BE}">
      <text>
        <r>
          <rPr>
            <sz val="11"/>
            <color theme="1"/>
            <rFont val="Calibri"/>
            <family val="2"/>
            <scheme val="minor"/>
          </rPr>
          <t>Kaylil Baptiste:
41cases 17pints Carib Flint</t>
        </r>
      </text>
    </comment>
    <comment ref="T21" authorId="1" shapeId="0" xr:uid="{EECDE521-3EC2-401E-9A74-FF43BBDE0ADE}">
      <text>
        <r>
          <rPr>
            <sz val="11"/>
            <color theme="1"/>
            <rFont val="Calibri"/>
            <family val="2"/>
            <scheme val="minor"/>
          </rPr>
          <t>Kaylil Baptiste:
41cases 17pints Carib Flint triangular tasting done</t>
        </r>
      </text>
    </comment>
    <comment ref="S22" authorId="1" shapeId="0" xr:uid="{E793D82B-19F0-4535-967D-CA15F6F7FD9A}">
      <text>
        <r>
          <rPr>
            <sz val="11"/>
            <color theme="1"/>
            <rFont val="Calibri"/>
            <family val="2"/>
            <scheme val="minor"/>
          </rPr>
          <t>Kaylil Baptiste:
5 cases Carib Amber missing labels</t>
        </r>
      </text>
    </comment>
    <comment ref="S29" authorId="1" shapeId="0" xr:uid="{3F6454C7-019E-476D-A423-2AA5958A06EF}">
      <text>
        <r>
          <rPr>
            <sz val="11"/>
            <color theme="1"/>
            <rFont val="Calibri"/>
            <family val="2"/>
            <scheme val="minor"/>
          </rPr>
          <t>Kaylil Baptiste:
13cases Shandy Ginger Export missing labels
3cases Shandy Sorrel missing labels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Kaylil Baptiste</author>
    <author>Reshelle Fleming</author>
  </authors>
  <commentList>
    <comment ref="S3" authorId="0" shapeId="0" xr:uid="{7D088B94-1522-41C3-94A6-DD944FCC93B8}">
      <text>
        <r>
          <rPr>
            <sz val="11"/>
            <color theme="1"/>
            <rFont val="Calibri"/>
            <family val="2"/>
            <scheme val="minor"/>
          </rPr>
          <t>Kaylil Baptiste:
9cases Vitamalt fos missing labels
13cases Stag for missing labels</t>
        </r>
      </text>
    </comment>
    <comment ref="T3" authorId="0" shapeId="0" xr:uid="{383573CD-E62F-4755-B587-68E069EA527F}">
      <text>
        <r>
          <rPr>
            <sz val="11"/>
            <color theme="1"/>
            <rFont val="Calibri"/>
            <family val="2"/>
            <scheme val="minor"/>
          </rPr>
          <t>Kaylil Baptiste:
14 cases released- Fill volumes deemed acceptable</t>
        </r>
      </text>
    </comment>
    <comment ref="S4" authorId="0" shapeId="0" xr:uid="{95C6C8D0-FEEB-4721-81CB-2B0AFF2769BD}">
      <text>
        <r>
          <rPr>
            <sz val="11"/>
            <color theme="1"/>
            <rFont val="Calibri"/>
            <family val="2"/>
            <scheme val="minor"/>
          </rPr>
          <t>Kaylil Baptiste:
24cases Stag missing labels</t>
        </r>
      </text>
    </comment>
    <comment ref="S5" authorId="0" shapeId="0" xr:uid="{67114C13-BD52-48EB-B430-86534CEC045E}">
      <text>
        <r>
          <rPr>
            <sz val="11"/>
            <color theme="1"/>
            <rFont val="Calibri"/>
            <family val="2"/>
            <scheme val="minor"/>
          </rPr>
          <t>Kaylil Baptiste:
10case Carib Flint missing labels
8cases Stag missing labels</t>
        </r>
      </text>
    </comment>
    <comment ref="T5" authorId="0" shapeId="0" xr:uid="{B3593B19-7CC6-491C-8DA8-AEF8D984EEA4}">
      <text>
        <r>
          <rPr>
            <sz val="11"/>
            <color theme="1"/>
            <rFont val="Calibri"/>
            <family val="2"/>
            <scheme val="minor"/>
          </rPr>
          <t xml:space="preserve">Kaylil Baptiste:
9case relabeled </t>
        </r>
      </text>
    </comment>
    <comment ref="S6" authorId="0" shapeId="0" xr:uid="{3FC71D1B-9261-4C69-AB8E-5876E5184EBC}">
      <text>
        <r>
          <rPr>
            <sz val="11"/>
            <color theme="1"/>
            <rFont val="Calibri"/>
            <family val="2"/>
            <scheme val="minor"/>
          </rPr>
          <t>Kaylil Baptiste:
15cases Guinn missing labels
37pints Carib Flint missing labels</t>
        </r>
      </text>
    </comment>
    <comment ref="S7" authorId="0" shapeId="0" xr:uid="{76F0177F-1682-4CAA-924F-2507D572AA16}">
      <text>
        <r>
          <rPr>
            <sz val="11"/>
            <color theme="1"/>
            <rFont val="Calibri"/>
            <family val="2"/>
            <scheme val="minor"/>
          </rPr>
          <t>Kaylil Baptiste:
7cases 18pints Guinness missing labels
23cases 18pints Guinness missing labels
7cases Caribe Rose missing labels</t>
        </r>
      </text>
    </comment>
    <comment ref="T7" authorId="0" shapeId="0" xr:uid="{FBCD1370-B2F3-49FD-A776-998F3FDCB1F0}">
      <text>
        <r>
          <rPr>
            <sz val="11"/>
            <color theme="1"/>
            <rFont val="Calibri"/>
            <family val="2"/>
            <scheme val="minor"/>
          </rPr>
          <t>Kaylil Baptiste:
23cases + 18pints missing labels reworked- Guinness
14cases Guinnes labels rworked</t>
        </r>
      </text>
    </comment>
    <comment ref="S8" authorId="0" shapeId="0" xr:uid="{4FF17BB1-543D-40CD-95EA-8B18044D8BF9}">
      <text>
        <r>
          <rPr>
            <sz val="11"/>
            <color theme="1"/>
            <rFont val="Calibri"/>
            <family val="2"/>
            <scheme val="minor"/>
          </rPr>
          <t>Kaylil Baptiste:
26cases Carib Amber missing labels</t>
        </r>
      </text>
    </comment>
    <comment ref="T8" authorId="0" shapeId="0" xr:uid="{F676F5F6-43A5-4192-9681-DA6277CA382B}">
      <text>
        <r>
          <rPr>
            <sz val="11"/>
            <color theme="1"/>
            <rFont val="Calibri"/>
            <family val="2"/>
            <scheme val="minor"/>
          </rPr>
          <t>Kaylil Baptiste:
7cases + 20 pints Carib Amber
26cases Carib Amber labels reworked
15cases Carib Flint transferred to cartons released 29th July @ 1:59pm</t>
        </r>
      </text>
    </comment>
    <comment ref="S9" authorId="0" shapeId="0" xr:uid="{EA9A0E33-F066-4FE9-B557-B4A3F41EEE34}">
      <text>
        <r>
          <rPr>
            <sz val="11"/>
            <color theme="1"/>
            <rFont val="Calibri"/>
            <family val="2"/>
            <scheme val="minor"/>
          </rPr>
          <t>Kaylil Baptiste:
5cases Carib Amber</t>
        </r>
      </text>
    </comment>
    <comment ref="T9" authorId="0" shapeId="0" xr:uid="{D74833E5-49A1-4FA3-BA38-FC73593A042F}">
      <text>
        <r>
          <rPr>
            <b/>
            <sz val="9"/>
            <color indexed="81"/>
            <rFont val="Tahoma"/>
            <family val="2"/>
          </rPr>
          <t>Kaylil Baptiste:</t>
        </r>
        <r>
          <rPr>
            <sz val="9"/>
            <color indexed="81"/>
            <rFont val="Tahoma"/>
            <family val="2"/>
          </rPr>
          <t xml:space="preserve">
5 cases + 2pint Carib Amber labels reworked</t>
        </r>
      </text>
    </comment>
    <comment ref="S10" authorId="0" shapeId="0" xr:uid="{E4E4C20A-9F85-4185-AD53-DA4C8BA3025F}">
      <text>
        <r>
          <rPr>
            <sz val="11"/>
            <color theme="1"/>
            <rFont val="Calibri"/>
            <family val="2"/>
            <scheme val="minor"/>
          </rPr>
          <t>Kaylil Baptiste:
8cases CAribe Rose missing labels, 1case Carib Amber missing labels</t>
        </r>
      </text>
    </comment>
    <comment ref="T10" authorId="0" shapeId="0" xr:uid="{569031C9-D9A0-4372-8CAC-61C0F7B39C67}">
      <text>
        <r>
          <rPr>
            <sz val="11"/>
            <color theme="1"/>
            <rFont val="Calibri"/>
            <family val="2"/>
            <scheme val="minor"/>
          </rPr>
          <t>Kaylil Baptiste:
13cases Caribe Rose released</t>
        </r>
      </text>
    </comment>
    <comment ref="S11" authorId="0" shapeId="0" xr:uid="{CC86E45E-D6E2-43B3-A3C6-EA46D49C8363}">
      <text>
        <r>
          <rPr>
            <sz val="11"/>
            <color theme="1"/>
            <rFont val="Calibri"/>
            <family val="2"/>
            <scheme val="minor"/>
          </rPr>
          <t>Kaylil Baptiste:
14cases Guinn missing labels</t>
        </r>
      </text>
    </comment>
    <comment ref="T11" authorId="0" shapeId="0" xr:uid="{596907EF-A460-42A8-8E1A-F077BF971CAC}">
      <text>
        <r>
          <rPr>
            <sz val="11"/>
            <color theme="1"/>
            <rFont val="Calibri"/>
            <family val="2"/>
            <scheme val="minor"/>
          </rPr>
          <t>Kaylil Baptiste:
14cases +17 pints relabeled</t>
        </r>
      </text>
    </comment>
    <comment ref="S12" authorId="0" shapeId="0" xr:uid="{B07D28A3-6E65-4A88-AE72-BFBE363AADFE}">
      <text>
        <r>
          <rPr>
            <sz val="11"/>
            <color theme="1"/>
            <rFont val="Calibri"/>
            <family val="2"/>
            <scheme val="minor"/>
          </rPr>
          <t xml:space="preserve">Kaylil Baptiste:
1 case Mackeson damaged labels </t>
        </r>
      </text>
    </comment>
    <comment ref="S14" authorId="0" shapeId="0" xr:uid="{7DCC32BD-C864-4059-B0DE-206EE7F97351}">
      <text>
        <r>
          <rPr>
            <sz val="11"/>
            <color theme="1"/>
            <rFont val="Calibri"/>
            <family val="2"/>
            <scheme val="minor"/>
          </rPr>
          <t>Kaylil Baptiste:
2 pallets and 12 cases missing labels insufficient labels on plant</t>
        </r>
      </text>
    </comment>
    <comment ref="S15" authorId="0" shapeId="0" xr:uid="{1C597561-0DB1-440E-89A2-B9362E346C03}">
      <text>
        <r>
          <rPr>
            <sz val="11"/>
            <color theme="1"/>
            <rFont val="Calibri"/>
            <family val="2"/>
            <scheme val="minor"/>
          </rPr>
          <t>Kaylil Baptiste:
70cases missing labels</t>
        </r>
      </text>
    </comment>
    <comment ref="S16" authorId="0" shapeId="0" xr:uid="{4A33DBF9-AD5E-421B-88F5-23AC254167D0}">
      <text>
        <r>
          <rPr>
            <sz val="11"/>
            <color theme="1"/>
            <rFont val="Calibri"/>
            <family val="2"/>
            <scheme val="minor"/>
          </rPr>
          <t>Kaylil Baptiste:
280cases high PU
25cases missing labels</t>
        </r>
      </text>
    </comment>
    <comment ref="T16" authorId="0" shapeId="0" xr:uid="{41B4A5EE-DAF1-4A7C-A829-6D7FD470F5A3}">
      <text>
        <r>
          <rPr>
            <sz val="11"/>
            <color theme="1"/>
            <rFont val="Calibri"/>
            <family val="2"/>
            <scheme val="minor"/>
          </rPr>
          <t xml:space="preserve">Kaylil Baptiste:
24cases 11pints relabeled
280cases triangular tasting done </t>
        </r>
      </text>
    </comment>
    <comment ref="S18" authorId="1" shapeId="0" xr:uid="{3E3E7FBC-7780-4DE1-B379-97E0AE17C820}">
      <text>
        <r>
          <rPr>
            <sz val="11"/>
            <color theme="1"/>
            <rFont val="Calibri"/>
            <family val="2"/>
            <scheme val="minor"/>
          </rPr>
          <t xml:space="preserve">Reshelle Fleming:
4 pallets stag for immediate release into trade </t>
        </r>
      </text>
    </comment>
    <comment ref="T18" authorId="0" shapeId="0" xr:uid="{A25BB127-85CB-4A01-81E5-03AB47F4D1B8}">
      <text>
        <r>
          <rPr>
            <sz val="11"/>
            <color theme="1"/>
            <rFont val="Calibri"/>
            <family val="2"/>
            <scheme val="minor"/>
          </rPr>
          <t>Kaylil Baptiste:
185cases Stag released for special events 07/11/25</t>
        </r>
      </text>
    </comment>
    <comment ref="S20" authorId="0" shapeId="0" xr:uid="{60406A61-69A9-4679-9299-DD6E8B70FB1E}">
      <text>
        <r>
          <rPr>
            <sz val="11"/>
            <color theme="1"/>
            <rFont val="Calibri"/>
            <family val="2"/>
            <scheme val="minor"/>
          </rPr>
          <t>Kaylil Baptiste:
Carib Flint missing crate lids</t>
        </r>
      </text>
    </comment>
    <comment ref="T20" authorId="0" shapeId="0" xr:uid="{852AABFB-CDA0-4B64-ACF6-7971D4739D95}">
      <text>
        <r>
          <rPr>
            <sz val="11"/>
            <color theme="1"/>
            <rFont val="Calibri"/>
            <family val="2"/>
            <scheme val="minor"/>
          </rPr>
          <t>Kaylil Baptiste:
38 cases Carib Flint transfered to cartons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5" authorId="0" shapeId="0" xr:uid="{24B22E0B-E542-42CA-8155-E2D75B6AFE85}">
      <text>
        <r>
          <rPr>
            <sz val="11"/>
            <color theme="1"/>
            <rFont val="Calibri"/>
            <family val="2"/>
            <scheme val="minor"/>
          </rPr>
          <t>Kaylil Baptiste:
13cases Shandy Ginger Export missing labels
3cases Shandy Sorrel missing labels</t>
        </r>
      </text>
    </comment>
    <comment ref="T5" authorId="0" shapeId="0" xr:uid="{09868538-5594-4B36-96A7-F70237DE71D7}">
      <text>
        <r>
          <rPr>
            <sz val="11"/>
            <color theme="1"/>
            <rFont val="Calibri"/>
            <family val="2"/>
            <scheme val="minor"/>
          </rPr>
          <t>Kaylil Baptiste:
12 cases Shandy Ginger relabeled
5cases Shandy Sorrel relabeled</t>
        </r>
      </text>
    </comment>
    <comment ref="S6" authorId="0" shapeId="0" xr:uid="{3464F6C6-944B-4990-90B7-C52A3B77492D}">
      <text>
        <r>
          <rPr>
            <sz val="11"/>
            <color theme="1"/>
            <rFont val="Calibri"/>
            <family val="2"/>
            <scheme val="minor"/>
          </rPr>
          <t xml:space="preserve">Kaylil Baptiste:
18cases Carib Amber missing labels </t>
        </r>
      </text>
    </comment>
    <comment ref="S7" authorId="0" shapeId="0" xr:uid="{69F4EA7D-B002-496C-85FE-D80EAE7518E3}">
      <text>
        <r>
          <rPr>
            <sz val="11"/>
            <color theme="1"/>
            <rFont val="Calibri"/>
            <family val="2"/>
            <scheme val="minor"/>
          </rPr>
          <t>Kaylil Baptiste:
17cases Starmalt  on hold</t>
        </r>
      </text>
    </comment>
    <comment ref="S8" authorId="0" shapeId="0" xr:uid="{F09F31EA-AD56-41D2-B9AA-B571767E7DD3}">
      <text>
        <r>
          <rPr>
            <sz val="11"/>
            <color theme="1"/>
            <rFont val="Calibri"/>
            <family val="2"/>
            <scheme val="minor"/>
          </rPr>
          <t>Kaylil Baptiste:
254cases Ting Orginal low PU</t>
        </r>
      </text>
    </comment>
    <comment ref="T8" authorId="0" shapeId="0" xr:uid="{61B0A6EA-FFE1-4025-9DD8-A2B6D9318C2A}">
      <text>
        <r>
          <rPr>
            <sz val="11"/>
            <color theme="1"/>
            <rFont val="Calibri"/>
            <family val="2"/>
            <scheme val="minor"/>
          </rPr>
          <t>Kaylil Baptiste:
4 cases Hurricane Reef relabeled</t>
        </r>
      </text>
    </comment>
    <comment ref="S9" authorId="0" shapeId="0" xr:uid="{4BD42C9F-CE92-46D1-BBC9-257B71E9AED3}">
      <text>
        <r>
          <rPr>
            <sz val="11"/>
            <color theme="1"/>
            <rFont val="Calibri"/>
            <family val="2"/>
            <scheme val="minor"/>
          </rPr>
          <t xml:space="preserve">Kaylil Baptiste:
653cases Pink Ting </t>
        </r>
      </text>
    </comment>
    <comment ref="T9" authorId="0" shapeId="0" xr:uid="{63DDB55D-9083-40FB-8370-859645A1E597}">
      <text>
        <r>
          <rPr>
            <sz val="11"/>
            <color theme="1"/>
            <rFont val="Calibri"/>
            <family val="2"/>
            <scheme val="minor"/>
          </rPr>
          <t>Kaylil Baptiste:
653cases Pink Ting repasteurized, micro test completed and tasting</t>
        </r>
      </text>
    </comment>
    <comment ref="S10" authorId="0" shapeId="0" xr:uid="{FA5C94DA-9765-4C58-A832-F1685305028D}">
      <text>
        <r>
          <rPr>
            <sz val="11"/>
            <color theme="1"/>
            <rFont val="Calibri"/>
            <family val="2"/>
            <scheme val="minor"/>
          </rPr>
          <t xml:space="preserve">Kaylil Baptiste:
505cases Carib Amber no labels
117cases Pink Ting high pulp in product </t>
        </r>
      </text>
    </comment>
    <comment ref="T10" authorId="0" shapeId="0" xr:uid="{1A9EC3A0-71A6-4451-9604-65811B63997D}">
      <text>
        <r>
          <rPr>
            <sz val="11"/>
            <color theme="1"/>
            <rFont val="Calibri"/>
            <family val="2"/>
            <scheme val="minor"/>
          </rPr>
          <t>Kaylil Baptiste:
140cases Pink ting immediate release to trade
70cases Stag immediate release to trade
47cases Pink Ting pulp sorted released 1:59pm July 10th</t>
        </r>
      </text>
    </comment>
    <comment ref="S11" authorId="0" shapeId="0" xr:uid="{009F2B68-ACDA-46B1-80C7-3B2CEAF4D99B}">
      <text>
        <r>
          <rPr>
            <sz val="11"/>
            <color theme="1"/>
            <rFont val="Calibri"/>
            <family val="2"/>
            <scheme val="minor"/>
          </rPr>
          <t>Kaylil Baptiste:
6cases Carib Amber missing labels</t>
        </r>
      </text>
    </comment>
    <comment ref="S13" authorId="0" shapeId="0" xr:uid="{7A09FD0A-74E4-43F8-BD1E-D7043D01A605}">
      <text>
        <r>
          <rPr>
            <sz val="11"/>
            <color theme="1"/>
            <rFont val="Calibri"/>
            <family val="2"/>
            <scheme val="minor"/>
          </rPr>
          <t>Kaylil Baptiste:
5cases missing labels</t>
        </r>
      </text>
    </comment>
    <comment ref="S14" authorId="0" shapeId="0" xr:uid="{0C3B81B3-C7A9-4793-A46D-51B716E9847F}">
      <text>
        <r>
          <rPr>
            <sz val="11"/>
            <color theme="1"/>
            <rFont val="Calibri"/>
            <family val="2"/>
            <scheme val="minor"/>
          </rPr>
          <t>Kaylil Baptiste:
473 cases Carib Amber missing labels (no labels on plant)
12cases Vitamalt missing labels</t>
        </r>
      </text>
    </comment>
    <comment ref="T14" authorId="0" shapeId="0" xr:uid="{4D468495-65D0-4939-940F-431078BF4B22}">
      <text>
        <r>
          <rPr>
            <sz val="11"/>
            <color theme="1"/>
            <rFont val="Calibri"/>
            <family val="2"/>
            <scheme val="minor"/>
          </rPr>
          <t>Kaylil Baptiste:
62 cases Stag transferred into good crates
402 cases stag relabeled June 21st 3pm</t>
        </r>
      </text>
    </comment>
    <comment ref="S16" authorId="0" shapeId="0" xr:uid="{8F5B8251-B7F3-47BB-A59B-05DF5894C4F7}">
      <text>
        <r>
          <rPr>
            <sz val="11"/>
            <color theme="1"/>
            <rFont val="Calibri"/>
            <family val="2"/>
            <scheme val="minor"/>
          </rPr>
          <t>Kaylil Baptiste:
74cases on hold for low PU</t>
        </r>
      </text>
    </comment>
    <comment ref="T16" authorId="0" shapeId="0" xr:uid="{F90E072B-523D-4756-9F05-1993E52EBDBE}">
      <text>
        <r>
          <rPr>
            <sz val="11"/>
            <color theme="1"/>
            <rFont val="Calibri"/>
            <family val="2"/>
            <scheme val="minor"/>
          </rPr>
          <t>Kaylil Baptiste:
280cases Ginseng Original negative for microbes</t>
        </r>
      </text>
    </comment>
    <comment ref="S17" authorId="0" shapeId="0" xr:uid="{F738D8E9-A290-45CE-866C-1947A483ED16}">
      <text>
        <r>
          <rPr>
            <sz val="11"/>
            <color theme="1"/>
            <rFont val="Calibri"/>
            <family val="2"/>
            <scheme val="minor"/>
          </rPr>
          <t>Kaylil Baptiste:
221cases Carib Amber missing labels
12cases Ginseng Apple missing labels</t>
        </r>
      </text>
    </comment>
    <comment ref="S19" authorId="0" shapeId="0" xr:uid="{2AB04255-2D4B-4D5E-8300-28BABA1CFED7}">
      <text>
        <r>
          <rPr>
            <sz val="11"/>
            <color theme="1"/>
            <rFont val="Calibri"/>
            <family val="2"/>
            <scheme val="minor"/>
          </rPr>
          <t>Kaylil Baptiste:
11cases HR-APA missing labels
7cases HR-IPA missing labels
11cases Stag missing labels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T3" authorId="0" shapeId="0" xr:uid="{70FADBC8-C2BE-48AE-B3DB-0A0D21111B41}">
      <text>
        <r>
          <rPr>
            <sz val="11"/>
            <color theme="1"/>
            <rFont val="Calibri"/>
            <family val="2"/>
            <scheme val="minor"/>
          </rPr>
          <t>Kaylil Baptiste:
151 cases Starmalt released recoded with correct code
357 cases Starmalt released for Special event on August 7th 2:00pm</t>
        </r>
      </text>
    </comment>
    <comment ref="S5" authorId="0" shapeId="0" xr:uid="{50C011BC-2C01-4C59-A6F4-832FDD57F1BC}">
      <text>
        <r>
          <rPr>
            <sz val="11"/>
            <color theme="1"/>
            <rFont val="Calibri"/>
            <family val="2"/>
            <scheme val="minor"/>
          </rPr>
          <t>Kaylil Baptiste:
221cases packaged using damaged crates</t>
        </r>
      </text>
    </comment>
    <comment ref="S7" authorId="0" shapeId="0" xr:uid="{B1E9B9C8-31E0-4861-B634-356B596D5CF8}">
      <text>
        <r>
          <rPr>
            <sz val="11"/>
            <color theme="1"/>
            <rFont val="Calibri"/>
            <family val="2"/>
            <scheme val="minor"/>
          </rPr>
          <t>Kaylil Baptiste:
620 cases damaged crates</t>
        </r>
      </text>
    </comment>
    <comment ref="S8" authorId="0" shapeId="0" xr:uid="{59D403A1-56C0-4785-A7EC-F0AC76C69880}">
      <text>
        <r>
          <rPr>
            <sz val="11"/>
            <color theme="1"/>
            <rFont val="Calibri"/>
            <family val="2"/>
            <scheme val="minor"/>
          </rPr>
          <t>Kaylil Baptiste:
67cases Carib + 13pints missing date code</t>
        </r>
      </text>
    </comment>
    <comment ref="T8" authorId="0" shapeId="0" xr:uid="{2BB0B43D-C508-4F7E-8530-F55244E84C15}">
      <text>
        <r>
          <rPr>
            <sz val="11"/>
            <color theme="1"/>
            <rFont val="Calibri"/>
            <family val="2"/>
            <scheme val="minor"/>
          </rPr>
          <t>Kaylil Baptiste:
67cases Carib + 13pints date code applied 
350cases Carib Amber transferred into new crates Aug 14th</t>
        </r>
      </text>
    </comment>
    <comment ref="S11" authorId="0" shapeId="0" xr:uid="{1101FB64-F806-4064-917C-C46913A42EF1}">
      <text>
        <r>
          <rPr>
            <sz val="11"/>
            <color theme="1"/>
            <rFont val="Calibri"/>
            <family val="2"/>
            <scheme val="minor"/>
          </rPr>
          <t xml:space="preserve">Kaylil Baptiste:
2075 cases Shandy Sorrel Local missing labels </t>
        </r>
      </text>
    </comment>
    <comment ref="S12" authorId="0" shapeId="0" xr:uid="{A058ABD7-5D9C-4495-A084-EE58567899BD}">
      <text>
        <r>
          <rPr>
            <sz val="11"/>
            <color theme="1"/>
            <rFont val="Calibri"/>
            <family val="2"/>
            <scheme val="minor"/>
          </rPr>
          <t>Kaylil Baptiste:
1 case Pearsecco missing labels
1case Rose flagging labels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3" authorId="0" shapeId="0" xr:uid="{FD3F8D18-91FD-4FE8-950A-C0122B6182EE}">
      <text>
        <r>
          <rPr>
            <sz val="11"/>
            <color theme="1"/>
            <rFont val="Calibri"/>
            <family val="2"/>
            <scheme val="minor"/>
          </rPr>
          <t>Kaylil Baptiste:
18pints Carib Amber</t>
        </r>
      </text>
    </comment>
    <comment ref="S4" authorId="0" shapeId="0" xr:uid="{9C901BF4-2FC3-4919-85E6-06D805C9FD95}">
      <text>
        <r>
          <rPr>
            <sz val="11"/>
            <color theme="1"/>
            <rFont val="Calibri"/>
            <family val="2"/>
            <scheme val="minor"/>
          </rPr>
          <t>Kaylil Baptiste:
725cases Carib Flint wrong neck labels</t>
        </r>
      </text>
    </comment>
    <comment ref="S12" authorId="0" shapeId="0" xr:uid="{5F6772ED-2A98-4ED7-8F53-016C6E80D439}">
      <text>
        <r>
          <rPr>
            <sz val="11"/>
            <color theme="1"/>
            <rFont val="Calibri"/>
            <family val="2"/>
            <scheme val="minor"/>
          </rPr>
          <t>Kaylil Baptiste:
308cases foreign objects in crown</t>
        </r>
      </text>
    </comment>
    <comment ref="T12" authorId="0" shapeId="0" xr:uid="{EC46782E-6AB3-4F16-A08A-21B2B6100444}">
      <text>
        <r>
          <rPr>
            <sz val="11"/>
            <color theme="1"/>
            <rFont val="Calibri"/>
            <family val="2"/>
            <scheme val="minor"/>
          </rPr>
          <t>Kaylil Baptiste:
332 cases and 9pints released for special occassions (pouring events)</t>
        </r>
      </text>
    </comment>
    <comment ref="S17" authorId="0" shapeId="0" xr:uid="{9D88D78D-0B70-4180-B4B7-DC4919902790}">
      <text>
        <r>
          <rPr>
            <sz val="11"/>
            <color theme="1"/>
            <rFont val="Calibri"/>
            <family val="2"/>
            <scheme val="minor"/>
          </rPr>
          <t>Kaylil Baptiste:
15cases Carib Amber on hold</t>
        </r>
      </text>
    </comment>
    <comment ref="S19" authorId="0" shapeId="0" xr:uid="{C592D626-E34E-4B92-A2D4-AE5B062007CA}">
      <text>
        <r>
          <rPr>
            <sz val="11"/>
            <color theme="1"/>
            <rFont val="Calibri"/>
            <family val="2"/>
            <scheme val="minor"/>
          </rPr>
          <t xml:space="preserve">Kaylil Baptiste:
15cases Stag missing labels </t>
        </r>
      </text>
    </comment>
    <comment ref="T19" authorId="0" shapeId="0" xr:uid="{5EDC78D1-5C5E-4230-9339-C5E253991D42}">
      <text>
        <r>
          <rPr>
            <sz val="11"/>
            <color theme="1"/>
            <rFont val="Calibri"/>
            <family val="2"/>
            <scheme val="minor"/>
          </rPr>
          <t>Kaylil Baptiste:
15cases and 15pints relabeled</t>
        </r>
      </text>
    </comment>
    <comment ref="S20" authorId="0" shapeId="0" xr:uid="{013B556A-890F-46EB-BD6F-346B0E3D849F}">
      <text>
        <r>
          <rPr>
            <sz val="11"/>
            <color theme="1"/>
            <rFont val="Calibri"/>
            <family val="2"/>
            <scheme val="minor"/>
          </rPr>
          <t>Kaylil Baptiste:
23mins missing labels Guinn
2mins cases on hold for missing labels Carib Amber</t>
        </r>
      </text>
    </comment>
    <comment ref="T20" authorId="0" shapeId="0" xr:uid="{67A9DC32-4282-4FC8-B92C-C9F9D798351C}">
      <text>
        <r>
          <rPr>
            <sz val="11"/>
            <color theme="1"/>
            <rFont val="Calibri"/>
            <family val="2"/>
            <scheme val="minor"/>
          </rPr>
          <t>Kaylil Baptiste:
23 cases relabled</t>
        </r>
      </text>
    </comment>
    <comment ref="S21" authorId="0" shapeId="0" xr:uid="{F8E63D84-88AF-478E-A51A-1858435502A0}">
      <text>
        <r>
          <rPr>
            <sz val="11"/>
            <color theme="1"/>
            <rFont val="Calibri"/>
            <family val="2"/>
            <scheme val="minor"/>
          </rPr>
          <t>Kaylil Baptiste:
97cases Mackeson missing labels</t>
        </r>
      </text>
    </comment>
    <comment ref="T21" authorId="0" shapeId="0" xr:uid="{B25111B8-15BD-4125-95ED-59786D587F5C}">
      <text>
        <r>
          <rPr>
            <sz val="11"/>
            <color theme="1"/>
            <rFont val="Calibri"/>
            <family val="2"/>
            <scheme val="minor"/>
          </rPr>
          <t>Kaylil Baptiste:
48cases missing labels applied</t>
        </r>
      </text>
    </comment>
    <comment ref="S23" authorId="0" shapeId="0" xr:uid="{332AAE20-F079-40F8-85A0-BAD9E4CBD081}">
      <text>
        <r>
          <rPr>
            <sz val="11"/>
            <color theme="1"/>
            <rFont val="Calibri"/>
            <family val="2"/>
            <scheme val="minor"/>
          </rPr>
          <t>Kaylil Baptiste:
30 cases Shandy Lime Local missing date code</t>
        </r>
      </text>
    </comment>
    <comment ref="T23" authorId="0" shapeId="0" xr:uid="{5E7D0358-C9BC-4F4E-B95F-027D2DDC21A7}">
      <text>
        <r>
          <rPr>
            <sz val="11"/>
            <color theme="1"/>
            <rFont val="Calibri"/>
            <family val="2"/>
            <scheme val="minor"/>
          </rPr>
          <t>Kaylil Baptiste:
30cases Shandy Lime missing date code applied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4" authorId="0" shapeId="0" xr:uid="{B62EB884-C079-4223-B5D1-5910577C118E}">
      <text>
        <r>
          <rPr>
            <b/>
            <sz val="9"/>
            <color indexed="81"/>
            <rFont val="Tahoma"/>
            <family val="2"/>
          </rPr>
          <t>Kaylil Baptiste:</t>
        </r>
        <r>
          <rPr>
            <sz val="9"/>
            <color indexed="81"/>
            <rFont val="Tahoma"/>
            <family val="2"/>
          </rPr>
          <t xml:space="preserve">
12cases Carib Amber missing date code</t>
        </r>
      </text>
    </comment>
    <comment ref="S5" authorId="0" shapeId="0" xr:uid="{F0C3C883-2DCE-4EB0-8857-649F8F8C70EF}">
      <text>
        <r>
          <rPr>
            <sz val="11"/>
            <color theme="1"/>
            <rFont val="Calibri"/>
            <family val="2"/>
            <scheme val="minor"/>
          </rPr>
          <t>Kaylil Baptiste:
274cases Ting Original damaged crate</t>
        </r>
      </text>
    </comment>
    <comment ref="T5" authorId="0" shapeId="0" xr:uid="{6A50545B-9EB9-4A8C-A6E1-D427A2B5ED73}">
      <text>
        <r>
          <rPr>
            <sz val="11"/>
            <color theme="1"/>
            <rFont val="Calibri"/>
            <family val="2"/>
            <scheme val="minor"/>
          </rPr>
          <t>Kaylil Baptiste:
crates were cleaned- Carib Amber (144cases)</t>
        </r>
      </text>
    </comment>
    <comment ref="S6" authorId="0" shapeId="0" xr:uid="{CBB64C53-40AE-45FB-9663-D1C642A9113D}">
      <text>
        <r>
          <rPr>
            <sz val="11"/>
            <color theme="1"/>
            <rFont val="Calibri"/>
            <family val="2"/>
            <scheme val="minor"/>
          </rPr>
          <t>Kaylil Baptiste:
210 cases Ting original dirty crates</t>
        </r>
      </text>
    </comment>
    <comment ref="T6" authorId="0" shapeId="0" xr:uid="{33B39EEA-ADD3-4308-B108-CF7320B3EEFD}">
      <text>
        <r>
          <rPr>
            <sz val="11"/>
            <color theme="1"/>
            <rFont val="Calibri"/>
            <family val="2"/>
            <scheme val="minor"/>
          </rPr>
          <t>Kaylil Baptiste:
210 cases Ting original transferred to clean crates</t>
        </r>
      </text>
    </comment>
    <comment ref="S10" authorId="0" shapeId="0" xr:uid="{29406189-8857-46BF-B167-C579E2A3176E}">
      <text>
        <r>
          <rPr>
            <sz val="11"/>
            <color theme="1"/>
            <rFont val="Calibri"/>
            <family val="2"/>
            <scheme val="minor"/>
          </rPr>
          <t>Kaylil Baptiste:
95cases Kola Champagne missing date code</t>
        </r>
      </text>
    </comment>
    <comment ref="T10" authorId="0" shapeId="0" xr:uid="{9EC824E0-2454-453F-BD6F-C36EAD17DBD5}">
      <text>
        <r>
          <rPr>
            <sz val="11"/>
            <color theme="1"/>
            <rFont val="Calibri"/>
            <family val="2"/>
            <scheme val="minor"/>
          </rPr>
          <t>Kaylil Baptiste:
95cases Kola Champagne missing date code was applied to carton
60 cartons missing sticker transferred to crates to be sold locally (Nov 19th 3pm)</t>
        </r>
      </text>
    </comment>
    <comment ref="S12" authorId="0" shapeId="0" xr:uid="{7B1E5EB6-5ACE-45CA-8793-CCD83C1B8C9F}">
      <text>
        <r>
          <rPr>
            <sz val="11"/>
            <color theme="1"/>
            <rFont val="Calibri"/>
            <family val="2"/>
            <scheme val="minor"/>
          </rPr>
          <t>Kaylil Baptiste:
2cases, 19pints on hold for missing labels J. Cool Grape
2cases Stag missing labels</t>
        </r>
      </text>
    </comment>
    <comment ref="S14" authorId="0" shapeId="0" xr:uid="{299E3237-4F64-4441-8949-DDF5075D53E1}">
      <text>
        <r>
          <rPr>
            <sz val="11"/>
            <color theme="1"/>
            <rFont val="Calibri"/>
            <family val="2"/>
            <scheme val="minor"/>
          </rPr>
          <t>Kaylil Baptiste:
32cases Caribe Pearsecco missing date code
11cases Caribe Rose missing labels</t>
        </r>
      </text>
    </comment>
    <comment ref="S15" authorId="0" shapeId="0" xr:uid="{40556F2B-187E-4C38-98FB-E0643C120C97}">
      <text>
        <r>
          <rPr>
            <sz val="11"/>
            <color theme="1"/>
            <rFont val="Calibri"/>
            <family val="2"/>
            <scheme val="minor"/>
          </rPr>
          <t>Kaylil Baptiste:
5cases Carib Amber missing labels</t>
        </r>
      </text>
    </comment>
    <comment ref="S16" authorId="0" shapeId="0" xr:uid="{850B6651-4C24-4B39-9E30-0420DC7725E7}">
      <text>
        <r>
          <rPr>
            <sz val="11"/>
            <color theme="1"/>
            <rFont val="Calibri"/>
            <family val="2"/>
            <scheme val="minor"/>
          </rPr>
          <t>Kaylil Baptiste:
3cases missing labels</t>
        </r>
      </text>
    </comment>
    <comment ref="S18" authorId="0" shapeId="0" xr:uid="{0B50230E-B773-4F33-9D07-7C17A68DA382}">
      <text>
        <r>
          <rPr>
            <sz val="11"/>
            <color theme="1"/>
            <rFont val="Calibri"/>
            <family val="2"/>
            <scheme val="minor"/>
          </rPr>
          <t>Kaylil Baptiste:
7cases Carib Amber missing labels</t>
        </r>
      </text>
    </comment>
    <comment ref="S19" authorId="0" shapeId="0" xr:uid="{BCC6232E-2FF8-4B38-A332-8C5153229DB9}">
      <text>
        <r>
          <rPr>
            <sz val="11"/>
            <color theme="1"/>
            <rFont val="Calibri"/>
            <family val="2"/>
            <scheme val="minor"/>
          </rPr>
          <t>Kaylil Baptiste:
20cases Guinness low fills + missing labels</t>
        </r>
      </text>
    </comment>
    <comment ref="S20" authorId="0" shapeId="0" xr:uid="{0428926E-FD03-4364-AA60-A2282FCBE10D}">
      <text>
        <r>
          <rPr>
            <sz val="11"/>
            <color theme="1"/>
            <rFont val="Calibri"/>
            <family val="2"/>
            <scheme val="minor"/>
          </rPr>
          <t>Kaylil Baptiste:
3cases Carib Amber missing labels</t>
        </r>
      </text>
    </comment>
    <comment ref="S21" authorId="0" shapeId="0" xr:uid="{CE0CA814-3F39-4FD8-8DD0-B1BCC6E883F5}">
      <text>
        <r>
          <rPr>
            <sz val="11"/>
            <color theme="1"/>
            <rFont val="Calibri"/>
            <family val="2"/>
            <scheme val="minor"/>
          </rPr>
          <t>Kaylil Baptiste:
30cases Stag missing labels</t>
        </r>
      </text>
    </comment>
    <comment ref="S24" authorId="0" shapeId="0" xr:uid="{1266D1BC-5ADD-4300-9789-8871F40C0F1B}">
      <text>
        <r>
          <rPr>
            <sz val="11"/>
            <color theme="1"/>
            <rFont val="Calibri"/>
            <family val="2"/>
            <scheme val="minor"/>
          </rPr>
          <t>Kaylil Baptiste:
70cases Ginseng Original damaged crates</t>
        </r>
      </text>
    </comment>
    <comment ref="T24" authorId="0" shapeId="0" xr:uid="{BEB33F3D-45C3-413D-B40C-89FB0FE592DB}">
      <text>
        <r>
          <rPr>
            <sz val="11"/>
            <color theme="1"/>
            <rFont val="Calibri"/>
            <family val="2"/>
            <scheme val="minor"/>
          </rPr>
          <t>Kaylil Baptiste:
70 cases Ginseng Up Original transferred to confirming cases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3" authorId="0" shapeId="0" xr:uid="{4AD1D9CE-CB5E-4668-B300-6214BA7806F1}">
      <text>
        <r>
          <rPr>
            <sz val="11"/>
            <color theme="1"/>
            <rFont val="Calibri"/>
            <family val="2"/>
            <scheme val="minor"/>
          </rPr>
          <t>Kaylil Baptiste:
358cases Carib Flint Export (NR) missing date code</t>
        </r>
      </text>
    </comment>
    <comment ref="S6" authorId="0" shapeId="0" xr:uid="{DBEEAD29-6D52-4D05-98DA-A9F15292D9ED}">
      <text>
        <r>
          <rPr>
            <sz val="11"/>
            <color theme="1"/>
            <rFont val="Calibri"/>
            <family val="2"/>
            <scheme val="minor"/>
          </rPr>
          <t>Kaylil Baptiste:
731cases Vitamalt Classic damaged crates</t>
        </r>
      </text>
    </comment>
    <comment ref="T6" authorId="0" shapeId="0" xr:uid="{2A3C8890-E025-4823-98E6-CF2241050C12}">
      <text>
        <r>
          <rPr>
            <sz val="11"/>
            <color theme="1"/>
            <rFont val="Calibri"/>
            <family val="2"/>
            <scheme val="minor"/>
          </rPr>
          <t>Kaylil Baptiste:
731cases Vitamalt Classic damaged crates transferred
552cases Stag release Nov 12th</t>
        </r>
      </text>
    </comment>
    <comment ref="S7" authorId="0" shapeId="0" xr:uid="{E000173D-9CEE-4A7A-B45F-B1651D9AF6DA}">
      <text>
        <r>
          <rPr>
            <sz val="11"/>
            <color theme="1"/>
            <rFont val="Calibri"/>
            <family val="2"/>
            <scheme val="minor"/>
          </rPr>
          <t xml:space="preserve">Kaylil Baptiste:
1477Shandy Ginger damaged crates </t>
        </r>
      </text>
    </comment>
    <comment ref="T7" authorId="0" shapeId="0" xr:uid="{BFA6469B-37B7-4097-954B-049E439DD165}">
      <text>
        <r>
          <rPr>
            <sz val="11"/>
            <color theme="1"/>
            <rFont val="Calibri"/>
            <family val="2"/>
            <scheme val="minor"/>
          </rPr>
          <t>Kaylil Baptiste:
1477 cases Shandy Ginger transferred to confirming cases</t>
        </r>
      </text>
    </comment>
    <comment ref="S15" authorId="0" shapeId="0" xr:uid="{D0EBDAA2-E29B-4C41-A7E0-BACD46F6C496}">
      <text>
        <r>
          <rPr>
            <sz val="11"/>
            <color theme="1"/>
            <rFont val="Calibri"/>
            <family val="2"/>
            <scheme val="minor"/>
          </rPr>
          <t>Kaylil Baptiste:
18cases Stag Local missing labels</t>
        </r>
      </text>
    </comment>
    <comment ref="T15" authorId="0" shapeId="0" xr:uid="{8295FD1E-3847-4AB6-B330-D1A21FC7A50D}">
      <text>
        <r>
          <rPr>
            <sz val="11"/>
            <color theme="1"/>
            <rFont val="Calibri"/>
            <family val="2"/>
            <scheme val="minor"/>
          </rPr>
          <t>Kaylil Baptiste:
18 cases Stag Local missing labels attached</t>
        </r>
      </text>
    </comment>
    <comment ref="S17" authorId="0" shapeId="0" xr:uid="{B01D515F-05E9-4472-A6A1-F9CE3E5B8987}">
      <text>
        <r>
          <rPr>
            <sz val="11"/>
            <color theme="1"/>
            <rFont val="Calibri"/>
            <family val="2"/>
            <scheme val="minor"/>
          </rPr>
          <t>Kaylil Baptiste:
271cases Carib Amber damaged crates</t>
        </r>
      </text>
    </comment>
    <comment ref="T17" authorId="0" shapeId="0" xr:uid="{7DF992BB-54CF-40E4-ADF0-DF453CBFBA47}">
      <text>
        <r>
          <rPr>
            <sz val="11"/>
            <color theme="1"/>
            <rFont val="Calibri"/>
            <family val="2"/>
            <scheme val="minor"/>
          </rPr>
          <t>Kaylil Baptiste:
271cases Carib Amber transferred into good crates</t>
        </r>
      </text>
    </comment>
    <comment ref="S20" authorId="0" shapeId="0" xr:uid="{9FBD6A78-3589-49A5-8891-8FD8FC3F6843}">
      <text>
        <r>
          <rPr>
            <sz val="11"/>
            <color theme="1"/>
            <rFont val="Calibri"/>
            <family val="2"/>
            <scheme val="minor"/>
          </rPr>
          <t>Kaylil Baptiste:
71 cases 11pints Carib Flint Trial for EBI</t>
        </r>
      </text>
    </comment>
    <comment ref="T20" authorId="0" shapeId="0" xr:uid="{1C1CA930-A36B-4D11-9C9E-E0CE6BDA208A}">
      <text>
        <r>
          <rPr>
            <sz val="11"/>
            <color theme="1"/>
            <rFont val="Calibri"/>
            <family val="2"/>
            <scheme val="minor"/>
          </rPr>
          <t xml:space="preserve">Kaylil Baptiste:
all cases released no issues with product </t>
        </r>
      </text>
    </comment>
    <comment ref="S22" authorId="0" shapeId="0" xr:uid="{82D6A99C-C0AA-42E6-9192-D2A3261B8DE2}">
      <text>
        <r>
          <rPr>
            <sz val="11"/>
            <color theme="1"/>
            <rFont val="Calibri"/>
            <family val="2"/>
            <scheme val="minor"/>
          </rPr>
          <t>Kaylil Baptiste:
944cases Caribe Pearsecco missing date codes</t>
        </r>
      </text>
    </comment>
    <comment ref="T22" authorId="0" shapeId="0" xr:uid="{F1719AC7-EBC0-4198-B262-B08FEC3BF543}">
      <text>
        <r>
          <rPr>
            <sz val="11"/>
            <color theme="1"/>
            <rFont val="Calibri"/>
            <family val="2"/>
            <scheme val="minor"/>
          </rPr>
          <t xml:space="preserve">Kaylil Baptiste:
944cases Caribe Pearsecco missing date codes applied </t>
        </r>
      </text>
    </comment>
    <comment ref="R23" authorId="0" shapeId="0" xr:uid="{15652640-5F82-4BCA-A05D-99B571B69E71}">
      <text>
        <r>
          <rPr>
            <sz val="11"/>
            <color theme="1"/>
            <rFont val="Calibri"/>
            <family val="2"/>
            <scheme val="minor"/>
          </rPr>
          <t xml:space="preserve">Kaylil Baptiste:
6cases Caribe Rose missing labels (reworks done and added to the stock)
9cases Stag missing labels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S8" authorId="0" shapeId="0" xr:uid="{59A7B3DB-8EA5-49E8-8F82-9D5A22521E8E}">
      <text>
        <r>
          <rPr>
            <sz val="11"/>
            <color theme="1"/>
            <rFont val="Calibri"/>
            <family val="2"/>
            <scheme val="minor"/>
          </rPr>
          <t>Kaylil Baptiste:
106cases Stag damaged crates</t>
        </r>
      </text>
    </comment>
    <comment ref="T8" authorId="0" shapeId="0" xr:uid="{088F928E-5511-4F12-A4EC-2C1462C237D6}">
      <text>
        <r>
          <rPr>
            <sz val="11"/>
            <color theme="1"/>
            <rFont val="Calibri"/>
            <family val="2"/>
            <scheme val="minor"/>
          </rPr>
          <t>Kaylil Baptiste:
106cases Stag transferred to new crates</t>
        </r>
      </text>
    </comment>
    <comment ref="S9" authorId="0" shapeId="0" xr:uid="{69B51191-CC62-4463-9929-DFDD0FC3DDF5}">
      <text>
        <r>
          <rPr>
            <sz val="11"/>
            <color theme="1"/>
            <rFont val="Calibri"/>
            <family val="2"/>
            <scheme val="minor"/>
          </rPr>
          <t>Kaylil Baptiste:
1238cases Vitamalt damaged crates</t>
        </r>
      </text>
    </comment>
    <comment ref="T9" authorId="0" shapeId="0" xr:uid="{E91A9970-C545-459F-9BF8-88FF94F928B8}">
      <text>
        <r>
          <rPr>
            <sz val="11"/>
            <color theme="1"/>
            <rFont val="Calibri"/>
            <family val="2"/>
            <scheme val="minor"/>
          </rPr>
          <t>Kaylil Baptiste:
1238case Vitamalt transferred into good crates</t>
        </r>
      </text>
    </comment>
    <comment ref="S10" authorId="0" shapeId="0" xr:uid="{8532B5DF-50A2-4CF1-923E-79A0DBC568A6}">
      <text>
        <r>
          <rPr>
            <sz val="11"/>
            <color theme="1"/>
            <rFont val="Calibri"/>
            <family val="2"/>
            <scheme val="minor"/>
          </rPr>
          <t>Kaylil Baptiste:
159cases Guinness missing labels
19cases Vitamalt missing labels</t>
        </r>
      </text>
    </comment>
    <comment ref="T10" authorId="0" shapeId="0" xr:uid="{C48C9BDE-ED1F-4A08-984B-5C4B1FA80285}">
      <text>
        <r>
          <rPr>
            <sz val="11"/>
            <color theme="1"/>
            <rFont val="Calibri"/>
            <family val="2"/>
            <scheme val="minor"/>
          </rPr>
          <t xml:space="preserve">Kaylil Baptiste:
159cases Guinness labels applied 
19cases Vitamalt labels applied </t>
        </r>
      </text>
    </comment>
    <comment ref="S13" authorId="0" shapeId="0" xr:uid="{25D8C0AC-4AE3-4AA1-940B-ABBAE66695EF}">
      <text>
        <r>
          <rPr>
            <sz val="11"/>
            <color theme="1"/>
            <rFont val="Calibri"/>
            <family val="2"/>
            <scheme val="minor"/>
          </rPr>
          <t>Kaylil Baptiste:
183cases possible low PU without labels
36cases possible low PU with labels</t>
        </r>
      </text>
    </comment>
    <comment ref="T13" authorId="0" shapeId="0" xr:uid="{BD200309-D3F4-48EE-94E6-37EFDAA924DF}">
      <text>
        <r>
          <rPr>
            <sz val="11"/>
            <color theme="1"/>
            <rFont val="Calibri"/>
            <family val="2"/>
            <scheme val="minor"/>
          </rPr>
          <t>Kaylil Baptiste:
197cases re-pasteurized and labeled</t>
        </r>
      </text>
    </comment>
    <comment ref="S14" authorId="0" shapeId="0" xr:uid="{CD74B85C-38E7-44FB-8EA9-2911CB1D8159}">
      <text>
        <r>
          <rPr>
            <sz val="11"/>
            <color theme="1"/>
            <rFont val="Calibri"/>
            <family val="2"/>
            <scheme val="minor"/>
          </rPr>
          <t>Kaylil Baptiste:
4cases Starmalt missing labels</t>
        </r>
      </text>
    </comment>
    <comment ref="S23" authorId="0" shapeId="0" xr:uid="{11320B99-7342-438A-9161-7DE41410B201}">
      <text>
        <r>
          <rPr>
            <sz val="11"/>
            <color theme="1"/>
            <rFont val="Calibri"/>
            <family val="2"/>
            <scheme val="minor"/>
          </rPr>
          <t>Kaylil Baptiste:
20cases Carib missing labels</t>
        </r>
      </text>
    </comment>
    <comment ref="T23" authorId="0" shapeId="0" xr:uid="{A100FB3F-F3D6-4C6F-B473-7AE6DA37F5AB}">
      <text>
        <r>
          <rPr>
            <sz val="11"/>
            <color theme="1"/>
            <rFont val="Calibri"/>
            <family val="2"/>
            <scheme val="minor"/>
          </rPr>
          <t>Kaylil Baptiste:
20cases items reworked</t>
        </r>
      </text>
    </comment>
    <comment ref="S24" authorId="0" shapeId="0" xr:uid="{6E92446F-CEE2-4361-9057-34BD7E3C569D}">
      <text>
        <r>
          <rPr>
            <sz val="11"/>
            <color theme="1"/>
            <rFont val="Calibri"/>
            <family val="2"/>
            <scheme val="minor"/>
          </rPr>
          <t>Kaylil Baptiste:
13cases flagging neck labels</t>
        </r>
      </text>
    </comment>
    <comment ref="T24" authorId="0" shapeId="0" xr:uid="{EE6066DB-6BE6-4B59-A421-40DE9534DD26}">
      <text>
        <r>
          <rPr>
            <sz val="11"/>
            <color theme="1"/>
            <rFont val="Calibri"/>
            <family val="2"/>
            <scheme val="minor"/>
          </rPr>
          <t xml:space="preserve">Kaylil Baptiste:
13cases product reworked </t>
        </r>
      </text>
    </comment>
    <comment ref="S27" authorId="0" shapeId="0" xr:uid="{9012E2A1-1C3F-4C8D-99D1-CF8282DA1C2F}">
      <text>
        <r>
          <rPr>
            <sz val="11"/>
            <color theme="1"/>
            <rFont val="Calibri"/>
            <family val="2"/>
            <scheme val="minor"/>
          </rPr>
          <t>Kaylil Baptiste:
1 case Carib
210cases damaged crates</t>
        </r>
      </text>
    </comment>
    <comment ref="T27" authorId="0" shapeId="0" xr:uid="{E2709108-5958-4918-9D75-4E82795B2E76}">
      <text>
        <r>
          <rPr>
            <sz val="11"/>
            <color theme="1"/>
            <rFont val="Calibri"/>
            <family val="2"/>
            <scheme val="minor"/>
          </rPr>
          <t xml:space="preserve">Kaylil Baptiste:
1case to be used for social- Jan 8th
210cases Carib product transferred </t>
        </r>
      </text>
    </comment>
  </commentList>
</comments>
</file>

<file path=xl/sharedStrings.xml><?xml version="1.0" encoding="utf-8"?>
<sst xmlns="http://schemas.openxmlformats.org/spreadsheetml/2006/main" count="681" uniqueCount="197">
  <si>
    <t>OEE Calculation</t>
  </si>
  <si>
    <t>CARIB BREWERY</t>
  </si>
  <si>
    <t>SKU</t>
  </si>
  <si>
    <r>
      <t xml:space="preserve">Start Time
</t>
    </r>
    <r>
      <rPr>
        <sz val="8"/>
        <color theme="1"/>
        <rFont val="Calibri"/>
        <family val="2"/>
        <scheme val="minor"/>
      </rPr>
      <t>dd/mm/yyyy h:mm</t>
    </r>
  </si>
  <si>
    <r>
      <t xml:space="preserve">End Time
</t>
    </r>
    <r>
      <rPr>
        <sz val="8"/>
        <color theme="1"/>
        <rFont val="Calibri"/>
        <family val="2"/>
        <scheme val="minor"/>
      </rPr>
      <t>dd/mm/yyyy h:mm</t>
    </r>
    <r>
      <rPr>
        <sz val="11"/>
        <color theme="1"/>
        <rFont val="Calibri"/>
        <family val="2"/>
        <scheme val="minor"/>
      </rPr>
      <t xml:space="preserve">
</t>
    </r>
    <r>
      <rPr>
        <sz val="8"/>
        <color theme="1"/>
        <rFont val="Calibri"/>
        <family val="2"/>
        <scheme val="minor"/>
      </rPr>
      <t>(when production actually ends)</t>
    </r>
  </si>
  <si>
    <t>Available time /mins</t>
  </si>
  <si>
    <t>Changeover Standard time /mins</t>
  </si>
  <si>
    <t>Actual Changeover /mins</t>
  </si>
  <si>
    <t>Changeover Deviation /mins</t>
  </si>
  <si>
    <t>Total Breakdowns /mins</t>
  </si>
  <si>
    <t>Total Minor Stops /mins</t>
  </si>
  <si>
    <t>Availability (for OEE)</t>
  </si>
  <si>
    <t>Planned Downtime /mins</t>
  </si>
  <si>
    <t>External Downtime /mins</t>
  </si>
  <si>
    <t>Availability (for OEE Utilization)</t>
  </si>
  <si>
    <t>Nominal Speed</t>
  </si>
  <si>
    <t>Actual (Average) Speed</t>
  </si>
  <si>
    <t>Performance</t>
  </si>
  <si>
    <t>Total Products Produced /Cases</t>
  </si>
  <si>
    <t>Low Fill /Cases</t>
  </si>
  <si>
    <t>Embargo /cases</t>
  </si>
  <si>
    <t>Embargo release date</t>
  </si>
  <si>
    <t>Embargo Residence time /days</t>
  </si>
  <si>
    <t>Quality</t>
  </si>
  <si>
    <t>OEE</t>
  </si>
  <si>
    <t>OEE Utilization</t>
  </si>
  <si>
    <t>Stag Local to Carib Amber</t>
  </si>
  <si>
    <t>Carib Flint</t>
  </si>
  <si>
    <t>Carib Amber to Stag</t>
  </si>
  <si>
    <t>Stag to Carib Amber to Vitamal Classic</t>
  </si>
  <si>
    <t>VitaMalt Classic to Vitamalt Ginger to Guinness to Carib Amber</t>
  </si>
  <si>
    <t xml:space="preserve">Carib Amber </t>
  </si>
  <si>
    <t>Stag to Carib Amber</t>
  </si>
  <si>
    <t>Carib to Stag</t>
  </si>
  <si>
    <t>Stag Local to Mackason</t>
  </si>
  <si>
    <t>Starmalt</t>
  </si>
  <si>
    <t>Carib to Mackeson</t>
  </si>
  <si>
    <t>Carib Amber to Ginseng Original</t>
  </si>
  <si>
    <t>Carib Amber to Shandy lime</t>
  </si>
  <si>
    <t xml:space="preserve">Shandy Lime to Cider Pearcecco </t>
  </si>
  <si>
    <t>Cider Pearcecco to Carib</t>
  </si>
  <si>
    <t xml:space="preserve">Carib to Vitamalt Classic </t>
  </si>
  <si>
    <t>Total</t>
  </si>
  <si>
    <t>ytd</t>
  </si>
  <si>
    <t>Real</t>
  </si>
  <si>
    <t xml:space="preserve">Opportunity </t>
  </si>
  <si>
    <t xml:space="preserve">OEE </t>
  </si>
  <si>
    <t xml:space="preserve">OEE Utilization </t>
  </si>
  <si>
    <t xml:space="preserve">Vitamalt Classic to Vitamalt Ginger to Stag Local </t>
  </si>
  <si>
    <t xml:space="preserve">Stag Local to Carib Amber </t>
  </si>
  <si>
    <t xml:space="preserve">Carib Amber to Guinness </t>
  </si>
  <si>
    <t xml:space="preserve">Guinness to Hurricane Reef to Stag Local </t>
  </si>
  <si>
    <t xml:space="preserve">Carib Amber to Stag Local to Carib Amber </t>
  </si>
  <si>
    <t xml:space="preserve">Carib Amber to Stag Local </t>
  </si>
  <si>
    <t>Starmalt to Guinness</t>
  </si>
  <si>
    <t xml:space="preserve">Carib Amber to Pearsecco to Rose to Shandy Ginger </t>
  </si>
  <si>
    <t>Shandy Ginger to Ting to Shandy Sorrel</t>
  </si>
  <si>
    <t xml:space="preserve">Shandy Sorrel to Vita Malt to Club Soda to J Cool Kola Champayne </t>
  </si>
  <si>
    <t>J Cool Kola Champayne to Cream Soda to Grape to Carib Amber</t>
  </si>
  <si>
    <t>Carib Amber</t>
  </si>
  <si>
    <t xml:space="preserve">Carib Amber to Guinness to Carib Amber </t>
  </si>
  <si>
    <t>Carib Amber to Carib Flint Local to Stag</t>
  </si>
  <si>
    <t>Juicy Cool Club Soda to Banana to Cream Soda to Kola Champagne to Ginger to Grape</t>
  </si>
  <si>
    <t>Stag Local to Carib Amber to Ginseng Up Original</t>
  </si>
  <si>
    <t>Ginseng Up Original to Ginseng Up Apple to Juicy Cool Grape to Guinness</t>
  </si>
  <si>
    <t xml:space="preserve">Guinness to Starmalt </t>
  </si>
  <si>
    <t>Stag local</t>
  </si>
  <si>
    <t xml:space="preserve">Carib Amber to Stag to Starmalt </t>
  </si>
  <si>
    <t xml:space="preserve">Carib Amber to Stag </t>
  </si>
  <si>
    <t>Carib Amber to Carib Flint Local to Stag Local</t>
  </si>
  <si>
    <t xml:space="preserve">Guinness </t>
  </si>
  <si>
    <t>Carib Amber to Stag Local</t>
  </si>
  <si>
    <t>Vitamalt</t>
  </si>
  <si>
    <t xml:space="preserve">Stag Local </t>
  </si>
  <si>
    <t>Caribe Pearsecco</t>
  </si>
  <si>
    <t>Caribe Pearsecco to Rose to Carib Amber</t>
  </si>
  <si>
    <t xml:space="preserve">Carib Amber to Carib Flint Local </t>
  </si>
  <si>
    <t>Carib Flint Local to Stag Local</t>
  </si>
  <si>
    <t xml:space="preserve">Stag Local to Guinness to Starmalt </t>
  </si>
  <si>
    <t xml:space="preserve">Starmalt to Carib Amber to J.Cool Sorrel </t>
  </si>
  <si>
    <t>Carib Amber to Stag Local to Carib Amber</t>
  </si>
  <si>
    <t>Carib Amber to Carib Flint to Vitamalt</t>
  </si>
  <si>
    <t>Vitamalt Classic to Vitamalt Ginger to Ting</t>
  </si>
  <si>
    <t>Carib Amber to Guinness</t>
  </si>
  <si>
    <t>Guinness to Mackeson to Carib</t>
  </si>
  <si>
    <t>Stag Local</t>
  </si>
  <si>
    <t>Carib Amber to Guinness to Carib Amber</t>
  </si>
  <si>
    <t>Carib Amber to Shandy Lime Local to Shandy Lime Export</t>
  </si>
  <si>
    <t xml:space="preserve">Shandy Ginger Local to Shandy Ginger Export to Shandy Sorrel Export to Shandy Sorrel Local </t>
  </si>
  <si>
    <t>Shandy Sorrel Local to Carib Amber to Shandy Ginger (Export)</t>
  </si>
  <si>
    <t xml:space="preserve">Stag Local to Starmalt </t>
  </si>
  <si>
    <t>Starmalt  to Carib Amber</t>
  </si>
  <si>
    <t>Carib Amber toVitamalt Classic</t>
  </si>
  <si>
    <t xml:space="preserve">Vitamalt Classic </t>
  </si>
  <si>
    <t>Vitamalt Classic to Vitamalt Ginger to Stag Local</t>
  </si>
  <si>
    <t>Stag Local to Carib Amber to Carib Flint</t>
  </si>
  <si>
    <t xml:space="preserve">Carib Export to Carib Amber </t>
  </si>
  <si>
    <t>Stag Local to Guinness</t>
  </si>
  <si>
    <t xml:space="preserve">Carib Amber to Carib Flint </t>
  </si>
  <si>
    <t xml:space="preserve">Carib Flint to Carib Amber </t>
  </si>
  <si>
    <t>Vitamalt to Stag Local</t>
  </si>
  <si>
    <t>Carib Flint to Carib Amber to Starmalt to Guinness</t>
  </si>
  <si>
    <t>Guinness to Caribe Rose</t>
  </si>
  <si>
    <t xml:space="preserve"> Carib Amber</t>
  </si>
  <si>
    <t>Carib Amber to Carib Flint</t>
  </si>
  <si>
    <t>Carib Flint to Caribe Rose to Carib Amber</t>
  </si>
  <si>
    <t>Mackeson to Stag Local</t>
  </si>
  <si>
    <t>Carib Amber to Vitamalt Classic</t>
  </si>
  <si>
    <t>Vitamalt to Viltamalt Ginger to Starmalt</t>
  </si>
  <si>
    <t>Guinness to Carib Amber</t>
  </si>
  <si>
    <t xml:space="preserve">Stag Local to Carib Amber to Carib Flint to Carib Amber </t>
  </si>
  <si>
    <t>Carib Amber to Carib Flint to Ginseng Original</t>
  </si>
  <si>
    <t xml:space="preserve">Ginseng Original to Stag Local </t>
  </si>
  <si>
    <t xml:space="preserve"> </t>
  </si>
  <si>
    <t>Stag Local /Carib Amber/ Shandy Lime Local/ Shandy Ginger Local</t>
  </si>
  <si>
    <t>Shandy Ginger Local/ Shandy Ginger Export/ Shandy Sorrel Export/ Shandy Sorrel Local</t>
  </si>
  <si>
    <t xml:space="preserve">Carib Amber to Starmalt </t>
  </si>
  <si>
    <t>Hurricane Reef Local and Export to Ting Original</t>
  </si>
  <si>
    <t>Ting Original to Pink Ting</t>
  </si>
  <si>
    <t xml:space="preserve">Pink Ting to Carib Amber to Stag Local </t>
  </si>
  <si>
    <t xml:space="preserve">Carib Amber to Stag Local to Vitamalt Classic </t>
  </si>
  <si>
    <t>Vitamalt Classic to Guinness</t>
  </si>
  <si>
    <t>Guinness to Ginseng Original to Ginseng Apple</t>
  </si>
  <si>
    <t xml:space="preserve">Ginseng Apple to Carib Amber </t>
  </si>
  <si>
    <t xml:space="preserve">Hurricane Reef APA to Hurricane Reef IPA to Stag Local </t>
  </si>
  <si>
    <t>Starmalt to Carib Amber</t>
  </si>
  <si>
    <t>Vitamalt to Carib Amber</t>
  </si>
  <si>
    <t>Mackeson to Carib Amber</t>
  </si>
  <si>
    <t>Carib Amber to Shnady Ginger  Local to Shandy Ginger Export to Shandy Sorrel Export to Shandy Sorrel Local</t>
  </si>
  <si>
    <t>Caribe Pearsecco to Caribe Rose</t>
  </si>
  <si>
    <t>Caribe Rose to Vitamalt Classic to Carib Amber</t>
  </si>
  <si>
    <t>Carib Export</t>
  </si>
  <si>
    <t>Carib Export to Carib Amber to Guinness</t>
  </si>
  <si>
    <t xml:space="preserve">Stag Local to Carib Flint </t>
  </si>
  <si>
    <t>Carib Flint to Carib Amber</t>
  </si>
  <si>
    <t>Guinness</t>
  </si>
  <si>
    <t xml:space="preserve">Vitamalt Classic to Stag Local </t>
  </si>
  <si>
    <t>Carib Amber to Carib Flint to Carib Amber to Stag Local</t>
  </si>
  <si>
    <t xml:space="preserve">Carib Flint </t>
  </si>
  <si>
    <t>Carib Flint To Shandy Lime Exp to Shandy Lime Local to Shandy Ginger Exp to Shandy Ginger Local</t>
  </si>
  <si>
    <t>Availability</t>
  </si>
  <si>
    <t>Shandy Sorrel Local to Shandy Sorrel Export to Stag Local</t>
  </si>
  <si>
    <t>Stag Local to Starmalt to Carib Amber</t>
  </si>
  <si>
    <t>Carib Amber to Carib Flint to Ting Original</t>
  </si>
  <si>
    <t>Ting Original to Stag Local</t>
  </si>
  <si>
    <t>Guinness to J.Cool Cream Soda Export</t>
  </si>
  <si>
    <t>J. Cool Kola Champagne Export to J. Cool Ginger Export</t>
  </si>
  <si>
    <t xml:space="preserve">J. Cool Sorrel Export </t>
  </si>
  <si>
    <t>J. Cool Sorrel Export to J. Cool Grpe Export to Stag Local</t>
  </si>
  <si>
    <t>Stag to Caribe Pearsecco</t>
  </si>
  <si>
    <t xml:space="preserve">Caribe Pearsecco to Caribe Rose </t>
  </si>
  <si>
    <t>Caribe Rose to Carib Flint Export to Carib Flint Local to Carib Amber</t>
  </si>
  <si>
    <t>Stag to Carib Flint Local to Carib Amber</t>
  </si>
  <si>
    <t>Guiness to Stag to Carib Amber</t>
  </si>
  <si>
    <t>Carib Amber to Guinness to Stag</t>
  </si>
  <si>
    <t>Stag to Vitamalt</t>
  </si>
  <si>
    <t>Carib Amber to Carib Flint Export to Ginseng Original</t>
  </si>
  <si>
    <t>Ginseng Original to Carib Flint Export (NR) to Carib Flint Export (DT)</t>
  </si>
  <si>
    <t>Carib Flint Export (DT) to Carib Amber</t>
  </si>
  <si>
    <t>Carib Amber to Starmalt to Stag</t>
  </si>
  <si>
    <t xml:space="preserve">Stag to Vitamalt Classic </t>
  </si>
  <si>
    <t xml:space="preserve">Vitamalt Ginger to Shandy Lime to Shandy Ginger </t>
  </si>
  <si>
    <t>Carib Flint Export (NR) to Carib Flint Export (DT)</t>
  </si>
  <si>
    <t>Carib Flint Export (DT) to Carib Flint Local</t>
  </si>
  <si>
    <t>Carib Flint Local to Carib Amber</t>
  </si>
  <si>
    <t>Stag Local to Caribe Rose</t>
  </si>
  <si>
    <t>Caribe Rose to Guinness</t>
  </si>
  <si>
    <t>Carib Amber to Carib Flint Export to Carib Amber</t>
  </si>
  <si>
    <t>Carib Amber to Caribe Pearsecco (Export)</t>
  </si>
  <si>
    <t>Caribe Pearsecco (Export) to Caribe Rose (Export)</t>
  </si>
  <si>
    <t>Caribe Rose (Export) to Stag</t>
  </si>
  <si>
    <t>Carib Amber to Carib Flint Export</t>
  </si>
  <si>
    <t>Carib Flint to Caribe Rose to Stag Local</t>
  </si>
  <si>
    <t>Vitamalt Classic</t>
  </si>
  <si>
    <t>Carib Amber to Caribe Rose</t>
  </si>
  <si>
    <t>Caribe Rose</t>
  </si>
  <si>
    <t xml:space="preserve">Caribe Rose to Caribe Pearsecco to Starmalt </t>
  </si>
  <si>
    <t>Starmalt to Vitamalt Classic</t>
  </si>
  <si>
    <t>Vitamalt Classic to Stag</t>
  </si>
  <si>
    <t>Carib Flint Short to Carib Amber Short</t>
  </si>
  <si>
    <t xml:space="preserve">Carib Amber to Shandy Sorrel to Stag Local to Carib Amber </t>
  </si>
  <si>
    <t>Carib Amber to Starmalt</t>
  </si>
  <si>
    <t>January</t>
  </si>
  <si>
    <t>February</t>
  </si>
  <si>
    <t>March</t>
  </si>
  <si>
    <t>April</t>
  </si>
  <si>
    <t>May</t>
  </si>
  <si>
    <t>June</t>
  </si>
  <si>
    <t>July</t>
  </si>
  <si>
    <t>August</t>
  </si>
  <si>
    <t>September</t>
  </si>
  <si>
    <t>October</t>
  </si>
  <si>
    <t>November</t>
  </si>
  <si>
    <t>December</t>
  </si>
  <si>
    <t>YTD</t>
  </si>
  <si>
    <t>TARGET</t>
  </si>
  <si>
    <t>MTD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</si>
</sst>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8">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sz val="26"/>
      <color theme="0"/>
      <name val="Calibri"/>
      <family val="2"/>
      <scheme val="minor"/>
    </font>
    <font>
      <b/>
      <sz val="14"/>
      <color rgb="FFC00000"/>
      <name val="Calibri"/>
      <family val="2"/>
      <scheme val="minor"/>
    </font>
    <font>
      <b/>
      <sz val="22"/>
      <color theme="1"/>
      <name val="Calibri"/>
      <family val="2"/>
      <scheme val="minor"/>
    </font>
    <font>
      <sz val="22"/>
      <color theme="1"/>
      <name val="Calibri"/>
      <family val="2"/>
      <scheme val="minor"/>
    </font>
    <font>
      <sz val="8"/>
      <name val="Calibri"/>
      <family val="2"/>
      <scheme val="minor"/>
    </font>
    <font>
      <b/>
      <sz val="14"/>
      <color theme="1"/>
      <name val="Calibri"/>
      <family val="2"/>
      <scheme val="minor"/>
    </font>
    <font>
      <sz val="10"/>
      <name val="Arial"/>
      <family val="2"/>
    </font>
    <font>
      <sz val="9"/>
      <color indexed="81"/>
      <name val="Tahoma"/>
      <family val="2"/>
    </font>
    <font>
      <b/>
      <sz val="9"/>
      <color indexed="81"/>
      <name val="Tahoma"/>
      <family val="2"/>
    </font>
    <font>
      <b/>
      <sz val="11"/>
      <color indexed="81"/>
      <name val="Tahoma"/>
      <family val="2"/>
    </font>
    <font>
      <sz val="11"/>
      <color indexed="81"/>
      <name val="Tahoma"/>
      <family val="2"/>
    </font>
    <font>
      <b/>
      <sz val="14"/>
      <color indexed="81"/>
      <name val="Tahoma"/>
      <family val="2"/>
    </font>
    <font>
      <sz val="14"/>
      <color indexed="81"/>
      <name val="Tahoma"/>
      <family val="2"/>
    </font>
    <font>
      <sz val="11"/>
      <color rgb="FF242424"/>
      <name val="Aptos Narrow"/>
      <family val="2"/>
    </font>
  </fonts>
  <fills count="10">
    <fill>
      <patternFill patternType="none"/>
    </fill>
    <fill>
      <patternFill patternType="gray125"/>
    </fill>
    <fill>
      <patternFill patternType="solid">
        <fgColor theme="0" tint="-4.9989318521683403E-2"/>
        <bgColor indexed="64"/>
      </patternFill>
    </fill>
    <fill>
      <patternFill patternType="solid">
        <fgColor rgb="FF093A65"/>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0000"/>
        <bgColor indexed="64"/>
      </patternFill>
    </fill>
  </fills>
  <borders count="8">
    <border>
      <left/>
      <right/>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hair">
        <color indexed="64"/>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10" fillId="0" borderId="0"/>
  </cellStyleXfs>
  <cellXfs count="70">
    <xf numFmtId="0" fontId="0" fillId="0" borderId="0" xfId="0"/>
    <xf numFmtId="0" fontId="0" fillId="0" borderId="1" xfId="0" applyBorder="1" applyAlignment="1">
      <alignment horizontal="center" vertical="center" wrapText="1"/>
    </xf>
    <xf numFmtId="0" fontId="0" fillId="0" borderId="1" xfId="0"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22" fontId="0" fillId="0" borderId="1" xfId="0" applyNumberFormat="1" applyBorder="1" applyAlignment="1" applyProtection="1">
      <alignment horizontal="center" vertical="center"/>
      <protection locked="0"/>
    </xf>
    <xf numFmtId="1" fontId="0" fillId="2" borderId="1" xfId="0" applyNumberFormat="1" applyFill="1" applyBorder="1" applyAlignment="1">
      <alignment horizontal="center" vertical="center"/>
    </xf>
    <xf numFmtId="0" fontId="0" fillId="0" borderId="1" xfId="0" applyBorder="1" applyAlignment="1" applyProtection="1">
      <alignment horizontal="center" vertical="center"/>
      <protection locked="0"/>
    </xf>
    <xf numFmtId="0" fontId="0" fillId="2" borderId="1" xfId="0" applyFill="1" applyBorder="1" applyAlignment="1">
      <alignment horizontal="center" vertical="center"/>
    </xf>
    <xf numFmtId="164" fontId="2" fillId="2" borderId="1" xfId="1" applyNumberFormat="1" applyFont="1" applyFill="1" applyBorder="1" applyAlignment="1">
      <alignment horizontal="center" vertical="center"/>
    </xf>
    <xf numFmtId="165" fontId="0" fillId="2" borderId="1" xfId="0" applyNumberFormat="1" applyFill="1" applyBorder="1" applyAlignment="1">
      <alignment horizontal="center" vertical="center"/>
    </xf>
    <xf numFmtId="164" fontId="2" fillId="2" borderId="1" xfId="0" applyNumberFormat="1" applyFont="1" applyFill="1" applyBorder="1" applyAlignment="1">
      <alignment horizontal="center" vertical="center"/>
    </xf>
    <xf numFmtId="0" fontId="4" fillId="3" borderId="0" xfId="0" applyFont="1" applyFill="1" applyAlignment="1" applyProtection="1">
      <alignment horizontal="center" vertical="center"/>
      <protection locked="0"/>
    </xf>
    <xf numFmtId="0" fontId="4" fillId="3" borderId="0" xfId="0" applyFont="1" applyFill="1" applyAlignment="1" applyProtection="1">
      <alignment vertical="center"/>
      <protection locked="0"/>
    </xf>
    <xf numFmtId="0" fontId="4" fillId="3" borderId="0" xfId="0" applyFont="1" applyFill="1" applyAlignment="1">
      <alignment vertical="center"/>
    </xf>
    <xf numFmtId="1" fontId="0" fillId="0" borderId="1" xfId="0" applyNumberFormat="1" applyBorder="1" applyAlignment="1" applyProtection="1">
      <alignment horizontal="center" vertical="center"/>
      <protection locked="0"/>
    </xf>
    <xf numFmtId="164" fontId="0" fillId="0" borderId="0" xfId="0" applyNumberFormat="1"/>
    <xf numFmtId="0" fontId="0" fillId="0" borderId="0" xfId="0" applyAlignment="1">
      <alignment horizontal="center"/>
    </xf>
    <xf numFmtId="9" fontId="0" fillId="0" borderId="0" xfId="1" applyFont="1"/>
    <xf numFmtId="0" fontId="2" fillId="0" borderId="0" xfId="0" applyFont="1"/>
    <xf numFmtId="0" fontId="6" fillId="4" borderId="0" xfId="0" applyFont="1" applyFill="1"/>
    <xf numFmtId="164" fontId="6" fillId="4" borderId="0" xfId="0" applyNumberFormat="1" applyFont="1" applyFill="1"/>
    <xf numFmtId="0" fontId="7" fillId="0" borderId="0" xfId="0" applyFont="1"/>
    <xf numFmtId="0" fontId="2" fillId="4" borderId="0" xfId="0" applyFont="1" applyFill="1" applyAlignment="1">
      <alignment horizontal="center"/>
    </xf>
    <xf numFmtId="0" fontId="9" fillId="4" borderId="6" xfId="0" applyFont="1" applyFill="1" applyBorder="1"/>
    <xf numFmtId="164" fontId="2" fillId="0" borderId="6" xfId="1" applyNumberFormat="1" applyFont="1" applyBorder="1"/>
    <xf numFmtId="164" fontId="2" fillId="0" borderId="6" xfId="1" applyNumberFormat="1" applyFont="1" applyFill="1" applyBorder="1"/>
    <xf numFmtId="16" fontId="0" fillId="0" borderId="1" xfId="0" applyNumberFormat="1" applyBorder="1" applyProtection="1">
      <protection locked="0"/>
    </xf>
    <xf numFmtId="165" fontId="1" fillId="0" borderId="1" xfId="1" applyNumberFormat="1" applyFont="1" applyFill="1" applyBorder="1" applyAlignment="1" applyProtection="1">
      <alignment horizontal="center" vertical="center"/>
      <protection locked="0"/>
    </xf>
    <xf numFmtId="0" fontId="0" fillId="0" borderId="1" xfId="0" applyBorder="1" applyProtection="1">
      <protection locked="0"/>
    </xf>
    <xf numFmtId="1" fontId="0" fillId="0" borderId="0" xfId="0" applyNumberFormat="1" applyAlignment="1" applyProtection="1">
      <alignment horizontal="center"/>
      <protection locked="0"/>
    </xf>
    <xf numFmtId="0" fontId="5" fillId="5" borderId="2" xfId="0" applyFont="1" applyFill="1" applyBorder="1"/>
    <xf numFmtId="0" fontId="5" fillId="5" borderId="3" xfId="0" applyFont="1" applyFill="1" applyBorder="1" applyProtection="1">
      <protection locked="0"/>
    </xf>
    <xf numFmtId="1" fontId="5" fillId="5" borderId="3" xfId="0" applyNumberFormat="1" applyFont="1" applyFill="1" applyBorder="1" applyAlignment="1">
      <alignment horizontal="center"/>
    </xf>
    <xf numFmtId="164" fontId="5" fillId="5" borderId="4" xfId="1" applyNumberFormat="1" applyFont="1" applyFill="1" applyBorder="1" applyAlignment="1">
      <alignment horizontal="center" vertical="center"/>
    </xf>
    <xf numFmtId="165" fontId="5" fillId="5" borderId="3" xfId="1" applyNumberFormat="1" applyFont="1" applyFill="1" applyBorder="1" applyAlignment="1">
      <alignment horizontal="center" vertical="center"/>
    </xf>
    <xf numFmtId="164" fontId="5" fillId="5" borderId="3" xfId="1" applyNumberFormat="1" applyFont="1" applyFill="1" applyBorder="1" applyAlignment="1">
      <alignment horizontal="center" vertical="center"/>
    </xf>
    <xf numFmtId="0" fontId="5" fillId="5" borderId="3" xfId="0" applyFont="1" applyFill="1" applyBorder="1" applyAlignment="1" applyProtection="1">
      <alignment horizontal="center"/>
      <protection locked="0"/>
    </xf>
    <xf numFmtId="1" fontId="5" fillId="5" borderId="3" xfId="0" applyNumberFormat="1" applyFont="1" applyFill="1" applyBorder="1" applyAlignment="1" applyProtection="1">
      <alignment horizontal="center"/>
      <protection locked="0"/>
    </xf>
    <xf numFmtId="0" fontId="5" fillId="5" borderId="3" xfId="0" applyFont="1" applyFill="1" applyBorder="1"/>
    <xf numFmtId="164" fontId="5" fillId="5" borderId="3" xfId="1" applyNumberFormat="1" applyFont="1" applyFill="1" applyBorder="1" applyAlignment="1" applyProtection="1">
      <alignment horizontal="center"/>
      <protection locked="0"/>
    </xf>
    <xf numFmtId="164" fontId="5" fillId="5" borderId="4" xfId="0" applyNumberFormat="1" applyFont="1" applyFill="1" applyBorder="1" applyAlignment="1">
      <alignment horizontal="center" vertical="center"/>
    </xf>
    <xf numFmtId="164" fontId="5" fillId="5" borderId="7" xfId="0" applyNumberFormat="1" applyFont="1" applyFill="1" applyBorder="1" applyAlignment="1">
      <alignment horizontal="center" vertical="center"/>
    </xf>
    <xf numFmtId="0" fontId="5" fillId="0" borderId="0" xfId="0" applyFont="1"/>
    <xf numFmtId="0" fontId="6" fillId="0" borderId="0" xfId="0" applyFont="1"/>
    <xf numFmtId="164" fontId="6" fillId="0" borderId="0" xfId="0" applyNumberFormat="1" applyFont="1"/>
    <xf numFmtId="9" fontId="6" fillId="0" borderId="0" xfId="0" applyNumberFormat="1" applyFont="1"/>
    <xf numFmtId="165" fontId="0" fillId="0" borderId="1" xfId="0" applyNumberFormat="1" applyBorder="1" applyAlignment="1" applyProtection="1">
      <alignment horizontal="center" vertical="center"/>
      <protection locked="0"/>
    </xf>
    <xf numFmtId="3" fontId="0" fillId="0" borderId="1" xfId="0" applyNumberFormat="1" applyBorder="1" applyAlignment="1" applyProtection="1">
      <alignment horizontal="center" vertical="center"/>
      <protection locked="0"/>
    </xf>
    <xf numFmtId="0" fontId="0" fillId="7" borderId="1" xfId="0" applyFill="1" applyBorder="1" applyAlignment="1" applyProtection="1">
      <alignment horizontal="center" vertical="center" wrapText="1"/>
      <protection locked="0"/>
    </xf>
    <xf numFmtId="0" fontId="0" fillId="7" borderId="1" xfId="0" applyFill="1" applyBorder="1" applyAlignment="1">
      <alignment horizontal="center" vertical="center" wrapText="1"/>
    </xf>
    <xf numFmtId="0" fontId="0" fillId="6" borderId="0" xfId="0" applyFill="1"/>
    <xf numFmtId="164" fontId="2" fillId="9" borderId="6" xfId="1" applyNumberFormat="1" applyFont="1" applyFill="1" applyBorder="1"/>
    <xf numFmtId="0" fontId="2" fillId="0" borderId="0" xfId="0" applyFont="1" applyAlignment="1">
      <alignment horizontal="center"/>
    </xf>
    <xf numFmtId="164" fontId="0" fillId="0" borderId="0" xfId="0" applyNumberFormat="1" applyAlignment="1">
      <alignment horizontal="center"/>
    </xf>
    <xf numFmtId="9" fontId="0" fillId="0" borderId="0" xfId="1" applyFont="1" applyAlignment="1">
      <alignment horizontal="center"/>
    </xf>
    <xf numFmtId="165" fontId="0" fillId="0" borderId="1" xfId="1" applyNumberFormat="1" applyFont="1" applyBorder="1" applyAlignment="1" applyProtection="1">
      <alignment horizontal="center" vertical="center"/>
      <protection locked="0"/>
    </xf>
    <xf numFmtId="0" fontId="0" fillId="0" borderId="1" xfId="0" applyBorder="1" applyAlignment="1" applyProtection="1">
      <alignment wrapText="1"/>
      <protection locked="0"/>
    </xf>
    <xf numFmtId="1" fontId="0" fillId="0" borderId="1" xfId="0" applyNumberFormat="1" applyBorder="1" applyAlignment="1">
      <alignment horizontal="center" vertical="center"/>
    </xf>
    <xf numFmtId="164" fontId="2" fillId="0" borderId="1" xfId="1" applyNumberFormat="1" applyFont="1" applyFill="1" applyBorder="1" applyAlignment="1">
      <alignment horizontal="center" vertical="center"/>
    </xf>
    <xf numFmtId="165" fontId="0" fillId="0" borderId="1" xfId="0" applyNumberFormat="1" applyBorder="1" applyAlignment="1">
      <alignment horizontal="center" vertical="center"/>
    </xf>
    <xf numFmtId="164" fontId="2" fillId="0" borderId="1" xfId="0" applyNumberFormat="1" applyFont="1" applyBorder="1" applyAlignment="1">
      <alignment horizontal="center" vertical="center"/>
    </xf>
    <xf numFmtId="0" fontId="17" fillId="0" borderId="0" xfId="0" applyFont="1"/>
    <xf numFmtId="16" fontId="0" fillId="0" borderId="0" xfId="0" applyNumberFormat="1"/>
    <xf numFmtId="22" fontId="0" fillId="8" borderId="0" xfId="0" applyNumberFormat="1" applyFill="1" applyAlignment="1">
      <alignment horizontal="center"/>
    </xf>
    <xf numFmtId="1" fontId="7" fillId="0" borderId="0" xfId="0" applyNumberFormat="1" applyFont="1"/>
    <xf numFmtId="1" fontId="0" fillId="0" borderId="0" xfId="0" applyNumberFormat="1"/>
    <xf numFmtId="0" fontId="6" fillId="0" borderId="5" xfId="0" applyFont="1" applyBorder="1" applyAlignment="1">
      <alignment horizontal="center"/>
    </xf>
    <xf numFmtId="1" fontId="6" fillId="0" borderId="0" xfId="0" applyNumberFormat="1" applyFont="1" applyAlignment="1">
      <alignment horizontal="center"/>
    </xf>
    <xf numFmtId="0" fontId="6" fillId="0" borderId="0" xfId="0" applyFont="1" applyAlignment="1">
      <alignment horizontal="center"/>
    </xf>
  </cellXfs>
  <cellStyles count="4">
    <cellStyle name="Comma 2 2" xfId="2" xr:uid="{00000000-0005-0000-0000-000000000000}"/>
    <cellStyle name="Normal" xfId="0" builtinId="0"/>
    <cellStyle name="Normal 2" xfId="3"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January 2025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9854713756660426E-2"/>
          <c:y val="0.11975222945654856"/>
          <c:w val="0.88096625815611196"/>
          <c:h val="0.65355503761248213"/>
        </c:manualLayout>
      </c:layout>
      <c:barChart>
        <c:barDir val="col"/>
        <c:grouping val="stacked"/>
        <c:varyColors val="0"/>
        <c:ser>
          <c:idx val="0"/>
          <c:order val="0"/>
          <c:tx>
            <c:strRef>
              <c:f>'January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'January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'January 2025 (w Utilization)'!$D$47:$D$52</c:f>
              <c:numCache>
                <c:formatCode>0.0%</c:formatCode>
                <c:ptCount val="6"/>
                <c:pt idx="0">
                  <c:v>0.68139184986289691</c:v>
                </c:pt>
                <c:pt idx="1">
                  <c:v>0.59383418120926823</c:v>
                </c:pt>
                <c:pt idx="2">
                  <c:v>0.74184137322721033</c:v>
                </c:pt>
                <c:pt idx="3">
                  <c:v>0.64651604586432743</c:v>
                </c:pt>
                <c:pt idx="4">
                  <c:v>0.92350752556505911</c:v>
                </c:pt>
                <c:pt idx="5">
                  <c:v>0.99459310724892847</c:v>
                </c:pt>
              </c:numCache>
            </c:numRef>
          </c:val>
          <c:extLst>
            <c:ext xmlns:c16="http://schemas.microsoft.com/office/drawing/2014/chart" uri="{C3380CC4-5D6E-409C-BE32-E72D297353CC}">
              <c16:uniqueId val="{00000000-9795-4D1A-A0A8-28AF5627E8EA}"/>
            </c:ext>
          </c:extLst>
        </c:ser>
        <c:ser>
          <c:idx val="1"/>
          <c:order val="1"/>
          <c:tx>
            <c:strRef>
              <c:f>'January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'January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'January 2025 (w Utilization)'!$E$47:$E$52</c:f>
              <c:numCache>
                <c:formatCode>0%</c:formatCode>
                <c:ptCount val="6"/>
                <c:pt idx="0">
                  <c:v>0.31860815013710309</c:v>
                </c:pt>
                <c:pt idx="1">
                  <c:v>0.40616581879073177</c:v>
                </c:pt>
                <c:pt idx="2">
                  <c:v>0.25815862677278967</c:v>
                </c:pt>
                <c:pt idx="3">
                  <c:v>0.35348395413567257</c:v>
                </c:pt>
                <c:pt idx="4">
                  <c:v>7.6492474434940894E-2</c:v>
                </c:pt>
                <c:pt idx="5">
                  <c:v>5.4068927510715348E-3</c:v>
                </c:pt>
              </c:numCache>
            </c:numRef>
          </c:val>
          <c:extLst>
            <c:ext xmlns:c16="http://schemas.microsoft.com/office/drawing/2014/chart" uri="{C3380CC4-5D6E-409C-BE32-E72D297353CC}">
              <c16:uniqueId val="{00000001-9795-4D1A-A0A8-28AF5627E8EA}"/>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layout>
        <c:manualLayout>
          <c:xMode val="edge"/>
          <c:yMode val="edge"/>
          <c:x val="6.2237895128057642E-2"/>
          <c:y val="0.88317245442972347"/>
          <c:w val="0.89223377773556589"/>
          <c:h val="6.957920958565690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February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'February 2025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'February 2025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'February 2025 (w Utilization) '!$D$47:$D$52</c:f>
              <c:numCache>
                <c:formatCode>0.0%</c:formatCode>
                <c:ptCount val="6"/>
                <c:pt idx="0">
                  <c:v>0.75709821994807625</c:v>
                </c:pt>
                <c:pt idx="1">
                  <c:v>0.6096053846701075</c:v>
                </c:pt>
                <c:pt idx="2">
                  <c:v>0.76589780554221387</c:v>
                </c:pt>
                <c:pt idx="3">
                  <c:v>0.61669069357681672</c:v>
                </c:pt>
                <c:pt idx="4">
                  <c:v>1.0007921196476974</c:v>
                </c:pt>
                <c:pt idx="5">
                  <c:v>0.98772835849192719</c:v>
                </c:pt>
              </c:numCache>
            </c:numRef>
          </c:val>
          <c:extLst>
            <c:ext xmlns:c16="http://schemas.microsoft.com/office/drawing/2014/chart" uri="{C3380CC4-5D6E-409C-BE32-E72D297353CC}">
              <c16:uniqueId val="{00000000-883D-4ABE-A28B-32A7817305BC}"/>
            </c:ext>
          </c:extLst>
        </c:ser>
        <c:ser>
          <c:idx val="1"/>
          <c:order val="1"/>
          <c:tx>
            <c:strRef>
              <c:f>'February 2025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'February 2025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'February 2025 (w Utilization) '!$E$47:$E$52</c:f>
              <c:numCache>
                <c:formatCode>0%</c:formatCode>
                <c:ptCount val="6"/>
                <c:pt idx="0">
                  <c:v>0.24290178005192375</c:v>
                </c:pt>
                <c:pt idx="1">
                  <c:v>0.3903946153298925</c:v>
                </c:pt>
                <c:pt idx="2">
                  <c:v>0.23410219445778613</c:v>
                </c:pt>
                <c:pt idx="3">
                  <c:v>0.38330930642318328</c:v>
                </c:pt>
                <c:pt idx="4">
                  <c:v>-7.9211964769743126E-4</c:v>
                </c:pt>
                <c:pt idx="5">
                  <c:v>1.2271641508072806E-2</c:v>
                </c:pt>
              </c:numCache>
            </c:numRef>
          </c:val>
          <c:extLst>
            <c:ext xmlns:c16="http://schemas.microsoft.com/office/drawing/2014/chart" uri="{C3380CC4-5D6E-409C-BE32-E72D297353CC}">
              <c16:uniqueId val="{00000001-883D-4ABE-A28B-32A7817305BC}"/>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March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'March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'March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'March 2025 (w Utilization'!$D$47:$D$52</c:f>
              <c:numCache>
                <c:formatCode>0.0%</c:formatCode>
                <c:ptCount val="6"/>
                <c:pt idx="0">
                  <c:v>0.69263813238861494</c:v>
                </c:pt>
                <c:pt idx="1">
                  <c:v>0.59829171735601328</c:v>
                </c:pt>
                <c:pt idx="2">
                  <c:v>0.73851914113231909</c:v>
                </c:pt>
                <c:pt idx="3">
                  <c:v>0.6379231298233472</c:v>
                </c:pt>
                <c:pt idx="4">
                  <c:v>0.95462904616454569</c:v>
                </c:pt>
                <c:pt idx="5">
                  <c:v>0.98244895975313051</c:v>
                </c:pt>
              </c:numCache>
            </c:numRef>
          </c:val>
          <c:extLst>
            <c:ext xmlns:c16="http://schemas.microsoft.com/office/drawing/2014/chart" uri="{C3380CC4-5D6E-409C-BE32-E72D297353CC}">
              <c16:uniqueId val="{00000000-1158-4825-AF33-91D6B27F2E5A}"/>
            </c:ext>
          </c:extLst>
        </c:ser>
        <c:ser>
          <c:idx val="1"/>
          <c:order val="1"/>
          <c:tx>
            <c:strRef>
              <c:f>'March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'March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'March 2025 (w Utilization'!$E$47:$E$52</c:f>
              <c:numCache>
                <c:formatCode>0%</c:formatCode>
                <c:ptCount val="6"/>
                <c:pt idx="0">
                  <c:v>0.30736186761138506</c:v>
                </c:pt>
                <c:pt idx="1">
                  <c:v>0.40170828264398672</c:v>
                </c:pt>
                <c:pt idx="2">
                  <c:v>0.26148085886768091</c:v>
                </c:pt>
                <c:pt idx="3">
                  <c:v>0.3620768701766528</c:v>
                </c:pt>
                <c:pt idx="4">
                  <c:v>4.5370953835454308E-2</c:v>
                </c:pt>
                <c:pt idx="5">
                  <c:v>1.7551040246869487E-2</c:v>
                </c:pt>
              </c:numCache>
            </c:numRef>
          </c:val>
          <c:extLst>
            <c:ext xmlns:c16="http://schemas.microsoft.com/office/drawing/2014/chart" uri="{C3380CC4-5D6E-409C-BE32-E72D297353CC}">
              <c16:uniqueId val="{00000001-1158-4825-AF33-91D6B27F2E5A}"/>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April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'April 2025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'April 2025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'April 2025 (w Utilization) '!$D$47:$D$52</c:f>
              <c:numCache>
                <c:formatCode>0.0%</c:formatCode>
                <c:ptCount val="6"/>
                <c:pt idx="0">
                  <c:v>0.67552451866810093</c:v>
                </c:pt>
                <c:pt idx="1">
                  <c:v>0.5765703907397397</c:v>
                </c:pt>
                <c:pt idx="2">
                  <c:v>0.72182835820912139</c:v>
                </c:pt>
                <c:pt idx="3">
                  <c:v>0.61609141791067701</c:v>
                </c:pt>
                <c:pt idx="4">
                  <c:v>0.94058016553104218</c:v>
                </c:pt>
                <c:pt idx="5">
                  <c:v>0.99497314804427606</c:v>
                </c:pt>
              </c:numCache>
            </c:numRef>
          </c:val>
          <c:extLst>
            <c:ext xmlns:c16="http://schemas.microsoft.com/office/drawing/2014/chart" uri="{C3380CC4-5D6E-409C-BE32-E72D297353CC}">
              <c16:uniqueId val="{00000000-3DFE-4758-8A59-0575C8852AD8}"/>
            </c:ext>
          </c:extLst>
        </c:ser>
        <c:ser>
          <c:idx val="1"/>
          <c:order val="1"/>
          <c:tx>
            <c:strRef>
              <c:f>'April 2025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'April 2025 (w Utilization) '!$C$47:$C$52</c:f>
              <c:strCache>
                <c:ptCount val="6"/>
                <c:pt idx="0">
                  <c:v>OEE </c:v>
                </c:pt>
                <c:pt idx="1">
                  <c:v>OEE Utilization </c:v>
                </c:pt>
                <c:pt idx="2">
                  <c:v>Availability (for OEE)</c:v>
                </c:pt>
                <c:pt idx="3">
                  <c:v>Availability (for OEE Utilization)</c:v>
                </c:pt>
                <c:pt idx="4">
                  <c:v>Performance</c:v>
                </c:pt>
                <c:pt idx="5">
                  <c:v>Quality</c:v>
                </c:pt>
              </c:strCache>
            </c:strRef>
          </c:cat>
          <c:val>
            <c:numRef>
              <c:f>'April 2025 (w Utilization) '!$E$47:$E$52</c:f>
              <c:numCache>
                <c:formatCode>0%</c:formatCode>
                <c:ptCount val="6"/>
                <c:pt idx="0">
                  <c:v>0.32447548133189907</c:v>
                </c:pt>
                <c:pt idx="1">
                  <c:v>0.4234296092602603</c:v>
                </c:pt>
                <c:pt idx="2">
                  <c:v>0.27817164179087861</c:v>
                </c:pt>
                <c:pt idx="3">
                  <c:v>0.38390858208932299</c:v>
                </c:pt>
                <c:pt idx="4">
                  <c:v>5.9419834468957822E-2</c:v>
                </c:pt>
                <c:pt idx="5">
                  <c:v>5.0268519557239433E-3</c:v>
                </c:pt>
              </c:numCache>
            </c:numRef>
          </c:val>
          <c:extLst>
            <c:ext xmlns:c16="http://schemas.microsoft.com/office/drawing/2014/chart" uri="{C3380CC4-5D6E-409C-BE32-E72D297353CC}">
              <c16:uniqueId val="{00000001-3DFE-4758-8A59-0575C8852AD8}"/>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May OEE Performance </a:t>
            </a:r>
          </a:p>
        </c:rich>
      </c:tx>
      <c:layout>
        <c:manualLayout>
          <c:xMode val="edge"/>
          <c:yMode val="edge"/>
          <c:x val="0.39942045158262507"/>
          <c:y val="2.4282585152553965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'May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'May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'May 2025 (w Utilization)'!$D$47:$D$52</c:f>
              <c:numCache>
                <c:formatCode>0.0%</c:formatCode>
                <c:ptCount val="6"/>
                <c:pt idx="0">
                  <c:v>0.66080558784483101</c:v>
                </c:pt>
                <c:pt idx="1">
                  <c:v>0.5268202146995018</c:v>
                </c:pt>
                <c:pt idx="2">
                  <c:v>0.71670748691326203</c:v>
                </c:pt>
                <c:pt idx="3">
                  <c:v>0.57138740815407074</c:v>
                </c:pt>
                <c:pt idx="4">
                  <c:v>0.93273999645106909</c:v>
                </c:pt>
                <c:pt idx="5">
                  <c:v>0.98848746307090318</c:v>
                </c:pt>
              </c:numCache>
            </c:numRef>
          </c:val>
          <c:extLst>
            <c:ext xmlns:c16="http://schemas.microsoft.com/office/drawing/2014/chart" uri="{C3380CC4-5D6E-409C-BE32-E72D297353CC}">
              <c16:uniqueId val="{00000000-278F-462E-B38A-188492130E00}"/>
            </c:ext>
          </c:extLst>
        </c:ser>
        <c:ser>
          <c:idx val="1"/>
          <c:order val="1"/>
          <c:tx>
            <c:strRef>
              <c:f>'May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'May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'May 2025 (w Utilization)'!$E$47:$E$52</c:f>
              <c:numCache>
                <c:formatCode>0%</c:formatCode>
                <c:ptCount val="6"/>
                <c:pt idx="0">
                  <c:v>0.33919441215516899</c:v>
                </c:pt>
                <c:pt idx="1">
                  <c:v>0.4731797853004982</c:v>
                </c:pt>
                <c:pt idx="2">
                  <c:v>0.28329251308673797</c:v>
                </c:pt>
                <c:pt idx="3">
                  <c:v>0.42861259184592926</c:v>
                </c:pt>
                <c:pt idx="4">
                  <c:v>6.7260003548930913E-2</c:v>
                </c:pt>
                <c:pt idx="5">
                  <c:v>1.1512536929096817E-2</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367545664"/>
        <c:axId val="446231912"/>
      </c:barChart>
      <c:catAx>
        <c:axId val="36754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912"/>
        <c:crosses val="autoZero"/>
        <c:auto val="1"/>
        <c:lblAlgn val="ctr"/>
        <c:lblOffset val="100"/>
        <c:noMultiLvlLbl val="0"/>
      </c:catAx>
      <c:valAx>
        <c:axId val="4462319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6754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June 2025 OEE Performance </a:t>
            </a:r>
          </a:p>
        </c:rich>
      </c:tx>
      <c:layout>
        <c:manualLayout>
          <c:xMode val="edge"/>
          <c:yMode val="edge"/>
          <c:x val="0.28600020515529129"/>
          <c:y val="6.642535087804196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'June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'June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'June 2025 (w Utilization)'!$D$47:$D$52</c:f>
              <c:numCache>
                <c:formatCode>0.0%</c:formatCode>
                <c:ptCount val="6"/>
                <c:pt idx="0">
                  <c:v>0.73071783403905033</c:v>
                </c:pt>
                <c:pt idx="1">
                  <c:v>0.59728840479901901</c:v>
                </c:pt>
                <c:pt idx="2">
                  <c:v>0.75075832184356273</c:v>
                </c:pt>
                <c:pt idx="3">
                  <c:v>0.61366948985614345</c:v>
                </c:pt>
                <c:pt idx="4">
                  <c:v>0.98161154758256219</c:v>
                </c:pt>
                <c:pt idx="5">
                  <c:v>0.99153921104414033</c:v>
                </c:pt>
              </c:numCache>
            </c:numRef>
          </c:val>
          <c:extLst>
            <c:ext xmlns:c16="http://schemas.microsoft.com/office/drawing/2014/chart" uri="{C3380CC4-5D6E-409C-BE32-E72D297353CC}">
              <c16:uniqueId val="{00000000-278F-462E-B38A-188492130E00}"/>
            </c:ext>
          </c:extLst>
        </c:ser>
        <c:ser>
          <c:idx val="1"/>
          <c:order val="1"/>
          <c:tx>
            <c:strRef>
              <c:f>'June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'June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'June 2025 (w Utilization)'!$E$47:$E$52</c:f>
              <c:numCache>
                <c:formatCode>0%</c:formatCode>
                <c:ptCount val="6"/>
                <c:pt idx="0">
                  <c:v>0.26928216596094967</c:v>
                </c:pt>
                <c:pt idx="1">
                  <c:v>0.40271159520098099</c:v>
                </c:pt>
                <c:pt idx="2">
                  <c:v>0.24924167815643727</c:v>
                </c:pt>
                <c:pt idx="3">
                  <c:v>0.38633051014385655</c:v>
                </c:pt>
                <c:pt idx="4">
                  <c:v>1.8388452417437806E-2</c:v>
                </c:pt>
                <c:pt idx="5">
                  <c:v>8.4607889558596661E-3</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3480"/>
        <c:axId val="446226816"/>
      </c:barChart>
      <c:catAx>
        <c:axId val="446233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6816"/>
        <c:crosses val="autoZero"/>
        <c:auto val="1"/>
        <c:lblAlgn val="ctr"/>
        <c:lblOffset val="100"/>
        <c:noMultiLvlLbl val="0"/>
      </c:catAx>
      <c:valAx>
        <c:axId val="44622681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3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July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'July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'July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'July 2025 (w Utilization)'!$D$47:$D$52</c:f>
              <c:numCache>
                <c:formatCode>0.0%</c:formatCode>
                <c:ptCount val="6"/>
                <c:pt idx="0">
                  <c:v>0.71507978339242184</c:v>
                </c:pt>
                <c:pt idx="1">
                  <c:v>0.59857022116151215</c:v>
                </c:pt>
                <c:pt idx="2">
                  <c:v>0.73933116076962346</c:v>
                </c:pt>
                <c:pt idx="3">
                  <c:v>0.61887026691483571</c:v>
                </c:pt>
                <c:pt idx="4">
                  <c:v>0.98432473178182134</c:v>
                </c:pt>
                <c:pt idx="5">
                  <c:v>0.98260075128198077</c:v>
                </c:pt>
              </c:numCache>
            </c:numRef>
          </c:val>
          <c:extLst>
            <c:ext xmlns:c16="http://schemas.microsoft.com/office/drawing/2014/chart" uri="{C3380CC4-5D6E-409C-BE32-E72D297353CC}">
              <c16:uniqueId val="{00000000-278F-462E-B38A-188492130E00}"/>
            </c:ext>
          </c:extLst>
        </c:ser>
        <c:ser>
          <c:idx val="1"/>
          <c:order val="1"/>
          <c:tx>
            <c:strRef>
              <c:f>'July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'July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'July 2025 (w Utilization)'!$E$47:$E$52</c:f>
              <c:numCache>
                <c:formatCode>0%</c:formatCode>
                <c:ptCount val="6"/>
                <c:pt idx="0">
                  <c:v>0.28492021660757816</c:v>
                </c:pt>
                <c:pt idx="1">
                  <c:v>0.40142977883848785</c:v>
                </c:pt>
                <c:pt idx="2">
                  <c:v>0.26066883923037654</c:v>
                </c:pt>
                <c:pt idx="3">
                  <c:v>0.38112973308516429</c:v>
                </c:pt>
                <c:pt idx="4">
                  <c:v>1.5675268218178662E-2</c:v>
                </c:pt>
                <c:pt idx="5">
                  <c:v>1.7399248718019233E-2</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9168"/>
        <c:axId val="446228776"/>
      </c:barChart>
      <c:catAx>
        <c:axId val="446229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8776"/>
        <c:crosses val="autoZero"/>
        <c:auto val="1"/>
        <c:lblAlgn val="ctr"/>
        <c:lblOffset val="100"/>
        <c:noMultiLvlLbl val="0"/>
      </c:catAx>
      <c:valAx>
        <c:axId val="44622877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August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'August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'August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'August 2025 (w Utilization)'!$D$47:$D$52</c:f>
              <c:numCache>
                <c:formatCode>0.0%</c:formatCode>
                <c:ptCount val="6"/>
                <c:pt idx="0">
                  <c:v>0.72289947111186437</c:v>
                </c:pt>
                <c:pt idx="1">
                  <c:v>0.62608514268518822</c:v>
                </c:pt>
                <c:pt idx="2">
                  <c:v>0.75429656275008305</c:v>
                </c:pt>
                <c:pt idx="3">
                  <c:v>0.6532773780979213</c:v>
                </c:pt>
                <c:pt idx="4">
                  <c:v>0.98510236915621863</c:v>
                </c:pt>
                <c:pt idx="5">
                  <c:v>0.97286911144471888</c:v>
                </c:pt>
              </c:numCache>
            </c:numRef>
          </c:val>
          <c:extLst>
            <c:ext xmlns:c16="http://schemas.microsoft.com/office/drawing/2014/chart" uri="{C3380CC4-5D6E-409C-BE32-E72D297353CC}">
              <c16:uniqueId val="{00000000-278F-462E-B38A-188492130E00}"/>
            </c:ext>
          </c:extLst>
        </c:ser>
        <c:ser>
          <c:idx val="1"/>
          <c:order val="1"/>
          <c:tx>
            <c:strRef>
              <c:f>'August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'August 2025 (w Utilization)'!$C$47:$C$52</c:f>
              <c:strCache>
                <c:ptCount val="6"/>
                <c:pt idx="0">
                  <c:v>OEE </c:v>
                </c:pt>
                <c:pt idx="1">
                  <c:v>OEE Utilization </c:v>
                </c:pt>
                <c:pt idx="2">
                  <c:v>Availability (for OEE)</c:v>
                </c:pt>
                <c:pt idx="3">
                  <c:v>Availability (for OEE Utilization)</c:v>
                </c:pt>
                <c:pt idx="4">
                  <c:v>Performance</c:v>
                </c:pt>
                <c:pt idx="5">
                  <c:v>Quality</c:v>
                </c:pt>
              </c:strCache>
            </c:strRef>
          </c:cat>
          <c:val>
            <c:numRef>
              <c:f>'August 2025 (w Utilization)'!$E$47:$E$52</c:f>
              <c:numCache>
                <c:formatCode>0%</c:formatCode>
                <c:ptCount val="6"/>
                <c:pt idx="0">
                  <c:v>0.27710052888813563</c:v>
                </c:pt>
                <c:pt idx="1">
                  <c:v>0.37391485731481178</c:v>
                </c:pt>
                <c:pt idx="2">
                  <c:v>0.24570343724991695</c:v>
                </c:pt>
                <c:pt idx="3">
                  <c:v>0.3467226219020787</c:v>
                </c:pt>
                <c:pt idx="4">
                  <c:v>1.4897630843781373E-2</c:v>
                </c:pt>
                <c:pt idx="5">
                  <c:v>2.7130888555281119E-2</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2696"/>
        <c:axId val="446227208"/>
      </c:barChart>
      <c:catAx>
        <c:axId val="446232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7208"/>
        <c:crosses val="autoZero"/>
        <c:auto val="1"/>
        <c:lblAlgn val="ctr"/>
        <c:lblOffset val="100"/>
        <c:noMultiLvlLbl val="0"/>
      </c:catAx>
      <c:valAx>
        <c:axId val="44622720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2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September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'September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'September 2025 (w Utilization)'!$C$47:$C$50</c:f>
              <c:strCache>
                <c:ptCount val="4"/>
                <c:pt idx="0">
                  <c:v>OEE </c:v>
                </c:pt>
                <c:pt idx="1">
                  <c:v>Availability</c:v>
                </c:pt>
                <c:pt idx="2">
                  <c:v>Performance</c:v>
                </c:pt>
                <c:pt idx="3">
                  <c:v>Quality</c:v>
                </c:pt>
              </c:strCache>
            </c:strRef>
          </c:cat>
          <c:val>
            <c:numRef>
              <c:f>'September 2025 (w Utilization)'!$D$47:$D$50</c:f>
              <c:numCache>
                <c:formatCode>0.0%</c:formatCode>
                <c:ptCount val="4"/>
                <c:pt idx="0">
                  <c:v>0.74780271385756958</c:v>
                </c:pt>
                <c:pt idx="1">
                  <c:v>0.78382360679905094</c:v>
                </c:pt>
                <c:pt idx="2">
                  <c:v>0.9776159756832028</c:v>
                </c:pt>
                <c:pt idx="3">
                  <c:v>0.97588896628832278</c:v>
                </c:pt>
              </c:numCache>
            </c:numRef>
          </c:val>
          <c:extLst>
            <c:ext xmlns:c16="http://schemas.microsoft.com/office/drawing/2014/chart" uri="{C3380CC4-5D6E-409C-BE32-E72D297353CC}">
              <c16:uniqueId val="{00000000-278F-462E-B38A-188492130E00}"/>
            </c:ext>
          </c:extLst>
        </c:ser>
        <c:ser>
          <c:idx val="1"/>
          <c:order val="1"/>
          <c:tx>
            <c:strRef>
              <c:f>'September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'September 2025 (w Utilization)'!$C$47:$C$50</c:f>
              <c:strCache>
                <c:ptCount val="4"/>
                <c:pt idx="0">
                  <c:v>OEE </c:v>
                </c:pt>
                <c:pt idx="1">
                  <c:v>Availability</c:v>
                </c:pt>
                <c:pt idx="2">
                  <c:v>Performance</c:v>
                </c:pt>
                <c:pt idx="3">
                  <c:v>Quality</c:v>
                </c:pt>
              </c:strCache>
            </c:strRef>
          </c:cat>
          <c:val>
            <c:numRef>
              <c:f>'September 2025 (w Utilization)'!$E$47:$E$50</c:f>
              <c:numCache>
                <c:formatCode>0%</c:formatCode>
                <c:ptCount val="4"/>
                <c:pt idx="0">
                  <c:v>0.25219728614243042</c:v>
                </c:pt>
                <c:pt idx="1">
                  <c:v>0.21617639320094906</c:v>
                </c:pt>
                <c:pt idx="2">
                  <c:v>2.2384024316797202E-2</c:v>
                </c:pt>
                <c:pt idx="3">
                  <c:v>2.4111033711677221E-2</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6424"/>
        <c:axId val="446229560"/>
      </c:barChart>
      <c:catAx>
        <c:axId val="446226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9560"/>
        <c:crosses val="autoZero"/>
        <c:auto val="1"/>
        <c:lblAlgn val="ctr"/>
        <c:lblOffset val="100"/>
        <c:noMultiLvlLbl val="0"/>
      </c:catAx>
      <c:valAx>
        <c:axId val="44622956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6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October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'October 2025 (w Utilization) '!$D$46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'October 2025 (w Utilization) '!$C$47:$C$50</c:f>
              <c:strCache>
                <c:ptCount val="4"/>
                <c:pt idx="0">
                  <c:v>OEE </c:v>
                </c:pt>
                <c:pt idx="1">
                  <c:v>Availability</c:v>
                </c:pt>
                <c:pt idx="2">
                  <c:v>Performance</c:v>
                </c:pt>
                <c:pt idx="3">
                  <c:v>Quality</c:v>
                </c:pt>
              </c:strCache>
            </c:strRef>
          </c:cat>
          <c:val>
            <c:numRef>
              <c:f>'October 2025 (w Utilization) '!$D$47:$D$50</c:f>
              <c:numCache>
                <c:formatCode>0.0%</c:formatCode>
                <c:ptCount val="4"/>
                <c:pt idx="0">
                  <c:v>0.75794828123005886</c:v>
                </c:pt>
                <c:pt idx="1">
                  <c:v>0.81896755920318809</c:v>
                </c:pt>
                <c:pt idx="2">
                  <c:v>0.93587623522464247</c:v>
                </c:pt>
                <c:pt idx="3">
                  <c:v>0.98890473012664437</c:v>
                </c:pt>
              </c:numCache>
            </c:numRef>
          </c:val>
          <c:extLst>
            <c:ext xmlns:c16="http://schemas.microsoft.com/office/drawing/2014/chart" uri="{C3380CC4-5D6E-409C-BE32-E72D297353CC}">
              <c16:uniqueId val="{00000000-278F-462E-B38A-188492130E00}"/>
            </c:ext>
          </c:extLst>
        </c:ser>
        <c:ser>
          <c:idx val="1"/>
          <c:order val="1"/>
          <c:tx>
            <c:strRef>
              <c:f>'October 2025 (w Utilization) '!$E$46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'October 2025 (w Utilization) '!$C$47:$C$50</c:f>
              <c:strCache>
                <c:ptCount val="4"/>
                <c:pt idx="0">
                  <c:v>OEE </c:v>
                </c:pt>
                <c:pt idx="1">
                  <c:v>Availability</c:v>
                </c:pt>
                <c:pt idx="2">
                  <c:v>Performance</c:v>
                </c:pt>
                <c:pt idx="3">
                  <c:v>Quality</c:v>
                </c:pt>
              </c:strCache>
            </c:strRef>
          </c:cat>
          <c:val>
            <c:numRef>
              <c:f>'October 2025 (w Utilization) '!$E$47:$E$50</c:f>
              <c:numCache>
                <c:formatCode>0%</c:formatCode>
                <c:ptCount val="4"/>
                <c:pt idx="0">
                  <c:v>0.24205171876994114</c:v>
                </c:pt>
                <c:pt idx="1">
                  <c:v>0.18103244079681191</c:v>
                </c:pt>
                <c:pt idx="2">
                  <c:v>6.4123764775357528E-2</c:v>
                </c:pt>
                <c:pt idx="3">
                  <c:v>1.1095269873355629E-2</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27992"/>
        <c:axId val="446229952"/>
      </c:barChart>
      <c:catAx>
        <c:axId val="446227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29952"/>
        <c:crosses val="autoZero"/>
        <c:auto val="1"/>
        <c:lblAlgn val="ctr"/>
        <c:lblOffset val="100"/>
        <c:noMultiLvlLbl val="0"/>
      </c:catAx>
      <c:valAx>
        <c:axId val="44622995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27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November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'November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'November 2025 (w Utilization)'!$C$47:$C$50</c:f>
              <c:strCache>
                <c:ptCount val="4"/>
                <c:pt idx="0">
                  <c:v>OEE </c:v>
                </c:pt>
                <c:pt idx="1">
                  <c:v>Availability</c:v>
                </c:pt>
                <c:pt idx="2">
                  <c:v>Performance</c:v>
                </c:pt>
                <c:pt idx="3">
                  <c:v>Quality</c:v>
                </c:pt>
              </c:strCache>
            </c:strRef>
          </c:cat>
          <c:val>
            <c:numRef>
              <c:f>'November 2025 (w Utilization)'!$D$47:$D$50</c:f>
              <c:numCache>
                <c:formatCode>0.0%</c:formatCode>
                <c:ptCount val="4"/>
                <c:pt idx="0">
                  <c:v>0.73602948813175695</c:v>
                </c:pt>
                <c:pt idx="1">
                  <c:v>0.79919291165916762</c:v>
                </c:pt>
                <c:pt idx="2">
                  <c:v>0.94433337496237713</c:v>
                </c:pt>
                <c:pt idx="3">
                  <c:v>0.97525514899724641</c:v>
                </c:pt>
              </c:numCache>
            </c:numRef>
          </c:val>
          <c:extLst>
            <c:ext xmlns:c16="http://schemas.microsoft.com/office/drawing/2014/chart" uri="{C3380CC4-5D6E-409C-BE32-E72D297353CC}">
              <c16:uniqueId val="{00000000-278F-462E-B38A-188492130E00}"/>
            </c:ext>
          </c:extLst>
        </c:ser>
        <c:ser>
          <c:idx val="1"/>
          <c:order val="1"/>
          <c:tx>
            <c:strRef>
              <c:f>'November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'November 2025 (w Utilization)'!$C$47:$C$50</c:f>
              <c:strCache>
                <c:ptCount val="4"/>
                <c:pt idx="0">
                  <c:v>OEE </c:v>
                </c:pt>
                <c:pt idx="1">
                  <c:v>Availability</c:v>
                </c:pt>
                <c:pt idx="2">
                  <c:v>Performance</c:v>
                </c:pt>
                <c:pt idx="3">
                  <c:v>Quality</c:v>
                </c:pt>
              </c:strCache>
            </c:strRef>
          </c:cat>
          <c:val>
            <c:numRef>
              <c:f>'November 2025 (w Utilization)'!$E$47:$E$50</c:f>
              <c:numCache>
                <c:formatCode>0%</c:formatCode>
                <c:ptCount val="4"/>
                <c:pt idx="0">
                  <c:v>0.26397051186824305</c:v>
                </c:pt>
                <c:pt idx="1">
                  <c:v>0.20080708834083238</c:v>
                </c:pt>
                <c:pt idx="2">
                  <c:v>5.5666625037622874E-2</c:v>
                </c:pt>
                <c:pt idx="3">
                  <c:v>2.4744851002753587E-2</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6230344"/>
        <c:axId val="446231128"/>
      </c:barChart>
      <c:catAx>
        <c:axId val="446230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6231128"/>
        <c:crosses val="autoZero"/>
        <c:auto val="1"/>
        <c:lblAlgn val="ctr"/>
        <c:lblOffset val="100"/>
        <c:noMultiLvlLbl val="0"/>
      </c:catAx>
      <c:valAx>
        <c:axId val="44623112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6230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December OEE Performance </a:t>
            </a:r>
          </a:p>
        </c:rich>
      </c:tx>
      <c:layout>
        <c:manualLayout>
          <c:xMode val="edge"/>
          <c:yMode val="edge"/>
          <c:x val="0.29875818957744787"/>
          <c:y val="2.428256492718098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4232308651261851E-2"/>
          <c:y val="0.16807582023763773"/>
          <c:w val="0.88096625815611196"/>
          <c:h val="0.65355503761248213"/>
        </c:manualLayout>
      </c:layout>
      <c:barChart>
        <c:barDir val="col"/>
        <c:grouping val="stacked"/>
        <c:varyColors val="0"/>
        <c:ser>
          <c:idx val="0"/>
          <c:order val="0"/>
          <c:tx>
            <c:strRef>
              <c:f>'December 2025 (w Utilization)'!$D$46</c:f>
              <c:strCache>
                <c:ptCount val="1"/>
                <c:pt idx="0">
                  <c:v>Real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'December 2025 (w Utilization)'!$C$47:$C$50</c:f>
              <c:strCache>
                <c:ptCount val="4"/>
                <c:pt idx="0">
                  <c:v>OEE </c:v>
                </c:pt>
                <c:pt idx="1">
                  <c:v>Availability</c:v>
                </c:pt>
                <c:pt idx="2">
                  <c:v>Performance</c:v>
                </c:pt>
                <c:pt idx="3">
                  <c:v>Quality</c:v>
                </c:pt>
              </c:strCache>
            </c:strRef>
          </c:cat>
          <c:val>
            <c:numRef>
              <c:f>'December 2025 (w Utilization)'!$D$47:$D$50</c:f>
              <c:numCache>
                <c:formatCode>0.0%</c:formatCode>
                <c:ptCount val="4"/>
                <c:pt idx="0">
                  <c:v>0.66725950049162575</c:v>
                </c:pt>
                <c:pt idx="1">
                  <c:v>0.7694174757282205</c:v>
                </c:pt>
                <c:pt idx="2">
                  <c:v>0.87792938674672438</c:v>
                </c:pt>
                <c:pt idx="3">
                  <c:v>0.98780935206721465</c:v>
                </c:pt>
              </c:numCache>
            </c:numRef>
          </c:val>
          <c:extLst>
            <c:ext xmlns:c16="http://schemas.microsoft.com/office/drawing/2014/chart" uri="{C3380CC4-5D6E-409C-BE32-E72D297353CC}">
              <c16:uniqueId val="{00000000-278F-462E-B38A-188492130E00}"/>
            </c:ext>
          </c:extLst>
        </c:ser>
        <c:ser>
          <c:idx val="1"/>
          <c:order val="1"/>
          <c:tx>
            <c:strRef>
              <c:f>'December 2025 (w Utilization)'!$E$46</c:f>
              <c:strCache>
                <c:ptCount val="1"/>
                <c:pt idx="0">
                  <c:v>Opportunity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'December 2025 (w Utilization)'!$C$47:$C$50</c:f>
              <c:strCache>
                <c:ptCount val="4"/>
                <c:pt idx="0">
                  <c:v>OEE </c:v>
                </c:pt>
                <c:pt idx="1">
                  <c:v>Availability</c:v>
                </c:pt>
                <c:pt idx="2">
                  <c:v>Performance</c:v>
                </c:pt>
                <c:pt idx="3">
                  <c:v>Quality</c:v>
                </c:pt>
              </c:strCache>
            </c:strRef>
          </c:cat>
          <c:val>
            <c:numRef>
              <c:f>'December 2025 (w Utilization)'!$E$47:$E$50</c:f>
              <c:numCache>
                <c:formatCode>0%</c:formatCode>
                <c:ptCount val="4"/>
                <c:pt idx="0">
                  <c:v>0.33274049950837425</c:v>
                </c:pt>
                <c:pt idx="1">
                  <c:v>0.2305825242717795</c:v>
                </c:pt>
                <c:pt idx="2">
                  <c:v>0.12207061325327562</c:v>
                </c:pt>
                <c:pt idx="3">
                  <c:v>1.2190647932785348E-2</c:v>
                </c:pt>
              </c:numCache>
            </c:numRef>
          </c:val>
          <c:extLst>
            <c:ext xmlns:c16="http://schemas.microsoft.com/office/drawing/2014/chart" uri="{C3380CC4-5D6E-409C-BE32-E72D297353CC}">
              <c16:uniqueId val="{00000001-278F-462E-B38A-188492130E00}"/>
            </c:ext>
          </c:extLst>
        </c:ser>
        <c:dLbls>
          <c:dLblPos val="ctr"/>
          <c:showLegendKey val="0"/>
          <c:showVal val="1"/>
          <c:showCatName val="0"/>
          <c:showSerName val="0"/>
          <c:showPercent val="0"/>
          <c:showBubbleSize val="0"/>
        </c:dLbls>
        <c:gapWidth val="150"/>
        <c:overlap val="100"/>
        <c:axId val="448284968"/>
        <c:axId val="448292808"/>
      </c:barChart>
      <c:catAx>
        <c:axId val="448284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48292808"/>
        <c:crosses val="autoZero"/>
        <c:auto val="1"/>
        <c:lblAlgn val="ctr"/>
        <c:lblOffset val="100"/>
        <c:noMultiLvlLbl val="0"/>
      </c:catAx>
      <c:valAx>
        <c:axId val="44829280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8284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Overall Organization Equipment Efficiency (OEE) Performance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FA8-4B14-99FC-B3D7DBB1F5AB}"/>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FA8-4B14-99FC-B3D7DBB1F5AB}"/>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FFD-441E-A459-2D32FD8D178C}"/>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0D4-4FC3-AB05-910C29E8265E}"/>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DFE-42CD-8D6C-206470D6D5C7}"/>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E30-4882-BD95-294C8342B52E}"/>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E30-4882-BD95-294C8342B52E}"/>
              </c:ext>
            </c:extLst>
          </c:dPt>
          <c:dPt>
            <c:idx val="1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A8-4B14-99FC-B3D7DBB1F5AB}"/>
              </c:ext>
            </c:extLst>
          </c:dPt>
          <c:dPt>
            <c:idx val="1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FA8-4B14-99FC-B3D7DBB1F5AB}"/>
              </c:ext>
            </c:extLst>
          </c:dPt>
          <c:dLbls>
            <c:dLbl>
              <c:idx val="0"/>
              <c:layout>
                <c:manualLayout>
                  <c:x val="-8.3932845792703235E-3"/>
                  <c:y val="-0.276884655227306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FA8-4B14-99FC-B3D7DBB1F5AB}"/>
                </c:ext>
              </c:extLst>
            </c:dLbl>
            <c:dLbl>
              <c:idx val="1"/>
              <c:layout>
                <c:manualLayout>
                  <c:x val="-1.1749499559208735E-3"/>
                  <c:y val="-0.296493606049422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FA8-4B14-99FC-B3D7DBB1F5AB}"/>
                </c:ext>
              </c:extLst>
            </c:dLbl>
            <c:dLbl>
              <c:idx val="2"/>
              <c:layout>
                <c:manualLayout>
                  <c:x val="3.5971219625444248E-3"/>
                  <c:y val="-0.258805828656690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A8-4B14-99FC-B3D7DBB1F5AB}"/>
                </c:ext>
              </c:extLst>
            </c:dLbl>
            <c:dLbl>
              <c:idx val="3"/>
              <c:layout>
                <c:manualLayout>
                  <c:x val="8.3932845792703235E-3"/>
                  <c:y val="-0.262749889518777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FD-441E-A459-2D32FD8D178C}"/>
                </c:ext>
              </c:extLst>
            </c:dLbl>
            <c:dLbl>
              <c:idx val="4"/>
              <c:layout>
                <c:manualLayout>
                  <c:x val="1.199040654181431E-3"/>
                  <c:y val="-0.312052729242597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0D4-4FC3-AB05-910C29E8265E}"/>
                </c:ext>
              </c:extLst>
            </c:dLbl>
            <c:dLbl>
              <c:idx val="5"/>
              <c:layout>
                <c:manualLayout>
                  <c:x val="7.1942439250888496E-3"/>
                  <c:y val="-0.363362347524032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DFE-42CD-8D6C-206470D6D5C7}"/>
                </c:ext>
              </c:extLst>
            </c:dLbl>
            <c:dLbl>
              <c:idx val="6"/>
              <c:layout>
                <c:manualLayout>
                  <c:x val="0"/>
                  <c:y val="-0.337646654913682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E30-4882-BD95-294C8342B52E}"/>
                </c:ext>
              </c:extLst>
            </c:dLbl>
            <c:dLbl>
              <c:idx val="7"/>
              <c:layout>
                <c:manualLayout>
                  <c:x val="-4.7961626167259876E-3"/>
                  <c:y val="-0.294254857609899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E30-4882-BD95-294C8342B52E}"/>
                </c:ext>
              </c:extLst>
            </c:dLbl>
            <c:dLbl>
              <c:idx val="8"/>
              <c:layout>
                <c:manualLayout>
                  <c:x val="0"/>
                  <c:y val="1.48005176233193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E7D-4665-961D-1A8AFC7FD596}"/>
                </c:ext>
              </c:extLst>
            </c:dLbl>
            <c:dLbl>
              <c:idx val="9"/>
              <c:layout>
                <c:manualLayout>
                  <c:x val="-1.2741286796574731E-16"/>
                  <c:y val="-2.60537070749164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E7D-4665-961D-1A8AFC7FD596}"/>
                </c:ext>
              </c:extLst>
            </c:dLbl>
            <c:dLbl>
              <c:idx val="10"/>
              <c:layout>
                <c:manualLayout>
                  <c:x val="-1.2741286796574731E-16"/>
                  <c:y val="-1.11976253664671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685-45B1-B864-F2F180C9D99D}"/>
                </c:ext>
              </c:extLst>
            </c:dLbl>
            <c:dLbl>
              <c:idx val="11"/>
              <c:layout>
                <c:manualLayout>
                  <c:x val="0"/>
                  <c:y val="-2.976772750202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685-45B1-B864-F2F180C9D99D}"/>
                </c:ext>
              </c:extLst>
            </c:dLbl>
            <c:dLbl>
              <c:idx val="12"/>
              <c:layout>
                <c:manualLayout>
                  <c:x val="7.5718945248310458E-3"/>
                  <c:y val="-0.298920016346469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A8-4B14-99FC-B3D7DBB1F5AB}"/>
                </c:ext>
              </c:extLst>
            </c:dLbl>
            <c:dLbl>
              <c:idx val="13"/>
              <c:layout>
                <c:manualLayout>
                  <c:x val="6.6558715619675583E-3"/>
                  <c:y val="-8.8791408037783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FA8-4B14-99FC-B3D7DBB1F5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Summary!$C$3:$P$3</c:f>
              <c:strCache>
                <c:ptCount val="14"/>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pt idx="13">
                  <c:v>TARGET</c:v>
                </c:pt>
              </c:strCache>
            </c:strRef>
          </c:cat>
          <c:val>
            <c:numRef>
              <c:f>Summary!$C$4:$P$4</c:f>
              <c:numCache>
                <c:formatCode>0.0%</c:formatCode>
                <c:ptCount val="14"/>
                <c:pt idx="0">
                  <c:v>0.68139184986289691</c:v>
                </c:pt>
                <c:pt idx="1">
                  <c:v>0.75709821994807625</c:v>
                </c:pt>
                <c:pt idx="2">
                  <c:v>0.69263813238861494</c:v>
                </c:pt>
                <c:pt idx="3">
                  <c:v>0.67552451866810093</c:v>
                </c:pt>
                <c:pt idx="4">
                  <c:v>0.66080558784483101</c:v>
                </c:pt>
                <c:pt idx="5">
                  <c:v>0.73071783403905033</c:v>
                </c:pt>
                <c:pt idx="6">
                  <c:v>0.71507978339242184</c:v>
                </c:pt>
                <c:pt idx="7">
                  <c:v>0.72289947111186437</c:v>
                </c:pt>
                <c:pt idx="8">
                  <c:v>0.74780271385756958</c:v>
                </c:pt>
                <c:pt idx="9">
                  <c:v>0.75794828123005886</c:v>
                </c:pt>
                <c:pt idx="10">
                  <c:v>0.73602948813175695</c:v>
                </c:pt>
                <c:pt idx="11">
                  <c:v>0.66725950049162575</c:v>
                </c:pt>
                <c:pt idx="12">
                  <c:v>0.71209961508057218</c:v>
                </c:pt>
                <c:pt idx="13">
                  <c:v>0.72</c:v>
                </c:pt>
              </c:numCache>
            </c:numRef>
          </c:val>
          <c:extLst>
            <c:ext xmlns:c16="http://schemas.microsoft.com/office/drawing/2014/chart" uri="{C3380CC4-5D6E-409C-BE32-E72D297353CC}">
              <c16:uniqueId val="{00000000-DFA8-4B14-99FC-B3D7DBB1F5AB}"/>
            </c:ext>
          </c:extLst>
        </c:ser>
        <c:dLbls>
          <c:showLegendKey val="0"/>
          <c:showVal val="0"/>
          <c:showCatName val="0"/>
          <c:showSerName val="0"/>
          <c:showPercent val="0"/>
          <c:showBubbleSize val="0"/>
        </c:dLbls>
        <c:gapWidth val="100"/>
        <c:overlap val="-24"/>
        <c:axId val="372101840"/>
        <c:axId val="372102232"/>
      </c:barChart>
      <c:catAx>
        <c:axId val="37210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102232"/>
        <c:crosses val="autoZero"/>
        <c:auto val="1"/>
        <c:lblAlgn val="ctr"/>
        <c:lblOffset val="100"/>
        <c:noMultiLvlLbl val="0"/>
      </c:catAx>
      <c:valAx>
        <c:axId val="372102232"/>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10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D34B2E46-6614-4244-9075-F62E0E353D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54</xdr:row>
      <xdr:rowOff>141514</xdr:rowOff>
    </xdr:from>
    <xdr:to>
      <xdr:col>7</xdr:col>
      <xdr:colOff>816428</xdr:colOff>
      <xdr:row>74</xdr:row>
      <xdr:rowOff>119743</xdr:rowOff>
    </xdr:to>
    <xdr:graphicFrame macro="">
      <xdr:nvGraphicFramePr>
        <xdr:cNvPr id="5" name="Chart 2">
          <a:extLst>
            <a:ext uri="{FF2B5EF4-FFF2-40B4-BE49-F238E27FC236}">
              <a16:creationId xmlns:a16="http://schemas.microsoft.com/office/drawing/2014/main" id="{A6063E06-D5D2-48DF-A3BD-AFF0AA5A9E3B}"/>
            </a:ext>
            <a:ext uri="{147F2762-F138-4A5C-976F-8EAC2B608ADB}">
              <a16:predDERef xmlns:a16="http://schemas.microsoft.com/office/drawing/2014/main" pred="{D34B2E46-6614-4244-9075-F62E0E353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AB8365BF-72D7-4CC2-8109-360791BA30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482021</xdr:colOff>
      <xdr:row>100</xdr:row>
      <xdr:rowOff>19050</xdr:rowOff>
    </xdr:from>
    <xdr:to>
      <xdr:col>20</xdr:col>
      <xdr:colOff>434975</xdr:colOff>
      <xdr:row>119</xdr:row>
      <xdr:rowOff>123825</xdr:rowOff>
    </xdr:to>
    <xdr:graphicFrame macro="">
      <xdr:nvGraphicFramePr>
        <xdr:cNvPr id="3" name="Chart 2">
          <a:extLst>
            <a:ext uri="{FF2B5EF4-FFF2-40B4-BE49-F238E27FC236}">
              <a16:creationId xmlns:a16="http://schemas.microsoft.com/office/drawing/2014/main" id="{FCE8AF13-F698-4605-B285-8DB01499D1F5}"/>
            </a:ext>
            <a:ext uri="{147F2762-F138-4A5C-976F-8EAC2B608ADB}">
              <a16:predDERef xmlns:a16="http://schemas.microsoft.com/office/drawing/2014/main" pred="{AB8365BF-72D7-4CC2-8109-360791BA3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A1073AC6-2BF7-4905-9357-E7186FE85F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174046</xdr:colOff>
      <xdr:row>42</xdr:row>
      <xdr:rowOff>291687</xdr:rowOff>
    </xdr:from>
    <xdr:to>
      <xdr:col>15</xdr:col>
      <xdr:colOff>750865</xdr:colOff>
      <xdr:row>57</xdr:row>
      <xdr:rowOff>11626</xdr:rowOff>
    </xdr:to>
    <xdr:graphicFrame macro="">
      <xdr:nvGraphicFramePr>
        <xdr:cNvPr id="3" name="Chart 2">
          <a:extLst>
            <a:ext uri="{FF2B5EF4-FFF2-40B4-BE49-F238E27FC236}">
              <a16:creationId xmlns:a16="http://schemas.microsoft.com/office/drawing/2014/main" id="{CD002527-1E54-4C7F-A340-5C912A7D5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58DB22F7-DBF0-4859-B5BE-84CA15F650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2790825</xdr:colOff>
      <xdr:row>55</xdr:row>
      <xdr:rowOff>9525</xdr:rowOff>
    </xdr:from>
    <xdr:to>
      <xdr:col>7</xdr:col>
      <xdr:colOff>304800</xdr:colOff>
      <xdr:row>74</xdr:row>
      <xdr:rowOff>104775</xdr:rowOff>
    </xdr:to>
    <xdr:graphicFrame macro="">
      <xdr:nvGraphicFramePr>
        <xdr:cNvPr id="3" name="Chart 2">
          <a:extLst>
            <a:ext uri="{FF2B5EF4-FFF2-40B4-BE49-F238E27FC236}">
              <a16:creationId xmlns:a16="http://schemas.microsoft.com/office/drawing/2014/main" id="{6847F3A6-6388-41F1-BD9F-3D024808E510}"/>
            </a:ext>
            <a:ext uri="{147F2762-F138-4A5C-976F-8EAC2B608ADB}">
              <a16:predDERef xmlns:a16="http://schemas.microsoft.com/office/drawing/2014/main" pred="{58DB22F7-DBF0-4859-B5BE-84CA15F65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203200</xdr:colOff>
      <xdr:row>45</xdr:row>
      <xdr:rowOff>85725</xdr:rowOff>
    </xdr:from>
    <xdr:to>
      <xdr:col>17</xdr:col>
      <xdr:colOff>25400</xdr:colOff>
      <xdr:row>61</xdr:row>
      <xdr:rowOff>120650</xdr:rowOff>
    </xdr:to>
    <xdr:graphicFrame macro="">
      <xdr:nvGraphicFramePr>
        <xdr:cNvPr id="8" name="Chart 2">
          <a:extLst>
            <a:ext uri="{FF2B5EF4-FFF2-40B4-BE49-F238E27FC236}">
              <a16:creationId xmlns:a16="http://schemas.microsoft.com/office/drawing/2014/main" id="{00000000-0008-0000-0500-000003000000}"/>
            </a:ext>
            <a:ext uri="{147F2762-F138-4A5C-976F-8EAC2B608ADB}">
              <a16:predDERef xmlns:a16="http://schemas.microsoft.com/office/drawing/2014/main" pre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631247</xdr:colOff>
      <xdr:row>40</xdr:row>
      <xdr:rowOff>259028</xdr:rowOff>
    </xdr:from>
    <xdr:to>
      <xdr:col>16</xdr:col>
      <xdr:colOff>609600</xdr:colOff>
      <xdr:row>55</xdr:row>
      <xdr:rowOff>174171</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2498146</xdr:colOff>
      <xdr:row>55</xdr:row>
      <xdr:rowOff>65808</xdr:rowOff>
    </xdr:from>
    <xdr:to>
      <xdr:col>9</xdr:col>
      <xdr:colOff>421822</xdr:colOff>
      <xdr:row>82</xdr:row>
      <xdr:rowOff>70758</xdr:rowOff>
    </xdr:to>
    <xdr:graphicFrame macro="">
      <xdr:nvGraphicFramePr>
        <xdr:cNvPr id="3" name="Chart 2">
          <a:extLst>
            <a:ext uri="{FF2B5EF4-FFF2-40B4-BE49-F238E27FC236}">
              <a16:creationId xmlns:a16="http://schemas.microsoft.com/office/drawing/2014/main" id="{00000000-0008-0000-0700-000003000000}"/>
            </a:ext>
            <a:ext uri="{147F2762-F138-4A5C-976F-8EAC2B608ADB}">
              <a16:predDERef xmlns:a16="http://schemas.microsoft.com/office/drawing/2014/main" pre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2679122</xdr:colOff>
      <xdr:row>52</xdr:row>
      <xdr:rowOff>170584</xdr:rowOff>
    </xdr:from>
    <xdr:to>
      <xdr:col>6</xdr:col>
      <xdr:colOff>33770</xdr:colOff>
      <xdr:row>69</xdr:row>
      <xdr:rowOff>70138</xdr:rowOff>
    </xdr:to>
    <xdr:graphicFrame macro="">
      <xdr:nvGraphicFramePr>
        <xdr:cNvPr id="3" name="Chart 2">
          <a:extLst>
            <a:ext uri="{FF2B5EF4-FFF2-40B4-BE49-F238E27FC236}">
              <a16:creationId xmlns:a16="http://schemas.microsoft.com/office/drawing/2014/main" id="{00000000-0008-0000-0800-000003000000}"/>
            </a:ext>
            <a:ext uri="{147F2762-F138-4A5C-976F-8EAC2B608ADB}">
              <a16:predDERef xmlns:a16="http://schemas.microsoft.com/office/drawing/2014/main" pre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200024</xdr:colOff>
      <xdr:row>0</xdr:row>
      <xdr:rowOff>9178</xdr:rowOff>
    </xdr:from>
    <xdr:to>
      <xdr:col>0</xdr:col>
      <xdr:colOff>1043940</xdr:colOff>
      <xdr:row>0</xdr:row>
      <xdr:rowOff>610169</xdr:rowOff>
    </xdr:to>
    <xdr:pic>
      <xdr:nvPicPr>
        <xdr:cNvPr id="2" name="Picture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4" y="9178"/>
          <a:ext cx="843916" cy="600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2688647</xdr:colOff>
      <xdr:row>53</xdr:row>
      <xdr:rowOff>8659</xdr:rowOff>
    </xdr:from>
    <xdr:to>
      <xdr:col>6</xdr:col>
      <xdr:colOff>43295</xdr:colOff>
      <xdr:row>69</xdr:row>
      <xdr:rowOff>98713</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186689</xdr:colOff>
      <xdr:row>9</xdr:row>
      <xdr:rowOff>114299</xdr:rowOff>
    </xdr:from>
    <xdr:to>
      <xdr:col>13</xdr:col>
      <xdr:colOff>581025</xdr:colOff>
      <xdr:row>27</xdr:row>
      <xdr:rowOff>104774</xdr:rowOff>
    </xdr:to>
    <xdr:graphicFrame macro="">
      <xdr:nvGraphicFramePr>
        <xdr:cNvPr id="12"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IshaH/Downloads/CBG%20OEE%20Calculation-%202024-%20CBG.xlsx" TargetMode="External"/><Relationship Id="rId1" Type="http://schemas.openxmlformats.org/officeDocument/2006/relationships/externalLinkPath" Target="/Users/IshaH/Downloads/CBG%20OEE%20Calculation-%202024-%20CB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uary 2024"/>
      <sheetName val="February 2024"/>
      <sheetName val="March 2024"/>
      <sheetName val="April 2024"/>
      <sheetName val="Summary"/>
      <sheetName val="May 2024"/>
      <sheetName val="June 2024"/>
      <sheetName val="July 2024"/>
      <sheetName val="August 2024"/>
      <sheetName val="September 2024"/>
      <sheetName val="October 2024"/>
      <sheetName val="November 2024"/>
      <sheetName val="December 2024"/>
      <sheetName val="Data Sheet "/>
    </sheetNames>
    <sheetDataSet>
      <sheetData sheetId="0">
        <row r="31">
          <cell r="T31">
            <v>0.68457996967473245</v>
          </cell>
        </row>
      </sheetData>
      <sheetData sheetId="1">
        <row r="31">
          <cell r="T31">
            <v>0.74484737317576966</v>
          </cell>
        </row>
      </sheetData>
      <sheetData sheetId="2">
        <row r="31">
          <cell r="T31">
            <v>0.72293506087982795</v>
          </cell>
        </row>
      </sheetData>
      <sheetData sheetId="3">
        <row r="39">
          <cell r="D39" t="str">
            <v>Real</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27D4-15D4-4887-AAB4-04CF319B9FF4}">
  <sheetPr>
    <pageSetUpPr fitToPage="1"/>
  </sheetPr>
  <dimension ref="A1:X52"/>
  <sheetViews>
    <sheetView topLeftCell="A15" zoomScale="70" zoomScaleNormal="70" workbookViewId="0">
      <selection activeCell="A12" sqref="A12"/>
    </sheetView>
  </sheetViews>
  <sheetFormatPr defaultRowHeight="14.45"/>
  <cols>
    <col min="1" max="1" width="60" customWidth="1"/>
    <col min="2" max="2" width="17.140625" bestFit="1" customWidth="1"/>
    <col min="3" max="3" width="28.8554687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26</v>
      </c>
      <c r="B3" s="5">
        <v>45659.314583333333</v>
      </c>
      <c r="C3" s="5">
        <v>45660</v>
      </c>
      <c r="D3" s="6">
        <f t="shared" ref="D3:D37" si="0">IF(B3="","",(C3-B3)*24*60)</f>
        <v>987.00000000069849</v>
      </c>
      <c r="E3" s="7">
        <v>10</v>
      </c>
      <c r="F3" s="7">
        <v>7</v>
      </c>
      <c r="G3" s="8">
        <f t="shared" ref="G3:G37" si="1">IF(E3="","",F3-E3)</f>
        <v>-3</v>
      </c>
      <c r="H3" s="7">
        <f>7+9+15+17+14+5+15+5+30+46+6+9+8+8+5+21+8</f>
        <v>228</v>
      </c>
      <c r="I3" s="7">
        <f>2+3+3+1+3+2+4+2+3+3+2+1+3+3+3+4</f>
        <v>42</v>
      </c>
      <c r="J3" s="9">
        <f t="shared" ref="J3" si="2">IF(B3="","",(D3-G3-H3-I3)/D3)</f>
        <v>0.72948328267496343</v>
      </c>
      <c r="K3" s="28">
        <v>0</v>
      </c>
      <c r="L3" s="28">
        <f>50+11+14+10+7+3+5</f>
        <v>100</v>
      </c>
      <c r="M3" s="9">
        <f t="shared" ref="M3:M37" si="3">IF(B3="","",(D3-G3-H3-I3-K3-L3-E3)/D3)</f>
        <v>0.61803444782195216</v>
      </c>
      <c r="N3" s="7">
        <v>17000</v>
      </c>
      <c r="O3" s="30">
        <f>AVERAGE(11000,17000,18000,17000,9000,17000,17500,17500,17500,17500,17000,17000,17500,17500)</f>
        <v>16285.714285714286</v>
      </c>
      <c r="P3" s="9">
        <f>IF(B3="","",O3/N3)</f>
        <v>0.95798319327731096</v>
      </c>
      <c r="Q3" s="15">
        <f>2153+3344</f>
        <v>5497</v>
      </c>
      <c r="R3" s="7">
        <f>3+1+3</f>
        <v>7</v>
      </c>
      <c r="S3" s="7"/>
      <c r="T3" s="5"/>
      <c r="U3" s="10" t="str">
        <f t="shared" ref="U3:U37" si="4">IF(S3="","",(T3-C3))</f>
        <v/>
      </c>
      <c r="V3" s="9">
        <f t="shared" ref="V3:V37" si="5">IF(B3="","",IF(U3&lt;3,(Q3-R3)/Q3,(Q3-R3-S3)/Q3))</f>
        <v>0.99872657813352739</v>
      </c>
      <c r="W3" s="11">
        <f t="shared" ref="W3:W37" si="6">IF(B3="","",V3*P3*J3)</f>
        <v>0.69794281570689076</v>
      </c>
      <c r="X3" s="11">
        <f t="shared" ref="X3:X37" si="7">IF(B3="","",V3*P3*M3)</f>
        <v>0.59131266330733034</v>
      </c>
    </row>
    <row r="4" spans="1:24">
      <c r="A4" s="27" t="s">
        <v>27</v>
      </c>
      <c r="B4" s="5">
        <v>45660.006944444445</v>
      </c>
      <c r="C4" s="5">
        <v>45660.129166666666</v>
      </c>
      <c r="D4" s="6">
        <f t="shared" ref="D4:D20" si="8">IF(B4="","",(C4-B4)*24*60)</f>
        <v>175.99999999743886</v>
      </c>
      <c r="E4" s="7">
        <v>7</v>
      </c>
      <c r="F4" s="7">
        <v>10</v>
      </c>
      <c r="G4" s="8">
        <f t="shared" ref="G4:G20" si="9">IF(E4="","",F4-E4)</f>
        <v>3</v>
      </c>
      <c r="H4" s="7">
        <f>8+6+6</f>
        <v>20</v>
      </c>
      <c r="I4" s="7">
        <f>4+4+4+4+4</f>
        <v>20</v>
      </c>
      <c r="J4" s="9">
        <f t="shared" ref="J4:J13" si="10">IF(B4="","",(D4-G4-H4-I4)/D4)</f>
        <v>0.75568181817826285</v>
      </c>
      <c r="K4" s="28">
        <v>0</v>
      </c>
      <c r="L4" s="28">
        <f>5+2</f>
        <v>7</v>
      </c>
      <c r="M4" s="9">
        <f t="shared" ref="M4:M20" si="11">IF(B4="","",(D4-G4-H4-I4-K4-L4-E4)/D4)</f>
        <v>0.67613636363165075</v>
      </c>
      <c r="N4" s="7">
        <v>17000</v>
      </c>
      <c r="O4" s="30">
        <f>AVERAGE(9000,18000,17000)</f>
        <v>14666.666666666666</v>
      </c>
      <c r="P4" s="9">
        <f>IF(B4="","",O4/N4)</f>
        <v>0.86274509803921562</v>
      </c>
      <c r="Q4" s="15">
        <v>1292</v>
      </c>
      <c r="R4" s="7">
        <v>9</v>
      </c>
      <c r="S4" s="7"/>
      <c r="T4" s="5"/>
      <c r="U4" s="10" t="str">
        <f t="shared" ref="U4:U20" si="12">IF(S4="","",(T4-C4))</f>
        <v/>
      </c>
      <c r="V4" s="9">
        <f t="shared" ref="V4:V20" si="13">IF(B4="","",IF(U4&lt;3,(Q4-R4)/Q4,(Q4-R4-S4)/Q4))</f>
        <v>0.99303405572755421</v>
      </c>
      <c r="W4" s="11">
        <f t="shared" ref="W4:W20" si="14">IF(B4="","",V4*P4*J4)</f>
        <v>0.64741926181933007</v>
      </c>
      <c r="X4" s="11">
        <f t="shared" ref="X4:X20" si="15">IF(B4="","",V4*P4*M4)</f>
        <v>0.57926986583703555</v>
      </c>
    </row>
    <row r="5" spans="1:24">
      <c r="A5" s="29" t="s">
        <v>28</v>
      </c>
      <c r="B5" s="5">
        <v>45663.168749999997</v>
      </c>
      <c r="C5" s="5">
        <v>45664</v>
      </c>
      <c r="D5" s="6">
        <f t="shared" si="8"/>
        <v>1197.000000004191</v>
      </c>
      <c r="E5" s="7">
        <v>10</v>
      </c>
      <c r="F5" s="7">
        <v>54</v>
      </c>
      <c r="G5" s="8">
        <f t="shared" si="9"/>
        <v>44</v>
      </c>
      <c r="H5" s="7">
        <f>5+6+6+6+28+25+10+7+9+5+38+5+5+5+5+11+7</f>
        <v>183</v>
      </c>
      <c r="I5" s="7">
        <f>4+4+1+4+2+3+3+4+3+3+1+4+4+2+2+4+3+4+4+2+1+2+2+1+2+1+2+2+1+1+1+1+1</f>
        <v>79</v>
      </c>
      <c r="J5" s="9">
        <f t="shared" si="10"/>
        <v>0.74436090225653417</v>
      </c>
      <c r="K5" s="28">
        <v>0</v>
      </c>
      <c r="L5" s="28">
        <f>6+2+10+2+2+6</f>
        <v>28</v>
      </c>
      <c r="M5" s="9">
        <f t="shared" si="11"/>
        <v>0.71261487051061356</v>
      </c>
      <c r="N5" s="7">
        <v>17000</v>
      </c>
      <c r="O5" s="30">
        <f>AVERAGE(15600,15600,15500,15500,15500,15500,15600,15600)</f>
        <v>15550</v>
      </c>
      <c r="P5" s="9">
        <f>IF(B5="","",Q5/N5)</f>
        <v>0.495</v>
      </c>
      <c r="Q5" s="15">
        <f>5928+2487</f>
        <v>8415</v>
      </c>
      <c r="R5" s="7">
        <f>9+25</f>
        <v>34</v>
      </c>
      <c r="S5" s="7"/>
      <c r="T5" s="5"/>
      <c r="U5" s="10" t="str">
        <f t="shared" si="12"/>
        <v/>
      </c>
      <c r="V5" s="9">
        <f t="shared" si="13"/>
        <v>0.99595959595959593</v>
      </c>
      <c r="W5" s="11">
        <f t="shared" si="14"/>
        <v>0.36696992481247132</v>
      </c>
      <c r="X5" s="11">
        <f t="shared" si="15"/>
        <v>0.35131913116173247</v>
      </c>
    </row>
    <row r="6" spans="1:24">
      <c r="A6" s="29" t="s">
        <v>29</v>
      </c>
      <c r="B6" s="5">
        <v>45664</v>
      </c>
      <c r="C6" s="5">
        <v>45665</v>
      </c>
      <c r="D6" s="6">
        <f t="shared" si="8"/>
        <v>1440</v>
      </c>
      <c r="E6" s="7">
        <f>10+100</f>
        <v>110</v>
      </c>
      <c r="F6" s="7">
        <v>188</v>
      </c>
      <c r="G6" s="8">
        <f t="shared" si="9"/>
        <v>78</v>
      </c>
      <c r="H6" s="7">
        <f>17+5+5+6+21+7+5+5+11+5+38+59+59+60+34+6</f>
        <v>343</v>
      </c>
      <c r="I6" s="7">
        <f>4+1+3+2+2+4+3+2+2+3+2+2+2+4+3+1+4+2+3+1+4+3+1+4+4+1+3</f>
        <v>70</v>
      </c>
      <c r="J6" s="9">
        <f t="shared" si="10"/>
        <v>0.65902777777777777</v>
      </c>
      <c r="K6" s="28">
        <v>0</v>
      </c>
      <c r="L6" s="28">
        <f>10+3+5+9+4+6+2</f>
        <v>39</v>
      </c>
      <c r="M6" s="9">
        <f t="shared" si="11"/>
        <v>0.55555555555555558</v>
      </c>
      <c r="N6" s="7">
        <v>17000</v>
      </c>
      <c r="O6" s="30">
        <f>AVERAGE(16000,16000,16000,16000,16000,16000,16000,9000,17000,9000,17000,17000,17000,17000,17000,17000)</f>
        <v>15562.5</v>
      </c>
      <c r="P6" s="9">
        <f t="shared" ref="P6:P20" si="16">IF(B6="","",O6/N6)</f>
        <v>0.9154411764705882</v>
      </c>
      <c r="Q6" s="15">
        <f>3335+3057+360</f>
        <v>6752</v>
      </c>
      <c r="R6" s="7">
        <f>15+5+2</f>
        <v>22</v>
      </c>
      <c r="S6" s="7"/>
      <c r="T6" s="5"/>
      <c r="U6" s="10" t="str">
        <f t="shared" si="12"/>
        <v/>
      </c>
      <c r="V6" s="9">
        <f t="shared" si="13"/>
        <v>0.99674170616113744</v>
      </c>
      <c r="W6" s="11">
        <f t="shared" si="14"/>
        <v>0.60133543174934367</v>
      </c>
      <c r="X6" s="11">
        <f t="shared" si="15"/>
        <v>0.50692133340302947</v>
      </c>
    </row>
    <row r="7" spans="1:24">
      <c r="A7" s="29" t="s">
        <v>30</v>
      </c>
      <c r="B7" s="5">
        <v>45665</v>
      </c>
      <c r="C7" s="5">
        <v>45666</v>
      </c>
      <c r="D7" s="6">
        <f t="shared" si="8"/>
        <v>1440</v>
      </c>
      <c r="E7" s="7">
        <f>100+60</f>
        <v>160</v>
      </c>
      <c r="F7" s="7">
        <f>5+68+79+18</f>
        <v>170</v>
      </c>
      <c r="G7" s="8">
        <f t="shared" si="9"/>
        <v>10</v>
      </c>
      <c r="H7" s="7">
        <f>52+56+5+8+6+18+5+15+7+38+18+9+6+13</f>
        <v>256</v>
      </c>
      <c r="I7" s="7">
        <f>1+3+2+2+2+1+1+3+2+3+1+1+1+3+2+4+2+1+2+1+2+1+2+2+1+1+1+1+4+3+4+2+3+2+4+4+3+1+4+2</f>
        <v>85</v>
      </c>
      <c r="J7" s="9">
        <f t="shared" si="10"/>
        <v>0.75624999999999998</v>
      </c>
      <c r="K7" s="28">
        <v>0</v>
      </c>
      <c r="L7" s="28">
        <f>2+4+2+10+27+4+40</f>
        <v>89</v>
      </c>
      <c r="M7" s="9">
        <f t="shared" si="11"/>
        <v>0.58333333333333337</v>
      </c>
      <c r="N7" s="7">
        <v>17000</v>
      </c>
      <c r="O7" s="30">
        <f>AVERAGE(17000,17000,17000,17000,9000,9000,16000,16000,17000,17000,17000,15000,16000,16000,16000,16000,16000,17000,17000)</f>
        <v>15684.21052631579</v>
      </c>
      <c r="P7" s="9">
        <f t="shared" si="16"/>
        <v>0.92260061919504643</v>
      </c>
      <c r="Q7" s="15">
        <f>1606+686+4437+356</f>
        <v>7085</v>
      </c>
      <c r="R7" s="7">
        <f>9+32+3</f>
        <v>44</v>
      </c>
      <c r="S7" s="7"/>
      <c r="T7" s="5"/>
      <c r="U7" s="10" t="str">
        <f t="shared" si="12"/>
        <v/>
      </c>
      <c r="V7" s="9">
        <f t="shared" si="13"/>
        <v>0.99378969654199012</v>
      </c>
      <c r="W7" s="11">
        <f t="shared" si="14"/>
        <v>0.69338368571809361</v>
      </c>
      <c r="X7" s="11">
        <f t="shared" si="15"/>
        <v>0.53484141047125677</v>
      </c>
    </row>
    <row r="8" spans="1:24">
      <c r="A8" s="29" t="s">
        <v>31</v>
      </c>
      <c r="B8" s="5">
        <v>45666</v>
      </c>
      <c r="C8" s="5">
        <v>45666.670138888891</v>
      </c>
      <c r="D8" s="6">
        <f t="shared" si="8"/>
        <v>965.00000000232831</v>
      </c>
      <c r="E8" s="7">
        <v>0</v>
      </c>
      <c r="F8" s="7">
        <v>0</v>
      </c>
      <c r="G8" s="8">
        <f t="shared" si="9"/>
        <v>0</v>
      </c>
      <c r="H8" s="7">
        <f>25+5+7+5+11+16+11+5+10</f>
        <v>95</v>
      </c>
      <c r="I8" s="7">
        <f>3+2+4+2+2+3+2+2+2+3+1+2+4+2+4+1+3+3+2+2+4+1+3+4+2+2+4+3+2+3</f>
        <v>77</v>
      </c>
      <c r="J8" s="9">
        <f t="shared" si="10"/>
        <v>0.82176165803151813</v>
      </c>
      <c r="K8" s="28">
        <v>0</v>
      </c>
      <c r="L8" s="28">
        <f>4+2+20+11+3+5+4+5</f>
        <v>54</v>
      </c>
      <c r="M8" s="9">
        <f t="shared" si="11"/>
        <v>0.76580310880885516</v>
      </c>
      <c r="N8" s="7">
        <v>17000</v>
      </c>
      <c r="O8" s="30">
        <f>AVERAGE(17000,17000,17000,16400,16500,16500,16500,16500,17000,17000,17000,17000,17000,17000,17000,17000,17000,)</f>
        <v>15911.111111111111</v>
      </c>
      <c r="P8" s="9">
        <f t="shared" si="16"/>
        <v>0.93594771241830066</v>
      </c>
      <c r="Q8" s="15">
        <v>6459</v>
      </c>
      <c r="R8" s="7">
        <v>35</v>
      </c>
      <c r="S8" s="7"/>
      <c r="T8" s="5"/>
      <c r="U8" s="10" t="str">
        <f t="shared" si="12"/>
        <v/>
      </c>
      <c r="V8" s="9">
        <f t="shared" si="13"/>
        <v>0.99458120452082366</v>
      </c>
      <c r="W8" s="11">
        <f t="shared" si="14"/>
        <v>0.76495820779947166</v>
      </c>
      <c r="X8" s="11">
        <f t="shared" si="15"/>
        <v>0.71286773715501983</v>
      </c>
    </row>
    <row r="9" spans="1:24">
      <c r="A9" s="29" t="s">
        <v>28</v>
      </c>
      <c r="B9" s="5">
        <v>45673.65</v>
      </c>
      <c r="C9" s="5">
        <v>45673.932638888888</v>
      </c>
      <c r="D9" s="6">
        <f t="shared" si="8"/>
        <v>406.99999999604188</v>
      </c>
      <c r="E9" s="7">
        <v>10</v>
      </c>
      <c r="F9" s="7">
        <v>32</v>
      </c>
      <c r="G9" s="8">
        <f t="shared" si="9"/>
        <v>22</v>
      </c>
      <c r="H9" s="7">
        <f>36+7+7+6</f>
        <v>56</v>
      </c>
      <c r="I9" s="7">
        <f>4+4+1+2+3+3+3+1+4</f>
        <v>25</v>
      </c>
      <c r="J9" s="9">
        <f t="shared" si="10"/>
        <v>0.74692874692628575</v>
      </c>
      <c r="K9" s="56">
        <v>0</v>
      </c>
      <c r="L9" s="56">
        <f>3+3+3</f>
        <v>9</v>
      </c>
      <c r="M9" s="9">
        <f t="shared" si="11"/>
        <v>0.7002457002427851</v>
      </c>
      <c r="N9" s="7">
        <v>17000</v>
      </c>
      <c r="O9" s="30">
        <f>AVERAGE(9000,17500,17000,17000,17000,17500,18000)</f>
        <v>16142.857142857143</v>
      </c>
      <c r="P9" s="9">
        <f t="shared" si="16"/>
        <v>0.94957983193277318</v>
      </c>
      <c r="Q9" s="15">
        <f>2589+509</f>
        <v>3098</v>
      </c>
      <c r="R9" s="7">
        <f>5+1</f>
        <v>6</v>
      </c>
      <c r="S9" s="7"/>
      <c r="T9" s="5"/>
      <c r="U9" s="10" t="str">
        <f t="shared" si="12"/>
        <v/>
      </c>
      <c r="V9" s="9">
        <f t="shared" si="13"/>
        <v>0.9980632666236281</v>
      </c>
      <c r="W9" s="11">
        <f t="shared" si="14"/>
        <v>0.70789481004566934</v>
      </c>
      <c r="X9" s="11">
        <f t="shared" si="15"/>
        <v>0.66365138441723903</v>
      </c>
    </row>
    <row r="10" spans="1:24">
      <c r="A10" s="29" t="s">
        <v>32</v>
      </c>
      <c r="B10" s="5">
        <v>45674.344444444447</v>
      </c>
      <c r="C10" s="5">
        <v>45674.831250000003</v>
      </c>
      <c r="D10" s="6">
        <f t="shared" si="8"/>
        <v>701.00000000093132</v>
      </c>
      <c r="E10" s="7">
        <v>10</v>
      </c>
      <c r="F10" s="7">
        <v>15</v>
      </c>
      <c r="G10" s="8">
        <f t="shared" si="9"/>
        <v>5</v>
      </c>
      <c r="H10" s="7">
        <f>6+5+10+13+6+7+6+5+18</f>
        <v>76</v>
      </c>
      <c r="I10" s="7">
        <f>4+2+1+1+2+1+2+1+2+2+2+2+3+2+3+2+3+2+1</f>
        <v>38</v>
      </c>
      <c r="J10" s="9">
        <f t="shared" si="10"/>
        <v>0.83024251069922694</v>
      </c>
      <c r="K10" s="28">
        <v>0</v>
      </c>
      <c r="L10" s="28">
        <f>5+4+15+35</f>
        <v>59</v>
      </c>
      <c r="M10" s="9">
        <f t="shared" si="11"/>
        <v>0.73181169757524933</v>
      </c>
      <c r="N10" s="7">
        <v>17000</v>
      </c>
      <c r="O10" s="30">
        <f>AVERAGE(11000,17600,17500,17500,17000,17000,17000,17000,17000,17000,9000,17000)</f>
        <v>15966.666666666666</v>
      </c>
      <c r="P10" s="9">
        <f t="shared" si="16"/>
        <v>0.9392156862745098</v>
      </c>
      <c r="Q10" s="15">
        <f>846+3943</f>
        <v>4789</v>
      </c>
      <c r="R10" s="7">
        <v>6</v>
      </c>
      <c r="S10" s="7"/>
      <c r="T10" s="5"/>
      <c r="U10" s="10" t="str">
        <f t="shared" si="12"/>
        <v/>
      </c>
      <c r="V10" s="9">
        <f t="shared" si="13"/>
        <v>0.99874712883691796</v>
      </c>
      <c r="W10" s="11">
        <f t="shared" si="14"/>
        <v>0.7787998296074905</v>
      </c>
      <c r="X10" s="11">
        <f t="shared" si="15"/>
        <v>0.68646789104592554</v>
      </c>
    </row>
    <row r="11" spans="1:24">
      <c r="A11" s="29" t="s">
        <v>33</v>
      </c>
      <c r="B11" s="5">
        <v>45677.402777777781</v>
      </c>
      <c r="C11" s="5">
        <v>45677.925694444442</v>
      </c>
      <c r="D11" s="6">
        <f t="shared" si="8"/>
        <v>752.99999999231659</v>
      </c>
      <c r="E11" s="7">
        <v>10</v>
      </c>
      <c r="F11" s="7">
        <v>14</v>
      </c>
      <c r="G11" s="8">
        <f t="shared" si="9"/>
        <v>4</v>
      </c>
      <c r="H11" s="7">
        <f>15+16+14+10+6+6+5+9+5+6+5+15+11+16</f>
        <v>139</v>
      </c>
      <c r="I11" s="7">
        <f>2+2+4+4+3+2+3+2+2+2+3+4+2+2+2+3+2+4+2+1+4+4+4+2</f>
        <v>65</v>
      </c>
      <c r="J11" s="9">
        <f t="shared" si="10"/>
        <v>0.72377158034246691</v>
      </c>
      <c r="K11" s="28">
        <v>0</v>
      </c>
      <c r="L11" s="28">
        <f>5+2+2+3+9</f>
        <v>21</v>
      </c>
      <c r="M11" s="9">
        <f t="shared" si="11"/>
        <v>0.68260292164350767</v>
      </c>
      <c r="N11" s="7">
        <v>17000</v>
      </c>
      <c r="O11" s="30">
        <f>AVERAGE(9000,17000,17000,17000,11000,17200,17100,17100,17100,17100,17100,17100,)</f>
        <v>14676.923076923076</v>
      </c>
      <c r="P11" s="9">
        <f t="shared" si="16"/>
        <v>0.86334841628959269</v>
      </c>
      <c r="Q11" s="15">
        <f>1575+3354</f>
        <v>4929</v>
      </c>
      <c r="R11" s="7">
        <v>7</v>
      </c>
      <c r="S11" s="7"/>
      <c r="T11" s="5"/>
      <c r="U11" s="10" t="str">
        <f t="shared" si="12"/>
        <v/>
      </c>
      <c r="V11" s="9">
        <f t="shared" si="13"/>
        <v>0.99857983363765468</v>
      </c>
      <c r="W11" s="11">
        <f t="shared" si="14"/>
        <v>0.62397963248208232</v>
      </c>
      <c r="X11" s="11">
        <f t="shared" si="15"/>
        <v>0.58848721301929841</v>
      </c>
    </row>
    <row r="12" spans="1:24">
      <c r="A12" s="29" t="s">
        <v>34</v>
      </c>
      <c r="B12" s="5">
        <v>45678.333333333336</v>
      </c>
      <c r="C12" s="5">
        <v>45678.902083333334</v>
      </c>
      <c r="D12" s="6">
        <f t="shared" si="8"/>
        <v>818.99999999790452</v>
      </c>
      <c r="E12" s="7">
        <v>60</v>
      </c>
      <c r="F12" s="7">
        <v>12</v>
      </c>
      <c r="G12" s="8">
        <f t="shared" si="9"/>
        <v>-48</v>
      </c>
      <c r="H12" s="7">
        <f>15+23+5+7+6+12+15+7+9+5+8+8</f>
        <v>120</v>
      </c>
      <c r="I12" s="7">
        <f>4+3+4+1+3+3+1+2+2+3+2+2+3+2+2</f>
        <v>37</v>
      </c>
      <c r="J12" s="9">
        <f t="shared" si="10"/>
        <v>0.86691086691052643</v>
      </c>
      <c r="K12" s="56">
        <v>0</v>
      </c>
      <c r="L12" s="56">
        <f>29+50</f>
        <v>79</v>
      </c>
      <c r="M12" s="9">
        <f t="shared" si="11"/>
        <v>0.69719169719092244</v>
      </c>
      <c r="N12" s="7">
        <v>17000</v>
      </c>
      <c r="O12" s="30">
        <f>AVERAGE(9000,17000,17000,17000,9000,17000,17000,17000,17000,17000,17000,17000)</f>
        <v>15666.666666666666</v>
      </c>
      <c r="P12" s="9">
        <f t="shared" si="16"/>
        <v>0.92156862745098034</v>
      </c>
      <c r="Q12" s="15">
        <f>1585+3600</f>
        <v>5185</v>
      </c>
      <c r="R12" s="7">
        <f>3+3+6</f>
        <v>12</v>
      </c>
      <c r="S12" s="7"/>
      <c r="T12" s="5"/>
      <c r="U12" s="10" t="str">
        <f t="shared" si="12"/>
        <v/>
      </c>
      <c r="V12" s="9">
        <f t="shared" si="13"/>
        <v>0.99768563162970103</v>
      </c>
      <c r="W12" s="11">
        <f t="shared" si="14"/>
        <v>0.79706886752065031</v>
      </c>
      <c r="X12" s="11">
        <f t="shared" si="15"/>
        <v>0.64102299063938639</v>
      </c>
    </row>
    <row r="13" spans="1:24">
      <c r="A13" s="29" t="s">
        <v>35</v>
      </c>
      <c r="B13" s="5">
        <v>45679.34375</v>
      </c>
      <c r="C13" s="5">
        <v>45679.888194444444</v>
      </c>
      <c r="D13" s="6">
        <f t="shared" si="8"/>
        <v>783.99999999906868</v>
      </c>
      <c r="E13" s="7">
        <v>0</v>
      </c>
      <c r="F13" s="7">
        <v>0</v>
      </c>
      <c r="G13" s="8">
        <f t="shared" si="9"/>
        <v>0</v>
      </c>
      <c r="H13" s="7">
        <f>24+6+6+15+34+5+5+6+6</f>
        <v>107</v>
      </c>
      <c r="I13" s="7">
        <f>2+4+1+4+3+1+4+2+2+2+1+2+3+2+1+3+3+4+1+2+1+1+1+1+1</f>
        <v>52</v>
      </c>
      <c r="J13" s="9">
        <f t="shared" si="10"/>
        <v>0.79719387755077953</v>
      </c>
      <c r="K13" s="28">
        <v>0</v>
      </c>
      <c r="L13" s="28">
        <v>0</v>
      </c>
      <c r="M13" s="9">
        <f t="shared" si="11"/>
        <v>0.79719387755077953</v>
      </c>
      <c r="N13" s="7">
        <v>17000</v>
      </c>
      <c r="O13" s="30">
        <f>AVERAGE(9000,17000,17000,17000,17000,17000,17200,17500,17300,17000,18000,18000,)</f>
        <v>15307.692307692309</v>
      </c>
      <c r="P13" s="9">
        <f t="shared" si="16"/>
        <v>0.90045248868778283</v>
      </c>
      <c r="Q13" s="15">
        <v>5884</v>
      </c>
      <c r="R13" s="7">
        <v>10</v>
      </c>
      <c r="S13" s="7"/>
      <c r="T13" s="5"/>
      <c r="U13" s="10" t="str">
        <f t="shared" si="12"/>
        <v/>
      </c>
      <c r="V13" s="9">
        <f t="shared" si="13"/>
        <v>0.9983004758667573</v>
      </c>
      <c r="W13" s="11">
        <f t="shared" si="14"/>
        <v>0.71661523274246486</v>
      </c>
      <c r="X13" s="11">
        <f t="shared" si="15"/>
        <v>0.71661523274246486</v>
      </c>
    </row>
    <row r="14" spans="1:24">
      <c r="A14" s="29" t="s">
        <v>36</v>
      </c>
      <c r="B14" s="5">
        <v>45680.340277777781</v>
      </c>
      <c r="C14" s="5">
        <v>45680.912499999999</v>
      </c>
      <c r="D14" s="6">
        <f t="shared" si="8"/>
        <v>823.99999999324791</v>
      </c>
      <c r="E14" s="7">
        <v>20</v>
      </c>
      <c r="F14" s="7">
        <v>48</v>
      </c>
      <c r="G14" s="8">
        <f t="shared" si="9"/>
        <v>28</v>
      </c>
      <c r="H14" s="7">
        <f>30+47+10+6+6+6+5+5+12+42</f>
        <v>169</v>
      </c>
      <c r="I14" s="7">
        <f>3+2+2+4+3+3+4+4+2+1+1+3+1+2+2+3</f>
        <v>40</v>
      </c>
      <c r="J14" s="9">
        <f>IF(B14="","",(D14-G14-H15-I14)/D14)</f>
        <v>0.77548543689136418</v>
      </c>
      <c r="K14" s="28">
        <v>0</v>
      </c>
      <c r="L14" s="28">
        <f>6+5</f>
        <v>11</v>
      </c>
      <c r="M14" s="9">
        <f t="shared" si="11"/>
        <v>0.67475728155073289</v>
      </c>
      <c r="N14" s="7">
        <v>17000</v>
      </c>
      <c r="O14" s="30">
        <f>AVERAGE(9000,17000,17000,17000,17000,17000,17000,17000,17000,18000,9000,18000)</f>
        <v>15833.333333333334</v>
      </c>
      <c r="P14" s="9">
        <f t="shared" si="16"/>
        <v>0.93137254901960786</v>
      </c>
      <c r="Q14" s="15">
        <f>4090+419</f>
        <v>4509</v>
      </c>
      <c r="R14" s="7"/>
      <c r="S14" s="7">
        <v>130</v>
      </c>
      <c r="T14" s="5">
        <v>45688.5</v>
      </c>
      <c r="U14" s="10">
        <f t="shared" si="12"/>
        <v>7.5875000000014552</v>
      </c>
      <c r="V14" s="9">
        <f t="shared" si="13"/>
        <v>0.97116877356398312</v>
      </c>
      <c r="W14" s="11">
        <f t="shared" si="14"/>
        <v>0.70144203787195103</v>
      </c>
      <c r="X14" s="11">
        <f t="shared" si="15"/>
        <v>0.61033141323347351</v>
      </c>
    </row>
    <row r="15" spans="1:24">
      <c r="A15" s="29" t="s">
        <v>37</v>
      </c>
      <c r="B15" s="5">
        <v>45681.350694444445</v>
      </c>
      <c r="C15" s="5">
        <v>45681.844444444447</v>
      </c>
      <c r="D15" s="6">
        <f t="shared" si="8"/>
        <v>711.00000000209548</v>
      </c>
      <c r="E15" s="7">
        <v>60</v>
      </c>
      <c r="F15" s="7">
        <v>53</v>
      </c>
      <c r="G15" s="8">
        <f t="shared" si="9"/>
        <v>-7</v>
      </c>
      <c r="H15" s="7">
        <f>25+7+15+6+7+8+5+44</f>
        <v>117</v>
      </c>
      <c r="I15" s="7">
        <f>4+3+4+2+3+4+3+2+1+3+4+2+4+2+2+1</f>
        <v>44</v>
      </c>
      <c r="J15" s="9">
        <f>IF(B15="","",(D15-G15-H16-I15)/D15)</f>
        <v>0.66807313642854504</v>
      </c>
      <c r="K15" s="28">
        <v>0</v>
      </c>
      <c r="L15" s="28">
        <v>0</v>
      </c>
      <c r="M15" s="9">
        <f t="shared" si="11"/>
        <v>0.69901547116825702</v>
      </c>
      <c r="N15" s="7">
        <v>17000</v>
      </c>
      <c r="O15" s="30">
        <f>AVERAGE(9000,18000,17500,9000,17000,17000,17000,17000,17000,17000)</f>
        <v>15550</v>
      </c>
      <c r="P15" s="9">
        <f t="shared" si="16"/>
        <v>0.91470588235294115</v>
      </c>
      <c r="Q15" s="15">
        <f>1602+3350</f>
        <v>4952</v>
      </c>
      <c r="R15" s="7">
        <f>7+4</f>
        <v>11</v>
      </c>
      <c r="S15" s="7"/>
      <c r="T15" s="5"/>
      <c r="U15" s="10" t="str">
        <f t="shared" si="12"/>
        <v/>
      </c>
      <c r="V15" s="9">
        <f t="shared" si="13"/>
        <v>0.99777867528271402</v>
      </c>
      <c r="W15" s="11">
        <f t="shared" si="14"/>
        <v>0.60973299746154852</v>
      </c>
      <c r="X15" s="11">
        <f t="shared" si="15"/>
        <v>0.63797326260701159</v>
      </c>
    </row>
    <row r="16" spans="1:24">
      <c r="A16" s="29" t="s">
        <v>26</v>
      </c>
      <c r="B16" s="5">
        <v>45684.46875</v>
      </c>
      <c r="C16" s="5">
        <v>45684.90347222222</v>
      </c>
      <c r="D16" s="6">
        <f t="shared" si="8"/>
        <v>625.99999999743886</v>
      </c>
      <c r="E16" s="7">
        <v>10</v>
      </c>
      <c r="F16" s="7">
        <v>18</v>
      </c>
      <c r="G16" s="8">
        <f t="shared" si="9"/>
        <v>8</v>
      </c>
      <c r="H16" s="7">
        <f>5+9+21+6+7+5+54+10+5+9+9+5+18+36</f>
        <v>199</v>
      </c>
      <c r="I16" s="7">
        <f>3+3+2+4+2+3+4+3+4+1</f>
        <v>29</v>
      </c>
      <c r="J16" s="9">
        <f>IF(B16="","",(D16-G16-H16-I16)/D16)</f>
        <v>0.62300319488663647</v>
      </c>
      <c r="K16" s="28">
        <v>0</v>
      </c>
      <c r="L16" s="28">
        <v>0</v>
      </c>
      <c r="M16" s="9">
        <f t="shared" si="11"/>
        <v>0.60702875399200251</v>
      </c>
      <c r="N16" s="7">
        <v>17000</v>
      </c>
      <c r="O16" s="30">
        <f>AVERAGE(9000,17500,17500,17500,17000,17000,11000,17000)</f>
        <v>15437.5</v>
      </c>
      <c r="P16" s="9">
        <f t="shared" si="16"/>
        <v>0.90808823529411764</v>
      </c>
      <c r="Q16" s="15">
        <f>963+2594</f>
        <v>3557</v>
      </c>
      <c r="R16" s="7">
        <f>5+3+2</f>
        <v>10</v>
      </c>
      <c r="S16" s="7"/>
      <c r="T16" s="5"/>
      <c r="U16" s="10" t="str">
        <f t="shared" si="12"/>
        <v/>
      </c>
      <c r="V16" s="9">
        <f t="shared" si="13"/>
        <v>0.99718864211414115</v>
      </c>
      <c r="W16" s="11">
        <f t="shared" si="14"/>
        <v>0.56415136895448104</v>
      </c>
      <c r="X16" s="11">
        <f t="shared" si="15"/>
        <v>0.54968594923760461</v>
      </c>
    </row>
    <row r="17" spans="1:24">
      <c r="A17" s="29" t="s">
        <v>38</v>
      </c>
      <c r="B17" s="5">
        <v>45685.340277777781</v>
      </c>
      <c r="C17" s="5">
        <v>45685.890972222223</v>
      </c>
      <c r="D17" s="6">
        <f t="shared" si="8"/>
        <v>792.9999999969732</v>
      </c>
      <c r="E17" s="7">
        <v>20</v>
      </c>
      <c r="F17" s="7">
        <v>96</v>
      </c>
      <c r="G17" s="8">
        <f t="shared" si="9"/>
        <v>76</v>
      </c>
      <c r="H17" s="7">
        <f>5+5+9+5+5+60+60+34+5+5+11+8+10</f>
        <v>222</v>
      </c>
      <c r="I17" s="7">
        <f>4+3+3+2+3+4+2+4+2+3+4+3+4+2+1+3</f>
        <v>47</v>
      </c>
      <c r="J17" s="9">
        <f>IF(B17="","",(D17-G17-H17-I17)/D17)</f>
        <v>0.56494325346618302</v>
      </c>
      <c r="K17" s="28">
        <v>0</v>
      </c>
      <c r="L17" s="28">
        <v>26</v>
      </c>
      <c r="M17" s="9">
        <f t="shared" si="11"/>
        <v>0.50693568726167415</v>
      </c>
      <c r="N17" s="7">
        <v>17000</v>
      </c>
      <c r="O17" s="30">
        <f>AVERAGE(9000,17000,17000,17000,17000,17000,9000,18000,18000,18000)</f>
        <v>15700</v>
      </c>
      <c r="P17" s="9">
        <f t="shared" si="16"/>
        <v>0.92352941176470593</v>
      </c>
      <c r="Q17" s="15">
        <f>1895+1548</f>
        <v>3443</v>
      </c>
      <c r="R17" s="7">
        <f>5+3</f>
        <v>8</v>
      </c>
      <c r="S17" s="7">
        <v>13</v>
      </c>
      <c r="T17" s="5"/>
      <c r="U17" s="10">
        <f t="shared" si="12"/>
        <v>-45685.890972222223</v>
      </c>
      <c r="V17" s="9">
        <f t="shared" si="13"/>
        <v>0.99767644496079</v>
      </c>
      <c r="W17" s="11">
        <f t="shared" si="14"/>
        <v>0.52052941497333927</v>
      </c>
      <c r="X17" s="11">
        <f t="shared" si="15"/>
        <v>0.46708219825696567</v>
      </c>
    </row>
    <row r="18" spans="1:24">
      <c r="A18" s="29" t="s">
        <v>39</v>
      </c>
      <c r="B18" s="5">
        <v>45686.34375</v>
      </c>
      <c r="C18" s="5">
        <v>45686.895833333336</v>
      </c>
      <c r="D18" s="6">
        <f t="shared" si="8"/>
        <v>795.00000000349246</v>
      </c>
      <c r="E18" s="7">
        <v>60</v>
      </c>
      <c r="F18" s="7">
        <v>35</v>
      </c>
      <c r="G18" s="8">
        <f t="shared" si="9"/>
        <v>-25</v>
      </c>
      <c r="H18" s="7">
        <f>50+32+14+5+60+8+24+36+6+7+11+5+6+5</f>
        <v>269</v>
      </c>
      <c r="I18" s="7">
        <f>3+4+3+4+4+3+1+4+3+2+3</f>
        <v>34</v>
      </c>
      <c r="J18" s="9">
        <f>IF(B18="","",(D18-G18-H18-I18)/D18)</f>
        <v>0.65031446541034121</v>
      </c>
      <c r="K18" s="28">
        <v>0</v>
      </c>
      <c r="L18" s="28">
        <f>20+24+43+27</f>
        <v>114</v>
      </c>
      <c r="M18" s="9">
        <f t="shared" si="11"/>
        <v>0.43144654088300083</v>
      </c>
      <c r="N18" s="7">
        <v>17000</v>
      </c>
      <c r="O18" s="30">
        <f>AVERAGE(9000,17000,17000,15000,15000,15000,9000,17500)</f>
        <v>14312.5</v>
      </c>
      <c r="P18" s="9">
        <f t="shared" si="16"/>
        <v>0.84191176470588236</v>
      </c>
      <c r="Q18" s="15">
        <f>626+2006</f>
        <v>2632</v>
      </c>
      <c r="R18" s="7">
        <f>6+4+15</f>
        <v>25</v>
      </c>
      <c r="S18" s="7">
        <f>19+1</f>
        <v>20</v>
      </c>
      <c r="T18" s="5">
        <v>45740.370138888888</v>
      </c>
      <c r="U18" s="10">
        <f t="shared" si="12"/>
        <v>53.474305555551837</v>
      </c>
      <c r="V18" s="9">
        <f t="shared" si="13"/>
        <v>0.98290273556231</v>
      </c>
      <c r="W18" s="11">
        <f t="shared" si="14"/>
        <v>0.53814652040188427</v>
      </c>
      <c r="X18" s="11">
        <f t="shared" si="15"/>
        <v>0.3570295096682376</v>
      </c>
    </row>
    <row r="19" spans="1:24">
      <c r="A19" s="29" t="s">
        <v>40</v>
      </c>
      <c r="B19" s="5">
        <v>45687.336805555555</v>
      </c>
      <c r="C19" s="5">
        <v>45687.74722222222</v>
      </c>
      <c r="D19" s="6">
        <f t="shared" si="8"/>
        <v>590.99999999860302</v>
      </c>
      <c r="E19" s="7">
        <v>60</v>
      </c>
      <c r="F19" s="7">
        <v>62</v>
      </c>
      <c r="G19" s="8">
        <f t="shared" si="9"/>
        <v>2</v>
      </c>
      <c r="H19" s="7">
        <f>11+8+7+6+19+6+5+6+6+5</f>
        <v>79</v>
      </c>
      <c r="I19" s="7">
        <f>2+2+2+3+3+4+3+2+3+1+4+4</f>
        <v>33</v>
      </c>
      <c r="J19" s="9">
        <f>IF(B19="","",(D19-G19-H19-I19)/D19)</f>
        <v>0.80710659898431558</v>
      </c>
      <c r="K19" s="28">
        <v>0</v>
      </c>
      <c r="L19" s="28">
        <f>13+20+4</f>
        <v>37</v>
      </c>
      <c r="M19" s="9">
        <f t="shared" si="11"/>
        <v>0.64297800338325084</v>
      </c>
      <c r="N19" s="7">
        <v>17000</v>
      </c>
      <c r="O19" s="30">
        <f>AVERAGE(17500,17500,17500,17500,17000,17000,17000,17000,17000,17000,17000)</f>
        <v>17181.81818181818</v>
      </c>
      <c r="P19" s="9">
        <f t="shared" si="16"/>
        <v>1.0106951871657752</v>
      </c>
      <c r="Q19" s="15">
        <f>3609+1979</f>
        <v>5588</v>
      </c>
      <c r="R19" s="7">
        <f>10+12</f>
        <v>22</v>
      </c>
      <c r="S19" s="7">
        <f>14.13+5</f>
        <v>19.130000000000003</v>
      </c>
      <c r="T19" s="5">
        <v>45750.284722222219</v>
      </c>
      <c r="U19" s="10">
        <f t="shared" si="12"/>
        <v>62.537499999998545</v>
      </c>
      <c r="V19" s="9">
        <f t="shared" si="13"/>
        <v>0.99263958482462422</v>
      </c>
      <c r="W19" s="11">
        <f t="shared" si="14"/>
        <v>0.80973457921083436</v>
      </c>
      <c r="X19" s="11">
        <f t="shared" si="15"/>
        <v>0.64507157253645075</v>
      </c>
    </row>
    <row r="20" spans="1:24">
      <c r="A20" s="29" t="s">
        <v>41</v>
      </c>
      <c r="B20" s="5">
        <v>45688.294444444444</v>
      </c>
      <c r="C20" s="5">
        <v>45688.801388888889</v>
      </c>
      <c r="D20" s="6">
        <f t="shared" si="8"/>
        <v>730.00000000116415</v>
      </c>
      <c r="E20" s="7">
        <v>100</v>
      </c>
      <c r="F20" s="7">
        <v>117</v>
      </c>
      <c r="G20" s="8">
        <f t="shared" si="9"/>
        <v>17</v>
      </c>
      <c r="H20" s="7">
        <f>14+6+6+15+29</f>
        <v>70</v>
      </c>
      <c r="I20" s="7">
        <f>2+2+2+1+4+3+3+3+3+3</f>
        <v>26</v>
      </c>
      <c r="J20" s="9">
        <f>IF(B20="","",(D20-G20-H20-I20)/D20)</f>
        <v>0.84520547945230162</v>
      </c>
      <c r="K20" s="28">
        <v>0</v>
      </c>
      <c r="L20" s="28">
        <f>5+10</f>
        <v>15</v>
      </c>
      <c r="M20" s="9">
        <f t="shared" si="11"/>
        <v>0.68767123287721044</v>
      </c>
      <c r="N20" s="7">
        <v>17000</v>
      </c>
      <c r="O20" s="30">
        <f>AVERAGE(17200,17500,16800,16800,16800,17000,18000)</f>
        <v>17157.142857142859</v>
      </c>
      <c r="P20" s="9">
        <f t="shared" si="16"/>
        <v>1.0092436974789918</v>
      </c>
      <c r="Q20" s="15">
        <f>1235+3269</f>
        <v>4504</v>
      </c>
      <c r="R20" s="7">
        <f>4</f>
        <v>4</v>
      </c>
      <c r="S20" s="7"/>
      <c r="T20" s="5"/>
      <c r="U20" s="10" t="str">
        <f t="shared" si="12"/>
        <v/>
      </c>
      <c r="V20" s="9">
        <f t="shared" si="13"/>
        <v>0.9991119005328597</v>
      </c>
      <c r="W20" s="11">
        <f t="shared" si="14"/>
        <v>0.85226073811140146</v>
      </c>
      <c r="X20" s="11">
        <f t="shared" si="15"/>
        <v>0.69341149194831198</v>
      </c>
    </row>
    <row r="21" spans="1:24">
      <c r="A21" s="29"/>
      <c r="B21" s="5"/>
      <c r="C21" s="5"/>
      <c r="D21" s="6"/>
      <c r="E21" s="7"/>
      <c r="F21" s="7"/>
      <c r="G21" s="8"/>
      <c r="H21" s="7"/>
      <c r="I21" s="7"/>
      <c r="J21" s="9"/>
      <c r="K21" s="28"/>
      <c r="L21" s="28"/>
      <c r="M21" s="9"/>
      <c r="N21" s="7"/>
      <c r="O21" s="30"/>
      <c r="P21" s="9"/>
      <c r="Q21" s="15"/>
      <c r="R21" s="7"/>
      <c r="S21" s="7"/>
      <c r="T21" s="5"/>
      <c r="U21" s="10"/>
      <c r="V21" s="9"/>
      <c r="W21" s="11"/>
      <c r="X21" s="11"/>
    </row>
    <row r="22" spans="1:24">
      <c r="A22" s="29"/>
      <c r="B22" s="5"/>
      <c r="C22" s="5"/>
      <c r="D22" s="6" t="str">
        <f t="shared" si="0"/>
        <v/>
      </c>
      <c r="E22" s="7"/>
      <c r="F22" s="7"/>
      <c r="G22" s="8" t="str">
        <f t="shared" si="1"/>
        <v/>
      </c>
      <c r="H22" s="7"/>
      <c r="I22" s="7"/>
      <c r="J22" s="9" t="str">
        <f t="shared" ref="J22:J37" si="17">IF(B22="","",(D22-G22-H22-I22)/D22)</f>
        <v/>
      </c>
      <c r="K22" s="28"/>
      <c r="L22" s="28"/>
      <c r="M22" s="9" t="str">
        <f t="shared" si="3"/>
        <v/>
      </c>
      <c r="N22" s="7"/>
      <c r="O22" s="30"/>
      <c r="P22" s="9" t="str">
        <f t="shared" ref="P22:P37" si="18">IF(B22="","",O22/N22)</f>
        <v/>
      </c>
      <c r="Q22" s="15"/>
      <c r="R22" s="7"/>
      <c r="S22" s="7"/>
      <c r="T22" s="5"/>
      <c r="U22" s="10" t="str">
        <f t="shared" si="4"/>
        <v/>
      </c>
      <c r="V22" s="9" t="str">
        <f t="shared" si="5"/>
        <v/>
      </c>
      <c r="W22" s="11" t="str">
        <f t="shared" si="6"/>
        <v/>
      </c>
      <c r="X22" s="11" t="str">
        <f t="shared" si="7"/>
        <v/>
      </c>
    </row>
    <row r="23" spans="1:24" ht="15" thickBot="1">
      <c r="A23" s="29"/>
      <c r="B23" s="5"/>
      <c r="C23" s="5"/>
      <c r="D23" s="6" t="str">
        <f t="shared" si="0"/>
        <v/>
      </c>
      <c r="E23" s="7"/>
      <c r="F23" s="7"/>
      <c r="G23" s="8" t="str">
        <f t="shared" si="1"/>
        <v/>
      </c>
      <c r="H23" s="7"/>
      <c r="I23" s="7"/>
      <c r="J23" s="9" t="str">
        <f t="shared" si="17"/>
        <v/>
      </c>
      <c r="K23" s="28"/>
      <c r="L23" s="28"/>
      <c r="M23" s="9" t="str">
        <f t="shared" si="3"/>
        <v/>
      </c>
      <c r="N23" s="7"/>
      <c r="O23" s="15"/>
      <c r="P23" s="9" t="str">
        <f t="shared" si="18"/>
        <v/>
      </c>
      <c r="Q23" s="15"/>
      <c r="R23" s="7"/>
      <c r="S23" s="7"/>
      <c r="T23" s="5"/>
      <c r="U23" s="10" t="str">
        <f t="shared" si="4"/>
        <v/>
      </c>
      <c r="V23" s="9" t="str">
        <f t="shared" si="5"/>
        <v/>
      </c>
      <c r="W23" s="11" t="str">
        <f t="shared" si="6"/>
        <v/>
      </c>
      <c r="X23" s="11" t="str">
        <f t="shared" si="7"/>
        <v/>
      </c>
    </row>
    <row r="24" spans="1:24" hidden="1">
      <c r="A24" s="29"/>
      <c r="B24" s="5"/>
      <c r="C24" s="5"/>
      <c r="D24" s="6" t="str">
        <f t="shared" si="0"/>
        <v/>
      </c>
      <c r="E24" s="7"/>
      <c r="F24" s="7"/>
      <c r="G24" s="8" t="str">
        <f t="shared" si="1"/>
        <v/>
      </c>
      <c r="H24" s="7"/>
      <c r="I24" s="7"/>
      <c r="J24" s="9" t="str">
        <f t="shared" si="17"/>
        <v/>
      </c>
      <c r="K24" s="28"/>
      <c r="L24" s="28"/>
      <c r="M24" s="9" t="str">
        <f t="shared" si="3"/>
        <v/>
      </c>
      <c r="N24" s="7"/>
      <c r="O24" s="15"/>
      <c r="P24" s="9" t="str">
        <f t="shared" si="18"/>
        <v/>
      </c>
      <c r="Q24" s="7"/>
      <c r="R24" s="7"/>
      <c r="S24" s="7"/>
      <c r="T24" s="5"/>
      <c r="U24" s="10" t="str">
        <f t="shared" si="4"/>
        <v/>
      </c>
      <c r="V24" s="9" t="str">
        <f t="shared" si="5"/>
        <v/>
      </c>
      <c r="W24" s="11" t="str">
        <f t="shared" si="6"/>
        <v/>
      </c>
      <c r="X24" s="11" t="str">
        <f t="shared" si="7"/>
        <v/>
      </c>
    </row>
    <row r="25" spans="1:24" hidden="1">
      <c r="A25" s="29"/>
      <c r="B25" s="5"/>
      <c r="C25" s="5"/>
      <c r="D25" s="6" t="str">
        <f t="shared" si="0"/>
        <v/>
      </c>
      <c r="E25" s="7"/>
      <c r="F25" s="7"/>
      <c r="G25" s="8" t="str">
        <f t="shared" si="1"/>
        <v/>
      </c>
      <c r="H25" s="7"/>
      <c r="I25" s="7"/>
      <c r="J25" s="9" t="str">
        <f t="shared" si="17"/>
        <v/>
      </c>
      <c r="K25" s="28"/>
      <c r="L25" s="28"/>
      <c r="M25" s="9" t="str">
        <f t="shared" si="3"/>
        <v/>
      </c>
      <c r="N25" s="7"/>
      <c r="O25" s="15"/>
      <c r="P25" s="9" t="str">
        <f t="shared" si="18"/>
        <v/>
      </c>
      <c r="Q25" s="7"/>
      <c r="R25" s="7"/>
      <c r="S25" s="7"/>
      <c r="T25" s="5"/>
      <c r="U25" s="10" t="str">
        <f t="shared" si="4"/>
        <v/>
      </c>
      <c r="V25" s="9" t="str">
        <f t="shared" si="5"/>
        <v/>
      </c>
      <c r="W25" s="11" t="str">
        <f t="shared" si="6"/>
        <v/>
      </c>
      <c r="X25" s="11" t="str">
        <f t="shared" si="7"/>
        <v/>
      </c>
    </row>
    <row r="26" spans="1:24" hidden="1">
      <c r="A26" s="29"/>
      <c r="B26" s="5"/>
      <c r="C26" s="5"/>
      <c r="D26" s="6" t="str">
        <f t="shared" si="0"/>
        <v/>
      </c>
      <c r="E26" s="7"/>
      <c r="F26" s="7"/>
      <c r="G26" s="8" t="str">
        <f t="shared" si="1"/>
        <v/>
      </c>
      <c r="H26" s="7"/>
      <c r="I26" s="7"/>
      <c r="J26" s="9" t="str">
        <f t="shared" si="17"/>
        <v/>
      </c>
      <c r="K26" s="28"/>
      <c r="L26" s="28"/>
      <c r="M26" s="9" t="str">
        <f t="shared" si="3"/>
        <v/>
      </c>
      <c r="N26" s="7"/>
      <c r="O26" s="15"/>
      <c r="P26" s="9" t="str">
        <f t="shared" si="18"/>
        <v/>
      </c>
      <c r="Q26" s="7"/>
      <c r="R26" s="7"/>
      <c r="S26" s="7"/>
      <c r="T26" s="5"/>
      <c r="U26" s="10" t="str">
        <f t="shared" si="4"/>
        <v/>
      </c>
      <c r="V26" s="9" t="str">
        <f t="shared" si="5"/>
        <v/>
      </c>
      <c r="W26" s="11" t="str">
        <f t="shared" si="6"/>
        <v/>
      </c>
      <c r="X26" s="11" t="str">
        <f t="shared" si="7"/>
        <v/>
      </c>
    </row>
    <row r="27" spans="1:24" hidden="1">
      <c r="A27" s="29"/>
      <c r="B27" s="5"/>
      <c r="C27" s="5"/>
      <c r="D27" s="6" t="str">
        <f t="shared" si="0"/>
        <v/>
      </c>
      <c r="E27" s="7"/>
      <c r="F27" s="7"/>
      <c r="G27" s="8" t="str">
        <f t="shared" si="1"/>
        <v/>
      </c>
      <c r="H27" s="7"/>
      <c r="I27" s="7"/>
      <c r="J27" s="9" t="str">
        <f t="shared" si="17"/>
        <v/>
      </c>
      <c r="K27" s="28"/>
      <c r="L27" s="28"/>
      <c r="M27" s="9" t="str">
        <f t="shared" si="3"/>
        <v/>
      </c>
      <c r="N27" s="7"/>
      <c r="O27" s="15"/>
      <c r="P27" s="9" t="str">
        <f t="shared" si="18"/>
        <v/>
      </c>
      <c r="Q27" s="7"/>
      <c r="R27" s="7"/>
      <c r="S27" s="7"/>
      <c r="T27" s="5"/>
      <c r="U27" s="10" t="str">
        <f t="shared" si="4"/>
        <v/>
      </c>
      <c r="V27" s="9" t="str">
        <f t="shared" si="5"/>
        <v/>
      </c>
      <c r="W27" s="11" t="str">
        <f t="shared" si="6"/>
        <v/>
      </c>
      <c r="X27" s="11" t="str">
        <f t="shared" si="7"/>
        <v/>
      </c>
    </row>
    <row r="28" spans="1:24" hidden="1">
      <c r="A28" s="29"/>
      <c r="B28" s="5"/>
      <c r="C28" s="5"/>
      <c r="D28" s="6" t="str">
        <f t="shared" si="0"/>
        <v/>
      </c>
      <c r="E28" s="7"/>
      <c r="F28" s="7"/>
      <c r="G28" s="8" t="str">
        <f t="shared" si="1"/>
        <v/>
      </c>
      <c r="H28" s="7"/>
      <c r="I28" s="7"/>
      <c r="J28" s="9" t="str">
        <f t="shared" si="17"/>
        <v/>
      </c>
      <c r="K28" s="28"/>
      <c r="L28" s="28"/>
      <c r="M28" s="9" t="str">
        <f t="shared" si="3"/>
        <v/>
      </c>
      <c r="N28" s="7"/>
      <c r="O28" s="15"/>
      <c r="P28" s="9" t="str">
        <f t="shared" si="18"/>
        <v/>
      </c>
      <c r="Q28" s="15"/>
      <c r="R28" s="7"/>
      <c r="S28" s="7"/>
      <c r="T28" s="5"/>
      <c r="U28" s="10" t="str">
        <f t="shared" si="4"/>
        <v/>
      </c>
      <c r="V28" s="9" t="str">
        <f t="shared" si="5"/>
        <v/>
      </c>
      <c r="W28" s="11" t="str">
        <f t="shared" si="6"/>
        <v/>
      </c>
      <c r="X28" s="11" t="str">
        <f t="shared" si="7"/>
        <v/>
      </c>
    </row>
    <row r="29" spans="1:24" hidden="1">
      <c r="A29" s="29"/>
      <c r="B29" s="5"/>
      <c r="C29" s="5"/>
      <c r="D29" s="6" t="str">
        <f t="shared" si="0"/>
        <v/>
      </c>
      <c r="E29" s="7"/>
      <c r="F29" s="7"/>
      <c r="G29" s="8" t="str">
        <f t="shared" si="1"/>
        <v/>
      </c>
      <c r="H29" s="7"/>
      <c r="I29" s="7"/>
      <c r="J29" s="9" t="str">
        <f t="shared" si="17"/>
        <v/>
      </c>
      <c r="K29" s="28"/>
      <c r="L29" s="28"/>
      <c r="M29" s="9" t="str">
        <f t="shared" si="3"/>
        <v/>
      </c>
      <c r="N29" s="7"/>
      <c r="O29" s="7"/>
      <c r="P29" s="9" t="str">
        <f t="shared" si="18"/>
        <v/>
      </c>
      <c r="Q29" s="7"/>
      <c r="R29" s="7"/>
      <c r="S29" s="7"/>
      <c r="T29" s="5"/>
      <c r="U29" s="10" t="str">
        <f t="shared" si="4"/>
        <v/>
      </c>
      <c r="V29" s="9" t="str">
        <f t="shared" si="5"/>
        <v/>
      </c>
      <c r="W29" s="11" t="str">
        <f t="shared" si="6"/>
        <v/>
      </c>
      <c r="X29" s="11" t="str">
        <f t="shared" si="7"/>
        <v/>
      </c>
    </row>
    <row r="30" spans="1:24" hidden="1">
      <c r="A30" s="29"/>
      <c r="B30" s="5"/>
      <c r="C30" s="5"/>
      <c r="D30" s="6" t="str">
        <f t="shared" si="0"/>
        <v/>
      </c>
      <c r="E30" s="7"/>
      <c r="F30" s="7"/>
      <c r="G30" s="8" t="str">
        <f t="shared" si="1"/>
        <v/>
      </c>
      <c r="H30" s="7"/>
      <c r="I30" s="7"/>
      <c r="J30" s="9" t="str">
        <f t="shared" si="17"/>
        <v/>
      </c>
      <c r="K30" s="28"/>
      <c r="L30" s="28"/>
      <c r="M30" s="9" t="str">
        <f t="shared" si="3"/>
        <v/>
      </c>
      <c r="N30" s="7"/>
      <c r="O30" s="15"/>
      <c r="P30" s="9" t="str">
        <f t="shared" si="18"/>
        <v/>
      </c>
      <c r="Q30" s="15"/>
      <c r="R30" s="7"/>
      <c r="S30" s="7"/>
      <c r="T30" s="5"/>
      <c r="U30" s="10" t="str">
        <f t="shared" si="4"/>
        <v/>
      </c>
      <c r="V30" s="9" t="str">
        <f t="shared" si="5"/>
        <v/>
      </c>
      <c r="W30" s="11" t="str">
        <f t="shared" si="6"/>
        <v/>
      </c>
      <c r="X30" s="11" t="str">
        <f t="shared" si="7"/>
        <v/>
      </c>
    </row>
    <row r="31" spans="1:24" hidden="1">
      <c r="A31" s="29"/>
      <c r="B31" s="5"/>
      <c r="C31" s="5"/>
      <c r="D31" s="6" t="str">
        <f t="shared" si="0"/>
        <v/>
      </c>
      <c r="E31" s="7"/>
      <c r="F31" s="7"/>
      <c r="G31" s="8" t="str">
        <f t="shared" si="1"/>
        <v/>
      </c>
      <c r="H31" s="7"/>
      <c r="I31" s="7"/>
      <c r="J31" s="9" t="str">
        <f t="shared" si="17"/>
        <v/>
      </c>
      <c r="K31" s="28"/>
      <c r="L31" s="28"/>
      <c r="M31" s="9" t="str">
        <f t="shared" si="3"/>
        <v/>
      </c>
      <c r="N31" s="7"/>
      <c r="O31" s="15"/>
      <c r="P31" s="9" t="str">
        <f t="shared" si="18"/>
        <v/>
      </c>
      <c r="Q31" s="15"/>
      <c r="R31" s="15"/>
      <c r="S31" s="7"/>
      <c r="T31" s="5"/>
      <c r="U31" s="10" t="str">
        <f t="shared" si="4"/>
        <v/>
      </c>
      <c r="V31" s="9" t="str">
        <f t="shared" si="5"/>
        <v/>
      </c>
      <c r="W31" s="11" t="str">
        <f t="shared" si="6"/>
        <v/>
      </c>
      <c r="X31" s="11" t="str">
        <f t="shared" si="7"/>
        <v/>
      </c>
    </row>
    <row r="32" spans="1:24" hidden="1">
      <c r="A32" s="29"/>
      <c r="B32" s="5"/>
      <c r="C32" s="5"/>
      <c r="D32" s="6" t="str">
        <f t="shared" si="0"/>
        <v/>
      </c>
      <c r="E32" s="7"/>
      <c r="F32" s="7"/>
      <c r="G32" s="8" t="str">
        <f t="shared" si="1"/>
        <v/>
      </c>
      <c r="H32" s="7"/>
      <c r="I32" s="7"/>
      <c r="J32" s="9" t="str">
        <f t="shared" si="17"/>
        <v/>
      </c>
      <c r="K32" s="28"/>
      <c r="L32" s="28"/>
      <c r="M32" s="9" t="str">
        <f t="shared" si="3"/>
        <v/>
      </c>
      <c r="N32" s="7"/>
      <c r="O32" s="15"/>
      <c r="P32" s="9" t="str">
        <f t="shared" si="18"/>
        <v/>
      </c>
      <c r="Q32" s="15"/>
      <c r="R32" s="7"/>
      <c r="S32" s="7"/>
      <c r="T32" s="5"/>
      <c r="U32" s="10" t="str">
        <f t="shared" si="4"/>
        <v/>
      </c>
      <c r="V32" s="9" t="str">
        <f t="shared" si="5"/>
        <v/>
      </c>
      <c r="W32" s="11" t="str">
        <f t="shared" si="6"/>
        <v/>
      </c>
      <c r="X32" s="11" t="str">
        <f t="shared" si="7"/>
        <v/>
      </c>
    </row>
    <row r="33" spans="1:24" hidden="1">
      <c r="A33" s="29"/>
      <c r="B33" s="5"/>
      <c r="C33" s="5"/>
      <c r="D33" s="6" t="str">
        <f t="shared" si="0"/>
        <v/>
      </c>
      <c r="E33" s="7"/>
      <c r="F33" s="7"/>
      <c r="G33" s="8" t="str">
        <f t="shared" si="1"/>
        <v/>
      </c>
      <c r="H33" s="7"/>
      <c r="I33" s="7"/>
      <c r="J33" s="9" t="str">
        <f t="shared" si="17"/>
        <v/>
      </c>
      <c r="K33" s="28"/>
      <c r="L33" s="28"/>
      <c r="M33" s="9" t="str">
        <f t="shared" si="3"/>
        <v/>
      </c>
      <c r="N33" s="7"/>
      <c r="O33" s="15"/>
      <c r="P33" s="9" t="str">
        <f t="shared" si="18"/>
        <v/>
      </c>
      <c r="Q33" s="15"/>
      <c r="R33" s="7"/>
      <c r="S33" s="7"/>
      <c r="T33" s="5"/>
      <c r="U33" s="10" t="str">
        <f t="shared" si="4"/>
        <v/>
      </c>
      <c r="V33" s="9" t="str">
        <f t="shared" si="5"/>
        <v/>
      </c>
      <c r="W33" s="11" t="str">
        <f t="shared" si="6"/>
        <v/>
      </c>
      <c r="X33" s="11" t="str">
        <f t="shared" si="7"/>
        <v/>
      </c>
    </row>
    <row r="34" spans="1:24" hidden="1">
      <c r="A34" s="29"/>
      <c r="B34" s="5"/>
      <c r="C34" s="5"/>
      <c r="D34" s="6" t="str">
        <f t="shared" si="0"/>
        <v/>
      </c>
      <c r="E34" s="7"/>
      <c r="F34" s="7"/>
      <c r="G34" s="8" t="str">
        <f t="shared" si="1"/>
        <v/>
      </c>
      <c r="H34" s="7"/>
      <c r="I34" s="7"/>
      <c r="J34" s="9" t="str">
        <f t="shared" si="17"/>
        <v/>
      </c>
      <c r="K34" s="28"/>
      <c r="L34" s="28"/>
      <c r="M34" s="9" t="str">
        <f t="shared" si="3"/>
        <v/>
      </c>
      <c r="N34" s="7"/>
      <c r="O34" s="15"/>
      <c r="P34" s="9" t="str">
        <f t="shared" si="18"/>
        <v/>
      </c>
      <c r="Q34" s="15"/>
      <c r="R34" s="7"/>
      <c r="S34" s="7"/>
      <c r="T34" s="5"/>
      <c r="U34" s="10" t="str">
        <f t="shared" si="4"/>
        <v/>
      </c>
      <c r="V34" s="9" t="str">
        <f t="shared" si="5"/>
        <v/>
      </c>
      <c r="W34" s="11" t="str">
        <f t="shared" si="6"/>
        <v/>
      </c>
      <c r="X34" s="11" t="str">
        <f t="shared" si="7"/>
        <v/>
      </c>
    </row>
    <row r="35" spans="1:24" hidden="1">
      <c r="A35" s="29"/>
      <c r="B35" s="5"/>
      <c r="C35" s="5"/>
      <c r="D35" s="6" t="str">
        <f t="shared" si="0"/>
        <v/>
      </c>
      <c r="E35" s="7"/>
      <c r="F35" s="7"/>
      <c r="G35" s="8" t="str">
        <f t="shared" si="1"/>
        <v/>
      </c>
      <c r="H35" s="7"/>
      <c r="I35" s="7"/>
      <c r="J35" s="9" t="str">
        <f t="shared" si="17"/>
        <v/>
      </c>
      <c r="K35" s="28"/>
      <c r="L35" s="28"/>
      <c r="M35" s="9" t="str">
        <f t="shared" si="3"/>
        <v/>
      </c>
      <c r="N35" s="7"/>
      <c r="O35" s="15"/>
      <c r="P35" s="9" t="str">
        <f t="shared" si="18"/>
        <v/>
      </c>
      <c r="Q35" s="15"/>
      <c r="R35" s="7"/>
      <c r="S35" s="7"/>
      <c r="T35" s="5"/>
      <c r="U35" s="10" t="str">
        <f t="shared" si="4"/>
        <v/>
      </c>
      <c r="V35" s="9" t="str">
        <f t="shared" si="5"/>
        <v/>
      </c>
      <c r="W35" s="11" t="str">
        <f t="shared" si="6"/>
        <v/>
      </c>
      <c r="X35" s="11" t="str">
        <f t="shared" si="7"/>
        <v/>
      </c>
    </row>
    <row r="36" spans="1:24" hidden="1">
      <c r="A36" s="29"/>
      <c r="B36" s="5"/>
      <c r="C36" s="5"/>
      <c r="D36" s="6" t="str">
        <f t="shared" si="0"/>
        <v/>
      </c>
      <c r="E36" s="7"/>
      <c r="F36" s="7"/>
      <c r="G36" s="8" t="str">
        <f t="shared" si="1"/>
        <v/>
      </c>
      <c r="H36" s="7"/>
      <c r="I36" s="7"/>
      <c r="J36" s="9" t="str">
        <f t="shared" si="17"/>
        <v/>
      </c>
      <c r="K36" s="28"/>
      <c r="L36" s="28"/>
      <c r="M36" s="9" t="str">
        <f t="shared" si="3"/>
        <v/>
      </c>
      <c r="N36" s="7"/>
      <c r="O36" s="15"/>
      <c r="P36" s="9" t="str">
        <f t="shared" si="18"/>
        <v/>
      </c>
      <c r="Q36" s="15"/>
      <c r="R36" s="7"/>
      <c r="S36" s="7"/>
      <c r="T36" s="5"/>
      <c r="U36" s="10" t="str">
        <f t="shared" si="4"/>
        <v/>
      </c>
      <c r="V36" s="9" t="str">
        <f t="shared" si="5"/>
        <v/>
      </c>
      <c r="W36" s="11" t="str">
        <f t="shared" si="6"/>
        <v/>
      </c>
      <c r="X36" s="11" t="str">
        <f t="shared" si="7"/>
        <v/>
      </c>
    </row>
    <row r="37" spans="1:24" ht="15" hidden="1" thickBot="1">
      <c r="A37" s="29"/>
      <c r="B37" s="5"/>
      <c r="C37" s="5"/>
      <c r="D37" s="6" t="str">
        <f t="shared" si="0"/>
        <v/>
      </c>
      <c r="E37" s="7"/>
      <c r="F37" s="7"/>
      <c r="G37" s="8" t="str">
        <f t="shared" si="1"/>
        <v/>
      </c>
      <c r="H37" s="7"/>
      <c r="I37" s="7"/>
      <c r="J37" s="9" t="str">
        <f t="shared" si="17"/>
        <v/>
      </c>
      <c r="K37" s="28"/>
      <c r="L37" s="28"/>
      <c r="M37" s="9" t="str">
        <f t="shared" si="3"/>
        <v/>
      </c>
      <c r="N37" s="7"/>
      <c r="O37" s="15"/>
      <c r="P37" s="9" t="str">
        <f t="shared" si="18"/>
        <v/>
      </c>
      <c r="Q37" s="7"/>
      <c r="R37" s="7"/>
      <c r="S37" s="7"/>
      <c r="T37" s="5"/>
      <c r="U37" s="10" t="str">
        <f t="shared" si="4"/>
        <v/>
      </c>
      <c r="V37" s="9" t="str">
        <f t="shared" si="5"/>
        <v/>
      </c>
      <c r="W37" s="11" t="str">
        <f t="shared" si="6"/>
        <v/>
      </c>
      <c r="X37" s="11" t="str">
        <f t="shared" si="7"/>
        <v/>
      </c>
    </row>
    <row r="38" spans="1:24" s="43" customFormat="1" ht="18.600000000000001" thickBot="1">
      <c r="A38" s="31"/>
      <c r="B38" s="32" t="s">
        <v>42</v>
      </c>
      <c r="C38" s="32"/>
      <c r="D38" s="33">
        <f>SUM(D3:D37)</f>
        <v>14738.999999983935</v>
      </c>
      <c r="E38" s="33">
        <f>SUM(E3:E37)</f>
        <v>717</v>
      </c>
      <c r="F38" s="33">
        <f>SUM(F3:F37)</f>
        <v>931</v>
      </c>
      <c r="G38" s="33">
        <f>SUM(G3:G37)</f>
        <v>214</v>
      </c>
      <c r="H38" s="33">
        <f>SUM(H2:H37)</f>
        <v>2748</v>
      </c>
      <c r="I38" s="33">
        <f>SUM(I3:I37)</f>
        <v>843</v>
      </c>
      <c r="J38" s="34">
        <f>(D38-G38-H38-I38)/D38</f>
        <v>0.74184137322721033</v>
      </c>
      <c r="K38" s="35">
        <f>SUM(K3:K37)</f>
        <v>0</v>
      </c>
      <c r="L38" s="35">
        <f>SUM(L3:L37)</f>
        <v>688</v>
      </c>
      <c r="M38" s="36">
        <f>(D38-G38-H38-I38-E38-K38-L38)/D38</f>
        <v>0.64651604586432743</v>
      </c>
      <c r="N38" s="37">
        <f>AVERAGE(N3:N37)</f>
        <v>17000</v>
      </c>
      <c r="O38" s="38">
        <f>AVERAGE(O3:O37)</f>
        <v>15699.627934606006</v>
      </c>
      <c r="P38" s="34">
        <f>O38/N38</f>
        <v>0.92350752556505911</v>
      </c>
      <c r="Q38" s="37">
        <f>SUM(Q3:Q35)</f>
        <v>88570</v>
      </c>
      <c r="R38" s="37"/>
      <c r="S38" s="32"/>
      <c r="T38" s="32"/>
      <c r="U38" s="39"/>
      <c r="V38" s="40">
        <f>AVERAGE(V3:V37)</f>
        <v>0.99459310724892847</v>
      </c>
      <c r="W38" s="41">
        <f>V38*P38*J38</f>
        <v>0.68139184986289691</v>
      </c>
      <c r="X38" s="42">
        <f>V38*P38*M38</f>
        <v>0.59383418120926823</v>
      </c>
    </row>
    <row r="39" spans="1:24" ht="28.9">
      <c r="O39" s="20" t="s">
        <v>43</v>
      </c>
      <c r="P39" s="21">
        <f>W38</f>
        <v>0.68139184986289691</v>
      </c>
      <c r="Q39" s="67"/>
      <c r="R39" s="67"/>
      <c r="S39" s="44"/>
      <c r="T39" s="45"/>
      <c r="U39" s="22"/>
    </row>
    <row r="40" spans="1:24" ht="28.9">
      <c r="Q40" s="22"/>
      <c r="R40" s="22"/>
      <c r="S40" s="22"/>
      <c r="T40" s="22"/>
      <c r="U40" s="22"/>
    </row>
    <row r="41" spans="1:24" ht="28.9">
      <c r="Q41" s="22"/>
      <c r="R41" s="69"/>
      <c r="S41" s="69"/>
      <c r="T41" s="46"/>
      <c r="U41" s="22"/>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53" t="s">
        <v>44</v>
      </c>
      <c r="E46" s="53" t="s">
        <v>45</v>
      </c>
    </row>
    <row r="47" spans="1:24">
      <c r="C47" s="4" t="s">
        <v>46</v>
      </c>
      <c r="D47" s="54">
        <f>W38</f>
        <v>0.68139184986289691</v>
      </c>
      <c r="E47" s="55">
        <f t="shared" ref="E47:E52" si="19">100%-D47</f>
        <v>0.31860815013710309</v>
      </c>
    </row>
    <row r="48" spans="1:24">
      <c r="C48" s="4" t="s">
        <v>47</v>
      </c>
      <c r="D48" s="54">
        <f>X38</f>
        <v>0.59383418120926823</v>
      </c>
      <c r="E48" s="55">
        <f t="shared" si="19"/>
        <v>0.40616581879073177</v>
      </c>
    </row>
    <row r="49" spans="3:5">
      <c r="C49" s="4" t="s">
        <v>11</v>
      </c>
      <c r="D49" s="54">
        <f>J38</f>
        <v>0.74184137322721033</v>
      </c>
      <c r="E49" s="55">
        <f t="shared" si="19"/>
        <v>0.25815862677278967</v>
      </c>
    </row>
    <row r="50" spans="3:5">
      <c r="C50" s="4" t="s">
        <v>14</v>
      </c>
      <c r="D50" s="54">
        <f>M38</f>
        <v>0.64651604586432743</v>
      </c>
      <c r="E50" s="55">
        <f t="shared" si="19"/>
        <v>0.35348395413567257</v>
      </c>
    </row>
    <row r="51" spans="3:5">
      <c r="C51" s="4" t="s">
        <v>17</v>
      </c>
      <c r="D51" s="54">
        <f>P38</f>
        <v>0.92350752556505911</v>
      </c>
      <c r="E51" s="55">
        <f t="shared" si="19"/>
        <v>7.6492474434940894E-2</v>
      </c>
    </row>
    <row r="52" spans="3:5">
      <c r="C52" s="4" t="str">
        <f>V2</f>
        <v>Quality</v>
      </c>
      <c r="D52" s="54">
        <f>V38</f>
        <v>0.99459310724892847</v>
      </c>
      <c r="E52" s="55">
        <f t="shared" si="19"/>
        <v>5.4068927510715348E-3</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7C9F-34C5-411F-9850-DC77A7FC2087}">
  <sheetPr>
    <pageSetUpPr fitToPage="1"/>
  </sheetPr>
  <dimension ref="A1:X52"/>
  <sheetViews>
    <sheetView topLeftCell="E15" zoomScale="60" zoomScaleNormal="60" workbookViewId="0">
      <selection activeCell="C46" sqref="C46:E52"/>
    </sheetView>
  </sheetViews>
  <sheetFormatPr defaultRowHeight="14.45"/>
  <cols>
    <col min="1" max="1" width="65.8554687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48</v>
      </c>
      <c r="B3" s="5">
        <v>45691.070833333331</v>
      </c>
      <c r="C3" s="5">
        <v>45692</v>
      </c>
      <c r="D3" s="6">
        <f t="shared" ref="D3:D37" si="0">IF(B3="","",(C3-B3)*24*60)</f>
        <v>1338.000000002794</v>
      </c>
      <c r="E3" s="7">
        <f>10+100</f>
        <v>110</v>
      </c>
      <c r="F3" s="7">
        <f>10+133</f>
        <v>143</v>
      </c>
      <c r="G3" s="8">
        <f t="shared" ref="G3:G37" si="1">IF(E3="","",F3-E3)</f>
        <v>33</v>
      </c>
      <c r="H3" s="7">
        <f>23+11+29+5+25+15+5+10+5+9+9+7+9+7+5+8+11+5</f>
        <v>198</v>
      </c>
      <c r="I3" s="7">
        <f>2+2+2+3+2+3+2+2+1+3+2+3+2+3+3+3+2+2+2+4+2+2+1+4+2+3+2+2+3</f>
        <v>69</v>
      </c>
      <c r="J3" s="9">
        <f t="shared" ref="J3:J37" si="2">IF(B3="","",(D3-G3-H3-I3)/D3)</f>
        <v>0.7757847533636969</v>
      </c>
      <c r="K3" s="28">
        <v>0</v>
      </c>
      <c r="L3" s="28">
        <f>7+5+4+3+7+13+4</f>
        <v>43</v>
      </c>
      <c r="M3" s="9">
        <f t="shared" ref="M3:M37" si="3">IF(B3="","",(D3-G3-H3-I3-K3-L3-E3)/D3)</f>
        <v>0.66143497757918235</v>
      </c>
      <c r="N3" s="7">
        <v>17000</v>
      </c>
      <c r="O3" s="15">
        <f>AVERAGE(17300,17500,17000,17000,17500,17000,17000,17000,17000,17000,17000,17000,17000,17000)</f>
        <v>17092.857142857141</v>
      </c>
      <c r="P3" s="9">
        <f t="shared" ref="P3:P8" si="4">IF(B3="","",O3/N3)</f>
        <v>1.0054621848739496</v>
      </c>
      <c r="Q3" s="7">
        <v>7710</v>
      </c>
      <c r="R3" s="7">
        <f>6+8</f>
        <v>14</v>
      </c>
      <c r="S3" s="7">
        <v>8</v>
      </c>
      <c r="T3" s="5">
        <v>45691</v>
      </c>
      <c r="U3" s="10">
        <f t="shared" ref="U3:U36" si="5">IF(S3="","",(T3-C3))</f>
        <v>-1</v>
      </c>
      <c r="V3" s="9">
        <f t="shared" ref="V3:V9" si="6">IF(B3="","",IF(U3&lt;3,(Q3-R3)/Q3,(Q3-R3-S3)/Q3))</f>
        <v>0.99818417639429313</v>
      </c>
      <c r="W3" s="11">
        <f t="shared" ref="W3:W8" si="7">IF(B3="","",V3*P3*J3)</f>
        <v>0.77860585032510532</v>
      </c>
      <c r="X3" s="11">
        <f t="shared" ref="X3:X8" si="8">IF(B3="","",V3*P3*M3)</f>
        <v>0.66384024810986408</v>
      </c>
    </row>
    <row r="4" spans="1:24">
      <c r="A4" s="27" t="s">
        <v>49</v>
      </c>
      <c r="B4" s="5">
        <v>45692.093055555553</v>
      </c>
      <c r="C4" s="5">
        <v>45693</v>
      </c>
      <c r="D4" s="6">
        <f t="shared" si="0"/>
        <v>1306.0000000032596</v>
      </c>
      <c r="E4" s="7">
        <v>10</v>
      </c>
      <c r="F4" s="7">
        <v>13</v>
      </c>
      <c r="G4" s="8">
        <f t="shared" si="1"/>
        <v>3</v>
      </c>
      <c r="H4" s="7">
        <f>6+10+7+19+88+5+6+6+22+40+7+9+11+8+6</f>
        <v>250</v>
      </c>
      <c r="I4" s="7">
        <f>3+2+4+2+2+4+2+2+3+1+2+4+2+1+2+2+2+2+1</f>
        <v>43</v>
      </c>
      <c r="J4" s="9">
        <f t="shared" si="2"/>
        <v>0.7733537519148076</v>
      </c>
      <c r="K4" s="56">
        <v>215</v>
      </c>
      <c r="L4" s="56">
        <f>4+2+8+12+7</f>
        <v>33</v>
      </c>
      <c r="M4" s="9">
        <f t="shared" si="3"/>
        <v>0.57580398162433588</v>
      </c>
      <c r="N4" s="7">
        <v>17000</v>
      </c>
      <c r="O4" s="15">
        <f>AVERAGE(17500,17500,17500,17500,17500,17000,17000,17000,17000,17000,17000,17000,17000,17000,17000,17000)</f>
        <v>17156.25</v>
      </c>
      <c r="P4" s="9">
        <f t="shared" si="4"/>
        <v>1.0091911764705883</v>
      </c>
      <c r="Q4" s="7">
        <v>8123</v>
      </c>
      <c r="R4" s="7">
        <v>1</v>
      </c>
      <c r="S4" s="7"/>
      <c r="T4" s="5"/>
      <c r="U4" s="10" t="str">
        <f t="shared" si="5"/>
        <v/>
      </c>
      <c r="V4" s="9">
        <f t="shared" si="6"/>
        <v>0.99987689277360581</v>
      </c>
      <c r="W4" s="11">
        <f t="shared" si="7"/>
        <v>0.78036570223747059</v>
      </c>
      <c r="X4" s="11">
        <f t="shared" si="8"/>
        <v>0.5810247604784432</v>
      </c>
    </row>
    <row r="5" spans="1:24">
      <c r="A5" s="29" t="s">
        <v>50</v>
      </c>
      <c r="B5" s="5">
        <v>45693</v>
      </c>
      <c r="C5" s="5">
        <v>45694</v>
      </c>
      <c r="D5" s="6">
        <f t="shared" si="0"/>
        <v>1440</v>
      </c>
      <c r="E5" s="7">
        <v>25</v>
      </c>
      <c r="F5" s="7">
        <v>13</v>
      </c>
      <c r="G5" s="8">
        <f t="shared" si="1"/>
        <v>-12</v>
      </c>
      <c r="H5" s="7">
        <f>6+5+5+6+5+5+5+5+5+7+9+19+11</f>
        <v>93</v>
      </c>
      <c r="I5" s="7">
        <f>3+1+1+1+2+2+2+3+3+2+2+2+2+3+4+3+4+2+1+3+4+1+2+3+2+2+3+3+3+3+1</f>
        <v>73</v>
      </c>
      <c r="J5" s="9">
        <f t="shared" si="2"/>
        <v>0.8930555555555556</v>
      </c>
      <c r="K5" s="56">
        <v>0</v>
      </c>
      <c r="L5" s="56">
        <f>22+10+4+28+18+45+20+4+5+3+16+2+50</f>
        <v>227</v>
      </c>
      <c r="M5" s="9">
        <f t="shared" si="3"/>
        <v>0.71805555555555556</v>
      </c>
      <c r="N5" s="7">
        <v>17000</v>
      </c>
      <c r="O5" s="15">
        <f>AVERAGE(17000,17000,17000,17500,17500,17500,17500,17500,18000,17500,17500,17500,17500,17500,17500,17500,17000,17000,17000,17000,17000)</f>
        <v>17333.333333333332</v>
      </c>
      <c r="P5" s="9">
        <f t="shared" si="4"/>
        <v>1.0196078431372548</v>
      </c>
      <c r="Q5" s="7">
        <v>9422</v>
      </c>
      <c r="R5" s="7">
        <f>3+16+6</f>
        <v>25</v>
      </c>
      <c r="S5" s="7">
        <v>11</v>
      </c>
      <c r="T5" s="5">
        <v>45693</v>
      </c>
      <c r="U5" s="10">
        <f t="shared" si="5"/>
        <v>-1</v>
      </c>
      <c r="V5" s="9">
        <f t="shared" si="6"/>
        <v>0.99734663553385694</v>
      </c>
      <c r="W5" s="11">
        <f t="shared" si="7"/>
        <v>0.90815038414243032</v>
      </c>
      <c r="X5" s="11">
        <f t="shared" si="8"/>
        <v>0.73019245505697739</v>
      </c>
    </row>
    <row r="6" spans="1:24">
      <c r="A6" s="29" t="s">
        <v>51</v>
      </c>
      <c r="B6" s="5">
        <v>45694</v>
      </c>
      <c r="C6" s="5">
        <v>45694.913194444445</v>
      </c>
      <c r="D6" s="6">
        <f t="shared" si="0"/>
        <v>1315.0000000011642</v>
      </c>
      <c r="E6" s="7">
        <f>60+45</f>
        <v>105</v>
      </c>
      <c r="F6" s="7">
        <f>61+80</f>
        <v>141</v>
      </c>
      <c r="G6" s="8">
        <f t="shared" si="1"/>
        <v>36</v>
      </c>
      <c r="H6" s="7">
        <f>5+10+14+5+20+42+60+35+15+15+7+5+5+5+9+11+10</f>
        <v>273</v>
      </c>
      <c r="I6" s="7">
        <f>3+4+3+2+1+2+3+4+2+4+3+2+2+1+2</f>
        <v>38</v>
      </c>
      <c r="J6" s="9">
        <f t="shared" si="2"/>
        <v>0.73612167300403586</v>
      </c>
      <c r="K6" s="56">
        <v>0</v>
      </c>
      <c r="L6" s="56">
        <f>35+2+35+10+7+34+3+3</f>
        <v>129</v>
      </c>
      <c r="M6" s="9">
        <f t="shared" si="3"/>
        <v>0.55817490494335698</v>
      </c>
      <c r="N6" s="7">
        <v>17000</v>
      </c>
      <c r="O6" s="15">
        <f>AVERAGE(17000,18000,17000,17000,17000,17000,17000,17000,17000,17000,17000,17000)</f>
        <v>17083.333333333332</v>
      </c>
      <c r="P6" s="9">
        <f t="shared" si="4"/>
        <v>1.0049019607843137</v>
      </c>
      <c r="Q6" s="7">
        <v>6025</v>
      </c>
      <c r="R6" s="7">
        <v>32</v>
      </c>
      <c r="S6" s="7"/>
      <c r="T6" s="5"/>
      <c r="U6" s="10" t="str">
        <f t="shared" si="5"/>
        <v/>
      </c>
      <c r="V6" s="9">
        <f t="shared" si="6"/>
        <v>0.99468879668049792</v>
      </c>
      <c r="W6" s="11">
        <f t="shared" si="7"/>
        <v>0.73580125554812736</v>
      </c>
      <c r="X6" s="11">
        <f t="shared" si="8"/>
        <v>0.55793194377327748</v>
      </c>
    </row>
    <row r="7" spans="1:24">
      <c r="A7" s="29" t="s">
        <v>49</v>
      </c>
      <c r="B7" s="5">
        <v>45698.106944444444</v>
      </c>
      <c r="C7" s="5">
        <v>45699</v>
      </c>
      <c r="D7" s="6">
        <f t="shared" si="0"/>
        <v>1286.0000000009313</v>
      </c>
      <c r="E7" s="7">
        <v>10</v>
      </c>
      <c r="F7" s="7">
        <v>22</v>
      </c>
      <c r="G7" s="8">
        <f t="shared" si="1"/>
        <v>12</v>
      </c>
      <c r="H7" s="7">
        <f>5+8+23+7+44+11+11+10+24+45+47+44+9+28+21+5+6+8+7+6+10+14+5+5</f>
        <v>403</v>
      </c>
      <c r="I7" s="7">
        <f>3+3+3+1+4+1+4+2+4+3+3+2+4+4+1+3+2</f>
        <v>47</v>
      </c>
      <c r="J7" s="9">
        <f t="shared" si="2"/>
        <v>0.6407465007778651</v>
      </c>
      <c r="K7" s="56">
        <v>0</v>
      </c>
      <c r="L7" s="56">
        <f>9</f>
        <v>9</v>
      </c>
      <c r="M7" s="9">
        <f t="shared" si="3"/>
        <v>0.62597200622111071</v>
      </c>
      <c r="N7" s="7">
        <v>17000</v>
      </c>
      <c r="O7" s="15">
        <f>AVERAGE(17000,17000,17000,17000,17500,17500,17000,17000,17000,17000,17000,17000)</f>
        <v>17083.333333333332</v>
      </c>
      <c r="P7" s="9">
        <f t="shared" si="4"/>
        <v>1.0049019607843137</v>
      </c>
      <c r="Q7" s="15">
        <v>6249</v>
      </c>
      <c r="R7" s="15">
        <v>16</v>
      </c>
      <c r="S7" s="7">
        <v>7</v>
      </c>
      <c r="T7" s="5">
        <v>45699.369444444441</v>
      </c>
      <c r="U7" s="10">
        <f t="shared" si="5"/>
        <v>0.36944444444088731</v>
      </c>
      <c r="V7" s="9">
        <f t="shared" si="6"/>
        <v>0.99743959033445351</v>
      </c>
      <c r="W7" s="11">
        <f t="shared" si="7"/>
        <v>0.64223879943648143</v>
      </c>
      <c r="X7" s="11">
        <f t="shared" si="8"/>
        <v>0.62742989508056002</v>
      </c>
    </row>
    <row r="8" spans="1:24">
      <c r="A8" s="29" t="s">
        <v>52</v>
      </c>
      <c r="B8" s="5">
        <v>45699</v>
      </c>
      <c r="C8" s="5">
        <v>45700</v>
      </c>
      <c r="D8" s="6">
        <f t="shared" si="0"/>
        <v>1440</v>
      </c>
      <c r="E8" s="7">
        <f>10+10</f>
        <v>20</v>
      </c>
      <c r="F8" s="7">
        <f>16+15</f>
        <v>31</v>
      </c>
      <c r="G8" s="8">
        <f t="shared" si="1"/>
        <v>11</v>
      </c>
      <c r="H8" s="7">
        <f>5+7+6+19+5+12+6+5+5</f>
        <v>70</v>
      </c>
      <c r="I8" s="7">
        <f>3+1+2+2+2+3+1+1+3+4+4+3+3+2+3+1+3+3+1+2+2+1+4+3+3+4+3+2+3+3+3+4+4+2+1+4+2+3</f>
        <v>98</v>
      </c>
      <c r="J8" s="9">
        <f t="shared" si="2"/>
        <v>0.87569444444444444</v>
      </c>
      <c r="K8" s="56">
        <v>0</v>
      </c>
      <c r="L8" s="56">
        <f>10+2+2+3+16+8+2+2+4+9+3+4+4+5+6+4+6+11</f>
        <v>101</v>
      </c>
      <c r="M8" s="9">
        <f t="shared" si="3"/>
        <v>0.79166666666666663</v>
      </c>
      <c r="N8" s="7">
        <v>17000</v>
      </c>
      <c r="O8" s="15">
        <f>AVERAGE(17000,17000,17000,17000,17000,17000,17000,18000,18000,18000,18000,18000,18000,18000,18000,17000,17000,17000,17000,17000,17000,17000,17000)</f>
        <v>17347.82608695652</v>
      </c>
      <c r="P8" s="9">
        <f t="shared" si="4"/>
        <v>1.0204603580562659</v>
      </c>
      <c r="Q8" s="15">
        <v>10439</v>
      </c>
      <c r="R8" s="15">
        <f>13+6</f>
        <v>19</v>
      </c>
      <c r="S8" s="7"/>
      <c r="T8" s="5"/>
      <c r="U8" s="10" t="str">
        <f t="shared" si="5"/>
        <v/>
      </c>
      <c r="V8" s="9">
        <f t="shared" si="6"/>
        <v>0.99817990228949138</v>
      </c>
      <c r="W8" s="11">
        <f t="shared" si="7"/>
        <v>0.89198500614171694</v>
      </c>
      <c r="X8" s="11">
        <f t="shared" si="8"/>
        <v>0.80639405789179797</v>
      </c>
    </row>
    <row r="9" spans="1:24">
      <c r="A9" s="29" t="s">
        <v>53</v>
      </c>
      <c r="B9" s="5">
        <v>45700</v>
      </c>
      <c r="C9" s="5">
        <v>45700.994444444441</v>
      </c>
      <c r="D9" s="6">
        <f t="shared" si="0"/>
        <v>1431.9999999948777</v>
      </c>
      <c r="E9" s="7">
        <v>10</v>
      </c>
      <c r="F9" s="7">
        <v>18</v>
      </c>
      <c r="G9" s="8">
        <f t="shared" si="1"/>
        <v>8</v>
      </c>
      <c r="H9" s="7">
        <f>8+5+6+17+13+5+5+9+11+5+8+7+8+7+11+15+5+5+9</f>
        <v>159</v>
      </c>
      <c r="I9" s="7">
        <f>4+3+2+1+3+2+3+3+2+1+3+2+3+3+3+2+3+2+1+2+1+2+3+3+3+2+1+1+3+2+4</f>
        <v>73</v>
      </c>
      <c r="J9" s="9">
        <f t="shared" si="2"/>
        <v>0.83240223463627205</v>
      </c>
      <c r="K9" s="56">
        <v>0</v>
      </c>
      <c r="L9" s="56">
        <f>5+3+3+5+12+4+6+2+3+45+4+7+8+4+13+6+3+14+4</f>
        <v>151</v>
      </c>
      <c r="M9" s="9">
        <f t="shared" si="3"/>
        <v>0.71997206703810446</v>
      </c>
      <c r="N9" s="7">
        <v>17000</v>
      </c>
      <c r="O9" s="15">
        <f>AVERAGE(17000,17000,17000,18000,18000,18000,17000,17000,17000,17000,17000,17000,17000,17000,17500,17000,17000,17000,17000,17500,17000,17500,17500)</f>
        <v>17217.391304347828</v>
      </c>
      <c r="P9" s="9">
        <f>IF(B9="","",O9/N9)</f>
        <v>1.0127877237851663</v>
      </c>
      <c r="Q9" s="15">
        <v>9388</v>
      </c>
      <c r="R9" s="15">
        <f>28+7</f>
        <v>35</v>
      </c>
      <c r="S9" s="7"/>
      <c r="T9" s="5"/>
      <c r="U9" s="10" t="str">
        <f t="shared" si="5"/>
        <v/>
      </c>
      <c r="V9" s="9">
        <f t="shared" si="6"/>
        <v>0.99627183638687689</v>
      </c>
      <c r="W9" s="11">
        <f>IF(B9="","",V9*P9*J9)</f>
        <v>0.8399037482194196</v>
      </c>
      <c r="X9" s="11">
        <f>IF(B9="","",V9*P9*M9)</f>
        <v>0.72646037283023535</v>
      </c>
    </row>
    <row r="10" spans="1:24">
      <c r="A10" s="29" t="s">
        <v>54</v>
      </c>
      <c r="B10" s="5">
        <v>45701</v>
      </c>
      <c r="C10" s="5">
        <v>45702.032638888886</v>
      </c>
      <c r="D10" s="6">
        <f t="shared" si="0"/>
        <v>1486.9999999960419</v>
      </c>
      <c r="E10" s="7">
        <f>25+45</f>
        <v>70</v>
      </c>
      <c r="F10" s="7">
        <f>45+8</f>
        <v>53</v>
      </c>
      <c r="G10" s="8">
        <f t="shared" si="1"/>
        <v>-17</v>
      </c>
      <c r="H10" s="7">
        <f>5+15+7+5+6+7+5+8+5+6+13+11+6+11+28+10+8</f>
        <v>156</v>
      </c>
      <c r="I10" s="7">
        <f>2+2+2+2+2+2+1+1+3+3+4+4+3+3+2+1+3+3+3+4+2+2+4+3+2+3+3+2+1+1+2+2+3+2+3+2+2+1</f>
        <v>90</v>
      </c>
      <c r="J10" s="9">
        <f t="shared" si="2"/>
        <v>0.84599865500967752</v>
      </c>
      <c r="K10" s="56">
        <v>0</v>
      </c>
      <c r="L10" s="56">
        <f>3+4+2+2+1+16+3+4+2+4+2+3</f>
        <v>46</v>
      </c>
      <c r="M10" s="9">
        <f t="shared" si="3"/>
        <v>0.76798924008008185</v>
      </c>
      <c r="N10" s="7">
        <v>17000</v>
      </c>
      <c r="O10" s="15">
        <f xml:space="preserve"> AVERAGE(17000,17000,17000,17000,17000,17000,17000,17000,17000,17000,17500,17000,17000,17000,17000,17000,17000,17000,17000,17000,17000)</f>
        <v>17023.809523809523</v>
      </c>
      <c r="P10" s="9">
        <f t="shared" ref="P10:P37" si="9">IF(B10="","",O10/N10)</f>
        <v>1.0014005602240896</v>
      </c>
      <c r="Q10" s="15">
        <v>8459</v>
      </c>
      <c r="R10" s="15">
        <f>10+5</f>
        <v>15</v>
      </c>
      <c r="S10" s="7"/>
      <c r="T10" s="5"/>
      <c r="U10" s="10" t="str">
        <f t="shared" si="5"/>
        <v/>
      </c>
      <c r="V10" s="9">
        <f t="shared" ref="V10" si="10">IF(B10="","",IF(U10&lt;3,(Q10-R10)/Q10,(Q10-R10-S10)/Q10))</f>
        <v>0.99822674074949758</v>
      </c>
      <c r="W10" s="11">
        <f t="shared" ref="W10" si="11">IF(B10="","",V10*P10*J10)</f>
        <v>0.84568125104925751</v>
      </c>
      <c r="X10" s="11">
        <f t="shared" ref="X10" si="12">IF(B10="","",V10*P10*M10)</f>
        <v>0.76770110389343671</v>
      </c>
    </row>
    <row r="11" spans="1:24">
      <c r="A11" s="29" t="s">
        <v>53</v>
      </c>
      <c r="B11" s="5">
        <v>45702.129166666666</v>
      </c>
      <c r="C11" s="5">
        <v>45703</v>
      </c>
      <c r="D11" s="6">
        <f>IF(B11="","",(C11-B11)*24*60)</f>
        <v>1254.000000001397</v>
      </c>
      <c r="E11" s="7">
        <f>60+10</f>
        <v>70</v>
      </c>
      <c r="F11" s="7">
        <f>43+60</f>
        <v>103</v>
      </c>
      <c r="G11" s="8">
        <f>IF(E11="","",F11-E11)</f>
        <v>33</v>
      </c>
      <c r="H11" s="7">
        <f>53+60+15+5+15+5+6+5+23+60+60+60+60</f>
        <v>427</v>
      </c>
      <c r="I11" s="7">
        <f>2+3+3+2+1+2+1+2+2+2+2+2+1</f>
        <v>25</v>
      </c>
      <c r="J11" s="9">
        <f>IF(B11="","",(D11-G11-H11-I11)/D11)</f>
        <v>0.6132376395538599</v>
      </c>
      <c r="K11" s="56">
        <v>0</v>
      </c>
      <c r="L11" s="56">
        <f>28+60+6+10+3+13+20+7+5+6+5</f>
        <v>163</v>
      </c>
      <c r="M11" s="9">
        <f>IF(B11="","",(D11-G11-H11-I11-K11-L11-E11)/D11)</f>
        <v>0.42743221690653899</v>
      </c>
      <c r="N11" s="7">
        <v>17000</v>
      </c>
      <c r="O11" s="15">
        <f>AVERAGE(17000,17000,17000,17000,17000,17000,17000,17000,17000)</f>
        <v>17000</v>
      </c>
      <c r="P11" s="9">
        <f>IF(B11="","",O11/N11)</f>
        <v>1</v>
      </c>
      <c r="Q11" s="15">
        <v>4501</v>
      </c>
      <c r="R11" s="15">
        <f>10</f>
        <v>10</v>
      </c>
      <c r="S11" s="7">
        <v>294</v>
      </c>
      <c r="T11" s="5">
        <v>45712</v>
      </c>
      <c r="U11" s="10">
        <f t="shared" si="5"/>
        <v>9</v>
      </c>
      <c r="V11" s="9">
        <f>IF(B11="","",IF(U11&lt;3,(Q11-R11)/Q11,(Q11-R11-S11)/Q11))</f>
        <v>0.93245945345478787</v>
      </c>
      <c r="W11" s="11">
        <f>IF(B11="","",V11*P11*J11)</f>
        <v>0.57181923421629643</v>
      </c>
      <c r="X11" s="11">
        <f>IF(B11="","",V11*P11*M11)</f>
        <v>0.39856321136563966</v>
      </c>
    </row>
    <row r="12" spans="1:24">
      <c r="A12" s="29" t="s">
        <v>49</v>
      </c>
      <c r="B12" s="5">
        <v>45705.069444444445</v>
      </c>
      <c r="C12" s="5">
        <v>45706</v>
      </c>
      <c r="D12" s="6">
        <f>IF(B12="","",(C12-B12)*24*60)</f>
        <v>1339.9999999988358</v>
      </c>
      <c r="E12" s="7">
        <v>10</v>
      </c>
      <c r="F12" s="7">
        <v>38</v>
      </c>
      <c r="G12" s="8">
        <f>IF(E12="","",F12-E12)</f>
        <v>28</v>
      </c>
      <c r="H12" s="7">
        <f>49+60+36+53+7+10+19+7+6+5+5+5+9+60+60+60+60+21+5+5</f>
        <v>542</v>
      </c>
      <c r="I12" s="7">
        <f>2+4+3+2+2+2+2+3+2+1+1+2+2+1+3+2+2</f>
        <v>36</v>
      </c>
      <c r="J12" s="9">
        <f>IF(B12="","",(D12-G12-H12-I12)/D12)</f>
        <v>0.54776119402945789</v>
      </c>
      <c r="K12" s="56">
        <v>0</v>
      </c>
      <c r="L12" s="56">
        <f>3+8+3+60+60+3+6+3+4+3</f>
        <v>153</v>
      </c>
      <c r="M12" s="9">
        <f>IF(B12="","",(D12-G12-H12-I12-K12-L12-E12)/D12)</f>
        <v>0.42611940298457607</v>
      </c>
      <c r="N12" s="7">
        <v>17000</v>
      </c>
      <c r="O12" s="15">
        <f>AVERAGE(17000,17000,18000,18000,18000,18000,16000,15600,16500,16000)</f>
        <v>17010</v>
      </c>
      <c r="P12" s="9">
        <f>IF(B12="","",O12/N12)</f>
        <v>1.0005882352941176</v>
      </c>
      <c r="Q12" s="15">
        <v>4751</v>
      </c>
      <c r="R12" s="15">
        <f>5+29</f>
        <v>34</v>
      </c>
      <c r="S12" s="7">
        <f>44+25</f>
        <v>69</v>
      </c>
      <c r="T12" s="5"/>
      <c r="U12" s="10">
        <f t="shared" si="5"/>
        <v>-45706</v>
      </c>
      <c r="V12" s="9">
        <f>IF(B12="","",IF(U12&lt;3,(Q12-R12)/Q12,(Q12-R12-S12)/Q12))</f>
        <v>0.99284361187118497</v>
      </c>
      <c r="W12" s="11">
        <f>IF(B12="","",V12*P12*J12)</f>
        <v>0.54416110891268166</v>
      </c>
      <c r="X12" s="11">
        <f>IF(B12="","",V12*P12*M12)</f>
        <v>0.42331879181062748</v>
      </c>
    </row>
    <row r="13" spans="1:24">
      <c r="A13" s="29" t="s">
        <v>55</v>
      </c>
      <c r="B13" s="5">
        <v>45706</v>
      </c>
      <c r="C13" s="5">
        <v>45707</v>
      </c>
      <c r="D13" s="6">
        <f t="shared" si="0"/>
        <v>1440</v>
      </c>
      <c r="E13" s="7">
        <f>60+45+60</f>
        <v>165</v>
      </c>
      <c r="F13" s="7">
        <f>62+22+105</f>
        <v>189</v>
      </c>
      <c r="G13" s="8">
        <f t="shared" si="1"/>
        <v>24</v>
      </c>
      <c r="H13" s="7">
        <f>6+8+9+5+12+5+5+22+16+6+12+6+21+8+12+14+26+23</f>
        <v>216</v>
      </c>
      <c r="I13" s="7">
        <f>3+3+3+2+2+2+2+2+3+2+2+4+2+3+2+1+1+1+1+1+3+3+2+3+1+1+1+3</f>
        <v>59</v>
      </c>
      <c r="J13" s="9">
        <f t="shared" si="2"/>
        <v>0.79236111111111107</v>
      </c>
      <c r="K13" s="56">
        <v>0</v>
      </c>
      <c r="L13" s="56">
        <f>2+180+2+14+2+3+3+5+2+2+3+8+48+2+1+9+2+1+2+2+2+8</f>
        <v>303</v>
      </c>
      <c r="M13" s="9">
        <f t="shared" si="3"/>
        <v>0.46736111111111112</v>
      </c>
      <c r="N13" s="7">
        <v>17000</v>
      </c>
      <c r="O13" s="15">
        <f>AVERAGE(16000,16000,16000,17000,17000,17000,11000,17000,17000,17000,17000,17000,17000,17000,17000,18000)</f>
        <v>16500</v>
      </c>
      <c r="P13" s="9">
        <f t="shared" si="9"/>
        <v>0.97058823529411764</v>
      </c>
      <c r="Q13" s="15">
        <v>5335</v>
      </c>
      <c r="R13" s="15">
        <v>21</v>
      </c>
      <c r="S13" s="7">
        <f>280+2+2</f>
        <v>284</v>
      </c>
      <c r="T13" s="5">
        <v>45721</v>
      </c>
      <c r="U13" s="10">
        <f t="shared" si="5"/>
        <v>14</v>
      </c>
      <c r="V13" s="9">
        <f>IF(B13="","",IF(U13&lt;3,(Q13-R13)/Q13,(Q13-R13-S13)/Q13))</f>
        <v>0.94283036551077792</v>
      </c>
      <c r="W13" s="11">
        <f t="shared" ref="W13:W37" si="13">IF(B13="","",V13*P13*J13)</f>
        <v>0.7250897008287851</v>
      </c>
      <c r="X13" s="11">
        <f t="shared" ref="X13:X37" si="14">IF(B13="","",V13*P13*M13)</f>
        <v>0.42768218111987066</v>
      </c>
    </row>
    <row r="14" spans="1:24">
      <c r="A14" s="29" t="s">
        <v>56</v>
      </c>
      <c r="B14" s="5">
        <v>45707</v>
      </c>
      <c r="C14" s="5">
        <v>45708</v>
      </c>
      <c r="D14" s="6">
        <f t="shared" si="0"/>
        <v>1440</v>
      </c>
      <c r="E14" s="7">
        <f>45+60</f>
        <v>105</v>
      </c>
      <c r="F14" s="7">
        <f>78+88</f>
        <v>166</v>
      </c>
      <c r="G14" s="8">
        <f>IF(E14="","",F14-E14)</f>
        <v>61</v>
      </c>
      <c r="H14" s="7">
        <f>9+7+9+11+15+9+22+12+5+15+5+10+5+9+16+6+5</f>
        <v>170</v>
      </c>
      <c r="I14" s="7">
        <f>3+2+4+32+4+2+2+3+3+3+3+3+1+2+2+4+1+2+2+1+3+4+2+3</f>
        <v>91</v>
      </c>
      <c r="J14" s="9">
        <f t="shared" si="2"/>
        <v>0.77638888888888891</v>
      </c>
      <c r="K14" s="56">
        <v>0</v>
      </c>
      <c r="L14" s="56">
        <f>4+11+21+13+26+60+16+43+30+7+4+4+5+19+10+8+4+9+5</f>
        <v>299</v>
      </c>
      <c r="M14" s="9">
        <f t="shared" si="3"/>
        <v>0.49583333333333335</v>
      </c>
      <c r="N14" s="7">
        <v>17000</v>
      </c>
      <c r="O14" s="15">
        <f>AVERAGE(17000,17000,17000,17000,17000,17000,17000,17000,17000,17000,17000,17000,17000,17500,17000)</f>
        <v>17033.333333333332</v>
      </c>
      <c r="P14" s="9">
        <f t="shared" si="9"/>
        <v>1.0019607843137255</v>
      </c>
      <c r="Q14" s="15">
        <v>5911</v>
      </c>
      <c r="R14" s="15">
        <f>16+11</f>
        <v>27</v>
      </c>
      <c r="S14" s="7"/>
      <c r="T14" s="5"/>
      <c r="U14" s="10" t="str">
        <f t="shared" si="5"/>
        <v/>
      </c>
      <c r="V14" s="9">
        <f>IF(B14="","",IF(U14&lt;3,(Q14-R14)/Q14,(Q14-R14-S14)/Q14))</f>
        <v>0.99543224496701066</v>
      </c>
      <c r="W14" s="11">
        <f t="shared" si="13"/>
        <v>0.77435791215300009</v>
      </c>
      <c r="X14" s="11">
        <f t="shared" si="14"/>
        <v>0.49453626947874962</v>
      </c>
    </row>
    <row r="15" spans="1:24">
      <c r="A15" s="29" t="s">
        <v>57</v>
      </c>
      <c r="B15" s="5">
        <v>45708</v>
      </c>
      <c r="C15" s="5">
        <v>45709</v>
      </c>
      <c r="D15" s="6">
        <f t="shared" si="0"/>
        <v>1440</v>
      </c>
      <c r="E15" s="7">
        <f>100+150+20</f>
        <v>270</v>
      </c>
      <c r="F15" s="7">
        <f>118+279+4</f>
        <v>401</v>
      </c>
      <c r="G15" s="8">
        <f>IF(E15="","",F15-E15)</f>
        <v>131</v>
      </c>
      <c r="H15" s="7">
        <f>6+6+8+7+8+6+49+5+13+13+23</f>
        <v>144</v>
      </c>
      <c r="I15" s="7">
        <f>2+4+4+3+4+3+2+2+1+3+1+2+1+3+4+3+1</f>
        <v>43</v>
      </c>
      <c r="J15" s="9">
        <f t="shared" si="2"/>
        <v>0.77916666666666667</v>
      </c>
      <c r="K15" s="28">
        <v>0</v>
      </c>
      <c r="L15" s="28">
        <f>11+3+2+5+2+2+2+2+3+4+2+13+9+2+11</f>
        <v>73</v>
      </c>
      <c r="M15" s="9">
        <f t="shared" si="3"/>
        <v>0.54097222222222219</v>
      </c>
      <c r="N15" s="7">
        <v>17000</v>
      </c>
      <c r="O15" s="15">
        <f>AVERAGE(17000,17000,17000,17000,17000,17000,17000,17000,13000,15000,16000,17000)</f>
        <v>16416.666666666668</v>
      </c>
      <c r="P15" s="9">
        <f t="shared" si="9"/>
        <v>0.96568627450980404</v>
      </c>
      <c r="Q15" s="15">
        <v>4927</v>
      </c>
      <c r="R15" s="15">
        <v>19</v>
      </c>
      <c r="S15" s="7">
        <f>50+63</f>
        <v>113</v>
      </c>
      <c r="T15" s="5">
        <v>45712</v>
      </c>
      <c r="U15" s="10">
        <f t="shared" si="5"/>
        <v>3</v>
      </c>
      <c r="V15" s="9">
        <f t="shared" ref="V15:V37" si="15">IF(B15="","",IF(U15&lt;3,(Q15-R15)/Q15,(Q15-R15-S15)/Q15))</f>
        <v>0.97320884919829509</v>
      </c>
      <c r="W15" s="11">
        <f t="shared" si="13"/>
        <v>0.73227207507385617</v>
      </c>
      <c r="X15" s="11">
        <f t="shared" si="14"/>
        <v>0.50841349953880033</v>
      </c>
    </row>
    <row r="16" spans="1:24">
      <c r="A16" s="29" t="s">
        <v>58</v>
      </c>
      <c r="B16" s="5">
        <v>45709</v>
      </c>
      <c r="C16" s="5">
        <v>45709.85</v>
      </c>
      <c r="D16" s="6">
        <f>IF(B16="","",(C16-B16)*24*60)</f>
        <v>1223.9999999979045</v>
      </c>
      <c r="E16" s="7">
        <f>20+20+45</f>
        <v>85</v>
      </c>
      <c r="F16" s="7">
        <f>35+44+103</f>
        <v>182</v>
      </c>
      <c r="G16" s="8">
        <f>IF(E16="","",F16-E16)</f>
        <v>97</v>
      </c>
      <c r="H16" s="7">
        <f>7+5+7+5+5+12+15+6+17</f>
        <v>79</v>
      </c>
      <c r="I16" s="7">
        <f>1+2+2+2+4+1+3+3+1+3+3+3+2+3+3+2+2+1+3+2+2+3+2+2+2+3+2+2+3+3+2+1</f>
        <v>73</v>
      </c>
      <c r="J16" s="9">
        <f>IF(B16="","",(D16-G16-H16-I16)/D16)</f>
        <v>0.79656862745063217</v>
      </c>
      <c r="K16" s="56">
        <v>0</v>
      </c>
      <c r="L16" s="56">
        <f>29+5+11+6+6+2+3+18+2+2+3+2</f>
        <v>89</v>
      </c>
      <c r="M16" s="9">
        <f>IF(B16="","",(D16-G16-H16-I16-K16-L16-E16)/D16)</f>
        <v>0.65441176470529072</v>
      </c>
      <c r="N16" s="7">
        <v>17000</v>
      </c>
      <c r="O16" s="15">
        <f>AVERAGE(17000,17000,17000,17000,17000,17000,17000,17000,17000,18000,17000,17000,17000,17000,17000,17000,17000)</f>
        <v>17058.823529411766</v>
      </c>
      <c r="P16" s="9">
        <f>IF(B16="","",O16/N16)</f>
        <v>1.0034602076124568</v>
      </c>
      <c r="Q16" s="15">
        <v>6836</v>
      </c>
      <c r="R16" s="15">
        <f>15+15+11</f>
        <v>41</v>
      </c>
      <c r="S16" s="7">
        <v>50</v>
      </c>
      <c r="T16" s="5"/>
      <c r="U16" s="10">
        <f t="shared" si="5"/>
        <v>-45709.85</v>
      </c>
      <c r="V16" s="9">
        <f>IF(B16="","",IF(U16&lt;3,(Q16-R16)/Q16,(Q16-R16-S16)/Q16))</f>
        <v>0.99400234055002923</v>
      </c>
      <c r="W16" s="11">
        <f>IF(B16="","",V16*P16*J16)</f>
        <v>0.79453084161747156</v>
      </c>
      <c r="X16" s="11">
        <f>IF(B16="","",V16*P16*M16)</f>
        <v>0.65273764526697187</v>
      </c>
    </row>
    <row r="17" spans="1:24">
      <c r="A17" s="29" t="s">
        <v>53</v>
      </c>
      <c r="B17" s="5">
        <v>45712.416666666664</v>
      </c>
      <c r="C17" s="5">
        <v>45713</v>
      </c>
      <c r="D17" s="6">
        <f t="shared" si="0"/>
        <v>840.00000000349246</v>
      </c>
      <c r="E17" s="7">
        <v>10</v>
      </c>
      <c r="F17" s="7">
        <v>17</v>
      </c>
      <c r="G17" s="8">
        <f t="shared" ref="G17:G26" si="16">IF(E17="","",F17-E17)</f>
        <v>7</v>
      </c>
      <c r="H17" s="7">
        <f>6+23+7+5+25+60+51+8+4+10+6</f>
        <v>205</v>
      </c>
      <c r="I17" s="7">
        <f>4+3+2+3+3+2+3+3+1+2+2+3+3+1+4+2+2+3+1</f>
        <v>47</v>
      </c>
      <c r="J17" s="9">
        <f t="shared" si="2"/>
        <v>0.69166666666794863</v>
      </c>
      <c r="K17" s="56">
        <v>0</v>
      </c>
      <c r="L17" s="56">
        <f>30+15+5+4+2+2+6</f>
        <v>64</v>
      </c>
      <c r="M17" s="9">
        <f t="shared" si="3"/>
        <v>0.60357142857307677</v>
      </c>
      <c r="N17" s="7">
        <v>17000</v>
      </c>
      <c r="O17" s="15">
        <f>AVERAGE(17000,17000,17000,17000,17000,17000,17000)</f>
        <v>17000</v>
      </c>
      <c r="P17" s="9">
        <f t="shared" si="9"/>
        <v>1</v>
      </c>
      <c r="Q17" s="15">
        <v>4711</v>
      </c>
      <c r="R17" s="15">
        <v>18</v>
      </c>
      <c r="S17" s="7"/>
      <c r="T17" s="5"/>
      <c r="U17" s="10" t="str">
        <f t="shared" si="5"/>
        <v/>
      </c>
      <c r="V17" s="9">
        <f t="shared" si="15"/>
        <v>0.99617915516875399</v>
      </c>
      <c r="W17" s="11">
        <f t="shared" si="13"/>
        <v>0.68902391565966525</v>
      </c>
      <c r="X17" s="11">
        <f t="shared" si="14"/>
        <v>0.60126527579992561</v>
      </c>
    </row>
    <row r="18" spans="1:24">
      <c r="A18" s="27" t="s">
        <v>49</v>
      </c>
      <c r="B18" s="5">
        <v>45713</v>
      </c>
      <c r="C18" s="5">
        <v>45713.916666666664</v>
      </c>
      <c r="D18" s="6">
        <f t="shared" si="0"/>
        <v>1319.9999999965075</v>
      </c>
      <c r="E18" s="7">
        <v>10</v>
      </c>
      <c r="F18" s="7">
        <v>15</v>
      </c>
      <c r="G18" s="8">
        <f t="shared" si="16"/>
        <v>5</v>
      </c>
      <c r="H18" s="7">
        <f>7+6+7+7+7+6+6+7+11+8+12+12+24+10+7</f>
        <v>137</v>
      </c>
      <c r="I18" s="7">
        <f>1+1+1+2+2+4+2+2+1+3+2+3+2+1+4+1+2+1+3+3+1+3+2+1+3+2+1+2+1+2+2+1+2+2</f>
        <v>66</v>
      </c>
      <c r="J18" s="9">
        <f t="shared" si="2"/>
        <v>0.84242424242382552</v>
      </c>
      <c r="K18" s="28">
        <v>0</v>
      </c>
      <c r="L18" s="28">
        <f>16+26+5+20+25+15+4+5+2+2+4+3+3+55</f>
        <v>185</v>
      </c>
      <c r="M18" s="9">
        <f t="shared" si="3"/>
        <v>0.6946969696961619</v>
      </c>
      <c r="N18" s="7">
        <v>17000</v>
      </c>
      <c r="O18" s="15">
        <f>AVERAGE(17500,17500,17500,18000,17500,17500,17500,17500,17000,17000,17000,17000,17000,17000,17000,17000)</f>
        <v>17281.25</v>
      </c>
      <c r="P18" s="9">
        <f t="shared" si="9"/>
        <v>1.0165441176470589</v>
      </c>
      <c r="Q18" s="7">
        <v>8715</v>
      </c>
      <c r="R18" s="7">
        <v>12</v>
      </c>
      <c r="S18" s="7"/>
      <c r="T18" s="5"/>
      <c r="U18" s="10" t="str">
        <f t="shared" si="5"/>
        <v/>
      </c>
      <c r="V18" s="9">
        <f t="shared" si="15"/>
        <v>0.99862306368330467</v>
      </c>
      <c r="W18" s="11">
        <f t="shared" si="13"/>
        <v>0.85518225307605389</v>
      </c>
      <c r="X18" s="11">
        <f t="shared" si="14"/>
        <v>0.70521773927177844</v>
      </c>
    </row>
    <row r="19" spans="1:24">
      <c r="A19" s="29" t="s">
        <v>59</v>
      </c>
      <c r="B19" s="5">
        <v>45713.3125</v>
      </c>
      <c r="C19" s="5">
        <v>45714</v>
      </c>
      <c r="D19" s="6">
        <f t="shared" si="0"/>
        <v>990</v>
      </c>
      <c r="E19" s="7">
        <v>0</v>
      </c>
      <c r="F19" s="7">
        <v>0</v>
      </c>
      <c r="G19" s="8">
        <f t="shared" si="16"/>
        <v>0</v>
      </c>
      <c r="H19" s="7">
        <f>6+24+6+14+6+30+28+7+8+11+6+5+5+6+6+6</f>
        <v>174</v>
      </c>
      <c r="I19" s="7">
        <f>2+3+2+1+3+1+1+2+3+2+1+2+1+2</f>
        <v>26</v>
      </c>
      <c r="J19" s="9">
        <f t="shared" si="2"/>
        <v>0.79797979797979801</v>
      </c>
      <c r="K19" s="28">
        <v>0</v>
      </c>
      <c r="L19" s="28">
        <f>17+13+5+20+3+5+3</f>
        <v>66</v>
      </c>
      <c r="M19" s="9">
        <f t="shared" si="3"/>
        <v>0.73131313131313136</v>
      </c>
      <c r="N19" s="7">
        <v>17000</v>
      </c>
      <c r="O19" s="15">
        <f>AVERAGE(17000,17000,17000,17000,17000,17000,17000,17000,17000,17000,17000,17000,17000,17000,17000,17000)</f>
        <v>17000</v>
      </c>
      <c r="P19" s="9">
        <f t="shared" si="9"/>
        <v>1</v>
      </c>
      <c r="Q19" s="15">
        <v>6251</v>
      </c>
      <c r="R19" s="7">
        <v>92</v>
      </c>
      <c r="S19" s="7"/>
      <c r="T19" s="5"/>
      <c r="U19" s="10" t="str">
        <f t="shared" si="5"/>
        <v/>
      </c>
      <c r="V19" s="9">
        <f t="shared" si="15"/>
        <v>0.98528235482322823</v>
      </c>
      <c r="W19" s="11">
        <f t="shared" si="13"/>
        <v>0.78623541445489931</v>
      </c>
      <c r="X19" s="11">
        <f t="shared" si="14"/>
        <v>0.72054992413335084</v>
      </c>
    </row>
    <row r="20" spans="1:24">
      <c r="A20" s="29" t="s">
        <v>60</v>
      </c>
      <c r="B20" s="5">
        <v>45715</v>
      </c>
      <c r="C20" s="5">
        <v>45716</v>
      </c>
      <c r="D20" s="6">
        <f t="shared" si="0"/>
        <v>1440</v>
      </c>
      <c r="E20" s="7">
        <f>25+60</f>
        <v>85</v>
      </c>
      <c r="F20" s="7">
        <v>110</v>
      </c>
      <c r="G20" s="8">
        <f t="shared" si="16"/>
        <v>25</v>
      </c>
      <c r="H20" s="7">
        <f>9+24+13+5+5+6+28+7+7+7+5+32+24+60+60+44+9+51</f>
        <v>396</v>
      </c>
      <c r="I20" s="7">
        <f>2+3+2+4+1+2+2+4+4+3+2+2+2+1+4+4+4+3+4+2+2+1+3</f>
        <v>61</v>
      </c>
      <c r="J20" s="9">
        <f t="shared" si="2"/>
        <v>0.66527777777777775</v>
      </c>
      <c r="K20" s="28">
        <v>0</v>
      </c>
      <c r="L20" s="28">
        <f>10+10+8+9+4+2+5+5+16+25+13</f>
        <v>107</v>
      </c>
      <c r="M20" s="9">
        <f t="shared" si="3"/>
        <v>0.53194444444444444</v>
      </c>
      <c r="N20" s="7">
        <v>17000</v>
      </c>
      <c r="O20" s="30">
        <f>AVERAGE(17000,16000,16000,16000,16000,16000,15500,17000,17000,17000,17000,17000,17000,17000,17000,17000,17000)</f>
        <v>16617.647058823528</v>
      </c>
      <c r="P20" s="9">
        <f t="shared" si="9"/>
        <v>0.97750865051903102</v>
      </c>
      <c r="Q20" s="7">
        <v>5900</v>
      </c>
      <c r="R20" s="7">
        <v>33</v>
      </c>
      <c r="S20" s="7">
        <f>70+2</f>
        <v>72</v>
      </c>
      <c r="T20" s="5">
        <v>45723.395833333336</v>
      </c>
      <c r="U20" s="10">
        <f t="shared" si="5"/>
        <v>7.3958333333357587</v>
      </c>
      <c r="V20" s="9">
        <f t="shared" si="15"/>
        <v>0.98220338983050848</v>
      </c>
      <c r="W20" s="11">
        <f t="shared" si="13"/>
        <v>0.6387413840993359</v>
      </c>
      <c r="X20" s="11">
        <f t="shared" si="14"/>
        <v>0.51072640941554415</v>
      </c>
    </row>
    <row r="21" spans="1:24">
      <c r="A21" s="29" t="s">
        <v>61</v>
      </c>
      <c r="B21" s="5">
        <v>45716</v>
      </c>
      <c r="C21" s="5">
        <v>45716.833333333336</v>
      </c>
      <c r="D21" s="6">
        <f t="shared" si="0"/>
        <v>1200.0000000034925</v>
      </c>
      <c r="E21" s="7">
        <f>7+10</f>
        <v>17</v>
      </c>
      <c r="F21" s="7">
        <f>11+18</f>
        <v>29</v>
      </c>
      <c r="G21" s="8">
        <f t="shared" si="16"/>
        <v>12</v>
      </c>
      <c r="H21" s="7">
        <f>9+5+5+14+8+5+6+11+9+13+5+45+5+6+6</f>
        <v>152</v>
      </c>
      <c r="I21" s="7">
        <f>4+2+1+2+2+2+3+4+2+3+4+3+2+4+3+1+3+2</f>
        <v>47</v>
      </c>
      <c r="J21" s="9">
        <f t="shared" si="2"/>
        <v>0.82416666666717842</v>
      </c>
      <c r="K21" s="28">
        <v>0</v>
      </c>
      <c r="L21" s="28">
        <f>8+7+2+5+15+5+5+5+3+9+10+6+3</f>
        <v>83</v>
      </c>
      <c r="M21" s="9">
        <f t="shared" si="3"/>
        <v>0.74083333333408763</v>
      </c>
      <c r="N21" s="7">
        <v>17000</v>
      </c>
      <c r="O21" s="15">
        <f>AVERAGE(17000,17000,17000,17000,17000,17000,17000,17000,17000,17000,17000,17000,17000,17000,17000,17000,17000,17000,17000)</f>
        <v>17000</v>
      </c>
      <c r="P21" s="9">
        <f t="shared" si="9"/>
        <v>1</v>
      </c>
      <c r="Q21" s="7">
        <v>7608</v>
      </c>
      <c r="R21" s="15">
        <v>49</v>
      </c>
      <c r="S21" s="7"/>
      <c r="T21" s="5"/>
      <c r="U21" s="10" t="str">
        <f t="shared" si="5"/>
        <v/>
      </c>
      <c r="V21" s="9">
        <f t="shared" si="15"/>
        <v>0.99355941114616197</v>
      </c>
      <c r="W21" s="11">
        <f t="shared" si="13"/>
        <v>0.81885854802013691</v>
      </c>
      <c r="X21" s="11">
        <f t="shared" si="14"/>
        <v>0.73606193042486445</v>
      </c>
    </row>
    <row r="22" spans="1:24">
      <c r="A22" s="29"/>
      <c r="B22" s="5"/>
      <c r="C22" s="5"/>
      <c r="D22" s="6" t="str">
        <f t="shared" si="0"/>
        <v/>
      </c>
      <c r="E22" s="7"/>
      <c r="F22" s="7"/>
      <c r="G22" s="8" t="str">
        <f t="shared" si="16"/>
        <v/>
      </c>
      <c r="H22" s="7"/>
      <c r="I22" s="7"/>
      <c r="J22" s="9" t="str">
        <f t="shared" si="2"/>
        <v/>
      </c>
      <c r="K22" s="28"/>
      <c r="L22" s="28"/>
      <c r="M22" s="9" t="str">
        <f t="shared" si="3"/>
        <v/>
      </c>
      <c r="N22" s="7"/>
      <c r="O22" s="30"/>
      <c r="P22" s="9" t="str">
        <f t="shared" si="9"/>
        <v/>
      </c>
      <c r="Q22" s="15"/>
      <c r="R22" s="7"/>
      <c r="S22" s="7"/>
      <c r="T22" s="5"/>
      <c r="U22" s="10" t="str">
        <f t="shared" si="5"/>
        <v/>
      </c>
      <c r="V22" s="9" t="str">
        <f t="shared" si="15"/>
        <v/>
      </c>
      <c r="W22" s="11" t="str">
        <f t="shared" si="13"/>
        <v/>
      </c>
      <c r="X22" s="11" t="str">
        <f t="shared" si="14"/>
        <v/>
      </c>
    </row>
    <row r="23" spans="1:24" ht="15" thickBot="1">
      <c r="A23" s="29"/>
      <c r="B23" s="5"/>
      <c r="C23" s="5"/>
      <c r="D23" s="6" t="str">
        <f t="shared" si="0"/>
        <v/>
      </c>
      <c r="E23" s="7"/>
      <c r="F23" s="7"/>
      <c r="G23" s="8" t="str">
        <f t="shared" si="16"/>
        <v/>
      </c>
      <c r="H23" s="7"/>
      <c r="I23" s="7"/>
      <c r="J23" s="9" t="str">
        <f t="shared" si="2"/>
        <v/>
      </c>
      <c r="K23" s="28"/>
      <c r="L23" s="28"/>
      <c r="M23" s="9" t="str">
        <f t="shared" si="3"/>
        <v/>
      </c>
      <c r="N23" s="7"/>
      <c r="O23" s="15"/>
      <c r="P23" s="9" t="str">
        <f t="shared" si="9"/>
        <v/>
      </c>
      <c r="Q23" s="15"/>
      <c r="R23" s="7"/>
      <c r="S23" s="7"/>
      <c r="T23" s="5"/>
      <c r="U23" s="10" t="str">
        <f t="shared" si="5"/>
        <v/>
      </c>
      <c r="V23" s="9" t="str">
        <f t="shared" si="15"/>
        <v/>
      </c>
      <c r="W23" s="11" t="str">
        <f t="shared" si="13"/>
        <v/>
      </c>
      <c r="X23" s="11" t="str">
        <f t="shared" si="14"/>
        <v/>
      </c>
    </row>
    <row r="24" spans="1:24" ht="20.45" hidden="1" customHeight="1">
      <c r="A24" s="29"/>
      <c r="B24" s="5"/>
      <c r="C24" s="5"/>
      <c r="D24" s="6" t="str">
        <f t="shared" si="0"/>
        <v/>
      </c>
      <c r="E24" s="7"/>
      <c r="F24" s="7"/>
      <c r="G24" s="8" t="str">
        <f t="shared" si="16"/>
        <v/>
      </c>
      <c r="H24" s="7"/>
      <c r="I24" s="7"/>
      <c r="J24" s="9" t="str">
        <f t="shared" si="2"/>
        <v/>
      </c>
      <c r="K24" s="28"/>
      <c r="L24" s="28"/>
      <c r="M24" s="9" t="str">
        <f t="shared" si="3"/>
        <v/>
      </c>
      <c r="N24" s="7"/>
      <c r="O24" s="15"/>
      <c r="P24" s="9" t="str">
        <f t="shared" si="9"/>
        <v/>
      </c>
      <c r="Q24" s="7"/>
      <c r="R24" s="7"/>
      <c r="S24" s="7"/>
      <c r="T24" s="5"/>
      <c r="U24" s="10" t="str">
        <f t="shared" si="5"/>
        <v/>
      </c>
      <c r="V24" s="9" t="str">
        <f t="shared" si="15"/>
        <v/>
      </c>
      <c r="W24" s="11" t="str">
        <f t="shared" si="13"/>
        <v/>
      </c>
      <c r="X24" s="11" t="str">
        <f t="shared" si="14"/>
        <v/>
      </c>
    </row>
    <row r="25" spans="1:24" hidden="1">
      <c r="A25" s="29"/>
      <c r="B25" s="5"/>
      <c r="C25" s="5"/>
      <c r="D25" s="6" t="str">
        <f t="shared" si="0"/>
        <v/>
      </c>
      <c r="E25" s="7"/>
      <c r="F25" s="7"/>
      <c r="G25" s="8" t="str">
        <f t="shared" si="16"/>
        <v/>
      </c>
      <c r="H25" s="7"/>
      <c r="I25" s="7"/>
      <c r="J25" s="9" t="str">
        <f t="shared" si="2"/>
        <v/>
      </c>
      <c r="K25" s="28"/>
      <c r="L25" s="28"/>
      <c r="M25" s="9" t="str">
        <f t="shared" si="3"/>
        <v/>
      </c>
      <c r="N25" s="7"/>
      <c r="O25" s="15"/>
      <c r="P25" s="9" t="str">
        <f t="shared" si="9"/>
        <v/>
      </c>
      <c r="Q25" s="7"/>
      <c r="R25" s="7"/>
      <c r="S25" s="7"/>
      <c r="T25" s="5"/>
      <c r="U25" s="10" t="str">
        <f t="shared" si="5"/>
        <v/>
      </c>
      <c r="V25" s="9" t="str">
        <f t="shared" si="15"/>
        <v/>
      </c>
      <c r="W25" s="11" t="str">
        <f t="shared" si="13"/>
        <v/>
      </c>
      <c r="X25" s="11" t="str">
        <f t="shared" si="14"/>
        <v/>
      </c>
    </row>
    <row r="26" spans="1:24" hidden="1">
      <c r="A26" s="29"/>
      <c r="B26" s="5"/>
      <c r="C26" s="5"/>
      <c r="D26" s="6" t="str">
        <f t="shared" si="0"/>
        <v/>
      </c>
      <c r="E26" s="7"/>
      <c r="F26" s="7"/>
      <c r="G26" s="8" t="str">
        <f t="shared" si="16"/>
        <v/>
      </c>
      <c r="H26" s="7"/>
      <c r="I26" s="7"/>
      <c r="J26" s="9" t="str">
        <f t="shared" si="2"/>
        <v/>
      </c>
      <c r="K26" s="28"/>
      <c r="L26" s="28"/>
      <c r="M26" s="9" t="str">
        <f t="shared" si="3"/>
        <v/>
      </c>
      <c r="N26" s="7"/>
      <c r="O26" s="15"/>
      <c r="P26" s="9" t="str">
        <f t="shared" si="9"/>
        <v/>
      </c>
      <c r="Q26" s="7"/>
      <c r="R26" s="7"/>
      <c r="S26" s="7"/>
      <c r="T26" s="5"/>
      <c r="U26" s="10" t="str">
        <f t="shared" si="5"/>
        <v/>
      </c>
      <c r="V26" s="9" t="str">
        <f t="shared" si="15"/>
        <v/>
      </c>
      <c r="W26" s="11" t="str">
        <f t="shared" si="13"/>
        <v/>
      </c>
      <c r="X26" s="11" t="str">
        <f t="shared" si="14"/>
        <v/>
      </c>
    </row>
    <row r="27" spans="1:24" hidden="1">
      <c r="A27" s="29"/>
      <c r="B27" s="5"/>
      <c r="C27" s="5"/>
      <c r="D27" s="6" t="str">
        <f t="shared" si="0"/>
        <v/>
      </c>
      <c r="E27" s="7"/>
      <c r="F27" s="7"/>
      <c r="G27" s="8" t="str">
        <f t="shared" si="1"/>
        <v/>
      </c>
      <c r="H27" s="7"/>
      <c r="I27" s="7"/>
      <c r="J27" s="9" t="str">
        <f t="shared" si="2"/>
        <v/>
      </c>
      <c r="K27" s="28"/>
      <c r="L27" s="28"/>
      <c r="M27" s="9" t="str">
        <f t="shared" si="3"/>
        <v/>
      </c>
      <c r="N27" s="7"/>
      <c r="O27" s="15"/>
      <c r="P27" s="9" t="str">
        <f t="shared" si="9"/>
        <v/>
      </c>
      <c r="Q27" s="7"/>
      <c r="R27" s="7"/>
      <c r="S27" s="7"/>
      <c r="T27" s="5"/>
      <c r="U27" s="10" t="str">
        <f t="shared" si="5"/>
        <v/>
      </c>
      <c r="V27" s="9" t="str">
        <f t="shared" si="15"/>
        <v/>
      </c>
      <c r="W27" s="11" t="str">
        <f t="shared" si="13"/>
        <v/>
      </c>
      <c r="X27" s="11" t="str">
        <f t="shared" si="14"/>
        <v/>
      </c>
    </row>
    <row r="28" spans="1:24" hidden="1">
      <c r="A28" s="29"/>
      <c r="B28" s="5"/>
      <c r="C28" s="5"/>
      <c r="D28" s="6" t="str">
        <f t="shared" si="0"/>
        <v/>
      </c>
      <c r="E28" s="7"/>
      <c r="F28" s="7"/>
      <c r="G28" s="8" t="str">
        <f t="shared" si="1"/>
        <v/>
      </c>
      <c r="H28" s="7"/>
      <c r="I28" s="7"/>
      <c r="J28" s="9" t="str">
        <f t="shared" si="2"/>
        <v/>
      </c>
      <c r="K28" s="28"/>
      <c r="L28" s="28"/>
      <c r="M28" s="9" t="str">
        <f t="shared" si="3"/>
        <v/>
      </c>
      <c r="N28" s="7"/>
      <c r="O28" s="15"/>
      <c r="P28" s="9" t="str">
        <f t="shared" si="9"/>
        <v/>
      </c>
      <c r="Q28" s="15"/>
      <c r="R28" s="7"/>
      <c r="S28" s="7"/>
      <c r="T28" s="5"/>
      <c r="U28" s="10" t="str">
        <f t="shared" si="5"/>
        <v/>
      </c>
      <c r="V28" s="9" t="str">
        <f t="shared" si="15"/>
        <v/>
      </c>
      <c r="W28" s="11" t="str">
        <f t="shared" si="13"/>
        <v/>
      </c>
      <c r="X28" s="11" t="str">
        <f t="shared" si="14"/>
        <v/>
      </c>
    </row>
    <row r="29" spans="1:24" hidden="1">
      <c r="A29" s="29"/>
      <c r="B29" s="5"/>
      <c r="C29" s="5"/>
      <c r="D29" s="6" t="str">
        <f t="shared" si="0"/>
        <v/>
      </c>
      <c r="E29" s="7"/>
      <c r="F29" s="7"/>
      <c r="G29" s="8" t="str">
        <f t="shared" si="1"/>
        <v/>
      </c>
      <c r="H29" s="7"/>
      <c r="I29" s="7"/>
      <c r="J29" s="9" t="str">
        <f t="shared" si="2"/>
        <v/>
      </c>
      <c r="K29" s="28"/>
      <c r="L29" s="28"/>
      <c r="M29" s="9" t="str">
        <f t="shared" si="3"/>
        <v/>
      </c>
      <c r="N29" s="7"/>
      <c r="O29" s="7"/>
      <c r="P29" s="9" t="str">
        <f t="shared" si="9"/>
        <v/>
      </c>
      <c r="Q29" s="7"/>
      <c r="R29" s="7"/>
      <c r="S29" s="7"/>
      <c r="T29" s="5"/>
      <c r="U29" s="10" t="str">
        <f t="shared" si="5"/>
        <v/>
      </c>
      <c r="V29" s="9" t="str">
        <f t="shared" si="15"/>
        <v/>
      </c>
      <c r="W29" s="11" t="str">
        <f t="shared" si="13"/>
        <v/>
      </c>
      <c r="X29" s="11" t="str">
        <f t="shared" si="14"/>
        <v/>
      </c>
    </row>
    <row r="30" spans="1:24" hidden="1">
      <c r="A30" s="29"/>
      <c r="B30" s="5"/>
      <c r="C30" s="5"/>
      <c r="D30" s="6" t="str">
        <f t="shared" si="0"/>
        <v/>
      </c>
      <c r="E30" s="7"/>
      <c r="F30" s="7"/>
      <c r="G30" s="8" t="str">
        <f t="shared" si="1"/>
        <v/>
      </c>
      <c r="H30" s="7"/>
      <c r="I30" s="7"/>
      <c r="J30" s="9" t="str">
        <f t="shared" si="2"/>
        <v/>
      </c>
      <c r="K30" s="28"/>
      <c r="L30" s="28"/>
      <c r="M30" s="9" t="str">
        <f t="shared" si="3"/>
        <v/>
      </c>
      <c r="N30" s="7"/>
      <c r="O30" s="15"/>
      <c r="P30" s="9" t="str">
        <f t="shared" si="9"/>
        <v/>
      </c>
      <c r="Q30" s="15"/>
      <c r="R30" s="7"/>
      <c r="S30" s="7"/>
      <c r="T30" s="5"/>
      <c r="U30" s="10" t="str">
        <f t="shared" si="5"/>
        <v/>
      </c>
      <c r="V30" s="9" t="str">
        <f t="shared" si="15"/>
        <v/>
      </c>
      <c r="W30" s="11" t="str">
        <f t="shared" si="13"/>
        <v/>
      </c>
      <c r="X30" s="11" t="str">
        <f t="shared" si="14"/>
        <v/>
      </c>
    </row>
    <row r="31" spans="1:24" hidden="1">
      <c r="A31" s="29"/>
      <c r="B31" s="5"/>
      <c r="C31" s="5"/>
      <c r="D31" s="6" t="str">
        <f t="shared" si="0"/>
        <v/>
      </c>
      <c r="E31" s="7"/>
      <c r="F31" s="7"/>
      <c r="G31" s="8" t="str">
        <f t="shared" si="1"/>
        <v/>
      </c>
      <c r="H31" s="7"/>
      <c r="I31" s="7"/>
      <c r="J31" s="9" t="str">
        <f t="shared" si="2"/>
        <v/>
      </c>
      <c r="K31" s="28"/>
      <c r="L31" s="28"/>
      <c r="M31" s="9" t="str">
        <f t="shared" si="3"/>
        <v/>
      </c>
      <c r="N31" s="7"/>
      <c r="O31" s="15"/>
      <c r="P31" s="9" t="str">
        <f t="shared" si="9"/>
        <v/>
      </c>
      <c r="Q31" s="15"/>
      <c r="R31" s="15"/>
      <c r="S31" s="7"/>
      <c r="T31" s="5"/>
      <c r="U31" s="10" t="str">
        <f t="shared" si="5"/>
        <v/>
      </c>
      <c r="V31" s="9" t="str">
        <f t="shared" si="15"/>
        <v/>
      </c>
      <c r="W31" s="11" t="str">
        <f t="shared" si="13"/>
        <v/>
      </c>
      <c r="X31" s="11" t="str">
        <f t="shared" si="14"/>
        <v/>
      </c>
    </row>
    <row r="32" spans="1:24" hidden="1">
      <c r="A32" s="29"/>
      <c r="B32" s="5"/>
      <c r="C32" s="5"/>
      <c r="D32" s="6" t="str">
        <f t="shared" si="0"/>
        <v/>
      </c>
      <c r="E32" s="7"/>
      <c r="F32" s="7"/>
      <c r="G32" s="8" t="str">
        <f t="shared" si="1"/>
        <v/>
      </c>
      <c r="H32" s="7"/>
      <c r="I32" s="7"/>
      <c r="J32" s="9" t="str">
        <f t="shared" si="2"/>
        <v/>
      </c>
      <c r="K32" s="28"/>
      <c r="L32" s="28"/>
      <c r="M32" s="9" t="str">
        <f t="shared" si="3"/>
        <v/>
      </c>
      <c r="N32" s="7"/>
      <c r="O32" s="15"/>
      <c r="P32" s="9" t="str">
        <f t="shared" si="9"/>
        <v/>
      </c>
      <c r="Q32" s="15"/>
      <c r="R32" s="7"/>
      <c r="S32" s="7"/>
      <c r="T32" s="5"/>
      <c r="U32" s="10" t="str">
        <f t="shared" si="5"/>
        <v/>
      </c>
      <c r="V32" s="9" t="str">
        <f t="shared" si="15"/>
        <v/>
      </c>
      <c r="W32" s="11" t="str">
        <f t="shared" si="13"/>
        <v/>
      </c>
      <c r="X32" s="11" t="str">
        <f t="shared" si="14"/>
        <v/>
      </c>
    </row>
    <row r="33" spans="1:24" hidden="1">
      <c r="A33" s="29"/>
      <c r="B33" s="5"/>
      <c r="C33" s="5"/>
      <c r="D33" s="6" t="str">
        <f t="shared" si="0"/>
        <v/>
      </c>
      <c r="E33" s="7"/>
      <c r="F33" s="7"/>
      <c r="G33" s="8" t="str">
        <f t="shared" si="1"/>
        <v/>
      </c>
      <c r="H33" s="7"/>
      <c r="I33" s="7"/>
      <c r="J33" s="9" t="str">
        <f t="shared" si="2"/>
        <v/>
      </c>
      <c r="K33" s="28"/>
      <c r="L33" s="28"/>
      <c r="M33" s="9" t="str">
        <f t="shared" si="3"/>
        <v/>
      </c>
      <c r="N33" s="7"/>
      <c r="O33" s="15"/>
      <c r="P33" s="9" t="str">
        <f t="shared" si="9"/>
        <v/>
      </c>
      <c r="Q33" s="15"/>
      <c r="R33" s="7"/>
      <c r="S33" s="7"/>
      <c r="T33" s="5"/>
      <c r="U33" s="10" t="str">
        <f t="shared" si="5"/>
        <v/>
      </c>
      <c r="V33" s="9" t="str">
        <f t="shared" si="15"/>
        <v/>
      </c>
      <c r="W33" s="11" t="str">
        <f t="shared" si="13"/>
        <v/>
      </c>
      <c r="X33" s="11" t="str">
        <f t="shared" si="14"/>
        <v/>
      </c>
    </row>
    <row r="34" spans="1:24" hidden="1">
      <c r="A34" s="29"/>
      <c r="B34" s="5"/>
      <c r="C34" s="5"/>
      <c r="D34" s="6" t="str">
        <f t="shared" si="0"/>
        <v/>
      </c>
      <c r="E34" s="7"/>
      <c r="F34" s="7"/>
      <c r="G34" s="8" t="str">
        <f t="shared" si="1"/>
        <v/>
      </c>
      <c r="H34" s="7"/>
      <c r="I34" s="7"/>
      <c r="J34" s="9" t="str">
        <f t="shared" si="2"/>
        <v/>
      </c>
      <c r="K34" s="28"/>
      <c r="L34" s="28"/>
      <c r="M34" s="9" t="str">
        <f t="shared" si="3"/>
        <v/>
      </c>
      <c r="N34" s="7"/>
      <c r="O34" s="15"/>
      <c r="P34" s="9" t="str">
        <f t="shared" si="9"/>
        <v/>
      </c>
      <c r="Q34" s="15"/>
      <c r="R34" s="7"/>
      <c r="S34" s="7"/>
      <c r="T34" s="5"/>
      <c r="U34" s="10" t="str">
        <f t="shared" si="5"/>
        <v/>
      </c>
      <c r="V34" s="9" t="str">
        <f t="shared" si="15"/>
        <v/>
      </c>
      <c r="W34" s="11" t="str">
        <f t="shared" si="13"/>
        <v/>
      </c>
      <c r="X34" s="11" t="str">
        <f t="shared" si="14"/>
        <v/>
      </c>
    </row>
    <row r="35" spans="1:24" hidden="1">
      <c r="A35" s="29"/>
      <c r="B35" s="5"/>
      <c r="C35" s="5"/>
      <c r="D35" s="6" t="str">
        <f t="shared" si="0"/>
        <v/>
      </c>
      <c r="E35" s="7"/>
      <c r="F35" s="7"/>
      <c r="G35" s="8" t="str">
        <f t="shared" si="1"/>
        <v/>
      </c>
      <c r="H35" s="7"/>
      <c r="I35" s="7"/>
      <c r="J35" s="9" t="str">
        <f t="shared" si="2"/>
        <v/>
      </c>
      <c r="K35" s="28"/>
      <c r="L35" s="28"/>
      <c r="M35" s="9" t="str">
        <f t="shared" si="3"/>
        <v/>
      </c>
      <c r="N35" s="7"/>
      <c r="O35" s="15"/>
      <c r="P35" s="9" t="str">
        <f t="shared" si="9"/>
        <v/>
      </c>
      <c r="Q35" s="15"/>
      <c r="R35" s="7"/>
      <c r="S35" s="7"/>
      <c r="T35" s="5"/>
      <c r="U35" s="10" t="str">
        <f t="shared" si="5"/>
        <v/>
      </c>
      <c r="V35" s="9" t="str">
        <f t="shared" si="15"/>
        <v/>
      </c>
      <c r="W35" s="11" t="str">
        <f t="shared" si="13"/>
        <v/>
      </c>
      <c r="X35" s="11" t="str">
        <f t="shared" si="14"/>
        <v/>
      </c>
    </row>
    <row r="36" spans="1:24" hidden="1">
      <c r="A36" s="29"/>
      <c r="B36" s="5"/>
      <c r="C36" s="5"/>
      <c r="D36" s="6" t="str">
        <f t="shared" si="0"/>
        <v/>
      </c>
      <c r="E36" s="7"/>
      <c r="F36" s="7"/>
      <c r="G36" s="8" t="str">
        <f t="shared" si="1"/>
        <v/>
      </c>
      <c r="H36" s="7"/>
      <c r="I36" s="7"/>
      <c r="J36" s="9" t="str">
        <f t="shared" si="2"/>
        <v/>
      </c>
      <c r="K36" s="28"/>
      <c r="L36" s="28"/>
      <c r="M36" s="9" t="str">
        <f t="shared" si="3"/>
        <v/>
      </c>
      <c r="N36" s="7"/>
      <c r="O36" s="15"/>
      <c r="P36" s="9" t="str">
        <f t="shared" si="9"/>
        <v/>
      </c>
      <c r="Q36" s="15"/>
      <c r="R36" s="7"/>
      <c r="S36" s="7"/>
      <c r="T36" s="5"/>
      <c r="U36" s="10" t="str">
        <f t="shared" si="5"/>
        <v/>
      </c>
      <c r="V36" s="9" t="str">
        <f t="shared" si="15"/>
        <v/>
      </c>
      <c r="W36" s="11" t="str">
        <f t="shared" si="13"/>
        <v/>
      </c>
      <c r="X36" s="11" t="str">
        <f t="shared" si="14"/>
        <v/>
      </c>
    </row>
    <row r="37" spans="1:24" ht="15" hidden="1" thickBot="1">
      <c r="A37" s="29"/>
      <c r="B37" s="5"/>
      <c r="C37" s="5"/>
      <c r="D37" s="6" t="str">
        <f t="shared" si="0"/>
        <v/>
      </c>
      <c r="E37" s="7"/>
      <c r="F37" s="7"/>
      <c r="G37" s="8" t="str">
        <f t="shared" si="1"/>
        <v/>
      </c>
      <c r="H37" s="7"/>
      <c r="I37" s="7"/>
      <c r="J37" s="9" t="str">
        <f t="shared" si="2"/>
        <v/>
      </c>
      <c r="K37" s="28"/>
      <c r="L37" s="28"/>
      <c r="M37" s="9" t="str">
        <f t="shared" si="3"/>
        <v/>
      </c>
      <c r="N37" s="7"/>
      <c r="O37" s="15"/>
      <c r="P37" s="9" t="str">
        <f t="shared" si="9"/>
        <v/>
      </c>
      <c r="Q37" s="7"/>
      <c r="R37" s="7"/>
      <c r="S37" s="7"/>
      <c r="T37" s="5"/>
      <c r="U37" s="10"/>
      <c r="V37" s="9" t="str">
        <f t="shared" si="15"/>
        <v/>
      </c>
      <c r="W37" s="11" t="str">
        <f t="shared" si="13"/>
        <v/>
      </c>
      <c r="X37" s="11" t="str">
        <f t="shared" si="14"/>
        <v/>
      </c>
    </row>
    <row r="38" spans="1:24" s="43" customFormat="1" ht="18.600000000000001" thickBot="1">
      <c r="A38" s="31"/>
      <c r="B38" s="32" t="s">
        <v>42</v>
      </c>
      <c r="C38" s="32"/>
      <c r="D38" s="33">
        <f>SUM(D3:D37)</f>
        <v>24972.000000000698</v>
      </c>
      <c r="E38" s="33">
        <f>SUM(E3:E37)</f>
        <v>1187</v>
      </c>
      <c r="F38" s="33">
        <f>SUM(F3:F37)</f>
        <v>1684</v>
      </c>
      <c r="G38" s="33">
        <f>SUM(G3:G37)</f>
        <v>497</v>
      </c>
      <c r="H38" s="33">
        <f>SUM(H2:H37)</f>
        <v>4244</v>
      </c>
      <c r="I38" s="33">
        <f>SUM(I3:I37)</f>
        <v>1105</v>
      </c>
      <c r="J38" s="34">
        <f>(D38-G38-H38-I38)/D38</f>
        <v>0.76589780554221387</v>
      </c>
      <c r="K38" s="35">
        <f>SUM(K3:K37)</f>
        <v>215</v>
      </c>
      <c r="L38" s="35">
        <f>SUM(L3:L37)</f>
        <v>2324</v>
      </c>
      <c r="M38" s="36">
        <f>(D38-G38-H38-I38-E38-K38-L38)/D38</f>
        <v>0.61669069357681672</v>
      </c>
      <c r="N38" s="37">
        <f>AVERAGE(N3:N37)</f>
        <v>17000</v>
      </c>
      <c r="O38" s="38">
        <f>AVERAGE(O3:O37)</f>
        <v>17013.466034010857</v>
      </c>
      <c r="P38" s="34">
        <f>O38/N38</f>
        <v>1.0007921196476974</v>
      </c>
      <c r="Q38" s="37">
        <f>SUM(Q3:Q35)</f>
        <v>131261</v>
      </c>
      <c r="R38" s="37"/>
      <c r="S38" s="32"/>
      <c r="T38" s="32"/>
      <c r="U38" s="39"/>
      <c r="V38" s="40">
        <f>AVERAGE(V3:V37)</f>
        <v>0.98772835849192719</v>
      </c>
      <c r="W38" s="41">
        <f>V38*P38*J38</f>
        <v>0.75709821994807625</v>
      </c>
      <c r="X38" s="42">
        <f>V38*P38*M38</f>
        <v>0.6096053846701075</v>
      </c>
    </row>
    <row r="39" spans="1:24" ht="28.9">
      <c r="O39" s="44"/>
      <c r="P39" s="45"/>
      <c r="Q39" s="67"/>
      <c r="R39" s="67"/>
      <c r="S39" s="44"/>
      <c r="T39" s="45"/>
      <c r="U39" s="22"/>
    </row>
    <row r="40" spans="1:24" ht="28.9">
      <c r="Q40" s="22"/>
      <c r="R40" s="22"/>
      <c r="S40" s="22"/>
      <c r="T40" s="22"/>
      <c r="U40" s="22"/>
    </row>
    <row r="41" spans="1:24" ht="28.9">
      <c r="Q41" s="22"/>
      <c r="R41" s="69"/>
      <c r="S41" s="69"/>
      <c r="T41" s="46"/>
      <c r="U41" s="22"/>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53" t="s">
        <v>44</v>
      </c>
      <c r="E46" s="53" t="s">
        <v>45</v>
      </c>
    </row>
    <row r="47" spans="1:24">
      <c r="C47" s="4" t="s">
        <v>46</v>
      </c>
      <c r="D47" s="54">
        <f>W38</f>
        <v>0.75709821994807625</v>
      </c>
      <c r="E47" s="55">
        <f t="shared" ref="E47:E52" si="17">100%-D47</f>
        <v>0.24290178005192375</v>
      </c>
    </row>
    <row r="48" spans="1:24">
      <c r="C48" s="4" t="s">
        <v>47</v>
      </c>
      <c r="D48" s="54">
        <f>X38</f>
        <v>0.6096053846701075</v>
      </c>
      <c r="E48" s="55">
        <f t="shared" si="17"/>
        <v>0.3903946153298925</v>
      </c>
    </row>
    <row r="49" spans="3:5">
      <c r="C49" s="4" t="s">
        <v>11</v>
      </c>
      <c r="D49" s="54">
        <f>J38</f>
        <v>0.76589780554221387</v>
      </c>
      <c r="E49" s="55">
        <f t="shared" si="17"/>
        <v>0.23410219445778613</v>
      </c>
    </row>
    <row r="50" spans="3:5" ht="28.9">
      <c r="C50" s="4" t="s">
        <v>14</v>
      </c>
      <c r="D50" s="54">
        <f>M38</f>
        <v>0.61669069357681672</v>
      </c>
      <c r="E50" s="55">
        <f t="shared" si="17"/>
        <v>0.38330930642318328</v>
      </c>
    </row>
    <row r="51" spans="3:5">
      <c r="C51" s="4" t="s">
        <v>17</v>
      </c>
      <c r="D51" s="54">
        <f>P38</f>
        <v>1.0007921196476974</v>
      </c>
      <c r="E51" s="55">
        <f t="shared" si="17"/>
        <v>-7.9211964769743126E-4</v>
      </c>
    </row>
    <row r="52" spans="3:5">
      <c r="C52" s="4" t="str">
        <f>V2</f>
        <v>Quality</v>
      </c>
      <c r="D52" s="54">
        <f>V38</f>
        <v>0.98772835849192719</v>
      </c>
      <c r="E52" s="55">
        <f t="shared" si="17"/>
        <v>1.2271641508072806E-2</v>
      </c>
    </row>
  </sheetData>
  <mergeCells count="2">
    <mergeCell ref="Q39:R39"/>
    <mergeCell ref="R41:S41"/>
  </mergeCells>
  <pageMargins left="0.7" right="0.7" top="0.75" bottom="0.75" header="0.3" footer="0.3"/>
  <pageSetup paperSize="5" scale="42" orientation="landscape" horizontalDpi="4294967295" verticalDpi="4294967295"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91F8-31BD-4B9B-AC3E-ECE145CC6C42}">
  <sheetPr>
    <pageSetUpPr fitToPage="1"/>
  </sheetPr>
  <dimension ref="A1:X52"/>
  <sheetViews>
    <sheetView topLeftCell="C14" zoomScale="70" zoomScaleNormal="70" workbookViewId="0">
      <selection activeCell="J40" sqref="J40"/>
    </sheetView>
  </sheetViews>
  <sheetFormatPr defaultRowHeight="14.45"/>
  <cols>
    <col min="1" max="1" width="76" customWidth="1"/>
    <col min="2" max="2" width="22.85546875" bestFit="1" customWidth="1"/>
    <col min="3" max="3" width="35.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57" t="s">
        <v>62</v>
      </c>
      <c r="B3" s="5">
        <v>45719.114583333336</v>
      </c>
      <c r="C3" s="5">
        <v>45719.927777777775</v>
      </c>
      <c r="D3" s="6">
        <f t="shared" ref="D3:D11" si="0">IF(B3="","",(C3-B3)*24*60)</f>
        <v>1170.9999999927823</v>
      </c>
      <c r="E3" s="7">
        <f>20+20+20+20+20</f>
        <v>100</v>
      </c>
      <c r="F3" s="7">
        <v>106</v>
      </c>
      <c r="G3" s="8">
        <f t="shared" ref="G3:G18" si="1">IF(E3="","",F3-E3)</f>
        <v>6</v>
      </c>
      <c r="H3" s="7">
        <f>7+38+10+24+5</f>
        <v>84</v>
      </c>
      <c r="I3" s="7">
        <f>2+4+3+3+2+4+3+2+3+1+1+2+1+3+2+3+2+4+3+3+3+4+2+4</f>
        <v>64</v>
      </c>
      <c r="J3" s="9">
        <f t="shared" ref="J3:J21" si="2">IF(B3="","",(D3-G3-H3-I3)/D3)</f>
        <v>0.86848847139116203</v>
      </c>
      <c r="K3" s="56">
        <v>0</v>
      </c>
      <c r="L3" s="56">
        <f>6+7+5+47+13+23</f>
        <v>101</v>
      </c>
      <c r="M3" s="9">
        <f t="shared" ref="M3:M37" si="3">IF(B3="","",(D3-G3-H3-I3-K3-L3-E3)/D3)</f>
        <v>0.69684030742767877</v>
      </c>
      <c r="N3" s="7">
        <v>17000</v>
      </c>
      <c r="O3" s="15">
        <f>AVERAGE(17000,17000,17000,17000,15000,15000,17000,17000,17000)</f>
        <v>16555.555555555555</v>
      </c>
      <c r="P3" s="9">
        <f t="shared" ref="P3:P37" si="4">IF(B3="","",O3/N3)</f>
        <v>0.97385620915032678</v>
      </c>
      <c r="Q3" s="7">
        <f>698+1290+657+661+1393+701</f>
        <v>5400</v>
      </c>
      <c r="R3" s="7">
        <v>33</v>
      </c>
      <c r="S3" s="7"/>
      <c r="T3" s="5"/>
      <c r="U3" s="10" t="str">
        <f t="shared" ref="U3:U37" si="5">IF(S3="","",(T3-C3))</f>
        <v/>
      </c>
      <c r="V3" s="9">
        <f t="shared" ref="V3:V37" si="6">IF(B3="","",IF(U3&lt;3,(Q3-R3)/Q3,(Q3-R3-S3)/Q3))</f>
        <v>0.99388888888888893</v>
      </c>
      <c r="W3" s="11">
        <f t="shared" ref="W3:W37" si="7">IF(B3="","",V3*P3*J3)</f>
        <v>0.84061421722040508</v>
      </c>
      <c r="X3" s="11">
        <f t="shared" ref="X3:X37" si="8">IF(B3="","",V3*P3*M3)</f>
        <v>0.67447512414026678</v>
      </c>
    </row>
    <row r="4" spans="1:24">
      <c r="A4" s="29" t="s">
        <v>63</v>
      </c>
      <c r="B4" s="5">
        <v>45720.114583333336</v>
      </c>
      <c r="C4" s="5">
        <v>45720.904166666667</v>
      </c>
      <c r="D4" s="6">
        <f t="shared" si="0"/>
        <v>1136.999999997206</v>
      </c>
      <c r="E4" s="7">
        <f>10+40</f>
        <v>50</v>
      </c>
      <c r="F4" s="7">
        <f>104+15+56</f>
        <v>175</v>
      </c>
      <c r="G4" s="8">
        <f t="shared" si="1"/>
        <v>125</v>
      </c>
      <c r="H4" s="7">
        <f>20+7+13+5+5+13+6+9+7+6+12+7+5+5+24+32</f>
        <v>176</v>
      </c>
      <c r="I4" s="7">
        <f>2+3+4+1+2+1+2+1+2+2+2+1+1+1+1+2+3+3+2+3+2+4+1+1+4+1+3+4+4+3+2+2</f>
        <v>70</v>
      </c>
      <c r="J4" s="9">
        <f t="shared" si="2"/>
        <v>0.67370272647237317</v>
      </c>
      <c r="K4" s="56">
        <v>0</v>
      </c>
      <c r="L4" s="56">
        <f>9+2+41+8+5+3</f>
        <v>68</v>
      </c>
      <c r="M4" s="9">
        <f t="shared" si="3"/>
        <v>0.56992084432611989</v>
      </c>
      <c r="N4" s="7">
        <v>17000</v>
      </c>
      <c r="O4" s="15">
        <f>AVERAGE(17000,17000,17000,17000,17000,17000,17000,17000,17000,17000,17000,17000,17000,17000,17000,17000)</f>
        <v>17000</v>
      </c>
      <c r="P4" s="9">
        <f t="shared" si="4"/>
        <v>1</v>
      </c>
      <c r="Q4" s="15">
        <f>1703+5524</f>
        <v>7227</v>
      </c>
      <c r="R4" s="15">
        <v>46</v>
      </c>
      <c r="S4" s="7"/>
      <c r="T4" s="5"/>
      <c r="U4" s="10" t="str">
        <f t="shared" si="5"/>
        <v/>
      </c>
      <c r="V4" s="9">
        <f t="shared" si="6"/>
        <v>0.99363497993634975</v>
      </c>
      <c r="W4" s="11">
        <f t="shared" si="7"/>
        <v>0.66941459510144063</v>
      </c>
      <c r="X4" s="11">
        <f t="shared" si="8"/>
        <v>0.56629328671729162</v>
      </c>
    </row>
    <row r="5" spans="1:24">
      <c r="A5" s="29" t="s">
        <v>64</v>
      </c>
      <c r="B5" s="5">
        <v>45721.004861111112</v>
      </c>
      <c r="C5" s="5">
        <v>45722.925000000003</v>
      </c>
      <c r="D5" s="6">
        <f t="shared" si="0"/>
        <v>2765.0000000023283</v>
      </c>
      <c r="E5" s="7">
        <f>45+120+100</f>
        <v>265</v>
      </c>
      <c r="F5" s="7">
        <f>35+218+48</f>
        <v>301</v>
      </c>
      <c r="G5" s="8">
        <f t="shared" si="1"/>
        <v>36</v>
      </c>
      <c r="H5" s="7">
        <f>12+6+9+6+7+5+12+8+5+9+9+6+5+6+6+6+15+6</f>
        <v>138</v>
      </c>
      <c r="I5" s="7">
        <f>2+3+4+3+2+4+4+2+1+4+4+4+4+2+3+2+3+3+2+2+4+2+3+3+2+3+3+2+2+3+4+2+4+3+3+3+4</f>
        <v>108</v>
      </c>
      <c r="J5" s="9">
        <f t="shared" si="2"/>
        <v>0.89801084990966995</v>
      </c>
      <c r="K5" s="56">
        <v>0</v>
      </c>
      <c r="L5" s="56">
        <f>2+11+30</f>
        <v>43</v>
      </c>
      <c r="M5" s="9">
        <f t="shared" si="3"/>
        <v>0.78661844484647259</v>
      </c>
      <c r="N5" s="7">
        <v>17000</v>
      </c>
      <c r="O5" s="15">
        <f>AVERAGE(17000,17000,17000,17000,17000,17000,17000,17000,16500,16500,16500,16500,15000,17000)</f>
        <v>16714.285714285714</v>
      </c>
      <c r="P5" s="9">
        <f t="shared" si="4"/>
        <v>0.98319327731092432</v>
      </c>
      <c r="Q5" s="15">
        <f>2856+1789+584</f>
        <v>5229</v>
      </c>
      <c r="R5" s="15">
        <f>11+14</f>
        <v>25</v>
      </c>
      <c r="S5" s="7"/>
      <c r="T5" s="5"/>
      <c r="U5" s="10" t="str">
        <f t="shared" si="5"/>
        <v/>
      </c>
      <c r="V5" s="9">
        <f t="shared" si="6"/>
        <v>0.99521897112258562</v>
      </c>
      <c r="W5" s="11">
        <f t="shared" si="7"/>
        <v>0.87869697302664185</v>
      </c>
      <c r="X5" s="11">
        <f t="shared" si="8"/>
        <v>0.76970032876890848</v>
      </c>
    </row>
    <row r="6" spans="1:24">
      <c r="A6" s="29" t="s">
        <v>65</v>
      </c>
      <c r="B6" s="5">
        <v>45722.020833333336</v>
      </c>
      <c r="C6" s="5">
        <v>45723.027777777781</v>
      </c>
      <c r="D6" s="6">
        <f t="shared" si="0"/>
        <v>1450.0000000011642</v>
      </c>
      <c r="E6" s="7">
        <v>45</v>
      </c>
      <c r="F6" s="7">
        <v>79</v>
      </c>
      <c r="G6" s="8">
        <f t="shared" si="1"/>
        <v>34</v>
      </c>
      <c r="H6" s="7">
        <f>5+5+13+23+7+13+23+7+7+10+7+6+8+6+6+18+9+20+7+24+6+12+5+60+64+21+19+50+15+7+10+7</f>
        <v>500</v>
      </c>
      <c r="I6" s="7">
        <f>4+3+3+4+4+1+3+3+4+3+3+3+3+2+2+2+4+4+4+2+2+1+2+4+4+1+3+4+4+4</f>
        <v>90</v>
      </c>
      <c r="J6" s="9">
        <f t="shared" si="2"/>
        <v>0.56965517241413866</v>
      </c>
      <c r="K6" s="28">
        <v>0</v>
      </c>
      <c r="L6" s="28">
        <f>9+35+9+3</f>
        <v>56</v>
      </c>
      <c r="M6" s="9">
        <f t="shared" si="3"/>
        <v>0.50000000000040146</v>
      </c>
      <c r="N6" s="7">
        <v>17000</v>
      </c>
      <c r="O6" s="15">
        <f>AVERAGE(17000,17000,17000,17000,17000,17000,17000,16500,16500,16500,16500,16500,17000,17000,17000,17000,17000)</f>
        <v>16852.941176470587</v>
      </c>
      <c r="P6" s="9">
        <f t="shared" si="4"/>
        <v>0.99134948096885811</v>
      </c>
      <c r="Q6" s="7">
        <f>2928+2887</f>
        <v>5815</v>
      </c>
      <c r="R6" s="7">
        <v>29</v>
      </c>
      <c r="S6" s="7">
        <f>6+18</f>
        <v>24</v>
      </c>
      <c r="T6" s="5">
        <v>45723.395833333336</v>
      </c>
      <c r="U6" s="10">
        <f t="shared" si="5"/>
        <v>0.36805555555474712</v>
      </c>
      <c r="V6" s="9">
        <f t="shared" si="6"/>
        <v>0.99501289767841794</v>
      </c>
      <c r="W6" s="11">
        <f t="shared" si="7"/>
        <v>0.56191100637833846</v>
      </c>
      <c r="X6" s="11">
        <f t="shared" si="8"/>
        <v>0.49320275983580558</v>
      </c>
    </row>
    <row r="7" spans="1:24">
      <c r="A7" s="29" t="s">
        <v>66</v>
      </c>
      <c r="B7" s="5">
        <v>45723.065972222219</v>
      </c>
      <c r="C7" s="5">
        <v>45723.838888888888</v>
      </c>
      <c r="D7" s="6">
        <f t="shared" si="0"/>
        <v>1113.000000002794</v>
      </c>
      <c r="E7" s="7">
        <v>45</v>
      </c>
      <c r="F7" s="7">
        <v>55</v>
      </c>
      <c r="G7" s="8">
        <f t="shared" si="1"/>
        <v>10</v>
      </c>
      <c r="H7" s="7">
        <f>6+10+11+5+12+7+7+11</f>
        <v>69</v>
      </c>
      <c r="I7" s="7">
        <f>2+2+2+2+1+4+2+1+2+2+3+4+2+1+2+2+1+2+2+2</f>
        <v>41</v>
      </c>
      <c r="J7" s="9">
        <f t="shared" si="2"/>
        <v>0.89218328840997418</v>
      </c>
      <c r="K7" s="28">
        <v>0</v>
      </c>
      <c r="L7" s="28">
        <f>20+60+60+60+140+1+43+26+8</f>
        <v>418</v>
      </c>
      <c r="M7" s="9">
        <f t="shared" si="3"/>
        <v>0.47619047619179111</v>
      </c>
      <c r="N7" s="7">
        <v>17000</v>
      </c>
      <c r="O7" s="15">
        <f>AVERAGE(17000,17000,17000,16600,16600,16500,16500,17000,17000)</f>
        <v>16800</v>
      </c>
      <c r="P7" s="9">
        <f t="shared" si="4"/>
        <v>0.9882352941176471</v>
      </c>
      <c r="Q7" s="15">
        <v>4977</v>
      </c>
      <c r="R7" s="15">
        <f>1+8</f>
        <v>9</v>
      </c>
      <c r="S7" s="7"/>
      <c r="T7" s="5"/>
      <c r="U7" s="10" t="str">
        <f t="shared" si="5"/>
        <v/>
      </c>
      <c r="V7" s="9">
        <f t="shared" si="6"/>
        <v>0.99819168173598549</v>
      </c>
      <c r="W7" s="11">
        <f t="shared" si="7"/>
        <v>0.88009264369734463</v>
      </c>
      <c r="X7" s="11">
        <f t="shared" si="8"/>
        <v>0.46973726199470206</v>
      </c>
    </row>
    <row r="8" spans="1:24">
      <c r="A8" s="29" t="s">
        <v>31</v>
      </c>
      <c r="B8" s="5">
        <v>45726.388888888891</v>
      </c>
      <c r="C8" s="5">
        <v>45726.912499999999</v>
      </c>
      <c r="D8" s="6">
        <f t="shared" si="0"/>
        <v>753.99999999557622</v>
      </c>
      <c r="E8" s="7">
        <v>0</v>
      </c>
      <c r="F8" s="7">
        <v>0</v>
      </c>
      <c r="G8" s="8">
        <f t="shared" si="1"/>
        <v>0</v>
      </c>
      <c r="H8" s="7">
        <f>40+32+21+7+6+23+5+5+16+30+13+20</f>
        <v>218</v>
      </c>
      <c r="I8" s="7">
        <v>2</v>
      </c>
      <c r="J8" s="9">
        <f t="shared" si="2"/>
        <v>0.70822281166937562</v>
      </c>
      <c r="K8" s="28">
        <v>0</v>
      </c>
      <c r="L8" s="28">
        <v>18</v>
      </c>
      <c r="M8" s="9">
        <f t="shared" si="3"/>
        <v>0.68435013262414279</v>
      </c>
      <c r="N8" s="7">
        <v>17000</v>
      </c>
      <c r="O8" s="15">
        <f>AVERAGE(11000,11000,11000,11000,11000,11000,11300,11300,11300,11300,11300,11300)</f>
        <v>11150</v>
      </c>
      <c r="P8" s="9">
        <f t="shared" si="4"/>
        <v>0.65588235294117647</v>
      </c>
      <c r="Q8" s="15">
        <v>3495</v>
      </c>
      <c r="R8" s="15">
        <v>85</v>
      </c>
      <c r="S8" s="7"/>
      <c r="T8" s="5"/>
      <c r="U8" s="10" t="str">
        <f t="shared" si="5"/>
        <v/>
      </c>
      <c r="V8" s="9">
        <f t="shared" si="6"/>
        <v>0.97567954220314734</v>
      </c>
      <c r="W8" s="11">
        <f t="shared" si="7"/>
        <v>0.45321372774361973</v>
      </c>
      <c r="X8" s="11">
        <f t="shared" si="8"/>
        <v>0.43793686051618019</v>
      </c>
    </row>
    <row r="9" spans="1:24">
      <c r="A9" s="29" t="s">
        <v>67</v>
      </c>
      <c r="B9" s="5">
        <v>45727.347222222219</v>
      </c>
      <c r="C9" s="5">
        <v>45727.951388888891</v>
      </c>
      <c r="D9" s="6">
        <f t="shared" si="0"/>
        <v>870.00000000698492</v>
      </c>
      <c r="E9" s="7">
        <f>10+25</f>
        <v>35</v>
      </c>
      <c r="F9" s="7">
        <f>23+55</f>
        <v>78</v>
      </c>
      <c r="G9" s="8">
        <f t="shared" si="1"/>
        <v>43</v>
      </c>
      <c r="H9" s="7">
        <f>42+14+60+22+10+47+60+17+19</f>
        <v>291</v>
      </c>
      <c r="I9" s="7">
        <f>1+2+3</f>
        <v>6</v>
      </c>
      <c r="J9" s="9">
        <f t="shared" si="2"/>
        <v>0.60919540230198821</v>
      </c>
      <c r="K9" s="28">
        <v>0</v>
      </c>
      <c r="L9" s="28">
        <v>1</v>
      </c>
      <c r="M9" s="9">
        <f t="shared" si="3"/>
        <v>0.56781609195749283</v>
      </c>
      <c r="N9" s="7">
        <v>17000</v>
      </c>
      <c r="O9" s="15">
        <f>AVERAGE(11000,11000,11000,11000,11000,11000,11000,11000)</f>
        <v>11000</v>
      </c>
      <c r="P9" s="9">
        <f t="shared" si="4"/>
        <v>0.6470588235294118</v>
      </c>
      <c r="Q9" s="15">
        <v>2831</v>
      </c>
      <c r="R9" s="15">
        <v>100</v>
      </c>
      <c r="S9" s="7"/>
      <c r="T9" s="5"/>
      <c r="U9" s="10" t="str">
        <f t="shared" si="5"/>
        <v/>
      </c>
      <c r="V9" s="9">
        <f t="shared" si="6"/>
        <v>0.96467679265277284</v>
      </c>
      <c r="W9" s="11">
        <f t="shared" si="7"/>
        <v>0.38026137262979259</v>
      </c>
      <c r="X9" s="11">
        <f t="shared" si="8"/>
        <v>0.35443229826282635</v>
      </c>
    </row>
    <row r="10" spans="1:24">
      <c r="A10" s="29" t="s">
        <v>35</v>
      </c>
      <c r="B10" s="5">
        <v>45728.613888888889</v>
      </c>
      <c r="C10" s="5">
        <v>45728.86041666667</v>
      </c>
      <c r="D10" s="6">
        <f t="shared" si="0"/>
        <v>355.00000000465661</v>
      </c>
      <c r="E10" s="7">
        <v>0</v>
      </c>
      <c r="F10" s="7">
        <v>0</v>
      </c>
      <c r="G10" s="8">
        <f t="shared" si="1"/>
        <v>0</v>
      </c>
      <c r="H10" s="7">
        <f>5+6+27+10+6+7</f>
        <v>61</v>
      </c>
      <c r="I10" s="7">
        <f>1+4+4+2</f>
        <v>11</v>
      </c>
      <c r="J10" s="9">
        <f t="shared" si="2"/>
        <v>0.79718309859420966</v>
      </c>
      <c r="K10" s="28">
        <v>0</v>
      </c>
      <c r="L10" s="28">
        <f>12+6+5</f>
        <v>23</v>
      </c>
      <c r="M10" s="9">
        <f t="shared" si="3"/>
        <v>0.73239436620069331</v>
      </c>
      <c r="N10" s="7">
        <v>17000</v>
      </c>
      <c r="O10" s="15">
        <f>AVERAGE(11000,17000,17000,17000,17000,17000)</f>
        <v>16000</v>
      </c>
      <c r="P10" s="9">
        <f t="shared" si="4"/>
        <v>0.94117647058823528</v>
      </c>
      <c r="Q10" s="15">
        <v>2046</v>
      </c>
      <c r="R10" s="15">
        <v>30</v>
      </c>
      <c r="S10" s="7"/>
      <c r="T10" s="5"/>
      <c r="U10" s="10" t="str">
        <f t="shared" si="5"/>
        <v/>
      </c>
      <c r="V10" s="9">
        <f t="shared" si="6"/>
        <v>0.98533724340175954</v>
      </c>
      <c r="W10" s="11">
        <f t="shared" si="7"/>
        <v>0.73928865586380388</v>
      </c>
      <c r="X10" s="11">
        <f t="shared" si="8"/>
        <v>0.67920512552957168</v>
      </c>
    </row>
    <row r="11" spans="1:24">
      <c r="A11" s="29" t="s">
        <v>31</v>
      </c>
      <c r="B11" s="5">
        <v>45729.413888888892</v>
      </c>
      <c r="C11" s="5">
        <v>45729.918749999997</v>
      </c>
      <c r="D11" s="6">
        <f t="shared" si="0"/>
        <v>726.99999999138527</v>
      </c>
      <c r="E11" s="7">
        <v>0</v>
      </c>
      <c r="F11" s="7">
        <v>0</v>
      </c>
      <c r="G11" s="8">
        <f t="shared" si="1"/>
        <v>0</v>
      </c>
      <c r="H11" s="7">
        <f>5+5+6+6+5</f>
        <v>27</v>
      </c>
      <c r="I11" s="7">
        <f>2+3+2+1+2+1+4+1+3+2+2+4+4+4+4+4+2+3+1</f>
        <v>49</v>
      </c>
      <c r="J11" s="9">
        <f t="shared" si="2"/>
        <v>0.89546079779793597</v>
      </c>
      <c r="K11" s="28">
        <v>0</v>
      </c>
      <c r="L11" s="28">
        <f>7+5+6+25</f>
        <v>43</v>
      </c>
      <c r="M11" s="9">
        <f t="shared" si="3"/>
        <v>0.83631361760466283</v>
      </c>
      <c r="N11" s="7">
        <v>17000</v>
      </c>
      <c r="O11" s="15">
        <f>AVERAGE(17000,17000,17000,17000,17000,17000,17000,17000,17000,17000,17000,17000,17000)</f>
        <v>17000</v>
      </c>
      <c r="P11" s="9">
        <f t="shared" si="4"/>
        <v>1</v>
      </c>
      <c r="Q11" s="15">
        <v>5465</v>
      </c>
      <c r="R11" s="15">
        <f>10.5+16</f>
        <v>26.5</v>
      </c>
      <c r="S11" s="7"/>
      <c r="T11" s="5"/>
      <c r="U11" s="10" t="str">
        <f t="shared" si="5"/>
        <v/>
      </c>
      <c r="V11" s="9">
        <f t="shared" si="6"/>
        <v>0.99515096065873743</v>
      </c>
      <c r="W11" s="11">
        <f t="shared" si="7"/>
        <v>0.89111867316085536</v>
      </c>
      <c r="X11" s="11">
        <f t="shared" si="8"/>
        <v>0.83225829997126421</v>
      </c>
    </row>
    <row r="12" spans="1:24">
      <c r="A12" s="29" t="s">
        <v>49</v>
      </c>
      <c r="B12" s="5">
        <v>45730.373611111114</v>
      </c>
      <c r="C12" s="5">
        <v>45730.831250000003</v>
      </c>
      <c r="D12" s="6">
        <f t="shared" ref="D12:D21" si="9">IF(B12="","",(C12-B12)*24*60)</f>
        <v>659.00000000023283</v>
      </c>
      <c r="E12" s="7">
        <v>10</v>
      </c>
      <c r="F12" s="7">
        <v>10</v>
      </c>
      <c r="G12" s="8">
        <f t="shared" si="1"/>
        <v>0</v>
      </c>
      <c r="H12" s="7">
        <f>11+5+5+8</f>
        <v>29</v>
      </c>
      <c r="I12" s="7">
        <f>2+1+2+1+3+3+4+4+1</f>
        <v>21</v>
      </c>
      <c r="J12" s="9">
        <f t="shared" si="2"/>
        <v>0.92412746585738648</v>
      </c>
      <c r="K12" s="28">
        <v>0</v>
      </c>
      <c r="L12" s="28">
        <f>15+7+15+15</f>
        <v>52</v>
      </c>
      <c r="M12" s="9">
        <f t="shared" si="3"/>
        <v>0.83004552352054561</v>
      </c>
      <c r="N12" s="7">
        <v>17000</v>
      </c>
      <c r="O12" s="15">
        <f>AVERAGE(17000,17000,17000,17000,17000,17000,17000,17000)</f>
        <v>17000</v>
      </c>
      <c r="P12" s="9">
        <f t="shared" si="4"/>
        <v>1</v>
      </c>
      <c r="Q12" s="15">
        <f>2717+1403</f>
        <v>4120</v>
      </c>
      <c r="R12" s="7">
        <f>14+9</f>
        <v>23</v>
      </c>
      <c r="S12" s="7"/>
      <c r="T12" s="5"/>
      <c r="U12" s="10" t="str">
        <f t="shared" si="5"/>
        <v/>
      </c>
      <c r="V12" s="9">
        <f t="shared" si="6"/>
        <v>0.99441747572815531</v>
      </c>
      <c r="W12" s="11">
        <f t="shared" si="7"/>
        <v>0.91896850184895928</v>
      </c>
      <c r="X12" s="11">
        <f t="shared" si="8"/>
        <v>0.82541177423875611</v>
      </c>
    </row>
    <row r="13" spans="1:24">
      <c r="A13" s="29" t="s">
        <v>68</v>
      </c>
      <c r="B13" s="5">
        <v>45733.625</v>
      </c>
      <c r="C13" s="5">
        <v>45734</v>
      </c>
      <c r="D13" s="6">
        <f t="shared" si="9"/>
        <v>540</v>
      </c>
      <c r="E13" s="7">
        <v>10</v>
      </c>
      <c r="F13" s="7">
        <v>21</v>
      </c>
      <c r="G13" s="8">
        <f t="shared" si="1"/>
        <v>11</v>
      </c>
      <c r="H13" s="7">
        <f>45+60+20+30+6+20+6+6+6+6+6</f>
        <v>211</v>
      </c>
      <c r="I13" s="7">
        <f>4+1+2+4+1+2+3+1+3+3</f>
        <v>24</v>
      </c>
      <c r="J13" s="9">
        <f t="shared" si="2"/>
        <v>0.5444444444444444</v>
      </c>
      <c r="K13" s="28">
        <v>0</v>
      </c>
      <c r="L13" s="28">
        <f>2+3+10</f>
        <v>15</v>
      </c>
      <c r="M13" s="9">
        <f t="shared" si="3"/>
        <v>0.49814814814814817</v>
      </c>
      <c r="N13" s="7">
        <v>17000</v>
      </c>
      <c r="O13" s="15">
        <f>AVERAGE(17000,17000,17000,17000,17000)</f>
        <v>17000</v>
      </c>
      <c r="P13" s="9">
        <f t="shared" si="4"/>
        <v>1</v>
      </c>
      <c r="Q13" s="15">
        <v>2299</v>
      </c>
      <c r="R13" s="7">
        <v>16</v>
      </c>
      <c r="S13" s="7"/>
      <c r="T13" s="5"/>
      <c r="U13" s="10" t="str">
        <f t="shared" si="5"/>
        <v/>
      </c>
      <c r="V13" s="9">
        <f t="shared" si="6"/>
        <v>0.99304045237059591</v>
      </c>
      <c r="W13" s="11">
        <f t="shared" si="7"/>
        <v>0.54065535740176884</v>
      </c>
      <c r="X13" s="11">
        <f t="shared" si="8"/>
        <v>0.49468126238461169</v>
      </c>
    </row>
    <row r="14" spans="1:24">
      <c r="A14" s="29" t="s">
        <v>49</v>
      </c>
      <c r="B14" s="5">
        <v>45734</v>
      </c>
      <c r="C14" s="5">
        <v>45735</v>
      </c>
      <c r="D14" s="6">
        <f t="shared" si="9"/>
        <v>1440</v>
      </c>
      <c r="E14" s="7">
        <v>10</v>
      </c>
      <c r="F14" s="7">
        <v>10</v>
      </c>
      <c r="G14" s="8">
        <f t="shared" si="1"/>
        <v>0</v>
      </c>
      <c r="H14" s="7">
        <f>5+8+10+7+5+9+18+6+5+13+6+7</f>
        <v>99</v>
      </c>
      <c r="I14" s="7">
        <f>2+4+4+3+1+1+2+2+3+2+3+3+2+2+3+4+3+2+2+2+3+4+1+2+2</f>
        <v>62</v>
      </c>
      <c r="J14" s="9">
        <f t="shared" si="2"/>
        <v>0.8881944444444444</v>
      </c>
      <c r="K14" s="28">
        <v>0</v>
      </c>
      <c r="L14" s="28">
        <f>5+245+56+60+50+10+10+15+30+20+4+8+25+6+5</f>
        <v>549</v>
      </c>
      <c r="M14" s="9">
        <f t="shared" si="3"/>
        <v>0.5</v>
      </c>
      <c r="N14" s="7">
        <v>17000</v>
      </c>
      <c r="O14" s="15">
        <f>AVERAGE(17000,17000,17000,17000,17000,17000,17000,17000,17000,17000)</f>
        <v>17000</v>
      </c>
      <c r="P14" s="9">
        <f t="shared" si="4"/>
        <v>1</v>
      </c>
      <c r="Q14" s="15">
        <v>6440</v>
      </c>
      <c r="R14" s="7">
        <f>5+14</f>
        <v>19</v>
      </c>
      <c r="S14" s="7">
        <f>70+40</f>
        <v>110</v>
      </c>
      <c r="T14" s="5">
        <v>45737.604166666664</v>
      </c>
      <c r="U14" s="10">
        <f t="shared" si="5"/>
        <v>2.6041666666642413</v>
      </c>
      <c r="V14" s="9">
        <f t="shared" si="6"/>
        <v>0.99704968944099381</v>
      </c>
      <c r="W14" s="11">
        <f t="shared" si="7"/>
        <v>0.88557399499654932</v>
      </c>
      <c r="X14" s="11">
        <f t="shared" si="8"/>
        <v>0.49852484472049691</v>
      </c>
    </row>
    <row r="15" spans="1:24">
      <c r="A15" s="29" t="s">
        <v>69</v>
      </c>
      <c r="B15" s="5">
        <v>45735</v>
      </c>
      <c r="C15" s="5">
        <v>45736.069444444445</v>
      </c>
      <c r="D15" s="6">
        <f t="shared" si="9"/>
        <v>1540.0000000011642</v>
      </c>
      <c r="E15" s="7">
        <f>7+10</f>
        <v>17</v>
      </c>
      <c r="F15" s="7">
        <f>5+15</f>
        <v>20</v>
      </c>
      <c r="G15" s="8">
        <f t="shared" si="1"/>
        <v>3</v>
      </c>
      <c r="H15" s="7">
        <f>8+7+8+11+11+16+26+54+6+26+60+60+60+14+13+6+9+5+5+9+5+5</f>
        <v>424</v>
      </c>
      <c r="I15" s="7">
        <f>1+2+1+1+3+4+2+3+2+3+2+2+4+1+1+4+4+4+1+1+3+2+1+4+1+2+4+4+3+2+3+4+2+4+4+1+2+4+4+1+1+2</f>
        <v>104</v>
      </c>
      <c r="J15" s="9">
        <f t="shared" si="2"/>
        <v>0.6551948051950659</v>
      </c>
      <c r="K15" s="28">
        <v>0</v>
      </c>
      <c r="L15" s="28">
        <f>13</f>
        <v>13</v>
      </c>
      <c r="M15" s="9">
        <f t="shared" si="3"/>
        <v>0.63571428571456112</v>
      </c>
      <c r="N15" s="7">
        <v>17000</v>
      </c>
      <c r="O15" s="15">
        <f>AVERAGE(17000,17000,17000,17000,17000,17000,17000,17000,17000,17000,17000,17000,17000,17000,17000,17000,17000,17000,17000)</f>
        <v>17000</v>
      </c>
      <c r="P15" s="9">
        <f t="shared" si="4"/>
        <v>1</v>
      </c>
      <c r="Q15" s="15">
        <v>7597</v>
      </c>
      <c r="R15" s="7">
        <v>23</v>
      </c>
      <c r="S15" s="47">
        <f>22+10.18</f>
        <v>32.18</v>
      </c>
      <c r="T15" s="5">
        <v>45750.277777777781</v>
      </c>
      <c r="U15" s="10">
        <f t="shared" si="5"/>
        <v>14.208333333335759</v>
      </c>
      <c r="V15" s="9">
        <f t="shared" si="6"/>
        <v>0.99273660655521911</v>
      </c>
      <c r="W15" s="11">
        <f t="shared" si="7"/>
        <v>0.65043586754195759</v>
      </c>
      <c r="X15" s="11">
        <f t="shared" si="8"/>
        <v>0.63109684273894839</v>
      </c>
    </row>
    <row r="16" spans="1:24">
      <c r="A16" s="29" t="s">
        <v>70</v>
      </c>
      <c r="B16" s="5">
        <v>45736.102777777778</v>
      </c>
      <c r="C16" s="5">
        <v>45737</v>
      </c>
      <c r="D16" s="6">
        <f t="shared" si="9"/>
        <v>1291.9999999995343</v>
      </c>
      <c r="E16" s="7">
        <v>0</v>
      </c>
      <c r="F16" s="7">
        <v>48</v>
      </c>
      <c r="G16" s="8">
        <f t="shared" si="1"/>
        <v>48</v>
      </c>
      <c r="H16" s="7">
        <f>16+9+5+10+22+5+9+10+60+60+60+60+25+60+60+60+60+25+6</f>
        <v>622</v>
      </c>
      <c r="I16" s="7">
        <f>1+3+2+3+3+2+3+2+1+4+2+2+2+1+2+1+2+2+2+2+1+4+3+1+4+1+3+3+4+2+3+2+4+2+3+4+3+1</f>
        <v>90</v>
      </c>
      <c r="J16" s="9">
        <f t="shared" si="2"/>
        <v>0.41176470588214092</v>
      </c>
      <c r="K16" s="28">
        <v>0</v>
      </c>
      <c r="L16" s="28">
        <f>5+4+4+2+4+2+3+3+3</f>
        <v>30</v>
      </c>
      <c r="M16" s="9">
        <f t="shared" si="3"/>
        <v>0.38854489164064648</v>
      </c>
      <c r="N16" s="7">
        <v>17000</v>
      </c>
      <c r="O16" s="15">
        <f>AVERAGE(15000,15000,15000,17000,17000,17000)</f>
        <v>16000</v>
      </c>
      <c r="P16" s="9">
        <f t="shared" si="4"/>
        <v>0.94117647058823528</v>
      </c>
      <c r="Q16" s="15">
        <v>4053</v>
      </c>
      <c r="R16" s="7">
        <v>8</v>
      </c>
      <c r="S16" s="7">
        <v>833</v>
      </c>
      <c r="T16" s="5">
        <v>45748.638888888891</v>
      </c>
      <c r="U16" s="10">
        <f t="shared" si="5"/>
        <v>11.638888888890506</v>
      </c>
      <c r="V16" s="9">
        <f t="shared" si="6"/>
        <v>0.79249938317295832</v>
      </c>
      <c r="W16" s="11">
        <f t="shared" si="7"/>
        <v>0.30712778863434476</v>
      </c>
      <c r="X16" s="11">
        <f t="shared" si="8"/>
        <v>0.28980855243314474</v>
      </c>
    </row>
    <row r="17" spans="1:24">
      <c r="A17" s="29" t="s">
        <v>70</v>
      </c>
      <c r="B17" s="5">
        <v>45737.011111111111</v>
      </c>
      <c r="C17" s="5">
        <v>45738.216666666667</v>
      </c>
      <c r="D17" s="6">
        <f t="shared" si="9"/>
        <v>1736.0000000009313</v>
      </c>
      <c r="E17" s="7">
        <v>0</v>
      </c>
      <c r="F17" s="7">
        <v>0</v>
      </c>
      <c r="G17" s="8">
        <f t="shared" si="1"/>
        <v>0</v>
      </c>
      <c r="H17" s="7">
        <f>6+7+5+9</f>
        <v>27</v>
      </c>
      <c r="I17" s="7">
        <f>2+1+2+2+2+4+1+3+3+4+3</f>
        <v>27</v>
      </c>
      <c r="J17" s="9">
        <f t="shared" si="2"/>
        <v>0.96889400921660651</v>
      </c>
      <c r="K17" s="28">
        <v>0</v>
      </c>
      <c r="L17" s="28">
        <f>1+11+6+9</f>
        <v>27</v>
      </c>
      <c r="M17" s="9">
        <f t="shared" si="3"/>
        <v>0.95334101382490988</v>
      </c>
      <c r="N17" s="7">
        <v>17000</v>
      </c>
      <c r="O17" s="15">
        <f>AVERAGE(17000,17000,17000,17000,17000)</f>
        <v>17000</v>
      </c>
      <c r="P17" s="9">
        <f t="shared" si="4"/>
        <v>1</v>
      </c>
      <c r="Q17" s="15">
        <v>1771</v>
      </c>
      <c r="R17" s="7">
        <v>9</v>
      </c>
      <c r="S17" s="7"/>
      <c r="T17" s="5"/>
      <c r="U17" s="10" t="str">
        <f t="shared" si="5"/>
        <v/>
      </c>
      <c r="V17" s="9">
        <f t="shared" si="6"/>
        <v>0.99491812535290791</v>
      </c>
      <c r="W17" s="11">
        <f t="shared" si="7"/>
        <v>0.96397021131544924</v>
      </c>
      <c r="X17" s="11">
        <f t="shared" si="8"/>
        <v>0.94849625429672002</v>
      </c>
    </row>
    <row r="18" spans="1:24">
      <c r="A18" s="29" t="s">
        <v>59</v>
      </c>
      <c r="B18" s="5">
        <v>45740.121527777781</v>
      </c>
      <c r="C18" s="5">
        <v>45741</v>
      </c>
      <c r="D18" s="6">
        <f t="shared" si="9"/>
        <v>1264.9999999953434</v>
      </c>
      <c r="E18" s="7">
        <v>0</v>
      </c>
      <c r="F18" s="7">
        <v>0</v>
      </c>
      <c r="G18" s="8">
        <f t="shared" si="1"/>
        <v>0</v>
      </c>
      <c r="H18" s="7">
        <f>45+60+60+60+60+60+60+60+60+60+60+60+60+60+60+60+60+30+7+29+16+5+32</f>
        <v>1124</v>
      </c>
      <c r="I18" s="7">
        <f>2+4+3</f>
        <v>9</v>
      </c>
      <c r="J18" s="9">
        <f t="shared" si="2"/>
        <v>0.10434782608365951</v>
      </c>
      <c r="K18" s="28">
        <v>0</v>
      </c>
      <c r="L18" s="28">
        <v>0</v>
      </c>
      <c r="M18" s="9">
        <f t="shared" si="3"/>
        <v>0.10434782608365951</v>
      </c>
      <c r="N18" s="7">
        <v>17000</v>
      </c>
      <c r="O18" s="15">
        <f>AVERAGE(17000,17000,17000)</f>
        <v>17000</v>
      </c>
      <c r="P18" s="9">
        <f t="shared" si="4"/>
        <v>1</v>
      </c>
      <c r="Q18" s="15">
        <v>1021</v>
      </c>
      <c r="R18" s="7">
        <v>12</v>
      </c>
      <c r="S18" s="7"/>
      <c r="T18" s="5"/>
      <c r="U18" s="10" t="str">
        <f t="shared" si="5"/>
        <v/>
      </c>
      <c r="V18" s="9">
        <f t="shared" si="6"/>
        <v>0.98824681684622917</v>
      </c>
      <c r="W18" s="11">
        <f t="shared" si="7"/>
        <v>0.10312140697200044</v>
      </c>
      <c r="X18" s="11">
        <f t="shared" si="8"/>
        <v>0.10312140697200044</v>
      </c>
    </row>
    <row r="19" spans="1:24">
      <c r="A19" s="29" t="s">
        <v>71</v>
      </c>
      <c r="B19" s="5">
        <v>45741</v>
      </c>
      <c r="C19" s="5">
        <v>45742</v>
      </c>
      <c r="D19" s="6">
        <f t="shared" si="9"/>
        <v>1440</v>
      </c>
      <c r="E19" s="7">
        <v>10</v>
      </c>
      <c r="F19" s="7">
        <v>14</v>
      </c>
      <c r="G19" s="8">
        <f t="shared" ref="G19:G20" si="10">IF(E19="","",F19-E19)</f>
        <v>4</v>
      </c>
      <c r="H19" s="7">
        <f>14+5+7+5+5+16+10+9+5+7+15+6+5+5+5+44+20+23+8+43+8+6+11+14</f>
        <v>296</v>
      </c>
      <c r="I19" s="7">
        <f>1+1+2+2+3+2+1+1+2+1+4+1+3+3+2+1+4+3+2+2+3+2+3+3+4+2+3+2+2+2+2+1+3+2+3+3+2+3+2+3+3+3+4+3+3+3+1+4+4+4+2+4+1+1</f>
        <v>131</v>
      </c>
      <c r="J19" s="9">
        <f t="shared" si="2"/>
        <v>0.7006944444444444</v>
      </c>
      <c r="K19" s="28">
        <v>0</v>
      </c>
      <c r="L19" s="28">
        <f>2+4+3+2+5+2+3+3+3+3+4+21+4</f>
        <v>59</v>
      </c>
      <c r="M19" s="9">
        <f t="shared" si="3"/>
        <v>0.65277777777777779</v>
      </c>
      <c r="N19" s="7">
        <v>17000</v>
      </c>
      <c r="O19" s="15">
        <f>AVERAGE(1700,17000,17000,15000,17000,17000,17000,18000,18000,18000,18000,18000,18000,18000,18000,18000,18000,18000,18000)</f>
        <v>16721.052631578947</v>
      </c>
      <c r="P19" s="9">
        <f t="shared" si="4"/>
        <v>0.98359133126934983</v>
      </c>
      <c r="Q19" s="15">
        <v>9446</v>
      </c>
      <c r="R19" s="7">
        <f>45+10</f>
        <v>55</v>
      </c>
      <c r="S19" s="47">
        <v>29.21</v>
      </c>
      <c r="T19" s="5">
        <v>45749.78125</v>
      </c>
      <c r="U19" s="10">
        <f t="shared" si="5"/>
        <v>7.78125</v>
      </c>
      <c r="V19" s="9">
        <f t="shared" si="6"/>
        <v>0.9910851153927589</v>
      </c>
      <c r="W19" s="11">
        <f t="shared" si="7"/>
        <v>0.68305286986309344</v>
      </c>
      <c r="X19" s="11">
        <f t="shared" si="8"/>
        <v>0.63634261414401172</v>
      </c>
    </row>
    <row r="20" spans="1:24">
      <c r="A20" s="29" t="s">
        <v>49</v>
      </c>
      <c r="B20" s="5">
        <v>45742.006944444445</v>
      </c>
      <c r="C20" s="5">
        <v>45743</v>
      </c>
      <c r="D20" s="6">
        <f t="shared" si="9"/>
        <v>1429.9999999988358</v>
      </c>
      <c r="E20" s="7">
        <v>10</v>
      </c>
      <c r="F20" s="7">
        <f>14+35</f>
        <v>49</v>
      </c>
      <c r="G20" s="8">
        <f t="shared" si="10"/>
        <v>39</v>
      </c>
      <c r="H20" s="7">
        <f>38+50+7+7+6+9+35+5+15+6+5+10+8+16+10+45+5+6+12+5</f>
        <v>300</v>
      </c>
      <c r="I20" s="7">
        <f>2+3+1+1+2+2+3+1+4+2+1+3+3+4+2+4+1+3+3+1+3+3+1+1+3+2+2+2+4+4+2+2+2+2+1+1+4+2+1+3</f>
        <v>91</v>
      </c>
      <c r="J20" s="9">
        <f t="shared" si="2"/>
        <v>0.69930069930045446</v>
      </c>
      <c r="K20" s="28">
        <v>0</v>
      </c>
      <c r="L20" s="28">
        <f>2+3+4+3+20+5</f>
        <v>37</v>
      </c>
      <c r="M20" s="9">
        <f t="shared" si="3"/>
        <v>0.66643356643329488</v>
      </c>
      <c r="N20" s="7">
        <v>17000</v>
      </c>
      <c r="O20" s="15">
        <f>AVERAGE(18000,18000,18000,17000,18000,18000,17000,17000,17000,17000,17000,17000,17000,17000,17000,17000,17000,18000,18000,18000,17000,17000)</f>
        <v>17363.636363636364</v>
      </c>
      <c r="P20" s="9">
        <f t="shared" si="4"/>
        <v>1.0213903743315509</v>
      </c>
      <c r="Q20" s="15">
        <v>8929</v>
      </c>
      <c r="R20" s="7">
        <f>9+16</f>
        <v>25</v>
      </c>
      <c r="S20" s="7"/>
      <c r="T20" s="5"/>
      <c r="U20" s="10" t="str">
        <f t="shared" si="5"/>
        <v/>
      </c>
      <c r="V20" s="9">
        <f t="shared" si="6"/>
        <v>0.99720013439354915</v>
      </c>
      <c r="W20" s="11">
        <f t="shared" si="7"/>
        <v>0.71225917381212822</v>
      </c>
      <c r="X20" s="11">
        <f t="shared" si="8"/>
        <v>0.6787829926429193</v>
      </c>
    </row>
    <row r="21" spans="1:24">
      <c r="A21" s="29" t="s">
        <v>59</v>
      </c>
      <c r="B21" s="5">
        <v>45743.006249999999</v>
      </c>
      <c r="C21" s="5">
        <v>45744.875</v>
      </c>
      <c r="D21" s="6">
        <f t="shared" si="9"/>
        <v>2691.0000000020955</v>
      </c>
      <c r="E21" s="7">
        <v>0</v>
      </c>
      <c r="F21" s="7">
        <v>0</v>
      </c>
      <c r="G21" s="8">
        <f>IF(E21="","",F21-E21)</f>
        <v>0</v>
      </c>
      <c r="H21" s="7">
        <f>9+10+17+9+8+11+7+28+12+5+6+21+9</f>
        <v>152</v>
      </c>
      <c r="I21" s="7">
        <f>3+1+3+3+2+2+4+1+4+3+2+3+1+4+3+2+4+2+3+2+1+2+2+2+6+2+7+4+1+2+3+2+2+3+2+4+4</f>
        <v>101</v>
      </c>
      <c r="J21" s="9">
        <f t="shared" si="2"/>
        <v>0.90598290598297915</v>
      </c>
      <c r="K21" s="28">
        <v>0</v>
      </c>
      <c r="L21" s="28">
        <f>2+5+40+4+4+2+11+4+2+6+4+1+22+15+9</f>
        <v>131</v>
      </c>
      <c r="M21" s="9">
        <f t="shared" si="3"/>
        <v>0.85730211817179447</v>
      </c>
      <c r="N21" s="7">
        <v>17000</v>
      </c>
      <c r="O21" s="15">
        <f>AVERAGE(17000,11000,17000,17000,11000,17000,16000,17000,17000,17000,17000,17000,16000,16800,17500,18000,18000)</f>
        <v>16311.764705882353</v>
      </c>
      <c r="P21" s="9">
        <f t="shared" si="4"/>
        <v>0.9595155709342561</v>
      </c>
      <c r="Q21" s="15">
        <v>8119</v>
      </c>
      <c r="R21" s="7">
        <v>14</v>
      </c>
      <c r="S21" s="7"/>
      <c r="T21" s="5"/>
      <c r="U21" s="10" t="str">
        <f t="shared" si="5"/>
        <v/>
      </c>
      <c r="V21" s="9">
        <f t="shared" si="6"/>
        <v>0.99827564971055549</v>
      </c>
      <c r="W21" s="11">
        <f t="shared" si="7"/>
        <v>0.8678057194707508</v>
      </c>
      <c r="X21" s="11">
        <f t="shared" si="8"/>
        <v>0.8211762899176045</v>
      </c>
    </row>
    <row r="22" spans="1:24">
      <c r="A22" s="29" t="s">
        <v>72</v>
      </c>
      <c r="B22" s="5">
        <v>45744</v>
      </c>
      <c r="C22" s="5">
        <v>45744.329861111109</v>
      </c>
      <c r="D22" s="6">
        <f t="shared" ref="D22:D37" si="11">IF(B22="","",(C22-B22)*24*60)</f>
        <v>474.99999999767169</v>
      </c>
      <c r="E22" s="7">
        <v>100</v>
      </c>
      <c r="F22" s="7">
        <v>90</v>
      </c>
      <c r="G22" s="8">
        <f>IF(E22="","",F22-E22)</f>
        <v>-10</v>
      </c>
      <c r="H22" s="7">
        <f>5+57+60+9+5+5</f>
        <v>141</v>
      </c>
      <c r="I22" s="7">
        <f>3+4+3+1+3+1+3+3+3+1+4+2+4+2+3+1</f>
        <v>41</v>
      </c>
      <c r="J22" s="9">
        <f t="shared" ref="J22:J37" si="12">IF(B22="","",(D22-G22-H22-I22)/D22)</f>
        <v>0.63789473684033038</v>
      </c>
      <c r="K22" s="28">
        <v>0</v>
      </c>
      <c r="L22" s="28">
        <f>3+3+3+3+30</f>
        <v>42</v>
      </c>
      <c r="M22" s="9">
        <f t="shared" si="3"/>
        <v>0.33894736841781237</v>
      </c>
      <c r="N22" s="7">
        <v>17000</v>
      </c>
      <c r="O22" s="15">
        <f>AVERAGE(17000,17000,13000,17000,17000,17000)</f>
        <v>16333.333333333334</v>
      </c>
      <c r="P22" s="9">
        <f t="shared" si="4"/>
        <v>0.96078431372549022</v>
      </c>
      <c r="Q22" s="15">
        <v>2568</v>
      </c>
      <c r="R22" s="7">
        <v>4</v>
      </c>
      <c r="S22" s="7"/>
      <c r="T22" s="5"/>
      <c r="U22" s="10" t="str">
        <f t="shared" si="5"/>
        <v/>
      </c>
      <c r="V22" s="9">
        <f t="shared" si="6"/>
        <v>0.99844236760124616</v>
      </c>
      <c r="W22" s="11">
        <f t="shared" si="7"/>
        <v>0.6119246163770673</v>
      </c>
      <c r="X22" s="11">
        <f t="shared" si="8"/>
        <v>0.32514806348528097</v>
      </c>
    </row>
    <row r="23" spans="1:24" ht="15" thickBot="1">
      <c r="A23" s="29" t="s">
        <v>49</v>
      </c>
      <c r="B23" s="5">
        <v>45747.080555555556</v>
      </c>
      <c r="C23" s="5">
        <v>45748</v>
      </c>
      <c r="D23" s="6">
        <f t="shared" si="11"/>
        <v>1323.9999999990687</v>
      </c>
      <c r="E23" s="7">
        <v>10</v>
      </c>
      <c r="F23" s="7">
        <f>10+2+13</f>
        <v>25</v>
      </c>
      <c r="G23" s="8">
        <f t="shared" ref="G23:G37" si="13">IF(E23="","",F23-E23)</f>
        <v>15</v>
      </c>
      <c r="H23" s="7">
        <f>6+5+60+60+60+10+34</f>
        <v>235</v>
      </c>
      <c r="I23" s="7">
        <f>4+2+4+2+3+4+1+4+4+2+1+3+4+3+1+1+2+3+4+4+2+4+4+3+2+4+2+3+2+1+3+1+2+2+2+2+2+4+1+1+3+2+3+3</f>
        <v>114</v>
      </c>
      <c r="J23" s="9">
        <f t="shared" si="12"/>
        <v>0.72507552870071301</v>
      </c>
      <c r="K23" s="28">
        <f>40</f>
        <v>40</v>
      </c>
      <c r="L23" s="28">
        <f>33+25+50+10+17+3+5+7</f>
        <v>150</v>
      </c>
      <c r="M23" s="9">
        <f t="shared" si="3"/>
        <v>0.57401812688791787</v>
      </c>
      <c r="N23" s="7">
        <v>17000</v>
      </c>
      <c r="O23" s="15">
        <f>AVERAGE(17000,17000,17000,17000,17000,17000,17000,17000,17000,17000,17000)</f>
        <v>17000</v>
      </c>
      <c r="P23" s="9">
        <f t="shared" si="4"/>
        <v>1</v>
      </c>
      <c r="Q23" s="15">
        <v>6411</v>
      </c>
      <c r="R23" s="7">
        <f>16+5</f>
        <v>21</v>
      </c>
      <c r="S23" s="7">
        <f>140+46</f>
        <v>186</v>
      </c>
      <c r="T23" s="5">
        <v>45749.78125</v>
      </c>
      <c r="U23" s="10">
        <f t="shared" si="5"/>
        <v>1.78125</v>
      </c>
      <c r="V23" s="9">
        <f t="shared" si="6"/>
        <v>0.9967243799719232</v>
      </c>
      <c r="W23" s="11">
        <f t="shared" si="7"/>
        <v>0.72270045677703254</v>
      </c>
      <c r="X23" s="11">
        <f t="shared" si="8"/>
        <v>0.57213786161500468</v>
      </c>
    </row>
    <row r="24" spans="1:24" ht="15" hidden="1" thickBot="1">
      <c r="A24" s="29"/>
      <c r="B24" s="5"/>
      <c r="C24" s="5"/>
      <c r="D24" s="6" t="str">
        <f t="shared" si="11"/>
        <v/>
      </c>
      <c r="E24" s="7"/>
      <c r="F24" s="7"/>
      <c r="G24" s="8" t="str">
        <f t="shared" si="13"/>
        <v/>
      </c>
      <c r="H24" s="7"/>
      <c r="I24" s="7"/>
      <c r="J24" s="9" t="str">
        <f t="shared" si="12"/>
        <v/>
      </c>
      <c r="K24" s="28"/>
      <c r="L24" s="28"/>
      <c r="M24" s="9" t="str">
        <f t="shared" si="3"/>
        <v/>
      </c>
      <c r="N24" s="7"/>
      <c r="O24" s="15"/>
      <c r="P24" s="9" t="str">
        <f t="shared" si="4"/>
        <v/>
      </c>
      <c r="Q24" s="7"/>
      <c r="R24" s="7"/>
      <c r="S24" s="7"/>
      <c r="T24" s="5"/>
      <c r="U24" s="10" t="str">
        <f t="shared" si="5"/>
        <v/>
      </c>
      <c r="V24" s="9" t="str">
        <f t="shared" si="6"/>
        <v/>
      </c>
      <c r="W24" s="11" t="str">
        <f t="shared" si="7"/>
        <v/>
      </c>
      <c r="X24" s="11" t="str">
        <f t="shared" si="8"/>
        <v/>
      </c>
    </row>
    <row r="25" spans="1:24" ht="15" hidden="1" thickBot="1">
      <c r="A25" s="29"/>
      <c r="B25" s="5"/>
      <c r="C25" s="5"/>
      <c r="D25" s="6" t="str">
        <f t="shared" si="11"/>
        <v/>
      </c>
      <c r="E25" s="7"/>
      <c r="F25" s="7"/>
      <c r="G25" s="8" t="str">
        <f t="shared" si="13"/>
        <v/>
      </c>
      <c r="H25" s="7"/>
      <c r="I25" s="7"/>
      <c r="J25" s="9" t="str">
        <f t="shared" si="12"/>
        <v/>
      </c>
      <c r="K25" s="28"/>
      <c r="L25" s="28"/>
      <c r="M25" s="9" t="str">
        <f t="shared" si="3"/>
        <v/>
      </c>
      <c r="N25" s="7"/>
      <c r="O25" s="15"/>
      <c r="P25" s="9" t="str">
        <f t="shared" si="4"/>
        <v/>
      </c>
      <c r="Q25" s="7"/>
      <c r="R25" s="7"/>
      <c r="S25" s="7"/>
      <c r="T25" s="5"/>
      <c r="U25" s="10" t="str">
        <f t="shared" si="5"/>
        <v/>
      </c>
      <c r="V25" s="9" t="str">
        <f t="shared" si="6"/>
        <v/>
      </c>
      <c r="W25" s="11" t="str">
        <f t="shared" si="7"/>
        <v/>
      </c>
      <c r="X25" s="11" t="str">
        <f t="shared" si="8"/>
        <v/>
      </c>
    </row>
    <row r="26" spans="1:24" ht="15" hidden="1" thickBot="1">
      <c r="A26" s="29"/>
      <c r="B26" s="5"/>
      <c r="C26" s="5"/>
      <c r="D26" s="6" t="str">
        <f t="shared" si="11"/>
        <v/>
      </c>
      <c r="E26" s="7"/>
      <c r="F26" s="7"/>
      <c r="G26" s="8" t="str">
        <f t="shared" si="13"/>
        <v/>
      </c>
      <c r="H26" s="7"/>
      <c r="I26" s="7"/>
      <c r="J26" s="9" t="str">
        <f t="shared" si="12"/>
        <v/>
      </c>
      <c r="K26" s="28"/>
      <c r="L26" s="28"/>
      <c r="M26" s="9" t="str">
        <f t="shared" si="3"/>
        <v/>
      </c>
      <c r="N26" s="7"/>
      <c r="O26" s="15"/>
      <c r="P26" s="9" t="str">
        <f t="shared" si="4"/>
        <v/>
      </c>
      <c r="Q26" s="7"/>
      <c r="R26" s="7"/>
      <c r="S26" s="7"/>
      <c r="T26" s="5"/>
      <c r="U26" s="10" t="str">
        <f t="shared" si="5"/>
        <v/>
      </c>
      <c r="V26" s="9" t="str">
        <f t="shared" si="6"/>
        <v/>
      </c>
      <c r="W26" s="11" t="str">
        <f t="shared" si="7"/>
        <v/>
      </c>
      <c r="X26" s="11" t="str">
        <f t="shared" si="8"/>
        <v/>
      </c>
    </row>
    <row r="27" spans="1:24" ht="15" hidden="1" thickBot="1">
      <c r="A27" s="29"/>
      <c r="B27" s="5"/>
      <c r="C27" s="5"/>
      <c r="D27" s="6" t="str">
        <f t="shared" si="11"/>
        <v/>
      </c>
      <c r="E27" s="7"/>
      <c r="F27" s="7"/>
      <c r="G27" s="8" t="str">
        <f t="shared" si="13"/>
        <v/>
      </c>
      <c r="H27" s="7"/>
      <c r="I27" s="7"/>
      <c r="J27" s="9" t="str">
        <f t="shared" si="12"/>
        <v/>
      </c>
      <c r="K27" s="28"/>
      <c r="L27" s="28"/>
      <c r="M27" s="9" t="str">
        <f t="shared" si="3"/>
        <v/>
      </c>
      <c r="N27" s="7"/>
      <c r="O27" s="15"/>
      <c r="P27" s="9" t="str">
        <f t="shared" si="4"/>
        <v/>
      </c>
      <c r="Q27" s="7"/>
      <c r="R27" s="7"/>
      <c r="S27" s="7"/>
      <c r="T27" s="5"/>
      <c r="U27" s="10" t="str">
        <f t="shared" si="5"/>
        <v/>
      </c>
      <c r="V27" s="9" t="str">
        <f t="shared" si="6"/>
        <v/>
      </c>
      <c r="W27" s="11" t="str">
        <f t="shared" si="7"/>
        <v/>
      </c>
      <c r="X27" s="11" t="str">
        <f t="shared" si="8"/>
        <v/>
      </c>
    </row>
    <row r="28" spans="1:24" ht="15" hidden="1" thickBot="1">
      <c r="A28" s="29"/>
      <c r="B28" s="5"/>
      <c r="C28" s="5"/>
      <c r="D28" s="6" t="str">
        <f t="shared" si="11"/>
        <v/>
      </c>
      <c r="E28" s="7"/>
      <c r="F28" s="7"/>
      <c r="G28" s="8" t="str">
        <f t="shared" si="13"/>
        <v/>
      </c>
      <c r="H28" s="7"/>
      <c r="I28" s="7"/>
      <c r="J28" s="9" t="str">
        <f t="shared" si="12"/>
        <v/>
      </c>
      <c r="K28" s="28"/>
      <c r="L28" s="28"/>
      <c r="M28" s="9" t="str">
        <f t="shared" si="3"/>
        <v/>
      </c>
      <c r="N28" s="7"/>
      <c r="O28" s="15"/>
      <c r="P28" s="9" t="str">
        <f t="shared" si="4"/>
        <v/>
      </c>
      <c r="Q28" s="15"/>
      <c r="R28" s="7"/>
      <c r="S28" s="7"/>
      <c r="T28" s="5"/>
      <c r="U28" s="10" t="str">
        <f t="shared" si="5"/>
        <v/>
      </c>
      <c r="V28" s="9" t="str">
        <f t="shared" si="6"/>
        <v/>
      </c>
      <c r="W28" s="11" t="str">
        <f t="shared" si="7"/>
        <v/>
      </c>
      <c r="X28" s="11" t="str">
        <f t="shared" si="8"/>
        <v/>
      </c>
    </row>
    <row r="29" spans="1:24" ht="15" hidden="1" thickBot="1">
      <c r="A29" s="29"/>
      <c r="B29" s="5"/>
      <c r="C29" s="5"/>
      <c r="D29" s="6" t="str">
        <f t="shared" si="11"/>
        <v/>
      </c>
      <c r="E29" s="7"/>
      <c r="F29" s="7"/>
      <c r="G29" s="8" t="str">
        <f t="shared" si="13"/>
        <v/>
      </c>
      <c r="H29" s="7"/>
      <c r="I29" s="7"/>
      <c r="J29" s="9" t="str">
        <f t="shared" si="12"/>
        <v/>
      </c>
      <c r="K29" s="28"/>
      <c r="L29" s="28"/>
      <c r="M29" s="9" t="str">
        <f t="shared" si="3"/>
        <v/>
      </c>
      <c r="N29" s="7"/>
      <c r="O29" s="7"/>
      <c r="P29" s="9" t="str">
        <f t="shared" si="4"/>
        <v/>
      </c>
      <c r="Q29" s="7"/>
      <c r="R29" s="7"/>
      <c r="S29" s="7"/>
      <c r="T29" s="5"/>
      <c r="U29" s="10" t="str">
        <f t="shared" si="5"/>
        <v/>
      </c>
      <c r="V29" s="9" t="str">
        <f t="shared" si="6"/>
        <v/>
      </c>
      <c r="W29" s="11" t="str">
        <f t="shared" si="7"/>
        <v/>
      </c>
      <c r="X29" s="11" t="str">
        <f t="shared" si="8"/>
        <v/>
      </c>
    </row>
    <row r="30" spans="1:24" ht="15" hidden="1" thickBot="1">
      <c r="A30" s="29"/>
      <c r="B30" s="5"/>
      <c r="C30" s="5"/>
      <c r="D30" s="6" t="str">
        <f t="shared" si="11"/>
        <v/>
      </c>
      <c r="E30" s="7"/>
      <c r="F30" s="7"/>
      <c r="G30" s="8" t="str">
        <f t="shared" si="13"/>
        <v/>
      </c>
      <c r="H30" s="7"/>
      <c r="I30" s="7"/>
      <c r="J30" s="9" t="str">
        <f t="shared" si="12"/>
        <v/>
      </c>
      <c r="K30" s="28"/>
      <c r="L30" s="28"/>
      <c r="M30" s="9" t="str">
        <f t="shared" si="3"/>
        <v/>
      </c>
      <c r="N30" s="7"/>
      <c r="O30" s="15"/>
      <c r="P30" s="9" t="str">
        <f t="shared" si="4"/>
        <v/>
      </c>
      <c r="Q30" s="15"/>
      <c r="R30" s="7"/>
      <c r="S30" s="7"/>
      <c r="T30" s="5"/>
      <c r="U30" s="10" t="str">
        <f t="shared" si="5"/>
        <v/>
      </c>
      <c r="V30" s="9" t="str">
        <f t="shared" si="6"/>
        <v/>
      </c>
      <c r="W30" s="11" t="str">
        <f t="shared" si="7"/>
        <v/>
      </c>
      <c r="X30" s="11" t="str">
        <f t="shared" si="8"/>
        <v/>
      </c>
    </row>
    <row r="31" spans="1:24" ht="15" hidden="1" thickBot="1">
      <c r="A31" s="29"/>
      <c r="B31" s="5"/>
      <c r="C31" s="5"/>
      <c r="D31" s="6" t="str">
        <f t="shared" si="11"/>
        <v/>
      </c>
      <c r="E31" s="7"/>
      <c r="F31" s="7"/>
      <c r="G31" s="8" t="str">
        <f t="shared" si="13"/>
        <v/>
      </c>
      <c r="H31" s="7"/>
      <c r="I31" s="7"/>
      <c r="J31" s="9" t="str">
        <f t="shared" si="12"/>
        <v/>
      </c>
      <c r="K31" s="28"/>
      <c r="L31" s="28"/>
      <c r="M31" s="9" t="str">
        <f t="shared" si="3"/>
        <v/>
      </c>
      <c r="N31" s="7"/>
      <c r="O31" s="15"/>
      <c r="P31" s="9" t="str">
        <f t="shared" si="4"/>
        <v/>
      </c>
      <c r="Q31" s="15"/>
      <c r="R31" s="15"/>
      <c r="S31" s="7"/>
      <c r="T31" s="5"/>
      <c r="U31" s="10" t="str">
        <f t="shared" si="5"/>
        <v/>
      </c>
      <c r="V31" s="9" t="str">
        <f t="shared" si="6"/>
        <v/>
      </c>
      <c r="W31" s="11" t="str">
        <f t="shared" si="7"/>
        <v/>
      </c>
      <c r="X31" s="11" t="str">
        <f t="shared" si="8"/>
        <v/>
      </c>
    </row>
    <row r="32" spans="1:24" ht="15" hidden="1" thickBot="1">
      <c r="A32" s="29"/>
      <c r="B32" s="5"/>
      <c r="C32" s="5"/>
      <c r="D32" s="6" t="str">
        <f t="shared" si="11"/>
        <v/>
      </c>
      <c r="E32" s="7"/>
      <c r="F32" s="7"/>
      <c r="G32" s="8" t="str">
        <f t="shared" si="13"/>
        <v/>
      </c>
      <c r="H32" s="7"/>
      <c r="I32" s="7"/>
      <c r="J32" s="9" t="str">
        <f t="shared" si="12"/>
        <v/>
      </c>
      <c r="K32" s="28"/>
      <c r="L32" s="28"/>
      <c r="M32" s="9" t="str">
        <f t="shared" si="3"/>
        <v/>
      </c>
      <c r="N32" s="7"/>
      <c r="O32" s="15"/>
      <c r="P32" s="9" t="str">
        <f t="shared" si="4"/>
        <v/>
      </c>
      <c r="Q32" s="15"/>
      <c r="R32" s="7"/>
      <c r="S32" s="7"/>
      <c r="T32" s="5"/>
      <c r="U32" s="10" t="str">
        <f t="shared" si="5"/>
        <v/>
      </c>
      <c r="V32" s="9" t="str">
        <f t="shared" si="6"/>
        <v/>
      </c>
      <c r="W32" s="11" t="str">
        <f t="shared" si="7"/>
        <v/>
      </c>
      <c r="X32" s="11" t="str">
        <f t="shared" si="8"/>
        <v/>
      </c>
    </row>
    <row r="33" spans="1:24" ht="15" hidden="1" thickBot="1">
      <c r="A33" s="29"/>
      <c r="B33" s="5"/>
      <c r="C33" s="5"/>
      <c r="D33" s="6" t="str">
        <f t="shared" si="11"/>
        <v/>
      </c>
      <c r="E33" s="7"/>
      <c r="F33" s="7"/>
      <c r="G33" s="8" t="str">
        <f t="shared" si="13"/>
        <v/>
      </c>
      <c r="H33" s="7"/>
      <c r="I33" s="7"/>
      <c r="J33" s="9" t="str">
        <f t="shared" si="12"/>
        <v/>
      </c>
      <c r="K33" s="28"/>
      <c r="L33" s="28"/>
      <c r="M33" s="9" t="str">
        <f t="shared" si="3"/>
        <v/>
      </c>
      <c r="N33" s="7"/>
      <c r="O33" s="15"/>
      <c r="P33" s="9" t="str">
        <f t="shared" si="4"/>
        <v/>
      </c>
      <c r="Q33" s="15"/>
      <c r="R33" s="7"/>
      <c r="S33" s="7"/>
      <c r="T33" s="5"/>
      <c r="U33" s="10" t="str">
        <f t="shared" si="5"/>
        <v/>
      </c>
      <c r="V33" s="9" t="str">
        <f t="shared" si="6"/>
        <v/>
      </c>
      <c r="W33" s="11" t="str">
        <f t="shared" si="7"/>
        <v/>
      </c>
      <c r="X33" s="11" t="str">
        <f t="shared" si="8"/>
        <v/>
      </c>
    </row>
    <row r="34" spans="1:24" ht="15" hidden="1" thickBot="1">
      <c r="A34" s="29"/>
      <c r="B34" s="5"/>
      <c r="C34" s="5"/>
      <c r="D34" s="6" t="str">
        <f t="shared" si="11"/>
        <v/>
      </c>
      <c r="E34" s="7"/>
      <c r="F34" s="7"/>
      <c r="G34" s="8" t="str">
        <f t="shared" si="13"/>
        <v/>
      </c>
      <c r="H34" s="7"/>
      <c r="I34" s="7"/>
      <c r="J34" s="9" t="str">
        <f t="shared" si="12"/>
        <v/>
      </c>
      <c r="K34" s="28"/>
      <c r="L34" s="28"/>
      <c r="M34" s="9" t="str">
        <f t="shared" si="3"/>
        <v/>
      </c>
      <c r="N34" s="7"/>
      <c r="O34" s="15"/>
      <c r="P34" s="9" t="str">
        <f t="shared" si="4"/>
        <v/>
      </c>
      <c r="Q34" s="15"/>
      <c r="R34" s="7"/>
      <c r="S34" s="7"/>
      <c r="T34" s="5"/>
      <c r="U34" s="10" t="str">
        <f t="shared" si="5"/>
        <v/>
      </c>
      <c r="V34" s="9" t="str">
        <f t="shared" si="6"/>
        <v/>
      </c>
      <c r="W34" s="11" t="str">
        <f t="shared" si="7"/>
        <v/>
      </c>
      <c r="X34" s="11" t="str">
        <f t="shared" si="8"/>
        <v/>
      </c>
    </row>
    <row r="35" spans="1:24" ht="15" hidden="1" thickBot="1">
      <c r="A35" s="29"/>
      <c r="B35" s="5"/>
      <c r="C35" s="5"/>
      <c r="D35" s="6" t="str">
        <f t="shared" si="11"/>
        <v/>
      </c>
      <c r="E35" s="7"/>
      <c r="F35" s="7"/>
      <c r="G35" s="8" t="str">
        <f t="shared" si="13"/>
        <v/>
      </c>
      <c r="H35" s="7"/>
      <c r="I35" s="7"/>
      <c r="J35" s="9" t="str">
        <f t="shared" si="12"/>
        <v/>
      </c>
      <c r="K35" s="28"/>
      <c r="L35" s="28"/>
      <c r="M35" s="9" t="str">
        <f t="shared" si="3"/>
        <v/>
      </c>
      <c r="N35" s="7"/>
      <c r="O35" s="15"/>
      <c r="P35" s="9" t="str">
        <f t="shared" si="4"/>
        <v/>
      </c>
      <c r="Q35" s="15"/>
      <c r="R35" s="7"/>
      <c r="S35" s="7"/>
      <c r="T35" s="5"/>
      <c r="U35" s="10" t="str">
        <f t="shared" si="5"/>
        <v/>
      </c>
      <c r="V35" s="9" t="str">
        <f t="shared" si="6"/>
        <v/>
      </c>
      <c r="W35" s="11" t="str">
        <f t="shared" si="7"/>
        <v/>
      </c>
      <c r="X35" s="11" t="str">
        <f t="shared" si="8"/>
        <v/>
      </c>
    </row>
    <row r="36" spans="1:24" ht="15" hidden="1" thickBot="1">
      <c r="A36" s="29"/>
      <c r="B36" s="5"/>
      <c r="C36" s="5"/>
      <c r="D36" s="6" t="str">
        <f t="shared" si="11"/>
        <v/>
      </c>
      <c r="E36" s="7"/>
      <c r="F36" s="7"/>
      <c r="G36" s="8" t="str">
        <f t="shared" si="13"/>
        <v/>
      </c>
      <c r="H36" s="7"/>
      <c r="I36" s="7"/>
      <c r="J36" s="9" t="str">
        <f t="shared" si="12"/>
        <v/>
      </c>
      <c r="K36" s="28"/>
      <c r="L36" s="28"/>
      <c r="M36" s="9" t="str">
        <f t="shared" si="3"/>
        <v/>
      </c>
      <c r="N36" s="7"/>
      <c r="O36" s="15"/>
      <c r="P36" s="9" t="str">
        <f t="shared" si="4"/>
        <v/>
      </c>
      <c r="Q36" s="15"/>
      <c r="R36" s="7"/>
      <c r="S36" s="7"/>
      <c r="T36" s="5"/>
      <c r="U36" s="10" t="str">
        <f t="shared" si="5"/>
        <v/>
      </c>
      <c r="V36" s="9" t="str">
        <f t="shared" si="6"/>
        <v/>
      </c>
      <c r="W36" s="11" t="str">
        <f t="shared" si="7"/>
        <v/>
      </c>
      <c r="X36" s="11" t="str">
        <f t="shared" si="8"/>
        <v/>
      </c>
    </row>
    <row r="37" spans="1:24" ht="15" hidden="1" thickBot="1">
      <c r="A37" s="29"/>
      <c r="B37" s="5"/>
      <c r="C37" s="5"/>
      <c r="D37" s="6" t="str">
        <f t="shared" si="11"/>
        <v/>
      </c>
      <c r="E37" s="7"/>
      <c r="F37" s="7"/>
      <c r="G37" s="8" t="str">
        <f t="shared" si="13"/>
        <v/>
      </c>
      <c r="H37" s="7"/>
      <c r="I37" s="7"/>
      <c r="J37" s="9" t="str">
        <f t="shared" si="12"/>
        <v/>
      </c>
      <c r="K37" s="28"/>
      <c r="L37" s="28"/>
      <c r="M37" s="9" t="str">
        <f t="shared" si="3"/>
        <v/>
      </c>
      <c r="N37" s="7"/>
      <c r="O37" s="15"/>
      <c r="P37" s="9" t="str">
        <f t="shared" si="4"/>
        <v/>
      </c>
      <c r="Q37" s="7"/>
      <c r="R37" s="7"/>
      <c r="S37" s="7"/>
      <c r="T37" s="5"/>
      <c r="U37" s="10" t="str">
        <f t="shared" si="5"/>
        <v/>
      </c>
      <c r="V37" s="9" t="str">
        <f t="shared" si="6"/>
        <v/>
      </c>
      <c r="W37" s="11" t="str">
        <f t="shared" si="7"/>
        <v/>
      </c>
      <c r="X37" s="11" t="str">
        <f t="shared" si="8"/>
        <v/>
      </c>
    </row>
    <row r="38" spans="1:24" s="43" customFormat="1" ht="18.600000000000001" thickBot="1">
      <c r="A38" s="31"/>
      <c r="B38" s="32" t="s">
        <v>42</v>
      </c>
      <c r="C38" s="32"/>
      <c r="D38" s="33">
        <f>SUM(D3:D37)</f>
        <v>26173.999999989755</v>
      </c>
      <c r="E38" s="33">
        <f>SUM(E3:E37)</f>
        <v>717</v>
      </c>
      <c r="F38" s="33">
        <f>SUM(F3:F37)</f>
        <v>1081</v>
      </c>
      <c r="G38" s="33">
        <f>SUM(G3:G37)</f>
        <v>364</v>
      </c>
      <c r="H38" s="33">
        <f>SUM(H2:H37)</f>
        <v>5224</v>
      </c>
      <c r="I38" s="33">
        <f>SUM(I3:I37)</f>
        <v>1256</v>
      </c>
      <c r="J38" s="34">
        <f>(D38-G38-H38-I38)/D38</f>
        <v>0.73851914113231909</v>
      </c>
      <c r="K38" s="35">
        <f>SUM(K3:K37)</f>
        <v>40</v>
      </c>
      <c r="L38" s="35">
        <f>SUM(L3:L37)</f>
        <v>1876</v>
      </c>
      <c r="M38" s="36">
        <f>(D38-G38-H38-I38-E38-K38-L38)/D38</f>
        <v>0.6379231298233472</v>
      </c>
      <c r="N38" s="37">
        <f>AVERAGE(N3:N37)</f>
        <v>17000</v>
      </c>
      <c r="O38" s="38">
        <f>AVERAGE(O3:O37)</f>
        <v>16228.693784797277</v>
      </c>
      <c r="P38" s="34">
        <f>O38/N38</f>
        <v>0.95462904616454569</v>
      </c>
      <c r="Q38" s="37">
        <f>SUM(Q3:Q35)</f>
        <v>105259</v>
      </c>
      <c r="R38" s="37"/>
      <c r="S38" s="32"/>
      <c r="T38" s="32"/>
      <c r="U38" s="39"/>
      <c r="V38" s="40">
        <f>AVERAGE(V3:V37)</f>
        <v>0.98244895975313051</v>
      </c>
      <c r="W38" s="41">
        <f>V38*P38*J38</f>
        <v>0.69263813238861494</v>
      </c>
      <c r="X38" s="42">
        <f>V38*P38*M38</f>
        <v>0.59829171735601328</v>
      </c>
    </row>
    <row r="39" spans="1:24" ht="28.9">
      <c r="Q39" s="67"/>
      <c r="R39" s="67"/>
      <c r="S39" s="44"/>
      <c r="T39" s="45"/>
      <c r="U39" s="22"/>
      <c r="X39" s="16">
        <f>AVERAGE('January 2025 (w Utilization)'!X38,'February 2025 (w Utilization) '!X38,'March 2025 (w Utilization'!X38)</f>
        <v>0.60057709441179641</v>
      </c>
    </row>
    <row r="40" spans="1:24" ht="28.9">
      <c r="Q40" s="22"/>
      <c r="R40" s="22"/>
      <c r="S40" s="22"/>
      <c r="T40" s="22"/>
      <c r="U40" s="22"/>
    </row>
    <row r="41" spans="1:24" ht="28.9">
      <c r="P41">
        <f>AVERAGE(X38,'February 2025 (w Utilization) '!X38,'January 2025 (w Utilization)'!X38)*100</f>
        <v>60.057709441179639</v>
      </c>
      <c r="Q41" s="22"/>
      <c r="R41" s="69"/>
      <c r="S41" s="69"/>
      <c r="T41" s="46"/>
      <c r="U41" s="22"/>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53" t="s">
        <v>44</v>
      </c>
      <c r="E46" s="53" t="s">
        <v>45</v>
      </c>
    </row>
    <row r="47" spans="1:24">
      <c r="C47" s="4" t="s">
        <v>46</v>
      </c>
      <c r="D47" s="54">
        <f>W38</f>
        <v>0.69263813238861494</v>
      </c>
      <c r="E47" s="55">
        <f t="shared" ref="E47:E52" si="14">100%-D47</f>
        <v>0.30736186761138506</v>
      </c>
    </row>
    <row r="48" spans="1:24">
      <c r="C48" s="4" t="s">
        <v>47</v>
      </c>
      <c r="D48" s="54">
        <f>X38</f>
        <v>0.59829171735601328</v>
      </c>
      <c r="E48" s="55">
        <f t="shared" si="14"/>
        <v>0.40170828264398672</v>
      </c>
    </row>
    <row r="49" spans="3:5">
      <c r="C49" s="4" t="s">
        <v>11</v>
      </c>
      <c r="D49" s="54">
        <f>J38</f>
        <v>0.73851914113231909</v>
      </c>
      <c r="E49" s="55">
        <f t="shared" si="14"/>
        <v>0.26148085886768091</v>
      </c>
    </row>
    <row r="50" spans="3:5">
      <c r="C50" s="4" t="s">
        <v>14</v>
      </c>
      <c r="D50" s="54">
        <f>M38</f>
        <v>0.6379231298233472</v>
      </c>
      <c r="E50" s="55">
        <f t="shared" si="14"/>
        <v>0.3620768701766528</v>
      </c>
    </row>
    <row r="51" spans="3:5">
      <c r="C51" s="4" t="s">
        <v>17</v>
      </c>
      <c r="D51" s="54">
        <f>P38</f>
        <v>0.95462904616454569</v>
      </c>
      <c r="E51" s="55">
        <f t="shared" si="14"/>
        <v>4.5370953835454308E-2</v>
      </c>
    </row>
    <row r="52" spans="3:5">
      <c r="C52" s="4" t="str">
        <f>V2</f>
        <v>Quality</v>
      </c>
      <c r="D52" s="54">
        <f>V38</f>
        <v>0.98244895975313051</v>
      </c>
      <c r="E52" s="55">
        <f t="shared" si="14"/>
        <v>1.7551040246869487E-2</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A2D4-9E07-41C6-B8A8-DDCB37D71C1C}">
  <sheetPr>
    <pageSetUpPr fitToPage="1"/>
  </sheetPr>
  <dimension ref="A1:Y52"/>
  <sheetViews>
    <sheetView topLeftCell="G15" zoomScale="50" zoomScaleNormal="50" workbookViewId="0">
      <selection activeCell="F43" sqref="F43"/>
    </sheetView>
  </sheetViews>
  <sheetFormatPr defaultRowHeight="15" customHeight="1"/>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ht="14.45">
      <c r="A3" s="27" t="s">
        <v>53</v>
      </c>
      <c r="B3" s="5">
        <v>45748</v>
      </c>
      <c r="C3" s="5">
        <v>45749</v>
      </c>
      <c r="D3" s="6">
        <f t="shared" ref="D3:D37" si="0">IF(B3="","",(C3-B3)*24*60)</f>
        <v>1440</v>
      </c>
      <c r="E3" s="7">
        <v>10</v>
      </c>
      <c r="F3" s="7">
        <v>12</v>
      </c>
      <c r="G3" s="8">
        <f t="shared" ref="G3:G37" si="1">IF(E3="","",F3-E3)</f>
        <v>2</v>
      </c>
      <c r="H3" s="7">
        <f>13+5+5+5+25+11+12+5+5+6+6+5+5+5</f>
        <v>113</v>
      </c>
      <c r="I3" s="7">
        <f>2+4+3+4+2+2+2+2+1+1+3+3+2+4+3+4+4+3+2+4+1+3+3+2+1+1+1+2+4+2+1+2+2+2+1+3+3+2+1+3+2+2+2+2+4+3+2+2+2</f>
        <v>116</v>
      </c>
      <c r="J3" s="9">
        <f t="shared" ref="J3:J37" si="2">IF(B3="","",(D3-G3-H3-I3)/D3)</f>
        <v>0.83958333333333335</v>
      </c>
      <c r="K3" s="28">
        <v>0</v>
      </c>
      <c r="L3" s="28">
        <f>5+5+2+1+3</f>
        <v>16</v>
      </c>
      <c r="M3" s="9">
        <f t="shared" ref="M3:M9" si="3">IF(A3="","",(C3-F3-G3-H3-J3-L3-D3)/C3)</f>
        <v>0.96537979882984692</v>
      </c>
      <c r="N3" s="7">
        <v>17000</v>
      </c>
      <c r="O3" s="15">
        <f>AVERAGE(17000,17000,17000,17000,17000,17000,17000,17000,17000,17000,17000,17000,17000,17500,17500,17500,17500)</f>
        <v>17117.647058823528</v>
      </c>
      <c r="P3" s="9">
        <f t="shared" ref="P3:P8" si="4">IF(A3="","",O3/N3)</f>
        <v>1.0069204152249134</v>
      </c>
      <c r="Q3" s="7">
        <v>9682</v>
      </c>
      <c r="R3" s="7">
        <f>6+4</f>
        <v>10</v>
      </c>
      <c r="S3" s="7">
        <v>26.6</v>
      </c>
      <c r="T3" s="5">
        <v>45748.638888888891</v>
      </c>
      <c r="U3" s="10">
        <f t="shared" ref="U3:U37" si="5">IF(S3="","",(T3-C3))</f>
        <v>-0.36111111110949423</v>
      </c>
      <c r="V3" s="9">
        <f t="shared" ref="V3:V37" si="6">IF(B3="","",IF(U3&lt;3,(Q3-R3)/Q3,(Q3-R3-S3)/Q3))</f>
        <v>0.99896715554637472</v>
      </c>
      <c r="W3" s="11">
        <f t="shared" ref="W3:W37" si="7">IF(B3="","",V3*P3*J3)</f>
        <v>0.8445204385264562</v>
      </c>
      <c r="X3" s="11">
        <f t="shared" ref="X3:X37" si="8">IF(B3="","",V3*P3*M3)</f>
        <v>0.97105664045939177</v>
      </c>
    </row>
    <row r="4" spans="1:24" ht="14.45">
      <c r="A4" s="27" t="s">
        <v>73</v>
      </c>
      <c r="B4" s="5">
        <v>45749</v>
      </c>
      <c r="C4" s="5">
        <v>45749.477777777778</v>
      </c>
      <c r="D4" s="6">
        <f t="shared" si="0"/>
        <v>688.00000000046566</v>
      </c>
      <c r="E4" s="7">
        <v>0</v>
      </c>
      <c r="F4" s="7">
        <v>0</v>
      </c>
      <c r="G4" s="8">
        <f t="shared" si="1"/>
        <v>0</v>
      </c>
      <c r="H4" s="7">
        <f>5+10+8+18+23+6+6+8+9+5+5</f>
        <v>103</v>
      </c>
      <c r="I4" s="7">
        <f>3+4+4+2+4+4+2+4+4+3+2+3+4+4+3+3+1+3+2+3+4+4+4+3+4</f>
        <v>81</v>
      </c>
      <c r="J4" s="9">
        <f t="shared" si="2"/>
        <v>0.73255813953506477</v>
      </c>
      <c r="K4" s="28">
        <v>0</v>
      </c>
      <c r="L4" s="28">
        <f>35</f>
        <v>35</v>
      </c>
      <c r="M4" s="9">
        <f t="shared" si="3"/>
        <v>0.98192913671811188</v>
      </c>
      <c r="N4" s="7">
        <v>17000</v>
      </c>
      <c r="O4" s="15">
        <f>AVERAGE(17000,17000,17000,17000,17000,17000,17000,17000,17000,17000,17000,17000)</f>
        <v>17000</v>
      </c>
      <c r="P4" s="9">
        <f t="shared" si="4"/>
        <v>1</v>
      </c>
      <c r="Q4" s="7">
        <v>3638</v>
      </c>
      <c r="R4" s="7">
        <f>8+3</f>
        <v>11</v>
      </c>
      <c r="S4" s="7"/>
      <c r="T4" s="5"/>
      <c r="U4" s="10" t="str">
        <f t="shared" si="5"/>
        <v/>
      </c>
      <c r="V4" s="9">
        <f t="shared" si="6"/>
        <v>0.996976360637713</v>
      </c>
      <c r="W4" s="11">
        <f t="shared" si="7"/>
        <v>0.73034314790920285</v>
      </c>
      <c r="X4" s="11">
        <f t="shared" si="8"/>
        <v>0.97896013712935448</v>
      </c>
    </row>
    <row r="5" spans="1:24" ht="14.45">
      <c r="A5" s="29" t="s">
        <v>74</v>
      </c>
      <c r="B5" s="5">
        <v>45750.704861111109</v>
      </c>
      <c r="C5" s="5">
        <v>45751</v>
      </c>
      <c r="D5" s="6">
        <f t="shared" si="0"/>
        <v>425.00000000232831</v>
      </c>
      <c r="E5" s="7">
        <v>0</v>
      </c>
      <c r="F5" s="7">
        <v>0</v>
      </c>
      <c r="G5" s="8">
        <f t="shared" si="1"/>
        <v>0</v>
      </c>
      <c r="H5" s="7">
        <f>7+5+5+5+8+20+18+13</f>
        <v>81</v>
      </c>
      <c r="I5" s="7">
        <f>3+4+4+4+3+2+3+2+3+4+2+3+4+3+2+2+3</f>
        <v>51</v>
      </c>
      <c r="J5" s="9">
        <f t="shared" si="2"/>
        <v>0.68941176470758392</v>
      </c>
      <c r="K5" s="28">
        <v>0</v>
      </c>
      <c r="L5" s="28">
        <f>6+4+3+5+2+10+2+4</f>
        <v>36</v>
      </c>
      <c r="M5" s="9">
        <f t="shared" si="3"/>
        <v>0.98813819562923133</v>
      </c>
      <c r="N5" s="7">
        <v>17000</v>
      </c>
      <c r="O5" s="15">
        <f>AVERAGE(17000,17000,17000,17000,17000,17000,17000,17000)</f>
        <v>17000</v>
      </c>
      <c r="P5" s="9">
        <f t="shared" si="4"/>
        <v>1</v>
      </c>
      <c r="Q5" s="7">
        <v>1585</v>
      </c>
      <c r="R5" s="7">
        <v>8</v>
      </c>
      <c r="S5" s="7">
        <v>16</v>
      </c>
      <c r="T5" s="5"/>
      <c r="U5" s="10">
        <f t="shared" si="5"/>
        <v>-45751</v>
      </c>
      <c r="V5" s="9">
        <f t="shared" si="6"/>
        <v>0.99495268138801263</v>
      </c>
      <c r="W5" s="11">
        <f t="shared" si="7"/>
        <v>0.68593208387625226</v>
      </c>
      <c r="X5" s="11">
        <f t="shared" si="8"/>
        <v>0.98315074732321628</v>
      </c>
    </row>
    <row r="6" spans="1:24" ht="14.45">
      <c r="A6" s="29" t="s">
        <v>75</v>
      </c>
      <c r="B6" s="5">
        <v>45751</v>
      </c>
      <c r="C6" s="5">
        <v>45751.338194444441</v>
      </c>
      <c r="D6" s="6">
        <f t="shared" si="0"/>
        <v>486.99999999487773</v>
      </c>
      <c r="E6" s="7">
        <f>45+60</f>
        <v>105</v>
      </c>
      <c r="F6" s="7">
        <f>15+9+8+15+5+9</f>
        <v>61</v>
      </c>
      <c r="G6" s="8">
        <f t="shared" si="1"/>
        <v>-44</v>
      </c>
      <c r="H6" s="7">
        <f>16+5+7+5+11+6+38+18+5+8+13</f>
        <v>132</v>
      </c>
      <c r="I6" s="7">
        <f>4+3+3+3+3+4+3+2+4+4+4+1+2+2+2+2+3+4+4+2+1+2+2+2+4+2+1+4+2+2+2+2+2+2+2</f>
        <v>91</v>
      </c>
      <c r="J6" s="9">
        <f t="shared" si="2"/>
        <v>0.63244353182364943</v>
      </c>
      <c r="K6" s="28">
        <v>0</v>
      </c>
      <c r="L6" s="28">
        <f>34+7+4+5+7+4+15+11+11+2+3</f>
        <v>103</v>
      </c>
      <c r="M6" s="9">
        <f t="shared" si="3"/>
        <v>0.98383364350167768</v>
      </c>
      <c r="N6" s="7">
        <v>17000</v>
      </c>
      <c r="O6" s="15">
        <f>AVERAGE(17000,17000,17000,17000,17000,17000,17000,17000,17000)</f>
        <v>17000</v>
      </c>
      <c r="P6" s="9">
        <f t="shared" si="4"/>
        <v>1</v>
      </c>
      <c r="Q6" s="7">
        <v>5614</v>
      </c>
      <c r="R6" s="7">
        <f>6+2+10</f>
        <v>18</v>
      </c>
      <c r="S6" s="7"/>
      <c r="T6" s="5"/>
      <c r="U6" s="10" t="str">
        <f t="shared" si="5"/>
        <v/>
      </c>
      <c r="V6" s="9">
        <f t="shared" si="6"/>
        <v>0.99679372996081228</v>
      </c>
      <c r="W6" s="11">
        <f t="shared" si="7"/>
        <v>0.63041574707608516</v>
      </c>
      <c r="X6" s="11">
        <f t="shared" si="8"/>
        <v>0.98067920716697332</v>
      </c>
    </row>
    <row r="7" spans="1:24" ht="14.45">
      <c r="A7" s="29" t="s">
        <v>76</v>
      </c>
      <c r="B7" s="5">
        <v>45754.086805555555</v>
      </c>
      <c r="C7" s="5">
        <v>45755</v>
      </c>
      <c r="D7" s="6">
        <f t="shared" si="0"/>
        <v>1315.0000000011642</v>
      </c>
      <c r="E7" s="7">
        <v>7</v>
      </c>
      <c r="F7" s="7">
        <v>8</v>
      </c>
      <c r="G7" s="8">
        <f t="shared" si="1"/>
        <v>1</v>
      </c>
      <c r="H7" s="7">
        <f>5+6+13+7+14+5+5+10+5+5+5+5+10+36</f>
        <v>131</v>
      </c>
      <c r="I7" s="7">
        <f>2+3+2+2+4+4+2+3+2+3+4+4+4+2+1+2+2+2+1+4+1+1+4+2+3+4+1+3+4+1+4+4+4+2+1+2+4+4+4+4</f>
        <v>110</v>
      </c>
      <c r="J7" s="9">
        <f t="shared" si="2"/>
        <v>0.8159695817492123</v>
      </c>
      <c r="K7" s="28">
        <v>0</v>
      </c>
      <c r="L7" s="28">
        <f>15+10+15+2</f>
        <v>42</v>
      </c>
      <c r="M7" s="9">
        <f t="shared" si="3"/>
        <v>0.96726443078170876</v>
      </c>
      <c r="N7" s="7">
        <v>17000</v>
      </c>
      <c r="O7" s="15">
        <f>AVERAGE(17000,17000,17000,17000,17000,17000,17000,17000,17000,17000,17000,1700,17000,17000,17000,17000,14000,17000,17000,17000)</f>
        <v>16085</v>
      </c>
      <c r="P7" s="9">
        <f t="shared" si="4"/>
        <v>0.94617647058823529</v>
      </c>
      <c r="Q7" s="15">
        <v>9200</v>
      </c>
      <c r="R7" s="15">
        <f>11+4</f>
        <v>15</v>
      </c>
      <c r="S7" s="7"/>
      <c r="T7" s="5"/>
      <c r="U7" s="10" t="str">
        <f t="shared" si="5"/>
        <v/>
      </c>
      <c r="V7" s="9">
        <f t="shared" si="6"/>
        <v>0.99836956521739129</v>
      </c>
      <c r="W7" s="11">
        <f t="shared" si="7"/>
        <v>0.7707924398054693</v>
      </c>
      <c r="X7" s="11">
        <f t="shared" si="8"/>
        <v>0.91371066669054968</v>
      </c>
    </row>
    <row r="8" spans="1:24" ht="14.45">
      <c r="A8" s="29" t="s">
        <v>77</v>
      </c>
      <c r="B8" s="5">
        <v>45755.012499999997</v>
      </c>
      <c r="C8" s="5">
        <v>45756</v>
      </c>
      <c r="D8" s="6">
        <f t="shared" si="0"/>
        <v>1422.000000004191</v>
      </c>
      <c r="E8" s="7">
        <v>10</v>
      </c>
      <c r="F8" s="7">
        <v>9</v>
      </c>
      <c r="G8" s="8">
        <f t="shared" si="1"/>
        <v>-1</v>
      </c>
      <c r="H8" s="7">
        <f>6+5+5+19+7+8+15+7+6+21+11+15+6+12+11+5+12+41+10+21+6+5+9+5+5+5+5</f>
        <v>283</v>
      </c>
      <c r="I8" s="2">
        <f>2+3+2+4+2+1+1+4+4+4+2+3+2+2+4+3+2+10+4+2+4+2+4+3+2+1+4+4+4+2+4+2+1+1+4+1+3+3+1+2+1+4</f>
        <v>118</v>
      </c>
      <c r="J8" s="9">
        <f t="shared" si="2"/>
        <v>0.71870604782080094</v>
      </c>
      <c r="K8" s="28">
        <v>0</v>
      </c>
      <c r="L8" s="28">
        <f>3+3+60+38+4+2+17+14+8</f>
        <v>149</v>
      </c>
      <c r="M8" s="9">
        <f t="shared" si="3"/>
        <v>0.95929017601949451</v>
      </c>
      <c r="N8" s="7">
        <v>17000</v>
      </c>
      <c r="O8" s="15">
        <f>AVERAGE(17000,17000,17000,16800,16800,16800,16800,17000,17000,17000,17000,17000,17000,17000,12000,17000,17000)</f>
        <v>16658.823529411766</v>
      </c>
      <c r="P8" s="9">
        <f t="shared" si="4"/>
        <v>0.97993079584775089</v>
      </c>
      <c r="Q8" s="15">
        <v>6893</v>
      </c>
      <c r="R8" s="15">
        <f>15+10</f>
        <v>25</v>
      </c>
      <c r="S8" s="7">
        <f>9+70+3.18</f>
        <v>82.18</v>
      </c>
      <c r="T8" s="5">
        <v>45758.637499999997</v>
      </c>
      <c r="U8" s="10">
        <f t="shared" si="5"/>
        <v>2.6374999999970896</v>
      </c>
      <c r="V8" s="9">
        <f t="shared" si="6"/>
        <v>0.996373132163064</v>
      </c>
      <c r="W8" s="11">
        <f t="shared" si="7"/>
        <v>0.70172785100068902</v>
      </c>
      <c r="X8" s="11">
        <f t="shared" si="8"/>
        <v>0.93662859210011207</v>
      </c>
    </row>
    <row r="9" spans="1:24" ht="14.45">
      <c r="A9" s="29" t="s">
        <v>78</v>
      </c>
      <c r="B9" s="5">
        <v>45756</v>
      </c>
      <c r="C9" s="5">
        <v>45757</v>
      </c>
      <c r="D9" s="6">
        <f t="shared" si="0"/>
        <v>1440</v>
      </c>
      <c r="E9" s="7">
        <f>25+45</f>
        <v>70</v>
      </c>
      <c r="F9" s="7">
        <f>15+20+8+15+37</f>
        <v>95</v>
      </c>
      <c r="G9" s="8">
        <f t="shared" si="1"/>
        <v>25</v>
      </c>
      <c r="H9" s="7">
        <f>14+45+6+6+5+11+5+31+5+6+5+5+6+8+7+10+5+20+25+5+5+5+5</f>
        <v>245</v>
      </c>
      <c r="I9" s="7">
        <f>1+2+3+2+3+3+2+2+2+4+4+3+3+4+1+1+4+4+4+2+2+4+1+4+4+3+3</f>
        <v>75</v>
      </c>
      <c r="J9" s="9">
        <f t="shared" si="2"/>
        <v>0.76041666666666663</v>
      </c>
      <c r="K9" s="28">
        <v>0</v>
      </c>
      <c r="L9" s="28">
        <f>2+3+5+2+6+8+1</f>
        <v>27</v>
      </c>
      <c r="M9" s="9">
        <f t="shared" si="3"/>
        <v>0.95994579153644988</v>
      </c>
      <c r="N9" s="7">
        <v>17000</v>
      </c>
      <c r="O9" s="15">
        <f>AVERAGE(,16800,16800,17000,16800,16800,16800,16800,16800,17000,17000,1700,17000,17000,17000,16000,17000,17000,17000,17000)</f>
        <v>15265</v>
      </c>
      <c r="P9" s="9">
        <f t="shared" ref="P9:P37" si="9">IF(B9="","",O9/N9)</f>
        <v>0.89794117647058824</v>
      </c>
      <c r="Q9" s="15">
        <v>7701</v>
      </c>
      <c r="R9" s="15">
        <f>3+4+10+4</f>
        <v>21</v>
      </c>
      <c r="S9" s="7"/>
      <c r="T9" s="5"/>
      <c r="U9" s="10" t="str">
        <f t="shared" si="5"/>
        <v/>
      </c>
      <c r="V9" s="9">
        <f t="shared" si="6"/>
        <v>0.99727308141799764</v>
      </c>
      <c r="W9" s="11">
        <f t="shared" si="7"/>
        <v>0.68094747053476634</v>
      </c>
      <c r="X9" s="11">
        <f t="shared" si="8"/>
        <v>0.85962431815527407</v>
      </c>
    </row>
    <row r="10" spans="1:24" ht="14.45">
      <c r="A10" s="29" t="s">
        <v>79</v>
      </c>
      <c r="B10" s="5">
        <v>45757.005555555559</v>
      </c>
      <c r="C10" s="5">
        <v>45757.956250000003</v>
      </c>
      <c r="D10" s="6">
        <f t="shared" si="0"/>
        <v>1368.9999999990687</v>
      </c>
      <c r="E10" s="7">
        <f>45+120</f>
        <v>165</v>
      </c>
      <c r="F10" s="7">
        <f>60+60+60+8+4</f>
        <v>192</v>
      </c>
      <c r="G10" s="8">
        <f t="shared" si="1"/>
        <v>27</v>
      </c>
      <c r="H10" s="7">
        <f>11+5+16+10+9+8+34+11+5+11+5+5</f>
        <v>130</v>
      </c>
      <c r="I10" s="7">
        <f>4+1+3+4+2+2+4+2+3+4+2+2+4+3+4+4+4+3</f>
        <v>55</v>
      </c>
      <c r="J10" s="9">
        <f t="shared" si="2"/>
        <v>0.84514243973692893</v>
      </c>
      <c r="K10" s="28">
        <v>0</v>
      </c>
      <c r="L10" s="28">
        <f>2+10+6+2+60+60+60+2</f>
        <v>202</v>
      </c>
      <c r="M10" s="9">
        <f t="shared" ref="M10:M37" si="10">IF(B10="","",(D10-G10-H10-I10-K10-L10-E10)/D10)</f>
        <v>0.57706355003623533</v>
      </c>
      <c r="N10" s="7">
        <v>17000</v>
      </c>
      <c r="O10" s="15">
        <f>AVERAGE(14000,14000)</f>
        <v>14000</v>
      </c>
      <c r="P10" s="9">
        <f t="shared" si="9"/>
        <v>0.82352941176470584</v>
      </c>
      <c r="Q10" s="15">
        <v>4764</v>
      </c>
      <c r="R10" s="15">
        <v>31</v>
      </c>
      <c r="S10" s="7"/>
      <c r="T10" s="5"/>
      <c r="U10" s="10" t="str">
        <f t="shared" si="5"/>
        <v/>
      </c>
      <c r="V10" s="9">
        <f t="shared" si="6"/>
        <v>0.99349286314021834</v>
      </c>
      <c r="W10" s="11">
        <f t="shared" si="7"/>
        <v>0.69147069123633609</v>
      </c>
      <c r="X10" s="11">
        <f t="shared" si="8"/>
        <v>0.47213642703241249</v>
      </c>
    </row>
    <row r="11" spans="1:24" ht="14.45">
      <c r="A11" s="29" t="s">
        <v>80</v>
      </c>
      <c r="B11" s="5">
        <v>45761.121527777781</v>
      </c>
      <c r="C11" s="5">
        <v>45762</v>
      </c>
      <c r="D11" s="6">
        <f t="shared" si="0"/>
        <v>1264.9999999953434</v>
      </c>
      <c r="E11" s="7">
        <f>10+10</f>
        <v>20</v>
      </c>
      <c r="F11" s="7">
        <f>13+13</f>
        <v>26</v>
      </c>
      <c r="G11" s="8">
        <f t="shared" si="1"/>
        <v>6</v>
      </c>
      <c r="H11" s="7">
        <f>15+25+60+60+20+20+7+5+12+9</f>
        <v>233</v>
      </c>
      <c r="I11" s="7">
        <f>1+4+1+3+4+2+4+4+1+2+3+2+1+2+2+4+4+3+3+2+3+3+3+4</f>
        <v>65</v>
      </c>
      <c r="J11" s="9">
        <f t="shared" si="2"/>
        <v>0.75968379446551848</v>
      </c>
      <c r="K11" s="28">
        <v>0</v>
      </c>
      <c r="L11" s="28">
        <f>3+3+4+2+14+34+4+9+3+21</f>
        <v>97</v>
      </c>
      <c r="M11" s="9">
        <f t="shared" si="10"/>
        <v>0.66719367588810297</v>
      </c>
      <c r="N11" s="7">
        <v>17000</v>
      </c>
      <c r="O11" s="15">
        <f>AVERAGE(17000,17000,17000,17000,17000,17000,17000,17000,17000,17000,17000,17000,17000,17000)</f>
        <v>17000</v>
      </c>
      <c r="P11" s="9">
        <f t="shared" si="9"/>
        <v>1</v>
      </c>
      <c r="Q11" s="15">
        <v>7280</v>
      </c>
      <c r="R11" s="15">
        <v>17</v>
      </c>
      <c r="S11" s="7">
        <f>100+13</f>
        <v>113</v>
      </c>
      <c r="T11" s="5">
        <v>45762.635416666664</v>
      </c>
      <c r="U11" s="10">
        <f t="shared" si="5"/>
        <v>0.63541666666424135</v>
      </c>
      <c r="V11" s="9">
        <f t="shared" si="6"/>
        <v>0.99766483516483517</v>
      </c>
      <c r="W11" s="11">
        <f t="shared" si="7"/>
        <v>0.75790980758283799</v>
      </c>
      <c r="X11" s="11">
        <f t="shared" si="8"/>
        <v>0.66563566867792467</v>
      </c>
    </row>
    <row r="12" spans="1:24" ht="14.45">
      <c r="A12" s="29" t="s">
        <v>81</v>
      </c>
      <c r="B12" s="5">
        <v>45762.010416666664</v>
      </c>
      <c r="C12" s="5">
        <v>45763</v>
      </c>
      <c r="D12" s="6">
        <f t="shared" si="0"/>
        <v>1425.0000000034925</v>
      </c>
      <c r="E12" s="7">
        <f>7+100</f>
        <v>107</v>
      </c>
      <c r="F12" s="7">
        <f>2+8+157</f>
        <v>167</v>
      </c>
      <c r="G12" s="8">
        <f t="shared" si="1"/>
        <v>60</v>
      </c>
      <c r="H12" s="7">
        <f>9+11+8+7+12+60+60+60+60</f>
        <v>287</v>
      </c>
      <c r="I12" s="7">
        <f>3+1+3+2+3+4+4+2+1+4+4+4+1+3+3+1+2+3+2+1+1+1+3+4+4+4+2+4+1+2+4+3</f>
        <v>84</v>
      </c>
      <c r="J12" s="9">
        <f t="shared" si="2"/>
        <v>0.6975438596498641</v>
      </c>
      <c r="K12" s="28">
        <v>0</v>
      </c>
      <c r="L12" s="28">
        <f>15+35+3+3+1+2+4+3+4+15+34</f>
        <v>119</v>
      </c>
      <c r="M12" s="9">
        <f t="shared" si="10"/>
        <v>0.5389473684221826</v>
      </c>
      <c r="N12" s="7">
        <v>17000</v>
      </c>
      <c r="O12" s="15">
        <f>AVERAGE(17000,17000,17000,17000,17000,17000,17000,17000,17000,17500,17000,17000,17000)</f>
        <v>17038.461538461539</v>
      </c>
      <c r="P12" s="9">
        <f t="shared" si="9"/>
        <v>1.002262443438914</v>
      </c>
      <c r="Q12" s="15">
        <v>7361</v>
      </c>
      <c r="R12" s="15">
        <v>3</v>
      </c>
      <c r="S12" s="7"/>
      <c r="T12" s="5"/>
      <c r="U12" s="10" t="str">
        <f t="shared" si="5"/>
        <v/>
      </c>
      <c r="V12" s="9">
        <f t="shared" si="6"/>
        <v>0.99959244667844038</v>
      </c>
      <c r="W12" s="11">
        <f t="shared" si="7"/>
        <v>0.69883708367983743</v>
      </c>
      <c r="X12" s="11">
        <f t="shared" si="8"/>
        <v>0.53994655962441651</v>
      </c>
    </row>
    <row r="13" spans="1:24" ht="14.45">
      <c r="A13" s="29" t="s">
        <v>82</v>
      </c>
      <c r="B13" s="5">
        <v>45763.041666666664</v>
      </c>
      <c r="C13" s="5">
        <v>45764.043055555558</v>
      </c>
      <c r="D13" s="6">
        <f t="shared" si="0"/>
        <v>1442.0000000065193</v>
      </c>
      <c r="E13" s="7">
        <f>5+100</f>
        <v>105</v>
      </c>
      <c r="F13" s="7">
        <f>9+175</f>
        <v>184</v>
      </c>
      <c r="G13" s="8">
        <f t="shared" si="1"/>
        <v>79</v>
      </c>
      <c r="H13" s="7">
        <f>60+6+8+5+14+5+7+11+8+5+8+8+5+8</f>
        <v>158</v>
      </c>
      <c r="I13" s="7">
        <f>3+4+2+1+3+1+1+2+2+3+4+1+4+3+2+1+4+4+4+4+4+2+1+3+2+2+2+2+3+4+2+3+2+3+2+4+4+2</f>
        <v>100</v>
      </c>
      <c r="J13" s="9">
        <f t="shared" si="2"/>
        <v>0.76629680998718697</v>
      </c>
      <c r="K13" s="28">
        <v>0</v>
      </c>
      <c r="L13" s="28">
        <f>30+2+14+2+3+4+5+35+34+12+2+4+13+6+3</f>
        <v>169</v>
      </c>
      <c r="M13" s="9">
        <f t="shared" si="10"/>
        <v>0.57628294036252592</v>
      </c>
      <c r="N13" s="7">
        <v>17000</v>
      </c>
      <c r="O13" s="15">
        <f>AVERAGE(17000,17000,17000,17000,17000,17000,17000,17000,16000,16000,17000,17000,17000,17000,17000,17000,17000,17000,17000)</f>
        <v>16894.736842105263</v>
      </c>
      <c r="P13" s="9">
        <f t="shared" si="9"/>
        <v>0.99380804953560375</v>
      </c>
      <c r="Q13" s="15">
        <v>7225</v>
      </c>
      <c r="R13" s="15">
        <v>14</v>
      </c>
      <c r="S13" s="7"/>
      <c r="T13" s="5"/>
      <c r="U13" s="10" t="str">
        <f t="shared" si="5"/>
        <v/>
      </c>
      <c r="V13" s="9">
        <f t="shared" si="6"/>
        <v>0.99806228373702421</v>
      </c>
      <c r="W13" s="11">
        <f t="shared" si="7"/>
        <v>0.76007626652316684</v>
      </c>
      <c r="X13" s="11">
        <f t="shared" si="8"/>
        <v>0.57160486649952968</v>
      </c>
    </row>
    <row r="14" spans="1:24" ht="14.45">
      <c r="A14" s="29" t="s">
        <v>53</v>
      </c>
      <c r="B14" s="5">
        <v>45764.107638888891</v>
      </c>
      <c r="C14" s="5">
        <v>45764.916666666664</v>
      </c>
      <c r="D14" s="6">
        <f t="shared" si="0"/>
        <v>1164.9999999941792</v>
      </c>
      <c r="E14" s="7">
        <f>45+10</f>
        <v>55</v>
      </c>
      <c r="F14" s="7">
        <f>58+7</f>
        <v>65</v>
      </c>
      <c r="G14" s="8">
        <f t="shared" si="1"/>
        <v>10</v>
      </c>
      <c r="H14" s="7">
        <f>16+11+5+8+8+9+6+45+23+20+6+6</f>
        <v>163</v>
      </c>
      <c r="I14" s="7">
        <f>3+2+3+4+3+1+1+4+1+2+3+4+1+1+1+3+1+2+2+3+2+2+2+3+4+4+1+6+3+3+4+2+3+4</f>
        <v>88</v>
      </c>
      <c r="J14" s="9">
        <f t="shared" si="2"/>
        <v>0.77596566523493216</v>
      </c>
      <c r="K14" s="28">
        <v>18</v>
      </c>
      <c r="L14" s="28">
        <f>30+3+10+1+6+5+35+3+4</f>
        <v>97</v>
      </c>
      <c r="M14" s="9">
        <f t="shared" si="10"/>
        <v>0.63004291845308713</v>
      </c>
      <c r="N14" s="7">
        <v>17000</v>
      </c>
      <c r="O14" s="15">
        <f>AVERAGE(17000,17000,17000,17000,17000,17000,17000,17000,17000,17000,17000,17000,17000,17000,17000,17000,17000)</f>
        <v>17000</v>
      </c>
      <c r="P14" s="9">
        <f t="shared" si="9"/>
        <v>1</v>
      </c>
      <c r="Q14" s="15">
        <v>7298</v>
      </c>
      <c r="R14" s="15">
        <v>19</v>
      </c>
      <c r="S14" s="7"/>
      <c r="T14" s="5"/>
      <c r="U14" s="10" t="str">
        <f t="shared" si="5"/>
        <v/>
      </c>
      <c r="V14" s="9">
        <f>IF(B14="","",IF(U14&lt;3,(Q14-R14)/Q14,(Q14-R14-S14)/Q14))</f>
        <v>0.9973965469991779</v>
      </c>
      <c r="W14" s="11">
        <f>IF(B14="","",V14*P14*J14)</f>
        <v>0.77394547509524136</v>
      </c>
      <c r="X14" s="11">
        <f>IF(B14="","",V14*P14*M14)</f>
        <v>0.62840263132639373</v>
      </c>
    </row>
    <row r="15" spans="1:24" ht="14.45">
      <c r="A15" s="29" t="s">
        <v>73</v>
      </c>
      <c r="B15" s="5">
        <v>45769.34375</v>
      </c>
      <c r="C15" s="5">
        <v>45770</v>
      </c>
      <c r="D15" s="6">
        <f t="shared" si="0"/>
        <v>945</v>
      </c>
      <c r="E15" s="7">
        <v>0</v>
      </c>
      <c r="F15" s="7">
        <v>0</v>
      </c>
      <c r="G15" s="8">
        <f t="shared" si="1"/>
        <v>0</v>
      </c>
      <c r="H15" s="7">
        <f>7+15+36+60 +60+60+60+60+60+60+60+ 60+60+60+60</f>
        <v>778</v>
      </c>
      <c r="I15" s="7">
        <f>2</f>
        <v>2</v>
      </c>
      <c r="J15" s="9">
        <f t="shared" si="2"/>
        <v>0.17460317460317459</v>
      </c>
      <c r="K15" s="28">
        <v>0</v>
      </c>
      <c r="L15" s="28">
        <f>6</f>
        <v>6</v>
      </c>
      <c r="M15" s="9">
        <f t="shared" si="10"/>
        <v>0.16825396825396827</v>
      </c>
      <c r="N15" s="7">
        <v>17000</v>
      </c>
      <c r="O15" s="15">
        <f>AVERAGE(17000)</f>
        <v>17000</v>
      </c>
      <c r="P15" s="9">
        <f t="shared" si="9"/>
        <v>1</v>
      </c>
      <c r="Q15" s="15">
        <v>258</v>
      </c>
      <c r="R15" s="7">
        <v>3</v>
      </c>
      <c r="S15" s="7">
        <v>222</v>
      </c>
      <c r="T15" s="5"/>
      <c r="U15" s="10">
        <f t="shared" si="5"/>
        <v>-45770</v>
      </c>
      <c r="V15" s="9">
        <f t="shared" si="6"/>
        <v>0.98837209302325579</v>
      </c>
      <c r="W15" s="11">
        <f t="shared" si="7"/>
        <v>0.17257290513104465</v>
      </c>
      <c r="X15" s="11">
        <f t="shared" si="8"/>
        <v>0.16629752676264306</v>
      </c>
    </row>
    <row r="16" spans="1:24" ht="14.45">
      <c r="A16" s="29" t="s">
        <v>49</v>
      </c>
      <c r="B16" s="5">
        <v>45770.597222222219</v>
      </c>
      <c r="C16" s="5">
        <v>45771</v>
      </c>
      <c r="D16" s="6">
        <f t="shared" si="0"/>
        <v>580.00000000465661</v>
      </c>
      <c r="E16" s="7">
        <v>10</v>
      </c>
      <c r="F16" s="7">
        <f>9+3</f>
        <v>12</v>
      </c>
      <c r="G16" s="8">
        <f t="shared" si="1"/>
        <v>2</v>
      </c>
      <c r="H16" s="7">
        <f>20+5+11+5+8+5+5+7+10+12+7+15+8+8+27</f>
        <v>153</v>
      </c>
      <c r="I16" s="7">
        <f>3+4+2+2+2+2+3+3+4+4+3+3+4+3+2</f>
        <v>44</v>
      </c>
      <c r="J16" s="9">
        <f>IF(B16="","",(D16-G16-H16-I16)/D16)</f>
        <v>0.65689655172689254</v>
      </c>
      <c r="K16" s="28">
        <v>0</v>
      </c>
      <c r="L16" s="28">
        <f>10</f>
        <v>10</v>
      </c>
      <c r="M16" s="9">
        <f>IF(B16="","",(D16-G16-H16-I16-K16-L16-E16)/D16)</f>
        <v>0.62241379310647982</v>
      </c>
      <c r="N16" s="7">
        <v>17000</v>
      </c>
      <c r="O16" s="15">
        <f>AVERAGE(15000,15000,14000,14000,14000,14000,13000,14000,14000)</f>
        <v>14111.111111111111</v>
      </c>
      <c r="P16" s="9">
        <f>IF(B16="","",O16/N16)</f>
        <v>0.83006535947712423</v>
      </c>
      <c r="Q16" s="7">
        <v>2813</v>
      </c>
      <c r="R16" s="7">
        <v>34</v>
      </c>
      <c r="S16" s="7"/>
      <c r="T16" s="5"/>
      <c r="U16" s="10" t="str">
        <f t="shared" si="5"/>
        <v/>
      </c>
      <c r="V16" s="9">
        <f t="shared" si="6"/>
        <v>0.98791325986491285</v>
      </c>
      <c r="W16" s="11">
        <f t="shared" si="7"/>
        <v>0.5386765709407707</v>
      </c>
      <c r="X16" s="11">
        <f t="shared" si="8"/>
        <v>0.51039958558989484</v>
      </c>
    </row>
    <row r="17" spans="1:24" ht="14.45">
      <c r="A17" s="29" t="s">
        <v>83</v>
      </c>
      <c r="B17" s="5">
        <v>45771</v>
      </c>
      <c r="C17" s="5">
        <v>45772</v>
      </c>
      <c r="D17" s="6">
        <f>IF(B17="","",(C17-B17)*24*60)</f>
        <v>1440</v>
      </c>
      <c r="E17" s="7">
        <v>25</v>
      </c>
      <c r="F17" s="7">
        <v>13</v>
      </c>
      <c r="G17" s="8">
        <f>IF(E17="","",F17-E17)</f>
        <v>-12</v>
      </c>
      <c r="H17" s="7">
        <f>13+13+17+25+35+8+10+60+60+60+60+60+60+60+60+60+60+15+15+11+17+5+30+52+5+10+5</f>
        <v>886</v>
      </c>
      <c r="I17" s="7">
        <f>2+2+1+3+2+3+2+2+2+2+2+1</f>
        <v>24</v>
      </c>
      <c r="J17" s="9">
        <f>IF(B17="","",(D17-G17-H17-I17)/D17)</f>
        <v>0.37638888888888888</v>
      </c>
      <c r="K17" s="28">
        <v>0</v>
      </c>
      <c r="L17" s="28">
        <f>11+6</f>
        <v>17</v>
      </c>
      <c r="M17" s="9">
        <f>IF(B17="","",(D17-G17-H17-I17-K17-L17-E17)/D17)</f>
        <v>0.34722222222222221</v>
      </c>
      <c r="N17" s="7">
        <v>17000</v>
      </c>
      <c r="O17" s="15">
        <f>AVERAGE(17000,17000,15000,15000,15000,15000,14000,14000,14000,14500,17000)</f>
        <v>15227.272727272728</v>
      </c>
      <c r="P17" s="9">
        <f>IF(B17="","",O17/N17)</f>
        <v>0.89572192513368987</v>
      </c>
      <c r="Q17" s="7">
        <v>3710</v>
      </c>
      <c r="R17" s="7">
        <f>8+8</f>
        <v>16</v>
      </c>
      <c r="S17" s="7"/>
      <c r="T17" s="5"/>
      <c r="U17" s="10" t="str">
        <f t="shared" si="5"/>
        <v/>
      </c>
      <c r="V17" s="9">
        <f>IF(B17="","",IF(U17&lt;3,(Q17-R17)/Q17,(Q17-R17-S17)/Q17))</f>
        <v>0.99568733153638811</v>
      </c>
      <c r="W17" s="11">
        <f>IF(B17="","",V17*P17*J17)</f>
        <v>0.33568580805678477</v>
      </c>
      <c r="X17" s="11">
        <f>IF(B17="","",V17*P17*M17)</f>
        <v>0.30967325466493056</v>
      </c>
    </row>
    <row r="18" spans="1:24" ht="14.45">
      <c r="A18" s="29" t="s">
        <v>84</v>
      </c>
      <c r="B18" s="5">
        <v>45772</v>
      </c>
      <c r="C18" s="5">
        <v>45772.422222222223</v>
      </c>
      <c r="D18" s="6">
        <f>IF(B18="","",(C18-B18)*24*60)</f>
        <v>608.00000000162981</v>
      </c>
      <c r="E18" s="7">
        <f>30+45</f>
        <v>75</v>
      </c>
      <c r="F18" s="7">
        <f>76+90</f>
        <v>166</v>
      </c>
      <c r="G18" s="8">
        <f t="shared" si="1"/>
        <v>91</v>
      </c>
      <c r="H18" s="7">
        <f>11+9+5+7+8+25+5</f>
        <v>70</v>
      </c>
      <c r="I18" s="7">
        <f>2+2+2+4+2+1+2+1+1+2+3+4+2+1+4+4+3+4+1+3+3+3+2+1+2+2+2+2+1+1+2+4+1+2</f>
        <v>76</v>
      </c>
      <c r="J18" s="9">
        <f>IF(B18="","",(D18-G18-H18-I18)/D18)</f>
        <v>0.6101973684220976</v>
      </c>
      <c r="K18" s="28">
        <v>0</v>
      </c>
      <c r="L18" s="28">
        <f>5+2+20+11+6</f>
        <v>44</v>
      </c>
      <c r="M18" s="9">
        <f>IF(B18="","",(D18-G18-H18-I18-K18-L18-E18)/D18)</f>
        <v>0.41447368421209591</v>
      </c>
      <c r="N18" s="7">
        <v>17000</v>
      </c>
      <c r="O18" s="15">
        <f>AVERAGE(15000,15000,15000,15000,1500,17000,15000,15000,15000,15000,15000,15000,15000,15000)</f>
        <v>14178.571428571429</v>
      </c>
      <c r="P18" s="9">
        <f>IF(B18="","",O18/N18)</f>
        <v>0.83403361344537819</v>
      </c>
      <c r="Q18" s="7">
        <v>6743</v>
      </c>
      <c r="R18" s="7">
        <v>48</v>
      </c>
      <c r="S18" s="7">
        <f>4.3+1.13+22.13+0.8</f>
        <v>28.36</v>
      </c>
      <c r="T18" s="5"/>
      <c r="U18" s="10">
        <f t="shared" si="5"/>
        <v>-45772.422222222223</v>
      </c>
      <c r="V18" s="9">
        <f>IF(B18="","",IF(U18&lt;3,(Q18-R18)/Q18,(Q18-R18-S18)/Q18))</f>
        <v>0.99288150674773834</v>
      </c>
      <c r="W18" s="11">
        <f>IF(B18="","",V18*P18*J18)</f>
        <v>0.5053023360950788</v>
      </c>
      <c r="X18" s="11">
        <f>IF(B18="","",V18*P18*M18)</f>
        <v>0.34322422829170895</v>
      </c>
    </row>
    <row r="19" spans="1:24" ht="14.45">
      <c r="A19" s="29" t="s">
        <v>85</v>
      </c>
      <c r="B19" s="5">
        <v>45775.158333333333</v>
      </c>
      <c r="C19" s="5">
        <v>45776</v>
      </c>
      <c r="D19" s="6">
        <f>IF(B19="","",(C19-B19)*24*60)</f>
        <v>1212.0000000006985</v>
      </c>
      <c r="E19" s="7">
        <v>0</v>
      </c>
      <c r="F19" s="7">
        <v>0</v>
      </c>
      <c r="G19" s="8">
        <f>IF(E19="","",F19-E19)</f>
        <v>0</v>
      </c>
      <c r="H19" s="7">
        <f>12+16+19+8+7+6+12+8+9+18</f>
        <v>115</v>
      </c>
      <c r="I19" s="7">
        <f>2+2+1+2+2+2+4+4+4+3+1+3+2+4+2+4+2+2+2+3+4+2+3+1+1+2+2+1+3+1+1+1+2+1+2+4+2+3+3</f>
        <v>90</v>
      </c>
      <c r="J19" s="9">
        <f>IF(B19="","",(D19-G19-H19-I19)/D19)</f>
        <v>0.83085808580867837</v>
      </c>
      <c r="K19" s="28">
        <v>0</v>
      </c>
      <c r="L19" s="28">
        <f>7+14+4+5</f>
        <v>30</v>
      </c>
      <c r="M19" s="9">
        <f>IF(B19="","",(D19-G19-H19-I19-K19-L19-E19)/D19)</f>
        <v>0.80610561056116781</v>
      </c>
      <c r="N19" s="7">
        <v>17000</v>
      </c>
      <c r="O19" s="15">
        <f>AVERAGE(15000,15000,15000,15000,15000,15000,15000,15000,15000,15000,15000,15000,15000,15000,15000,15000,15000,15000,15000,15000,15000,15000)</f>
        <v>15000</v>
      </c>
      <c r="P19" s="9">
        <f>IF(B19="","",O19/N19)</f>
        <v>0.88235294117647056</v>
      </c>
      <c r="Q19" s="15">
        <v>7479</v>
      </c>
      <c r="R19" s="7">
        <v>77</v>
      </c>
      <c r="S19" s="7">
        <f>14+14</f>
        <v>28</v>
      </c>
      <c r="T19" s="5"/>
      <c r="U19" s="10">
        <f>IF(S19="","",(T19-C19))</f>
        <v>-45776</v>
      </c>
      <c r="V19" s="9">
        <f>IF(B19="","",IF(U19&lt;3,(Q19-R19)/Q19,(Q19-R19-S19)/Q19))</f>
        <v>0.98970450594999326</v>
      </c>
      <c r="W19" s="11">
        <f>IF(B19="","",V19*P19*J19)</f>
        <v>0.72556234529103092</v>
      </c>
      <c r="X19" s="11">
        <f>IF(B19="","",V19*P19*M19)</f>
        <v>0.70394678386231613</v>
      </c>
    </row>
    <row r="20" spans="1:24" ht="14.45">
      <c r="A20" s="29" t="s">
        <v>49</v>
      </c>
      <c r="B20" s="5">
        <v>45776</v>
      </c>
      <c r="C20" s="5">
        <v>45777</v>
      </c>
      <c r="D20" s="6">
        <f t="shared" si="0"/>
        <v>1440</v>
      </c>
      <c r="E20" s="7">
        <v>10</v>
      </c>
      <c r="F20" s="7">
        <v>16</v>
      </c>
      <c r="G20" s="8">
        <f t="shared" si="1"/>
        <v>6</v>
      </c>
      <c r="H20" s="7">
        <f>6+21+9+14+6+18+7</f>
        <v>81</v>
      </c>
      <c r="I20" s="7">
        <f>1+1+2+3+1+3+4+2+3+3+2+3+2+2+4+3+3+2+2+4+2+2+4+3+1+2+1+1+1+2+1+3+1+4+1+3</f>
        <v>82</v>
      </c>
      <c r="J20" s="9">
        <f t="shared" si="2"/>
        <v>0.88263888888888886</v>
      </c>
      <c r="K20" s="28">
        <f>7+7</f>
        <v>14</v>
      </c>
      <c r="L20" s="56">
        <f>7+2+6+2+14+36+2+5+3+3+70</f>
        <v>150</v>
      </c>
      <c r="M20" s="9">
        <f t="shared" si="10"/>
        <v>0.76180555555555551</v>
      </c>
      <c r="N20" s="7">
        <v>17000</v>
      </c>
      <c r="O20" s="30">
        <f>AVERAGE(15500,15500,15500,15500,15500,15500,15000,15000,15000,15000,15000,15000,15000)</f>
        <v>15230.76923076923</v>
      </c>
      <c r="P20" s="9">
        <f>IF(B20="","",O20/N20)</f>
        <v>0.89592760180995479</v>
      </c>
      <c r="Q20" s="7">
        <v>8960</v>
      </c>
      <c r="R20" s="7">
        <f>18+31</f>
        <v>49</v>
      </c>
      <c r="S20" s="7"/>
      <c r="T20" s="5"/>
      <c r="U20" s="10" t="str">
        <f t="shared" si="5"/>
        <v/>
      </c>
      <c r="V20" s="9">
        <f t="shared" si="6"/>
        <v>0.99453124999999998</v>
      </c>
      <c r="W20" s="11">
        <f t="shared" si="7"/>
        <v>0.78645596189196831</v>
      </c>
      <c r="X20" s="11">
        <f t="shared" si="8"/>
        <v>0.67879007883201359</v>
      </c>
    </row>
    <row r="21" spans="1:24" ht="14.45">
      <c r="A21" s="29" t="s">
        <v>86</v>
      </c>
      <c r="B21" s="5">
        <v>45777</v>
      </c>
      <c r="C21" s="5">
        <v>45777.925000000003</v>
      </c>
      <c r="D21" s="6">
        <f t="shared" si="0"/>
        <v>1332.000000004191</v>
      </c>
      <c r="E21" s="7">
        <f>25+45</f>
        <v>70</v>
      </c>
      <c r="F21" s="7">
        <f>45+18</f>
        <v>63</v>
      </c>
      <c r="G21" s="8">
        <f t="shared" si="1"/>
        <v>-7</v>
      </c>
      <c r="H21" s="7">
        <f>10+30+10+5+5+8+6+7+8+28+17+5+15</f>
        <v>154</v>
      </c>
      <c r="I21" s="7">
        <f>1+2+1+1+1+1+1+2+2+2+2+3+2+4+4+4+2+1+2+1+1+2+4+2+4+4+4+2+1+4+2+1+1</f>
        <v>71</v>
      </c>
      <c r="J21" s="9">
        <f t="shared" si="2"/>
        <v>0.83633633633685123</v>
      </c>
      <c r="K21" s="28">
        <v>0</v>
      </c>
      <c r="L21" s="28">
        <f>10+2+4+20+6</f>
        <v>42</v>
      </c>
      <c r="M21" s="9">
        <f t="shared" si="10"/>
        <v>0.75225225225303172</v>
      </c>
      <c r="N21" s="7">
        <v>17000</v>
      </c>
      <c r="O21" s="15">
        <f>AVERAGE(15000,15000,15000,15000,15000,15000,15000,15000,15000,15000,15000,15000,15000,15000,15000,15000,15000,15000,15000,15000)</f>
        <v>15000</v>
      </c>
      <c r="P21" s="9">
        <f t="shared" si="9"/>
        <v>0.88235294117647056</v>
      </c>
      <c r="Q21" s="7">
        <v>7323</v>
      </c>
      <c r="R21" s="15">
        <v>77</v>
      </c>
      <c r="S21" s="7">
        <v>5</v>
      </c>
      <c r="T21" s="5"/>
      <c r="U21" s="10">
        <f t="shared" si="5"/>
        <v>-45777.925000000003</v>
      </c>
      <c r="V21" s="9">
        <f t="shared" si="6"/>
        <v>0.98948518366789562</v>
      </c>
      <c r="W21" s="11">
        <f t="shared" si="7"/>
        <v>0.730184482383886</v>
      </c>
      <c r="X21" s="11">
        <f t="shared" si="8"/>
        <v>0.65677275704574634</v>
      </c>
    </row>
    <row r="22" spans="1:24" ht="14.45">
      <c r="A22" s="29"/>
      <c r="B22" s="5"/>
      <c r="C22" s="5"/>
      <c r="D22" s="6" t="str">
        <f t="shared" si="0"/>
        <v/>
      </c>
      <c r="E22" s="7"/>
      <c r="F22" s="7"/>
      <c r="G22" s="8" t="str">
        <f t="shared" si="1"/>
        <v/>
      </c>
      <c r="H22" s="7"/>
      <c r="I22" s="7"/>
      <c r="J22" s="9" t="str">
        <f t="shared" si="2"/>
        <v/>
      </c>
      <c r="K22" s="28"/>
      <c r="L22" s="28"/>
      <c r="M22" s="9" t="str">
        <f t="shared" si="10"/>
        <v/>
      </c>
      <c r="N22" s="7"/>
      <c r="O22" s="30"/>
      <c r="P22" s="9" t="str">
        <f t="shared" si="9"/>
        <v/>
      </c>
      <c r="Q22" s="15"/>
      <c r="R22" s="7"/>
      <c r="S22" s="7"/>
      <c r="T22" s="5"/>
      <c r="U22" s="10" t="str">
        <f t="shared" si="5"/>
        <v/>
      </c>
      <c r="V22" s="9" t="str">
        <f t="shared" si="6"/>
        <v/>
      </c>
      <c r="W22" s="11" t="str">
        <f t="shared" si="7"/>
        <v/>
      </c>
      <c r="X22" s="11" t="str">
        <f t="shared" si="8"/>
        <v/>
      </c>
    </row>
    <row r="23" spans="1:24" ht="14.45">
      <c r="A23" s="29"/>
      <c r="B23" s="5"/>
      <c r="C23" s="5"/>
      <c r="D23" s="6" t="str">
        <f t="shared" si="0"/>
        <v/>
      </c>
      <c r="E23" s="7"/>
      <c r="F23" s="7"/>
      <c r="G23" s="8" t="str">
        <f t="shared" si="1"/>
        <v/>
      </c>
      <c r="H23" s="7"/>
      <c r="I23" s="7"/>
      <c r="J23" s="9" t="str">
        <f t="shared" si="2"/>
        <v/>
      </c>
      <c r="K23" s="28"/>
      <c r="L23" s="28"/>
      <c r="M23" s="9" t="str">
        <f t="shared" si="10"/>
        <v/>
      </c>
      <c r="N23" s="7"/>
      <c r="O23" s="15"/>
      <c r="P23" s="9" t="str">
        <f t="shared" si="9"/>
        <v/>
      </c>
      <c r="Q23" s="15"/>
      <c r="R23" s="7"/>
      <c r="S23" s="7"/>
      <c r="T23" s="5"/>
      <c r="U23" s="10" t="str">
        <f t="shared" si="5"/>
        <v/>
      </c>
      <c r="V23" s="9" t="str">
        <f t="shared" si="6"/>
        <v/>
      </c>
      <c r="W23" s="11" t="str">
        <f t="shared" si="7"/>
        <v/>
      </c>
      <c r="X23" s="11" t="str">
        <f t="shared" si="8"/>
        <v/>
      </c>
    </row>
    <row r="24" spans="1:24" ht="14.45" hidden="1">
      <c r="A24" s="29"/>
      <c r="B24" s="5"/>
      <c r="C24" s="5"/>
      <c r="D24" s="6" t="str">
        <f t="shared" si="0"/>
        <v/>
      </c>
      <c r="E24" s="7"/>
      <c r="F24" s="7"/>
      <c r="G24" s="8" t="str">
        <f t="shared" si="1"/>
        <v/>
      </c>
      <c r="H24" s="7"/>
      <c r="I24" s="7"/>
      <c r="J24" s="9" t="str">
        <f t="shared" si="2"/>
        <v/>
      </c>
      <c r="K24" s="28"/>
      <c r="L24" s="28"/>
      <c r="M24" s="9" t="str">
        <f t="shared" si="10"/>
        <v/>
      </c>
      <c r="N24" s="7"/>
      <c r="O24" s="15"/>
      <c r="P24" s="9" t="str">
        <f t="shared" si="9"/>
        <v/>
      </c>
      <c r="Q24" s="7"/>
      <c r="R24" s="7"/>
      <c r="S24" s="7"/>
      <c r="T24" s="5"/>
      <c r="U24" s="10" t="str">
        <f t="shared" si="5"/>
        <v/>
      </c>
      <c r="V24" s="9" t="str">
        <f t="shared" si="6"/>
        <v/>
      </c>
      <c r="W24" s="11" t="str">
        <f t="shared" si="7"/>
        <v/>
      </c>
      <c r="X24" s="11" t="str">
        <f t="shared" si="8"/>
        <v/>
      </c>
    </row>
    <row r="25" spans="1:24" ht="14.45" hidden="1">
      <c r="A25" s="29"/>
      <c r="B25" s="5"/>
      <c r="C25" s="5"/>
      <c r="D25" s="6" t="str">
        <f t="shared" si="0"/>
        <v/>
      </c>
      <c r="E25" s="7"/>
      <c r="F25" s="7"/>
      <c r="G25" s="8" t="str">
        <f t="shared" si="1"/>
        <v/>
      </c>
      <c r="H25" s="7"/>
      <c r="I25" s="7"/>
      <c r="J25" s="9" t="str">
        <f t="shared" si="2"/>
        <v/>
      </c>
      <c r="K25" s="28"/>
      <c r="L25" s="28"/>
      <c r="M25" s="9" t="str">
        <f t="shared" si="10"/>
        <v/>
      </c>
      <c r="N25" s="7"/>
      <c r="O25" s="15"/>
      <c r="P25" s="9" t="str">
        <f t="shared" si="9"/>
        <v/>
      </c>
      <c r="Q25" s="7"/>
      <c r="R25" s="7"/>
      <c r="S25" s="7"/>
      <c r="T25" s="5"/>
      <c r="U25" s="10" t="str">
        <f t="shared" si="5"/>
        <v/>
      </c>
      <c r="V25" s="9" t="str">
        <f t="shared" si="6"/>
        <v/>
      </c>
      <c r="W25" s="11" t="str">
        <f t="shared" si="7"/>
        <v/>
      </c>
      <c r="X25" s="11" t="str">
        <f t="shared" si="8"/>
        <v/>
      </c>
    </row>
    <row r="26" spans="1:24" ht="14.45" hidden="1">
      <c r="A26" s="29"/>
      <c r="B26" s="5"/>
      <c r="C26" s="5"/>
      <c r="D26" s="6" t="str">
        <f t="shared" si="0"/>
        <v/>
      </c>
      <c r="E26" s="7"/>
      <c r="F26" s="7"/>
      <c r="G26" s="8" t="str">
        <f t="shared" si="1"/>
        <v/>
      </c>
      <c r="H26" s="7"/>
      <c r="I26" s="7"/>
      <c r="J26" s="9" t="str">
        <f t="shared" si="2"/>
        <v/>
      </c>
      <c r="K26" s="28"/>
      <c r="L26" s="28"/>
      <c r="M26" s="9" t="str">
        <f t="shared" si="10"/>
        <v/>
      </c>
      <c r="N26" s="7"/>
      <c r="O26" s="15"/>
      <c r="P26" s="9" t="str">
        <f t="shared" si="9"/>
        <v/>
      </c>
      <c r="Q26" s="7"/>
      <c r="R26" s="7"/>
      <c r="S26" s="7"/>
      <c r="T26" s="5"/>
      <c r="U26" s="10" t="str">
        <f t="shared" si="5"/>
        <v/>
      </c>
      <c r="V26" s="9" t="str">
        <f t="shared" si="6"/>
        <v/>
      </c>
      <c r="W26" s="11" t="str">
        <f t="shared" si="7"/>
        <v/>
      </c>
      <c r="X26" s="11" t="str">
        <f t="shared" si="8"/>
        <v/>
      </c>
    </row>
    <row r="27" spans="1:24" ht="14.45" hidden="1">
      <c r="A27" s="29"/>
      <c r="B27" s="5"/>
      <c r="C27" s="5"/>
      <c r="D27" s="6" t="str">
        <f t="shared" si="0"/>
        <v/>
      </c>
      <c r="E27" s="7"/>
      <c r="F27" s="7"/>
      <c r="G27" s="8" t="str">
        <f t="shared" si="1"/>
        <v/>
      </c>
      <c r="H27" s="7"/>
      <c r="I27" s="7"/>
      <c r="J27" s="9" t="str">
        <f t="shared" si="2"/>
        <v/>
      </c>
      <c r="K27" s="28"/>
      <c r="L27" s="28"/>
      <c r="M27" s="9" t="str">
        <f t="shared" si="10"/>
        <v/>
      </c>
      <c r="N27" s="7"/>
      <c r="O27" s="15"/>
      <c r="P27" s="9" t="str">
        <f t="shared" si="9"/>
        <v/>
      </c>
      <c r="Q27" s="7"/>
      <c r="R27" s="7"/>
      <c r="S27" s="7"/>
      <c r="T27" s="5"/>
      <c r="U27" s="10" t="str">
        <f t="shared" si="5"/>
        <v/>
      </c>
      <c r="V27" s="9" t="str">
        <f t="shared" si="6"/>
        <v/>
      </c>
      <c r="W27" s="11" t="str">
        <f t="shared" si="7"/>
        <v/>
      </c>
      <c r="X27" s="11" t="str">
        <f t="shared" si="8"/>
        <v/>
      </c>
    </row>
    <row r="28" spans="1:24" ht="14.45" hidden="1">
      <c r="A28" s="29"/>
      <c r="B28" s="5"/>
      <c r="C28" s="5"/>
      <c r="D28" s="6" t="str">
        <f t="shared" si="0"/>
        <v/>
      </c>
      <c r="E28" s="7"/>
      <c r="F28" s="7"/>
      <c r="G28" s="8" t="str">
        <f t="shared" si="1"/>
        <v/>
      </c>
      <c r="H28" s="7"/>
      <c r="I28" s="7"/>
      <c r="J28" s="9" t="str">
        <f t="shared" si="2"/>
        <v/>
      </c>
      <c r="K28" s="28"/>
      <c r="L28" s="28"/>
      <c r="M28" s="9" t="str">
        <f t="shared" si="10"/>
        <v/>
      </c>
      <c r="N28" s="7"/>
      <c r="O28" s="15"/>
      <c r="P28" s="9" t="str">
        <f t="shared" si="9"/>
        <v/>
      </c>
      <c r="Q28" s="15"/>
      <c r="R28" s="7"/>
      <c r="S28" s="7"/>
      <c r="T28" s="5"/>
      <c r="U28" s="10" t="str">
        <f t="shared" si="5"/>
        <v/>
      </c>
      <c r="V28" s="9" t="str">
        <f t="shared" si="6"/>
        <v/>
      </c>
      <c r="W28" s="11" t="str">
        <f t="shared" si="7"/>
        <v/>
      </c>
      <c r="X28" s="11" t="str">
        <f t="shared" si="8"/>
        <v/>
      </c>
    </row>
    <row r="29" spans="1:24" ht="14.45" hidden="1">
      <c r="A29" s="29"/>
      <c r="B29" s="5"/>
      <c r="C29" s="5"/>
      <c r="D29" s="6" t="str">
        <f t="shared" si="0"/>
        <v/>
      </c>
      <c r="E29" s="7"/>
      <c r="F29" s="7"/>
      <c r="G29" s="8" t="str">
        <f t="shared" si="1"/>
        <v/>
      </c>
      <c r="H29" s="7"/>
      <c r="I29" s="7"/>
      <c r="J29" s="9" t="str">
        <f t="shared" si="2"/>
        <v/>
      </c>
      <c r="K29" s="28"/>
      <c r="L29" s="28"/>
      <c r="M29" s="9" t="str">
        <f t="shared" si="10"/>
        <v/>
      </c>
      <c r="N29" s="7"/>
      <c r="O29" s="7"/>
      <c r="P29" s="9" t="str">
        <f t="shared" si="9"/>
        <v/>
      </c>
      <c r="Q29" s="7"/>
      <c r="R29" s="7"/>
      <c r="S29" s="7"/>
      <c r="T29" s="5"/>
      <c r="U29" s="10" t="str">
        <f t="shared" si="5"/>
        <v/>
      </c>
      <c r="V29" s="9" t="str">
        <f t="shared" si="6"/>
        <v/>
      </c>
      <c r="W29" s="11" t="str">
        <f t="shared" si="7"/>
        <v/>
      </c>
      <c r="X29" s="11" t="str">
        <f t="shared" si="8"/>
        <v/>
      </c>
    </row>
    <row r="30" spans="1:24" ht="14.45" hidden="1">
      <c r="A30" s="29"/>
      <c r="B30" s="5"/>
      <c r="C30" s="5"/>
      <c r="D30" s="6" t="str">
        <f t="shared" si="0"/>
        <v/>
      </c>
      <c r="E30" s="7"/>
      <c r="F30" s="7"/>
      <c r="G30" s="8" t="str">
        <f t="shared" si="1"/>
        <v/>
      </c>
      <c r="H30" s="7"/>
      <c r="I30" s="7"/>
      <c r="J30" s="9" t="str">
        <f t="shared" si="2"/>
        <v/>
      </c>
      <c r="K30" s="28"/>
      <c r="L30" s="28"/>
      <c r="M30" s="9" t="str">
        <f t="shared" si="10"/>
        <v/>
      </c>
      <c r="N30" s="7"/>
      <c r="O30" s="15"/>
      <c r="P30" s="9" t="str">
        <f t="shared" si="9"/>
        <v/>
      </c>
      <c r="Q30" s="15"/>
      <c r="R30" s="7"/>
      <c r="S30" s="7"/>
      <c r="T30" s="5"/>
      <c r="U30" s="10" t="str">
        <f t="shared" si="5"/>
        <v/>
      </c>
      <c r="V30" s="9" t="str">
        <f t="shared" si="6"/>
        <v/>
      </c>
      <c r="W30" s="11" t="str">
        <f t="shared" si="7"/>
        <v/>
      </c>
      <c r="X30" s="11" t="str">
        <f t="shared" si="8"/>
        <v/>
      </c>
    </row>
    <row r="31" spans="1:24" ht="14.45" hidden="1">
      <c r="A31" s="29"/>
      <c r="B31" s="5"/>
      <c r="C31" s="5"/>
      <c r="D31" s="6" t="str">
        <f t="shared" si="0"/>
        <v/>
      </c>
      <c r="E31" s="7"/>
      <c r="F31" s="7"/>
      <c r="G31" s="8" t="str">
        <f t="shared" si="1"/>
        <v/>
      </c>
      <c r="H31" s="7"/>
      <c r="I31" s="7"/>
      <c r="J31" s="9" t="str">
        <f t="shared" si="2"/>
        <v/>
      </c>
      <c r="K31" s="28"/>
      <c r="L31" s="28"/>
      <c r="M31" s="9" t="str">
        <f t="shared" si="10"/>
        <v/>
      </c>
      <c r="N31" s="7"/>
      <c r="O31" s="15"/>
      <c r="P31" s="9" t="str">
        <f t="shared" si="9"/>
        <v/>
      </c>
      <c r="Q31" s="15"/>
      <c r="R31" s="15"/>
      <c r="S31" s="7"/>
      <c r="T31" s="5"/>
      <c r="U31" s="10" t="str">
        <f t="shared" si="5"/>
        <v/>
      </c>
      <c r="V31" s="9" t="str">
        <f t="shared" si="6"/>
        <v/>
      </c>
      <c r="W31" s="11" t="str">
        <f t="shared" si="7"/>
        <v/>
      </c>
      <c r="X31" s="11" t="str">
        <f t="shared" si="8"/>
        <v/>
      </c>
    </row>
    <row r="32" spans="1:24" ht="14.45" hidden="1">
      <c r="A32" s="29"/>
      <c r="B32" s="5"/>
      <c r="C32" s="5"/>
      <c r="D32" s="6" t="str">
        <f t="shared" si="0"/>
        <v/>
      </c>
      <c r="E32" s="7"/>
      <c r="F32" s="7"/>
      <c r="G32" s="8" t="str">
        <f t="shared" si="1"/>
        <v/>
      </c>
      <c r="H32" s="7"/>
      <c r="I32" s="7"/>
      <c r="J32" s="9" t="str">
        <f t="shared" si="2"/>
        <v/>
      </c>
      <c r="K32" s="28"/>
      <c r="L32" s="28"/>
      <c r="M32" s="9" t="str">
        <f t="shared" si="10"/>
        <v/>
      </c>
      <c r="N32" s="7"/>
      <c r="O32" s="15"/>
      <c r="P32" s="9" t="str">
        <f t="shared" si="9"/>
        <v/>
      </c>
      <c r="Q32" s="15"/>
      <c r="R32" s="7"/>
      <c r="S32" s="7"/>
      <c r="T32" s="5"/>
      <c r="U32" s="10" t="str">
        <f t="shared" si="5"/>
        <v/>
      </c>
      <c r="V32" s="9" t="str">
        <f t="shared" si="6"/>
        <v/>
      </c>
      <c r="W32" s="11" t="str">
        <f t="shared" si="7"/>
        <v/>
      </c>
      <c r="X32" s="11" t="str">
        <f t="shared" si="8"/>
        <v/>
      </c>
    </row>
    <row r="33" spans="1:25" ht="14.45" hidden="1">
      <c r="A33" s="29"/>
      <c r="B33" s="5"/>
      <c r="C33" s="5"/>
      <c r="D33" s="6" t="str">
        <f t="shared" si="0"/>
        <v/>
      </c>
      <c r="E33" s="7"/>
      <c r="F33" s="7"/>
      <c r="G33" s="8" t="str">
        <f t="shared" si="1"/>
        <v/>
      </c>
      <c r="H33" s="7"/>
      <c r="I33" s="7"/>
      <c r="J33" s="9" t="str">
        <f t="shared" si="2"/>
        <v/>
      </c>
      <c r="K33" s="28"/>
      <c r="L33" s="28"/>
      <c r="M33" s="9" t="str">
        <f t="shared" si="10"/>
        <v/>
      </c>
      <c r="N33" s="7"/>
      <c r="O33" s="15"/>
      <c r="P33" s="9" t="str">
        <f t="shared" si="9"/>
        <v/>
      </c>
      <c r="Q33" s="15"/>
      <c r="R33" s="7"/>
      <c r="S33" s="7"/>
      <c r="T33" s="5"/>
      <c r="U33" s="10" t="str">
        <f t="shared" si="5"/>
        <v/>
      </c>
      <c r="V33" s="9" t="str">
        <f t="shared" si="6"/>
        <v/>
      </c>
      <c r="W33" s="11" t="str">
        <f t="shared" si="7"/>
        <v/>
      </c>
      <c r="X33" s="11" t="str">
        <f t="shared" si="8"/>
        <v/>
      </c>
    </row>
    <row r="34" spans="1:25" ht="14.45" hidden="1">
      <c r="A34" s="29"/>
      <c r="B34" s="5"/>
      <c r="C34" s="5"/>
      <c r="D34" s="6" t="str">
        <f t="shared" si="0"/>
        <v/>
      </c>
      <c r="E34" s="7"/>
      <c r="F34" s="7"/>
      <c r="G34" s="8" t="str">
        <f t="shared" si="1"/>
        <v/>
      </c>
      <c r="H34" s="7"/>
      <c r="I34" s="7"/>
      <c r="J34" s="9" t="str">
        <f t="shared" si="2"/>
        <v/>
      </c>
      <c r="K34" s="28"/>
      <c r="L34" s="28"/>
      <c r="M34" s="9" t="str">
        <f t="shared" si="10"/>
        <v/>
      </c>
      <c r="N34" s="7"/>
      <c r="O34" s="15"/>
      <c r="P34" s="9" t="str">
        <f t="shared" si="9"/>
        <v/>
      </c>
      <c r="Q34" s="15"/>
      <c r="R34" s="7"/>
      <c r="S34" s="7"/>
      <c r="T34" s="5"/>
      <c r="U34" s="10" t="str">
        <f t="shared" si="5"/>
        <v/>
      </c>
      <c r="V34" s="9" t="str">
        <f t="shared" si="6"/>
        <v/>
      </c>
      <c r="W34" s="11" t="str">
        <f t="shared" si="7"/>
        <v/>
      </c>
      <c r="X34" s="11" t="str">
        <f t="shared" si="8"/>
        <v/>
      </c>
    </row>
    <row r="35" spans="1:25" ht="14.45" hidden="1">
      <c r="A35" s="29"/>
      <c r="B35" s="5"/>
      <c r="C35" s="5"/>
      <c r="D35" s="6" t="str">
        <f t="shared" si="0"/>
        <v/>
      </c>
      <c r="E35" s="7"/>
      <c r="F35" s="7"/>
      <c r="G35" s="8" t="str">
        <f t="shared" si="1"/>
        <v/>
      </c>
      <c r="H35" s="7"/>
      <c r="I35" s="7"/>
      <c r="J35" s="9" t="str">
        <f t="shared" si="2"/>
        <v/>
      </c>
      <c r="K35" s="28"/>
      <c r="L35" s="28"/>
      <c r="M35" s="9" t="str">
        <f t="shared" si="10"/>
        <v/>
      </c>
      <c r="N35" s="7"/>
      <c r="O35" s="15"/>
      <c r="P35" s="9" t="str">
        <f t="shared" si="9"/>
        <v/>
      </c>
      <c r="Q35" s="15"/>
      <c r="R35" s="7"/>
      <c r="S35" s="7"/>
      <c r="T35" s="5"/>
      <c r="U35" s="10" t="str">
        <f t="shared" si="5"/>
        <v/>
      </c>
      <c r="V35" s="9" t="str">
        <f t="shared" si="6"/>
        <v/>
      </c>
      <c r="W35" s="11" t="str">
        <f t="shared" si="7"/>
        <v/>
      </c>
      <c r="X35" s="11" t="str">
        <f t="shared" si="8"/>
        <v/>
      </c>
    </row>
    <row r="36" spans="1:25" ht="14.45" hidden="1">
      <c r="A36" s="29"/>
      <c r="B36" s="5"/>
      <c r="C36" s="5"/>
      <c r="D36" s="6" t="str">
        <f t="shared" si="0"/>
        <v/>
      </c>
      <c r="E36" s="7"/>
      <c r="F36" s="7"/>
      <c r="G36" s="8" t="str">
        <f t="shared" si="1"/>
        <v/>
      </c>
      <c r="H36" s="7"/>
      <c r="I36" s="7"/>
      <c r="J36" s="9" t="str">
        <f t="shared" si="2"/>
        <v/>
      </c>
      <c r="K36" s="28"/>
      <c r="L36" s="28"/>
      <c r="M36" s="9" t="str">
        <f t="shared" si="10"/>
        <v/>
      </c>
      <c r="N36" s="7"/>
      <c r="O36" s="15"/>
      <c r="P36" s="9" t="str">
        <f t="shared" si="9"/>
        <v/>
      </c>
      <c r="Q36" s="15"/>
      <c r="R36" s="7"/>
      <c r="S36" s="7"/>
      <c r="T36" s="5"/>
      <c r="U36" s="10" t="str">
        <f t="shared" si="5"/>
        <v/>
      </c>
      <c r="V36" s="9" t="str">
        <f t="shared" si="6"/>
        <v/>
      </c>
      <c r="W36" s="11" t="str">
        <f t="shared" si="7"/>
        <v/>
      </c>
      <c r="X36" s="11" t="str">
        <f t="shared" si="8"/>
        <v/>
      </c>
    </row>
    <row r="37" spans="1:25" ht="14.45" hidden="1">
      <c r="A37" s="29"/>
      <c r="B37" s="5"/>
      <c r="C37" s="5"/>
      <c r="D37" s="6" t="str">
        <f t="shared" si="0"/>
        <v/>
      </c>
      <c r="E37" s="7"/>
      <c r="F37" s="7"/>
      <c r="G37" s="8" t="str">
        <f t="shared" si="1"/>
        <v/>
      </c>
      <c r="H37" s="7"/>
      <c r="I37" s="7"/>
      <c r="J37" s="9" t="str">
        <f t="shared" si="2"/>
        <v/>
      </c>
      <c r="K37" s="28"/>
      <c r="L37" s="28"/>
      <c r="M37" s="9" t="str">
        <f t="shared" si="10"/>
        <v/>
      </c>
      <c r="N37" s="7"/>
      <c r="O37" s="15"/>
      <c r="P37" s="9" t="str">
        <f t="shared" si="9"/>
        <v/>
      </c>
      <c r="Q37" s="7"/>
      <c r="R37" s="7"/>
      <c r="S37" s="7"/>
      <c r="T37" s="5"/>
      <c r="U37" s="10" t="str">
        <f t="shared" si="5"/>
        <v/>
      </c>
      <c r="V37" s="9" t="str">
        <f t="shared" si="6"/>
        <v/>
      </c>
      <c r="W37" s="11" t="str">
        <f t="shared" si="7"/>
        <v/>
      </c>
      <c r="X37" s="11" t="str">
        <f t="shared" si="8"/>
        <v/>
      </c>
    </row>
    <row r="38" spans="1:25" s="43" customFormat="1" ht="18">
      <c r="A38" s="31"/>
      <c r="B38" s="32" t="s">
        <v>42</v>
      </c>
      <c r="C38" s="32"/>
      <c r="D38" s="33">
        <f>SUM(D3:D37)</f>
        <v>21440.000000012806</v>
      </c>
      <c r="E38" s="33">
        <f>SUM(E3:E37)</f>
        <v>844</v>
      </c>
      <c r="F38" s="33">
        <f>SUM(F3:F37)</f>
        <v>1089</v>
      </c>
      <c r="G38" s="33">
        <f>SUM(G3:G37)</f>
        <v>245</v>
      </c>
      <c r="H38" s="33">
        <f>SUM(H2:H37)</f>
        <v>4296</v>
      </c>
      <c r="I38" s="33">
        <f>SUM(I3:I37)</f>
        <v>1423</v>
      </c>
      <c r="J38" s="34">
        <f>(D38-G38-H38-I38)/D38</f>
        <v>0.72182835820912139</v>
      </c>
      <c r="K38" s="35">
        <f>SUM(K3:K37)</f>
        <v>32</v>
      </c>
      <c r="L38" s="35">
        <f>SUM(L3:L37)</f>
        <v>1391</v>
      </c>
      <c r="M38" s="36">
        <f>(D38-G38-H38-I38-E38-K38-L38)/D38</f>
        <v>0.61609141791067701</v>
      </c>
      <c r="N38" s="37">
        <f>AVERAGE(N3:N37)</f>
        <v>17000</v>
      </c>
      <c r="O38" s="38">
        <f>AVERAGE(O3:O37)</f>
        <v>15989.862814027718</v>
      </c>
      <c r="P38" s="34">
        <f>O38/N38</f>
        <v>0.94058016553104218</v>
      </c>
      <c r="Q38" s="37">
        <f>SUM(Q3:Q35)</f>
        <v>115527</v>
      </c>
      <c r="R38" s="37"/>
      <c r="S38" s="32"/>
      <c r="T38" s="32"/>
      <c r="U38" s="39"/>
      <c r="V38" s="40">
        <f>AVERAGE(V3:V37)</f>
        <v>0.99497314804427606</v>
      </c>
      <c r="W38" s="41">
        <f>V38*P38*J38</f>
        <v>0.67552451866810093</v>
      </c>
      <c r="X38" s="42">
        <f>V38*P38*M38</f>
        <v>0.5765703907397397</v>
      </c>
    </row>
    <row r="39" spans="1:25" ht="28.9">
      <c r="O39" s="20" t="s">
        <v>43</v>
      </c>
      <c r="P39" s="21" t="e">
        <f>AVERAGE('[1]January 2024'!S38,'[1]February 2024'!S38,'[1]March 2024'!S38,S38)</f>
        <v>#DIV/0!</v>
      </c>
      <c r="Q39" s="67"/>
      <c r="R39" s="67"/>
      <c r="S39" s="44"/>
      <c r="T39" s="45"/>
      <c r="U39" s="22"/>
    </row>
    <row r="40" spans="1:25" ht="28.9">
      <c r="Q40" s="22"/>
      <c r="R40" s="22"/>
      <c r="S40" s="22"/>
      <c r="T40" s="22"/>
      <c r="U40" s="22"/>
      <c r="W40" s="16"/>
      <c r="X40" s="16"/>
      <c r="Y40" s="16"/>
    </row>
    <row r="41" spans="1:25" ht="28.9">
      <c r="Q41" s="22"/>
      <c r="R41" s="69"/>
      <c r="S41" s="69"/>
      <c r="T41" s="46"/>
      <c r="U41" s="22"/>
    </row>
    <row r="42" spans="1:25" ht="28.9">
      <c r="Q42" s="22"/>
      <c r="R42" s="22"/>
      <c r="S42" s="22"/>
      <c r="T42" s="22"/>
      <c r="U42" s="22"/>
    </row>
    <row r="43" spans="1:25" ht="28.9">
      <c r="Q43" s="22"/>
      <c r="R43" s="22"/>
      <c r="S43" s="22"/>
      <c r="T43" s="22"/>
      <c r="U43" s="22"/>
    </row>
    <row r="44" spans="1:25" ht="28.9">
      <c r="Q44" s="22"/>
      <c r="R44" s="22"/>
      <c r="S44" s="22"/>
      <c r="T44" s="22"/>
      <c r="U44" s="22"/>
    </row>
    <row r="46" spans="1:25" ht="14.45">
      <c r="C46" s="17"/>
      <c r="D46" s="53" t="s">
        <v>44</v>
      </c>
      <c r="E46" s="53" t="s">
        <v>45</v>
      </c>
    </row>
    <row r="47" spans="1:25" ht="14.45">
      <c r="C47" s="4" t="s">
        <v>46</v>
      </c>
      <c r="D47" s="54">
        <f>W38</f>
        <v>0.67552451866810093</v>
      </c>
      <c r="E47" s="55">
        <f t="shared" ref="E47:E52" si="11">100%-D47</f>
        <v>0.32447548133189907</v>
      </c>
    </row>
    <row r="48" spans="1:25" ht="14.45">
      <c r="C48" s="4" t="s">
        <v>47</v>
      </c>
      <c r="D48" s="54">
        <f>X38</f>
        <v>0.5765703907397397</v>
      </c>
      <c r="E48" s="55">
        <f t="shared" si="11"/>
        <v>0.4234296092602603</v>
      </c>
    </row>
    <row r="49" spans="3:5" ht="14.45">
      <c r="C49" s="4" t="s">
        <v>11</v>
      </c>
      <c r="D49" s="54">
        <f>J38</f>
        <v>0.72182835820912139</v>
      </c>
      <c r="E49" s="55">
        <f t="shared" si="11"/>
        <v>0.27817164179087861</v>
      </c>
    </row>
    <row r="50" spans="3:5" ht="28.9">
      <c r="C50" s="4" t="s">
        <v>14</v>
      </c>
      <c r="D50" s="54">
        <f>M38</f>
        <v>0.61609141791067701</v>
      </c>
      <c r="E50" s="55">
        <f t="shared" si="11"/>
        <v>0.38390858208932299</v>
      </c>
    </row>
    <row r="51" spans="3:5" ht="15" customHeight="1">
      <c r="C51" s="4" t="s">
        <v>17</v>
      </c>
      <c r="D51" s="54">
        <f>P38</f>
        <v>0.94058016553104218</v>
      </c>
      <c r="E51" s="55">
        <f t="shared" si="11"/>
        <v>5.9419834468957822E-2</v>
      </c>
    </row>
    <row r="52" spans="3:5" ht="15" customHeight="1">
      <c r="C52" s="4" t="str">
        <f>V2</f>
        <v>Quality</v>
      </c>
      <c r="D52" s="54">
        <f>V38</f>
        <v>0.99497314804427606</v>
      </c>
      <c r="E52" s="55">
        <f t="shared" si="11"/>
        <v>5.0268519557239433E-3</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52"/>
  <sheetViews>
    <sheetView topLeftCell="B22" zoomScale="60" zoomScaleNormal="60" workbookViewId="0">
      <selection activeCell="D59" sqref="D59"/>
    </sheetView>
  </sheetViews>
  <sheetFormatPr defaultRowHeight="14.45"/>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9" t="s">
        <v>87</v>
      </c>
      <c r="B3" s="5">
        <v>45779.384722222225</v>
      </c>
      <c r="C3" s="5">
        <v>45779.813888888886</v>
      </c>
      <c r="D3" s="6">
        <f>IF(B3="","",(C3-B3)*24*60)</f>
        <v>617.99999999231659</v>
      </c>
      <c r="E3" s="7">
        <v>20</v>
      </c>
      <c r="F3" s="7">
        <f>25+4</f>
        <v>29</v>
      </c>
      <c r="G3" s="8">
        <f>IF(E3="","",F3-E3)</f>
        <v>9</v>
      </c>
      <c r="H3" s="7">
        <f>56+18+56+57+60+40+6</f>
        <v>293</v>
      </c>
      <c r="I3" s="7">
        <f>3+4+2+2+3+1+3+4+1</f>
        <v>23</v>
      </c>
      <c r="J3" s="9">
        <f>IF(B3="","",(D3-G3-H3-I3)/D3)</f>
        <v>0.47411003235592131</v>
      </c>
      <c r="K3" s="56">
        <v>14</v>
      </c>
      <c r="L3" s="56">
        <f>6+13+5+5</f>
        <v>29</v>
      </c>
      <c r="M3" s="9">
        <f>IF(A3="","",(C3-F3-G3-H3-J3-L3-D3)/C3)</f>
        <v>0.97862651621084551</v>
      </c>
      <c r="N3" s="7">
        <v>17000</v>
      </c>
      <c r="O3" s="15">
        <f>AVERAGE(15500,15000,15500)</f>
        <v>15333.333333333334</v>
      </c>
      <c r="P3" s="9">
        <f>IF(A3="","",O3/N3)</f>
        <v>0.90196078431372551</v>
      </c>
      <c r="Q3" s="7">
        <v>1981</v>
      </c>
      <c r="R3" s="7">
        <f>6+5</f>
        <v>11</v>
      </c>
      <c r="S3" s="7"/>
      <c r="T3" s="5"/>
      <c r="U3" s="10" t="str">
        <f>IF(S3="","",(T3-C3))</f>
        <v/>
      </c>
      <c r="V3" s="9">
        <f>IF(B3="","",IF(U3&lt;3,(Q3-R3)/Q3,(Q3-R3-S3)/Q3))</f>
        <v>0.99444724886420999</v>
      </c>
      <c r="W3" s="11">
        <f>IF(B3="","",V3*P3*J3)</f>
        <v>0.42525414112592758</v>
      </c>
      <c r="X3" s="11">
        <f>IF(B3="","",V3*P3*M3)</f>
        <v>0.87778142252404534</v>
      </c>
    </row>
    <row r="4" spans="1:24" ht="28.9">
      <c r="A4" s="57" t="s">
        <v>88</v>
      </c>
      <c r="B4" s="5">
        <v>45782.194444444445</v>
      </c>
      <c r="C4" s="5">
        <v>45783</v>
      </c>
      <c r="D4" s="6">
        <f t="shared" ref="D4:D37" si="0">IF(B4="","",(C4-B4)*24*60)</f>
        <v>1159.9999999988358</v>
      </c>
      <c r="E4" s="7">
        <f>45+5+5</f>
        <v>55</v>
      </c>
      <c r="F4" s="7">
        <v>69</v>
      </c>
      <c r="G4" s="8">
        <f t="shared" ref="G4:G37" si="1">IF(E4="","",F4-E4)</f>
        <v>14</v>
      </c>
      <c r="H4" s="7">
        <f>5+5+13+60+60+5+45+27+5+19+6+22+8+18+11</f>
        <v>309</v>
      </c>
      <c r="I4" s="7">
        <f>2+1+1+3+3+4+3+2+3+2+2+2+2+1+3+3+2+3</f>
        <v>42</v>
      </c>
      <c r="J4" s="9">
        <f t="shared" ref="J4:J37" si="2">IF(B4="","",(D4-G4-H4-I4)/D4)</f>
        <v>0.6853448275858911</v>
      </c>
      <c r="K4" s="28">
        <v>0</v>
      </c>
      <c r="L4" s="28">
        <f>15+45+100+40+20+9+19+24+2+6+2+3+2+3+12+63+38+2+5+8</f>
        <v>418</v>
      </c>
      <c r="M4" s="9">
        <f t="shared" ref="M4:M37" si="3">IF(B4="","",(D4-G4-H4-I4-K4-L4-E4)/D4)</f>
        <v>0.27758620689582675</v>
      </c>
      <c r="N4" s="7">
        <v>17000</v>
      </c>
      <c r="O4" s="15">
        <f>AVERAGE(15000,15000,15000,15000,15000,15000,15000,15500,15500,15500,15500,15500)</f>
        <v>15208.333333333334</v>
      </c>
      <c r="P4" s="9">
        <f t="shared" ref="P4:P37" si="4">IF(B4="","",O4/N4)</f>
        <v>0.89460784313725494</v>
      </c>
      <c r="Q4" s="7">
        <f>795+259+734+1249</f>
        <v>3037</v>
      </c>
      <c r="R4" s="7">
        <f>7+9</f>
        <v>16</v>
      </c>
      <c r="S4" s="7">
        <f>3*70+36</f>
        <v>246</v>
      </c>
      <c r="T4" s="5"/>
      <c r="U4" s="10">
        <f t="shared" ref="U4:U37" si="5">IF(S4="","",(T4-C4))</f>
        <v>-45783</v>
      </c>
      <c r="V4" s="9">
        <f t="shared" ref="V4:V37" si="6">IF(B4="","",IF(U4&lt;3,(Q4-R4)/Q4,(Q4-R4-S4)/Q4))</f>
        <v>0.99473164306881789</v>
      </c>
      <c r="W4" s="11">
        <f t="shared" ref="W4:W37" si="7">IF(B4="","",V4*P4*J4)</f>
        <v>0.60988475010007026</v>
      </c>
      <c r="X4" s="11">
        <f t="shared" ref="X4:X37" si="8">IF(B4="","",V4*P4*M4)</f>
        <v>0.24702250255572353</v>
      </c>
    </row>
    <row r="5" spans="1:24">
      <c r="A5" s="29" t="s">
        <v>89</v>
      </c>
      <c r="B5" s="5">
        <v>45783</v>
      </c>
      <c r="C5" s="5">
        <v>45783.998611111114</v>
      </c>
      <c r="D5" s="6">
        <f t="shared" si="0"/>
        <v>1438.0000000039581</v>
      </c>
      <c r="E5" s="7">
        <f>100+60</f>
        <v>160</v>
      </c>
      <c r="F5" s="7">
        <f>75+19</f>
        <v>94</v>
      </c>
      <c r="G5" s="8">
        <f t="shared" si="1"/>
        <v>-66</v>
      </c>
      <c r="H5" s="7">
        <f>18+38+15+12+12+9+34+60+60+10+6+15+13+10</f>
        <v>312</v>
      </c>
      <c r="I5" s="7">
        <f>3+3+2+4+4+3+2+3+2+3+2+1+2+3+4+2+3+3+3+3+1+2+3+3+3+2+2+2+2+3</f>
        <v>78</v>
      </c>
      <c r="J5" s="9">
        <f t="shared" si="2"/>
        <v>0.77468706536918763</v>
      </c>
      <c r="K5" s="28">
        <v>0</v>
      </c>
      <c r="L5" s="28">
        <f>10+10+2+4+2+9+6+2+13+5+15+3</f>
        <v>81</v>
      </c>
      <c r="M5" s="9">
        <f t="shared" si="3"/>
        <v>0.60709318498021914</v>
      </c>
      <c r="N5" s="7">
        <v>17000</v>
      </c>
      <c r="O5" s="15">
        <f>AVERAGE(15000,15000,15000,15000,15000,16500,16500,17000,17000,17000,17000,17000)</f>
        <v>16083.333333333334</v>
      </c>
      <c r="P5" s="9">
        <f t="shared" si="4"/>
        <v>0.9460784313725491</v>
      </c>
      <c r="Q5" s="7">
        <v>7493</v>
      </c>
      <c r="R5" s="7">
        <v>34</v>
      </c>
      <c r="S5" s="7">
        <v>217</v>
      </c>
      <c r="T5" s="5"/>
      <c r="U5" s="10">
        <f t="shared" si="5"/>
        <v>-45783.998611111114</v>
      </c>
      <c r="V5" s="9">
        <f t="shared" si="6"/>
        <v>0.99546243160282932</v>
      </c>
      <c r="W5" s="11">
        <f t="shared" si="7"/>
        <v>0.72958907292141484</v>
      </c>
      <c r="X5" s="11">
        <f t="shared" si="8"/>
        <v>0.57175158048565511</v>
      </c>
    </row>
    <row r="6" spans="1:24">
      <c r="A6" s="29" t="s">
        <v>90</v>
      </c>
      <c r="B6" s="5">
        <v>45784.045138888891</v>
      </c>
      <c r="C6" s="5">
        <v>45784.90625</v>
      </c>
      <c r="D6" s="6">
        <f t="shared" si="0"/>
        <v>1239.9999999976717</v>
      </c>
      <c r="E6" s="7">
        <f>45+25</f>
        <v>70</v>
      </c>
      <c r="F6" s="7">
        <f>67+20</f>
        <v>87</v>
      </c>
      <c r="G6" s="8">
        <f t="shared" si="1"/>
        <v>17</v>
      </c>
      <c r="H6" s="7">
        <f>5+5+5+47+10+5+8+5+19+58+8+7+10+8</f>
        <v>200</v>
      </c>
      <c r="I6" s="7">
        <f>5+5+2+3+4+2+4+2+4+2+3+4+2+4+2+3+2+2+2+3+4+4+3+2+3+1+3</f>
        <v>80</v>
      </c>
      <c r="J6" s="9">
        <f t="shared" si="2"/>
        <v>0.7604838709672922</v>
      </c>
      <c r="K6" s="28">
        <v>0</v>
      </c>
      <c r="L6" s="28">
        <f>2+1+2+23+5+34+2+4+4+2</f>
        <v>79</v>
      </c>
      <c r="M6" s="9">
        <f t="shared" si="3"/>
        <v>0.64032258064448588</v>
      </c>
      <c r="N6" s="7">
        <v>17000</v>
      </c>
      <c r="O6" s="15">
        <f>AVERAGE(17000,17000,17000,17000,17000,17000,17000,17000,16000,16000,16000,16000,16000,16000,1600,16000,16000)</f>
        <v>15623.529411764706</v>
      </c>
      <c r="P6" s="9">
        <f t="shared" si="4"/>
        <v>0.91903114186851209</v>
      </c>
      <c r="Q6" s="7">
        <v>7121</v>
      </c>
      <c r="R6" s="7">
        <v>24</v>
      </c>
      <c r="S6" s="7">
        <v>5</v>
      </c>
      <c r="T6" s="5"/>
      <c r="U6" s="10">
        <f t="shared" si="5"/>
        <v>-45784.90625</v>
      </c>
      <c r="V6" s="9">
        <f t="shared" si="6"/>
        <v>0.9966296868417357</v>
      </c>
      <c r="W6" s="11">
        <f t="shared" si="7"/>
        <v>0.69655282026449095</v>
      </c>
      <c r="X6" s="11">
        <f t="shared" si="8"/>
        <v>0.58649304272507896</v>
      </c>
    </row>
    <row r="7" spans="1:24">
      <c r="A7" s="29" t="s">
        <v>91</v>
      </c>
      <c r="B7" s="5">
        <v>45785.083333333336</v>
      </c>
      <c r="C7" s="5">
        <v>45786</v>
      </c>
      <c r="D7" s="6">
        <f>IF(B7="","",(C7-B7)*24*60)</f>
        <v>1319.9999999965075</v>
      </c>
      <c r="E7" s="7">
        <v>45</v>
      </c>
      <c r="F7" s="7">
        <v>65</v>
      </c>
      <c r="G7" s="8">
        <f t="shared" si="1"/>
        <v>20</v>
      </c>
      <c r="H7" s="7">
        <f>9+6+12+7+5+10+49+50+30+25+25+30+5</f>
        <v>263</v>
      </c>
      <c r="I7" s="7">
        <f>2+2+1+3+2+4+2+2+1+4+2+3+1+3+3+1+2+3</f>
        <v>41</v>
      </c>
      <c r="J7" s="9">
        <f t="shared" si="2"/>
        <v>0.75454545454480515</v>
      </c>
      <c r="K7" s="28">
        <v>0</v>
      </c>
      <c r="L7" s="28">
        <f>3+2+1+45+40+4+4+4+8+9</f>
        <v>120</v>
      </c>
      <c r="M7" s="9">
        <f t="shared" si="3"/>
        <v>0.62954545454447441</v>
      </c>
      <c r="N7" s="7">
        <v>17000</v>
      </c>
      <c r="O7" s="15">
        <f>AVERAGE(11000,16000,16000,16000)</f>
        <v>14750</v>
      </c>
      <c r="P7" s="9">
        <f t="shared" si="4"/>
        <v>0.86764705882352944</v>
      </c>
      <c r="Q7" s="15">
        <v>6255</v>
      </c>
      <c r="R7" s="15">
        <v>31</v>
      </c>
      <c r="S7" s="7"/>
      <c r="T7" s="5"/>
      <c r="U7" s="10" t="str">
        <f t="shared" si="5"/>
        <v/>
      </c>
      <c r="V7" s="9">
        <f t="shared" si="6"/>
        <v>0.99504396482813751</v>
      </c>
      <c r="W7" s="11">
        <f t="shared" si="7"/>
        <v>0.65143453151860908</v>
      </c>
      <c r="X7" s="11">
        <f t="shared" si="8"/>
        <v>0.54351616033291894</v>
      </c>
    </row>
    <row r="8" spans="1:24">
      <c r="A8" s="29" t="s">
        <v>71</v>
      </c>
      <c r="B8" s="5">
        <v>45786</v>
      </c>
      <c r="C8" s="5">
        <v>45786.831250000003</v>
      </c>
      <c r="D8" s="6">
        <f t="shared" si="0"/>
        <v>1197.000000004191</v>
      </c>
      <c r="E8" s="7">
        <v>10</v>
      </c>
      <c r="F8" s="7">
        <v>7</v>
      </c>
      <c r="G8" s="8">
        <f t="shared" si="1"/>
        <v>-3</v>
      </c>
      <c r="H8" s="7">
        <f>13+11+10+11+5+7+5</f>
        <v>62</v>
      </c>
      <c r="I8" s="7">
        <f>1+1+3+4+1+2+1+3+4+2+3+2+1+1+2+1+3+3+3+2+3+4</f>
        <v>50</v>
      </c>
      <c r="J8" s="9">
        <f t="shared" si="2"/>
        <v>0.9089390142024909</v>
      </c>
      <c r="K8" s="28">
        <v>0</v>
      </c>
      <c r="L8" s="28">
        <f>10+4+2+6+6+4+15+20</f>
        <v>67</v>
      </c>
      <c r="M8" s="9">
        <f t="shared" si="3"/>
        <v>0.84461152882259916</v>
      </c>
      <c r="N8" s="7">
        <v>17000</v>
      </c>
      <c r="O8" s="15">
        <f>AVERAGE(11000,11000,11000,11000,11000,11000,11000,16000,16000,17000,17000,16000,16000,17000,17000,17000,17000)</f>
        <v>14294.117647058823</v>
      </c>
      <c r="P8" s="9">
        <f t="shared" si="4"/>
        <v>0.84083044982698962</v>
      </c>
      <c r="Q8" s="15">
        <v>7865</v>
      </c>
      <c r="R8" s="15">
        <v>84</v>
      </c>
      <c r="S8" s="7">
        <f>10+32+45+280</f>
        <v>367</v>
      </c>
      <c r="T8" s="5">
        <v>45791.361111111109</v>
      </c>
      <c r="U8" s="10">
        <f t="shared" si="5"/>
        <v>4.5298611111065838</v>
      </c>
      <c r="V8" s="9">
        <f t="shared" si="6"/>
        <v>0.94265734265734269</v>
      </c>
      <c r="W8" s="11">
        <f t="shared" si="7"/>
        <v>0.7204386944327551</v>
      </c>
      <c r="X8" s="11">
        <f t="shared" si="8"/>
        <v>0.6694517647718099</v>
      </c>
    </row>
    <row r="9" spans="1:24">
      <c r="A9" s="29" t="s">
        <v>26</v>
      </c>
      <c r="B9" s="5">
        <v>45789.102777777778</v>
      </c>
      <c r="C9" s="5">
        <v>45790</v>
      </c>
      <c r="D9" s="6">
        <f t="shared" si="0"/>
        <v>1291.9999999995343</v>
      </c>
      <c r="E9" s="7">
        <v>10</v>
      </c>
      <c r="F9" s="7">
        <f>20+4</f>
        <v>24</v>
      </c>
      <c r="G9" s="8">
        <f t="shared" si="1"/>
        <v>14</v>
      </c>
      <c r="H9" s="7">
        <f>30+39+48+15+20+24+8+5+5+26+10+5+7+5+7+6</f>
        <v>260</v>
      </c>
      <c r="I9" s="7">
        <f>3+2+3+2+2+2+3+3+4+4+3+2+4+2+1+2+3+4+1+3+2+2+1+1+2+2+1+4+3+2+2+3+3+3+3+2+2+2+4+2+2+2+1+2+2+2+3+3+2+3</f>
        <v>121</v>
      </c>
      <c r="J9" s="9">
        <f t="shared" si="2"/>
        <v>0.69427244582032321</v>
      </c>
      <c r="K9" s="28">
        <v>0</v>
      </c>
      <c r="L9" s="28">
        <f>10+7+3+2+3</f>
        <v>25</v>
      </c>
      <c r="M9" s="9">
        <f t="shared" si="3"/>
        <v>0.66718266253857972</v>
      </c>
      <c r="N9" s="7">
        <v>17000</v>
      </c>
      <c r="O9" s="15">
        <f>AVERAGE(17000,17000,17000,17000,17000,17000,17000,17000,17000,17000,17000,17000,17000,17000,17000,17000,17000,17000,17000,17000,17000,17000)</f>
        <v>17000</v>
      </c>
      <c r="P9" s="9">
        <f t="shared" si="4"/>
        <v>1</v>
      </c>
      <c r="Q9" s="15">
        <v>7805</v>
      </c>
      <c r="R9" s="15">
        <f>15+2</f>
        <v>17</v>
      </c>
      <c r="S9" s="7">
        <v>19</v>
      </c>
      <c r="T9" s="5"/>
      <c r="U9" s="10">
        <f t="shared" si="5"/>
        <v>-45790</v>
      </c>
      <c r="V9" s="9">
        <f t="shared" si="6"/>
        <v>0.99782190903267132</v>
      </c>
      <c r="W9" s="11">
        <f t="shared" si="7"/>
        <v>0.6927602572772168</v>
      </c>
      <c r="X9" s="11">
        <f t="shared" si="8"/>
        <v>0.66572947800774618</v>
      </c>
    </row>
    <row r="10" spans="1:24">
      <c r="A10" s="29" t="s">
        <v>92</v>
      </c>
      <c r="B10" s="5">
        <v>45790</v>
      </c>
      <c r="C10" s="5">
        <v>45791</v>
      </c>
      <c r="D10" s="58">
        <f t="shared" si="0"/>
        <v>1440</v>
      </c>
      <c r="E10" s="7">
        <v>100</v>
      </c>
      <c r="F10" s="7">
        <v>58</v>
      </c>
      <c r="G10" s="8">
        <f t="shared" si="1"/>
        <v>-42</v>
      </c>
      <c r="H10" s="7">
        <f>8+7+16+60+60+60+60+60</f>
        <v>331</v>
      </c>
      <c r="I10" s="7">
        <f>3+3+2+2</f>
        <v>10</v>
      </c>
      <c r="J10" s="59">
        <f t="shared" si="2"/>
        <v>0.79236111111111107</v>
      </c>
      <c r="K10" s="28">
        <v>0</v>
      </c>
      <c r="L10" s="28">
        <f>4+2+8+60+30+30+60</f>
        <v>194</v>
      </c>
      <c r="M10" s="59">
        <f>IF(B10="","",(D10-G10-H10-I10-K10-L10-E10)/D10)</f>
        <v>0.58819444444444446</v>
      </c>
      <c r="N10" s="7">
        <v>17000</v>
      </c>
      <c r="O10" s="15">
        <f>AVERAGE(17000,17000,17000,17000,17000)</f>
        <v>17000</v>
      </c>
      <c r="P10" s="59">
        <f t="shared" si="4"/>
        <v>1</v>
      </c>
      <c r="Q10" s="15">
        <v>2617</v>
      </c>
      <c r="R10" s="15">
        <v>16</v>
      </c>
      <c r="S10" s="7"/>
      <c r="T10" s="5"/>
      <c r="U10" s="60" t="str">
        <f t="shared" si="5"/>
        <v/>
      </c>
      <c r="V10" s="59">
        <f t="shared" si="6"/>
        <v>0.99388612915552155</v>
      </c>
      <c r="W10" s="61">
        <f t="shared" si="7"/>
        <v>0.78751671761559028</v>
      </c>
      <c r="X10" s="61">
        <f t="shared" si="8"/>
        <v>0.58459829957967135</v>
      </c>
    </row>
    <row r="11" spans="1:24">
      <c r="A11" s="29" t="s">
        <v>93</v>
      </c>
      <c r="B11" s="5">
        <v>45791.451388888891</v>
      </c>
      <c r="C11" s="5">
        <v>45791.833333333336</v>
      </c>
      <c r="D11" s="6">
        <f t="shared" si="0"/>
        <v>550.00000000116415</v>
      </c>
      <c r="E11" s="7">
        <v>0</v>
      </c>
      <c r="F11" s="7">
        <v>0</v>
      </c>
      <c r="G11" s="8">
        <f>IF(E11="","",F11-E11)</f>
        <v>0</v>
      </c>
      <c r="H11" s="7">
        <f>5+60+60+60+22+15+40+60+48+42</f>
        <v>412</v>
      </c>
      <c r="I11" s="7">
        <v>0</v>
      </c>
      <c r="J11" s="9">
        <f t="shared" si="2"/>
        <v>0.25090909091067648</v>
      </c>
      <c r="K11" s="28">
        <v>0</v>
      </c>
      <c r="L11" s="28">
        <v>0</v>
      </c>
      <c r="M11" s="9">
        <f t="shared" si="3"/>
        <v>0.25090909091067648</v>
      </c>
      <c r="N11" s="7">
        <v>17000</v>
      </c>
      <c r="O11" s="15">
        <f>AVERAGE(15000)</f>
        <v>15000</v>
      </c>
      <c r="P11" s="9">
        <f t="shared" si="4"/>
        <v>0.88235294117647056</v>
      </c>
      <c r="Q11" s="15">
        <v>578</v>
      </c>
      <c r="R11" s="15">
        <v>22</v>
      </c>
      <c r="S11" s="7"/>
      <c r="T11" s="5"/>
      <c r="U11" s="10" t="str">
        <f t="shared" si="5"/>
        <v/>
      </c>
      <c r="V11" s="9">
        <f t="shared" si="6"/>
        <v>0.96193771626297575</v>
      </c>
      <c r="W11" s="11">
        <f t="shared" si="7"/>
        <v>0.21296375108844307</v>
      </c>
      <c r="X11" s="11">
        <f t="shared" si="8"/>
        <v>0.21296375108844307</v>
      </c>
    </row>
    <row r="12" spans="1:24">
      <c r="A12" s="29" t="s">
        <v>93</v>
      </c>
      <c r="B12" s="5">
        <v>45792.763888888891</v>
      </c>
      <c r="C12" s="5">
        <v>45793</v>
      </c>
      <c r="D12" s="6">
        <f t="shared" si="0"/>
        <v>339.99999999767169</v>
      </c>
      <c r="E12" s="7">
        <v>0</v>
      </c>
      <c r="F12" s="7">
        <v>0</v>
      </c>
      <c r="G12" s="8">
        <f t="shared" si="1"/>
        <v>0</v>
      </c>
      <c r="H12" s="7">
        <f>60+36+10+6</f>
        <v>112</v>
      </c>
      <c r="I12" s="7">
        <f>2+2+4+2</f>
        <v>10</v>
      </c>
      <c r="J12" s="9">
        <f t="shared" si="2"/>
        <v>0.64117647058577809</v>
      </c>
      <c r="K12" s="28">
        <v>0</v>
      </c>
      <c r="L12" s="28">
        <v>0</v>
      </c>
      <c r="M12" s="9">
        <f t="shared" si="3"/>
        <v>0.64117647058577809</v>
      </c>
      <c r="N12" s="7">
        <v>17000</v>
      </c>
      <c r="O12" s="15">
        <f>AVERAGE(14800,14800,14800,14800,14800,14800)</f>
        <v>14800</v>
      </c>
      <c r="P12" s="9">
        <f t="shared" si="4"/>
        <v>0.87058823529411766</v>
      </c>
      <c r="Q12" s="15">
        <v>1358</v>
      </c>
      <c r="R12" s="15">
        <v>10</v>
      </c>
      <c r="S12" s="7"/>
      <c r="T12" s="5"/>
      <c r="U12" s="10" t="str">
        <f t="shared" si="5"/>
        <v/>
      </c>
      <c r="V12" s="9">
        <f t="shared" si="6"/>
        <v>0.99263622974963184</v>
      </c>
      <c r="W12" s="11">
        <f t="shared" si="7"/>
        <v>0.55409023038960881</v>
      </c>
      <c r="X12" s="11">
        <f t="shared" si="8"/>
        <v>0.55409023038960881</v>
      </c>
    </row>
    <row r="13" spans="1:24">
      <c r="A13" s="29" t="s">
        <v>94</v>
      </c>
      <c r="B13" s="5">
        <v>45793</v>
      </c>
      <c r="C13" s="5">
        <v>45793.795138888891</v>
      </c>
      <c r="D13" s="6">
        <f t="shared" si="0"/>
        <v>1145.0000000023283</v>
      </c>
      <c r="E13" s="7">
        <f>10+100</f>
        <v>110</v>
      </c>
      <c r="F13" s="7">
        <f>14+88</f>
        <v>102</v>
      </c>
      <c r="G13" s="8">
        <f>IF(E13="","",F13-E13)</f>
        <v>-8</v>
      </c>
      <c r="H13" s="7">
        <f>14+48</f>
        <v>62</v>
      </c>
      <c r="I13" s="7">
        <f>2+2</f>
        <v>4</v>
      </c>
      <c r="J13" s="9">
        <f t="shared" si="2"/>
        <v>0.94934497816604191</v>
      </c>
      <c r="K13" s="28">
        <v>0</v>
      </c>
      <c r="L13" s="28">
        <f>22+6+3+631+4+2+5</f>
        <v>673</v>
      </c>
      <c r="M13" s="9">
        <f t="shared" si="3"/>
        <v>0.26550218340760712</v>
      </c>
      <c r="N13" s="7">
        <v>17000</v>
      </c>
      <c r="O13" s="15">
        <f>AVERAGE(14500,14500,14500, 14500)</f>
        <v>14500</v>
      </c>
      <c r="P13" s="9">
        <f t="shared" si="4"/>
        <v>0.8529411764705882</v>
      </c>
      <c r="Q13" s="15">
        <v>2253</v>
      </c>
      <c r="R13" s="15">
        <v>45</v>
      </c>
      <c r="S13" s="7">
        <v>109</v>
      </c>
      <c r="T13" s="5"/>
      <c r="U13" s="10">
        <f t="shared" si="5"/>
        <v>-45793.795138888891</v>
      </c>
      <c r="V13" s="9">
        <f t="shared" si="6"/>
        <v>0.98002663115845534</v>
      </c>
      <c r="W13" s="11">
        <f t="shared" si="7"/>
        <v>0.79356227829466586</v>
      </c>
      <c r="X13" s="11">
        <f t="shared" si="8"/>
        <v>0.2219346206098522</v>
      </c>
    </row>
    <row r="14" spans="1:24">
      <c r="A14" s="29" t="s">
        <v>85</v>
      </c>
      <c r="B14" s="5">
        <v>45796.375</v>
      </c>
      <c r="C14" s="5">
        <v>45797</v>
      </c>
      <c r="D14" s="6">
        <f t="shared" si="0"/>
        <v>900</v>
      </c>
      <c r="E14" s="7">
        <v>0</v>
      </c>
      <c r="F14" s="7">
        <v>0</v>
      </c>
      <c r="G14" s="8">
        <f t="shared" si="1"/>
        <v>0</v>
      </c>
      <c r="H14" s="7">
        <f>60+5+40+25+6+9+5+6+7+5+5+6+5</f>
        <v>184</v>
      </c>
      <c r="I14" s="7">
        <f>4+3+4+4+4+4+1+4+2+3+2+3+3+4+3+1+4+1+2+3+2+2+2+3</f>
        <v>68</v>
      </c>
      <c r="J14" s="9">
        <f t="shared" si="2"/>
        <v>0.72</v>
      </c>
      <c r="K14" s="28">
        <v>10</v>
      </c>
      <c r="L14" s="28">
        <f>25+2+2</f>
        <v>29</v>
      </c>
      <c r="M14" s="9">
        <f t="shared" si="3"/>
        <v>0.67666666666666664</v>
      </c>
      <c r="N14" s="7">
        <v>17000</v>
      </c>
      <c r="O14" s="15">
        <f>AVERAGE(16000,16000,16000,16000,16000,16000,16000,16000,16000,17000,17000,16000,16000)</f>
        <v>16153.846153846154</v>
      </c>
      <c r="P14" s="9">
        <f t="shared" si="4"/>
        <v>0.95022624434389147</v>
      </c>
      <c r="Q14" s="15">
        <v>5270</v>
      </c>
      <c r="R14" s="15">
        <v>71</v>
      </c>
      <c r="S14" s="7"/>
      <c r="T14" s="5"/>
      <c r="U14" s="10" t="str">
        <f t="shared" si="5"/>
        <v/>
      </c>
      <c r="V14" s="9">
        <f t="shared" si="6"/>
        <v>0.98652751423149909</v>
      </c>
      <c r="W14" s="11">
        <f t="shared" si="7"/>
        <v>0.67494552104888084</v>
      </c>
      <c r="X14" s="11">
        <f t="shared" si="8"/>
        <v>0.6343237998746426</v>
      </c>
    </row>
    <row r="15" spans="1:24">
      <c r="A15" s="29" t="s">
        <v>95</v>
      </c>
      <c r="B15" s="5">
        <v>45797</v>
      </c>
      <c r="C15" s="5">
        <v>45798</v>
      </c>
      <c r="D15" s="6">
        <f t="shared" si="0"/>
        <v>1440</v>
      </c>
      <c r="E15" s="7">
        <f>10+7</f>
        <v>17</v>
      </c>
      <c r="F15" s="7">
        <f>8+64</f>
        <v>72</v>
      </c>
      <c r="G15" s="8">
        <f t="shared" si="1"/>
        <v>55</v>
      </c>
      <c r="H15" s="7">
        <f>12+5+21+7+6+35+15+45+7+40+39+5+27+39</f>
        <v>303</v>
      </c>
      <c r="I15" s="7">
        <f>2+3+2+1+3+2+4+1+4+3+1+2+3+1+1+4+4+4+4+1+1</f>
        <v>51</v>
      </c>
      <c r="J15" s="9">
        <f t="shared" si="2"/>
        <v>0.71597222222222223</v>
      </c>
      <c r="K15" s="28">
        <v>0</v>
      </c>
      <c r="L15" s="28">
        <f>11+10+40+38+8+3+8+11+4</f>
        <v>133</v>
      </c>
      <c r="M15" s="9">
        <f t="shared" si="3"/>
        <v>0.6118055555555556</v>
      </c>
      <c r="N15" s="7">
        <v>17000</v>
      </c>
      <c r="O15" s="15">
        <f>AVERAGE(17000,16800,16800,16800,16800,16800,17000,17000,17000,17000,17000,15000,15000,16000,16000)</f>
        <v>16533.333333333332</v>
      </c>
      <c r="P15" s="9">
        <f t="shared" si="4"/>
        <v>0.97254901960784301</v>
      </c>
      <c r="Q15" s="15">
        <v>7460</v>
      </c>
      <c r="R15" s="7">
        <v>59</v>
      </c>
      <c r="S15" s="7"/>
      <c r="T15" s="5"/>
      <c r="U15" s="10" t="str">
        <f t="shared" si="5"/>
        <v/>
      </c>
      <c r="V15" s="9">
        <f t="shared" si="6"/>
        <v>0.99209115281501337</v>
      </c>
      <c r="W15" s="11">
        <f t="shared" si="7"/>
        <v>0.69081100947975249</v>
      </c>
      <c r="X15" s="11">
        <f t="shared" si="8"/>
        <v>0.59030504301810083</v>
      </c>
    </row>
    <row r="16" spans="1:24">
      <c r="A16" s="29" t="s">
        <v>96</v>
      </c>
      <c r="B16" s="5">
        <v>45798</v>
      </c>
      <c r="C16" s="5">
        <v>45799</v>
      </c>
      <c r="D16" s="6">
        <f t="shared" si="0"/>
        <v>1440</v>
      </c>
      <c r="E16" s="7">
        <v>7</v>
      </c>
      <c r="F16" s="7">
        <v>9</v>
      </c>
      <c r="G16" s="8">
        <f t="shared" si="1"/>
        <v>2</v>
      </c>
      <c r="H16" s="7">
        <f>8+9+5+5+10+28+60+60+60+60+60+20+40+60</f>
        <v>485</v>
      </c>
      <c r="I16" s="7">
        <f>3+2+3+3+2+1+1+2+2+3+2+4+3+3+4+2+2+2+3+2+2+1+3+2+2+2+2+3+4+2+3+2</f>
        <v>77</v>
      </c>
      <c r="J16" s="9">
        <f>IF(B16="","",(D16-G16-H16-I16)/D16)</f>
        <v>0.60833333333333328</v>
      </c>
      <c r="K16" s="28">
        <v>0</v>
      </c>
      <c r="L16" s="28">
        <f>5+9+3+4+3+19</f>
        <v>43</v>
      </c>
      <c r="M16" s="9">
        <f t="shared" si="3"/>
        <v>0.57361111111111107</v>
      </c>
      <c r="N16" s="7">
        <v>17000</v>
      </c>
      <c r="O16" s="15">
        <f>AVERAGE(16500,16500,16000,16000,16500,16500,16500,15000,15000,14000,15000,15000,15500,16000,16000)</f>
        <v>15733.333333333334</v>
      </c>
      <c r="P16" s="9">
        <f t="shared" si="4"/>
        <v>0.92549019607843142</v>
      </c>
      <c r="Q16" s="7">
        <v>6641</v>
      </c>
      <c r="R16" s="7">
        <v>60</v>
      </c>
      <c r="S16" s="7"/>
      <c r="T16" s="5"/>
      <c r="U16" s="10" t="str">
        <f t="shared" si="5"/>
        <v/>
      </c>
      <c r="V16" s="9">
        <f t="shared" si="6"/>
        <v>0.99096521608191535</v>
      </c>
      <c r="W16" s="11">
        <f t="shared" si="7"/>
        <v>0.5579198935509555</v>
      </c>
      <c r="X16" s="11">
        <f t="shared" si="8"/>
        <v>0.52607515076836675</v>
      </c>
    </row>
    <row r="17" spans="1:24">
      <c r="A17" s="29" t="s">
        <v>59</v>
      </c>
      <c r="B17" s="5">
        <v>45799.768055555556</v>
      </c>
      <c r="C17" s="5">
        <v>45800</v>
      </c>
      <c r="D17" s="6">
        <f t="shared" si="0"/>
        <v>333.99999999906868</v>
      </c>
      <c r="E17" s="7">
        <v>0</v>
      </c>
      <c r="F17" s="7">
        <v>0</v>
      </c>
      <c r="G17" s="8">
        <f>IF(E17="","",F17-E17)</f>
        <v>0</v>
      </c>
      <c r="H17" s="7">
        <f>26+25+14</f>
        <v>65</v>
      </c>
      <c r="I17" s="7">
        <f>1+2+1+3+1+4+1+2+2+1+3+1+4+4+2</f>
        <v>32</v>
      </c>
      <c r="J17" s="9">
        <f t="shared" si="2"/>
        <v>0.70958083832254348</v>
      </c>
      <c r="K17" s="28">
        <v>0</v>
      </c>
      <c r="L17" s="28">
        <f>3+4</f>
        <v>7</v>
      </c>
      <c r="M17" s="9">
        <f t="shared" si="3"/>
        <v>0.68862275449014976</v>
      </c>
      <c r="N17" s="7">
        <v>17000</v>
      </c>
      <c r="O17" s="15">
        <f>AVERAGE(16500,16500,16500,16500)</f>
        <v>16500</v>
      </c>
      <c r="P17" s="9">
        <f t="shared" si="4"/>
        <v>0.97058823529411764</v>
      </c>
      <c r="Q17" s="7">
        <v>2391</v>
      </c>
      <c r="R17" s="7">
        <v>18</v>
      </c>
      <c r="S17" s="7"/>
      <c r="T17" s="5"/>
      <c r="U17" s="10" t="str">
        <f t="shared" si="5"/>
        <v/>
      </c>
      <c r="V17" s="9">
        <f t="shared" si="6"/>
        <v>0.9924717691342535</v>
      </c>
      <c r="W17" s="11">
        <f t="shared" si="7"/>
        <v>0.68352603966098435</v>
      </c>
      <c r="X17" s="11">
        <f t="shared" si="8"/>
        <v>0.6633375068439139</v>
      </c>
    </row>
    <row r="18" spans="1:24">
      <c r="A18" s="29" t="s">
        <v>71</v>
      </c>
      <c r="B18" s="5">
        <v>45800</v>
      </c>
      <c r="C18" s="5">
        <v>45800.836111111108</v>
      </c>
      <c r="D18" s="6">
        <f t="shared" si="0"/>
        <v>1203.9999999955762</v>
      </c>
      <c r="E18" s="7">
        <v>10</v>
      </c>
      <c r="F18" s="7">
        <v>7</v>
      </c>
      <c r="G18" s="8">
        <f t="shared" si="1"/>
        <v>-3</v>
      </c>
      <c r="H18" s="7">
        <f>6+5+5+60+7+6+6+40+5+8+19+45+25+5+9+7+19+60+60+60+60+13</f>
        <v>530</v>
      </c>
      <c r="I18" s="7">
        <f>3+2+4+2+1+1+4+3+4+2+5+3+2+3+2+1</f>
        <v>42</v>
      </c>
      <c r="J18" s="9">
        <f t="shared" si="2"/>
        <v>0.52740863787201775</v>
      </c>
      <c r="K18" s="28">
        <v>0</v>
      </c>
      <c r="L18" s="28">
        <f>5+3+4+2+2+2+12</f>
        <v>30</v>
      </c>
      <c r="M18" s="9">
        <f t="shared" si="3"/>
        <v>0.49418604650976944</v>
      </c>
      <c r="N18" s="7">
        <v>17000</v>
      </c>
      <c r="O18" s="15">
        <f>AVERAGE(16000,16000,16000,16000,16000,16000,17000,17000,17000,17000,16000,16500)</f>
        <v>16375</v>
      </c>
      <c r="P18" s="9">
        <f t="shared" si="4"/>
        <v>0.96323529411764708</v>
      </c>
      <c r="Q18" s="7">
        <v>4797</v>
      </c>
      <c r="R18" s="7">
        <v>66</v>
      </c>
      <c r="S18" s="7"/>
      <c r="T18" s="5"/>
      <c r="U18" s="10" t="str">
        <f t="shared" si="5"/>
        <v/>
      </c>
      <c r="V18" s="9">
        <f t="shared" si="6"/>
        <v>0.98624140087554724</v>
      </c>
      <c r="W18" s="11">
        <f t="shared" si="7"/>
        <v>0.50102898995726441</v>
      </c>
      <c r="X18" s="11">
        <f t="shared" si="8"/>
        <v>0.46946810869989403</v>
      </c>
    </row>
    <row r="19" spans="1:24">
      <c r="A19" s="29" t="s">
        <v>97</v>
      </c>
      <c r="B19" s="5">
        <v>45803.314583333333</v>
      </c>
      <c r="C19" s="5">
        <v>45803.99722222222</v>
      </c>
      <c r="D19" s="6">
        <f t="shared" si="0"/>
        <v>982.99999999813735</v>
      </c>
      <c r="E19" s="7">
        <v>45</v>
      </c>
      <c r="F19" s="7">
        <v>15</v>
      </c>
      <c r="G19" s="8">
        <f>IF(E19="","",F19-E19)</f>
        <v>-30</v>
      </c>
      <c r="H19" s="56">
        <f>9+6+8+8+11+47+21+5+8+6+7+5+7+7+41+17+31+5</f>
        <v>249</v>
      </c>
      <c r="I19" s="56">
        <f>3+2+2+2+2+2+1+3+2+4+3+1+4+1+3+4</f>
        <v>39</v>
      </c>
      <c r="J19" s="9">
        <f>IF(B19="","",(D19-G19-H19-I19)/D19)</f>
        <v>0.73753814852442634</v>
      </c>
      <c r="K19" s="28">
        <v>0</v>
      </c>
      <c r="L19" s="28">
        <f>4+27+11</f>
        <v>42</v>
      </c>
      <c r="M19" s="9">
        <f>IF(B19="","",(D19-G19-H19-I19-K19-L19-E19)/D19)</f>
        <v>0.64903357070126788</v>
      </c>
      <c r="N19" s="7">
        <v>17000</v>
      </c>
      <c r="O19" s="15">
        <f>AVERAGE(16000,16000,16000,16000,16000,16000,16000,17000,17000,17000,17000,16000,17000)</f>
        <v>16384.615384615383</v>
      </c>
      <c r="P19" s="9">
        <f t="shared" si="4"/>
        <v>0.96380090497737547</v>
      </c>
      <c r="Q19" s="15">
        <v>4781</v>
      </c>
      <c r="R19" s="7">
        <v>23</v>
      </c>
      <c r="S19" s="7"/>
      <c r="T19" s="5"/>
      <c r="U19" s="10" t="str">
        <f t="shared" si="5"/>
        <v/>
      </c>
      <c r="V19" s="9">
        <f t="shared" si="6"/>
        <v>0.99518929094331732</v>
      </c>
      <c r="W19" s="11">
        <f>IF(B19="","",V19*P19*J19)</f>
        <v>0.70742029089000846</v>
      </c>
      <c r="X19" s="11">
        <f>IF(B19="","",V19*P19*M19)</f>
        <v>0.62252985598298949</v>
      </c>
    </row>
    <row r="20" spans="1:24">
      <c r="A20" s="29" t="s">
        <v>98</v>
      </c>
      <c r="B20" s="5">
        <v>45804.138888888891</v>
      </c>
      <c r="C20" s="5">
        <v>45805</v>
      </c>
      <c r="D20" s="6">
        <f t="shared" si="0"/>
        <v>1239.9999999976717</v>
      </c>
      <c r="E20" s="7">
        <f>60+10</f>
        <v>70</v>
      </c>
      <c r="F20" s="7">
        <f>45+16</f>
        <v>61</v>
      </c>
      <c r="G20" s="8">
        <f>IF(E20="","",F20-E20)</f>
        <v>-9</v>
      </c>
      <c r="H20" s="7">
        <f>19+16+6+5+5+5+23+5+7+6+5+15+7+5+6+24+8+5+6+12+60+60+37+60+60</f>
        <v>467</v>
      </c>
      <c r="I20" s="7">
        <f>3+2+2+1+2+2+2+1+2+2+2+3+1+2+2+1+4+1+1+3+2+4</f>
        <v>45</v>
      </c>
      <c r="J20" s="9">
        <f>IF(B20="","",(D20-G20-H20-I20)/D20)</f>
        <v>0.5943548387089157</v>
      </c>
      <c r="K20" s="28">
        <v>0</v>
      </c>
      <c r="L20" s="28">
        <f>15+60+60+20+5+4+14+6</f>
        <v>184</v>
      </c>
      <c r="M20" s="9">
        <f t="shared" si="3"/>
        <v>0.38951612903111177</v>
      </c>
      <c r="N20" s="7">
        <v>17000</v>
      </c>
      <c r="O20" s="30">
        <f>AVERAGE(17000,17000,17000,17000,17000,17000,17000,15000,14000,16500,16000,16000)</f>
        <v>16375</v>
      </c>
      <c r="P20" s="9">
        <f t="shared" si="4"/>
        <v>0.96323529411764708</v>
      </c>
      <c r="Q20" s="7">
        <v>4514</v>
      </c>
      <c r="R20" s="7">
        <f>9+28</f>
        <v>37</v>
      </c>
      <c r="S20" s="7"/>
      <c r="T20" s="5"/>
      <c r="U20" s="10" t="str">
        <f t="shared" si="5"/>
        <v/>
      </c>
      <c r="V20" s="9">
        <f t="shared" si="6"/>
        <v>0.99180327868852458</v>
      </c>
      <c r="W20" s="11">
        <f t="shared" si="7"/>
        <v>0.56781090576030757</v>
      </c>
      <c r="X20" s="11">
        <f t="shared" si="8"/>
        <v>0.37212030865912199</v>
      </c>
    </row>
    <row r="21" spans="1:24">
      <c r="A21" s="29" t="s">
        <v>99</v>
      </c>
      <c r="B21" s="5">
        <v>45806.794444444444</v>
      </c>
      <c r="C21" s="5">
        <v>45807</v>
      </c>
      <c r="D21" s="6">
        <f t="shared" si="0"/>
        <v>296.00000000093132</v>
      </c>
      <c r="E21" s="7">
        <v>10</v>
      </c>
      <c r="F21" s="7">
        <v>18</v>
      </c>
      <c r="G21" s="8">
        <f t="shared" si="1"/>
        <v>8</v>
      </c>
      <c r="H21" s="7">
        <f>5+7</f>
        <v>12</v>
      </c>
      <c r="I21" s="7">
        <f>3+2+4+2+3+3</f>
        <v>17</v>
      </c>
      <c r="J21" s="9">
        <f t="shared" si="2"/>
        <v>0.87500000000039324</v>
      </c>
      <c r="K21" s="28">
        <v>0</v>
      </c>
      <c r="L21" s="28">
        <f>10+14</f>
        <v>24</v>
      </c>
      <c r="M21" s="9">
        <f t="shared" si="3"/>
        <v>0.76013513513588982</v>
      </c>
      <c r="N21" s="7">
        <v>17000</v>
      </c>
      <c r="O21" s="15">
        <f>AVERAGE(16700,17000,17000,17000)</f>
        <v>16925</v>
      </c>
      <c r="P21" s="9">
        <f t="shared" si="4"/>
        <v>0.99558823529411766</v>
      </c>
      <c r="Q21" s="7">
        <v>1683</v>
      </c>
      <c r="R21" s="15">
        <v>14</v>
      </c>
      <c r="S21" s="7">
        <v>41.17</v>
      </c>
      <c r="T21" s="5">
        <v>45783.375</v>
      </c>
      <c r="U21" s="10">
        <f t="shared" si="5"/>
        <v>-23.625</v>
      </c>
      <c r="V21" s="9">
        <f t="shared" si="6"/>
        <v>0.99168152109328578</v>
      </c>
      <c r="W21" s="11">
        <f t="shared" si="7"/>
        <v>0.86389314861455768</v>
      </c>
      <c r="X21" s="11">
        <f t="shared" si="8"/>
        <v>0.75048632601691545</v>
      </c>
    </row>
    <row r="22" spans="1:24">
      <c r="A22" s="29" t="s">
        <v>59</v>
      </c>
      <c r="B22" s="5">
        <v>45807.006944444445</v>
      </c>
      <c r="C22" s="5">
        <v>45807.87222222222</v>
      </c>
      <c r="D22" s="6">
        <f t="shared" si="0"/>
        <v>1245.9999999962747</v>
      </c>
      <c r="E22" s="7">
        <v>0</v>
      </c>
      <c r="F22" s="7">
        <v>0</v>
      </c>
      <c r="G22" s="8">
        <f t="shared" si="1"/>
        <v>0</v>
      </c>
      <c r="H22" s="7">
        <f>53+33+7+23+5+6</f>
        <v>127</v>
      </c>
      <c r="I22" s="7">
        <f>4+1+3+3+2+4+4+2+3+2+3+1+2+4+2+2+2+1+4+4</f>
        <v>53</v>
      </c>
      <c r="J22" s="9">
        <f t="shared" si="2"/>
        <v>0.85553772070582812</v>
      </c>
      <c r="K22" s="28">
        <v>14</v>
      </c>
      <c r="L22" s="28">
        <f>2+2+8+7+4+11+24+5+4+4</f>
        <v>71</v>
      </c>
      <c r="M22" s="9">
        <f t="shared" si="3"/>
        <v>0.78731942215024697</v>
      </c>
      <c r="N22" s="7">
        <v>17000</v>
      </c>
      <c r="O22" s="30">
        <f>AVERAGE(16500,16500,16000,16000,16500,16500,16500,16500,16500,16500,16500,16000,17000,17000,17000,17000,17000)</f>
        <v>16558.823529411766</v>
      </c>
      <c r="P22" s="9">
        <f t="shared" si="4"/>
        <v>0.97404844290657444</v>
      </c>
      <c r="Q22" s="15">
        <v>7991</v>
      </c>
      <c r="R22" s="7">
        <v>20</v>
      </c>
      <c r="S22" s="7">
        <v>5</v>
      </c>
      <c r="T22" s="5">
        <v>45810.291666666664</v>
      </c>
      <c r="U22" s="10">
        <f t="shared" si="5"/>
        <v>2.4194444444437977</v>
      </c>
      <c r="V22" s="9">
        <f t="shared" si="6"/>
        <v>0.99749718433237389</v>
      </c>
      <c r="W22" s="11">
        <f t="shared" si="7"/>
        <v>0.83124950034469702</v>
      </c>
      <c r="X22" s="11">
        <f t="shared" si="8"/>
        <v>0.76496787977289016</v>
      </c>
    </row>
    <row r="23" spans="1:24">
      <c r="A23" s="29"/>
      <c r="B23" s="5"/>
      <c r="C23" s="5"/>
      <c r="D23" s="6" t="str">
        <f t="shared" si="0"/>
        <v/>
      </c>
      <c r="E23" s="7"/>
      <c r="F23" s="7"/>
      <c r="G23" s="8" t="str">
        <f t="shared" si="1"/>
        <v/>
      </c>
      <c r="H23" s="7"/>
      <c r="I23" s="7"/>
      <c r="J23" s="9" t="str">
        <f t="shared" si="2"/>
        <v/>
      </c>
      <c r="K23" s="28"/>
      <c r="L23" s="28"/>
      <c r="M23" s="9" t="str">
        <f t="shared" si="3"/>
        <v/>
      </c>
      <c r="N23" s="7"/>
      <c r="O23" s="15"/>
      <c r="P23" s="9" t="str">
        <f t="shared" si="4"/>
        <v/>
      </c>
      <c r="Q23" s="15"/>
      <c r="R23" s="7"/>
      <c r="S23" s="7"/>
      <c r="T23" s="5"/>
      <c r="U23" s="10" t="str">
        <f t="shared" si="5"/>
        <v/>
      </c>
      <c r="V23" s="9" t="str">
        <f t="shared" si="6"/>
        <v/>
      </c>
      <c r="W23" s="11" t="str">
        <f t="shared" si="7"/>
        <v/>
      </c>
      <c r="X23" s="11" t="str">
        <f t="shared" si="8"/>
        <v/>
      </c>
    </row>
    <row r="24" spans="1:24">
      <c r="A24" s="29"/>
      <c r="B24" s="5"/>
      <c r="C24" s="5"/>
      <c r="D24" s="6" t="str">
        <f t="shared" si="0"/>
        <v/>
      </c>
      <c r="E24" s="7"/>
      <c r="F24" s="7"/>
      <c r="G24" s="8" t="str">
        <f t="shared" si="1"/>
        <v/>
      </c>
      <c r="H24" s="7"/>
      <c r="I24" s="7"/>
      <c r="J24" s="9" t="str">
        <f t="shared" si="2"/>
        <v/>
      </c>
      <c r="K24" s="28"/>
      <c r="L24" s="28"/>
      <c r="M24" s="9" t="str">
        <f t="shared" si="3"/>
        <v/>
      </c>
      <c r="N24" s="7"/>
      <c r="O24" s="15"/>
      <c r="P24" s="9" t="str">
        <f t="shared" si="4"/>
        <v/>
      </c>
      <c r="Q24" s="7"/>
      <c r="R24" s="7"/>
      <c r="S24" s="7"/>
      <c r="T24" s="5"/>
      <c r="U24" s="10" t="str">
        <f t="shared" si="5"/>
        <v/>
      </c>
      <c r="V24" s="9" t="str">
        <f t="shared" si="6"/>
        <v/>
      </c>
      <c r="W24" s="11" t="str">
        <f t="shared" si="7"/>
        <v/>
      </c>
      <c r="X24" s="11" t="str">
        <f t="shared" si="8"/>
        <v/>
      </c>
    </row>
    <row r="25" spans="1:24">
      <c r="A25" s="29"/>
      <c r="B25" s="5"/>
      <c r="C25" s="5"/>
      <c r="D25" s="6" t="str">
        <f t="shared" si="0"/>
        <v/>
      </c>
      <c r="E25" s="7"/>
      <c r="F25" s="7"/>
      <c r="G25" s="8" t="str">
        <f t="shared" si="1"/>
        <v/>
      </c>
      <c r="H25" s="7"/>
      <c r="I25" s="7"/>
      <c r="J25" s="9" t="str">
        <f t="shared" si="2"/>
        <v/>
      </c>
      <c r="K25" s="28"/>
      <c r="L25" s="28"/>
      <c r="M25" s="9" t="str">
        <f t="shared" si="3"/>
        <v/>
      </c>
      <c r="N25" s="7"/>
      <c r="O25" s="15"/>
      <c r="P25" s="9" t="str">
        <f t="shared" si="4"/>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2"/>
        <v/>
      </c>
      <c r="K26" s="28"/>
      <c r="L26" s="28"/>
      <c r="M26" s="9" t="str">
        <f t="shared" si="3"/>
        <v/>
      </c>
      <c r="N26" s="7"/>
      <c r="O26" s="15"/>
      <c r="P26" s="9" t="str">
        <f t="shared" si="4"/>
        <v/>
      </c>
      <c r="Q26" s="7"/>
      <c r="R26" s="7"/>
      <c r="S26" s="7"/>
      <c r="T26" s="5"/>
      <c r="U26" s="10" t="str">
        <f t="shared" si="5"/>
        <v/>
      </c>
      <c r="V26" s="9" t="str">
        <f t="shared" si="6"/>
        <v/>
      </c>
      <c r="W26" s="11" t="str">
        <f t="shared" si="7"/>
        <v/>
      </c>
      <c r="X26" s="11" t="str">
        <f t="shared" si="8"/>
        <v/>
      </c>
    </row>
    <row r="27" spans="1:24">
      <c r="A27" s="29"/>
      <c r="B27" s="5"/>
      <c r="C27" s="5"/>
      <c r="D27" s="6" t="str">
        <f t="shared" si="0"/>
        <v/>
      </c>
      <c r="E27" s="7"/>
      <c r="F27" s="7"/>
      <c r="G27" s="8" t="str">
        <f t="shared" si="1"/>
        <v/>
      </c>
      <c r="H27" s="7"/>
      <c r="I27" s="7"/>
      <c r="J27" s="9" t="str">
        <f t="shared" si="2"/>
        <v/>
      </c>
      <c r="K27" s="28"/>
      <c r="L27" s="28"/>
      <c r="M27" s="9" t="str">
        <f t="shared" si="3"/>
        <v/>
      </c>
      <c r="N27" s="7"/>
      <c r="O27" s="15"/>
      <c r="P27" s="9" t="str">
        <f t="shared" si="4"/>
        <v/>
      </c>
      <c r="Q27" s="7"/>
      <c r="R27" s="7"/>
      <c r="S27" s="7"/>
      <c r="T27" s="5"/>
      <c r="U27" s="10" t="str">
        <f t="shared" si="5"/>
        <v/>
      </c>
      <c r="V27" s="9" t="str">
        <f t="shared" si="6"/>
        <v/>
      </c>
      <c r="W27" s="11" t="str">
        <f t="shared" si="7"/>
        <v/>
      </c>
      <c r="X27" s="11" t="str">
        <f t="shared" si="8"/>
        <v/>
      </c>
    </row>
    <row r="28" spans="1:24">
      <c r="A28" s="27"/>
      <c r="B28" s="5"/>
      <c r="C28" s="5"/>
      <c r="D28" s="6"/>
      <c r="E28" s="7"/>
      <c r="F28" s="7"/>
      <c r="G28" s="8"/>
      <c r="H28" s="7"/>
      <c r="I28" s="7"/>
      <c r="J28" s="9"/>
      <c r="K28" s="28"/>
      <c r="L28" s="28"/>
      <c r="M28" s="9"/>
      <c r="N28" s="7"/>
      <c r="O28" s="15"/>
      <c r="P28" s="9"/>
      <c r="Q28" s="7"/>
      <c r="R28" s="7"/>
      <c r="S28" s="7"/>
      <c r="T28" s="5"/>
      <c r="U28" s="10"/>
      <c r="V28" s="9"/>
      <c r="W28" s="11"/>
      <c r="X28" s="11"/>
    </row>
    <row r="29" spans="1:24">
      <c r="A29" s="29"/>
      <c r="B29" s="5"/>
      <c r="C29" s="5"/>
      <c r="D29" s="6"/>
      <c r="E29" s="7"/>
      <c r="F29" s="7"/>
      <c r="G29" s="8"/>
      <c r="H29" s="7"/>
      <c r="I29" s="7"/>
      <c r="J29" s="9"/>
      <c r="K29" s="28"/>
      <c r="L29" s="28"/>
      <c r="M29" s="9"/>
      <c r="N29" s="7"/>
      <c r="O29" s="15"/>
      <c r="P29" s="9"/>
      <c r="Q29" s="7"/>
      <c r="R29" s="7"/>
      <c r="S29" s="7"/>
      <c r="T29" s="5"/>
      <c r="U29" s="10"/>
      <c r="V29" s="9"/>
      <c r="W29" s="11"/>
      <c r="X29" s="11"/>
    </row>
    <row r="30" spans="1:24">
      <c r="A30" s="29"/>
      <c r="B30" s="5"/>
      <c r="C30" s="5"/>
      <c r="D30" s="6" t="str">
        <f t="shared" si="0"/>
        <v/>
      </c>
      <c r="E30" s="7"/>
      <c r="F30" s="7"/>
      <c r="G30" s="8" t="str">
        <f t="shared" si="1"/>
        <v/>
      </c>
      <c r="H30" s="7"/>
      <c r="I30" s="7"/>
      <c r="J30" s="9" t="str">
        <f t="shared" si="2"/>
        <v/>
      </c>
      <c r="K30" s="28"/>
      <c r="L30" s="28"/>
      <c r="M30" s="9" t="str">
        <f t="shared" si="3"/>
        <v/>
      </c>
      <c r="N30" s="7"/>
      <c r="O30" s="15"/>
      <c r="P30" s="9" t="str">
        <f t="shared" si="4"/>
        <v/>
      </c>
      <c r="Q30" s="15"/>
      <c r="R30" s="7"/>
      <c r="S30" s="7"/>
      <c r="T30" s="5"/>
      <c r="U30" s="10" t="str">
        <f t="shared" si="5"/>
        <v/>
      </c>
      <c r="V30" s="9" t="str">
        <f t="shared" si="6"/>
        <v/>
      </c>
      <c r="W30" s="11" t="str">
        <f t="shared" si="7"/>
        <v/>
      </c>
      <c r="X30" s="11" t="str">
        <f t="shared" si="8"/>
        <v/>
      </c>
    </row>
    <row r="31" spans="1:24">
      <c r="A31" s="29"/>
      <c r="B31" s="5"/>
      <c r="C31" s="5"/>
      <c r="D31" s="6" t="str">
        <f t="shared" si="0"/>
        <v/>
      </c>
      <c r="E31" s="7"/>
      <c r="F31" s="7"/>
      <c r="G31" s="8" t="str">
        <f t="shared" si="1"/>
        <v/>
      </c>
      <c r="H31" s="7"/>
      <c r="I31" s="7"/>
      <c r="J31" s="9" t="str">
        <f t="shared" si="2"/>
        <v/>
      </c>
      <c r="K31" s="28"/>
      <c r="L31" s="28"/>
      <c r="M31" s="9" t="str">
        <f t="shared" si="3"/>
        <v/>
      </c>
      <c r="N31" s="7"/>
      <c r="O31" s="15"/>
      <c r="P31" s="9" t="str">
        <f t="shared" si="4"/>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2"/>
        <v/>
      </c>
      <c r="K32" s="28"/>
      <c r="L32" s="28"/>
      <c r="M32" s="9" t="str">
        <f t="shared" si="3"/>
        <v/>
      </c>
      <c r="N32" s="7"/>
      <c r="O32" s="15"/>
      <c r="P32" s="9" t="str">
        <f t="shared" si="4"/>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1"/>
        <v/>
      </c>
      <c r="H33" s="7"/>
      <c r="I33" s="7"/>
      <c r="J33" s="9" t="str">
        <f t="shared" si="2"/>
        <v/>
      </c>
      <c r="K33" s="28"/>
      <c r="L33" s="28"/>
      <c r="M33" s="9" t="str">
        <f t="shared" si="3"/>
        <v/>
      </c>
      <c r="N33" s="7"/>
      <c r="O33" s="15"/>
      <c r="P33" s="9" t="str">
        <f t="shared" si="4"/>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1"/>
        <v/>
      </c>
      <c r="H34" s="7"/>
      <c r="I34" s="7"/>
      <c r="J34" s="9" t="str">
        <f t="shared" si="2"/>
        <v/>
      </c>
      <c r="K34" s="28"/>
      <c r="L34" s="28"/>
      <c r="M34" s="9" t="str">
        <f t="shared" si="3"/>
        <v/>
      </c>
      <c r="N34" s="7"/>
      <c r="O34" s="15"/>
      <c r="P34" s="9" t="str">
        <f t="shared" si="4"/>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1"/>
        <v/>
      </c>
      <c r="H35" s="7"/>
      <c r="I35" s="7"/>
      <c r="J35" s="9" t="str">
        <f t="shared" si="2"/>
        <v/>
      </c>
      <c r="K35" s="28"/>
      <c r="L35" s="28"/>
      <c r="M35" s="9" t="str">
        <f t="shared" si="3"/>
        <v/>
      </c>
      <c r="N35" s="7"/>
      <c r="O35" s="15"/>
      <c r="P35" s="9" t="str">
        <f t="shared" si="4"/>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1"/>
        <v/>
      </c>
      <c r="H36" s="7"/>
      <c r="I36" s="7"/>
      <c r="J36" s="9" t="str">
        <f t="shared" si="2"/>
        <v/>
      </c>
      <c r="K36" s="28"/>
      <c r="L36" s="28"/>
      <c r="M36" s="9" t="str">
        <f t="shared" si="3"/>
        <v/>
      </c>
      <c r="N36" s="7"/>
      <c r="O36" s="15"/>
      <c r="P36" s="9" t="str">
        <f t="shared" si="4"/>
        <v/>
      </c>
      <c r="Q36" s="15"/>
      <c r="R36" s="7"/>
      <c r="S36" s="7"/>
      <c r="T36" s="5"/>
      <c r="U36" s="10" t="str">
        <f t="shared" si="5"/>
        <v/>
      </c>
      <c r="V36" s="9" t="str">
        <f t="shared" si="6"/>
        <v/>
      </c>
      <c r="W36" s="11" t="str">
        <f t="shared" si="7"/>
        <v/>
      </c>
      <c r="X36" s="11" t="str">
        <f t="shared" si="8"/>
        <v/>
      </c>
    </row>
    <row r="37" spans="1:24" ht="15" thickBot="1">
      <c r="A37" s="29"/>
      <c r="B37" s="5"/>
      <c r="C37" s="5"/>
      <c r="D37" s="6" t="str">
        <f t="shared" si="0"/>
        <v/>
      </c>
      <c r="E37" s="7"/>
      <c r="F37" s="7"/>
      <c r="G37" s="8" t="str">
        <f t="shared" si="1"/>
        <v/>
      </c>
      <c r="H37" s="7"/>
      <c r="I37" s="7"/>
      <c r="J37" s="9" t="str">
        <f t="shared" si="2"/>
        <v/>
      </c>
      <c r="K37" s="28"/>
      <c r="L37" s="28"/>
      <c r="M37" s="9" t="str">
        <f t="shared" si="3"/>
        <v/>
      </c>
      <c r="N37" s="7"/>
      <c r="O37" s="15"/>
      <c r="P37" s="9" t="str">
        <f t="shared" si="4"/>
        <v/>
      </c>
      <c r="Q37" s="7"/>
      <c r="R37" s="7"/>
      <c r="S37" s="7"/>
      <c r="T37" s="5"/>
      <c r="U37" s="10" t="str">
        <f t="shared" si="5"/>
        <v/>
      </c>
      <c r="V37" s="9" t="str">
        <f t="shared" si="6"/>
        <v/>
      </c>
      <c r="W37" s="11" t="str">
        <f t="shared" si="7"/>
        <v/>
      </c>
      <c r="X37" s="11" t="str">
        <f t="shared" si="8"/>
        <v/>
      </c>
    </row>
    <row r="38" spans="1:24" s="43" customFormat="1" ht="18.600000000000001" thickBot="1">
      <c r="A38" s="31"/>
      <c r="B38" s="32" t="s">
        <v>42</v>
      </c>
      <c r="C38" s="32"/>
      <c r="D38" s="33">
        <f>SUM(D3:D37)</f>
        <v>20822.999999981839</v>
      </c>
      <c r="E38" s="33">
        <f>SUM(E3:E37)</f>
        <v>739</v>
      </c>
      <c r="F38" s="33">
        <f>SUM(F3:F37)</f>
        <v>717</v>
      </c>
      <c r="G38" s="33">
        <f>SUM(G3:G37)</f>
        <v>-22</v>
      </c>
      <c r="H38" s="33">
        <f>SUM(H2:H37)</f>
        <v>5038</v>
      </c>
      <c r="I38" s="33">
        <f>SUM(I3:I37)</f>
        <v>883</v>
      </c>
      <c r="J38" s="34">
        <f>(D38-G38-H38-I38)/D38</f>
        <v>0.71670748691326203</v>
      </c>
      <c r="K38" s="35">
        <f>SUM(K3:K37)</f>
        <v>38</v>
      </c>
      <c r="L38" s="35">
        <f>SUM(L3:L37)</f>
        <v>2249</v>
      </c>
      <c r="M38" s="36">
        <f>(D38-G38-H38-I38-E38-K38-L38)/D38</f>
        <v>0.57138740815407074</v>
      </c>
      <c r="N38" s="37">
        <f>AVERAGE(N3:N37)</f>
        <v>17000</v>
      </c>
      <c r="O38" s="38">
        <f>AVERAGE(O3:O37)</f>
        <v>15856.579939668174</v>
      </c>
      <c r="P38" s="34">
        <f>O38/N38</f>
        <v>0.93273999645106909</v>
      </c>
      <c r="Q38" s="37">
        <f>SUM(Q3:Q35)</f>
        <v>93891</v>
      </c>
      <c r="R38" s="37"/>
      <c r="S38" s="32"/>
      <c r="T38" s="32"/>
      <c r="U38" s="39"/>
      <c r="V38" s="40">
        <f>AVERAGE(V3:V37)</f>
        <v>0.98848746307090318</v>
      </c>
      <c r="W38" s="41">
        <f>V38*P38*J38</f>
        <v>0.66080558784483101</v>
      </c>
      <c r="X38" s="42">
        <f>V38*P38*M38</f>
        <v>0.5268202146995018</v>
      </c>
    </row>
    <row r="39" spans="1:24" ht="28.9">
      <c r="O39" s="20" t="s">
        <v>43</v>
      </c>
      <c r="P39" s="21" t="e">
        <f>AVERAGE('[1]January 2024'!S38,'[1]February 2024'!S38,'[1]March 2024'!S38,S38)</f>
        <v>#DIV/0!</v>
      </c>
      <c r="Q39" s="67"/>
      <c r="R39" s="67"/>
      <c r="S39" s="44"/>
      <c r="T39" s="45"/>
      <c r="U39" s="22"/>
    </row>
    <row r="40" spans="1:24" ht="28.9">
      <c r="Q40" s="22"/>
      <c r="R40" s="22"/>
      <c r="S40" s="22"/>
      <c r="T40" s="22"/>
      <c r="U40" s="22"/>
    </row>
    <row r="41" spans="1:24" ht="28.9">
      <c r="Q41" s="22"/>
      <c r="R41" s="69"/>
      <c r="S41" s="69"/>
      <c r="T41" s="46"/>
      <c r="U41" s="22"/>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53" t="s">
        <v>44</v>
      </c>
      <c r="E46" s="53" t="s">
        <v>45</v>
      </c>
    </row>
    <row r="47" spans="1:24">
      <c r="C47" s="4" t="s">
        <v>46</v>
      </c>
      <c r="D47" s="54">
        <f>W38</f>
        <v>0.66080558784483101</v>
      </c>
      <c r="E47" s="55">
        <f t="shared" ref="E47:E52" si="9">100%-D47</f>
        <v>0.33919441215516899</v>
      </c>
    </row>
    <row r="48" spans="1:24">
      <c r="C48" s="4" t="s">
        <v>47</v>
      </c>
      <c r="D48" s="54">
        <f>X38</f>
        <v>0.5268202146995018</v>
      </c>
      <c r="E48" s="55">
        <f t="shared" si="9"/>
        <v>0.4731797853004982</v>
      </c>
    </row>
    <row r="49" spans="3:5">
      <c r="C49" s="4" t="s">
        <v>11</v>
      </c>
      <c r="D49" s="54">
        <f>J38</f>
        <v>0.71670748691326203</v>
      </c>
      <c r="E49" s="55">
        <f t="shared" si="9"/>
        <v>0.28329251308673797</v>
      </c>
    </row>
    <row r="50" spans="3:5" ht="28.9">
      <c r="C50" s="4" t="s">
        <v>14</v>
      </c>
      <c r="D50" s="54">
        <f>M38</f>
        <v>0.57138740815407074</v>
      </c>
      <c r="E50" s="55">
        <f t="shared" si="9"/>
        <v>0.42861259184592926</v>
      </c>
    </row>
    <row r="51" spans="3:5">
      <c r="C51" s="4" t="s">
        <v>17</v>
      </c>
      <c r="D51" s="54">
        <f>P38</f>
        <v>0.93273999645106909</v>
      </c>
      <c r="E51" s="55">
        <f t="shared" si="9"/>
        <v>6.7260003548930913E-2</v>
      </c>
    </row>
    <row r="52" spans="3:5">
      <c r="C52" s="4" t="str">
        <f>V2</f>
        <v>Quality</v>
      </c>
      <c r="D52" s="54">
        <f>V38</f>
        <v>0.98848746307090318</v>
      </c>
      <c r="E52" s="55">
        <f t="shared" si="9"/>
        <v>1.1512536929096817E-2</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52"/>
  <sheetViews>
    <sheetView topLeftCell="A9" zoomScale="70" zoomScaleNormal="70" workbookViewId="0">
      <selection activeCell="S1" sqref="S1"/>
    </sheetView>
  </sheetViews>
  <sheetFormatPr defaultRowHeight="14.45"/>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100</v>
      </c>
      <c r="B3" s="5">
        <v>45810.09375</v>
      </c>
      <c r="C3" s="5">
        <v>45811</v>
      </c>
      <c r="D3" s="6">
        <f t="shared" ref="D3:D37" si="0">IF(B3="","",(C3-B3)*24*60)</f>
        <v>1305</v>
      </c>
      <c r="E3" s="7">
        <v>100</v>
      </c>
      <c r="F3" s="7">
        <v>135</v>
      </c>
      <c r="G3" s="8">
        <f>IF(E3="","",F3-E3)</f>
        <v>35</v>
      </c>
      <c r="H3" s="7">
        <f>12+18+15+8+7+6+5+23+6+25+5+7+6</f>
        <v>143</v>
      </c>
      <c r="I3" s="7">
        <f>3+2+4+3+1+2+2+4+2+2+2+2+4+1+1+3+3+2+3+1+2+3+1+3+3+2+4</f>
        <v>65</v>
      </c>
      <c r="J3" s="9">
        <f>IF(B3="","",(D3-G3-H3-I3)/D3)</f>
        <v>0.81379310344827582</v>
      </c>
      <c r="K3" s="28">
        <v>0</v>
      </c>
      <c r="L3" s="28">
        <f>2+2+2+5+3+2+2+2+2+3+2+2+3+5+3+60+6</f>
        <v>106</v>
      </c>
      <c r="M3" s="9">
        <f>IF(B3="","",(D3-G3-H3-I3-K3-L3-E3)/D3)</f>
        <v>0.65593869731800769</v>
      </c>
      <c r="N3" s="7">
        <v>17000</v>
      </c>
      <c r="O3" s="15">
        <f>AVERAGE(17000,17000,17000,17000,17000,17000,17000,17000,17000,17000,17000,15000,15000,16000,16000,15000,15000)</f>
        <v>16411.764705882353</v>
      </c>
      <c r="P3" s="9">
        <f t="shared" ref="P3:P37" si="1">IF(B3="","",O3/N3)</f>
        <v>0.96539792387543255</v>
      </c>
      <c r="Q3" s="7">
        <v>6572</v>
      </c>
      <c r="R3" s="7">
        <v>65</v>
      </c>
      <c r="S3" s="7">
        <f>9+13</f>
        <v>22</v>
      </c>
      <c r="T3" s="5">
        <v>45818.625</v>
      </c>
      <c r="U3" s="10">
        <f>IF(S3="","",(T3-C3))</f>
        <v>7.625</v>
      </c>
      <c r="V3" s="9">
        <f>IF(B3="","",IF(U3&lt;3,(Q3-R3)/Q3,(Q3-R3-S3)/Q3))</f>
        <v>0.98676202069385266</v>
      </c>
      <c r="W3" s="11">
        <f>IF(B3="","",V3*P3*J3)</f>
        <v>0.77523396361491514</v>
      </c>
      <c r="X3" s="11">
        <f>IF(B3="","",V3*P3*M3)</f>
        <v>0.62485901398716326</v>
      </c>
    </row>
    <row r="4" spans="1:24">
      <c r="A4" s="27" t="s">
        <v>73</v>
      </c>
      <c r="B4" s="5">
        <v>45811</v>
      </c>
      <c r="C4" s="5">
        <v>45812</v>
      </c>
      <c r="D4" s="6">
        <f t="shared" si="0"/>
        <v>1440</v>
      </c>
      <c r="E4" s="7">
        <v>0</v>
      </c>
      <c r="F4" s="7">
        <v>0</v>
      </c>
      <c r="G4" s="8">
        <f t="shared" ref="G4:G37" si="2">IF(E4="","",F4-E4)</f>
        <v>0</v>
      </c>
      <c r="H4" s="7">
        <f>5+9+8+5+15+5+6+5+5+5+5+60+31+11+8+7+6+7</f>
        <v>203</v>
      </c>
      <c r="I4" s="7">
        <f>3+2+3+1+3+4+2+4+3+3+1+4+2+1+3+3+3+3+2+4+3+2+4+4+1+1+1+3+3+2+1+2</f>
        <v>81</v>
      </c>
      <c r="J4" s="9">
        <f t="shared" ref="J4:J37" si="3">IF(B4="","",(D4-G4-H4-I4)/D4)</f>
        <v>0.80277777777777781</v>
      </c>
      <c r="K4" s="28">
        <v>0</v>
      </c>
      <c r="L4" s="28">
        <f>11+4+4+5+5+11+2+3+3+3+3+3</f>
        <v>57</v>
      </c>
      <c r="M4" s="9">
        <f t="shared" ref="M4:M37" si="4">IF(B4="","",(D4-G4-H4-I4-K4-L4-E4)/D4)</f>
        <v>0.7631944444444444</v>
      </c>
      <c r="N4" s="7">
        <v>17000</v>
      </c>
      <c r="O4" s="15">
        <f>AVERAGE(17000,17000,17000,17000,17000,17000,17000,17000,17000,17000,17000,17000,17000,17000,16000,15000,15000,15600,15600,15600,15600,16600)</f>
        <v>16500</v>
      </c>
      <c r="P4" s="9">
        <f t="shared" si="1"/>
        <v>0.97058823529411764</v>
      </c>
      <c r="Q4" s="7">
        <v>9750</v>
      </c>
      <c r="R4" s="7">
        <v>56</v>
      </c>
      <c r="S4" s="7">
        <v>24</v>
      </c>
      <c r="T4" s="5"/>
      <c r="U4" s="10">
        <f t="shared" ref="U4:U37" si="5">IF(S4="","",(T4-C4))</f>
        <v>-45812</v>
      </c>
      <c r="V4" s="9">
        <f t="shared" ref="V4:V37" si="6">IF(B4="","",IF(U4&lt;3,(Q4-R4)/Q4,(Q4-R4-S4)/Q4))</f>
        <v>0.99425641025641021</v>
      </c>
      <c r="W4" s="11">
        <f t="shared" ref="W4:W37" si="7">IF(B4="","",V4*P4*J4)</f>
        <v>0.77469145299145292</v>
      </c>
      <c r="X4" s="11">
        <f t="shared" ref="X4:X37" si="8">IF(B4="","",V4*P4*M4)</f>
        <v>0.73649299899446952</v>
      </c>
    </row>
    <row r="5" spans="1:24">
      <c r="A5" s="29" t="s">
        <v>95</v>
      </c>
      <c r="B5" s="5">
        <v>45812</v>
      </c>
      <c r="C5" s="5">
        <v>45813</v>
      </c>
      <c r="D5" s="6">
        <f t="shared" si="0"/>
        <v>1440</v>
      </c>
      <c r="E5" s="7">
        <f>10+7</f>
        <v>17</v>
      </c>
      <c r="F5" s="7">
        <f>47+7</f>
        <v>54</v>
      </c>
      <c r="G5" s="8">
        <f t="shared" si="2"/>
        <v>37</v>
      </c>
      <c r="H5" s="7">
        <f>13+5+9+8+5+9+7+35+7+20+18+10+5+7+8+6+6+5+5+6+8+6+8+40+60+60+7+9+20+9+5+9</f>
        <v>435</v>
      </c>
      <c r="I5" s="7">
        <f>3+1+2+4+2+2+2+2+2+1+1+3+4+4+2+4+1+3+1+4+3+2+3+4+4+3</f>
        <v>67</v>
      </c>
      <c r="J5" s="9">
        <f t="shared" si="3"/>
        <v>0.62569444444444444</v>
      </c>
      <c r="K5" s="28">
        <v>0</v>
      </c>
      <c r="L5" s="28">
        <f>20+10+3+3+4+4+16</f>
        <v>60</v>
      </c>
      <c r="M5" s="9">
        <f t="shared" si="4"/>
        <v>0.57222222222222219</v>
      </c>
      <c r="N5" s="7">
        <v>17000</v>
      </c>
      <c r="O5" s="15">
        <f>AVERAGE(18000,18000,18000,18000,18000,17000,17000,17000,17000,16000,16000,16000,16000,16000,15000,15000,15000,15000,16000)</f>
        <v>16526.315789473683</v>
      </c>
      <c r="P5" s="9">
        <f>IF(B5="","",O5/N5)</f>
        <v>0.97213622291021662</v>
      </c>
      <c r="Q5" s="7">
        <v>6017</v>
      </c>
      <c r="R5" s="7">
        <v>64</v>
      </c>
      <c r="S5" s="7">
        <f>10+8</f>
        <v>18</v>
      </c>
      <c r="T5" s="5">
        <v>45826.958333333336</v>
      </c>
      <c r="U5" s="10">
        <f t="shared" si="5"/>
        <v>13.958333333335759</v>
      </c>
      <c r="V5" s="9">
        <f t="shared" si="6"/>
        <v>0.98637194615256774</v>
      </c>
      <c r="W5" s="11">
        <f t="shared" si="7"/>
        <v>0.5999708306970406</v>
      </c>
      <c r="X5" s="11">
        <f t="shared" si="8"/>
        <v>0.54869696392270961</v>
      </c>
    </row>
    <row r="6" spans="1:24">
      <c r="A6" s="29" t="s">
        <v>101</v>
      </c>
      <c r="B6" s="5">
        <v>45813</v>
      </c>
      <c r="C6" s="5">
        <v>45814</v>
      </c>
      <c r="D6" s="6">
        <f>IF(B6="","",(C6-B6)*24*60)</f>
        <v>1440</v>
      </c>
      <c r="E6" s="7">
        <f>10+45+45</f>
        <v>100</v>
      </c>
      <c r="F6" s="7">
        <f>30+23+41</f>
        <v>94</v>
      </c>
      <c r="G6" s="8">
        <f t="shared" si="2"/>
        <v>-6</v>
      </c>
      <c r="H6" s="7">
        <f>5+5+7+6+15+18+20+8+14+13+60+11+8+6+5</f>
        <v>201</v>
      </c>
      <c r="I6" s="7">
        <f>2+3+2+1+4+3+1+2+2+3+2+1+3+1+2+2+3+5+1+4+12+6+2+2+3+2+1+1+1+4+4+2+3+1</f>
        <v>91</v>
      </c>
      <c r="J6" s="9">
        <f>IF(B6="","",(D6-G6-H6-I6)/D6)</f>
        <v>0.80138888888888893</v>
      </c>
      <c r="K6" s="28">
        <v>0</v>
      </c>
      <c r="L6" s="28">
        <f>4+3+4+4+3</f>
        <v>18</v>
      </c>
      <c r="M6" s="9">
        <f>IF(B6="","",(D6-G6-H6-I6-K6-L6-E6)/D6)</f>
        <v>0.71944444444444444</v>
      </c>
      <c r="N6" s="7">
        <v>17000</v>
      </c>
      <c r="O6" s="15">
        <f>AVERAGE(16000,16000,17000,17000,17000,16000,16000,16000,16000,16000,16000,16000)</f>
        <v>16250</v>
      </c>
      <c r="P6" s="9">
        <f>IF(B6="","",O6/N6)</f>
        <v>0.95588235294117652</v>
      </c>
      <c r="Q6" s="7">
        <v>7524</v>
      </c>
      <c r="R6" s="7">
        <v>62</v>
      </c>
      <c r="S6" s="7">
        <v>15.37</v>
      </c>
      <c r="T6" s="5"/>
      <c r="U6" s="10">
        <f t="shared" si="5"/>
        <v>-45814</v>
      </c>
      <c r="V6" s="9">
        <f>IF(B6="","",IF(U6&lt;3,(Q6-R6)/Q6,(Q6-R6-S6)/Q6))</f>
        <v>0.99175970228601806</v>
      </c>
      <c r="W6" s="11">
        <f>IF(B6="","",V6*P6*J6)</f>
        <v>0.75972115266007167</v>
      </c>
      <c r="X6" s="11">
        <f>IF(B6="","",V6*P6*M6)</f>
        <v>0.68203736062030695</v>
      </c>
    </row>
    <row r="7" spans="1:24">
      <c r="A7" s="29" t="s">
        <v>102</v>
      </c>
      <c r="B7" s="5">
        <v>45814</v>
      </c>
      <c r="C7" s="5">
        <v>45814.895138888889</v>
      </c>
      <c r="D7" s="6">
        <f>IF(B7="","",(C7-B7)*24*60)</f>
        <v>1289.0000000002328</v>
      </c>
      <c r="E7" s="7">
        <v>60</v>
      </c>
      <c r="F7" s="7">
        <v>125</v>
      </c>
      <c r="G7" s="8">
        <f t="shared" si="2"/>
        <v>65</v>
      </c>
      <c r="H7" s="7">
        <f>18+20+50+17+5+7+7+26+5+5+5+7+10+22+17+11</f>
        <v>232</v>
      </c>
      <c r="I7" s="7">
        <f>4+1+4+4+2+2+3+3+3+3+3+2+1+2+1+2+2+1+1+4+4+3+4+1+3+3+2+3</f>
        <v>71</v>
      </c>
      <c r="J7" s="9">
        <f>IF(B7="","",(D7-G7-H7-I7)/D7)</f>
        <v>0.71450737005435727</v>
      </c>
      <c r="K7" s="28">
        <v>0</v>
      </c>
      <c r="L7" s="28">
        <f>25+50+4+4+2+7+5+9+13+35+3</f>
        <v>157</v>
      </c>
      <c r="M7" s="9">
        <f>IF(B7="","",(D7-G7-H7-I7-K7-L7-E7)/D7)</f>
        <v>0.54615981380923639</v>
      </c>
      <c r="N7" s="7">
        <v>17000</v>
      </c>
      <c r="O7" s="15">
        <f>AVERAGE(17000,17000,17000,17000,17000,16000,16000,16000,16000,16000,16000,16000,16000,16000)</f>
        <v>16357.142857142857</v>
      </c>
      <c r="P7" s="9">
        <f>IF(B7="","",O7/N7)</f>
        <v>0.96218487394957986</v>
      </c>
      <c r="Q7" s="15">
        <v>3998</v>
      </c>
      <c r="R7" s="15">
        <v>21</v>
      </c>
      <c r="S7" s="7">
        <f>7+7.18+23.18</f>
        <v>37.36</v>
      </c>
      <c r="T7" s="5">
        <v>45820.625</v>
      </c>
      <c r="U7" s="10">
        <f t="shared" si="5"/>
        <v>5.7298611111109494</v>
      </c>
      <c r="V7" s="9">
        <f>IF(B7="","",IF(U7&lt;3,(Q7-R7)/Q7,(Q7-R7-S7)/Q7))</f>
        <v>0.98540270135067531</v>
      </c>
      <c r="W7" s="11">
        <f>IF(B7="","",V7*P7*J7)</f>
        <v>0.67745271345510683</v>
      </c>
      <c r="X7" s="11">
        <f>IF(B7="","",V7*P7*M7)</f>
        <v>0.51783573319482346</v>
      </c>
    </row>
    <row r="8" spans="1:24">
      <c r="A8" s="29" t="s">
        <v>103</v>
      </c>
      <c r="B8" s="5">
        <v>45818.138194444444</v>
      </c>
      <c r="C8" s="5">
        <v>45819</v>
      </c>
      <c r="D8" s="6">
        <f t="shared" si="0"/>
        <v>1241.0000000009313</v>
      </c>
      <c r="E8" s="7">
        <v>0</v>
      </c>
      <c r="F8" s="7">
        <v>0</v>
      </c>
      <c r="G8" s="8">
        <f t="shared" si="2"/>
        <v>0</v>
      </c>
      <c r="H8" s="7">
        <f>35+15+14+40+26+5+5+6+7+14+6+30+6+5+17+8+56+41+15+5+8+40</f>
        <v>404</v>
      </c>
      <c r="I8" s="7">
        <f>2+3+2+2+4+2+3+4+2+4+3+2+3+4+1+2+2+1+4+2+4+1+3+1+2+1</f>
        <v>64</v>
      </c>
      <c r="J8" s="9">
        <f t="shared" si="3"/>
        <v>0.62288477034677781</v>
      </c>
      <c r="K8" s="28">
        <v>0</v>
      </c>
      <c r="L8" s="28">
        <v>3</v>
      </c>
      <c r="M8" s="9">
        <f t="shared" si="4"/>
        <v>0.62046736502848787</v>
      </c>
      <c r="N8" s="7">
        <v>17000</v>
      </c>
      <c r="O8" s="15">
        <f>AVERAGE(16000,16000,16000,16000,16000,17000,17000,17000,17000,17000,17000,17000,17000,17000,17000,17000,16800)</f>
        <v>16694.117647058825</v>
      </c>
      <c r="P8" s="9">
        <f t="shared" ref="P8:P11" si="9">IF(B8="","",O8/N8)</f>
        <v>0.98200692041522497</v>
      </c>
      <c r="Q8" s="15">
        <v>6335</v>
      </c>
      <c r="R8" s="15">
        <v>25</v>
      </c>
      <c r="S8" s="7">
        <v>26</v>
      </c>
      <c r="T8" s="5">
        <v>45820.625</v>
      </c>
      <c r="U8" s="10">
        <f t="shared" si="5"/>
        <v>1.625</v>
      </c>
      <c r="V8" s="9">
        <f t="shared" si="6"/>
        <v>0.99605367008681922</v>
      </c>
      <c r="W8" s="11">
        <f t="shared" si="7"/>
        <v>0.60926327524739643</v>
      </c>
      <c r="X8" s="11">
        <f t="shared" si="8"/>
        <v>0.60689873472250633</v>
      </c>
    </row>
    <row r="9" spans="1:24">
      <c r="A9" s="29" t="s">
        <v>104</v>
      </c>
      <c r="B9" s="5">
        <v>45819.009027777778</v>
      </c>
      <c r="C9" s="5">
        <v>45820</v>
      </c>
      <c r="D9" s="6">
        <f t="shared" si="0"/>
        <v>1426.9999999995343</v>
      </c>
      <c r="E9" s="7">
        <v>7</v>
      </c>
      <c r="F9" s="7">
        <v>4</v>
      </c>
      <c r="G9" s="8">
        <f t="shared" si="2"/>
        <v>-3</v>
      </c>
      <c r="H9" s="7">
        <f>9+6+6+6+11+13+11+10+6+19+25+20+40+20+6+7+8+7+6+36+58+8+9+8+5</f>
        <v>360</v>
      </c>
      <c r="I9" s="7">
        <f>1+2+1+2+3+1+2+2+2+1+1+3+3+4+4+1+3+4+2+1+2+1+4+1+4+4+1+4+2+1+3</f>
        <v>70</v>
      </c>
      <c r="J9" s="9">
        <f t="shared" si="3"/>
        <v>0.70077084793262834</v>
      </c>
      <c r="K9" s="28">
        <v>0</v>
      </c>
      <c r="L9" s="28">
        <f>3+21+4+4+4+6+9+3</f>
        <v>54</v>
      </c>
      <c r="M9" s="9">
        <f t="shared" si="4"/>
        <v>0.65802382620871813</v>
      </c>
      <c r="N9" s="7">
        <v>17000</v>
      </c>
      <c r="O9" s="15">
        <f>AVERAGE(16000,16000,16400,16400,16400,16400,16400,17000,17000,17000,17000,17000,17000,17000,17000,17000,17000,17000,15000,16000)</f>
        <v>16600</v>
      </c>
      <c r="P9" s="9">
        <f t="shared" si="9"/>
        <v>0.97647058823529409</v>
      </c>
      <c r="Q9" s="15">
        <v>7212</v>
      </c>
      <c r="R9" s="15">
        <v>14</v>
      </c>
      <c r="S9" s="7">
        <v>5</v>
      </c>
      <c r="T9" s="5">
        <v>45820.625</v>
      </c>
      <c r="U9" s="10">
        <f t="shared" si="5"/>
        <v>0.625</v>
      </c>
      <c r="V9" s="9">
        <f t="shared" si="6"/>
        <v>0.99805879090404881</v>
      </c>
      <c r="W9" s="11">
        <f t="shared" si="7"/>
        <v>0.68295378741930424</v>
      </c>
      <c r="X9" s="11">
        <f t="shared" si="8"/>
        <v>0.64129360638670729</v>
      </c>
    </row>
    <row r="10" spans="1:24">
      <c r="A10" s="29" t="s">
        <v>105</v>
      </c>
      <c r="B10" s="5">
        <v>45820</v>
      </c>
      <c r="C10" s="5">
        <v>45821</v>
      </c>
      <c r="D10" s="6">
        <f t="shared" si="0"/>
        <v>1440</v>
      </c>
      <c r="E10" s="7">
        <f>60+60</f>
        <v>120</v>
      </c>
      <c r="F10" s="7">
        <f>60+65</f>
        <v>125</v>
      </c>
      <c r="G10" s="8">
        <f t="shared" si="2"/>
        <v>5</v>
      </c>
      <c r="H10" s="7">
        <f>8+17+5+25+12+11+28+6+19+7+7+33+5+60+6+20+5+22+35+44+6+28+5+12+60</f>
        <v>486</v>
      </c>
      <c r="I10" s="7">
        <f>3+3+4+4+4+2+2+3+4+3+1+2+2+4+2+4+3+4+3+4+3+3+1</f>
        <v>68</v>
      </c>
      <c r="J10" s="9">
        <f t="shared" si="3"/>
        <v>0.6118055555555556</v>
      </c>
      <c r="K10" s="28">
        <v>0</v>
      </c>
      <c r="L10" s="28">
        <f>10+16+15+12+8+11+10</f>
        <v>82</v>
      </c>
      <c r="M10" s="9">
        <f t="shared" si="4"/>
        <v>0.47152777777777777</v>
      </c>
      <c r="N10" s="7">
        <v>17000</v>
      </c>
      <c r="O10" s="15">
        <f>AVERAGE(17000,17000,17000,17000,17000,17000,17000,17000)</f>
        <v>17000</v>
      </c>
      <c r="P10" s="9">
        <f t="shared" si="9"/>
        <v>1</v>
      </c>
      <c r="Q10" s="15">
        <v>5138</v>
      </c>
      <c r="R10" s="15">
        <v>74</v>
      </c>
      <c r="S10" s="7">
        <f>1+8</f>
        <v>9</v>
      </c>
      <c r="T10" s="5">
        <v>45845.75</v>
      </c>
      <c r="U10" s="10">
        <f t="shared" si="5"/>
        <v>24.75</v>
      </c>
      <c r="V10" s="9">
        <f t="shared" ref="V10:V11" si="10">IF(B10="","",IF(U10&lt;3,(Q10-R10)/Q10,(Q10-R10-S10)/Q10))</f>
        <v>0.98384585441806149</v>
      </c>
      <c r="W10" s="11">
        <f t="shared" ref="W10" si="11">IF(B10="","",V10*P10*J10)</f>
        <v>0.60192235954327244</v>
      </c>
      <c r="X10" s="11">
        <f t="shared" ref="X10:X11" si="12">IF(B10="","",V10*P10*M10)</f>
        <v>0.46391064940962762</v>
      </c>
    </row>
    <row r="11" spans="1:24">
      <c r="A11" s="29" t="s">
        <v>50</v>
      </c>
      <c r="B11" s="5">
        <v>45821.009722222225</v>
      </c>
      <c r="C11" s="5">
        <v>45821.870138888888</v>
      </c>
      <c r="D11" s="6">
        <f t="shared" ref="D11:D21" si="13">IF(B11="","",(C11-B11)*24*60)</f>
        <v>1238.9999999944121</v>
      </c>
      <c r="E11" s="7">
        <v>25</v>
      </c>
      <c r="F11" s="7">
        <v>10</v>
      </c>
      <c r="G11" s="8">
        <f t="shared" ref="G11:G19" si="14">IF(E11="","",F11-E11)</f>
        <v>-15</v>
      </c>
      <c r="H11" s="7">
        <f>7+6+9+8+19+5+16+5+54+60+49+7+13+20+6+9+6+8+6</f>
        <v>313</v>
      </c>
      <c r="I11" s="7">
        <f>1+4+2+1+1+1+1+1+3+2+1+3+4+3+4+3+3+3+4+3+4+1+4+4+3+2+2+3+2+4+4+3+4+2+3+3</f>
        <v>96</v>
      </c>
      <c r="J11" s="9">
        <f t="shared" si="3"/>
        <v>0.68200161420356986</v>
      </c>
      <c r="K11" s="28">
        <v>16</v>
      </c>
      <c r="L11" s="28">
        <f>14+30+6+5</f>
        <v>55</v>
      </c>
      <c r="M11" s="9">
        <f t="shared" si="4"/>
        <v>0.60451977400951584</v>
      </c>
      <c r="N11" s="7">
        <v>17000</v>
      </c>
      <c r="O11" s="15">
        <f>AVERAGE(16000,17000,17000,16600,16600,16600,17000,17000,17000,17000,17000,17000,17000,17000,17000)</f>
        <v>16853.333333333332</v>
      </c>
      <c r="P11" s="9">
        <f t="shared" si="9"/>
        <v>0.99137254901960781</v>
      </c>
      <c r="Q11" s="15">
        <v>6236</v>
      </c>
      <c r="R11" s="15">
        <v>58</v>
      </c>
      <c r="S11" s="7">
        <v>14</v>
      </c>
      <c r="T11" s="5">
        <v>45826.958333333336</v>
      </c>
      <c r="U11" s="10">
        <f t="shared" si="5"/>
        <v>5.0881944444481633</v>
      </c>
      <c r="V11" s="9">
        <f t="shared" si="10"/>
        <v>0.9884541372674791</v>
      </c>
      <c r="W11" s="11">
        <f>IF(B11="","",V11*P11*J11)</f>
        <v>0.6683113167990814</v>
      </c>
      <c r="X11" s="11">
        <f t="shared" si="12"/>
        <v>0.59238482400247072</v>
      </c>
    </row>
    <row r="12" spans="1:24">
      <c r="A12" s="29" t="s">
        <v>106</v>
      </c>
      <c r="B12" s="5">
        <v>45824.184027777781</v>
      </c>
      <c r="C12" s="5">
        <v>45825</v>
      </c>
      <c r="D12" s="6">
        <f>IF(B12="","",(C12-B12)*24*60)</f>
        <v>1174.9999999953434</v>
      </c>
      <c r="E12" s="7">
        <v>45</v>
      </c>
      <c r="F12" s="7">
        <v>78</v>
      </c>
      <c r="G12" s="8">
        <f t="shared" si="14"/>
        <v>33</v>
      </c>
      <c r="H12" s="7">
        <f>5+13+9+24+5+8+6+5+15+10+6+9+5+8+6+6+6+35+5+5+7+5+6+6+7+5+5+9+5</f>
        <v>246</v>
      </c>
      <c r="I12" s="7">
        <f>2+2+4+4+3+4+3+4+4+4+2+1+4+3+2+4+3+1+4+4+4+3+1+4</f>
        <v>74</v>
      </c>
      <c r="J12" s="9">
        <f>IF(B12="","",(D12-G12-H12-I12)/D12)</f>
        <v>0.69957446808391577</v>
      </c>
      <c r="K12" s="28">
        <v>0</v>
      </c>
      <c r="L12" s="28">
        <f>29</f>
        <v>29</v>
      </c>
      <c r="M12" s="9">
        <f>IF(B12="","",(D12-G12-H12-I12-K12-L12-E12)/D12)</f>
        <v>0.63659574467941082</v>
      </c>
      <c r="N12" s="7">
        <v>17000</v>
      </c>
      <c r="O12" s="15">
        <f>AVERAGE(16000,17000,17000,17000,17000,17000,17000,17000,17500,17500,17500,17500,17500,17500,17000)</f>
        <v>17133.333333333332</v>
      </c>
      <c r="P12" s="9">
        <f>IF(B12="","",O12/N12)</f>
        <v>1.0078431372549019</v>
      </c>
      <c r="Q12" s="15">
        <v>6070</v>
      </c>
      <c r="R12" s="15">
        <v>31</v>
      </c>
      <c r="S12" s="7">
        <v>1</v>
      </c>
      <c r="T12" s="5"/>
      <c r="U12" s="10">
        <f>IF(S12="","",(T12-C12))</f>
        <v>-45825</v>
      </c>
      <c r="V12" s="9">
        <f>IF(B12="","",IF(U12&lt;3,(Q12-R12)/Q12,(Q12-R12-S12)/Q12))</f>
        <v>0.99489291598023066</v>
      </c>
      <c r="W12" s="11">
        <f>IF(B12="","",V12*P12*J12)</f>
        <v>0.70146051922279495</v>
      </c>
      <c r="X12" s="11">
        <f>IF(B12="","",V12*P12*M12)</f>
        <v>0.63831200532646781</v>
      </c>
    </row>
    <row r="13" spans="1:24">
      <c r="A13" s="29" t="s">
        <v>85</v>
      </c>
      <c r="B13" s="5">
        <v>45825.006944444445</v>
      </c>
      <c r="C13" s="5">
        <v>45825.962500000001</v>
      </c>
      <c r="D13" s="6">
        <f t="shared" si="13"/>
        <v>1376.0000000009313</v>
      </c>
      <c r="E13" s="7">
        <v>0</v>
      </c>
      <c r="F13" s="7">
        <v>0</v>
      </c>
      <c r="G13" s="8">
        <f t="shared" si="14"/>
        <v>0</v>
      </c>
      <c r="H13" s="7">
        <f>7+5+15+6+5+5+6+8+8+12+6+7+7+3+7+6+5+7+6+10+5+6+5</f>
        <v>157</v>
      </c>
      <c r="I13" s="7">
        <f>4+3+3+2+4+3+4+4+1+3+4+4+4+3+2+4+3+4+3+2+4+3+3+2+1+3+2+2+2+3+2+2+3+1+3+3+4+4+4+3+4+4+2+1+4</f>
        <v>133</v>
      </c>
      <c r="J13" s="9">
        <f t="shared" ref="J13:J21" si="15">IF(B13="","",(D13-G13-H13-I13)/D13)</f>
        <v>0.78924418604665425</v>
      </c>
      <c r="K13" s="28">
        <v>0</v>
      </c>
      <c r="L13" s="28">
        <f>12+2+31</f>
        <v>45</v>
      </c>
      <c r="M13" s="9">
        <f t="shared" ref="M13:M21" si="16">IF(B13="","",(D13-G13-H13-I13-K13-L13-E13)/D13)</f>
        <v>0.75654069767458343</v>
      </c>
      <c r="N13" s="7">
        <v>17000</v>
      </c>
      <c r="O13" s="15">
        <f>AVERAGE(16000,16000,17000,16000,15000,15000,15000,17000,15000,16000,16000,1600,16000,16000,16000,16000,16000,16000,16000)</f>
        <v>15136.842105263158</v>
      </c>
      <c r="P13" s="9">
        <f t="shared" ref="P13:P21" si="17">IF(B13="","",O13/N13)</f>
        <v>0.8904024767801858</v>
      </c>
      <c r="Q13" s="15">
        <v>8337</v>
      </c>
      <c r="R13" s="15">
        <v>38</v>
      </c>
      <c r="S13" s="7"/>
      <c r="T13" s="5"/>
      <c r="U13" s="10" t="str">
        <f t="shared" si="5"/>
        <v/>
      </c>
      <c r="V13" s="9">
        <f t="shared" si="6"/>
        <v>0.99544200551757223</v>
      </c>
      <c r="W13" s="11">
        <f t="shared" si="7"/>
        <v>0.69954187030784121</v>
      </c>
      <c r="X13" s="11">
        <f t="shared" si="8"/>
        <v>0.67055532872052459</v>
      </c>
    </row>
    <row r="14" spans="1:24">
      <c r="A14" s="29" t="s">
        <v>107</v>
      </c>
      <c r="B14" s="5">
        <v>45826</v>
      </c>
      <c r="C14" s="5">
        <v>45826.930555555555</v>
      </c>
      <c r="D14" s="6">
        <f t="shared" si="13"/>
        <v>1339.9999999988358</v>
      </c>
      <c r="E14" s="7">
        <v>100</v>
      </c>
      <c r="F14" s="7">
        <f>9+25+40+30+30</f>
        <v>134</v>
      </c>
      <c r="G14" s="8">
        <f t="shared" si="14"/>
        <v>34</v>
      </c>
      <c r="H14" s="7">
        <f>7+26+60+26+14+30+8+7+41+5+5+9+6+17</f>
        <v>261</v>
      </c>
      <c r="I14" s="7">
        <f>4+1+4+3+4+1+3+2+1+2+1+2+2+3+1+1+2+2+3+2+2+2+1+1+3+4+2+3+4+2</f>
        <v>68</v>
      </c>
      <c r="J14" s="9">
        <f t="shared" si="15"/>
        <v>0.72910447761170494</v>
      </c>
      <c r="K14" s="28">
        <f>15+20</f>
        <v>35</v>
      </c>
      <c r="L14" s="28">
        <f>13+5+15+10+25+15+60+5+10</f>
        <v>158</v>
      </c>
      <c r="M14" s="9">
        <f t="shared" si="16"/>
        <v>0.51044776119360458</v>
      </c>
      <c r="N14" s="7">
        <v>17000</v>
      </c>
      <c r="O14" s="15">
        <f>AVERAGE(17000,14000,17000,17000,17000,17000,17000,17000,17000,17000,17000,16500,16500,18000)</f>
        <v>16785.714285714286</v>
      </c>
      <c r="P14" s="9">
        <f t="shared" si="17"/>
        <v>0.98739495798319332</v>
      </c>
      <c r="Q14" s="15">
        <v>6685</v>
      </c>
      <c r="R14" s="15">
        <v>25</v>
      </c>
      <c r="S14" s="7">
        <f>+(2*70)+12</f>
        <v>152</v>
      </c>
      <c r="T14" s="5"/>
      <c r="U14" s="10">
        <f t="shared" si="5"/>
        <v>-45826.930555555555</v>
      </c>
      <c r="V14" s="9">
        <f t="shared" si="6"/>
        <v>0.99626028421839941</v>
      </c>
      <c r="W14" s="11">
        <f t="shared" si="7"/>
        <v>0.71722181097155902</v>
      </c>
      <c r="X14" s="11">
        <f t="shared" si="8"/>
        <v>0.50212867830531827</v>
      </c>
    </row>
    <row r="15" spans="1:24">
      <c r="A15" s="29" t="s">
        <v>108</v>
      </c>
      <c r="B15" s="5">
        <v>45828.066666666666</v>
      </c>
      <c r="C15" s="5">
        <v>45828.804166666669</v>
      </c>
      <c r="D15" s="6">
        <f t="shared" si="13"/>
        <v>1062.000000004191</v>
      </c>
      <c r="E15" s="7">
        <f>10+100</f>
        <v>110</v>
      </c>
      <c r="F15" s="7">
        <f>16+5+59+20+16</f>
        <v>116</v>
      </c>
      <c r="G15" s="8">
        <f t="shared" si="14"/>
        <v>6</v>
      </c>
      <c r="H15" s="7">
        <f>9+15+32+34+56</f>
        <v>146</v>
      </c>
      <c r="I15" s="7">
        <f>2+2+1+2+4+2+4+3+4+4+3+2+3+3+3+4+1</f>
        <v>47</v>
      </c>
      <c r="J15" s="9">
        <f t="shared" si="15"/>
        <v>0.81261770244895037</v>
      </c>
      <c r="K15" s="28">
        <v>24</v>
      </c>
      <c r="L15" s="28">
        <f>2+3+3+17+14+16+4+3+15</f>
        <v>77</v>
      </c>
      <c r="M15" s="9">
        <f t="shared" si="16"/>
        <v>0.61393596986969678</v>
      </c>
      <c r="N15" s="7">
        <v>17000</v>
      </c>
      <c r="O15" s="15">
        <f>AVERAGE(16000,17000,17000,17000,17000,17000,17000,17000,17000,18000)</f>
        <v>17000</v>
      </c>
      <c r="P15" s="9">
        <f t="shared" si="17"/>
        <v>1</v>
      </c>
      <c r="Q15" s="15">
        <v>5352</v>
      </c>
      <c r="R15" s="7">
        <v>57</v>
      </c>
      <c r="S15" s="7">
        <v>70</v>
      </c>
      <c r="T15" s="5"/>
      <c r="U15" s="10">
        <f t="shared" si="5"/>
        <v>-45828.804166666669</v>
      </c>
      <c r="V15" s="9">
        <f t="shared" si="6"/>
        <v>0.98934977578475336</v>
      </c>
      <c r="W15" s="11">
        <f t="shared" si="7"/>
        <v>0.80396314171659045</v>
      </c>
      <c r="X15" s="11">
        <f t="shared" si="8"/>
        <v>0.60739741413677961</v>
      </c>
    </row>
    <row r="16" spans="1:24">
      <c r="A16" s="29" t="s">
        <v>109</v>
      </c>
      <c r="B16" s="5">
        <v>45831.069444444445</v>
      </c>
      <c r="C16" s="5">
        <v>45832</v>
      </c>
      <c r="D16" s="6">
        <f t="shared" si="13"/>
        <v>1339.9999999988358</v>
      </c>
      <c r="E16" s="7">
        <v>60</v>
      </c>
      <c r="F16" s="7">
        <v>52</v>
      </c>
      <c r="G16" s="8">
        <f t="shared" si="14"/>
        <v>-8</v>
      </c>
      <c r="H16" s="7">
        <f>5+20+14+7+6+18+11+5+7+8+6+5+9</f>
        <v>121</v>
      </c>
      <c r="I16" s="7">
        <f>1+4+2+2+4+4+3+3+1+1+3+4+4+3+1+3+3+4+4+3+2+1+2+3+2+2+2+3+4+4+3+2+2+4+1+3</f>
        <v>97</v>
      </c>
      <c r="J16" s="9">
        <f t="shared" si="15"/>
        <v>0.84328358208941612</v>
      </c>
      <c r="K16" s="28">
        <v>10</v>
      </c>
      <c r="L16" s="28">
        <f>38+2+19+60+36</f>
        <v>155</v>
      </c>
      <c r="M16" s="9">
        <f t="shared" si="16"/>
        <v>0.67537313432807622</v>
      </c>
      <c r="N16" s="7">
        <v>17000</v>
      </c>
      <c r="O16" s="15">
        <f>AVERAGE(17000,17000,17000,17000,17000,17000,17000,17000,17000,17000,17000,17000,17000,17000)</f>
        <v>17000</v>
      </c>
      <c r="P16" s="9">
        <f t="shared" si="17"/>
        <v>1</v>
      </c>
      <c r="Q16" s="7">
        <v>7210</v>
      </c>
      <c r="R16" s="7">
        <v>74</v>
      </c>
      <c r="S16" s="7">
        <f>280+25</f>
        <v>305</v>
      </c>
      <c r="T16" s="5">
        <v>45831.333333333336</v>
      </c>
      <c r="U16" s="10">
        <f t="shared" si="5"/>
        <v>-0.66666666666424135</v>
      </c>
      <c r="V16" s="9">
        <f t="shared" si="6"/>
        <v>0.98973647711511792</v>
      </c>
      <c r="W16" s="11">
        <f t="shared" si="7"/>
        <v>0.83462852174619606</v>
      </c>
      <c r="X16" s="11">
        <f t="shared" si="8"/>
        <v>0.6684414267080655</v>
      </c>
    </row>
    <row r="17" spans="1:24">
      <c r="A17" s="29" t="s">
        <v>59</v>
      </c>
      <c r="B17" s="5">
        <v>45832</v>
      </c>
      <c r="C17" s="5">
        <v>45833</v>
      </c>
      <c r="D17" s="6">
        <f t="shared" si="13"/>
        <v>1440</v>
      </c>
      <c r="E17" s="7">
        <v>0</v>
      </c>
      <c r="F17" s="7">
        <v>0</v>
      </c>
      <c r="G17" s="8">
        <f t="shared" si="14"/>
        <v>0</v>
      </c>
      <c r="H17" s="7">
        <f>5+5+5+5+10+7+6</f>
        <v>43</v>
      </c>
      <c r="I17" s="7">
        <f>4+3+1+4+2+4+2+3+4+1+4+4</f>
        <v>36</v>
      </c>
      <c r="J17" s="9">
        <f t="shared" si="15"/>
        <v>0.94513888888888886</v>
      </c>
      <c r="K17" s="28">
        <v>0</v>
      </c>
      <c r="L17" s="28">
        <f>3+53+60+60+60+60+60+60+60+20+15+21+60+60+50+20+5</f>
        <v>727</v>
      </c>
      <c r="M17" s="9">
        <f t="shared" si="16"/>
        <v>0.44027777777777777</v>
      </c>
      <c r="N17" s="7">
        <v>17000</v>
      </c>
      <c r="O17" s="15">
        <f>AVERAGE(17000,17000,17000,17000,17000,17000,16000,17000,17000,17000,17000,17000,17000)</f>
        <v>16923.076923076922</v>
      </c>
      <c r="P17" s="9">
        <f t="shared" si="17"/>
        <v>0.99547511312217185</v>
      </c>
      <c r="Q17" s="7">
        <v>5564</v>
      </c>
      <c r="R17" s="7">
        <v>19</v>
      </c>
      <c r="S17" s="7"/>
      <c r="T17" s="5"/>
      <c r="U17" s="10" t="str">
        <f t="shared" si="5"/>
        <v/>
      </c>
      <c r="V17" s="9">
        <f t="shared" si="6"/>
        <v>0.99658519051042416</v>
      </c>
      <c r="W17" s="11">
        <f t="shared" si="7"/>
        <v>0.9376493770193286</v>
      </c>
      <c r="X17" s="11">
        <f t="shared" si="8"/>
        <v>0.43678890891275118</v>
      </c>
    </row>
    <row r="18" spans="1:24">
      <c r="A18" s="29" t="s">
        <v>71</v>
      </c>
      <c r="B18" s="5">
        <v>45833</v>
      </c>
      <c r="C18" s="5">
        <v>45834</v>
      </c>
      <c r="D18" s="6">
        <f t="shared" si="13"/>
        <v>1440</v>
      </c>
      <c r="E18" s="7">
        <v>10</v>
      </c>
      <c r="F18" s="7">
        <v>6</v>
      </c>
      <c r="G18" s="8">
        <f t="shared" si="14"/>
        <v>-4</v>
      </c>
      <c r="H18" s="7">
        <f>5+13+31+50+13+12+16+5+6+6+5+5</f>
        <v>167</v>
      </c>
      <c r="I18" s="7">
        <f>2+4+22+2+1+2+2+2+4+2+2+1+2+2+1+3+3+2+3+2+3+3+4+3+2+3+1+3+3+4+2+3+2+2+3</f>
        <v>105</v>
      </c>
      <c r="J18" s="9">
        <f t="shared" si="15"/>
        <v>0.81388888888888888</v>
      </c>
      <c r="K18" s="28">
        <v>0</v>
      </c>
      <c r="L18" s="28">
        <f>3+4+4+8+10+6+3+3+3+3+3+3+3+6+6+4</f>
        <v>72</v>
      </c>
      <c r="M18" s="9">
        <f t="shared" si="16"/>
        <v>0.75694444444444442</v>
      </c>
      <c r="N18" s="7">
        <v>17000</v>
      </c>
      <c r="O18" s="15">
        <f>AVERAGE(17000,17000,17000,17000,17000,17000,17000,17000,17000,17000,17000,17000,17000,17000,17000,17000,17000,17000,17000,17000,17000,17000,17000,17000)</f>
        <v>17000</v>
      </c>
      <c r="P18" s="9">
        <f t="shared" si="17"/>
        <v>1</v>
      </c>
      <c r="Q18" s="7">
        <f>2152+7898</f>
        <v>10050</v>
      </c>
      <c r="R18" s="7">
        <f>13+18</f>
        <v>31</v>
      </c>
      <c r="S18" s="7">
        <f>4*70</f>
        <v>280</v>
      </c>
      <c r="T18" s="5">
        <v>45833.5</v>
      </c>
      <c r="U18" s="10">
        <f t="shared" si="5"/>
        <v>-0.5</v>
      </c>
      <c r="V18" s="9">
        <f t="shared" si="6"/>
        <v>0.99691542288557211</v>
      </c>
      <c r="W18" s="11">
        <f t="shared" si="7"/>
        <v>0.81137838584853506</v>
      </c>
      <c r="X18" s="11">
        <f t="shared" si="8"/>
        <v>0.75460959093421776</v>
      </c>
    </row>
    <row r="19" spans="1:24">
      <c r="A19" s="29" t="s">
        <v>110</v>
      </c>
      <c r="B19" s="5">
        <v>45834</v>
      </c>
      <c r="C19" s="5">
        <v>45835</v>
      </c>
      <c r="D19" s="6">
        <f t="shared" si="13"/>
        <v>1440</v>
      </c>
      <c r="E19" s="7">
        <v>20</v>
      </c>
      <c r="F19" s="7">
        <v>69</v>
      </c>
      <c r="G19" s="8">
        <f t="shared" si="14"/>
        <v>49</v>
      </c>
      <c r="H19" s="7">
        <f>9+5+7+6+8+6+5+25+10+20+22+5+5+7+5+6+13+47</f>
        <v>211</v>
      </c>
      <c r="I19" s="7">
        <f>3+3+1+4+3+3+4+3+2+4+1+3+3+4+4+1+4+4+3+1+2+2+2+4+3+3+3+2</f>
        <v>79</v>
      </c>
      <c r="J19" s="9">
        <f t="shared" si="15"/>
        <v>0.76458333333333328</v>
      </c>
      <c r="K19" s="28">
        <v>126</v>
      </c>
      <c r="L19" s="28">
        <f>4+4+3+5+12+2+23+6+8+3</f>
        <v>70</v>
      </c>
      <c r="M19" s="9">
        <f t="shared" si="16"/>
        <v>0.61458333333333337</v>
      </c>
      <c r="N19" s="7">
        <v>17000</v>
      </c>
      <c r="O19" s="15">
        <f>AVERAGE(17000)</f>
        <v>17000</v>
      </c>
      <c r="P19" s="9">
        <f t="shared" si="17"/>
        <v>1</v>
      </c>
      <c r="Q19" s="15">
        <v>7974</v>
      </c>
      <c r="R19" s="7">
        <v>23</v>
      </c>
      <c r="S19" s="7"/>
      <c r="T19" s="5"/>
      <c r="U19" s="10" t="str">
        <f t="shared" si="5"/>
        <v/>
      </c>
      <c r="V19" s="9">
        <f t="shared" si="6"/>
        <v>0.99711562578379731</v>
      </c>
      <c r="W19" s="11">
        <f t="shared" si="7"/>
        <v>0.76237798888052832</v>
      </c>
      <c r="X19" s="11">
        <f t="shared" si="8"/>
        <v>0.61281064501295879</v>
      </c>
    </row>
    <row r="20" spans="1:24">
      <c r="A20" s="29" t="s">
        <v>111</v>
      </c>
      <c r="B20" s="5">
        <v>45835</v>
      </c>
      <c r="C20" s="5">
        <v>45835.84097222222</v>
      </c>
      <c r="D20" s="6">
        <f t="shared" si="13"/>
        <v>1210.9999999974389</v>
      </c>
      <c r="E20" s="7">
        <f>10+60</f>
        <v>70</v>
      </c>
      <c r="F20" s="7">
        <f>10+36+5</f>
        <v>51</v>
      </c>
      <c r="G20" s="8">
        <f>IF(E20="","",F20-E20)</f>
        <v>-19</v>
      </c>
      <c r="H20" s="7">
        <f>7+8+10+19+6</f>
        <v>50</v>
      </c>
      <c r="I20" s="7">
        <f>4+3+1+2+3+2+2+3+2+2+2+6+6+4+4+4+1+2+3+3+2+1</f>
        <v>62</v>
      </c>
      <c r="J20" s="9">
        <f t="shared" si="15"/>
        <v>0.92320396366622903</v>
      </c>
      <c r="K20" s="28">
        <v>0</v>
      </c>
      <c r="L20" s="28">
        <f>10+4+17+4+10+3+10+6+18+60+55+25+60+5+2</f>
        <v>289</v>
      </c>
      <c r="M20" s="9">
        <f t="shared" si="16"/>
        <v>0.62675474814124199</v>
      </c>
      <c r="N20" s="7">
        <v>17000</v>
      </c>
      <c r="O20" s="30">
        <f>AVERAGE(17000,17000,17000,17000,17000,17000,17000,17000,17000,17000,17000,17000,17000,17000)</f>
        <v>17000</v>
      </c>
      <c r="P20" s="9">
        <f t="shared" si="17"/>
        <v>1</v>
      </c>
      <c r="Q20" s="7">
        <v>6095</v>
      </c>
      <c r="R20" s="7">
        <v>42</v>
      </c>
      <c r="S20" s="7">
        <v>58</v>
      </c>
      <c r="T20" s="5">
        <v>45845.75</v>
      </c>
      <c r="U20" s="10">
        <f t="shared" si="5"/>
        <v>9.9090277777795563</v>
      </c>
      <c r="V20" s="9">
        <f t="shared" si="6"/>
        <v>0.98359310910582443</v>
      </c>
      <c r="W20" s="11">
        <f t="shared" si="7"/>
        <v>0.9080570569612868</v>
      </c>
      <c r="X20" s="11">
        <f t="shared" si="8"/>
        <v>0.61647165137108217</v>
      </c>
    </row>
    <row r="21" spans="1:24">
      <c r="A21" s="29" t="s">
        <v>112</v>
      </c>
      <c r="B21" s="5">
        <v>45838.097222222219</v>
      </c>
      <c r="C21" s="5">
        <v>45839</v>
      </c>
      <c r="D21" s="6">
        <f t="shared" si="13"/>
        <v>1300.0000000046566</v>
      </c>
      <c r="E21" s="7">
        <v>120</v>
      </c>
      <c r="F21" s="7">
        <f>60+60+238</f>
        <v>358</v>
      </c>
      <c r="G21" s="8">
        <f>IF(E21="","",F21-E21)</f>
        <v>238</v>
      </c>
      <c r="H21" s="7">
        <f>5+5+5+6+5+5+14+22+60+60+30+5+5+28+52</f>
        <v>307</v>
      </c>
      <c r="I21" s="7">
        <f>2+2+1+4+4+4+3</f>
        <v>20</v>
      </c>
      <c r="J21" s="9">
        <f t="shared" si="15"/>
        <v>0.56538461538617213</v>
      </c>
      <c r="K21" s="28">
        <v>0</v>
      </c>
      <c r="L21" s="28">
        <f>12+30+43+6</f>
        <v>91</v>
      </c>
      <c r="M21" s="9">
        <f t="shared" si="16"/>
        <v>0.40307692307906129</v>
      </c>
      <c r="N21" s="7">
        <v>17000</v>
      </c>
      <c r="O21" s="15">
        <f>AVERAGE(17000,17000,17000,17000,17000,17000,16500,16500,17000)</f>
        <v>16888.888888888891</v>
      </c>
      <c r="P21" s="9">
        <f t="shared" si="17"/>
        <v>0.99346405228758183</v>
      </c>
      <c r="Q21" s="7">
        <v>4134</v>
      </c>
      <c r="R21" s="15">
        <v>48</v>
      </c>
      <c r="S21" s="7"/>
      <c r="T21" s="5"/>
      <c r="U21" s="10" t="str">
        <f t="shared" si="5"/>
        <v/>
      </c>
      <c r="V21" s="9">
        <f t="shared" si="6"/>
        <v>0.98838896952104505</v>
      </c>
      <c r="W21" s="11">
        <f t="shared" si="7"/>
        <v>0.55516749962390755</v>
      </c>
      <c r="X21" s="11">
        <f t="shared" si="8"/>
        <v>0.3957928840866255</v>
      </c>
    </row>
    <row r="22" spans="1:24">
      <c r="A22" s="29"/>
      <c r="B22" s="5"/>
      <c r="C22" s="5"/>
      <c r="D22" s="6" t="str">
        <f t="shared" si="0"/>
        <v/>
      </c>
      <c r="E22" s="7"/>
      <c r="F22" s="7"/>
      <c r="G22" s="8" t="str">
        <f t="shared" si="2"/>
        <v/>
      </c>
      <c r="H22" s="7"/>
      <c r="I22" s="7"/>
      <c r="J22" s="9" t="str">
        <f t="shared" si="3"/>
        <v/>
      </c>
      <c r="K22" s="28"/>
      <c r="L22" s="28"/>
      <c r="M22" s="9" t="str">
        <f t="shared" si="4"/>
        <v/>
      </c>
      <c r="N22" s="7"/>
      <c r="O22" s="30"/>
      <c r="P22" s="9" t="str">
        <f t="shared" si="1"/>
        <v/>
      </c>
      <c r="Q22" s="15"/>
      <c r="R22" s="7"/>
      <c r="S22" s="7"/>
      <c r="T22" s="5"/>
      <c r="U22" s="10" t="str">
        <f t="shared" si="5"/>
        <v/>
      </c>
      <c r="V22" s="9" t="str">
        <f t="shared" si="6"/>
        <v/>
      </c>
      <c r="W22" s="11" t="str">
        <f t="shared" si="7"/>
        <v/>
      </c>
      <c r="X22" s="11" t="str">
        <f t="shared" si="8"/>
        <v/>
      </c>
    </row>
    <row r="23" spans="1:24" hidden="1">
      <c r="A23" s="29"/>
      <c r="B23" s="5"/>
      <c r="C23" s="5"/>
      <c r="D23" s="6" t="str">
        <f t="shared" si="0"/>
        <v/>
      </c>
      <c r="E23" s="7"/>
      <c r="F23" s="7"/>
      <c r="G23" s="8" t="str">
        <f t="shared" si="2"/>
        <v/>
      </c>
      <c r="H23" s="7"/>
      <c r="I23" s="7"/>
      <c r="J23" s="9" t="str">
        <f t="shared" si="3"/>
        <v/>
      </c>
      <c r="K23" s="28"/>
      <c r="L23" s="28"/>
      <c r="M23" s="9" t="str">
        <f t="shared" si="4"/>
        <v/>
      </c>
      <c r="N23" s="7"/>
      <c r="O23" s="15"/>
      <c r="P23" s="9" t="str">
        <f t="shared" si="1"/>
        <v/>
      </c>
      <c r="Q23" s="15"/>
      <c r="R23" s="7"/>
      <c r="S23" s="7"/>
      <c r="T23" s="5"/>
      <c r="U23" s="10" t="str">
        <f t="shared" si="5"/>
        <v/>
      </c>
      <c r="V23" s="9" t="str">
        <f t="shared" si="6"/>
        <v/>
      </c>
      <c r="W23" s="11" t="str">
        <f t="shared" si="7"/>
        <v/>
      </c>
      <c r="X23" s="11" t="str">
        <f t="shared" si="8"/>
        <v/>
      </c>
    </row>
    <row r="24" spans="1:24" hidden="1">
      <c r="A24" s="29"/>
      <c r="B24" s="5"/>
      <c r="C24" s="5"/>
      <c r="D24" s="6" t="str">
        <f t="shared" si="0"/>
        <v/>
      </c>
      <c r="E24" s="7"/>
      <c r="F24" s="7"/>
      <c r="G24" s="8" t="str">
        <f t="shared" si="2"/>
        <v/>
      </c>
      <c r="H24" s="7"/>
      <c r="I24" s="7"/>
      <c r="J24" s="9" t="str">
        <f t="shared" si="3"/>
        <v/>
      </c>
      <c r="K24" s="28"/>
      <c r="L24" s="28"/>
      <c r="M24" s="9" t="str">
        <f t="shared" si="4"/>
        <v/>
      </c>
      <c r="N24" s="7"/>
      <c r="O24" s="15"/>
      <c r="P24" s="9" t="str">
        <f t="shared" si="1"/>
        <v/>
      </c>
      <c r="Q24" s="7"/>
      <c r="R24" s="7"/>
      <c r="S24" s="7"/>
      <c r="T24" s="5"/>
      <c r="U24" s="10" t="str">
        <f t="shared" si="5"/>
        <v/>
      </c>
      <c r="V24" s="9" t="str">
        <f t="shared" si="6"/>
        <v/>
      </c>
      <c r="W24" s="11" t="str">
        <f t="shared" si="7"/>
        <v/>
      </c>
      <c r="X24" s="11" t="str">
        <f t="shared" si="8"/>
        <v/>
      </c>
    </row>
    <row r="25" spans="1:24" hidden="1">
      <c r="A25" s="29"/>
      <c r="B25" s="5"/>
      <c r="C25" s="5"/>
      <c r="D25" s="6" t="str">
        <f t="shared" si="0"/>
        <v/>
      </c>
      <c r="E25" s="7"/>
      <c r="F25" s="7"/>
      <c r="G25" s="8" t="str">
        <f t="shared" si="2"/>
        <v/>
      </c>
      <c r="H25" s="7"/>
      <c r="I25" s="7"/>
      <c r="J25" s="9" t="str">
        <f t="shared" si="3"/>
        <v/>
      </c>
      <c r="K25" s="28"/>
      <c r="L25" s="28"/>
      <c r="M25" s="9" t="str">
        <f t="shared" si="4"/>
        <v/>
      </c>
      <c r="N25" s="7"/>
      <c r="O25" s="15"/>
      <c r="P25" s="9" t="str">
        <f t="shared" si="1"/>
        <v/>
      </c>
      <c r="Q25" s="7"/>
      <c r="R25" s="7"/>
      <c r="S25" s="7"/>
      <c r="T25" s="5"/>
      <c r="U25" s="10" t="str">
        <f t="shared" si="5"/>
        <v/>
      </c>
      <c r="V25" s="9" t="str">
        <f t="shared" si="6"/>
        <v/>
      </c>
      <c r="W25" s="11" t="str">
        <f t="shared" si="7"/>
        <v/>
      </c>
      <c r="X25" s="11" t="str">
        <f t="shared" si="8"/>
        <v/>
      </c>
    </row>
    <row r="26" spans="1:24" hidden="1">
      <c r="A26" s="29"/>
      <c r="B26" s="5"/>
      <c r="C26" s="5"/>
      <c r="D26" s="6" t="str">
        <f t="shared" si="0"/>
        <v/>
      </c>
      <c r="E26" s="7"/>
      <c r="F26" s="7"/>
      <c r="G26" s="8" t="str">
        <f t="shared" si="2"/>
        <v/>
      </c>
      <c r="H26" s="7"/>
      <c r="I26" s="7"/>
      <c r="J26" s="9" t="str">
        <f t="shared" si="3"/>
        <v/>
      </c>
      <c r="K26" s="28"/>
      <c r="L26" s="28"/>
      <c r="M26" s="9" t="str">
        <f t="shared" si="4"/>
        <v/>
      </c>
      <c r="N26" s="7"/>
      <c r="O26" s="15"/>
      <c r="P26" s="9" t="str">
        <f t="shared" si="1"/>
        <v/>
      </c>
      <c r="Q26" s="7"/>
      <c r="R26" s="7"/>
      <c r="S26" s="7"/>
      <c r="T26" s="5"/>
      <c r="U26" s="10" t="str">
        <f t="shared" si="5"/>
        <v/>
      </c>
      <c r="V26" s="9" t="str">
        <f t="shared" si="6"/>
        <v/>
      </c>
      <c r="W26" s="11" t="str">
        <f t="shared" si="7"/>
        <v/>
      </c>
      <c r="X26" s="11" t="str">
        <f t="shared" si="8"/>
        <v/>
      </c>
    </row>
    <row r="27" spans="1:24" hidden="1">
      <c r="A27" s="29"/>
      <c r="B27" s="5"/>
      <c r="C27" s="5"/>
      <c r="D27" s="6" t="str">
        <f t="shared" si="0"/>
        <v/>
      </c>
      <c r="E27" s="7"/>
      <c r="F27" s="7"/>
      <c r="G27" s="8" t="str">
        <f t="shared" si="2"/>
        <v/>
      </c>
      <c r="H27" s="7"/>
      <c r="I27" s="7"/>
      <c r="J27" s="9" t="str">
        <f t="shared" si="3"/>
        <v/>
      </c>
      <c r="K27" s="28"/>
      <c r="L27" s="28"/>
      <c r="M27" s="9" t="str">
        <f t="shared" si="4"/>
        <v/>
      </c>
      <c r="N27" s="7"/>
      <c r="O27" s="15"/>
      <c r="P27" s="9" t="str">
        <f t="shared" si="1"/>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2"/>
        <v/>
      </c>
      <c r="H28" s="7"/>
      <c r="I28" s="7"/>
      <c r="J28" s="9" t="str">
        <f t="shared" si="3"/>
        <v/>
      </c>
      <c r="K28" s="28"/>
      <c r="L28" s="28"/>
      <c r="M28" s="9" t="str">
        <f t="shared" si="4"/>
        <v/>
      </c>
      <c r="N28" s="7"/>
      <c r="O28" s="15"/>
      <c r="P28" s="9" t="str">
        <f t="shared" si="1"/>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2"/>
        <v/>
      </c>
      <c r="H29" s="7"/>
      <c r="I29" s="7"/>
      <c r="J29" s="9" t="str">
        <f t="shared" si="3"/>
        <v/>
      </c>
      <c r="K29" s="28"/>
      <c r="L29" s="28"/>
      <c r="M29" s="9" t="str">
        <f t="shared" si="4"/>
        <v/>
      </c>
      <c r="N29" s="7"/>
      <c r="O29" s="7"/>
      <c r="P29" s="9" t="str">
        <f t="shared" si="1"/>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2"/>
        <v/>
      </c>
      <c r="H30" s="7"/>
      <c r="I30" s="7"/>
      <c r="J30" s="9" t="str">
        <f t="shared" si="3"/>
        <v/>
      </c>
      <c r="K30" s="28"/>
      <c r="L30" s="28"/>
      <c r="M30" s="9" t="str">
        <f t="shared" si="4"/>
        <v/>
      </c>
      <c r="N30" s="7"/>
      <c r="O30" s="15"/>
      <c r="P30" s="9" t="str">
        <f t="shared" si="1"/>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2"/>
        <v/>
      </c>
      <c r="H31" s="7"/>
      <c r="I31" s="7"/>
      <c r="J31" s="9" t="str">
        <f t="shared" si="3"/>
        <v/>
      </c>
      <c r="K31" s="28"/>
      <c r="L31" s="28"/>
      <c r="M31" s="9" t="str">
        <f t="shared" si="4"/>
        <v/>
      </c>
      <c r="N31" s="7"/>
      <c r="O31" s="15"/>
      <c r="P31" s="9" t="str">
        <f t="shared" si="1"/>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2"/>
        <v/>
      </c>
      <c r="H32" s="7"/>
      <c r="I32" s="7"/>
      <c r="J32" s="9" t="str">
        <f t="shared" si="3"/>
        <v/>
      </c>
      <c r="K32" s="28"/>
      <c r="L32" s="28"/>
      <c r="M32" s="9" t="str">
        <f t="shared" si="4"/>
        <v/>
      </c>
      <c r="N32" s="7"/>
      <c r="O32" s="15"/>
      <c r="P32" s="9" t="str">
        <f t="shared" si="1"/>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2"/>
        <v/>
      </c>
      <c r="H33" s="7"/>
      <c r="I33" s="7"/>
      <c r="J33" s="9" t="str">
        <f t="shared" si="3"/>
        <v/>
      </c>
      <c r="K33" s="28"/>
      <c r="L33" s="28"/>
      <c r="M33" s="9" t="str">
        <f t="shared" si="4"/>
        <v/>
      </c>
      <c r="N33" s="7"/>
      <c r="O33" s="15"/>
      <c r="P33" s="9" t="str">
        <f t="shared" si="1"/>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2"/>
        <v/>
      </c>
      <c r="H34" s="7"/>
      <c r="I34" s="7"/>
      <c r="J34" s="9" t="str">
        <f t="shared" si="3"/>
        <v/>
      </c>
      <c r="K34" s="28"/>
      <c r="L34" s="28"/>
      <c r="M34" s="9" t="str">
        <f t="shared" si="4"/>
        <v/>
      </c>
      <c r="N34" s="7"/>
      <c r="O34" s="15"/>
      <c r="P34" s="9" t="str">
        <f t="shared" si="1"/>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2"/>
        <v/>
      </c>
      <c r="H35" s="7"/>
      <c r="I35" s="7"/>
      <c r="J35" s="9" t="str">
        <f t="shared" si="3"/>
        <v/>
      </c>
      <c r="K35" s="28"/>
      <c r="L35" s="28"/>
      <c r="M35" s="9" t="str">
        <f t="shared" si="4"/>
        <v/>
      </c>
      <c r="N35" s="7"/>
      <c r="O35" s="15"/>
      <c r="P35" s="9" t="str">
        <f t="shared" si="1"/>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2"/>
        <v/>
      </c>
      <c r="H36" s="7"/>
      <c r="I36" s="7"/>
      <c r="J36" s="9" t="str">
        <f t="shared" si="3"/>
        <v/>
      </c>
      <c r="K36" s="28"/>
      <c r="L36" s="28"/>
      <c r="M36" s="9" t="str">
        <f t="shared" si="4"/>
        <v/>
      </c>
      <c r="N36" s="7"/>
      <c r="O36" s="15"/>
      <c r="P36" s="9" t="str">
        <f t="shared" si="1"/>
        <v/>
      </c>
      <c r="Q36" s="15"/>
      <c r="R36" s="7"/>
      <c r="S36" s="7"/>
      <c r="T36" s="5"/>
      <c r="U36" s="10" t="str">
        <f t="shared" si="5"/>
        <v/>
      </c>
      <c r="V36" s="9" t="str">
        <f t="shared" si="6"/>
        <v/>
      </c>
      <c r="W36" s="11" t="str">
        <f t="shared" si="7"/>
        <v/>
      </c>
      <c r="X36" s="11" t="str">
        <f t="shared" si="8"/>
        <v/>
      </c>
    </row>
    <row r="37" spans="1:24" ht="15" thickBot="1">
      <c r="A37" s="29"/>
      <c r="B37" s="5"/>
      <c r="C37" s="5"/>
      <c r="D37" s="6" t="str">
        <f t="shared" si="0"/>
        <v/>
      </c>
      <c r="E37" s="7"/>
      <c r="F37" s="7"/>
      <c r="G37" s="8" t="str">
        <f t="shared" si="2"/>
        <v/>
      </c>
      <c r="H37" s="7"/>
      <c r="I37" s="7"/>
      <c r="J37" s="9" t="str">
        <f t="shared" si="3"/>
        <v/>
      </c>
      <c r="K37" s="28"/>
      <c r="L37" s="28"/>
      <c r="M37" s="9" t="str">
        <f t="shared" si="4"/>
        <v/>
      </c>
      <c r="N37" s="7"/>
      <c r="O37" s="15"/>
      <c r="P37" s="9" t="str">
        <f t="shared" si="1"/>
        <v/>
      </c>
      <c r="Q37" s="7"/>
      <c r="R37" s="7"/>
      <c r="S37" s="7"/>
      <c r="T37" s="5"/>
      <c r="U37" s="10" t="str">
        <f t="shared" si="5"/>
        <v/>
      </c>
      <c r="V37" s="9" t="str">
        <f t="shared" si="6"/>
        <v/>
      </c>
      <c r="W37" s="11" t="str">
        <f t="shared" si="7"/>
        <v/>
      </c>
      <c r="X37" s="11" t="str">
        <f t="shared" si="8"/>
        <v/>
      </c>
    </row>
    <row r="38" spans="1:24" s="43" customFormat="1" ht="18.600000000000001" thickBot="1">
      <c r="A38" s="31"/>
      <c r="B38" s="32" t="s">
        <v>42</v>
      </c>
      <c r="C38" s="32"/>
      <c r="D38" s="33">
        <f>SUM(D3:D37)</f>
        <v>25384.999999995343</v>
      </c>
      <c r="E38" s="33">
        <f>SUM(E3:E37)</f>
        <v>964</v>
      </c>
      <c r="F38" s="33">
        <f>SUM(F3:F37)</f>
        <v>1411</v>
      </c>
      <c r="G38" s="33">
        <f>SUM(G3:G37)</f>
        <v>447</v>
      </c>
      <c r="H38" s="33">
        <f>SUM(H2:H37)</f>
        <v>4486</v>
      </c>
      <c r="I38" s="33">
        <f>SUM(I3:I37)</f>
        <v>1394</v>
      </c>
      <c r="J38" s="34">
        <f>(D38-G38-H38-I38)/D38</f>
        <v>0.75075832184356273</v>
      </c>
      <c r="K38" s="35">
        <f>SUM(K3:K37)</f>
        <v>211</v>
      </c>
      <c r="L38" s="35">
        <f>SUM(L3:L37)</f>
        <v>2305</v>
      </c>
      <c r="M38" s="36">
        <f>(D38-G38-H38-I38-E38-K38-L38)/D38</f>
        <v>0.61366948985614345</v>
      </c>
      <c r="N38" s="37">
        <f>AVERAGE(N3:N37)</f>
        <v>17000</v>
      </c>
      <c r="O38" s="38">
        <f>AVERAGE(O3:O37)</f>
        <v>16687.396308903557</v>
      </c>
      <c r="P38" s="34">
        <f>O38/N38</f>
        <v>0.98161154758256219</v>
      </c>
      <c r="Q38" s="37">
        <f>SUM(Q3:Q35)</f>
        <v>126253</v>
      </c>
      <c r="R38" s="37"/>
      <c r="S38" s="32"/>
      <c r="T38" s="32"/>
      <c r="U38" s="39"/>
      <c r="V38" s="40">
        <f>AVERAGE(V3:V37)</f>
        <v>0.99153921104414033</v>
      </c>
      <c r="W38" s="41">
        <f>V38*P38*J38</f>
        <v>0.73071783403905033</v>
      </c>
      <c r="X38" s="42">
        <f>V38*P38*M38</f>
        <v>0.59728840479901901</v>
      </c>
    </row>
    <row r="39" spans="1:24" ht="28.9">
      <c r="Q39" s="67"/>
      <c r="R39" s="67"/>
      <c r="S39" s="44"/>
      <c r="T39" s="45"/>
      <c r="U39" s="22"/>
    </row>
    <row r="40" spans="1:24" ht="28.9">
      <c r="Q40" s="22"/>
      <c r="R40" s="22"/>
      <c r="S40" s="22"/>
      <c r="T40" s="22"/>
      <c r="U40" s="22"/>
    </row>
    <row r="41" spans="1:24" ht="28.9">
      <c r="Q41" s="22"/>
      <c r="R41" s="69"/>
      <c r="S41" s="69"/>
      <c r="T41" s="46"/>
      <c r="U41" s="22"/>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53" t="s">
        <v>44</v>
      </c>
      <c r="E46" s="53" t="s">
        <v>45</v>
      </c>
    </row>
    <row r="47" spans="1:24">
      <c r="C47" s="4" t="s">
        <v>46</v>
      </c>
      <c r="D47" s="54">
        <f>W38</f>
        <v>0.73071783403905033</v>
      </c>
      <c r="E47" s="55">
        <f t="shared" ref="E47:E52" si="18">100%-D47</f>
        <v>0.26928216596094967</v>
      </c>
    </row>
    <row r="48" spans="1:24">
      <c r="C48" s="4" t="s">
        <v>47</v>
      </c>
      <c r="D48" s="54">
        <f>X38</f>
        <v>0.59728840479901901</v>
      </c>
      <c r="E48" s="55">
        <f t="shared" si="18"/>
        <v>0.40271159520098099</v>
      </c>
    </row>
    <row r="49" spans="3:5">
      <c r="C49" s="4" t="s">
        <v>11</v>
      </c>
      <c r="D49" s="54">
        <f>J38</f>
        <v>0.75075832184356273</v>
      </c>
      <c r="E49" s="55">
        <f t="shared" si="18"/>
        <v>0.24924167815643727</v>
      </c>
    </row>
    <row r="50" spans="3:5" ht="28.9">
      <c r="C50" s="4" t="s">
        <v>14</v>
      </c>
      <c r="D50" s="54">
        <f>M38</f>
        <v>0.61366948985614345</v>
      </c>
      <c r="E50" s="55">
        <f t="shared" si="18"/>
        <v>0.38633051014385655</v>
      </c>
    </row>
    <row r="51" spans="3:5">
      <c r="C51" s="4" t="s">
        <v>17</v>
      </c>
      <c r="D51" s="54">
        <f>P38</f>
        <v>0.98161154758256219</v>
      </c>
      <c r="E51" s="55">
        <f t="shared" si="18"/>
        <v>1.8388452417437806E-2</v>
      </c>
    </row>
    <row r="52" spans="3:5">
      <c r="C52" s="4" t="str">
        <f>V2</f>
        <v>Quality</v>
      </c>
      <c r="D52" s="54">
        <f>V38</f>
        <v>0.99153921104414033</v>
      </c>
      <c r="E52" s="55">
        <f t="shared" si="18"/>
        <v>8.4607889558596661E-3</v>
      </c>
    </row>
  </sheetData>
  <mergeCells count="2">
    <mergeCell ref="Q39:R39"/>
    <mergeCell ref="R41:S41"/>
  </mergeCells>
  <pageMargins left="0.7" right="0.7" top="0.75" bottom="0.75" header="0.3" footer="0.3"/>
  <pageSetup paperSize="5" scale="43"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52"/>
  <sheetViews>
    <sheetView topLeftCell="A13" zoomScale="70" zoomScaleNormal="70" workbookViewId="0">
      <selection activeCell="C46" sqref="C46:E52"/>
    </sheetView>
  </sheetViews>
  <sheetFormatPr defaultRowHeight="14.45"/>
  <cols>
    <col min="1" max="1" width="78.14062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5703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113</v>
      </c>
      <c r="D1" s="14"/>
      <c r="E1" s="12"/>
      <c r="F1" s="12"/>
      <c r="G1" s="14" t="s">
        <v>1</v>
      </c>
      <c r="H1" s="12"/>
      <c r="I1" s="12"/>
      <c r="J1" s="14"/>
      <c r="K1" s="14"/>
      <c r="L1" s="14"/>
      <c r="M1" s="14"/>
      <c r="N1" s="13"/>
      <c r="O1" s="13"/>
      <c r="P1" s="14"/>
      <c r="Q1" s="13"/>
      <c r="R1" s="13"/>
      <c r="S1" s="13"/>
      <c r="T1" s="13"/>
      <c r="U1" s="14"/>
      <c r="V1" s="14"/>
      <c r="W1" s="14"/>
      <c r="X1" s="14"/>
    </row>
    <row r="2" spans="1:24" ht="57.6">
      <c r="A2" s="1" t="s">
        <v>2</v>
      </c>
      <c r="B2" s="49" t="s">
        <v>3</v>
      </c>
      <c r="C2" s="49" t="s">
        <v>4</v>
      </c>
      <c r="D2" s="50" t="s">
        <v>5</v>
      </c>
      <c r="E2" s="49" t="s">
        <v>6</v>
      </c>
      <c r="F2" s="49" t="s">
        <v>7</v>
      </c>
      <c r="G2" s="50"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73</v>
      </c>
      <c r="B3" s="5">
        <v>45839</v>
      </c>
      <c r="C3" s="5">
        <v>45840</v>
      </c>
      <c r="D3" s="6">
        <f t="shared" ref="D3:D37" si="0">IF(B3="","",(C3-B3)*24*60)</f>
        <v>1440</v>
      </c>
      <c r="E3" s="7">
        <v>0</v>
      </c>
      <c r="F3" s="7">
        <v>0</v>
      </c>
      <c r="G3" s="8">
        <f t="shared" ref="G3:G37" si="1">IF(E3="","",F3-E3)</f>
        <v>0</v>
      </c>
      <c r="H3" s="7">
        <f>5+14+35+60+60+60+60+60+60+60+13+5+10+5+25+7+38+5+26+5+25+60+9+6</f>
        <v>713</v>
      </c>
      <c r="I3" s="7">
        <f>3+3+2+2+4+4+1+3+4+3+3</f>
        <v>32</v>
      </c>
      <c r="J3" s="9">
        <f>IF(B3="","",(D3-G3-H3-I3)/D3)</f>
        <v>0.4826388888888889</v>
      </c>
      <c r="K3" s="28">
        <v>0</v>
      </c>
      <c r="L3" s="28">
        <f>4+4+60+35+5+3+3+5</f>
        <v>119</v>
      </c>
      <c r="M3" s="9">
        <f>IF(B3="","",(D3-G3-H3-I3-K3-L3-E3)/D3)</f>
        <v>0.4</v>
      </c>
      <c r="N3" s="7">
        <v>17000</v>
      </c>
      <c r="O3" s="15">
        <f>AVERAGE(17000,17000,17000,17000,17000,17000,17000,17000,17000)</f>
        <v>17000</v>
      </c>
      <c r="P3" s="9">
        <f t="shared" ref="P3:P37" si="2">IF(B3="","",O3/N3)</f>
        <v>1</v>
      </c>
      <c r="Q3" s="7">
        <v>3782</v>
      </c>
      <c r="R3" s="7">
        <v>71</v>
      </c>
      <c r="S3" s="7"/>
      <c r="T3" s="5"/>
      <c r="U3" s="10" t="str">
        <f>IF(S3="","",(T3-C3))</f>
        <v/>
      </c>
      <c r="V3" s="9">
        <f>IF(B3="","",IF(U3&lt;3,(Q3-R3)/Q3,(Q3-R3-S3)/Q3))</f>
        <v>0.98122686409307247</v>
      </c>
      <c r="W3" s="11">
        <f>IF(B3="","",V3*P3*J3)</f>
        <v>0.47357824343380928</v>
      </c>
      <c r="X3" s="11">
        <f>IF(B3="","",V3*P3*M3)</f>
        <v>0.39249074563722902</v>
      </c>
    </row>
    <row r="4" spans="1:24">
      <c r="A4" s="27" t="s">
        <v>114</v>
      </c>
      <c r="B4" s="5">
        <v>45840</v>
      </c>
      <c r="C4" s="5">
        <v>45841</v>
      </c>
      <c r="D4" s="6">
        <f t="shared" si="0"/>
        <v>1440</v>
      </c>
      <c r="E4" s="7">
        <f>10+20+20</f>
        <v>50</v>
      </c>
      <c r="F4" s="7">
        <v>117</v>
      </c>
      <c r="G4" s="8">
        <f t="shared" si="1"/>
        <v>67</v>
      </c>
      <c r="H4" s="7">
        <f>6+8+8+10+21+25+5+5+7+7+12+9+6+12+10+17+13</f>
        <v>181</v>
      </c>
      <c r="I4" s="7">
        <f>3+2+4+2+2+3+2+3+3+3+3+1+3+3+2+3+3+2+1+4+2+4+3+3+3</f>
        <v>67</v>
      </c>
      <c r="J4" s="9">
        <f t="shared" ref="J4:J5" si="3">IF(B4="","",(D4-G4-H4-I4)/D4)</f>
        <v>0.78125</v>
      </c>
      <c r="K4" s="28">
        <v>0</v>
      </c>
      <c r="L4" s="28">
        <f>4+5+4+3+1+10+9</f>
        <v>36</v>
      </c>
      <c r="M4" s="9">
        <f t="shared" ref="M4:M5" si="4">IF(B4="","",(D4-G4-H4-I4-K4-L4-E4)/D4)</f>
        <v>0.72152777777777777</v>
      </c>
      <c r="N4" s="7">
        <v>17000</v>
      </c>
      <c r="O4" s="15">
        <f>AVERAGE(17000,17000,17000,17000,17000,17000,17000,17000,17000,17000,17000,17000,17000)</f>
        <v>17000</v>
      </c>
      <c r="P4" s="9">
        <f t="shared" si="2"/>
        <v>1</v>
      </c>
      <c r="Q4" s="7">
        <v>8517</v>
      </c>
      <c r="R4" s="7">
        <v>25</v>
      </c>
      <c r="S4" s="7"/>
      <c r="T4" s="5"/>
      <c r="U4" s="10" t="str">
        <f t="shared" ref="U4:U5" si="5">IF(S4="","",(T4-C4))</f>
        <v/>
      </c>
      <c r="V4" s="9">
        <f t="shared" ref="V4:V5" si="6">IF(B4="","",IF(U4&lt;3,(Q4-R4)/Q4,(Q4-R4-S4)/Q4))</f>
        <v>0.99706469414112953</v>
      </c>
      <c r="W4" s="11">
        <f t="shared" ref="W4:W5" si="7">IF(B4="","",V4*P4*J4)</f>
        <v>0.77895679229775749</v>
      </c>
      <c r="X4" s="11">
        <f t="shared" ref="X4:X5" si="8">IF(B4="","",V4*P4*M4)</f>
        <v>0.71940987306432891</v>
      </c>
    </row>
    <row r="5" spans="1:24">
      <c r="A5" s="29" t="s">
        <v>115</v>
      </c>
      <c r="B5" s="5">
        <v>45841.003472222219</v>
      </c>
      <c r="C5" s="5">
        <v>45841.911111111112</v>
      </c>
      <c r="D5" s="6">
        <f t="shared" si="0"/>
        <v>1307.0000000065193</v>
      </c>
      <c r="E5" s="7">
        <f>10+45+10</f>
        <v>65</v>
      </c>
      <c r="F5" s="7">
        <v>70</v>
      </c>
      <c r="G5" s="8">
        <f t="shared" si="1"/>
        <v>5</v>
      </c>
      <c r="H5" s="7">
        <f>5+6+9+5+10+35+5+16+9+60+6+16+5+15+5+5+5+8+6+14+6+6+15+5+5+7+5+20</f>
        <v>314</v>
      </c>
      <c r="I5" s="7">
        <f>4+3+2+2+3+2+4+3+4+3+3+3+3+4+4+2+3+1+2+4+2+2+4</f>
        <v>67</v>
      </c>
      <c r="J5" s="9">
        <f t="shared" si="3"/>
        <v>0.70466717674210044</v>
      </c>
      <c r="K5" s="28">
        <v>0</v>
      </c>
      <c r="L5" s="28">
        <f>5+21+4+10+3+2+2+5+4</f>
        <v>56</v>
      </c>
      <c r="M5" s="9">
        <f t="shared" si="4"/>
        <v>0.61208875287110087</v>
      </c>
      <c r="N5" s="7">
        <v>17000</v>
      </c>
      <c r="O5" s="15">
        <f>AVERAGE(17000,17000,17000,17000,17000,17000,17000,17000,17000,17000,17000,17000,17000)</f>
        <v>17000</v>
      </c>
      <c r="P5" s="9">
        <f t="shared" si="2"/>
        <v>1</v>
      </c>
      <c r="Q5" s="7">
        <v>5145</v>
      </c>
      <c r="R5" s="7">
        <v>530</v>
      </c>
      <c r="S5" s="7">
        <f>13+3</f>
        <v>16</v>
      </c>
      <c r="T5" s="5">
        <v>45849.4375</v>
      </c>
      <c r="U5" s="10">
        <f t="shared" si="5"/>
        <v>7.5263888888875954</v>
      </c>
      <c r="V5" s="9">
        <f t="shared" si="6"/>
        <v>0.89387755102040811</v>
      </c>
      <c r="W5" s="11">
        <f t="shared" si="7"/>
        <v>0.62988617023069382</v>
      </c>
      <c r="X5" s="11">
        <f t="shared" si="8"/>
        <v>0.54713239542355541</v>
      </c>
    </row>
    <row r="6" spans="1:24">
      <c r="A6" s="29" t="s">
        <v>116</v>
      </c>
      <c r="B6" s="5">
        <v>45841.982638888891</v>
      </c>
      <c r="C6" s="5">
        <v>45842.836805555555</v>
      </c>
      <c r="D6" s="6">
        <f t="shared" si="0"/>
        <v>1229.9999999965075</v>
      </c>
      <c r="E6" s="7">
        <v>45</v>
      </c>
      <c r="F6" s="7">
        <f>38+25</f>
        <v>63</v>
      </c>
      <c r="G6" s="8">
        <f t="shared" si="1"/>
        <v>18</v>
      </c>
      <c r="H6" s="7">
        <f>6+5+5+12+6+5+7+5+6+6+25+9+5+10+10+5+5+6+5</f>
        <v>143</v>
      </c>
      <c r="I6" s="7">
        <f>2+4+2+3+1+2+2+2+2+3+2+3+2+2+2+4+4+1+2+4+2+4+4+3+4+3+3+4</f>
        <v>76</v>
      </c>
      <c r="J6" s="9">
        <f t="shared" ref="J6" si="9">IF(B6="","",(D6-G6-H6-I6)/D6)</f>
        <v>0.80731707317018464</v>
      </c>
      <c r="K6" s="28">
        <v>0</v>
      </c>
      <c r="L6" s="28">
        <f>10+20+2+6+8+8+5+4+35</f>
        <v>98</v>
      </c>
      <c r="M6" s="9">
        <f>IF(B6="","",(D6-G6-H6-I6-K6-L6-E6)/D6)</f>
        <v>0.69105691056822849</v>
      </c>
      <c r="N6" s="7">
        <v>17000</v>
      </c>
      <c r="O6" s="15">
        <f>AVERAGE(17000,17000,17000,17000,17000,17000,17000,17000,17000,17000,17000,17000,17000,17000,17000,17000)</f>
        <v>17000</v>
      </c>
      <c r="P6" s="9">
        <f t="shared" si="2"/>
        <v>1</v>
      </c>
      <c r="Q6" s="7">
        <v>7943</v>
      </c>
      <c r="R6" s="7">
        <v>78</v>
      </c>
      <c r="S6" s="7">
        <v>18</v>
      </c>
      <c r="T6" s="5"/>
      <c r="U6" s="10">
        <f t="shared" ref="U6:U37" si="10">IF(S6="","",(T6-C6))</f>
        <v>-45842.836805555555</v>
      </c>
      <c r="V6" s="9">
        <f t="shared" ref="V6:V37" si="11">IF(B6="","",IF(U6&lt;3,(Q6-R6)/Q6,(Q6-R6-S6)/Q6))</f>
        <v>0.99018003273322419</v>
      </c>
      <c r="W6" s="11">
        <f t="shared" ref="W6:W8" si="12">IF(B6="","",V6*P6*J6)</f>
        <v>0.79938924593774419</v>
      </c>
      <c r="X6" s="11">
        <f t="shared" ref="X6:X8" si="13">IF(B6="","",V6*P6*M6)</f>
        <v>0.68427075432696927</v>
      </c>
    </row>
    <row r="7" spans="1:24">
      <c r="A7" s="29" t="s">
        <v>35</v>
      </c>
      <c r="B7" s="5">
        <v>45845.195833333331</v>
      </c>
      <c r="C7" s="5">
        <v>45845.995138888888</v>
      </c>
      <c r="D7" s="6">
        <f t="shared" si="0"/>
        <v>1151.0000000009313</v>
      </c>
      <c r="E7" s="7">
        <v>0</v>
      </c>
      <c r="F7" s="7">
        <v>13</v>
      </c>
      <c r="G7" s="8">
        <f t="shared" si="1"/>
        <v>13</v>
      </c>
      <c r="H7" s="7">
        <f>14+6+46+60+5+7+8+8+7+32+45+9+5+7+8+5+7+6+5+15+16+60+8+9+7</f>
        <v>405</v>
      </c>
      <c r="I7" s="7">
        <f>3+4+2+4+4+2+1+3+2+2+4+2+4+2+2+3+3+2+2+3+4+3+2+3+3</f>
        <v>69</v>
      </c>
      <c r="J7" s="9">
        <f t="shared" ref="J7:J37" si="14">IF(B7="","",(D7-G7-H7-I7)/D7)</f>
        <v>0.57688966116454743</v>
      </c>
      <c r="K7" s="28">
        <v>0</v>
      </c>
      <c r="L7" s="28">
        <f>7+5+2+4+3+2+2+3+9</f>
        <v>37</v>
      </c>
      <c r="M7" s="9">
        <f t="shared" ref="M7:M37" si="15">IF(B7="","",(D7-G7-H7-I7-K7-L7-E7)/D7)</f>
        <v>0.54474370112982107</v>
      </c>
      <c r="N7" s="7">
        <v>17000</v>
      </c>
      <c r="O7" s="15">
        <f>AVERAGE(16800,16800,16800,16800,17000,17000,17000,17000,17000,17000,17000,17000,17000,17000)</f>
        <v>16942.857142857141</v>
      </c>
      <c r="P7" s="9">
        <f t="shared" si="2"/>
        <v>0.99663865546218477</v>
      </c>
      <c r="Q7" s="15">
        <v>5165</v>
      </c>
      <c r="R7" s="15">
        <v>41</v>
      </c>
      <c r="S7" s="7">
        <v>17</v>
      </c>
      <c r="T7" s="5"/>
      <c r="U7" s="10">
        <f t="shared" si="10"/>
        <v>-45845.995138888888</v>
      </c>
      <c r="V7" s="9">
        <f t="shared" si="11"/>
        <v>0.99206195546950626</v>
      </c>
      <c r="W7" s="11">
        <f t="shared" si="12"/>
        <v>0.57038655329346177</v>
      </c>
      <c r="X7" s="11">
        <f t="shared" si="13"/>
        <v>0.53860296523347917</v>
      </c>
    </row>
    <row r="8" spans="1:24">
      <c r="A8" s="29" t="s">
        <v>117</v>
      </c>
      <c r="B8" s="5">
        <v>45846.038194444445</v>
      </c>
      <c r="C8" s="5">
        <v>45847</v>
      </c>
      <c r="D8" s="6">
        <f t="shared" si="0"/>
        <v>1384.9999999988358</v>
      </c>
      <c r="E8" s="7">
        <v>60</v>
      </c>
      <c r="F8" s="7">
        <v>107</v>
      </c>
      <c r="G8" s="8">
        <f t="shared" si="1"/>
        <v>47</v>
      </c>
      <c r="H8" s="7">
        <f>5+6+5+10+5+8+5+5+9+20+20+31</f>
        <v>129</v>
      </c>
      <c r="I8" s="7">
        <f>3+1+4+4+3+2+4+2+3+1+3+2+2+2+2+3+2</f>
        <v>43</v>
      </c>
      <c r="J8" s="9">
        <f t="shared" si="14"/>
        <v>0.84187725631755661</v>
      </c>
      <c r="K8" s="28">
        <v>0</v>
      </c>
      <c r="L8" s="28">
        <f>10+60+2+3+3+1+60+60+25+35+25+5 +20+28+11+18</f>
        <v>366</v>
      </c>
      <c r="M8" s="9">
        <f t="shared" si="15"/>
        <v>0.534296028880475</v>
      </c>
      <c r="N8" s="7">
        <v>17000</v>
      </c>
      <c r="O8" s="15">
        <f>AVERAGE(17000,16500,16500,17000,16800,16800,17000,17000,17000)</f>
        <v>16844.444444444445</v>
      </c>
      <c r="P8" s="9">
        <f t="shared" si="2"/>
        <v>0.99084967320261441</v>
      </c>
      <c r="Q8" s="15">
        <v>3901</v>
      </c>
      <c r="R8" s="15">
        <v>15</v>
      </c>
      <c r="S8" s="7">
        <v>254</v>
      </c>
      <c r="T8" s="5">
        <v>45849.4375</v>
      </c>
      <c r="U8" s="10">
        <f t="shared" si="10"/>
        <v>2.4375</v>
      </c>
      <c r="V8" s="9">
        <f t="shared" si="11"/>
        <v>0.99615483209433475</v>
      </c>
      <c r="W8" s="11">
        <f t="shared" si="12"/>
        <v>0.83096626595892753</v>
      </c>
      <c r="X8" s="11">
        <f t="shared" si="13"/>
        <v>0.52737138662886185</v>
      </c>
    </row>
    <row r="9" spans="1:24">
      <c r="A9" s="29" t="s">
        <v>118</v>
      </c>
      <c r="B9" s="5">
        <v>45847</v>
      </c>
      <c r="C9" s="5">
        <v>45848</v>
      </c>
      <c r="D9" s="6">
        <f t="shared" si="0"/>
        <v>1440</v>
      </c>
      <c r="E9" s="7">
        <v>45</v>
      </c>
      <c r="F9" s="7">
        <v>38</v>
      </c>
      <c r="G9" s="8">
        <f t="shared" si="1"/>
        <v>-7</v>
      </c>
      <c r="H9" s="7">
        <f>12+19+7+18+6+5+6+5+5+44+5+11+13+5+21+13+10+5+9+5</f>
        <v>224</v>
      </c>
      <c r="I9" s="7">
        <f>2+1+2+4+4+4+3+3+4+2+4+2+1+1+2+2+3+4+2+3+2+3+3+2+4+3+2+4</f>
        <v>76</v>
      </c>
      <c r="J9" s="9">
        <f t="shared" si="14"/>
        <v>0.79652777777777772</v>
      </c>
      <c r="K9" s="28">
        <v>0</v>
      </c>
      <c r="L9" s="28">
        <f>60+48+2+3+30+60+60+40+2+13+32+36+12+13+6</f>
        <v>417</v>
      </c>
      <c r="M9" s="9">
        <f t="shared" si="15"/>
        <v>0.47569444444444442</v>
      </c>
      <c r="N9" s="7">
        <v>17000</v>
      </c>
      <c r="O9" s="15">
        <f>AVERAGE(16000,16000,16000,16000,16000,16000,16000,15000,15000,17000,17000,17000,17000,16000,16000,17000)</f>
        <v>16187.5</v>
      </c>
      <c r="P9" s="9">
        <f t="shared" si="2"/>
        <v>0.95220588235294112</v>
      </c>
      <c r="Q9" s="15">
        <v>5105</v>
      </c>
      <c r="R9" s="15">
        <v>31</v>
      </c>
      <c r="S9" s="7">
        <v>653</v>
      </c>
      <c r="T9" s="5">
        <v>45884</v>
      </c>
      <c r="U9" s="10">
        <f t="shared" si="10"/>
        <v>36</v>
      </c>
      <c r="V9" s="9">
        <f t="shared" si="11"/>
        <v>0.86601371204701272</v>
      </c>
      <c r="W9" s="11">
        <f t="shared" ref="W9:W37" si="16">IF(B9="","",V9*P9*J9)</f>
        <v>0.65683540512393324</v>
      </c>
      <c r="X9" s="11">
        <f t="shared" ref="X9:X37" si="17">IF(B9="","",V9*P9*M9)</f>
        <v>0.39226874673922779</v>
      </c>
    </row>
    <row r="10" spans="1:24">
      <c r="A10" s="29" t="s">
        <v>119</v>
      </c>
      <c r="B10" s="5">
        <v>45848.006944444445</v>
      </c>
      <c r="C10" s="5">
        <v>45849</v>
      </c>
      <c r="D10" s="6">
        <f t="shared" si="0"/>
        <v>1429.9999999988358</v>
      </c>
      <c r="E10" s="7">
        <f>60+10</f>
        <v>70</v>
      </c>
      <c r="F10" s="7">
        <f>78+24</f>
        <v>102</v>
      </c>
      <c r="G10" s="8">
        <f t="shared" si="1"/>
        <v>32</v>
      </c>
      <c r="H10" s="7">
        <f>5+5+5+5+20+5+60+60+8+7+9+5+6+5+9+106+13+6</f>
        <v>339</v>
      </c>
      <c r="I10" s="7">
        <f>4+4+3+3+1+4+2+3+2+4+4+2+2+1+1+1+2+2+4+3+2+4+2+3+3+1+3+4</f>
        <v>74</v>
      </c>
      <c r="J10" s="9">
        <f t="shared" si="14"/>
        <v>0.6888111888109355</v>
      </c>
      <c r="K10" s="28">
        <v>0</v>
      </c>
      <c r="L10" s="28">
        <f>10+7+3+21+18</f>
        <v>59</v>
      </c>
      <c r="M10" s="9">
        <f t="shared" si="15"/>
        <v>0.59860139860107187</v>
      </c>
      <c r="N10" s="7">
        <v>17000</v>
      </c>
      <c r="O10" s="15">
        <f>AVERAGE(16000,17000,17000,16500,16500,16000,16000,16000,16000)</f>
        <v>16333.333333333334</v>
      </c>
      <c r="P10" s="9">
        <f t="shared" si="2"/>
        <v>0.96078431372549022</v>
      </c>
      <c r="Q10" s="15">
        <v>7754</v>
      </c>
      <c r="R10" s="15">
        <v>35</v>
      </c>
      <c r="S10" s="7">
        <f>505+117</f>
        <v>622</v>
      </c>
      <c r="T10" s="5">
        <v>45849.4375</v>
      </c>
      <c r="U10" s="10">
        <f t="shared" si="10"/>
        <v>0.4375</v>
      </c>
      <c r="V10" s="9">
        <f t="shared" ref="V10" si="18">IF(B10="","",IF(U10&lt;3,(Q10-R10)/Q10,(Q10-R10-S10)/Q10))</f>
        <v>0.99548620067062166</v>
      </c>
      <c r="W10" s="11">
        <f t="shared" ref="W10" si="19">IF(B10="","",V10*P10*J10)</f>
        <v>0.65881175751199628</v>
      </c>
      <c r="X10" s="11">
        <f t="shared" ref="X10" si="20">IF(B10="","",V10*P10*M10)</f>
        <v>0.57253082683265821</v>
      </c>
    </row>
    <row r="11" spans="1:24">
      <c r="A11" s="29" t="s">
        <v>49</v>
      </c>
      <c r="B11" s="5">
        <v>45849.006944444445</v>
      </c>
      <c r="C11" s="5">
        <v>45849.845138888886</v>
      </c>
      <c r="D11" s="6">
        <f t="shared" si="0"/>
        <v>1206.9999999948777</v>
      </c>
      <c r="E11" s="7">
        <v>10</v>
      </c>
      <c r="F11" s="7">
        <v>96</v>
      </c>
      <c r="G11" s="8">
        <f t="shared" si="1"/>
        <v>86</v>
      </c>
      <c r="H11" s="7">
        <f>10+37+60+5+11+7+6+60+60+60+14+5</f>
        <v>335</v>
      </c>
      <c r="I11" s="7">
        <f>4+2+4+1+2+2+1+4+3+3+4+4+1+3</f>
        <v>38</v>
      </c>
      <c r="J11" s="9">
        <f t="shared" si="14"/>
        <v>0.61971830985754106</v>
      </c>
      <c r="K11" s="28">
        <v>0</v>
      </c>
      <c r="L11" s="28">
        <f>10+4+60+60+60+50</f>
        <v>244</v>
      </c>
      <c r="M11" s="9">
        <f t="shared" si="15"/>
        <v>0.40927920463709544</v>
      </c>
      <c r="N11" s="7">
        <v>17000</v>
      </c>
      <c r="O11" s="15">
        <f>AVERAGE(17000,16000,16000,16000,16500,16500,17000,17000,18000)</f>
        <v>16666.666666666668</v>
      </c>
      <c r="P11" s="9">
        <f t="shared" si="2"/>
        <v>0.98039215686274517</v>
      </c>
      <c r="Q11" s="15">
        <v>4302</v>
      </c>
      <c r="R11" s="15">
        <v>27</v>
      </c>
      <c r="S11" s="7">
        <v>6</v>
      </c>
      <c r="T11" s="5"/>
      <c r="U11" s="10">
        <f t="shared" si="10"/>
        <v>-45849.845138888886</v>
      </c>
      <c r="V11" s="9">
        <f t="shared" si="11"/>
        <v>0.99372384937238489</v>
      </c>
      <c r="W11" s="11">
        <f t="shared" si="16"/>
        <v>0.60375378862567075</v>
      </c>
      <c r="X11" s="11">
        <f t="shared" si="17"/>
        <v>0.39873579088239464</v>
      </c>
    </row>
    <row r="12" spans="1:24">
      <c r="A12" s="29" t="s">
        <v>31</v>
      </c>
      <c r="B12" s="5">
        <v>45852.407638888886</v>
      </c>
      <c r="C12" s="5">
        <v>45853</v>
      </c>
      <c r="D12" s="6">
        <f t="shared" si="0"/>
        <v>853.00000000395812</v>
      </c>
      <c r="E12" s="7">
        <v>0</v>
      </c>
      <c r="F12" s="7">
        <v>0</v>
      </c>
      <c r="G12" s="8">
        <f t="shared" si="1"/>
        <v>0</v>
      </c>
      <c r="H12" s="7">
        <f>5+24+5+9+6</f>
        <v>49</v>
      </c>
      <c r="I12" s="7">
        <f>3+2+4+2+4+3+1+4+4+2+4+3+4+2+2+2+2+3+1+2+2+1+2+1+1+1+2+5+1+3+4+2+3+2+4+1</f>
        <v>89</v>
      </c>
      <c r="J12" s="9">
        <f t="shared" si="14"/>
        <v>0.83821805392806603</v>
      </c>
      <c r="K12" s="28">
        <v>0</v>
      </c>
      <c r="L12" s="28">
        <f>22+7+2+5</f>
        <v>36</v>
      </c>
      <c r="M12" s="9">
        <f t="shared" si="15"/>
        <v>0.79601406799625718</v>
      </c>
      <c r="N12" s="7">
        <v>17000</v>
      </c>
      <c r="O12" s="15">
        <f>AVERAGE(17000,17000,17000,17000,17000,16800,16800,16800,16800,16800,16800,16800,16800,17000)</f>
        <v>16885.714285714286</v>
      </c>
      <c r="P12" s="9">
        <f t="shared" si="2"/>
        <v>0.99327731092436977</v>
      </c>
      <c r="Q12" s="15">
        <v>6093</v>
      </c>
      <c r="R12" s="15">
        <v>11</v>
      </c>
      <c r="S12" s="7"/>
      <c r="T12" s="5"/>
      <c r="U12" s="10" t="str">
        <f t="shared" si="10"/>
        <v/>
      </c>
      <c r="V12" s="9">
        <f t="shared" si="11"/>
        <v>0.99819464959789928</v>
      </c>
      <c r="W12" s="11">
        <f t="shared" si="16"/>
        <v>0.83107987056599852</v>
      </c>
      <c r="X12" s="11">
        <f t="shared" si="17"/>
        <v>0.78923528967059953</v>
      </c>
    </row>
    <row r="13" spans="1:24">
      <c r="A13" s="29" t="s">
        <v>31</v>
      </c>
      <c r="B13" s="5">
        <v>45853</v>
      </c>
      <c r="C13" s="5">
        <v>45854</v>
      </c>
      <c r="D13" s="6">
        <f t="shared" si="0"/>
        <v>1440</v>
      </c>
      <c r="E13" s="7">
        <v>0</v>
      </c>
      <c r="F13" s="7">
        <v>0</v>
      </c>
      <c r="G13" s="8">
        <f t="shared" si="1"/>
        <v>0</v>
      </c>
      <c r="H13" s="7">
        <f>5+5+5+6+9+5+5+22+6+5+10+5+5+5+13+14+11+25+8+7+7</f>
        <v>183</v>
      </c>
      <c r="I13" s="7">
        <f>4+2+3+2+1+4+3+4+4+2+2+2+3+4+4+1+2+1+4+2+4+3+4+1+4+4+4+2+2+1+1+1+4+1+2+4+2+3+2+2+4+4+2+2+3+1+3</f>
        <v>124</v>
      </c>
      <c r="J13" s="9">
        <f t="shared" si="14"/>
        <v>0.78680555555555554</v>
      </c>
      <c r="K13" s="28">
        <v>0</v>
      </c>
      <c r="L13" s="28">
        <f>5+5+3+4+4+3+3+5+4+5+4+4+7+1+8</f>
        <v>65</v>
      </c>
      <c r="M13" s="9">
        <f t="shared" si="15"/>
        <v>0.7416666666666667</v>
      </c>
      <c r="N13" s="7">
        <v>17000</v>
      </c>
      <c r="O13" s="15">
        <f>AVERAGE(17000,17000,17000,17000,17000,17000,17000,17000,17000,17000,17000,17000,17000,17000,17000,16800,16800,16800,16800,16800,16800,16800,17000)</f>
        <v>16939.130434782608</v>
      </c>
      <c r="P13" s="9">
        <f t="shared" si="2"/>
        <v>0.99641943734015337</v>
      </c>
      <c r="Q13" s="15">
        <v>9610</v>
      </c>
      <c r="R13" s="15">
        <v>12</v>
      </c>
      <c r="S13" s="7">
        <v>5</v>
      </c>
      <c r="T13" s="5"/>
      <c r="U13" s="10">
        <f t="shared" si="10"/>
        <v>-45854</v>
      </c>
      <c r="V13" s="9">
        <f t="shared" si="11"/>
        <v>0.9987513007284079</v>
      </c>
      <c r="W13" s="11">
        <f t="shared" si="16"/>
        <v>0.78300938328248693</v>
      </c>
      <c r="X13" s="11">
        <f t="shared" si="17"/>
        <v>0.73808828009328864</v>
      </c>
    </row>
    <row r="14" spans="1:24">
      <c r="A14" s="29" t="s">
        <v>120</v>
      </c>
      <c r="B14" s="5">
        <v>45854</v>
      </c>
      <c r="C14" s="5">
        <v>45855</v>
      </c>
      <c r="D14" s="6">
        <f t="shared" si="0"/>
        <v>1440</v>
      </c>
      <c r="E14" s="7">
        <f>10+100</f>
        <v>110</v>
      </c>
      <c r="F14" s="7">
        <v>105</v>
      </c>
      <c r="G14" s="8">
        <f t="shared" si="1"/>
        <v>-5</v>
      </c>
      <c r="H14" s="7">
        <f>5+6+10+8+7+5+20+10+30+30+5+5+7+5+9+5+5+5</f>
        <v>177</v>
      </c>
      <c r="I14" s="7">
        <f>4+4+2+2+4+4+4+4+2+4+2+2+4+3+4+1+4+3+4+4+3+1+3+2+3+3+2+1+2+3+4+3</f>
        <v>95</v>
      </c>
      <c r="J14" s="9">
        <f t="shared" si="14"/>
        <v>0.81458333333333333</v>
      </c>
      <c r="K14" s="28">
        <v>12</v>
      </c>
      <c r="L14" s="28">
        <f>6+10+6+13+4+5+28+2+2+2+2+2+2+15</f>
        <v>99</v>
      </c>
      <c r="M14" s="9">
        <f t="shared" si="15"/>
        <v>0.66111111111111109</v>
      </c>
      <c r="N14" s="7">
        <v>17000</v>
      </c>
      <c r="O14" s="15">
        <f>AVERAGE(17000,17000,17000,17000,17000,17000,17000,17000,15000,15000,16000)</f>
        <v>16545.454545454544</v>
      </c>
      <c r="P14" s="9">
        <f t="shared" si="2"/>
        <v>0.97326203208556139</v>
      </c>
      <c r="Q14" s="15">
        <v>8258</v>
      </c>
      <c r="R14" s="15">
        <v>45</v>
      </c>
      <c r="S14" s="7">
        <f>473+12</f>
        <v>485</v>
      </c>
      <c r="T14" s="5">
        <v>45856.291666666664</v>
      </c>
      <c r="U14" s="10">
        <f t="shared" si="10"/>
        <v>1.2916666666642413</v>
      </c>
      <c r="V14" s="9">
        <f t="shared" si="11"/>
        <v>0.99455073867764587</v>
      </c>
      <c r="W14" s="11">
        <f t="shared" si="16"/>
        <v>0.78848283941375474</v>
      </c>
      <c r="X14" s="11">
        <f t="shared" si="17"/>
        <v>0.63992810155319224</v>
      </c>
    </row>
    <row r="15" spans="1:24">
      <c r="A15" s="29" t="s">
        <v>121</v>
      </c>
      <c r="B15" s="5">
        <v>45855.041666666664</v>
      </c>
      <c r="C15" s="5">
        <v>45856</v>
      </c>
      <c r="D15" s="6">
        <f t="shared" si="0"/>
        <v>1380.0000000034925</v>
      </c>
      <c r="E15" s="7">
        <v>100</v>
      </c>
      <c r="F15" s="7">
        <v>36</v>
      </c>
      <c r="G15" s="8">
        <f t="shared" si="1"/>
        <v>-64</v>
      </c>
      <c r="H15" s="7">
        <f>10+5+6+5+5+23+11+15+60+60+15+7+5+7+10+5+26+8+8+6+5+16+7+6+5+5</f>
        <v>341</v>
      </c>
      <c r="I15" s="7">
        <f>4+2+4+4+2+2+4+2+4+4+3+3+3+2+2+1+3+4+2+3+3+2+3+2+3+3+4+2+2+4+4</f>
        <v>90</v>
      </c>
      <c r="J15" s="9">
        <f t="shared" si="14"/>
        <v>0.73405797101516579</v>
      </c>
      <c r="K15" s="28">
        <v>0</v>
      </c>
      <c r="L15" s="28">
        <f>2+5+4+5+3</f>
        <v>19</v>
      </c>
      <c r="M15" s="9">
        <f t="shared" si="15"/>
        <v>0.64782608695741306</v>
      </c>
      <c r="N15" s="7">
        <v>17000</v>
      </c>
      <c r="O15" s="15">
        <f>AVERAGE(17000,17000,17000,17000,17000,17000,16800,16800,16800,16800,16800)</f>
        <v>16909.090909090908</v>
      </c>
      <c r="P15" s="9">
        <f t="shared" si="2"/>
        <v>0.99465240641711228</v>
      </c>
      <c r="Q15" s="15">
        <v>6271</v>
      </c>
      <c r="R15" s="7">
        <v>63</v>
      </c>
      <c r="S15" s="7"/>
      <c r="T15" s="5"/>
      <c r="U15" s="10" t="str">
        <f t="shared" si="10"/>
        <v/>
      </c>
      <c r="V15" s="9">
        <f t="shared" si="11"/>
        <v>0.98995375538191677</v>
      </c>
      <c r="W15" s="11">
        <f t="shared" si="16"/>
        <v>0.72279743734682245</v>
      </c>
      <c r="X15" s="11">
        <f t="shared" si="17"/>
        <v>0.63788836030439877</v>
      </c>
    </row>
    <row r="16" spans="1:24">
      <c r="A16" s="29" t="s">
        <v>122</v>
      </c>
      <c r="B16" s="5">
        <v>45856</v>
      </c>
      <c r="C16" s="5">
        <v>45856.8125</v>
      </c>
      <c r="D16" s="6">
        <f t="shared" si="0"/>
        <v>1170</v>
      </c>
      <c r="E16" s="7">
        <f>45+45</f>
        <v>90</v>
      </c>
      <c r="F16" s="7">
        <v>99</v>
      </c>
      <c r="G16" s="8">
        <f t="shared" si="1"/>
        <v>9</v>
      </c>
      <c r="H16" s="7">
        <f>6+6+33+5+5+6+11+5+9+8+18+5+5+6+13+6+6+7+6+6+7+5+6+6+5+6+6</f>
        <v>213</v>
      </c>
      <c r="I16" s="7">
        <f>4+4+2+2+3+3+3+4+4+3+3+3+3+4+2+4+4+3+3+3+4+3+3+4+3+3</f>
        <v>84</v>
      </c>
      <c r="J16" s="9">
        <f t="shared" si="14"/>
        <v>0.7384615384615385</v>
      </c>
      <c r="K16" s="28">
        <v>0</v>
      </c>
      <c r="L16" s="28">
        <f>3+3+6+9+5+4+14+25</f>
        <v>69</v>
      </c>
      <c r="M16" s="9">
        <f t="shared" si="15"/>
        <v>0.60256410256410253</v>
      </c>
      <c r="N16" s="7">
        <v>17000</v>
      </c>
      <c r="O16" s="15">
        <f>AVERAGE(17000,16000,16000,14000,15000,15000,14500,14500,14500,14500,14500)</f>
        <v>15045.454545454546</v>
      </c>
      <c r="P16" s="9">
        <f t="shared" si="2"/>
        <v>0.88502673796791442</v>
      </c>
      <c r="Q16" s="7">
        <v>4718</v>
      </c>
      <c r="R16" s="7">
        <v>74</v>
      </c>
      <c r="S16" s="7">
        <v>74</v>
      </c>
      <c r="T16" s="5">
        <v>45867.416666666664</v>
      </c>
      <c r="U16" s="10">
        <f t="shared" si="10"/>
        <v>10.604166666664241</v>
      </c>
      <c r="V16" s="9">
        <f t="shared" si="11"/>
        <v>0.9686307757524375</v>
      </c>
      <c r="W16" s="11">
        <f t="shared" si="16"/>
        <v>0.6330565925608691</v>
      </c>
      <c r="X16" s="11">
        <f t="shared" si="17"/>
        <v>0.51655659462432024</v>
      </c>
    </row>
    <row r="17" spans="1:24">
      <c r="A17" s="29" t="s">
        <v>123</v>
      </c>
      <c r="B17" s="5">
        <v>45859.079861111109</v>
      </c>
      <c r="C17" s="5">
        <v>45860</v>
      </c>
      <c r="D17" s="6">
        <f t="shared" si="0"/>
        <v>1325.0000000023283</v>
      </c>
      <c r="E17" s="7">
        <v>120</v>
      </c>
      <c r="F17" s="7">
        <v>212</v>
      </c>
      <c r="G17" s="8">
        <f t="shared" si="1"/>
        <v>92</v>
      </c>
      <c r="H17" s="7">
        <f>6+23+8+6+10+9+6+30+55+60+20+60+60+36+49+30+5+11</f>
        <v>484</v>
      </c>
      <c r="I17" s="7">
        <f>3+2+2+3+2+3+3+3+4+1+3+2+3+3+2+4+3+4+3+2+1</f>
        <v>56</v>
      </c>
      <c r="J17" s="9">
        <f t="shared" si="14"/>
        <v>0.52301886792536645</v>
      </c>
      <c r="K17" s="28">
        <v>0</v>
      </c>
      <c r="L17" s="28">
        <f>55+3+3+3+3+13+1</f>
        <v>81</v>
      </c>
      <c r="M17" s="9">
        <f t="shared" si="15"/>
        <v>0.37132075471808584</v>
      </c>
      <c r="N17" s="7">
        <v>17000</v>
      </c>
      <c r="O17" s="15">
        <f>AVERAGE(17000,17000,17000,17000,17000,17000,16700,16200,16600,16200,16600,16600,16600)</f>
        <v>16730.76923076923</v>
      </c>
      <c r="P17" s="9">
        <f t="shared" si="2"/>
        <v>0.98416289592760176</v>
      </c>
      <c r="Q17" s="7">
        <v>4613</v>
      </c>
      <c r="R17" s="7">
        <v>5</v>
      </c>
      <c r="S17" s="7">
        <f>221+12</f>
        <v>233</v>
      </c>
      <c r="T17" s="5"/>
      <c r="U17" s="10">
        <f t="shared" si="10"/>
        <v>-45860</v>
      </c>
      <c r="V17" s="9">
        <f t="shared" si="11"/>
        <v>0.99891610665510511</v>
      </c>
      <c r="W17" s="11">
        <f t="shared" si="16"/>
        <v>0.51417784501357</v>
      </c>
      <c r="X17" s="11">
        <f t="shared" si="17"/>
        <v>0.36504401117896634</v>
      </c>
    </row>
    <row r="18" spans="1:24">
      <c r="A18" s="29" t="s">
        <v>31</v>
      </c>
      <c r="B18" s="5">
        <v>45860.004861111112</v>
      </c>
      <c r="C18" s="5">
        <v>45861</v>
      </c>
      <c r="D18" s="6">
        <f t="shared" si="0"/>
        <v>1432.9999999981374</v>
      </c>
      <c r="E18" s="7">
        <v>0</v>
      </c>
      <c r="F18" s="7">
        <v>0</v>
      </c>
      <c r="G18" s="8">
        <f t="shared" si="1"/>
        <v>0</v>
      </c>
      <c r="H18" s="7">
        <f>6+6+6+19+5+12+8</f>
        <v>62</v>
      </c>
      <c r="I18" s="7">
        <f>2+1+1+1+2+2+1+1+1+1+1+4+2+4+3+4+1+2+2+4+1+3+3+2+1+4+3+1+2+2+3+4+3+2+2+1+4+1</f>
        <v>82</v>
      </c>
      <c r="J18" s="9">
        <f t="shared" si="14"/>
        <v>0.8995115143055219</v>
      </c>
      <c r="K18" s="28">
        <v>0</v>
      </c>
      <c r="L18" s="28">
        <f>7+3+4+5+6+5+3+6+5+2+6+1+4</f>
        <v>57</v>
      </c>
      <c r="M18" s="9">
        <f t="shared" si="15"/>
        <v>0.85973482205145757</v>
      </c>
      <c r="N18" s="7">
        <v>17000</v>
      </c>
      <c r="O18" s="15">
        <f>AVERAGE(16700,16700,16700,16700,16700,16700,16700,16700,17000,17000,17000,17000,17000,17000,17000,17000,18000,18000,16000,17000,17000,18000,18000,18000)</f>
        <v>17066.666666666668</v>
      </c>
      <c r="P18" s="9">
        <f t="shared" si="2"/>
        <v>1.003921568627451</v>
      </c>
      <c r="Q18" s="7">
        <v>11421</v>
      </c>
      <c r="R18" s="7">
        <v>20</v>
      </c>
      <c r="S18" s="7"/>
      <c r="T18" s="5"/>
      <c r="U18" s="10" t="str">
        <f t="shared" si="10"/>
        <v/>
      </c>
      <c r="V18" s="9">
        <f t="shared" si="11"/>
        <v>0.99824883985640489</v>
      </c>
      <c r="W18" s="11">
        <f t="shared" si="16"/>
        <v>0.90145764451685917</v>
      </c>
      <c r="X18" s="11">
        <f t="shared" si="17"/>
        <v>0.86159489375073406</v>
      </c>
    </row>
    <row r="19" spans="1:24">
      <c r="A19" s="29" t="s">
        <v>124</v>
      </c>
      <c r="B19" s="5">
        <v>45861.055555555555</v>
      </c>
      <c r="C19" s="5">
        <v>45862</v>
      </c>
      <c r="D19" s="6">
        <f t="shared" si="0"/>
        <v>1360.0000000011642</v>
      </c>
      <c r="E19" s="7">
        <f>10+10+60</f>
        <v>80</v>
      </c>
      <c r="F19" s="7">
        <v>92</v>
      </c>
      <c r="G19" s="8">
        <f t="shared" si="1"/>
        <v>12</v>
      </c>
      <c r="H19" s="7">
        <f>49+6+6+51+9+7+7+5+6+5+5+18+10+51+5+5+5+5+10+5</f>
        <v>270</v>
      </c>
      <c r="I19" s="7">
        <f>3+3+1+2+2+4+3+3+3+2+1+2+4+4+2+4+4+3+4+4+2+3+4+4+1+3+3+2+2+1+1+3+1</f>
        <v>88</v>
      </c>
      <c r="J19" s="9">
        <f t="shared" si="14"/>
        <v>0.72794117647082113</v>
      </c>
      <c r="K19" s="28">
        <v>0</v>
      </c>
      <c r="L19" s="28">
        <f>60+8+5+4+8+4</f>
        <v>89</v>
      </c>
      <c r="M19" s="9">
        <f t="shared" si="15"/>
        <v>0.60367647058857454</v>
      </c>
      <c r="N19" s="7">
        <v>17000</v>
      </c>
      <c r="O19" s="15">
        <f>AVERAGE(17000,17000,17000,17000,17000,17000,17000,17000,17000,17000,16400,18000,18000,15700,16700,15800,16500)</f>
        <v>16888.235294117647</v>
      </c>
      <c r="P19" s="9">
        <f t="shared" si="2"/>
        <v>0.99342560553633219</v>
      </c>
      <c r="Q19" s="15">
        <v>7302</v>
      </c>
      <c r="R19" s="7">
        <v>15</v>
      </c>
      <c r="S19" s="7">
        <f>11+7+11</f>
        <v>29</v>
      </c>
      <c r="T19" s="5"/>
      <c r="U19" s="10">
        <f t="shared" si="10"/>
        <v>-45862</v>
      </c>
      <c r="V19" s="9">
        <f t="shared" si="11"/>
        <v>0.99794576828266224</v>
      </c>
      <c r="W19" s="11">
        <f t="shared" si="16"/>
        <v>0.72166987526283211</v>
      </c>
      <c r="X19" s="11">
        <f t="shared" si="17"/>
        <v>0.59847572483932177</v>
      </c>
    </row>
    <row r="20" spans="1:24">
      <c r="A20" s="29" t="s">
        <v>49</v>
      </c>
      <c r="B20" s="5">
        <v>45862.005555555559</v>
      </c>
      <c r="C20" s="5">
        <v>45863</v>
      </c>
      <c r="D20" s="6">
        <f t="shared" si="0"/>
        <v>1431.9999999948777</v>
      </c>
      <c r="E20" s="7">
        <v>10</v>
      </c>
      <c r="F20" s="7">
        <v>22</v>
      </c>
      <c r="G20" s="8">
        <f t="shared" si="1"/>
        <v>12</v>
      </c>
      <c r="H20" s="7">
        <f>9+26+6+6+6+8+6+11+7+7+5+7+5+8+5+5+7</f>
        <v>134</v>
      </c>
      <c r="I20" s="7">
        <f>4+3+3+1+3+2+2+2+4+4+4+4+3+4+4+4+2+1+2+3+3+4+4+4+3+3+3+4+1+2+1+4+4+4+4+2+2+4+3+3+3+4+3+2+2</f>
        <v>135</v>
      </c>
      <c r="J20" s="9">
        <f t="shared" si="14"/>
        <v>0.80377094971996843</v>
      </c>
      <c r="K20" s="28">
        <v>0</v>
      </c>
      <c r="L20" s="28">
        <f>8+3+2+2</f>
        <v>15</v>
      </c>
      <c r="M20" s="9">
        <f t="shared" si="15"/>
        <v>0.78631284916124677</v>
      </c>
      <c r="N20" s="7">
        <v>17000</v>
      </c>
      <c r="O20" s="30">
        <f>AVERAGE(16000,17000,17000,17000,17000,17000,16000,16000,16000,16000,16000,16000,16000,16000,16000,16000,16000,17000,17000,17000,17000,17000,17000)</f>
        <v>16478.260869565216</v>
      </c>
      <c r="P20" s="9">
        <f t="shared" si="2"/>
        <v>0.96930946291560094</v>
      </c>
      <c r="Q20" s="7">
        <v>10000</v>
      </c>
      <c r="R20" s="7">
        <v>41</v>
      </c>
      <c r="S20" s="7"/>
      <c r="T20" s="5"/>
      <c r="U20" s="10" t="str">
        <f t="shared" si="10"/>
        <v/>
      </c>
      <c r="V20" s="9">
        <f t="shared" si="11"/>
        <v>0.99590000000000001</v>
      </c>
      <c r="W20" s="11">
        <f t="shared" si="16"/>
        <v>0.77590846615114617</v>
      </c>
      <c r="X20" s="11">
        <f t="shared" si="17"/>
        <v>0.75905554551355714</v>
      </c>
    </row>
    <row r="21" spans="1:24">
      <c r="A21" s="29" t="s">
        <v>71</v>
      </c>
      <c r="B21" s="5">
        <v>45863</v>
      </c>
      <c r="C21" s="5">
        <v>45863.845833333333</v>
      </c>
      <c r="D21" s="6">
        <f t="shared" si="0"/>
        <v>1217.9999999993015</v>
      </c>
      <c r="E21" s="7">
        <v>10</v>
      </c>
      <c r="F21" s="7">
        <v>19</v>
      </c>
      <c r="G21" s="8">
        <f t="shared" si="1"/>
        <v>9</v>
      </c>
      <c r="H21" s="7">
        <f>6+5+6+6+5+5+9+5+6+11+16</f>
        <v>80</v>
      </c>
      <c r="I21" s="7">
        <f>3+3+2+2+3+4+2+2+3+4+1+3+4+2+3+2+1</f>
        <v>44</v>
      </c>
      <c r="J21" s="9">
        <f t="shared" si="14"/>
        <v>0.89080459770108678</v>
      </c>
      <c r="K21" s="28">
        <v>20</v>
      </c>
      <c r="L21" s="28">
        <f>7+4+7+38+2+3+6+4+6+20+3+4+13+2+3+4+13</f>
        <v>139</v>
      </c>
      <c r="M21" s="9">
        <f t="shared" si="15"/>
        <v>0.75205254515585129</v>
      </c>
      <c r="N21" s="7">
        <v>17000</v>
      </c>
      <c r="O21" s="15">
        <f>AVERAGE(17000,17000,17000,17000,17000,17000,17000,17000,17000,17000,17000,16800,16800,16800,17000,17000,17000,18000,18000)</f>
        <v>17073.684210526317</v>
      </c>
      <c r="P21" s="9">
        <f t="shared" si="2"/>
        <v>1.0043343653250774</v>
      </c>
      <c r="Q21" s="7">
        <v>8364</v>
      </c>
      <c r="R21" s="15">
        <v>23</v>
      </c>
      <c r="S21" s="7">
        <v>1</v>
      </c>
      <c r="T21" s="5"/>
      <c r="U21" s="10">
        <f t="shared" si="10"/>
        <v>-45863.845833333333</v>
      </c>
      <c r="V21" s="9">
        <f t="shared" ref="V21:V27" si="21">IF(B21="","",IF(U21&lt;3,(Q21-R21)/Q21,(Q21-R21-S21)/Q21))</f>
        <v>0.99725011956001908</v>
      </c>
      <c r="W21" s="11">
        <f t="shared" ref="W21:W27" si="22">IF(B21="","",V21*P21*J21)</f>
        <v>0.89220544663380918</v>
      </c>
      <c r="X21" s="11">
        <f t="shared" ref="X21:X27" si="23">IF(B21="","",V21*P21*M21)</f>
        <v>0.75323519734237077</v>
      </c>
    </row>
    <row r="22" spans="1:24">
      <c r="A22" s="29" t="s">
        <v>73</v>
      </c>
      <c r="B22" s="5">
        <v>45866.163194444445</v>
      </c>
      <c r="C22" s="5">
        <v>45866.444444444445</v>
      </c>
      <c r="D22" s="6">
        <f t="shared" si="0"/>
        <v>405</v>
      </c>
      <c r="E22" s="7">
        <v>0</v>
      </c>
      <c r="F22" s="7">
        <v>0</v>
      </c>
      <c r="G22" s="8">
        <f t="shared" si="1"/>
        <v>0</v>
      </c>
      <c r="H22" s="28">
        <f>28+7+6+5+5+19</f>
        <v>70</v>
      </c>
      <c r="I22" s="28">
        <f>2+2+4+4+5+3+4+2+2+1+1+3+4+3+2+3+1</f>
        <v>46</v>
      </c>
      <c r="J22" s="9">
        <f>IF(B22="","",(D22-G22-H22-I22)/D22)</f>
        <v>0.71358024691358024</v>
      </c>
      <c r="K22" s="28">
        <v>0</v>
      </c>
      <c r="L22" s="28">
        <v>1</v>
      </c>
      <c r="M22" s="9">
        <f t="shared" si="15"/>
        <v>0.71111111111111114</v>
      </c>
      <c r="N22" s="7">
        <v>17000</v>
      </c>
      <c r="O22" s="30">
        <f>AVERAGE(17000,16800,16800)</f>
        <v>16866.666666666668</v>
      </c>
      <c r="P22" s="9">
        <f t="shared" si="2"/>
        <v>0.99215686274509807</v>
      </c>
      <c r="Q22" s="15">
        <v>2744</v>
      </c>
      <c r="R22" s="7">
        <v>14</v>
      </c>
      <c r="S22" s="7"/>
      <c r="T22" s="5"/>
      <c r="U22" s="10" t="str">
        <f t="shared" si="10"/>
        <v/>
      </c>
      <c r="V22" s="9">
        <f t="shared" ref="V22:V23" si="24">IF(B22="","",IF(U22&lt;3,(Q22-R22)/Q22,(Q22-R22-S22)/Q22))</f>
        <v>0.99489795918367352</v>
      </c>
      <c r="W22" s="11">
        <f t="shared" ref="W22:W23" si="25">IF(B22="","",V22*P22*J22)</f>
        <v>0.70437137818090201</v>
      </c>
      <c r="X22" s="11">
        <f t="shared" ref="X22:X23" si="26">IF(B22="","",V22*P22*M22)</f>
        <v>0.70193410697612391</v>
      </c>
    </row>
    <row r="23" spans="1:24">
      <c r="A23" s="29" t="s">
        <v>35</v>
      </c>
      <c r="B23" s="5">
        <v>45869.708333333336</v>
      </c>
      <c r="C23" s="5">
        <v>45869.909722222219</v>
      </c>
      <c r="D23" s="6">
        <f t="shared" si="0"/>
        <v>289.99999999185093</v>
      </c>
      <c r="E23" s="7">
        <v>0</v>
      </c>
      <c r="F23" s="7">
        <v>0</v>
      </c>
      <c r="G23" s="8">
        <f t="shared" si="1"/>
        <v>0</v>
      </c>
      <c r="H23" s="7">
        <f>20+15+20</f>
        <v>55</v>
      </c>
      <c r="I23" s="7">
        <f>4+3+4+2+4</f>
        <v>17</v>
      </c>
      <c r="J23" s="9">
        <f t="shared" si="14"/>
        <v>0.7517241379240579</v>
      </c>
      <c r="K23" s="28">
        <v>0</v>
      </c>
      <c r="L23" s="28">
        <f>60+36+10</f>
        <v>106</v>
      </c>
      <c r="M23" s="9">
        <f t="shared" si="15"/>
        <v>0.38620689653447637</v>
      </c>
      <c r="N23" s="7">
        <v>17000</v>
      </c>
      <c r="O23" s="15">
        <f>AVERAGE(17000,17000,17000,17000)</f>
        <v>17000</v>
      </c>
      <c r="P23" s="9">
        <f t="shared" si="2"/>
        <v>1</v>
      </c>
      <c r="Q23" s="15">
        <v>2039</v>
      </c>
      <c r="R23" s="7">
        <v>9</v>
      </c>
      <c r="S23" s="7"/>
      <c r="T23" s="5"/>
      <c r="U23" s="10" t="str">
        <f t="shared" si="10"/>
        <v/>
      </c>
      <c r="V23" s="9">
        <f t="shared" si="24"/>
        <v>0.99558607160372736</v>
      </c>
      <c r="W23" s="11">
        <f t="shared" si="25"/>
        <v>0.74840608140551135</v>
      </c>
      <c r="X23" s="11">
        <f t="shared" si="26"/>
        <v>0.38450220694702653</v>
      </c>
    </row>
    <row r="24" spans="1:24">
      <c r="A24" s="29"/>
      <c r="B24" s="5"/>
      <c r="C24" s="5"/>
      <c r="D24" s="6" t="str">
        <f t="shared" si="0"/>
        <v/>
      </c>
      <c r="E24" s="7"/>
      <c r="F24" s="7"/>
      <c r="G24" s="8" t="str">
        <f t="shared" si="1"/>
        <v/>
      </c>
      <c r="H24" s="7"/>
      <c r="I24" s="7"/>
      <c r="J24" s="9" t="str">
        <f t="shared" si="14"/>
        <v/>
      </c>
      <c r="K24" s="28"/>
      <c r="L24" s="28"/>
      <c r="M24" s="9" t="str">
        <f t="shared" si="15"/>
        <v/>
      </c>
      <c r="N24" s="7"/>
      <c r="O24" s="15"/>
      <c r="P24" s="9" t="str">
        <f t="shared" si="2"/>
        <v/>
      </c>
      <c r="Q24" s="7"/>
      <c r="R24" s="7"/>
      <c r="S24" s="7"/>
      <c r="T24" s="5"/>
      <c r="U24" s="10" t="str">
        <f t="shared" si="10"/>
        <v/>
      </c>
      <c r="V24" s="9" t="str">
        <f t="shared" si="21"/>
        <v/>
      </c>
      <c r="W24" s="11" t="str">
        <f t="shared" si="22"/>
        <v/>
      </c>
      <c r="X24" s="11" t="str">
        <f t="shared" si="23"/>
        <v/>
      </c>
    </row>
    <row r="25" spans="1:24">
      <c r="A25" s="29"/>
      <c r="B25" s="5"/>
      <c r="C25" s="5"/>
      <c r="D25" s="6" t="str">
        <f t="shared" si="0"/>
        <v/>
      </c>
      <c r="E25" s="7"/>
      <c r="F25" s="7"/>
      <c r="G25" s="8" t="str">
        <f t="shared" si="1"/>
        <v/>
      </c>
      <c r="H25" s="7"/>
      <c r="I25" s="7"/>
      <c r="J25" s="9" t="str">
        <f t="shared" si="14"/>
        <v/>
      </c>
      <c r="K25" s="28"/>
      <c r="L25" s="28"/>
      <c r="M25" s="9" t="str">
        <f t="shared" si="15"/>
        <v/>
      </c>
      <c r="N25" s="7"/>
      <c r="O25" s="15"/>
      <c r="P25" s="9" t="str">
        <f t="shared" si="2"/>
        <v/>
      </c>
      <c r="Q25" s="7"/>
      <c r="R25" s="7"/>
      <c r="S25" s="7"/>
      <c r="T25" s="5"/>
      <c r="U25" s="10" t="str">
        <f t="shared" si="10"/>
        <v/>
      </c>
      <c r="V25" s="9" t="str">
        <f t="shared" si="21"/>
        <v/>
      </c>
      <c r="W25" s="11" t="str">
        <f t="shared" si="22"/>
        <v/>
      </c>
      <c r="X25" s="11" t="str">
        <f t="shared" si="23"/>
        <v/>
      </c>
    </row>
    <row r="26" spans="1:24">
      <c r="A26" s="29"/>
      <c r="B26" s="5"/>
      <c r="C26" s="5"/>
      <c r="D26" s="6" t="str">
        <f t="shared" si="0"/>
        <v/>
      </c>
      <c r="E26" s="7"/>
      <c r="F26" s="7"/>
      <c r="G26" s="8" t="str">
        <f t="shared" si="1"/>
        <v/>
      </c>
      <c r="H26" s="7"/>
      <c r="I26" s="7"/>
      <c r="J26" s="9" t="str">
        <f t="shared" si="14"/>
        <v/>
      </c>
      <c r="K26" s="28"/>
      <c r="L26" s="28"/>
      <c r="M26" s="9" t="str">
        <f t="shared" si="15"/>
        <v/>
      </c>
      <c r="N26" s="7"/>
      <c r="O26" s="15"/>
      <c r="P26" s="9" t="str">
        <f t="shared" si="2"/>
        <v/>
      </c>
      <c r="Q26" s="7"/>
      <c r="R26" s="7"/>
      <c r="S26" s="7"/>
      <c r="T26" s="5"/>
      <c r="U26" s="10" t="str">
        <f t="shared" si="10"/>
        <v/>
      </c>
      <c r="V26" s="9" t="str">
        <f t="shared" si="21"/>
        <v/>
      </c>
      <c r="W26" s="11" t="str">
        <f t="shared" si="22"/>
        <v/>
      </c>
      <c r="X26" s="11" t="str">
        <f t="shared" si="23"/>
        <v/>
      </c>
    </row>
    <row r="27" spans="1:24" ht="15" thickBot="1">
      <c r="A27" s="29"/>
      <c r="B27" s="5"/>
      <c r="C27" s="5"/>
      <c r="D27" s="6" t="str">
        <f t="shared" si="0"/>
        <v/>
      </c>
      <c r="E27" s="7"/>
      <c r="F27" s="7"/>
      <c r="G27" s="8" t="str">
        <f t="shared" si="1"/>
        <v/>
      </c>
      <c r="H27" s="7"/>
      <c r="I27" s="7"/>
      <c r="J27" s="9" t="str">
        <f t="shared" si="14"/>
        <v/>
      </c>
      <c r="K27" s="28"/>
      <c r="L27" s="28"/>
      <c r="M27" s="9" t="str">
        <f t="shared" si="15"/>
        <v/>
      </c>
      <c r="N27" s="7"/>
      <c r="O27" s="15"/>
      <c r="P27" s="9" t="str">
        <f t="shared" si="2"/>
        <v/>
      </c>
      <c r="Q27" s="7"/>
      <c r="R27" s="7"/>
      <c r="S27" s="7"/>
      <c r="T27" s="5"/>
      <c r="U27" s="10" t="str">
        <f t="shared" si="10"/>
        <v/>
      </c>
      <c r="V27" s="9" t="str">
        <f t="shared" si="21"/>
        <v/>
      </c>
      <c r="W27" s="11" t="str">
        <f t="shared" si="22"/>
        <v/>
      </c>
      <c r="X27" s="11" t="str">
        <f t="shared" si="23"/>
        <v/>
      </c>
    </row>
    <row r="28" spans="1:24" hidden="1">
      <c r="A28" s="29"/>
      <c r="B28" s="5"/>
      <c r="C28" s="5"/>
      <c r="D28" s="6" t="str">
        <f t="shared" si="0"/>
        <v/>
      </c>
      <c r="E28" s="7"/>
      <c r="F28" s="7"/>
      <c r="G28" s="8" t="str">
        <f t="shared" si="1"/>
        <v/>
      </c>
      <c r="H28" s="7"/>
      <c r="I28" s="7"/>
      <c r="J28" s="9" t="str">
        <f t="shared" si="14"/>
        <v/>
      </c>
      <c r="K28" s="28"/>
      <c r="L28" s="28"/>
      <c r="M28" s="9" t="str">
        <f t="shared" si="15"/>
        <v/>
      </c>
      <c r="N28" s="7"/>
      <c r="O28" s="15"/>
      <c r="P28" s="9" t="str">
        <f t="shared" si="2"/>
        <v/>
      </c>
      <c r="Q28" s="15"/>
      <c r="R28" s="7"/>
      <c r="S28" s="7"/>
      <c r="T28" s="5"/>
      <c r="U28" s="10" t="str">
        <f t="shared" si="10"/>
        <v/>
      </c>
      <c r="V28" s="9" t="str">
        <f t="shared" si="11"/>
        <v/>
      </c>
      <c r="W28" s="11" t="str">
        <f t="shared" si="16"/>
        <v/>
      </c>
      <c r="X28" s="11" t="str">
        <f t="shared" si="17"/>
        <v/>
      </c>
    </row>
    <row r="29" spans="1:24" hidden="1">
      <c r="A29" s="29"/>
      <c r="B29" s="5"/>
      <c r="C29" s="5"/>
      <c r="D29" s="6" t="str">
        <f t="shared" si="0"/>
        <v/>
      </c>
      <c r="E29" s="7"/>
      <c r="F29" s="7"/>
      <c r="G29" s="8" t="str">
        <f t="shared" si="1"/>
        <v/>
      </c>
      <c r="H29" s="7"/>
      <c r="I29" s="7"/>
      <c r="J29" s="9" t="str">
        <f t="shared" si="14"/>
        <v/>
      </c>
      <c r="K29" s="28"/>
      <c r="L29" s="28"/>
      <c r="M29" s="9" t="str">
        <f t="shared" si="15"/>
        <v/>
      </c>
      <c r="N29" s="7"/>
      <c r="O29" s="7"/>
      <c r="P29" s="9" t="str">
        <f t="shared" si="2"/>
        <v/>
      </c>
      <c r="Q29" s="7"/>
      <c r="R29" s="7"/>
      <c r="S29" s="7"/>
      <c r="T29" s="5"/>
      <c r="U29" s="10" t="str">
        <f t="shared" si="10"/>
        <v/>
      </c>
      <c r="V29" s="9" t="str">
        <f t="shared" si="11"/>
        <v/>
      </c>
      <c r="W29" s="11" t="str">
        <f t="shared" si="16"/>
        <v/>
      </c>
      <c r="X29" s="11" t="str">
        <f t="shared" si="17"/>
        <v/>
      </c>
    </row>
    <row r="30" spans="1:24" hidden="1">
      <c r="A30" s="29"/>
      <c r="B30" s="5"/>
      <c r="C30" s="5"/>
      <c r="D30" s="6" t="str">
        <f t="shared" si="0"/>
        <v/>
      </c>
      <c r="E30" s="7"/>
      <c r="F30" s="7"/>
      <c r="G30" s="8" t="str">
        <f t="shared" si="1"/>
        <v/>
      </c>
      <c r="H30" s="7"/>
      <c r="I30" s="7"/>
      <c r="J30" s="9" t="str">
        <f t="shared" si="14"/>
        <v/>
      </c>
      <c r="K30" s="28"/>
      <c r="L30" s="28"/>
      <c r="M30" s="9" t="str">
        <f t="shared" si="15"/>
        <v/>
      </c>
      <c r="N30" s="7"/>
      <c r="O30" s="15"/>
      <c r="P30" s="9" t="str">
        <f t="shared" si="2"/>
        <v/>
      </c>
      <c r="Q30" s="15"/>
      <c r="R30" s="7"/>
      <c r="S30" s="7"/>
      <c r="T30" s="5"/>
      <c r="U30" s="10" t="str">
        <f t="shared" si="10"/>
        <v/>
      </c>
      <c r="V30" s="9" t="str">
        <f t="shared" si="11"/>
        <v/>
      </c>
      <c r="W30" s="11" t="str">
        <f t="shared" si="16"/>
        <v/>
      </c>
      <c r="X30" s="11" t="str">
        <f t="shared" si="17"/>
        <v/>
      </c>
    </row>
    <row r="31" spans="1:24" hidden="1">
      <c r="A31" s="29"/>
      <c r="B31" s="5"/>
      <c r="C31" s="5"/>
      <c r="D31" s="6" t="str">
        <f t="shared" si="0"/>
        <v/>
      </c>
      <c r="E31" s="7"/>
      <c r="F31" s="7"/>
      <c r="G31" s="8" t="str">
        <f t="shared" si="1"/>
        <v/>
      </c>
      <c r="H31" s="7"/>
      <c r="I31" s="7"/>
      <c r="J31" s="9" t="str">
        <f t="shared" si="14"/>
        <v/>
      </c>
      <c r="K31" s="28"/>
      <c r="L31" s="28"/>
      <c r="M31" s="9" t="str">
        <f t="shared" si="15"/>
        <v/>
      </c>
      <c r="N31" s="7"/>
      <c r="O31" s="15"/>
      <c r="P31" s="9" t="str">
        <f t="shared" si="2"/>
        <v/>
      </c>
      <c r="Q31" s="15"/>
      <c r="R31" s="15"/>
      <c r="S31" s="7"/>
      <c r="T31" s="5"/>
      <c r="U31" s="10" t="str">
        <f t="shared" si="10"/>
        <v/>
      </c>
      <c r="V31" s="9" t="str">
        <f t="shared" si="11"/>
        <v/>
      </c>
      <c r="W31" s="11" t="str">
        <f t="shared" si="16"/>
        <v/>
      </c>
      <c r="X31" s="11" t="str">
        <f t="shared" si="17"/>
        <v/>
      </c>
    </row>
    <row r="32" spans="1:24" hidden="1">
      <c r="A32" s="29"/>
      <c r="B32" s="5"/>
      <c r="C32" s="5"/>
      <c r="D32" s="6" t="str">
        <f t="shared" si="0"/>
        <v/>
      </c>
      <c r="E32" s="7"/>
      <c r="F32" s="7"/>
      <c r="G32" s="8" t="str">
        <f t="shared" si="1"/>
        <v/>
      </c>
      <c r="H32" s="7"/>
      <c r="I32" s="7"/>
      <c r="J32" s="9" t="str">
        <f t="shared" si="14"/>
        <v/>
      </c>
      <c r="K32" s="28"/>
      <c r="L32" s="28"/>
      <c r="M32" s="9" t="str">
        <f t="shared" si="15"/>
        <v/>
      </c>
      <c r="N32" s="7"/>
      <c r="O32" s="15"/>
      <c r="P32" s="9" t="str">
        <f t="shared" si="2"/>
        <v/>
      </c>
      <c r="Q32" s="15"/>
      <c r="R32" s="7"/>
      <c r="S32" s="7"/>
      <c r="T32" s="5"/>
      <c r="U32" s="10" t="str">
        <f t="shared" si="10"/>
        <v/>
      </c>
      <c r="V32" s="9" t="str">
        <f t="shared" si="11"/>
        <v/>
      </c>
      <c r="W32" s="11" t="str">
        <f t="shared" si="16"/>
        <v/>
      </c>
      <c r="X32" s="11" t="str">
        <f t="shared" si="17"/>
        <v/>
      </c>
    </row>
    <row r="33" spans="1:24" hidden="1">
      <c r="A33" s="29"/>
      <c r="B33" s="5"/>
      <c r="C33" s="5"/>
      <c r="D33" s="6" t="str">
        <f t="shared" si="0"/>
        <v/>
      </c>
      <c r="E33" s="7"/>
      <c r="F33" s="7"/>
      <c r="G33" s="8" t="str">
        <f t="shared" si="1"/>
        <v/>
      </c>
      <c r="H33" s="7"/>
      <c r="I33" s="7"/>
      <c r="J33" s="9" t="str">
        <f t="shared" si="14"/>
        <v/>
      </c>
      <c r="K33" s="28"/>
      <c r="L33" s="28"/>
      <c r="M33" s="9" t="str">
        <f t="shared" si="15"/>
        <v/>
      </c>
      <c r="N33" s="7"/>
      <c r="O33" s="15"/>
      <c r="P33" s="9" t="str">
        <f t="shared" si="2"/>
        <v/>
      </c>
      <c r="Q33" s="15"/>
      <c r="R33" s="7"/>
      <c r="S33" s="7"/>
      <c r="T33" s="5"/>
      <c r="U33" s="10" t="str">
        <f t="shared" si="10"/>
        <v/>
      </c>
      <c r="V33" s="9" t="str">
        <f t="shared" si="11"/>
        <v/>
      </c>
      <c r="W33" s="11" t="str">
        <f t="shared" si="16"/>
        <v/>
      </c>
      <c r="X33" s="11" t="str">
        <f t="shared" si="17"/>
        <v/>
      </c>
    </row>
    <row r="34" spans="1:24" hidden="1">
      <c r="A34" s="29"/>
      <c r="B34" s="5"/>
      <c r="C34" s="5"/>
      <c r="D34" s="6" t="str">
        <f t="shared" si="0"/>
        <v/>
      </c>
      <c r="E34" s="7"/>
      <c r="F34" s="7"/>
      <c r="G34" s="8" t="str">
        <f t="shared" si="1"/>
        <v/>
      </c>
      <c r="H34" s="7"/>
      <c r="I34" s="7"/>
      <c r="J34" s="9" t="str">
        <f t="shared" si="14"/>
        <v/>
      </c>
      <c r="K34" s="28"/>
      <c r="L34" s="28"/>
      <c r="M34" s="9" t="str">
        <f t="shared" si="15"/>
        <v/>
      </c>
      <c r="N34" s="7"/>
      <c r="O34" s="15"/>
      <c r="P34" s="9" t="str">
        <f t="shared" si="2"/>
        <v/>
      </c>
      <c r="Q34" s="15"/>
      <c r="R34" s="7"/>
      <c r="S34" s="7"/>
      <c r="T34" s="5"/>
      <c r="U34" s="10" t="str">
        <f t="shared" si="10"/>
        <v/>
      </c>
      <c r="V34" s="9" t="str">
        <f t="shared" si="11"/>
        <v/>
      </c>
      <c r="W34" s="11" t="str">
        <f t="shared" si="16"/>
        <v/>
      </c>
      <c r="X34" s="11" t="str">
        <f t="shared" si="17"/>
        <v/>
      </c>
    </row>
    <row r="35" spans="1:24" hidden="1">
      <c r="A35" s="29"/>
      <c r="B35" s="5"/>
      <c r="C35" s="5"/>
      <c r="D35" s="6" t="str">
        <f t="shared" si="0"/>
        <v/>
      </c>
      <c r="E35" s="7"/>
      <c r="F35" s="7"/>
      <c r="G35" s="8" t="str">
        <f t="shared" si="1"/>
        <v/>
      </c>
      <c r="H35" s="7"/>
      <c r="I35" s="7"/>
      <c r="J35" s="9" t="str">
        <f t="shared" si="14"/>
        <v/>
      </c>
      <c r="K35" s="28"/>
      <c r="L35" s="28"/>
      <c r="M35" s="9" t="str">
        <f t="shared" si="15"/>
        <v/>
      </c>
      <c r="N35" s="7"/>
      <c r="O35" s="15"/>
      <c r="P35" s="9" t="str">
        <f t="shared" si="2"/>
        <v/>
      </c>
      <c r="Q35" s="15"/>
      <c r="R35" s="7"/>
      <c r="S35" s="7"/>
      <c r="T35" s="5"/>
      <c r="U35" s="10" t="str">
        <f t="shared" si="10"/>
        <v/>
      </c>
      <c r="V35" s="9" t="str">
        <f t="shared" si="11"/>
        <v/>
      </c>
      <c r="W35" s="11" t="str">
        <f t="shared" si="16"/>
        <v/>
      </c>
      <c r="X35" s="11" t="str">
        <f t="shared" si="17"/>
        <v/>
      </c>
    </row>
    <row r="36" spans="1:24" hidden="1">
      <c r="A36" s="29"/>
      <c r="B36" s="5"/>
      <c r="C36" s="5"/>
      <c r="D36" s="6" t="str">
        <f t="shared" si="0"/>
        <v/>
      </c>
      <c r="E36" s="7"/>
      <c r="F36" s="7"/>
      <c r="G36" s="8" t="str">
        <f t="shared" si="1"/>
        <v/>
      </c>
      <c r="H36" s="7"/>
      <c r="I36" s="7"/>
      <c r="J36" s="9" t="str">
        <f t="shared" si="14"/>
        <v/>
      </c>
      <c r="K36" s="28"/>
      <c r="L36" s="28"/>
      <c r="M36" s="9" t="str">
        <f t="shared" si="15"/>
        <v/>
      </c>
      <c r="N36" s="7"/>
      <c r="O36" s="15"/>
      <c r="P36" s="9" t="str">
        <f t="shared" si="2"/>
        <v/>
      </c>
      <c r="Q36" s="15"/>
      <c r="R36" s="7"/>
      <c r="S36" s="7"/>
      <c r="T36" s="5"/>
      <c r="U36" s="10" t="str">
        <f t="shared" si="10"/>
        <v/>
      </c>
      <c r="V36" s="9" t="str">
        <f t="shared" si="11"/>
        <v/>
      </c>
      <c r="W36" s="11" t="str">
        <f t="shared" si="16"/>
        <v/>
      </c>
      <c r="X36" s="11" t="str">
        <f t="shared" si="17"/>
        <v/>
      </c>
    </row>
    <row r="37" spans="1:24" ht="15" hidden="1" thickBot="1">
      <c r="A37" s="29"/>
      <c r="B37" s="5"/>
      <c r="C37" s="5"/>
      <c r="D37" s="6" t="str">
        <f t="shared" si="0"/>
        <v/>
      </c>
      <c r="E37" s="7"/>
      <c r="F37" s="7"/>
      <c r="G37" s="8" t="str">
        <f t="shared" si="1"/>
        <v/>
      </c>
      <c r="H37" s="7"/>
      <c r="I37" s="7"/>
      <c r="J37" s="9" t="str">
        <f t="shared" si="14"/>
        <v/>
      </c>
      <c r="K37" s="28"/>
      <c r="L37" s="28"/>
      <c r="M37" s="9" t="str">
        <f t="shared" si="15"/>
        <v/>
      </c>
      <c r="N37" s="7"/>
      <c r="O37" s="15"/>
      <c r="P37" s="9" t="str">
        <f t="shared" si="2"/>
        <v/>
      </c>
      <c r="Q37" s="7"/>
      <c r="R37" s="7"/>
      <c r="S37" s="7"/>
      <c r="T37" s="5"/>
      <c r="U37" s="10" t="str">
        <f t="shared" si="10"/>
        <v/>
      </c>
      <c r="V37" s="9" t="str">
        <f t="shared" si="11"/>
        <v/>
      </c>
      <c r="W37" s="11" t="str">
        <f t="shared" si="16"/>
        <v/>
      </c>
      <c r="X37" s="11" t="str">
        <f t="shared" si="17"/>
        <v/>
      </c>
    </row>
    <row r="38" spans="1:24" s="43" customFormat="1" ht="18.600000000000001" thickBot="1">
      <c r="A38" s="31"/>
      <c r="B38" s="32" t="s">
        <v>42</v>
      </c>
      <c r="C38" s="32"/>
      <c r="D38" s="33">
        <f>SUM(D3:D37)</f>
        <v>25775.999999991618</v>
      </c>
      <c r="E38" s="33">
        <f>SUM(E3:E37)</f>
        <v>865</v>
      </c>
      <c r="F38" s="33">
        <f>SUM(F3:F37)</f>
        <v>1191</v>
      </c>
      <c r="G38" s="33">
        <f>SUM(G3:G37)</f>
        <v>326</v>
      </c>
      <c r="H38" s="33">
        <f>SUM(H2:H37)</f>
        <v>4901</v>
      </c>
      <c r="I38" s="33">
        <f>SUM(I3:I37)</f>
        <v>1492</v>
      </c>
      <c r="J38" s="34">
        <f>(D38-G38-H38-I38)/D38</f>
        <v>0.73933116076962346</v>
      </c>
      <c r="K38" s="35">
        <f>SUM(K3:K37)</f>
        <v>32</v>
      </c>
      <c r="L38" s="35">
        <f>SUM(L3:L37)</f>
        <v>2208</v>
      </c>
      <c r="M38" s="36">
        <f>(D38-G38-H38-I38-E38-K38-L38)/D38</f>
        <v>0.61887026691483571</v>
      </c>
      <c r="N38" s="37">
        <f>AVERAGE(N3:N37)</f>
        <v>17000</v>
      </c>
      <c r="O38" s="38">
        <f>AVERAGE(O3:O37)</f>
        <v>16733.520440290962</v>
      </c>
      <c r="P38" s="34">
        <f>O38/N38</f>
        <v>0.98432473178182134</v>
      </c>
      <c r="Q38" s="37">
        <f>SUM(Q3:Q35)</f>
        <v>133047</v>
      </c>
      <c r="R38" s="37"/>
      <c r="S38" s="32"/>
      <c r="T38" s="32"/>
      <c r="U38" s="39"/>
      <c r="V38" s="40">
        <f>AVERAGE(V3:V37)</f>
        <v>0.98260075128198077</v>
      </c>
      <c r="W38" s="41">
        <f>V38*P38*J38</f>
        <v>0.71507978339242184</v>
      </c>
      <c r="X38" s="42">
        <f>V38*P38*M38</f>
        <v>0.59857022116151215</v>
      </c>
    </row>
    <row r="39" spans="1:24" ht="28.9">
      <c r="Q39" s="67"/>
      <c r="R39" s="67"/>
      <c r="S39" s="44"/>
      <c r="T39" s="45"/>
      <c r="U39" s="22"/>
    </row>
    <row r="40" spans="1:24" ht="28.9">
      <c r="Q40" s="22"/>
      <c r="R40" s="22"/>
      <c r="S40" s="22"/>
      <c r="T40" s="22"/>
      <c r="U40" s="22"/>
    </row>
    <row r="41" spans="1:24" ht="28.9">
      <c r="Q41" s="22"/>
      <c r="R41" s="69"/>
      <c r="S41" s="69"/>
      <c r="T41" s="46"/>
      <c r="U41" s="22"/>
    </row>
    <row r="42" spans="1:24" ht="28.9">
      <c r="Q42" s="22"/>
      <c r="R42" s="22"/>
      <c r="S42" s="22"/>
      <c r="T42" s="22"/>
      <c r="U42" s="22"/>
    </row>
    <row r="43" spans="1:24" ht="28.9">
      <c r="Q43" s="22"/>
      <c r="R43" s="22"/>
      <c r="S43" s="22"/>
      <c r="T43" s="22"/>
      <c r="U43" s="22"/>
    </row>
    <row r="44" spans="1:24" ht="28.9">
      <c r="G44" s="16">
        <f>AVERAGE('January 2025 (w Utilization)'!X38,'February 2025 (w Utilization) '!X38,'March 2025 (w Utilization'!X38,'April 2025 (w Utilization) '!X38,'May 2025 (w Utilization)'!X38,'June 2025 (w Utilization)'!X38,'July 2025 (w Utilization)'!X38)</f>
        <v>0.58585435923359441</v>
      </c>
      <c r="Q44" s="22"/>
      <c r="R44" s="22"/>
      <c r="S44" s="22"/>
      <c r="T44" s="22"/>
      <c r="U44" s="22"/>
    </row>
    <row r="46" spans="1:24">
      <c r="C46" s="17"/>
      <c r="D46" s="53" t="s">
        <v>44</v>
      </c>
      <c r="E46" s="53" t="s">
        <v>45</v>
      </c>
    </row>
    <row r="47" spans="1:24">
      <c r="C47" s="4" t="s">
        <v>46</v>
      </c>
      <c r="D47" s="54">
        <f>W38</f>
        <v>0.71507978339242184</v>
      </c>
      <c r="E47" s="55">
        <f t="shared" ref="E47:E52" si="27">100%-D47</f>
        <v>0.28492021660757816</v>
      </c>
    </row>
    <row r="48" spans="1:24">
      <c r="C48" s="4" t="s">
        <v>47</v>
      </c>
      <c r="D48" s="54">
        <f>X38</f>
        <v>0.59857022116151215</v>
      </c>
      <c r="E48" s="55">
        <f t="shared" si="27"/>
        <v>0.40142977883848785</v>
      </c>
    </row>
    <row r="49" spans="3:5">
      <c r="C49" s="4" t="s">
        <v>11</v>
      </c>
      <c r="D49" s="54">
        <f>J38</f>
        <v>0.73933116076962346</v>
      </c>
      <c r="E49" s="55">
        <f t="shared" si="27"/>
        <v>0.26066883923037654</v>
      </c>
    </row>
    <row r="50" spans="3:5" ht="28.9">
      <c r="C50" s="4" t="s">
        <v>14</v>
      </c>
      <c r="D50" s="54">
        <f>M38</f>
        <v>0.61887026691483571</v>
      </c>
      <c r="E50" s="55">
        <f>100%-D50</f>
        <v>0.38112973308516429</v>
      </c>
    </row>
    <row r="51" spans="3:5">
      <c r="C51" s="4" t="s">
        <v>17</v>
      </c>
      <c r="D51" s="54">
        <f>P38</f>
        <v>0.98432473178182134</v>
      </c>
      <c r="E51" s="55">
        <f t="shared" si="27"/>
        <v>1.5675268218178662E-2</v>
      </c>
    </row>
    <row r="52" spans="3:5">
      <c r="C52" s="4" t="str">
        <f>V2</f>
        <v>Quality</v>
      </c>
      <c r="D52" s="54">
        <f>V38</f>
        <v>0.98260075128198077</v>
      </c>
      <c r="E52" s="55">
        <f t="shared" si="27"/>
        <v>1.7399248718019233E-2</v>
      </c>
    </row>
  </sheetData>
  <mergeCells count="2">
    <mergeCell ref="Q39:R39"/>
    <mergeCell ref="R41:S41"/>
  </mergeCells>
  <pageMargins left="0.7" right="0.7" top="0.75" bottom="0.75" header="0.3" footer="0.3"/>
  <pageSetup paperSize="5" scale="43"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D52"/>
  <sheetViews>
    <sheetView topLeftCell="B9" zoomScale="70" zoomScaleNormal="70" workbookViewId="0">
      <selection activeCell="T11" sqref="T11"/>
    </sheetView>
  </sheetViews>
  <sheetFormatPr defaultRowHeight="14.45"/>
  <cols>
    <col min="1" max="1" width="99"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30"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30"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30">
      <c r="A3" s="27" t="s">
        <v>125</v>
      </c>
      <c r="B3" s="5">
        <v>45873.054166666669</v>
      </c>
      <c r="C3" s="5">
        <v>45874</v>
      </c>
      <c r="D3" s="6">
        <f t="shared" ref="D3:D37" si="0">IF(B3="","",(C3-B3)*24*60)</f>
        <v>1361.999999997206</v>
      </c>
      <c r="E3" s="7">
        <v>45</v>
      </c>
      <c r="F3" s="7">
        <v>41</v>
      </c>
      <c r="G3" s="8">
        <f t="shared" ref="G3:G37" si="1">IF(E3="","",F3-E3)</f>
        <v>-4</v>
      </c>
      <c r="H3" s="7">
        <f>9+50+8+60+60+8+9+20+10+24+29+18+15+9+9+8+10+16+5+6+5+5+6+5</f>
        <v>404</v>
      </c>
      <c r="I3" s="7">
        <f>2+4+2+2+4+4+1+4+1+2+2+1+3+4+4+3+4+3+3+2+2+1+1+2+2+2+1+4+4+2+4+4+2</f>
        <v>86</v>
      </c>
      <c r="J3" s="9">
        <f>IF(B3="","",(D3-G3-H3-I3)/D3)</f>
        <v>0.64317180616666891</v>
      </c>
      <c r="K3" s="28">
        <v>0</v>
      </c>
      <c r="L3" s="28">
        <f>4+2+4+9+5+4</f>
        <v>28</v>
      </c>
      <c r="M3" s="9">
        <f>IF(B3="","",(D3-G3-H3-I3-K3-L3-E3)/D3)</f>
        <v>0.58957415565260884</v>
      </c>
      <c r="N3" s="7">
        <v>17000</v>
      </c>
      <c r="O3" s="15">
        <f>AVERAGE(17000,17000,17000,17000,17000,17000,17000,16700,16700,16800,16800,16300,16400,17300,17500)</f>
        <v>16900</v>
      </c>
      <c r="P3" s="9">
        <f t="shared" ref="P3:P37" si="2">IF(B3="","",O3/N3)</f>
        <v>0.99411764705882355</v>
      </c>
      <c r="Q3" s="7">
        <v>7243</v>
      </c>
      <c r="R3" s="7">
        <v>15</v>
      </c>
      <c r="S3" s="7">
        <v>609</v>
      </c>
      <c r="T3" s="5">
        <v>45875.251388888886</v>
      </c>
      <c r="U3" s="10">
        <f>IF(S3="","",(T3-C3))</f>
        <v>1.2513888888861402</v>
      </c>
      <c r="V3" s="9">
        <f>IF(B3="","",IF(U3&lt;3,(Q3-R3)/Q3,(Q3-R3-S3)/Q3))</f>
        <v>0.99792903493027751</v>
      </c>
      <c r="W3" s="11">
        <f>IF(B3="","",V3*P3*J3)</f>
        <v>0.6380642914703718</v>
      </c>
      <c r="X3" s="11">
        <f>IF(B3="","",V3*P3*M3)</f>
        <v>0.58489226718100451</v>
      </c>
    </row>
    <row r="4" spans="1:30">
      <c r="A4" s="27" t="s">
        <v>59</v>
      </c>
      <c r="B4" s="5">
        <v>45874</v>
      </c>
      <c r="C4" s="5">
        <v>45874.982638888891</v>
      </c>
      <c r="D4" s="6">
        <f>IF(B4="","",(C4-B4)*24*60)</f>
        <v>1415.0000000023283</v>
      </c>
      <c r="E4" s="7">
        <v>0</v>
      </c>
      <c r="F4" s="7">
        <v>0</v>
      </c>
      <c r="G4" s="8">
        <f t="shared" si="1"/>
        <v>0</v>
      </c>
      <c r="H4" s="7">
        <f>5+6+5+6+7+8+6+6+6</f>
        <v>55</v>
      </c>
      <c r="I4" s="7">
        <f>4+2+4+4+2+4+4+4+4+4+4+4+3+3+3+3+3+4+2+3+2+3+3+2+2+1+2+1+2+1+1+2+2+3+2+1+2+2+1+1+2+1+2</f>
        <v>109</v>
      </c>
      <c r="J4" s="9">
        <f t="shared" ref="J4:J5" si="3">IF(B4="","",(D4-G4-H4-I4)/D4)</f>
        <v>0.88409893992951938</v>
      </c>
      <c r="K4" s="28">
        <v>0</v>
      </c>
      <c r="L4" s="28">
        <f>4+5+10+60+60+20+3+1+3+2</f>
        <v>168</v>
      </c>
      <c r="M4" s="9">
        <f t="shared" ref="M4:M37" si="4">IF(B4="","",(D4-G4-H4-I4-K4-L4-E4)/D4)</f>
        <v>0.76537102473536844</v>
      </c>
      <c r="N4" s="7">
        <v>17000</v>
      </c>
      <c r="O4" s="15">
        <f>AVERAGE(17500,17500,17500,17500,17500,17500,17500,17000,17000,16000,17000,17000,17000,17800,17800,18200,16900,17100,17600,17600)</f>
        <v>17325</v>
      </c>
      <c r="P4" s="9">
        <f>IF(B4="","",O4/N4)</f>
        <v>1.0191176470588235</v>
      </c>
      <c r="Q4" s="7">
        <v>10306</v>
      </c>
      <c r="R4" s="7">
        <v>10</v>
      </c>
      <c r="S4" s="7"/>
      <c r="T4" s="5"/>
      <c r="U4" s="10" t="str">
        <f t="shared" ref="U4:U37" si="5">IF(S4="","",(T4-C4))</f>
        <v/>
      </c>
      <c r="V4" s="9">
        <f t="shared" ref="V4:V37" si="6">IF(B4="","",IF(U4&lt;3,(Q4-R4)/Q4,(Q4-R4-S4)/Q4))</f>
        <v>0.99902969144187848</v>
      </c>
      <c r="W4" s="11">
        <f t="shared" ref="W4:W37" si="7">IF(B4="","",V4*P4*J4)</f>
        <v>0.90012658261056255</v>
      </c>
      <c r="X4" s="11">
        <f t="shared" ref="X4:X37" si="8">IF(B4="","",V4*P4*M4)</f>
        <v>0.77924627415469283</v>
      </c>
    </row>
    <row r="5" spans="1:30">
      <c r="A5" s="29" t="s">
        <v>97</v>
      </c>
      <c r="B5" s="5">
        <v>45874.995138888888</v>
      </c>
      <c r="C5" s="5">
        <v>45875.990972222222</v>
      </c>
      <c r="D5" s="6">
        <f t="shared" si="0"/>
        <v>1434.000000001397</v>
      </c>
      <c r="E5" s="7">
        <v>45</v>
      </c>
      <c r="F5" s="7">
        <v>86</v>
      </c>
      <c r="G5" s="8">
        <f t="shared" si="1"/>
        <v>41</v>
      </c>
      <c r="H5" s="7">
        <f>60+60+60+60+50+9+5+6+5+10+8+5</f>
        <v>338</v>
      </c>
      <c r="I5" s="7">
        <f>2+3+3+2+2+1+2+1+2+2+4+3+2+2+4+1+2+4+4+3+1+2+2+4+3+2+3+3+1+1+2+2+3+2+3+1+4+2+1+1+2+4+3+2</f>
        <v>103</v>
      </c>
      <c r="J5" s="9">
        <f t="shared" si="3"/>
        <v>0.66387726638805411</v>
      </c>
      <c r="K5" s="28">
        <v>0</v>
      </c>
      <c r="L5" s="28">
        <f>2+5+2+2+8+5+3+4+4+1+2+2+4+3+2+5+17+9+9+4+10+4+5+18</f>
        <v>130</v>
      </c>
      <c r="M5" s="9">
        <f t="shared" si="4"/>
        <v>0.54184100418454673</v>
      </c>
      <c r="N5" s="7">
        <v>17000</v>
      </c>
      <c r="O5" s="15">
        <f>AVERAGE(17000,17000,17000,17000,17000,17000,17000,17000,17000,16800,16600,16000,16000,16000,16000,16000,13500)</f>
        <v>16464.705882352941</v>
      </c>
      <c r="P5" s="9">
        <f t="shared" si="2"/>
        <v>0.96851211072664356</v>
      </c>
      <c r="Q5" s="7">
        <v>6871</v>
      </c>
      <c r="R5" s="7">
        <v>29</v>
      </c>
      <c r="S5" s="7">
        <v>221</v>
      </c>
      <c r="T5" s="5"/>
      <c r="U5" s="10">
        <f t="shared" si="5"/>
        <v>-45875.990972222222</v>
      </c>
      <c r="V5" s="9">
        <f t="shared" si="6"/>
        <v>0.99577936253820409</v>
      </c>
      <c r="W5" s="11">
        <f t="shared" si="7"/>
        <v>0.64025941587400625</v>
      </c>
      <c r="X5" s="11">
        <f t="shared" si="8"/>
        <v>0.52256467030910425</v>
      </c>
    </row>
    <row r="6" spans="1:30">
      <c r="A6" s="29" t="s">
        <v>126</v>
      </c>
      <c r="B6" s="5">
        <v>45876.086805555555</v>
      </c>
      <c r="C6" s="5">
        <v>45877</v>
      </c>
      <c r="D6" s="6">
        <f t="shared" si="0"/>
        <v>1315.0000000011642</v>
      </c>
      <c r="E6" s="7">
        <v>100</v>
      </c>
      <c r="F6" s="7">
        <v>168</v>
      </c>
      <c r="G6" s="8">
        <f t="shared" si="1"/>
        <v>68</v>
      </c>
      <c r="H6" s="7">
        <f>5+15+6+5+5+5+6+11+5</f>
        <v>63</v>
      </c>
      <c r="I6" s="7">
        <f>4+2+3+3+2+4+4+4+2+3+4+4+3+1+4+2+2+4+3+4+3+4+3+3+2+3+2+1+2+2+1+2+2+1+1+2+2+4+2+2+3+2+2+1+3+1+2+4+1+1+1+3+4</f>
        <v>134</v>
      </c>
      <c r="J6" s="9">
        <f t="shared" ref="J6:J37" si="9">IF(B6="","",(D6-G6-H6-I6)/D6)</f>
        <v>0.79847908745264984</v>
      </c>
      <c r="K6" s="28">
        <v>0</v>
      </c>
      <c r="L6" s="28">
        <f>2+5+4+3+5+2+11+12+5+4+7</f>
        <v>60</v>
      </c>
      <c r="M6" s="9">
        <f t="shared" si="4"/>
        <v>0.67680608365047623</v>
      </c>
      <c r="N6" s="7">
        <v>17000</v>
      </c>
      <c r="O6" s="15">
        <f>AVERAGE(17000,17000,17000,17000,17000,17000,17000,17000,17000,17000,16700,16500,16700,16700,16500,16500)</f>
        <v>16850</v>
      </c>
      <c r="P6" s="9">
        <f t="shared" si="2"/>
        <v>0.99117647058823533</v>
      </c>
      <c r="Q6" s="7">
        <v>8509</v>
      </c>
      <c r="R6" s="7">
        <v>34</v>
      </c>
      <c r="S6" s="7"/>
      <c r="T6" s="5"/>
      <c r="U6" s="10" t="str">
        <f t="shared" si="5"/>
        <v/>
      </c>
      <c r="V6" s="9">
        <f t="shared" si="6"/>
        <v>0.99600423081443179</v>
      </c>
      <c r="W6" s="11">
        <f t="shared" si="7"/>
        <v>0.78827129741392399</v>
      </c>
      <c r="X6" s="11">
        <f t="shared" si="8"/>
        <v>0.66815376637955448</v>
      </c>
    </row>
    <row r="7" spans="1:30">
      <c r="A7" s="29" t="s">
        <v>71</v>
      </c>
      <c r="B7" s="5">
        <v>45877.004166666666</v>
      </c>
      <c r="C7" s="5">
        <v>45877.82916666667</v>
      </c>
      <c r="D7" s="6">
        <f t="shared" si="0"/>
        <v>1188.0000000062864</v>
      </c>
      <c r="E7" s="7">
        <v>10</v>
      </c>
      <c r="F7" s="7">
        <v>10</v>
      </c>
      <c r="G7" s="8">
        <f t="shared" si="1"/>
        <v>0</v>
      </c>
      <c r="H7" s="7">
        <f>8+6+5+5+6+15+5+7+10+13+36</f>
        <v>116</v>
      </c>
      <c r="I7" s="7">
        <f>2+2+2+2+2+2+2+4+4+3+2+4+4+4+3+3+3+4+4+4+3+2+2+2+1+2+2+3+2+1</f>
        <v>80</v>
      </c>
      <c r="J7" s="9">
        <f t="shared" si="9"/>
        <v>0.83501683501770807</v>
      </c>
      <c r="K7" s="28">
        <v>0</v>
      </c>
      <c r="L7" s="28">
        <f>4+3+3+4+5+60+6+1+4+4+2+3+2</f>
        <v>101</v>
      </c>
      <c r="M7" s="9">
        <f t="shared" si="4"/>
        <v>0.74158249158385903</v>
      </c>
      <c r="N7" s="7">
        <v>17000</v>
      </c>
      <c r="O7" s="15">
        <f>AVERAGE(17000,17000,17000,17000,17000,17000,17000,17000,17000,17000,17000,17000,17000,17000,16500,16700,16700,16900)</f>
        <v>16933.333333333332</v>
      </c>
      <c r="P7" s="9">
        <f t="shared" si="2"/>
        <v>0.99607843137254892</v>
      </c>
      <c r="Q7" s="15">
        <v>8369</v>
      </c>
      <c r="R7" s="15">
        <v>16</v>
      </c>
      <c r="S7" s="7">
        <v>620</v>
      </c>
      <c r="T7" s="5"/>
      <c r="U7" s="10">
        <f t="shared" si="5"/>
        <v>-45877.82916666667</v>
      </c>
      <c r="V7" s="9">
        <f t="shared" si="6"/>
        <v>0.9980881825785638</v>
      </c>
      <c r="W7" s="11">
        <f t="shared" si="7"/>
        <v>0.83015211985283721</v>
      </c>
      <c r="X7" s="11">
        <f t="shared" si="8"/>
        <v>0.73726211450698942</v>
      </c>
    </row>
    <row r="8" spans="1:30">
      <c r="A8" s="29" t="s">
        <v>127</v>
      </c>
      <c r="B8" s="5">
        <v>45882.333333333336</v>
      </c>
      <c r="C8" s="5">
        <v>45883</v>
      </c>
      <c r="D8" s="6">
        <f t="shared" si="0"/>
        <v>959.99999999650754</v>
      </c>
      <c r="E8" s="7">
        <v>45</v>
      </c>
      <c r="F8" s="7">
        <v>60</v>
      </c>
      <c r="G8" s="8">
        <f t="shared" si="1"/>
        <v>15</v>
      </c>
      <c r="H8" s="7">
        <f>30+55+6+5+7+9+16+5+5+20+5+60+50+6</f>
        <v>279</v>
      </c>
      <c r="I8" s="7">
        <f>4+2+4+3+2+4+1+3+4+4+4+4+3</f>
        <v>42</v>
      </c>
      <c r="J8" s="9">
        <f t="shared" si="9"/>
        <v>0.64999999999872671</v>
      </c>
      <c r="K8" s="28">
        <v>30</v>
      </c>
      <c r="L8" s="28">
        <f>4+4+4+5+11+8+4+5+4+11+5+4+4+11+4+9</f>
        <v>97</v>
      </c>
      <c r="M8" s="9">
        <f t="shared" si="4"/>
        <v>0.47083333333140825</v>
      </c>
      <c r="N8" s="7">
        <v>17000</v>
      </c>
      <c r="O8" s="15">
        <f>AVERAGE(18000,17000,17000,14000,17000,17000,17000,17000,17000,17000,17000,17000)</f>
        <v>16833.333333333332</v>
      </c>
      <c r="P8" s="9">
        <f t="shared" si="2"/>
        <v>0.99019607843137247</v>
      </c>
      <c r="Q8" s="15">
        <v>4445</v>
      </c>
      <c r="R8" s="15">
        <v>35</v>
      </c>
      <c r="S8" s="15">
        <v>67</v>
      </c>
      <c r="T8" s="5">
        <v>45883.61041666667</v>
      </c>
      <c r="U8" s="10">
        <f t="shared" si="5"/>
        <v>0.61041666667006211</v>
      </c>
      <c r="V8" s="9">
        <f t="shared" si="6"/>
        <v>0.99212598425196852</v>
      </c>
      <c r="W8" s="11">
        <f t="shared" si="7"/>
        <v>0.63855951829425628</v>
      </c>
      <c r="X8" s="11">
        <f t="shared" si="8"/>
        <v>0.46254631773780308</v>
      </c>
    </row>
    <row r="9" spans="1:30">
      <c r="A9" s="29" t="s">
        <v>71</v>
      </c>
      <c r="B9" s="5">
        <v>45883.004166666666</v>
      </c>
      <c r="C9" s="5">
        <v>45884</v>
      </c>
      <c r="D9" s="6">
        <f t="shared" si="0"/>
        <v>1434.000000001397</v>
      </c>
      <c r="E9" s="7">
        <v>10</v>
      </c>
      <c r="F9" s="7">
        <v>11</v>
      </c>
      <c r="G9" s="8">
        <f t="shared" si="1"/>
        <v>1</v>
      </c>
      <c r="H9" s="7">
        <f>5+9+8+5+11+9+40+13+29+12+20+60+51+5+8+7+60+60+28+5+6+5+11</f>
        <v>467</v>
      </c>
      <c r="I9" s="7">
        <f>3+3+3+3+3+3+1+2+2+3+4+3+3+4+4+4+3+3+2+1+4+3+3+3+4+3+3+3+2+2</f>
        <v>87</v>
      </c>
      <c r="J9" s="9">
        <f t="shared" si="9"/>
        <v>0.61297071129744818</v>
      </c>
      <c r="K9" s="28">
        <v>20</v>
      </c>
      <c r="L9" s="28">
        <f>6+37+6+1+2+2+3+2</f>
        <v>59</v>
      </c>
      <c r="M9" s="9">
        <f t="shared" si="4"/>
        <v>0.55090655509109299</v>
      </c>
      <c r="N9" s="7">
        <v>17000</v>
      </c>
      <c r="O9" s="15">
        <f>AVERAGE(16000,16500,16500,16500,16500,16500,16500,17000,17000,17000,17000,17000,17000,17000,17000,17000,17000,16700)</f>
        <v>16761.111111111109</v>
      </c>
      <c r="P9" s="9">
        <f t="shared" si="2"/>
        <v>0.98594771241830059</v>
      </c>
      <c r="Q9" s="15">
        <v>6957</v>
      </c>
      <c r="R9" s="15">
        <v>29</v>
      </c>
      <c r="S9" s="7"/>
      <c r="T9" s="5"/>
      <c r="U9" s="10" t="str">
        <f t="shared" si="5"/>
        <v/>
      </c>
      <c r="V9" s="9">
        <f t="shared" si="6"/>
        <v>0.99583153658185997</v>
      </c>
      <c r="W9" s="11">
        <f t="shared" si="7"/>
        <v>0.60183783024291748</v>
      </c>
      <c r="X9" s="11">
        <f t="shared" si="8"/>
        <v>0.5409008940750738</v>
      </c>
    </row>
    <row r="10" spans="1:30">
      <c r="A10" s="29" t="s">
        <v>26</v>
      </c>
      <c r="B10" s="5">
        <v>45884.004166666666</v>
      </c>
      <c r="C10" s="5">
        <v>45884.838888888888</v>
      </c>
      <c r="D10" s="6">
        <f t="shared" si="0"/>
        <v>1201.9999999995343</v>
      </c>
      <c r="E10" s="7">
        <v>10</v>
      </c>
      <c r="F10" s="7">
        <v>27</v>
      </c>
      <c r="G10" s="8">
        <f t="shared" si="1"/>
        <v>17</v>
      </c>
      <c r="H10" s="7">
        <f>5+6+5+6+6</f>
        <v>28</v>
      </c>
      <c r="I10" s="7">
        <f>4+3+2+1+4+3+4+1+1+1+2+3+3+2+1+1+3+4+3+2+1+4+4+4+2+4+2+1+1+3+4+2</f>
        <v>80</v>
      </c>
      <c r="J10" s="9">
        <f t="shared" si="9"/>
        <v>0.89600665557400294</v>
      </c>
      <c r="K10" s="28">
        <v>0</v>
      </c>
      <c r="L10" s="28">
        <f>4+5+4+12+5+3+3+11+10</f>
        <v>57</v>
      </c>
      <c r="M10" s="9">
        <f t="shared" si="4"/>
        <v>0.84026622296166853</v>
      </c>
      <c r="N10" s="7">
        <v>17000</v>
      </c>
      <c r="O10" s="15">
        <f>AVERAGE(16700,16700,16300,16300,16300,16300,17000,17000,17000,17000,17000,17000,17000,17000,17000,17000,17000,17000,17000,17000)</f>
        <v>16830</v>
      </c>
      <c r="P10" s="9">
        <f t="shared" si="2"/>
        <v>0.99</v>
      </c>
      <c r="Q10" s="15">
        <v>8833</v>
      </c>
      <c r="R10" s="15">
        <v>15</v>
      </c>
      <c r="S10" s="7"/>
      <c r="T10" s="5"/>
      <c r="U10" s="10" t="str">
        <f t="shared" si="5"/>
        <v/>
      </c>
      <c r="V10" s="9">
        <f t="shared" si="6"/>
        <v>0.998301822710291</v>
      </c>
      <c r="W10" s="11">
        <f t="shared" si="7"/>
        <v>0.88554022664587828</v>
      </c>
      <c r="X10" s="11">
        <f t="shared" si="8"/>
        <v>0.83045090892508022</v>
      </c>
      <c r="AD10" t="s">
        <v>113</v>
      </c>
    </row>
    <row r="11" spans="1:30">
      <c r="A11" s="29" t="s">
        <v>128</v>
      </c>
      <c r="B11" s="5">
        <v>45887.0625</v>
      </c>
      <c r="C11" s="5">
        <v>45887.893055555556</v>
      </c>
      <c r="D11" s="6">
        <f t="shared" si="0"/>
        <v>1196.0000000009313</v>
      </c>
      <c r="E11" s="7">
        <f>20+10+45+10</f>
        <v>85</v>
      </c>
      <c r="F11" s="7">
        <v>97</v>
      </c>
      <c r="G11" s="8">
        <f t="shared" si="1"/>
        <v>12</v>
      </c>
      <c r="H11" s="7">
        <f>7+5+6+11+9+6+6+10+11+10+5+8+6+6+6</f>
        <v>112</v>
      </c>
      <c r="I11" s="7">
        <f>3+1+2+2+2+2+3+2+4+3+1+1+4+4+4+3+3+4+4+2+2+4+3+2+2+4+2+4+4+3+3+3+3+4+3+3+3+4+4+2</f>
        <v>116</v>
      </c>
      <c r="J11" s="9">
        <f t="shared" si="9"/>
        <v>0.799331103679086</v>
      </c>
      <c r="K11" s="28">
        <v>0</v>
      </c>
      <c r="L11" s="28">
        <f>3+2+28+10+2</f>
        <v>45</v>
      </c>
      <c r="M11" s="9">
        <f t="shared" si="4"/>
        <v>0.69063545150525762</v>
      </c>
      <c r="N11" s="7">
        <v>17000</v>
      </c>
      <c r="O11" s="15">
        <f>AVERAGE( 17000,17000,17000,17000,17000,17000,16500)</f>
        <v>16928.571428571428</v>
      </c>
      <c r="P11" s="9">
        <f t="shared" si="2"/>
        <v>0.995798319327731</v>
      </c>
      <c r="Q11" s="15">
        <v>5611</v>
      </c>
      <c r="R11" s="15">
        <v>39</v>
      </c>
      <c r="S11" s="7">
        <v>2075</v>
      </c>
      <c r="T11" s="5">
        <v>45924.541666666664</v>
      </c>
      <c r="U11" s="10">
        <f t="shared" si="5"/>
        <v>36.648611111108039</v>
      </c>
      <c r="V11" s="9">
        <f t="shared" si="6"/>
        <v>0.62324006415968636</v>
      </c>
      <c r="W11" s="11">
        <f t="shared" si="7"/>
        <v>0.49608199536556041</v>
      </c>
      <c r="X11" s="11">
        <f t="shared" si="8"/>
        <v>0.42862314662344742</v>
      </c>
    </row>
    <row r="12" spans="1:30">
      <c r="A12" s="29" t="s">
        <v>129</v>
      </c>
      <c r="B12" s="5">
        <v>45888.1875</v>
      </c>
      <c r="C12" s="5">
        <v>45889</v>
      </c>
      <c r="D12" s="6">
        <f t="shared" si="0"/>
        <v>1170</v>
      </c>
      <c r="E12" s="7">
        <v>45</v>
      </c>
      <c r="F12" s="7">
        <v>30</v>
      </c>
      <c r="G12" s="8">
        <f t="shared" si="1"/>
        <v>-15</v>
      </c>
      <c r="H12" s="7">
        <f>60+60+60+60+60+60+22+8+5+30+6+8+13+22+12+5+9+10+6+6+6+7+14+5</f>
        <v>554</v>
      </c>
      <c r="I12" s="7">
        <f>4+4+2+3+2+2+2+2+2+2+3+3+2</f>
        <v>33</v>
      </c>
      <c r="J12" s="9">
        <f t="shared" si="9"/>
        <v>0.51111111111111107</v>
      </c>
      <c r="K12" s="28">
        <v>0</v>
      </c>
      <c r="L12" s="28">
        <f>16+8+2+12+19+8+3+16+5+15+10</f>
        <v>114</v>
      </c>
      <c r="M12" s="9">
        <f t="shared" si="4"/>
        <v>0.37521367521367521</v>
      </c>
      <c r="N12" s="7">
        <v>17000</v>
      </c>
      <c r="O12" s="15">
        <f>AVERAGE(15000,15000,15000,16000,16000,17000,17000)</f>
        <v>15857.142857142857</v>
      </c>
      <c r="P12" s="9">
        <f t="shared" si="2"/>
        <v>0.9327731092436975</v>
      </c>
      <c r="Q12" s="15">
        <v>3109</v>
      </c>
      <c r="R12" s="15">
        <v>24</v>
      </c>
      <c r="S12" s="7">
        <f>1+1</f>
        <v>2</v>
      </c>
      <c r="T12" s="5"/>
      <c r="U12" s="10">
        <f t="shared" si="5"/>
        <v>-45889</v>
      </c>
      <c r="V12" s="9">
        <f t="shared" si="6"/>
        <v>0.99228047603731107</v>
      </c>
      <c r="W12" s="11">
        <f t="shared" si="7"/>
        <v>0.47307041182507098</v>
      </c>
      <c r="X12" s="11">
        <f t="shared" si="8"/>
        <v>0.3472874762394752</v>
      </c>
    </row>
    <row r="13" spans="1:30">
      <c r="A13" s="29" t="s">
        <v>130</v>
      </c>
      <c r="B13" s="5">
        <v>45889.006249999999</v>
      </c>
      <c r="C13" s="5">
        <v>45890</v>
      </c>
      <c r="D13" s="6">
        <f t="shared" si="0"/>
        <v>1431.0000000020955</v>
      </c>
      <c r="E13" s="7">
        <f>60+100</f>
        <v>160</v>
      </c>
      <c r="F13" s="7">
        <v>136</v>
      </c>
      <c r="G13" s="8">
        <f t="shared" si="1"/>
        <v>-24</v>
      </c>
      <c r="H13" s="7">
        <f>50+8+16+12+6+8+8+5+20+7+5+13+8+24+40</f>
        <v>230</v>
      </c>
      <c r="I13" s="7">
        <f>2+3+1+4+1+3+4+2+3+4+4+3+2+1+2+2+1+1+1+3+1+4+2+2+3+4+3+3</f>
        <v>69</v>
      </c>
      <c r="J13" s="9">
        <f t="shared" si="9"/>
        <v>0.80782669461942891</v>
      </c>
      <c r="K13" s="28">
        <v>0</v>
      </c>
      <c r="L13" s="28">
        <f>7+13+20+4+3+2+9</f>
        <v>58</v>
      </c>
      <c r="M13" s="9">
        <f t="shared" si="4"/>
        <v>0.65548567435410332</v>
      </c>
      <c r="N13" s="7">
        <v>17000</v>
      </c>
      <c r="O13" s="15">
        <f>AVERAGE(17000,17000,16800,16800,17000,16800,16800,16800,16800,16800,17500,17500,17500,17500,17500,17500)</f>
        <v>17100</v>
      </c>
      <c r="P13" s="9">
        <f t="shared" si="2"/>
        <v>1.0058823529411764</v>
      </c>
      <c r="Q13" s="15">
        <v>7703</v>
      </c>
      <c r="R13" s="15">
        <v>37</v>
      </c>
      <c r="S13" s="7"/>
      <c r="T13" s="5"/>
      <c r="U13" s="10" t="str">
        <f t="shared" si="5"/>
        <v/>
      </c>
      <c r="V13" s="9">
        <f t="shared" si="6"/>
        <v>0.99519667661949884</v>
      </c>
      <c r="W13" s="11">
        <f t="shared" si="7"/>
        <v>0.80867553848606322</v>
      </c>
      <c r="X13" s="11">
        <f t="shared" si="8"/>
        <v>0.65617444212824105</v>
      </c>
    </row>
    <row r="14" spans="1:30">
      <c r="A14" s="29" t="s">
        <v>71</v>
      </c>
      <c r="B14" s="5">
        <v>45890.041666666664</v>
      </c>
      <c r="C14" s="5">
        <v>45891</v>
      </c>
      <c r="D14" s="6">
        <f t="shared" si="0"/>
        <v>1380.0000000034925</v>
      </c>
      <c r="E14" s="7">
        <v>10</v>
      </c>
      <c r="F14" s="7">
        <v>10</v>
      </c>
      <c r="G14" s="8">
        <f t="shared" si="1"/>
        <v>0</v>
      </c>
      <c r="H14" s="7">
        <f>7+8+26+5+12+35+6+5+5+5+8+8+33</f>
        <v>163</v>
      </c>
      <c r="I14" s="7">
        <f>3+1+2+2+3+2+4+2+1+2+4+3+1+1+1+2+1+2+4+2+4+1+3+2+2+2+2+2+4+4+1</f>
        <v>70</v>
      </c>
      <c r="J14" s="9">
        <f t="shared" si="9"/>
        <v>0.83115942029028234</v>
      </c>
      <c r="K14" s="28">
        <v>0</v>
      </c>
      <c r="L14" s="28">
        <f>7+5+3+4+2+2+2+4+29+10+15+4+7+6</f>
        <v>100</v>
      </c>
      <c r="M14" s="9">
        <f t="shared" si="4"/>
        <v>0.75144927536294781</v>
      </c>
      <c r="N14" s="7">
        <v>17000</v>
      </c>
      <c r="O14" s="15">
        <f>AVERAGE(18000,18000,18000,18000,18000,16700,16700,16700,16700,16800,16800)</f>
        <v>17309.090909090908</v>
      </c>
      <c r="P14" s="9">
        <f t="shared" si="2"/>
        <v>1.0181818181818181</v>
      </c>
      <c r="Q14" s="15">
        <v>9235</v>
      </c>
      <c r="R14" s="15">
        <v>24</v>
      </c>
      <c r="S14" s="7"/>
      <c r="T14" s="5"/>
      <c r="U14" s="10" t="str">
        <f t="shared" si="5"/>
        <v/>
      </c>
      <c r="V14" s="9">
        <f t="shared" si="6"/>
        <v>0.99740119112073633</v>
      </c>
      <c r="W14" s="11">
        <f t="shared" si="7"/>
        <v>0.84407211209618005</v>
      </c>
      <c r="X14" s="11">
        <f t="shared" si="8"/>
        <v>0.76312360962861492</v>
      </c>
    </row>
    <row r="15" spans="1:30">
      <c r="A15" s="29" t="s">
        <v>26</v>
      </c>
      <c r="B15" s="5">
        <v>45891</v>
      </c>
      <c r="C15" s="5">
        <v>45891.455555555556</v>
      </c>
      <c r="D15" s="6">
        <f t="shared" si="0"/>
        <v>656.00000000093132</v>
      </c>
      <c r="E15" s="7">
        <v>10</v>
      </c>
      <c r="F15" s="7">
        <v>8</v>
      </c>
      <c r="G15" s="8">
        <f t="shared" si="1"/>
        <v>-2</v>
      </c>
      <c r="H15" s="7">
        <f>12+9+10+10+23+7+5+5+8+25+35+27+30+39+11</f>
        <v>256</v>
      </c>
      <c r="I15" s="7">
        <f>4+2+3+1+4+1+4+4+2+3+3+2+1+3+2</f>
        <v>39</v>
      </c>
      <c r="J15" s="9">
        <f t="shared" si="9"/>
        <v>0.55335365853721952</v>
      </c>
      <c r="K15" s="28">
        <v>0</v>
      </c>
      <c r="L15" s="28">
        <f>8</f>
        <v>8</v>
      </c>
      <c r="M15" s="9">
        <f t="shared" si="4"/>
        <v>0.52591463414701456</v>
      </c>
      <c r="N15" s="7">
        <v>17000</v>
      </c>
      <c r="O15" s="15">
        <f>AVERAGE(17000,17000,17000,17000,17000,17000,17000,17000)</f>
        <v>17000</v>
      </c>
      <c r="P15" s="9">
        <f t="shared" si="2"/>
        <v>1</v>
      </c>
      <c r="Q15" s="15">
        <v>3311</v>
      </c>
      <c r="R15" s="7">
        <v>13</v>
      </c>
      <c r="S15" s="7"/>
      <c r="T15" s="5"/>
      <c r="U15" s="10" t="str">
        <f t="shared" si="5"/>
        <v/>
      </c>
      <c r="V15" s="9">
        <f t="shared" si="6"/>
        <v>0.99607369374811239</v>
      </c>
      <c r="W15" s="11">
        <f t="shared" si="7"/>
        <v>0.5511810226081999</v>
      </c>
      <c r="X15" s="11">
        <f t="shared" si="8"/>
        <v>0.52384973223100395</v>
      </c>
    </row>
    <row r="16" spans="1:30">
      <c r="A16" s="29" t="s">
        <v>131</v>
      </c>
      <c r="B16" s="5">
        <v>45896.135416666664</v>
      </c>
      <c r="C16" s="5">
        <v>45897</v>
      </c>
      <c r="D16" s="6">
        <f t="shared" si="0"/>
        <v>1245.0000000034925</v>
      </c>
      <c r="E16" s="7">
        <v>0</v>
      </c>
      <c r="F16" s="7">
        <v>0</v>
      </c>
      <c r="G16" s="8">
        <f t="shared" si="1"/>
        <v>0</v>
      </c>
      <c r="H16" s="7">
        <f>11+5+9+5+5+5+6</f>
        <v>46</v>
      </c>
      <c r="I16" s="7">
        <f>4+2+4+2+1+4+4+3+3+3+2+2+3+1+4</f>
        <v>42</v>
      </c>
      <c r="J16" s="9">
        <f t="shared" si="9"/>
        <v>0.92931726907650347</v>
      </c>
      <c r="K16" s="28">
        <v>0</v>
      </c>
      <c r="L16" s="28">
        <f>2+1+2+1+1+2+1+2+4</f>
        <v>16</v>
      </c>
      <c r="M16" s="9">
        <f t="shared" si="4"/>
        <v>0.91646586345404957</v>
      </c>
      <c r="N16" s="7">
        <v>17000</v>
      </c>
      <c r="O16" s="15">
        <f>AVERAGE(15500,15500,15500,15500,15500,16000,16000,16000)</f>
        <v>15687.5</v>
      </c>
      <c r="P16" s="9">
        <f t="shared" si="2"/>
        <v>0.92279411764705888</v>
      </c>
      <c r="Q16" s="7">
        <v>3618</v>
      </c>
      <c r="R16" s="7">
        <v>17</v>
      </c>
      <c r="S16" s="7"/>
      <c r="T16" s="5"/>
      <c r="U16" s="10" t="str">
        <f t="shared" si="5"/>
        <v/>
      </c>
      <c r="V16" s="9">
        <f>IF(B16="","",IF(U16&lt;3,(Q16-R16)/Q16,(Q16-R16-S16)/Q16))</f>
        <v>0.99530127142067437</v>
      </c>
      <c r="W16" s="11">
        <f>IF(B16="","",V16*P16*J16)</f>
        <v>0.8535390276681003</v>
      </c>
      <c r="X16" s="11">
        <f t="shared" si="8"/>
        <v>0.84173554932527539</v>
      </c>
    </row>
    <row r="17" spans="1:24">
      <c r="A17" s="29" t="s">
        <v>132</v>
      </c>
      <c r="B17" s="5">
        <v>45897.004166666666</v>
      </c>
      <c r="C17" s="5">
        <v>45898</v>
      </c>
      <c r="D17" s="6">
        <f t="shared" si="0"/>
        <v>1434.000000001397</v>
      </c>
      <c r="E17" s="7">
        <f>7+25</f>
        <v>32</v>
      </c>
      <c r="F17" s="7">
        <f>35+10</f>
        <v>45</v>
      </c>
      <c r="G17" s="8">
        <f t="shared" si="1"/>
        <v>13</v>
      </c>
      <c r="H17" s="7">
        <f>5+5+5+5+9+9+12+7+12+7+7+41+8+14+5+60+49+5+5+6+43+6+10</f>
        <v>335</v>
      </c>
      <c r="I17" s="7">
        <f>4+4+4+3+4+4+2+4+2+4+1+1+2+1+3+1+1+1+2+1+3+4+3+2+2+4+1+1+2+3+2+4+3+1+1+3+2</f>
        <v>90</v>
      </c>
      <c r="J17" s="9">
        <f t="shared" si="9"/>
        <v>0.69456066945636452</v>
      </c>
      <c r="K17" s="28">
        <v>0</v>
      </c>
      <c r="L17" s="28">
        <f>6+1+2+3+1+1</f>
        <v>14</v>
      </c>
      <c r="M17" s="9">
        <f t="shared" si="4"/>
        <v>0.66248256624858548</v>
      </c>
      <c r="N17" s="7">
        <v>17000</v>
      </c>
      <c r="O17" s="15">
        <f>AVERAGE(16000,16000,16000,16000,16000,16000,16000,17000,18000,18000,18000,18000,18000,17000,17000,16800,16800,16800)</f>
        <v>16855.555555555555</v>
      </c>
      <c r="P17" s="9">
        <f t="shared" si="2"/>
        <v>0.99150326797385613</v>
      </c>
      <c r="Q17" s="7">
        <v>8803</v>
      </c>
      <c r="R17" s="7">
        <v>16</v>
      </c>
      <c r="S17" s="7"/>
      <c r="T17" s="5"/>
      <c r="U17" s="10" t="str">
        <f t="shared" si="5"/>
        <v/>
      </c>
      <c r="V17" s="9">
        <f>IF(B17="","",IF(U17&lt;3,(Q17-R17)/Q17,(Q17-R17-S17)/Q17))</f>
        <v>0.9981824378052937</v>
      </c>
      <c r="W17" s="11">
        <f t="shared" si="7"/>
        <v>0.68740749269317236</v>
      </c>
      <c r="X17" s="11">
        <f t="shared" si="8"/>
        <v>0.65565975708690571</v>
      </c>
    </row>
    <row r="18" spans="1:24">
      <c r="A18" s="29" t="s">
        <v>109</v>
      </c>
      <c r="B18" s="5">
        <v>45898.004166666666</v>
      </c>
      <c r="C18" s="5">
        <v>45898.833333333336</v>
      </c>
      <c r="D18" s="6">
        <f t="shared" si="0"/>
        <v>1194.0000000048894</v>
      </c>
      <c r="E18" s="7">
        <v>60</v>
      </c>
      <c r="F18" s="7">
        <v>45</v>
      </c>
      <c r="G18" s="8">
        <f t="shared" si="1"/>
        <v>-15</v>
      </c>
      <c r="H18" s="7">
        <f>5+8+6+6+28+15+13+20+30</f>
        <v>131</v>
      </c>
      <c r="I18" s="7">
        <f>4+2+2+3+4+2+2+4+1+2+1+1+3+2+2+2+3+1+2+3+1+2+3+2</f>
        <v>54</v>
      </c>
      <c r="J18" s="9">
        <f t="shared" si="9"/>
        <v>0.85762144053659639</v>
      </c>
      <c r="K18" s="28">
        <v>0</v>
      </c>
      <c r="L18" s="28">
        <f>55+5+7+32+50+15+43+32+3+8</f>
        <v>250</v>
      </c>
      <c r="M18" s="9">
        <f t="shared" si="4"/>
        <v>0.59798994975038999</v>
      </c>
      <c r="N18" s="7">
        <v>17000</v>
      </c>
      <c r="O18" s="15">
        <f>AVERAGE(16000,16000,16000,16000,16000,16000,17000,16000,14000,17000,17000,16000,17000,17000,17000,17000)</f>
        <v>16312.5</v>
      </c>
      <c r="P18" s="9">
        <f t="shared" si="2"/>
        <v>0.9595588235294118</v>
      </c>
      <c r="Q18" s="7">
        <v>6173</v>
      </c>
      <c r="R18" s="7">
        <v>30</v>
      </c>
      <c r="S18" s="7"/>
      <c r="T18" s="5"/>
      <c r="U18" s="10" t="str">
        <f t="shared" si="5"/>
        <v/>
      </c>
      <c r="V18" s="9">
        <f>IF(B18="","",IF(U18&lt;3,(Q18-R18)/Q18,(Q18-R18-S18)/Q18))</f>
        <v>0.99514012635671467</v>
      </c>
      <c r="W18" s="11">
        <f t="shared" si="7"/>
        <v>0.81893884474696332</v>
      </c>
      <c r="X18" s="11">
        <f t="shared" si="8"/>
        <v>0.57101790542045316</v>
      </c>
    </row>
    <row r="19" spans="1:24">
      <c r="A19" s="29"/>
      <c r="B19" s="5"/>
      <c r="C19" s="5"/>
      <c r="D19" s="6" t="str">
        <f t="shared" si="0"/>
        <v/>
      </c>
      <c r="E19" s="7"/>
      <c r="F19" s="7"/>
      <c r="G19" s="8" t="str">
        <f t="shared" si="1"/>
        <v/>
      </c>
      <c r="H19" s="7"/>
      <c r="I19" s="7"/>
      <c r="J19" s="9" t="str">
        <f t="shared" si="9"/>
        <v/>
      </c>
      <c r="K19" s="28"/>
      <c r="L19" s="28"/>
      <c r="M19" s="9" t="str">
        <f t="shared" si="4"/>
        <v/>
      </c>
      <c r="N19" s="7"/>
      <c r="O19" s="15"/>
      <c r="P19" s="9" t="str">
        <f t="shared" si="2"/>
        <v/>
      </c>
      <c r="Q19" s="15"/>
      <c r="R19" s="7"/>
      <c r="S19" s="7"/>
      <c r="T19" s="5"/>
      <c r="U19" s="10" t="str">
        <f t="shared" si="5"/>
        <v/>
      </c>
      <c r="V19" s="9" t="str">
        <f>IF(B19="","",IF(U19&lt;3,(Q19-R19)/Q19,(Q19-R19-S19)/Q19))</f>
        <v/>
      </c>
      <c r="W19" s="11" t="str">
        <f t="shared" si="7"/>
        <v/>
      </c>
      <c r="X19" s="11" t="str">
        <f t="shared" si="8"/>
        <v/>
      </c>
    </row>
    <row r="20" spans="1:24">
      <c r="A20" s="29"/>
      <c r="B20" s="5"/>
      <c r="C20" s="5"/>
      <c r="D20" s="6" t="str">
        <f t="shared" si="0"/>
        <v/>
      </c>
      <c r="E20" s="7"/>
      <c r="F20" s="7"/>
      <c r="G20" s="8" t="str">
        <f t="shared" si="1"/>
        <v/>
      </c>
      <c r="H20" s="7"/>
      <c r="I20" s="7"/>
      <c r="J20" s="9" t="str">
        <f t="shared" si="9"/>
        <v/>
      </c>
      <c r="K20" s="28"/>
      <c r="L20" s="28"/>
      <c r="M20" s="9" t="str">
        <f t="shared" si="4"/>
        <v/>
      </c>
      <c r="N20" s="7"/>
      <c r="O20" s="30"/>
      <c r="P20" s="9" t="str">
        <f t="shared" si="2"/>
        <v/>
      </c>
      <c r="Q20" s="7"/>
      <c r="R20" s="7"/>
      <c r="S20" s="7"/>
      <c r="T20" s="5"/>
      <c r="U20" s="10" t="str">
        <f t="shared" si="5"/>
        <v/>
      </c>
      <c r="V20" s="9" t="str">
        <f t="shared" si="6"/>
        <v/>
      </c>
      <c r="W20" s="11" t="str">
        <f t="shared" si="7"/>
        <v/>
      </c>
      <c r="X20" s="11" t="str">
        <f t="shared" si="8"/>
        <v/>
      </c>
    </row>
    <row r="21" spans="1:24">
      <c r="A21" s="29"/>
      <c r="B21" s="5"/>
      <c r="C21" s="5"/>
      <c r="D21" s="6" t="str">
        <f t="shared" si="0"/>
        <v/>
      </c>
      <c r="E21" s="7"/>
      <c r="F21" s="7"/>
      <c r="G21" s="8" t="str">
        <f t="shared" si="1"/>
        <v/>
      </c>
      <c r="H21" s="7"/>
      <c r="I21" s="7"/>
      <c r="J21" s="9" t="str">
        <f t="shared" si="9"/>
        <v/>
      </c>
      <c r="K21" s="28"/>
      <c r="L21" s="28"/>
      <c r="M21" s="9" t="str">
        <f t="shared" si="4"/>
        <v/>
      </c>
      <c r="N21" s="7"/>
      <c r="O21" s="15"/>
      <c r="P21" s="9" t="str">
        <f t="shared" si="2"/>
        <v/>
      </c>
      <c r="Q21" s="7"/>
      <c r="R21" s="15"/>
      <c r="S21" s="7"/>
      <c r="T21" s="5"/>
      <c r="U21" s="10" t="str">
        <f t="shared" si="5"/>
        <v/>
      </c>
      <c r="V21" s="9" t="str">
        <f t="shared" si="6"/>
        <v/>
      </c>
      <c r="W21" s="11" t="str">
        <f t="shared" si="7"/>
        <v/>
      </c>
      <c r="X21" s="11" t="str">
        <f t="shared" si="8"/>
        <v/>
      </c>
    </row>
    <row r="22" spans="1:24">
      <c r="A22" s="29"/>
      <c r="B22" s="5"/>
      <c r="C22" s="5"/>
      <c r="D22" s="6"/>
      <c r="E22" s="7"/>
      <c r="F22" s="7"/>
      <c r="G22" s="8"/>
      <c r="H22" s="7"/>
      <c r="I22" s="7"/>
      <c r="J22" s="9"/>
      <c r="K22" s="28"/>
      <c r="L22" s="28"/>
      <c r="M22" s="9"/>
      <c r="N22" s="7"/>
      <c r="O22" s="15"/>
      <c r="P22" s="9"/>
      <c r="Q22" s="15"/>
      <c r="R22" s="15"/>
      <c r="S22" s="7"/>
      <c r="T22" s="5"/>
      <c r="U22" s="10"/>
      <c r="V22" s="9"/>
      <c r="W22" s="11"/>
      <c r="X22" s="11"/>
    </row>
    <row r="23" spans="1:24">
      <c r="A23" s="29"/>
      <c r="B23" s="5"/>
      <c r="C23" s="5"/>
      <c r="D23" s="6" t="str">
        <f t="shared" si="0"/>
        <v/>
      </c>
      <c r="E23" s="7"/>
      <c r="F23" s="7"/>
      <c r="G23" s="8" t="str">
        <f t="shared" si="1"/>
        <v/>
      </c>
      <c r="H23" s="7"/>
      <c r="I23" s="7"/>
      <c r="J23" s="9" t="str">
        <f t="shared" si="9"/>
        <v/>
      </c>
      <c r="K23" s="28"/>
      <c r="L23" s="28"/>
      <c r="M23" s="9" t="str">
        <f t="shared" si="4"/>
        <v/>
      </c>
      <c r="N23" s="7"/>
      <c r="O23" s="15"/>
      <c r="P23" s="9" t="str">
        <f t="shared" si="2"/>
        <v/>
      </c>
      <c r="Q23" s="15"/>
      <c r="R23" s="7"/>
      <c r="S23" s="7"/>
      <c r="T23" s="5"/>
      <c r="U23" s="10" t="str">
        <f t="shared" si="5"/>
        <v/>
      </c>
      <c r="V23" s="9" t="str">
        <f t="shared" si="6"/>
        <v/>
      </c>
      <c r="W23" s="11" t="str">
        <f t="shared" si="7"/>
        <v/>
      </c>
      <c r="X23" s="11" t="str">
        <f t="shared" si="8"/>
        <v/>
      </c>
    </row>
    <row r="24" spans="1:24" ht="15" thickBot="1">
      <c r="A24" s="29"/>
      <c r="B24" s="5"/>
      <c r="C24" s="5"/>
      <c r="D24" s="6" t="str">
        <f t="shared" si="0"/>
        <v/>
      </c>
      <c r="E24" s="7"/>
      <c r="F24" s="7"/>
      <c r="G24" s="8" t="str">
        <f t="shared" si="1"/>
        <v/>
      </c>
      <c r="H24" s="7"/>
      <c r="I24" s="7"/>
      <c r="J24" s="9" t="str">
        <f t="shared" si="9"/>
        <v/>
      </c>
      <c r="K24" s="28"/>
      <c r="L24" s="28"/>
      <c r="M24" s="9" t="str">
        <f t="shared" si="4"/>
        <v/>
      </c>
      <c r="N24" s="7"/>
      <c r="O24" s="15"/>
      <c r="P24" s="9" t="str">
        <f t="shared" si="2"/>
        <v/>
      </c>
      <c r="Q24" s="7"/>
      <c r="R24" s="7"/>
      <c r="S24" s="7"/>
      <c r="T24" s="5"/>
      <c r="U24" s="10" t="str">
        <f t="shared" si="5"/>
        <v/>
      </c>
      <c r="V24" s="9" t="str">
        <f t="shared" si="6"/>
        <v/>
      </c>
      <c r="W24" s="11" t="str">
        <f t="shared" si="7"/>
        <v/>
      </c>
      <c r="X24" s="11" t="str">
        <f t="shared" si="8"/>
        <v/>
      </c>
    </row>
    <row r="25" spans="1:24" hidden="1">
      <c r="A25" s="29"/>
      <c r="B25" s="5"/>
      <c r="C25" s="5"/>
      <c r="D25" s="6" t="str">
        <f t="shared" si="0"/>
        <v/>
      </c>
      <c r="E25" s="7"/>
      <c r="F25" s="7"/>
      <c r="G25" s="8" t="str">
        <f t="shared" si="1"/>
        <v/>
      </c>
      <c r="H25" s="7"/>
      <c r="I25" s="7"/>
      <c r="J25" s="9" t="str">
        <f t="shared" si="9"/>
        <v/>
      </c>
      <c r="K25" s="28"/>
      <c r="L25" s="28"/>
      <c r="M25" s="9" t="str">
        <f t="shared" si="4"/>
        <v/>
      </c>
      <c r="N25" s="7"/>
      <c r="O25" s="15"/>
      <c r="P25" s="9" t="str">
        <f t="shared" si="2"/>
        <v/>
      </c>
      <c r="Q25" s="7"/>
      <c r="R25" s="7"/>
      <c r="S25" s="7"/>
      <c r="T25" s="5"/>
      <c r="U25" s="10" t="str">
        <f t="shared" si="5"/>
        <v/>
      </c>
      <c r="V25" s="9" t="str">
        <f t="shared" si="6"/>
        <v/>
      </c>
      <c r="W25" s="11" t="str">
        <f t="shared" si="7"/>
        <v/>
      </c>
      <c r="X25" s="11" t="str">
        <f t="shared" si="8"/>
        <v/>
      </c>
    </row>
    <row r="26" spans="1:24" hidden="1">
      <c r="A26" s="29"/>
      <c r="B26" s="5"/>
      <c r="C26" s="5"/>
      <c r="D26" s="6" t="str">
        <f t="shared" si="0"/>
        <v/>
      </c>
      <c r="E26" s="7"/>
      <c r="F26" s="7"/>
      <c r="G26" s="8" t="str">
        <f t="shared" si="1"/>
        <v/>
      </c>
      <c r="H26" s="7"/>
      <c r="I26" s="7"/>
      <c r="J26" s="9" t="str">
        <f t="shared" si="9"/>
        <v/>
      </c>
      <c r="K26" s="28"/>
      <c r="L26" s="28"/>
      <c r="M26" s="9" t="str">
        <f t="shared" si="4"/>
        <v/>
      </c>
      <c r="N26" s="7"/>
      <c r="O26" s="15"/>
      <c r="P26" s="9" t="str">
        <f t="shared" si="2"/>
        <v/>
      </c>
      <c r="Q26" s="7"/>
      <c r="R26" s="7"/>
      <c r="S26" s="7"/>
      <c r="T26" s="5"/>
      <c r="U26" s="10" t="str">
        <f t="shared" si="5"/>
        <v/>
      </c>
      <c r="V26" s="9" t="str">
        <f t="shared" si="6"/>
        <v/>
      </c>
      <c r="W26" s="11" t="str">
        <f t="shared" si="7"/>
        <v/>
      </c>
      <c r="X26" s="11" t="str">
        <f t="shared" si="8"/>
        <v/>
      </c>
    </row>
    <row r="27" spans="1:24" hidden="1">
      <c r="A27" s="29"/>
      <c r="B27" s="5"/>
      <c r="C27" s="5"/>
      <c r="D27" s="6" t="str">
        <f t="shared" si="0"/>
        <v/>
      </c>
      <c r="E27" s="7"/>
      <c r="F27" s="7"/>
      <c r="G27" s="8" t="str">
        <f t="shared" si="1"/>
        <v/>
      </c>
      <c r="H27" s="7"/>
      <c r="I27" s="7"/>
      <c r="J27" s="9" t="str">
        <f t="shared" si="9"/>
        <v/>
      </c>
      <c r="K27" s="28"/>
      <c r="L27" s="28"/>
      <c r="M27" s="9" t="str">
        <f t="shared" si="4"/>
        <v/>
      </c>
      <c r="N27" s="7"/>
      <c r="O27" s="15"/>
      <c r="P27" s="9" t="str">
        <f t="shared" si="2"/>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1"/>
        <v/>
      </c>
      <c r="H28" s="7"/>
      <c r="I28" s="7"/>
      <c r="J28" s="9" t="str">
        <f t="shared" si="9"/>
        <v/>
      </c>
      <c r="K28" s="28"/>
      <c r="L28" s="28"/>
      <c r="M28" s="9" t="str">
        <f t="shared" si="4"/>
        <v/>
      </c>
      <c r="N28" s="7"/>
      <c r="O28" s="15"/>
      <c r="P28" s="9" t="str">
        <f t="shared" si="2"/>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9"/>
        <v/>
      </c>
      <c r="K29" s="28"/>
      <c r="L29" s="28"/>
      <c r="M29" s="9" t="str">
        <f t="shared" si="4"/>
        <v/>
      </c>
      <c r="N29" s="7"/>
      <c r="O29" s="7"/>
      <c r="P29" s="9" t="str">
        <f t="shared" si="2"/>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1"/>
        <v/>
      </c>
      <c r="H30" s="7"/>
      <c r="I30" s="7"/>
      <c r="J30" s="9" t="str">
        <f t="shared" si="9"/>
        <v/>
      </c>
      <c r="K30" s="28"/>
      <c r="L30" s="28"/>
      <c r="M30" s="9" t="str">
        <f t="shared" si="4"/>
        <v/>
      </c>
      <c r="N30" s="7"/>
      <c r="O30" s="15"/>
      <c r="P30" s="9" t="str">
        <f t="shared" si="2"/>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9"/>
        <v/>
      </c>
      <c r="K31" s="28"/>
      <c r="L31" s="28"/>
      <c r="M31" s="9" t="str">
        <f t="shared" si="4"/>
        <v/>
      </c>
      <c r="N31" s="7"/>
      <c r="O31" s="15"/>
      <c r="P31" s="9" t="str">
        <f t="shared" si="2"/>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9"/>
        <v/>
      </c>
      <c r="K32" s="28"/>
      <c r="L32" s="28"/>
      <c r="M32" s="9" t="str">
        <f t="shared" si="4"/>
        <v/>
      </c>
      <c r="N32" s="7"/>
      <c r="O32" s="15"/>
      <c r="P32" s="9" t="str">
        <f t="shared" si="2"/>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1"/>
        <v/>
      </c>
      <c r="H33" s="7"/>
      <c r="I33" s="7"/>
      <c r="J33" s="9" t="str">
        <f t="shared" si="9"/>
        <v/>
      </c>
      <c r="K33" s="28"/>
      <c r="L33" s="28"/>
      <c r="M33" s="9" t="str">
        <f t="shared" si="4"/>
        <v/>
      </c>
      <c r="N33" s="7"/>
      <c r="O33" s="15"/>
      <c r="P33" s="9" t="str">
        <f t="shared" si="2"/>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1"/>
        <v/>
      </c>
      <c r="H34" s="7"/>
      <c r="I34" s="7"/>
      <c r="J34" s="9" t="str">
        <f t="shared" si="9"/>
        <v/>
      </c>
      <c r="K34" s="28"/>
      <c r="L34" s="28"/>
      <c r="M34" s="9" t="str">
        <f t="shared" si="4"/>
        <v/>
      </c>
      <c r="N34" s="7"/>
      <c r="O34" s="15"/>
      <c r="P34" s="9" t="str">
        <f t="shared" si="2"/>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1"/>
        <v/>
      </c>
      <c r="H35" s="7"/>
      <c r="I35" s="7"/>
      <c r="J35" s="9" t="str">
        <f t="shared" si="9"/>
        <v/>
      </c>
      <c r="K35" s="28"/>
      <c r="L35" s="28"/>
      <c r="M35" s="9" t="str">
        <f t="shared" si="4"/>
        <v/>
      </c>
      <c r="N35" s="7"/>
      <c r="O35" s="15"/>
      <c r="P35" s="9" t="str">
        <f t="shared" si="2"/>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1"/>
        <v/>
      </c>
      <c r="H36" s="7"/>
      <c r="I36" s="7"/>
      <c r="J36" s="9" t="str">
        <f t="shared" si="9"/>
        <v/>
      </c>
      <c r="K36" s="28"/>
      <c r="L36" s="28"/>
      <c r="M36" s="9" t="str">
        <f t="shared" si="4"/>
        <v/>
      </c>
      <c r="N36" s="7"/>
      <c r="O36" s="15"/>
      <c r="P36" s="9" t="str">
        <f t="shared" si="2"/>
        <v/>
      </c>
      <c r="Q36" s="15"/>
      <c r="R36" s="7"/>
      <c r="S36" s="7"/>
      <c r="T36" s="5"/>
      <c r="U36" s="10" t="str">
        <f t="shared" si="5"/>
        <v/>
      </c>
      <c r="V36" s="9" t="str">
        <f t="shared" si="6"/>
        <v/>
      </c>
      <c r="W36" s="11" t="str">
        <f t="shared" si="7"/>
        <v/>
      </c>
      <c r="X36" s="11" t="str">
        <f t="shared" si="8"/>
        <v/>
      </c>
    </row>
    <row r="37" spans="1:24" ht="15" hidden="1" thickBot="1">
      <c r="A37" s="29"/>
      <c r="B37" s="5"/>
      <c r="C37" s="5"/>
      <c r="D37" s="6" t="str">
        <f t="shared" si="0"/>
        <v/>
      </c>
      <c r="E37" s="7"/>
      <c r="F37" s="7"/>
      <c r="G37" s="8" t="str">
        <f t="shared" si="1"/>
        <v/>
      </c>
      <c r="H37" s="7"/>
      <c r="I37" s="7"/>
      <c r="J37" s="9" t="str">
        <f t="shared" si="9"/>
        <v/>
      </c>
      <c r="K37" s="28"/>
      <c r="L37" s="28"/>
      <c r="M37" s="9" t="str">
        <f t="shared" si="4"/>
        <v/>
      </c>
      <c r="N37" s="7"/>
      <c r="O37" s="15"/>
      <c r="P37" s="9" t="str">
        <f t="shared" si="2"/>
        <v/>
      </c>
      <c r="Q37" s="7"/>
      <c r="R37" s="7"/>
      <c r="S37" s="7"/>
      <c r="T37" s="5"/>
      <c r="U37" s="10" t="str">
        <f t="shared" si="5"/>
        <v/>
      </c>
      <c r="V37" s="9" t="str">
        <f t="shared" si="6"/>
        <v/>
      </c>
      <c r="W37" s="11" t="str">
        <f t="shared" si="7"/>
        <v/>
      </c>
      <c r="X37" s="11" t="str">
        <f t="shared" si="8"/>
        <v/>
      </c>
    </row>
    <row r="38" spans="1:24" s="43" customFormat="1" ht="18.600000000000001" thickBot="1">
      <c r="A38" s="31"/>
      <c r="B38" s="32" t="s">
        <v>42</v>
      </c>
      <c r="C38" s="32"/>
      <c r="D38" s="33">
        <f>SUM(D3:D37)</f>
        <v>20016.00000002305</v>
      </c>
      <c r="E38" s="33">
        <f>SUM(E3:E37)</f>
        <v>667</v>
      </c>
      <c r="F38" s="33">
        <f>SUM(F3:F37)</f>
        <v>774</v>
      </c>
      <c r="G38" s="33">
        <f>SUM(G3:G37)</f>
        <v>107</v>
      </c>
      <c r="H38" s="33">
        <f>SUM(H2:H37)</f>
        <v>3577</v>
      </c>
      <c r="I38" s="33">
        <f>SUM(I3:I37)</f>
        <v>1234</v>
      </c>
      <c r="J38" s="34">
        <f>(D38-G38-H38-I38)/D38</f>
        <v>0.75429656275008305</v>
      </c>
      <c r="K38" s="35">
        <f>SUM(K3:K37)</f>
        <v>50</v>
      </c>
      <c r="L38" s="35">
        <f>SUM(L3:L37)</f>
        <v>1305</v>
      </c>
      <c r="M38" s="36">
        <f>(D38-G38-H38-I38-E38-K38-L38)/D38</f>
        <v>0.6532773780979213</v>
      </c>
      <c r="N38" s="37">
        <f>AVERAGE(N3:N37)</f>
        <v>17000</v>
      </c>
      <c r="O38" s="38">
        <f>AVERAGE(O3:O37)</f>
        <v>16746.740275655717</v>
      </c>
      <c r="P38" s="34">
        <f>O38/N38</f>
        <v>0.98510236915621863</v>
      </c>
      <c r="Q38" s="37">
        <f>SUM(Q3:Q35)</f>
        <v>109096</v>
      </c>
      <c r="R38" s="37"/>
      <c r="S38" s="32"/>
      <c r="T38" s="32"/>
      <c r="U38" s="39"/>
      <c r="V38" s="40">
        <f>AVERAGE(V3:V37)</f>
        <v>0.97286911144471888</v>
      </c>
      <c r="W38" s="41">
        <f>V38*P38*J38</f>
        <v>0.72289947111186437</v>
      </c>
      <c r="X38" s="42">
        <f>V38*P38*M38</f>
        <v>0.62608514268518822</v>
      </c>
    </row>
    <row r="39" spans="1:24" ht="28.9">
      <c r="Q39" s="67"/>
      <c r="R39" s="67"/>
      <c r="S39" s="44"/>
      <c r="T39" s="45"/>
      <c r="U39" s="22"/>
    </row>
    <row r="40" spans="1:24" ht="28.9">
      <c r="P40" s="16"/>
      <c r="Q40" s="22"/>
      <c r="R40" s="22"/>
      <c r="S40" s="22"/>
      <c r="T40" s="22"/>
      <c r="U40" s="22"/>
    </row>
    <row r="41" spans="1:24" ht="28.9">
      <c r="Q41" s="22"/>
      <c r="R41" s="69"/>
      <c r="S41" s="69"/>
      <c r="T41" s="46"/>
      <c r="U41" s="22"/>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53" t="s">
        <v>44</v>
      </c>
      <c r="E46" s="53" t="s">
        <v>45</v>
      </c>
    </row>
    <row r="47" spans="1:24">
      <c r="C47" s="4" t="s">
        <v>46</v>
      </c>
      <c r="D47" s="54">
        <f>W38</f>
        <v>0.72289947111186437</v>
      </c>
      <c r="E47" s="55">
        <f t="shared" ref="E47:E52" si="10">100%-D47</f>
        <v>0.27710052888813563</v>
      </c>
    </row>
    <row r="48" spans="1:24">
      <c r="C48" s="4" t="s">
        <v>47</v>
      </c>
      <c r="D48" s="54">
        <f>X38</f>
        <v>0.62608514268518822</v>
      </c>
      <c r="E48" s="55">
        <f t="shared" si="10"/>
        <v>0.37391485731481178</v>
      </c>
    </row>
    <row r="49" spans="3:5">
      <c r="C49" s="4" t="s">
        <v>11</v>
      </c>
      <c r="D49" s="54">
        <f>J38</f>
        <v>0.75429656275008305</v>
      </c>
      <c r="E49" s="55">
        <f t="shared" si="10"/>
        <v>0.24570343724991695</v>
      </c>
    </row>
    <row r="50" spans="3:5" ht="28.9">
      <c r="C50" s="4" t="s">
        <v>14</v>
      </c>
      <c r="D50" s="54">
        <f>M38</f>
        <v>0.6532773780979213</v>
      </c>
      <c r="E50" s="55">
        <f>100%-D50</f>
        <v>0.3467226219020787</v>
      </c>
    </row>
    <row r="51" spans="3:5">
      <c r="C51" s="4" t="s">
        <v>17</v>
      </c>
      <c r="D51" s="54">
        <f>P38</f>
        <v>0.98510236915621863</v>
      </c>
      <c r="E51" s="55">
        <f t="shared" si="10"/>
        <v>1.4897630843781373E-2</v>
      </c>
    </row>
    <row r="52" spans="3:5">
      <c r="C52" s="4" t="str">
        <f>V2</f>
        <v>Quality</v>
      </c>
      <c r="D52" s="54">
        <f>V38</f>
        <v>0.97286911144471888</v>
      </c>
      <c r="E52" s="55">
        <f t="shared" si="10"/>
        <v>2.7130888555281119E-2</v>
      </c>
    </row>
  </sheetData>
  <mergeCells count="2">
    <mergeCell ref="Q39:R39"/>
    <mergeCell ref="R41:S41"/>
  </mergeCells>
  <pageMargins left="0.7" right="0.7" top="0.75" bottom="0.75" header="0.3" footer="0.3"/>
  <pageSetup paperSize="5" scale="43"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50"/>
  <sheetViews>
    <sheetView topLeftCell="A15" zoomScale="70" zoomScaleNormal="70" workbookViewId="0">
      <selection activeCell="T12" sqref="T12"/>
    </sheetView>
  </sheetViews>
  <sheetFormatPr defaultRowHeight="14.45"/>
  <cols>
    <col min="1" max="1" width="87.2851562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6"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6"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6">
      <c r="A3" s="27" t="s">
        <v>71</v>
      </c>
      <c r="B3" s="5">
        <v>45901.347222222219</v>
      </c>
      <c r="C3" s="5">
        <v>45901.927083333336</v>
      </c>
      <c r="D3" s="6">
        <f t="shared" ref="D3" si="0">IF(B3="","",(C3-B3)*24*60)</f>
        <v>835.00000000814907</v>
      </c>
      <c r="E3" s="7">
        <v>10</v>
      </c>
      <c r="F3" s="7">
        <v>12</v>
      </c>
      <c r="G3" s="8">
        <f t="shared" ref="G3:G5" si="1">IF(E3="","",F3-E3)</f>
        <v>2</v>
      </c>
      <c r="H3" s="7">
        <f>5+10+15+5+8+14+10+5</f>
        <v>72</v>
      </c>
      <c r="I3" s="7">
        <f>3+4+3+4+4+2+1+4+2+3+1+1+3+2+2+2</f>
        <v>41</v>
      </c>
      <c r="J3" s="9">
        <f>IF(B3="","",(D3-G3-H3-I3)/D3)</f>
        <v>0.86227544910314047</v>
      </c>
      <c r="K3" s="28">
        <v>0</v>
      </c>
      <c r="L3" s="28">
        <f>7+10+5+29+2</f>
        <v>53</v>
      </c>
      <c r="M3" s="9">
        <f>IF(B3="","",(D3-G3-H3-I3-K3-L3-E3)/D3)</f>
        <v>0.7868263473074697</v>
      </c>
      <c r="N3" s="7">
        <v>17000</v>
      </c>
      <c r="O3" s="15">
        <f>AVERAGE(17000,17000,17000,17000,17000,17000,17000,17000,17000,17000,17000)</f>
        <v>17000</v>
      </c>
      <c r="P3" s="9">
        <f t="shared" ref="P3" si="2">IF(B3="","",O3/N3)</f>
        <v>1</v>
      </c>
      <c r="Q3" s="7">
        <v>5922</v>
      </c>
      <c r="R3" s="7">
        <v>30</v>
      </c>
      <c r="S3" s="7">
        <v>0.18</v>
      </c>
      <c r="T3" s="5"/>
      <c r="U3" s="10">
        <f>IF(S3="","",(T3-C3))</f>
        <v>-45901.927083333336</v>
      </c>
      <c r="V3" s="9">
        <f>IF(B3="","",IF(U3&lt;3,(Q3-R3)/Q3,(Q3-R3-S3)/Q3))</f>
        <v>0.99493414387031409</v>
      </c>
      <c r="W3" s="11">
        <f>IF(B3="","",V3*P3*J3)</f>
        <v>0.85790728573382369</v>
      </c>
      <c r="X3" s="11">
        <f>IF(B3="","",V3*P3*M3)</f>
        <v>0.78284039823296381</v>
      </c>
    </row>
    <row r="4" spans="1:26">
      <c r="A4" s="27" t="s">
        <v>133</v>
      </c>
      <c r="B4" s="5">
        <v>45902.345138888886</v>
      </c>
      <c r="C4" s="5">
        <v>45902.921527777777</v>
      </c>
      <c r="D4" s="6">
        <f>IF(B4="","",(C4-B4)*24*60)</f>
        <v>830.00000000232831</v>
      </c>
      <c r="E4" s="7">
        <v>10</v>
      </c>
      <c r="F4" s="7">
        <v>25</v>
      </c>
      <c r="G4" s="8">
        <f t="shared" si="1"/>
        <v>15</v>
      </c>
      <c r="H4" s="7">
        <f>42+20+6+21+5+5+5+24+7</f>
        <v>135</v>
      </c>
      <c r="I4" s="7">
        <f>2+2+3+2+2+4+4+2+4+4+4+2+3+4</f>
        <v>42</v>
      </c>
      <c r="J4" s="9">
        <f t="shared" ref="J4:J6" si="3">IF(B4="","",(D4-G4-H4-I4)/D4)</f>
        <v>0.76867469879582961</v>
      </c>
      <c r="K4" s="28">
        <v>0</v>
      </c>
      <c r="L4" s="28">
        <f>5+16+7+4+3+4+3+4+4+3</f>
        <v>53</v>
      </c>
      <c r="M4" s="9">
        <f t="shared" ref="M4:M5" si="4">IF(B4="","",(D4-G4-H4-I4-K4-L4-E4)/D4)</f>
        <v>0.69277108433821122</v>
      </c>
      <c r="N4" s="7">
        <v>17000</v>
      </c>
      <c r="O4" s="15">
        <f>AVERAGE(17000,17000,17000,17000,17000,17000,16000,16000,16000,16000,16000)</f>
        <v>16545.454545454544</v>
      </c>
      <c r="P4" s="9">
        <f>IF(B4="","",O4/N4)</f>
        <v>0.97326203208556139</v>
      </c>
      <c r="Q4" s="7">
        <v>4718</v>
      </c>
      <c r="R4" s="7">
        <v>31</v>
      </c>
      <c r="S4" s="7">
        <v>725</v>
      </c>
      <c r="T4" s="5"/>
      <c r="U4" s="10">
        <f t="shared" ref="U4:U5" si="5">IF(S4="","",(T4-C4))</f>
        <v>-45902.921527777777</v>
      </c>
      <c r="V4" s="9">
        <f t="shared" ref="V4" si="6">IF(B4="","",IF(U4&lt;3,(Q4-R4)/Q4,(Q4-R4-S4)/Q4))</f>
        <v>0.99342941924544304</v>
      </c>
      <c r="W4" s="11">
        <f t="shared" ref="W4" si="7">IF(B4="","",V4*P4*J4)</f>
        <v>0.74320630400877019</v>
      </c>
      <c r="X4" s="11">
        <f t="shared" ref="X4:X5" si="8">IF(B4="","",V4*P4*M4)</f>
        <v>0.66981759373857952</v>
      </c>
    </row>
    <row r="5" spans="1:26">
      <c r="A5" s="29" t="s">
        <v>134</v>
      </c>
      <c r="B5" s="5">
        <v>45903.368055555555</v>
      </c>
      <c r="C5" s="5">
        <v>45903.870833333334</v>
      </c>
      <c r="D5" s="6">
        <f>IF(B5="","",(C5-B5)*24*60)</f>
        <v>724.00000000256114</v>
      </c>
      <c r="E5" s="7">
        <v>10</v>
      </c>
      <c r="F5" s="7">
        <v>40</v>
      </c>
      <c r="G5" s="8">
        <f t="shared" si="1"/>
        <v>30</v>
      </c>
      <c r="H5" s="7">
        <f>5+6+7+7+13+6+5+7</f>
        <v>56</v>
      </c>
      <c r="I5" s="7">
        <f>3+3+3+2+4+2+2+3+4+3+3+1+4</f>
        <v>37</v>
      </c>
      <c r="J5" s="9">
        <f t="shared" si="3"/>
        <v>0.83011049723816999</v>
      </c>
      <c r="K5" s="28">
        <v>0</v>
      </c>
      <c r="L5" s="28">
        <f>5+16+5+30+24</f>
        <v>80</v>
      </c>
      <c r="M5" s="9">
        <f t="shared" si="4"/>
        <v>0.70580110497341642</v>
      </c>
      <c r="N5" s="7">
        <v>17000</v>
      </c>
      <c r="O5" s="15">
        <f>AVERAGE(17000,17000,17000,17000,17000,17000,17000,17000,17000,17000)</f>
        <v>17000</v>
      </c>
      <c r="P5" s="9">
        <f>IF(B5="","",O5/N5)</f>
        <v>1</v>
      </c>
      <c r="Q5" s="7">
        <v>4513</v>
      </c>
      <c r="R5" s="7">
        <v>29</v>
      </c>
      <c r="S5" s="7"/>
      <c r="T5" s="5"/>
      <c r="U5" s="10" t="str">
        <f t="shared" si="5"/>
        <v/>
      </c>
      <c r="V5" s="9">
        <f t="shared" ref="V5" si="9">IF(B5="","",IF(U5&lt;3,(Q5-R5)/Q5,(Q5-R5-S5)/Q5))</f>
        <v>0.99357411921116778</v>
      </c>
      <c r="W5" s="11">
        <f t="shared" ref="W5" si="10">IF(B5="","",V5*P5*J5)</f>
        <v>0.82477630614135922</v>
      </c>
      <c r="X5" s="11">
        <f t="shared" si="8"/>
        <v>0.70126571121223114</v>
      </c>
    </row>
    <row r="6" spans="1:26">
      <c r="A6" s="29" t="s">
        <v>35</v>
      </c>
      <c r="B6" s="5">
        <v>45904.357638888891</v>
      </c>
      <c r="C6" s="5">
        <v>45904.918055555558</v>
      </c>
      <c r="D6" s="6">
        <f t="shared" ref="D6:D37" si="11">IF(B6="","",(C6-B6)*24*60)</f>
        <v>807.00000000069849</v>
      </c>
      <c r="E6" s="7">
        <v>0</v>
      </c>
      <c r="F6" s="7">
        <v>0</v>
      </c>
      <c r="G6" s="8">
        <f t="shared" ref="G6:G37" si="12">IF(E6="","",F6-E6)</f>
        <v>0</v>
      </c>
      <c r="H6" s="7">
        <f>11+7+13+6+5+18+6+6+5+9+6</f>
        <v>92</v>
      </c>
      <c r="I6" s="7">
        <f>3+3+2+3+4+2+4+3+4+4+2+1+2+3+1+3+3+3+4+4+3+4+3+4</f>
        <v>72</v>
      </c>
      <c r="J6" s="9">
        <f t="shared" si="3"/>
        <v>0.79677819083041135</v>
      </c>
      <c r="K6" s="28">
        <v>0</v>
      </c>
      <c r="L6" s="28">
        <f>2</f>
        <v>2</v>
      </c>
      <c r="M6" s="9"/>
      <c r="N6" s="7">
        <v>17000</v>
      </c>
      <c r="O6" s="15">
        <f>AVERAGE(17000,17000,17000,17000,17000,17000,17000,17000,17000,17000,17000,17000)</f>
        <v>17000</v>
      </c>
      <c r="P6" s="9">
        <f t="shared" ref="P6:P37" si="13">IF(B6="","",O6/N6)</f>
        <v>1</v>
      </c>
      <c r="Q6" s="7">
        <v>5941</v>
      </c>
      <c r="R6" s="7">
        <v>12</v>
      </c>
      <c r="S6" s="7"/>
      <c r="T6" s="5"/>
      <c r="U6" s="10" t="str">
        <f t="shared" ref="U6:U37" si="14">IF(S6="","",(T6-C6))</f>
        <v/>
      </c>
      <c r="V6" s="9">
        <f t="shared" ref="V6:V37" si="15">IF(B6="","",IF(U6&lt;3,(Q6-R6)/Q6,(Q6-R6-S6)/Q6))</f>
        <v>0.99798013802390173</v>
      </c>
      <c r="W6" s="11">
        <f t="shared" ref="W6:W37" si="16">IF(B6="","",V6*P6*J6)</f>
        <v>0.79516880885936858</v>
      </c>
      <c r="X6" s="11">
        <f t="shared" ref="X6:X37" si="17">IF(B6="","",V6*P6*M6)</f>
        <v>0</v>
      </c>
    </row>
    <row r="7" spans="1:26">
      <c r="A7" s="29" t="s">
        <v>104</v>
      </c>
      <c r="B7" s="5">
        <v>45905.375</v>
      </c>
      <c r="C7" s="5">
        <v>45905.836805555555</v>
      </c>
      <c r="D7" s="6">
        <f t="shared" si="11"/>
        <v>664.99999999883585</v>
      </c>
      <c r="E7" s="7">
        <v>10</v>
      </c>
      <c r="F7" s="7">
        <v>10</v>
      </c>
      <c r="G7" s="8">
        <f t="shared" si="12"/>
        <v>0</v>
      </c>
      <c r="H7" s="7">
        <f>6+13+6+11+10+5+5+5</f>
        <v>61</v>
      </c>
      <c r="I7" s="7">
        <f>3+2+2+1+3+2+1+2+4+4+1+3+2+4+4+4+2</f>
        <v>44</v>
      </c>
      <c r="J7" s="9">
        <f t="shared" ref="J7:J37" si="18">IF(B7="","",(D7-G7-H7-I7)/D7)</f>
        <v>0.84210526315761836</v>
      </c>
      <c r="K7" s="28">
        <v>0</v>
      </c>
      <c r="L7" s="28">
        <v>0</v>
      </c>
      <c r="M7" s="9">
        <f t="shared" ref="M7:M37" si="19">IF(B7="","",(D7-G7-H7-I7-K7-L7-E7)/D7)</f>
        <v>0.82706766917262964</v>
      </c>
      <c r="N7" s="7">
        <v>17000</v>
      </c>
      <c r="O7" s="15">
        <f>AVERAGE(17500,17500,17500,17500,17500,17000,17000,17000,17000,17000,17000)</f>
        <v>17227.272727272728</v>
      </c>
      <c r="P7" s="9">
        <f t="shared" si="13"/>
        <v>1.0133689839572193</v>
      </c>
      <c r="Q7" s="15">
        <v>4159</v>
      </c>
      <c r="R7" s="15">
        <v>11</v>
      </c>
      <c r="S7" s="7"/>
      <c r="T7" s="5"/>
      <c r="U7" s="10" t="str">
        <f t="shared" si="14"/>
        <v/>
      </c>
      <c r="V7" s="9">
        <f t="shared" si="15"/>
        <v>0.99735513344553983</v>
      </c>
      <c r="W7" s="11">
        <f t="shared" si="16"/>
        <v>0.85110632271485642</v>
      </c>
      <c r="X7" s="11">
        <f t="shared" si="17"/>
        <v>0.83590799552348805</v>
      </c>
    </row>
    <row r="8" spans="1:26">
      <c r="A8" s="29" t="s">
        <v>134</v>
      </c>
      <c r="B8" s="5">
        <v>45908.447916666664</v>
      </c>
      <c r="C8" s="5">
        <v>45908.902083333334</v>
      </c>
      <c r="D8" s="6">
        <f t="shared" si="11"/>
        <v>654.00000000488944</v>
      </c>
      <c r="E8" s="7">
        <v>10</v>
      </c>
      <c r="F8" s="7">
        <v>13</v>
      </c>
      <c r="G8" s="8">
        <f t="shared" si="12"/>
        <v>3</v>
      </c>
      <c r="H8" s="7">
        <f>10+6+5+10+9+11+12</f>
        <v>63</v>
      </c>
      <c r="I8" s="7">
        <f>2+4+2+4+1+2+2+4+4+2+1+1+2+2+1+2+2+1+1+2+1</f>
        <v>43</v>
      </c>
      <c r="J8" s="9">
        <f t="shared" si="18"/>
        <v>0.83333333333457937</v>
      </c>
      <c r="K8" s="28">
        <v>0</v>
      </c>
      <c r="L8" s="28">
        <f>9</f>
        <v>9</v>
      </c>
      <c r="M8" s="9">
        <f t="shared" si="19"/>
        <v>0.80428134556721242</v>
      </c>
      <c r="N8" s="7">
        <v>17000</v>
      </c>
      <c r="O8" s="15">
        <f>AVERAGE(17000,18000,18000,18000,17200,17200,17000,17000,17000,17000,17000)</f>
        <v>17309.090909090908</v>
      </c>
      <c r="P8" s="9">
        <f t="shared" si="13"/>
        <v>1.0181818181818181</v>
      </c>
      <c r="Q8" s="15">
        <v>4642</v>
      </c>
      <c r="R8" s="15">
        <v>9</v>
      </c>
      <c r="S8" s="7"/>
      <c r="T8" s="5"/>
      <c r="U8" s="10" t="str">
        <f t="shared" si="14"/>
        <v/>
      </c>
      <c r="V8" s="9">
        <f t="shared" si="15"/>
        <v>0.99806118052563553</v>
      </c>
      <c r="W8" s="11">
        <f t="shared" si="16"/>
        <v>0.84683978953816907</v>
      </c>
      <c r="X8" s="11">
        <f t="shared" si="17"/>
        <v>0.81731693449031428</v>
      </c>
    </row>
    <row r="9" spans="1:26">
      <c r="A9" s="29" t="s">
        <v>59</v>
      </c>
      <c r="B9" s="5">
        <v>45909.353472222225</v>
      </c>
      <c r="C9" s="5">
        <v>45909.909722222219</v>
      </c>
      <c r="D9" s="6">
        <f t="shared" si="11"/>
        <v>800.9999999916181</v>
      </c>
      <c r="E9" s="7">
        <v>0</v>
      </c>
      <c r="F9" s="7">
        <v>0</v>
      </c>
      <c r="G9" s="8">
        <f t="shared" si="12"/>
        <v>0</v>
      </c>
      <c r="H9" s="7">
        <f>6+20+15+7+6+7+60+16+9+7+6+12</f>
        <v>171</v>
      </c>
      <c r="I9" s="7">
        <f>4+2+2+3+1+3+1+3+1</f>
        <v>20</v>
      </c>
      <c r="J9" s="9">
        <f t="shared" si="18"/>
        <v>0.76154806491635618</v>
      </c>
      <c r="K9" s="28">
        <v>0</v>
      </c>
      <c r="L9" s="28">
        <f>6+4+3+4+3+2+3+2+2+3</f>
        <v>32</v>
      </c>
      <c r="M9" s="9">
        <f t="shared" si="19"/>
        <v>0.72159800249396566</v>
      </c>
      <c r="N9" s="7">
        <v>17000</v>
      </c>
      <c r="O9" s="15">
        <f>AVERAGE(16000,17000,17000,17000,17000,17000,17000,14500,15000,16500)</f>
        <v>16400</v>
      </c>
      <c r="P9" s="9">
        <f t="shared" si="13"/>
        <v>0.96470588235294119</v>
      </c>
      <c r="Q9" s="15">
        <v>5456</v>
      </c>
      <c r="R9" s="15">
        <v>11</v>
      </c>
      <c r="S9" s="7"/>
      <c r="T9" s="5"/>
      <c r="U9" s="10" t="str">
        <f t="shared" si="14"/>
        <v/>
      </c>
      <c r="V9" s="9">
        <f t="shared" si="15"/>
        <v>0.99798387096774188</v>
      </c>
      <c r="W9" s="11">
        <f t="shared" si="16"/>
        <v>0.73318870860898711</v>
      </c>
      <c r="X9" s="11">
        <f t="shared" si="17"/>
        <v>0.69472635012405282</v>
      </c>
    </row>
    <row r="10" spans="1:26">
      <c r="A10" s="29" t="s">
        <v>83</v>
      </c>
      <c r="B10" s="5">
        <v>45910.34375</v>
      </c>
      <c r="C10" s="5">
        <v>45910.914583333331</v>
      </c>
      <c r="D10" s="6">
        <f t="shared" si="11"/>
        <v>821.99999999720603</v>
      </c>
      <c r="E10" s="7">
        <v>25</v>
      </c>
      <c r="F10" s="7">
        <v>50</v>
      </c>
      <c r="G10" s="8">
        <f t="shared" si="12"/>
        <v>25</v>
      </c>
      <c r="H10" s="7">
        <f>6+10+5+7+9+5+5</f>
        <v>47</v>
      </c>
      <c r="I10" s="7">
        <f>4+3+4+4+3+3+1+2+2+1+2+1+3+2+4+2</f>
        <v>41</v>
      </c>
      <c r="J10" s="9">
        <f t="shared" si="18"/>
        <v>0.86253041362483684</v>
      </c>
      <c r="K10" s="28">
        <v>0</v>
      </c>
      <c r="L10" s="28">
        <f>6+10+3+6+9+7+3+4</f>
        <v>48</v>
      </c>
      <c r="M10" s="9">
        <f t="shared" si="19"/>
        <v>0.77372262773645717</v>
      </c>
      <c r="N10" s="7">
        <v>17000</v>
      </c>
      <c r="O10" s="15">
        <f>AVERAGE(16000,16000,16000,16000,17000,17000,16500,16500,16500,16500,16500)</f>
        <v>16409.090909090908</v>
      </c>
      <c r="P10" s="9">
        <f t="shared" si="13"/>
        <v>0.96524064171122992</v>
      </c>
      <c r="Q10" s="15">
        <v>4857</v>
      </c>
      <c r="R10" s="15">
        <v>27</v>
      </c>
      <c r="S10" s="7"/>
      <c r="T10" s="5"/>
      <c r="U10" s="10" t="str">
        <f t="shared" si="14"/>
        <v/>
      </c>
      <c r="V10" s="9">
        <f t="shared" si="15"/>
        <v>0.99444101297096976</v>
      </c>
      <c r="W10" s="11">
        <f t="shared" si="16"/>
        <v>0.82792127857179199</v>
      </c>
      <c r="X10" s="11">
        <f t="shared" si="17"/>
        <v>0.74267691561554516</v>
      </c>
    </row>
    <row r="11" spans="1:26">
      <c r="A11" s="29" t="s">
        <v>135</v>
      </c>
      <c r="B11" s="5">
        <v>45911.347222222219</v>
      </c>
      <c r="C11" s="5">
        <v>45911.375</v>
      </c>
      <c r="D11" s="6">
        <f t="shared" si="11"/>
        <v>40.000000004656613</v>
      </c>
      <c r="E11" s="7">
        <v>0</v>
      </c>
      <c r="F11" s="7">
        <v>0</v>
      </c>
      <c r="G11" s="8">
        <f t="shared" si="12"/>
        <v>0</v>
      </c>
      <c r="H11" s="7">
        <f>28</f>
        <v>28</v>
      </c>
      <c r="I11" s="7">
        <v>0</v>
      </c>
      <c r="J11" s="9">
        <f t="shared" si="18"/>
        <v>0.30000000008149075</v>
      </c>
      <c r="K11" s="28">
        <v>0</v>
      </c>
      <c r="L11" s="28">
        <v>0</v>
      </c>
      <c r="M11" s="9">
        <f t="shared" si="19"/>
        <v>0.30000000008149075</v>
      </c>
      <c r="N11" s="7">
        <v>17000</v>
      </c>
      <c r="O11" s="15">
        <v>17000</v>
      </c>
      <c r="P11" s="9">
        <f t="shared" si="13"/>
        <v>1</v>
      </c>
      <c r="Q11" s="15">
        <v>86</v>
      </c>
      <c r="R11" s="15">
        <v>3</v>
      </c>
      <c r="S11" s="7"/>
      <c r="T11" s="5"/>
      <c r="U11" s="10" t="str">
        <f t="shared" si="14"/>
        <v/>
      </c>
      <c r="V11" s="9">
        <f t="shared" si="15"/>
        <v>0.96511627906976749</v>
      </c>
      <c r="W11" s="11">
        <f t="shared" si="16"/>
        <v>0.28953488379957831</v>
      </c>
      <c r="X11" s="11">
        <f t="shared" si="17"/>
        <v>0.28953488379957831</v>
      </c>
    </row>
    <row r="12" spans="1:26">
      <c r="A12" s="29" t="s">
        <v>135</v>
      </c>
      <c r="B12" s="5">
        <v>45912.638888888891</v>
      </c>
      <c r="C12" s="5">
        <v>45912.756249999999</v>
      </c>
      <c r="D12" s="6">
        <f t="shared" si="11"/>
        <v>168.99999999557622</v>
      </c>
      <c r="E12" s="7">
        <v>0</v>
      </c>
      <c r="F12" s="7">
        <v>0</v>
      </c>
      <c r="G12" s="8">
        <f t="shared" si="12"/>
        <v>0</v>
      </c>
      <c r="H12" s="7">
        <v>43</v>
      </c>
      <c r="I12" s="7">
        <f>3+4+1+2+1</f>
        <v>11</v>
      </c>
      <c r="J12" s="9">
        <f t="shared" si="18"/>
        <v>0.68047337277270104</v>
      </c>
      <c r="K12" s="28">
        <v>0</v>
      </c>
      <c r="L12" s="28">
        <v>0</v>
      </c>
      <c r="M12" s="9">
        <f t="shared" si="19"/>
        <v>0.68047337277270104</v>
      </c>
      <c r="N12" s="7">
        <v>17000</v>
      </c>
      <c r="O12" s="15">
        <f>AVERAGE(17000)</f>
        <v>17000</v>
      </c>
      <c r="P12" s="9">
        <f t="shared" si="13"/>
        <v>1</v>
      </c>
      <c r="Q12" s="15">
        <v>983</v>
      </c>
      <c r="R12" s="15">
        <v>11</v>
      </c>
      <c r="S12" s="7">
        <v>308</v>
      </c>
      <c r="T12" s="5">
        <v>45987.625</v>
      </c>
      <c r="U12" s="10">
        <f t="shared" si="14"/>
        <v>74.868750000001455</v>
      </c>
      <c r="V12" s="9">
        <f t="shared" si="15"/>
        <v>0.6754832146490336</v>
      </c>
      <c r="W12" s="11">
        <f t="shared" si="16"/>
        <v>0.45964834132357429</v>
      </c>
      <c r="X12" s="11">
        <f t="shared" si="17"/>
        <v>0.45964834132357429</v>
      </c>
    </row>
    <row r="13" spans="1:26">
      <c r="A13" s="29" t="s">
        <v>136</v>
      </c>
      <c r="B13" s="5">
        <v>45915.083333333336</v>
      </c>
      <c r="C13" s="5">
        <v>45915.956944444442</v>
      </c>
      <c r="D13" s="6">
        <f t="shared" si="11"/>
        <v>1257.9999999934807</v>
      </c>
      <c r="E13" s="7">
        <v>100</v>
      </c>
      <c r="F13" s="7">
        <v>77</v>
      </c>
      <c r="G13" s="8">
        <f t="shared" si="12"/>
        <v>-23</v>
      </c>
      <c r="H13" s="7">
        <f>8+5+14+7+5+8+6+6</f>
        <v>59</v>
      </c>
      <c r="I13" s="7">
        <f>2+2+3+4+1+1+4+2+4+2+2+3+3+2+4+2+4+2+1+2+4+4+2+4</f>
        <v>64</v>
      </c>
      <c r="J13" s="9">
        <f t="shared" si="18"/>
        <v>0.92050874403774385</v>
      </c>
      <c r="K13" s="28">
        <v>0</v>
      </c>
      <c r="L13" s="28">
        <f>2+4+2+60+9+18+28</f>
        <v>123</v>
      </c>
      <c r="M13" s="9">
        <f t="shared" si="19"/>
        <v>0.74324324324191271</v>
      </c>
      <c r="N13" s="7">
        <v>17000</v>
      </c>
      <c r="O13" s="15">
        <f>AVERAGE(16500,16500,16500,16500,17000,17000,17000,17000,17000,16000,16500,16500,16500,16500,16500)</f>
        <v>16633.333333333332</v>
      </c>
      <c r="P13" s="9">
        <f t="shared" si="13"/>
        <v>0.97843137254901957</v>
      </c>
      <c r="Q13" s="15">
        <v>7467</v>
      </c>
      <c r="R13" s="15">
        <v>20</v>
      </c>
      <c r="S13" s="7"/>
      <c r="T13" s="5"/>
      <c r="U13" s="10" t="str">
        <f t="shared" si="14"/>
        <v/>
      </c>
      <c r="V13" s="9">
        <f t="shared" si="15"/>
        <v>0.99732154814517204</v>
      </c>
      <c r="W13" s="11">
        <f t="shared" ref="W13" si="20">IF(B13="","",V13*P13*J13)</f>
        <v>0.89824227379756938</v>
      </c>
      <c r="X13" s="11">
        <f t="shared" ref="X13" si="21">IF(B13="","",V13*P13*M13)</f>
        <v>0.72526470293575107</v>
      </c>
      <c r="Z13" s="63"/>
    </row>
    <row r="14" spans="1:26">
      <c r="A14" s="29" t="s">
        <v>73</v>
      </c>
      <c r="B14" s="5">
        <v>45916.375</v>
      </c>
      <c r="C14" s="5">
        <v>45917.019444444442</v>
      </c>
      <c r="D14" s="6">
        <f t="shared" si="11"/>
        <v>927.9999999969732</v>
      </c>
      <c r="E14" s="7">
        <v>0</v>
      </c>
      <c r="F14" s="7">
        <v>0</v>
      </c>
      <c r="G14" s="8">
        <f t="shared" si="12"/>
        <v>0</v>
      </c>
      <c r="H14" s="7">
        <f>6+6+5+5+6</f>
        <v>28</v>
      </c>
      <c r="I14" s="7">
        <f>3+3+4+3+4+4+2+1+3+1+3+4+2+2+3+2+3+2+1+2+2+4+2+2+1+4+1+4+3+2+3+3+1+2</f>
        <v>86</v>
      </c>
      <c r="J14" s="9">
        <f t="shared" si="18"/>
        <v>0.87715517241339247</v>
      </c>
      <c r="K14" s="28">
        <v>0</v>
      </c>
      <c r="L14" s="28">
        <f>38</f>
        <v>38</v>
      </c>
      <c r="M14" s="9">
        <f t="shared" si="19"/>
        <v>0.83620689655118996</v>
      </c>
      <c r="N14" s="7">
        <v>17000</v>
      </c>
      <c r="O14" s="15">
        <f>AVERAGE(16000,17000,16000,16000,16500,17000,16200,15700,15700,15700,15700)</f>
        <v>16136.363636363636</v>
      </c>
      <c r="P14" s="9">
        <f t="shared" si="13"/>
        <v>0.94919786096256686</v>
      </c>
      <c r="Q14" s="15">
        <v>6702</v>
      </c>
      <c r="R14" s="15">
        <v>6</v>
      </c>
      <c r="S14" s="7"/>
      <c r="T14" s="5"/>
      <c r="U14" s="10" t="str">
        <f t="shared" si="14"/>
        <v/>
      </c>
      <c r="V14" s="9">
        <f t="shared" si="15"/>
        <v>0.99910474485228296</v>
      </c>
      <c r="W14" s="11">
        <f t="shared" si="16"/>
        <v>0.83184842948965154</v>
      </c>
      <c r="X14" s="11">
        <f t="shared" si="17"/>
        <v>0.79301521042242262</v>
      </c>
    </row>
    <row r="15" spans="1:26">
      <c r="A15" s="29" t="s">
        <v>134</v>
      </c>
      <c r="B15" s="5">
        <v>45917.038194444445</v>
      </c>
      <c r="C15" s="5">
        <v>45918</v>
      </c>
      <c r="D15" s="6">
        <f t="shared" si="11"/>
        <v>1384.9999999988358</v>
      </c>
      <c r="E15" s="7">
        <v>7</v>
      </c>
      <c r="F15" s="7">
        <v>32</v>
      </c>
      <c r="G15" s="8">
        <f t="shared" si="12"/>
        <v>25</v>
      </c>
      <c r="H15" s="7">
        <f>5+6+5+23+60+60+60+10+52+60+20+40+60+27</f>
        <v>488</v>
      </c>
      <c r="I15" s="7">
        <f>2+2+3+3+2+3+1+2+4+2+1+3+1+1+2+1+1+2+4+2+2+1+1+1+2+2+1+2+2+2+3</f>
        <v>61</v>
      </c>
      <c r="J15" s="9">
        <f t="shared" si="18"/>
        <v>0.58555956678665522</v>
      </c>
      <c r="K15" s="28">
        <v>0</v>
      </c>
      <c r="L15" s="28">
        <f>3+3+44</f>
        <v>50</v>
      </c>
      <c r="M15" s="9">
        <f t="shared" si="19"/>
        <v>0.54440433212958095</v>
      </c>
      <c r="N15" s="7">
        <v>17000</v>
      </c>
      <c r="O15" s="15">
        <f>AVERAGE(16000,17000,17000,16000,17000,15600,15600,15600,15600,16000,15700,16000,16000,17000)</f>
        <v>16150</v>
      </c>
      <c r="P15" s="9">
        <f t="shared" si="13"/>
        <v>0.95</v>
      </c>
      <c r="Q15" s="15">
        <v>6663</v>
      </c>
      <c r="R15" s="7">
        <v>30</v>
      </c>
      <c r="S15" s="7"/>
      <c r="T15" s="5"/>
      <c r="U15" s="10" t="str">
        <f t="shared" si="14"/>
        <v/>
      </c>
      <c r="V15" s="9">
        <f t="shared" si="15"/>
        <v>0.99549752363800093</v>
      </c>
      <c r="W15" s="11">
        <f t="shared" si="16"/>
        <v>0.55377694374472308</v>
      </c>
      <c r="X15" s="11">
        <f t="shared" si="17"/>
        <v>0.51485550626815768</v>
      </c>
    </row>
    <row r="16" spans="1:26">
      <c r="A16" s="29" t="s">
        <v>59</v>
      </c>
      <c r="B16" s="5">
        <v>45918.001388888886</v>
      </c>
      <c r="C16" s="5">
        <v>45919</v>
      </c>
      <c r="D16" s="6">
        <f t="shared" si="11"/>
        <v>1438.0000000039581</v>
      </c>
      <c r="E16" s="7">
        <v>0</v>
      </c>
      <c r="F16" s="7">
        <v>0</v>
      </c>
      <c r="G16" s="8">
        <f t="shared" si="12"/>
        <v>0</v>
      </c>
      <c r="H16" s="7">
        <f>6+5</f>
        <v>11</v>
      </c>
      <c r="I16" s="7">
        <f>2+3+3+3+4+3+3+3+3+3+1+2+4+1+3+3+4+3+3+2+1+3+3+1+2+1+2+2+2+3+2+1+1+1+1+2+1+2+1+3+3+2+3</f>
        <v>99</v>
      </c>
      <c r="J16" s="9">
        <f t="shared" si="18"/>
        <v>0.92350486787225505</v>
      </c>
      <c r="K16" s="28">
        <v>0</v>
      </c>
      <c r="L16" s="28">
        <f>2+5+6+5+4+5+4+5</f>
        <v>36</v>
      </c>
      <c r="M16" s="9">
        <f t="shared" si="19"/>
        <v>0.89847009735772032</v>
      </c>
      <c r="N16" s="7">
        <v>17000</v>
      </c>
      <c r="O16" s="15">
        <f>AVERAGE(17000,17000,17000,17000,17000,17000,17000,17000,18000,18000,17000,17000,16200,15700,15700,15700,15600,15400,16500,17000)</f>
        <v>16690</v>
      </c>
      <c r="P16" s="9">
        <f t="shared" si="13"/>
        <v>0.98176470588235298</v>
      </c>
      <c r="Q16" s="7">
        <v>12334</v>
      </c>
      <c r="R16" s="7">
        <v>32</v>
      </c>
      <c r="S16" s="7"/>
      <c r="T16" s="5"/>
      <c r="U16" s="10" t="str">
        <f t="shared" si="14"/>
        <v/>
      </c>
      <c r="V16" s="9">
        <f t="shared" si="15"/>
        <v>0.99740554564618134</v>
      </c>
      <c r="W16" s="11">
        <f t="shared" si="16"/>
        <v>0.90431218536699709</v>
      </c>
      <c r="X16" s="11">
        <f t="shared" si="17"/>
        <v>0.8797976984143504</v>
      </c>
    </row>
    <row r="17" spans="1:24">
      <c r="A17" s="29" t="s">
        <v>137</v>
      </c>
      <c r="B17" s="5">
        <v>45919.001388888886</v>
      </c>
      <c r="C17" s="5">
        <v>45919.82916666667</v>
      </c>
      <c r="D17" s="6">
        <f t="shared" si="11"/>
        <v>1192.0000000088476</v>
      </c>
      <c r="E17" s="7">
        <f>10+10+10</f>
        <v>30</v>
      </c>
      <c r="F17" s="7">
        <v>20</v>
      </c>
      <c r="G17" s="8">
        <f t="shared" si="12"/>
        <v>-10</v>
      </c>
      <c r="H17" s="7">
        <f>5+9+7</f>
        <v>21</v>
      </c>
      <c r="I17" s="7">
        <f>1+2+3+4+3+1+2+2+4+2+3+4+2+2+1+1+4+3+4+3+2+1+2+2+2+1+1+2</f>
        <v>64</v>
      </c>
      <c r="J17" s="9">
        <f t="shared" si="18"/>
        <v>0.93708053691321869</v>
      </c>
      <c r="K17" s="28">
        <v>0</v>
      </c>
      <c r="L17" s="28">
        <f>2+3+4+4+15+3+3+5+4+5+3+60+55+6</f>
        <v>172</v>
      </c>
      <c r="M17" s="9">
        <f t="shared" si="19"/>
        <v>0.76761744966615442</v>
      </c>
      <c r="N17" s="7">
        <v>17000</v>
      </c>
      <c r="O17" s="15">
        <f>AVERAGE(17000,17000,17000,17000,17000,17000,17000,17000,18000,18000,18000,17000,15000,18000,18000)</f>
        <v>17200</v>
      </c>
      <c r="P17" s="9">
        <f t="shared" si="13"/>
        <v>1.0117647058823529</v>
      </c>
      <c r="Q17" s="7">
        <v>5668</v>
      </c>
      <c r="R17" s="7">
        <v>32</v>
      </c>
      <c r="S17" s="7">
        <v>15</v>
      </c>
      <c r="T17" s="5"/>
      <c r="U17" s="10">
        <f t="shared" si="14"/>
        <v>-45919.82916666667</v>
      </c>
      <c r="V17" s="9">
        <f t="shared" si="15"/>
        <v>0.99435426958362738</v>
      </c>
      <c r="W17" s="11">
        <f t="shared" si="16"/>
        <v>0.94275226850365179</v>
      </c>
      <c r="X17" s="11">
        <f t="shared" si="17"/>
        <v>0.77226349658222904</v>
      </c>
    </row>
    <row r="18" spans="1:24">
      <c r="A18" s="29" t="s">
        <v>85</v>
      </c>
      <c r="B18" s="5">
        <v>45922.375</v>
      </c>
      <c r="C18" s="5">
        <v>45923</v>
      </c>
      <c r="D18" s="6">
        <f t="shared" si="11"/>
        <v>900</v>
      </c>
      <c r="E18" s="7">
        <v>0</v>
      </c>
      <c r="F18" s="7">
        <v>0</v>
      </c>
      <c r="G18" s="8">
        <f t="shared" si="12"/>
        <v>0</v>
      </c>
      <c r="H18" s="7">
        <f>5+9+9+39+8+8+5+9+3+3+4</f>
        <v>102</v>
      </c>
      <c r="I18" s="7">
        <f>4+3+3+3+4+3+3+2+3+2+2+1+3+1+1+1</f>
        <v>39</v>
      </c>
      <c r="J18" s="9">
        <f t="shared" si="18"/>
        <v>0.84333333333333338</v>
      </c>
      <c r="K18" s="28">
        <v>0</v>
      </c>
      <c r="L18" s="28">
        <f>12+45+4+4+4+3+2+4</f>
        <v>78</v>
      </c>
      <c r="M18" s="9">
        <f t="shared" si="19"/>
        <v>0.75666666666666671</v>
      </c>
      <c r="N18" s="7">
        <v>17000</v>
      </c>
      <c r="O18" s="15">
        <f>AVERAGE(17000,17000,16000,16000,16000,17000,15000,16000,17000,17000)</f>
        <v>16400</v>
      </c>
      <c r="P18" s="9">
        <f t="shared" si="13"/>
        <v>0.96470588235294119</v>
      </c>
      <c r="Q18" s="7">
        <v>5295</v>
      </c>
      <c r="R18" s="7">
        <v>91</v>
      </c>
      <c r="S18" s="7"/>
      <c r="T18" s="5"/>
      <c r="U18" s="10" t="str">
        <f t="shared" si="14"/>
        <v/>
      </c>
      <c r="V18" s="9">
        <f t="shared" ref="V18" si="22">IF(B18="","",IF(U18&lt;3,(Q18-R18)/Q18,(Q18-R18-S18)/Q18))</f>
        <v>0.98281397544853633</v>
      </c>
      <c r="W18" s="11">
        <f t="shared" ref="W18" si="23">IF(B18="","",V18*P18*J18)</f>
        <v>0.79958661704530731</v>
      </c>
      <c r="X18" s="11">
        <f t="shared" ref="X18" si="24">IF(B18="","",V18*P18*M18)</f>
        <v>0.71741566035290416</v>
      </c>
    </row>
    <row r="19" spans="1:24">
      <c r="A19" s="29" t="s">
        <v>26</v>
      </c>
      <c r="B19" s="5">
        <v>45923.006944444445</v>
      </c>
      <c r="C19" s="5">
        <v>45923.908333333333</v>
      </c>
      <c r="D19" s="6">
        <f t="shared" si="11"/>
        <v>1297.9999999981374</v>
      </c>
      <c r="E19" s="7">
        <v>10</v>
      </c>
      <c r="F19" s="7">
        <v>28</v>
      </c>
      <c r="G19" s="8">
        <f t="shared" si="12"/>
        <v>18</v>
      </c>
      <c r="H19" s="7">
        <f>5+5+6+8+5+15+6+8+6+9+5+13+40+14+22+14+7+18+60</f>
        <v>266</v>
      </c>
      <c r="I19" s="7">
        <f>3+3+2+3+1+3+2+1+4+1+1+1+1+1+2+3+1+2+3+2+2+3+2+2+4+3+4+3+3+3+3+2+2+3+4+2+3+3</f>
        <v>91</v>
      </c>
      <c r="J19" s="9">
        <f t="shared" si="18"/>
        <v>0.71109399075459312</v>
      </c>
      <c r="K19" s="28">
        <v>0</v>
      </c>
      <c r="L19" s="28">
        <f>10+9+2+2</f>
        <v>23</v>
      </c>
      <c r="M19" s="9">
        <f t="shared" si="19"/>
        <v>0.68567026194099734</v>
      </c>
      <c r="N19" s="7">
        <v>17000</v>
      </c>
      <c r="O19" s="15">
        <f>AVERAGE(15600,15600,15600,15600,15600,15600,15600,16000,17000,17000,16000,16000,16000,16000,16000,16000,17000,17000)</f>
        <v>16066.666666666666</v>
      </c>
      <c r="P19" s="9">
        <f t="shared" si="13"/>
        <v>0.94509803921568625</v>
      </c>
      <c r="Q19" s="15">
        <v>7327</v>
      </c>
      <c r="R19" s="7">
        <v>107</v>
      </c>
      <c r="S19" s="7">
        <v>15</v>
      </c>
      <c r="T19" s="5">
        <v>45924.25</v>
      </c>
      <c r="U19" s="10">
        <f t="shared" si="14"/>
        <v>0.34166666666715173</v>
      </c>
      <c r="V19" s="9">
        <f t="shared" si="15"/>
        <v>0.98539647877712566</v>
      </c>
      <c r="W19" s="11">
        <f t="shared" si="16"/>
        <v>0.66223918827907902</v>
      </c>
      <c r="X19" s="11">
        <f t="shared" si="17"/>
        <v>0.63856216421271528</v>
      </c>
    </row>
    <row r="20" spans="1:24">
      <c r="A20" s="29" t="s">
        <v>83</v>
      </c>
      <c r="B20" s="5">
        <v>45925.423611111109</v>
      </c>
      <c r="C20" s="5">
        <v>45925.934027777781</v>
      </c>
      <c r="D20" s="6">
        <f t="shared" si="11"/>
        <v>735.00000000698492</v>
      </c>
      <c r="E20" s="7">
        <v>25</v>
      </c>
      <c r="F20" s="7">
        <v>17</v>
      </c>
      <c r="G20" s="8">
        <f t="shared" si="12"/>
        <v>-8</v>
      </c>
      <c r="H20" s="7">
        <f>8+11+10+7+6+5+12+5+5+11</f>
        <v>80</v>
      </c>
      <c r="I20" s="7">
        <f>3+4+2+4+3+4+4+4+4+2+4+4+3+4+4+4+3</f>
        <v>60</v>
      </c>
      <c r="J20" s="9">
        <f t="shared" si="18"/>
        <v>0.82040816326701282</v>
      </c>
      <c r="K20" s="28">
        <v>0</v>
      </c>
      <c r="L20" s="28">
        <f>4+3+2+4+2+4+6</f>
        <v>25</v>
      </c>
      <c r="M20" s="9">
        <f t="shared" si="19"/>
        <v>0.7523809523833056</v>
      </c>
      <c r="N20" s="7">
        <v>17000</v>
      </c>
      <c r="O20" s="30">
        <f>AVERAGE(18000,18000,17000,17000,17000,17000,17000,17000)</f>
        <v>17250</v>
      </c>
      <c r="P20" s="9">
        <f t="shared" si="13"/>
        <v>1.0147058823529411</v>
      </c>
      <c r="Q20" s="7">
        <v>4276</v>
      </c>
      <c r="R20" s="7">
        <v>28</v>
      </c>
      <c r="S20" s="7">
        <f>23+2</f>
        <v>25</v>
      </c>
      <c r="T20" s="5">
        <v>45932.489583333336</v>
      </c>
      <c r="U20" s="10">
        <f t="shared" si="14"/>
        <v>6.5555555555547471</v>
      </c>
      <c r="V20" s="9">
        <f t="shared" si="15"/>
        <v>0.98760523854069227</v>
      </c>
      <c r="W20" s="11">
        <f t="shared" si="16"/>
        <v>0.82215468507499123</v>
      </c>
      <c r="X20" s="11">
        <f t="shared" si="17"/>
        <v>0.75398265480422277</v>
      </c>
    </row>
    <row r="21" spans="1:24">
      <c r="A21" s="29" t="s">
        <v>127</v>
      </c>
      <c r="B21" s="5">
        <v>45926.013888888891</v>
      </c>
      <c r="C21" s="5">
        <v>45926.84652777778</v>
      </c>
      <c r="D21" s="6">
        <f t="shared" si="11"/>
        <v>1199.0000000002328</v>
      </c>
      <c r="E21" s="7">
        <v>45</v>
      </c>
      <c r="F21" s="7">
        <v>110</v>
      </c>
      <c r="G21" s="8">
        <f t="shared" si="12"/>
        <v>65</v>
      </c>
      <c r="H21" s="7">
        <f>5+26+6+5+5+6+5+7+10+5+5+14+6+6</f>
        <v>111</v>
      </c>
      <c r="I21" s="7">
        <f>1+3+4+2+2+2+2+3+3+3+2+3+4+2+3+3+3+3+3+2+4+2+2+3+3+1+2+1+2+2+3+3</f>
        <v>81</v>
      </c>
      <c r="J21" s="9">
        <f t="shared" si="18"/>
        <v>0.78565471226025851</v>
      </c>
      <c r="K21" s="28">
        <v>0</v>
      </c>
      <c r="L21" s="28">
        <f>3+2+5</f>
        <v>10</v>
      </c>
      <c r="M21" s="9">
        <f t="shared" si="19"/>
        <v>0.73978315262723982</v>
      </c>
      <c r="N21" s="7">
        <v>17000</v>
      </c>
      <c r="O21" s="15">
        <f>AVERAGE(16200,16200,16200,16200,16200,16200,17000,17000,17000,17000,17000,17000,17000,18000,18000,1800,18000,18000)</f>
        <v>16111.111111111111</v>
      </c>
      <c r="P21" s="9">
        <f t="shared" si="13"/>
        <v>0.94771241830065356</v>
      </c>
      <c r="Q21" s="7">
        <v>7915</v>
      </c>
      <c r="R21" s="15">
        <v>38</v>
      </c>
      <c r="S21" s="7">
        <v>97</v>
      </c>
      <c r="T21" s="5">
        <v>45938.140972222223</v>
      </c>
      <c r="U21" s="10">
        <f t="shared" si="14"/>
        <v>11.294444444443798</v>
      </c>
      <c r="V21" s="9">
        <f t="shared" si="15"/>
        <v>0.98294377763739738</v>
      </c>
      <c r="W21" s="11">
        <f t="shared" si="16"/>
        <v>0.73187509519097738</v>
      </c>
      <c r="X21" s="11">
        <f t="shared" si="17"/>
        <v>0.68914353443142973</v>
      </c>
    </row>
    <row r="22" spans="1:24">
      <c r="A22" s="29" t="s">
        <v>138</v>
      </c>
      <c r="B22" s="5">
        <v>45929.261805555558</v>
      </c>
      <c r="C22" s="5">
        <v>45930</v>
      </c>
      <c r="D22" s="6">
        <f t="shared" si="11"/>
        <v>1062.9999999969732</v>
      </c>
      <c r="E22" s="7">
        <v>0</v>
      </c>
      <c r="F22" s="7">
        <v>10</v>
      </c>
      <c r="G22" s="8">
        <f t="shared" si="12"/>
        <v>10</v>
      </c>
      <c r="H22" s="7">
        <f>9+17+21+56+9+6+5+24+20+6+18+9+14+11+6+10+7+6+12+11+10+5+7+60+60+60</f>
        <v>479</v>
      </c>
      <c r="I22" s="7">
        <f>2+2+2+4+3+2+3+4+4+4+4+3+2+2</f>
        <v>41</v>
      </c>
      <c r="J22" s="9">
        <f t="shared" si="18"/>
        <v>0.50141110065709393</v>
      </c>
      <c r="K22" s="28">
        <v>0</v>
      </c>
      <c r="L22" s="28">
        <f>46+15+6</f>
        <v>67</v>
      </c>
      <c r="M22" s="9">
        <f t="shared" si="19"/>
        <v>0.43838193790997187</v>
      </c>
      <c r="N22" s="7">
        <v>17000</v>
      </c>
      <c r="O22" s="30">
        <f>AVERAGE(16000,16000,15000,15000,15000,15000,15000,15000,15000,15000,15000,17000,17000,17000)</f>
        <v>15571.428571428571</v>
      </c>
      <c r="P22" s="9">
        <f t="shared" si="13"/>
        <v>0.91596638655462181</v>
      </c>
      <c r="Q22" s="15">
        <v>2865</v>
      </c>
      <c r="R22" s="7">
        <v>34</v>
      </c>
      <c r="S22" s="7"/>
      <c r="T22" s="5"/>
      <c r="U22" s="10" t="str">
        <f t="shared" si="14"/>
        <v/>
      </c>
      <c r="V22" s="9">
        <f t="shared" si="15"/>
        <v>0.98813263525305406</v>
      </c>
      <c r="W22" s="11">
        <f t="shared" si="16"/>
        <v>0.45382532162924127</v>
      </c>
      <c r="X22" s="11">
        <f t="shared" si="17"/>
        <v>0.39677786093631101</v>
      </c>
    </row>
    <row r="23" spans="1:24">
      <c r="A23" s="29" t="s">
        <v>139</v>
      </c>
      <c r="B23" s="5">
        <v>45930.125</v>
      </c>
      <c r="C23" s="5">
        <v>45931</v>
      </c>
      <c r="D23" s="6">
        <f t="shared" si="11"/>
        <v>1260</v>
      </c>
      <c r="E23" s="7">
        <f>20+10+20+10</f>
        <v>60</v>
      </c>
      <c r="F23" s="7">
        <v>86</v>
      </c>
      <c r="G23" s="8">
        <f t="shared" si="12"/>
        <v>26</v>
      </c>
      <c r="H23" s="7">
        <f>40+5+36+60+40+35+5+5+5+6+7+5+7+8+6+8+6+7+37+6+9+5+6+20+44+19</f>
        <v>437</v>
      </c>
      <c r="I23" s="7">
        <f>2+2+2+2+4+4+4+4+4+2+3+4+4+2</f>
        <v>43</v>
      </c>
      <c r="J23" s="9">
        <f t="shared" si="18"/>
        <v>0.5984126984126984</v>
      </c>
      <c r="K23" s="28">
        <v>15</v>
      </c>
      <c r="L23" s="28">
        <f>3+5+60</f>
        <v>68</v>
      </c>
      <c r="M23" s="9">
        <f t="shared" si="19"/>
        <v>0.48492063492063492</v>
      </c>
      <c r="N23" s="7">
        <v>17000</v>
      </c>
      <c r="O23" s="15">
        <f>AVERAGE(16000,16000,16000,16000,16000,16000,17000,16000,16000,16000,14000)</f>
        <v>15909.09090909091</v>
      </c>
      <c r="P23" s="9">
        <f t="shared" si="13"/>
        <v>0.93582887700534767</v>
      </c>
      <c r="Q23" s="15">
        <v>3008</v>
      </c>
      <c r="R23" s="7">
        <v>46</v>
      </c>
      <c r="S23" s="7">
        <v>30</v>
      </c>
      <c r="T23" s="5">
        <v>45937.120138888888</v>
      </c>
      <c r="U23" s="10">
        <f t="shared" si="14"/>
        <v>6.1201388888875954</v>
      </c>
      <c r="V23" s="9">
        <f t="shared" si="15"/>
        <v>0.97473404255319152</v>
      </c>
      <c r="W23" s="11">
        <f t="shared" si="16"/>
        <v>0.54586264712203392</v>
      </c>
      <c r="X23" s="11">
        <f t="shared" si="17"/>
        <v>0.44233697266785504</v>
      </c>
    </row>
    <row r="24" spans="1:24" ht="15" thickBot="1">
      <c r="A24" s="29"/>
      <c r="B24" s="5"/>
      <c r="C24" s="5"/>
      <c r="D24" s="6" t="str">
        <f t="shared" si="11"/>
        <v/>
      </c>
      <c r="E24" s="7"/>
      <c r="F24" s="7"/>
      <c r="G24" s="8" t="str">
        <f t="shared" si="12"/>
        <v/>
      </c>
      <c r="H24" s="7"/>
      <c r="I24" s="7"/>
      <c r="J24" s="9" t="str">
        <f t="shared" si="18"/>
        <v/>
      </c>
      <c r="K24" s="28"/>
      <c r="L24" s="28"/>
      <c r="M24" s="9" t="str">
        <f t="shared" si="19"/>
        <v/>
      </c>
      <c r="N24" s="7"/>
      <c r="O24" s="15"/>
      <c r="P24" s="9" t="str">
        <f t="shared" si="13"/>
        <v/>
      </c>
      <c r="Q24" s="7"/>
      <c r="R24" s="7"/>
      <c r="S24" s="7"/>
      <c r="T24" s="5"/>
      <c r="U24" s="10" t="str">
        <f t="shared" si="14"/>
        <v/>
      </c>
      <c r="V24" s="9" t="str">
        <f t="shared" si="15"/>
        <v/>
      </c>
      <c r="W24" s="11" t="str">
        <f t="shared" si="16"/>
        <v/>
      </c>
      <c r="X24" s="11" t="str">
        <f t="shared" si="17"/>
        <v/>
      </c>
    </row>
    <row r="25" spans="1:24" hidden="1">
      <c r="A25" s="29"/>
      <c r="B25" s="5"/>
      <c r="C25" s="5"/>
      <c r="D25" s="6" t="str">
        <f t="shared" si="11"/>
        <v/>
      </c>
      <c r="E25" s="7"/>
      <c r="F25" s="7"/>
      <c r="G25" s="8" t="str">
        <f t="shared" si="12"/>
        <v/>
      </c>
      <c r="H25" s="7"/>
      <c r="I25" s="7"/>
      <c r="J25" s="9" t="str">
        <f t="shared" si="18"/>
        <v/>
      </c>
      <c r="K25" s="28"/>
      <c r="L25" s="28"/>
      <c r="M25" s="9" t="str">
        <f t="shared" si="19"/>
        <v/>
      </c>
      <c r="N25" s="7"/>
      <c r="O25" s="15"/>
      <c r="P25" s="9" t="str">
        <f t="shared" si="13"/>
        <v/>
      </c>
      <c r="Q25" s="7"/>
      <c r="R25" s="7"/>
      <c r="S25" s="7"/>
      <c r="T25" s="5"/>
      <c r="U25" s="10" t="str">
        <f t="shared" si="14"/>
        <v/>
      </c>
      <c r="V25" s="9" t="str">
        <f t="shared" si="15"/>
        <v/>
      </c>
      <c r="W25" s="11" t="str">
        <f t="shared" si="16"/>
        <v/>
      </c>
      <c r="X25" s="11" t="str">
        <f t="shared" si="17"/>
        <v/>
      </c>
    </row>
    <row r="26" spans="1:24" hidden="1">
      <c r="A26" s="29"/>
      <c r="B26" s="5"/>
      <c r="C26" s="5"/>
      <c r="D26" s="6" t="str">
        <f t="shared" si="11"/>
        <v/>
      </c>
      <c r="E26" s="7"/>
      <c r="F26" s="7"/>
      <c r="G26" s="8" t="str">
        <f t="shared" si="12"/>
        <v/>
      </c>
      <c r="H26" s="7"/>
      <c r="I26" s="7"/>
      <c r="J26" s="9" t="str">
        <f t="shared" si="18"/>
        <v/>
      </c>
      <c r="K26" s="28"/>
      <c r="L26" s="28"/>
      <c r="M26" s="9" t="str">
        <f t="shared" si="19"/>
        <v/>
      </c>
      <c r="N26" s="7"/>
      <c r="O26" s="15"/>
      <c r="P26" s="9" t="str">
        <f t="shared" si="13"/>
        <v/>
      </c>
      <c r="Q26" s="7"/>
      <c r="R26" s="7"/>
      <c r="S26" s="7"/>
      <c r="T26" s="5"/>
      <c r="U26" s="10" t="str">
        <f t="shared" si="14"/>
        <v/>
      </c>
      <c r="V26" s="9" t="str">
        <f t="shared" si="15"/>
        <v/>
      </c>
      <c r="W26" s="11" t="str">
        <f t="shared" si="16"/>
        <v/>
      </c>
      <c r="X26" s="11" t="str">
        <f t="shared" si="17"/>
        <v/>
      </c>
    </row>
    <row r="27" spans="1:24" hidden="1">
      <c r="A27" s="29"/>
      <c r="B27" s="5"/>
      <c r="C27" s="5"/>
      <c r="D27" s="6" t="str">
        <f t="shared" si="11"/>
        <v/>
      </c>
      <c r="E27" s="7"/>
      <c r="F27" s="7"/>
      <c r="G27" s="8" t="str">
        <f t="shared" si="12"/>
        <v/>
      </c>
      <c r="H27" s="7"/>
      <c r="I27" s="7"/>
      <c r="J27" s="9" t="str">
        <f t="shared" si="18"/>
        <v/>
      </c>
      <c r="K27" s="28"/>
      <c r="L27" s="28"/>
      <c r="M27" s="9" t="str">
        <f t="shared" si="19"/>
        <v/>
      </c>
      <c r="N27" s="7"/>
      <c r="O27" s="15"/>
      <c r="P27" s="9" t="str">
        <f t="shared" si="13"/>
        <v/>
      </c>
      <c r="Q27" s="7"/>
      <c r="R27" s="7"/>
      <c r="S27" s="7"/>
      <c r="T27" s="5"/>
      <c r="U27" s="10" t="str">
        <f t="shared" si="14"/>
        <v/>
      </c>
      <c r="V27" s="9" t="str">
        <f t="shared" si="15"/>
        <v/>
      </c>
      <c r="W27" s="11" t="str">
        <f t="shared" si="16"/>
        <v/>
      </c>
      <c r="X27" s="11" t="str">
        <f t="shared" si="17"/>
        <v/>
      </c>
    </row>
    <row r="28" spans="1:24" hidden="1">
      <c r="A28" s="29"/>
      <c r="B28" s="5"/>
      <c r="C28" s="5"/>
      <c r="D28" s="6" t="str">
        <f t="shared" si="11"/>
        <v/>
      </c>
      <c r="E28" s="7"/>
      <c r="F28" s="7"/>
      <c r="G28" s="8" t="str">
        <f t="shared" si="12"/>
        <v/>
      </c>
      <c r="H28" s="7"/>
      <c r="I28" s="7"/>
      <c r="J28" s="9" t="str">
        <f t="shared" si="18"/>
        <v/>
      </c>
      <c r="K28" s="28"/>
      <c r="L28" s="28"/>
      <c r="M28" s="9" t="str">
        <f t="shared" si="19"/>
        <v/>
      </c>
      <c r="N28" s="7"/>
      <c r="O28" s="15"/>
      <c r="P28" s="9" t="str">
        <f t="shared" si="13"/>
        <v/>
      </c>
      <c r="Q28" s="15"/>
      <c r="R28" s="7"/>
      <c r="S28" s="7"/>
      <c r="T28" s="5"/>
      <c r="U28" s="10" t="str">
        <f t="shared" si="14"/>
        <v/>
      </c>
      <c r="V28" s="9" t="str">
        <f t="shared" si="15"/>
        <v/>
      </c>
      <c r="W28" s="11" t="str">
        <f t="shared" si="16"/>
        <v/>
      </c>
      <c r="X28" s="11" t="str">
        <f t="shared" si="17"/>
        <v/>
      </c>
    </row>
    <row r="29" spans="1:24" hidden="1">
      <c r="A29" s="29"/>
      <c r="B29" s="5"/>
      <c r="C29" s="5"/>
      <c r="D29" s="6" t="str">
        <f t="shared" si="11"/>
        <v/>
      </c>
      <c r="E29" s="7"/>
      <c r="F29" s="7"/>
      <c r="G29" s="8" t="str">
        <f t="shared" si="12"/>
        <v/>
      </c>
      <c r="H29" s="7"/>
      <c r="I29" s="7"/>
      <c r="J29" s="9" t="str">
        <f t="shared" si="18"/>
        <v/>
      </c>
      <c r="K29" s="28"/>
      <c r="L29" s="28"/>
      <c r="M29" s="9" t="str">
        <f t="shared" si="19"/>
        <v/>
      </c>
      <c r="N29" s="7"/>
      <c r="O29" s="7"/>
      <c r="P29" s="9" t="str">
        <f t="shared" si="13"/>
        <v/>
      </c>
      <c r="Q29" s="7"/>
      <c r="R29" s="7"/>
      <c r="S29" s="7"/>
      <c r="T29" s="5"/>
      <c r="U29" s="10" t="str">
        <f t="shared" si="14"/>
        <v/>
      </c>
      <c r="V29" s="9" t="str">
        <f t="shared" si="15"/>
        <v/>
      </c>
      <c r="W29" s="11" t="str">
        <f t="shared" si="16"/>
        <v/>
      </c>
      <c r="X29" s="11" t="str">
        <f t="shared" si="17"/>
        <v/>
      </c>
    </row>
    <row r="30" spans="1:24" hidden="1">
      <c r="A30" s="29"/>
      <c r="B30" s="5"/>
      <c r="C30" s="5"/>
      <c r="D30" s="6" t="str">
        <f t="shared" si="11"/>
        <v/>
      </c>
      <c r="E30" s="7"/>
      <c r="F30" s="7"/>
      <c r="G30" s="8" t="str">
        <f t="shared" si="12"/>
        <v/>
      </c>
      <c r="H30" s="7"/>
      <c r="I30" s="7"/>
      <c r="J30" s="9" t="str">
        <f t="shared" si="18"/>
        <v/>
      </c>
      <c r="K30" s="28"/>
      <c r="L30" s="28"/>
      <c r="M30" s="9" t="str">
        <f t="shared" si="19"/>
        <v/>
      </c>
      <c r="N30" s="7"/>
      <c r="O30" s="15"/>
      <c r="P30" s="9" t="str">
        <f t="shared" si="13"/>
        <v/>
      </c>
      <c r="Q30" s="15"/>
      <c r="R30" s="7"/>
      <c r="S30" s="7"/>
      <c r="T30" s="5"/>
      <c r="U30" s="10" t="str">
        <f t="shared" si="14"/>
        <v/>
      </c>
      <c r="V30" s="9" t="str">
        <f t="shared" si="15"/>
        <v/>
      </c>
      <c r="W30" s="11" t="str">
        <f t="shared" si="16"/>
        <v/>
      </c>
      <c r="X30" s="11" t="str">
        <f t="shared" si="17"/>
        <v/>
      </c>
    </row>
    <row r="31" spans="1:24" hidden="1">
      <c r="A31" s="29"/>
      <c r="B31" s="5"/>
      <c r="C31" s="5"/>
      <c r="D31" s="6" t="str">
        <f t="shared" si="11"/>
        <v/>
      </c>
      <c r="E31" s="7"/>
      <c r="F31" s="7"/>
      <c r="G31" s="8" t="str">
        <f t="shared" si="12"/>
        <v/>
      </c>
      <c r="H31" s="7"/>
      <c r="I31" s="7"/>
      <c r="J31" s="9" t="str">
        <f t="shared" si="18"/>
        <v/>
      </c>
      <c r="K31" s="28"/>
      <c r="L31" s="28"/>
      <c r="M31" s="9" t="str">
        <f t="shared" si="19"/>
        <v/>
      </c>
      <c r="N31" s="7"/>
      <c r="O31" s="15"/>
      <c r="P31" s="9" t="str">
        <f t="shared" si="13"/>
        <v/>
      </c>
      <c r="Q31" s="15"/>
      <c r="R31" s="15"/>
      <c r="S31" s="7"/>
      <c r="T31" s="5"/>
      <c r="U31" s="10" t="str">
        <f t="shared" si="14"/>
        <v/>
      </c>
      <c r="V31" s="9" t="str">
        <f t="shared" si="15"/>
        <v/>
      </c>
      <c r="W31" s="11" t="str">
        <f t="shared" si="16"/>
        <v/>
      </c>
      <c r="X31" s="11" t="str">
        <f t="shared" si="17"/>
        <v/>
      </c>
    </row>
    <row r="32" spans="1:24" hidden="1">
      <c r="A32" s="29"/>
      <c r="B32" s="5"/>
      <c r="C32" s="5"/>
      <c r="D32" s="6" t="str">
        <f t="shared" si="11"/>
        <v/>
      </c>
      <c r="E32" s="7"/>
      <c r="F32" s="7"/>
      <c r="G32" s="8" t="str">
        <f t="shared" si="12"/>
        <v/>
      </c>
      <c r="H32" s="7"/>
      <c r="I32" s="7"/>
      <c r="J32" s="9" t="str">
        <f t="shared" si="18"/>
        <v/>
      </c>
      <c r="K32" s="28"/>
      <c r="L32" s="28"/>
      <c r="M32" s="9" t="str">
        <f t="shared" si="19"/>
        <v/>
      </c>
      <c r="N32" s="7"/>
      <c r="O32" s="15"/>
      <c r="P32" s="9" t="str">
        <f t="shared" si="13"/>
        <v/>
      </c>
      <c r="Q32" s="15"/>
      <c r="R32" s="7"/>
      <c r="S32" s="7"/>
      <c r="T32" s="5"/>
      <c r="U32" s="10" t="str">
        <f t="shared" si="14"/>
        <v/>
      </c>
      <c r="V32" s="9" t="str">
        <f t="shared" si="15"/>
        <v/>
      </c>
      <c r="W32" s="11" t="str">
        <f t="shared" si="16"/>
        <v/>
      </c>
      <c r="X32" s="11" t="str">
        <f t="shared" si="17"/>
        <v/>
      </c>
    </row>
    <row r="33" spans="1:24" hidden="1">
      <c r="A33" s="29"/>
      <c r="B33" s="5"/>
      <c r="C33" s="5"/>
      <c r="D33" s="6" t="str">
        <f t="shared" si="11"/>
        <v/>
      </c>
      <c r="E33" s="7"/>
      <c r="F33" s="7"/>
      <c r="G33" s="8" t="str">
        <f t="shared" si="12"/>
        <v/>
      </c>
      <c r="H33" s="7"/>
      <c r="I33" s="7"/>
      <c r="J33" s="9" t="str">
        <f t="shared" si="18"/>
        <v/>
      </c>
      <c r="K33" s="28"/>
      <c r="L33" s="28"/>
      <c r="M33" s="9" t="str">
        <f t="shared" si="19"/>
        <v/>
      </c>
      <c r="N33" s="7"/>
      <c r="O33" s="15"/>
      <c r="P33" s="9" t="str">
        <f t="shared" si="13"/>
        <v/>
      </c>
      <c r="Q33" s="15"/>
      <c r="R33" s="7"/>
      <c r="S33" s="7"/>
      <c r="T33" s="5"/>
      <c r="U33" s="10" t="str">
        <f t="shared" si="14"/>
        <v/>
      </c>
      <c r="V33" s="9" t="str">
        <f t="shared" si="15"/>
        <v/>
      </c>
      <c r="W33" s="11" t="str">
        <f t="shared" si="16"/>
        <v/>
      </c>
      <c r="X33" s="11" t="str">
        <f t="shared" si="17"/>
        <v/>
      </c>
    </row>
    <row r="34" spans="1:24" hidden="1">
      <c r="A34" s="29"/>
      <c r="B34" s="5"/>
      <c r="C34" s="5"/>
      <c r="D34" s="6" t="str">
        <f t="shared" si="11"/>
        <v/>
      </c>
      <c r="E34" s="7"/>
      <c r="F34" s="7"/>
      <c r="G34" s="8" t="str">
        <f t="shared" si="12"/>
        <v/>
      </c>
      <c r="H34" s="7"/>
      <c r="I34" s="7"/>
      <c r="J34" s="9" t="str">
        <f t="shared" si="18"/>
        <v/>
      </c>
      <c r="K34" s="28"/>
      <c r="L34" s="28"/>
      <c r="M34" s="9" t="str">
        <f t="shared" si="19"/>
        <v/>
      </c>
      <c r="N34" s="7"/>
      <c r="O34" s="15"/>
      <c r="P34" s="9" t="str">
        <f t="shared" si="13"/>
        <v/>
      </c>
      <c r="Q34" s="15"/>
      <c r="R34" s="7"/>
      <c r="S34" s="7"/>
      <c r="T34" s="5"/>
      <c r="U34" s="10" t="str">
        <f t="shared" si="14"/>
        <v/>
      </c>
      <c r="V34" s="9" t="str">
        <f t="shared" si="15"/>
        <v/>
      </c>
      <c r="W34" s="11" t="str">
        <f t="shared" si="16"/>
        <v/>
      </c>
      <c r="X34" s="11" t="str">
        <f t="shared" si="17"/>
        <v/>
      </c>
    </row>
    <row r="35" spans="1:24" hidden="1">
      <c r="A35" s="29"/>
      <c r="B35" s="5"/>
      <c r="C35" s="5"/>
      <c r="D35" s="6" t="str">
        <f t="shared" si="11"/>
        <v/>
      </c>
      <c r="E35" s="7"/>
      <c r="F35" s="7"/>
      <c r="G35" s="8" t="str">
        <f t="shared" si="12"/>
        <v/>
      </c>
      <c r="H35" s="7"/>
      <c r="I35" s="7"/>
      <c r="J35" s="9" t="str">
        <f t="shared" si="18"/>
        <v/>
      </c>
      <c r="K35" s="28"/>
      <c r="L35" s="28"/>
      <c r="M35" s="9" t="str">
        <f t="shared" si="19"/>
        <v/>
      </c>
      <c r="N35" s="7"/>
      <c r="O35" s="15"/>
      <c r="P35" s="9" t="str">
        <f t="shared" si="13"/>
        <v/>
      </c>
      <c r="Q35" s="15"/>
      <c r="R35" s="7"/>
      <c r="S35" s="7"/>
      <c r="T35" s="5"/>
      <c r="U35" s="10" t="str">
        <f t="shared" si="14"/>
        <v/>
      </c>
      <c r="V35" s="9" t="str">
        <f t="shared" si="15"/>
        <v/>
      </c>
      <c r="W35" s="11" t="str">
        <f t="shared" si="16"/>
        <v/>
      </c>
      <c r="X35" s="11" t="str">
        <f t="shared" si="17"/>
        <v/>
      </c>
    </row>
    <row r="36" spans="1:24" hidden="1">
      <c r="A36" s="29"/>
      <c r="B36" s="5"/>
      <c r="C36" s="5"/>
      <c r="D36" s="6" t="str">
        <f t="shared" si="11"/>
        <v/>
      </c>
      <c r="E36" s="7"/>
      <c r="F36" s="7"/>
      <c r="G36" s="8" t="str">
        <f t="shared" si="12"/>
        <v/>
      </c>
      <c r="H36" s="7"/>
      <c r="I36" s="7"/>
      <c r="J36" s="9" t="str">
        <f t="shared" si="18"/>
        <v/>
      </c>
      <c r="K36" s="28"/>
      <c r="L36" s="28"/>
      <c r="M36" s="9" t="str">
        <f t="shared" si="19"/>
        <v/>
      </c>
      <c r="N36" s="7"/>
      <c r="O36" s="15"/>
      <c r="P36" s="9" t="str">
        <f t="shared" si="13"/>
        <v/>
      </c>
      <c r="Q36" s="15"/>
      <c r="R36" s="7"/>
      <c r="S36" s="7"/>
      <c r="T36" s="5"/>
      <c r="U36" s="10" t="str">
        <f t="shared" si="14"/>
        <v/>
      </c>
      <c r="V36" s="9" t="str">
        <f t="shared" si="15"/>
        <v/>
      </c>
      <c r="W36" s="11" t="str">
        <f t="shared" si="16"/>
        <v/>
      </c>
      <c r="X36" s="11" t="str">
        <f t="shared" si="17"/>
        <v/>
      </c>
    </row>
    <row r="37" spans="1:24" ht="15" hidden="1" thickBot="1">
      <c r="A37" s="29"/>
      <c r="B37" s="5"/>
      <c r="C37" s="5"/>
      <c r="D37" s="6" t="str">
        <f t="shared" si="11"/>
        <v/>
      </c>
      <c r="E37" s="7"/>
      <c r="F37" s="7"/>
      <c r="G37" s="8" t="str">
        <f t="shared" si="12"/>
        <v/>
      </c>
      <c r="H37" s="7"/>
      <c r="I37" s="7"/>
      <c r="J37" s="9" t="str">
        <f t="shared" si="18"/>
        <v/>
      </c>
      <c r="K37" s="28"/>
      <c r="L37" s="28"/>
      <c r="M37" s="9" t="str">
        <f t="shared" si="19"/>
        <v/>
      </c>
      <c r="N37" s="7"/>
      <c r="O37" s="15"/>
      <c r="P37" s="9" t="str">
        <f t="shared" si="13"/>
        <v/>
      </c>
      <c r="Q37" s="7"/>
      <c r="R37" s="7"/>
      <c r="S37" s="7"/>
      <c r="T37" s="5"/>
      <c r="U37" s="10" t="str">
        <f t="shared" si="14"/>
        <v/>
      </c>
      <c r="V37" s="9" t="str">
        <f t="shared" si="15"/>
        <v/>
      </c>
      <c r="W37" s="11" t="str">
        <f t="shared" si="16"/>
        <v/>
      </c>
      <c r="X37" s="11" t="str">
        <f t="shared" si="17"/>
        <v/>
      </c>
    </row>
    <row r="38" spans="1:24" s="43" customFormat="1" ht="18.600000000000001" thickBot="1">
      <c r="A38" s="31"/>
      <c r="B38" s="32" t="s">
        <v>42</v>
      </c>
      <c r="C38" s="32"/>
      <c r="D38" s="33">
        <f>SUM(D3:D37)</f>
        <v>19003.000000010943</v>
      </c>
      <c r="E38" s="33">
        <f>SUM(E3:E37)</f>
        <v>352</v>
      </c>
      <c r="F38" s="33">
        <f>SUM(F3:F37)</f>
        <v>530</v>
      </c>
      <c r="G38" s="33">
        <f>SUM(G3:G37)</f>
        <v>178</v>
      </c>
      <c r="H38" s="33">
        <f>SUM(H2:H37)</f>
        <v>2850</v>
      </c>
      <c r="I38" s="33">
        <f>SUM(I3:I37)</f>
        <v>1080</v>
      </c>
      <c r="J38" s="34">
        <f>(D38-G38-H38-I38)/D38</f>
        <v>0.78382360679905094</v>
      </c>
      <c r="K38" s="35">
        <f>SUM(K3:K37)</f>
        <v>15</v>
      </c>
      <c r="L38" s="35">
        <f>SUM(L3:L37)</f>
        <v>967</v>
      </c>
      <c r="M38" s="36">
        <f>(D38-G38-H38-I38-E38-K38-L38)/D38</f>
        <v>0.71362416460575351</v>
      </c>
      <c r="N38" s="37">
        <f>AVERAGE(N3:N37)</f>
        <v>17000</v>
      </c>
      <c r="O38" s="38">
        <f>AVERAGE(O3:O37)</f>
        <v>16619.471586614447</v>
      </c>
      <c r="P38" s="34">
        <f>O38/N38</f>
        <v>0.9776159756832028</v>
      </c>
      <c r="Q38" s="37">
        <f>SUM(Q3:Q35)</f>
        <v>110797</v>
      </c>
      <c r="R38" s="37"/>
      <c r="S38" s="32"/>
      <c r="T38" s="32"/>
      <c r="U38" s="39"/>
      <c r="V38" s="40">
        <f>AVERAGE(V3:V37)</f>
        <v>0.97588896628832278</v>
      </c>
      <c r="W38" s="41">
        <f>V38*P38*J38</f>
        <v>0.74780271385756958</v>
      </c>
      <c r="X38" s="42">
        <f>V38*P38*M38</f>
        <v>0.68082931202572905</v>
      </c>
    </row>
    <row r="39" spans="1:24" ht="28.9">
      <c r="Q39" s="67"/>
      <c r="R39" s="67"/>
      <c r="S39" s="44"/>
      <c r="T39" s="45"/>
      <c r="U39" s="22"/>
      <c r="V39" s="16"/>
    </row>
    <row r="40" spans="1:24" ht="28.9">
      <c r="C40" t="s">
        <v>113</v>
      </c>
      <c r="Q40" s="22"/>
      <c r="R40" s="22"/>
      <c r="S40" s="22"/>
      <c r="T40" s="22"/>
      <c r="U40" s="22"/>
    </row>
    <row r="41" spans="1:24" ht="28.9">
      <c r="Q41" s="22"/>
      <c r="R41" s="69"/>
      <c r="S41" s="69"/>
      <c r="T41" s="46"/>
      <c r="U41" s="22"/>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19" t="s">
        <v>44</v>
      </c>
      <c r="E46" s="19" t="s">
        <v>45</v>
      </c>
    </row>
    <row r="47" spans="1:24">
      <c r="C47" s="4" t="s">
        <v>46</v>
      </c>
      <c r="D47" s="16">
        <f>W38</f>
        <v>0.74780271385756958</v>
      </c>
      <c r="E47" s="18">
        <f>100%-D47</f>
        <v>0.25219728614243042</v>
      </c>
    </row>
    <row r="48" spans="1:24">
      <c r="C48" s="4" t="s">
        <v>140</v>
      </c>
      <c r="D48" s="16">
        <f>J38</f>
        <v>0.78382360679905094</v>
      </c>
      <c r="E48" s="18">
        <f>100%-D48</f>
        <v>0.21617639320094906</v>
      </c>
    </row>
    <row r="49" spans="3:5">
      <c r="C49" s="4" t="s">
        <v>17</v>
      </c>
      <c r="D49" s="16">
        <f>P38</f>
        <v>0.9776159756832028</v>
      </c>
      <c r="E49" s="18">
        <f>100%-D49</f>
        <v>2.2384024316797202E-2</v>
      </c>
    </row>
    <row r="50" spans="3:5">
      <c r="C50" s="4" t="str">
        <f>V2</f>
        <v>Quality</v>
      </c>
      <c r="D50" s="16">
        <f>V38</f>
        <v>0.97588896628832278</v>
      </c>
      <c r="E50" s="18">
        <f>100%-D50</f>
        <v>2.4111033711677221E-2</v>
      </c>
    </row>
  </sheetData>
  <mergeCells count="2">
    <mergeCell ref="Q39:R39"/>
    <mergeCell ref="R41:S41"/>
  </mergeCells>
  <pageMargins left="0.7" right="0.7" top="0.75" bottom="0.75" header="0.3" footer="0.3"/>
  <pageSetup paperSize="5" scale="4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X50"/>
  <sheetViews>
    <sheetView topLeftCell="D10" zoomScale="98" zoomScaleNormal="98" workbookViewId="0">
      <selection activeCell="AA16" sqref="AA16"/>
    </sheetView>
  </sheetViews>
  <sheetFormatPr defaultColWidth="9.140625" defaultRowHeight="14.45"/>
  <cols>
    <col min="1" max="1" width="78.85546875"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8" max="18" width="9.140625" bestFit="1"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141</v>
      </c>
      <c r="B3" s="5">
        <v>45931</v>
      </c>
      <c r="C3" s="5">
        <v>45932</v>
      </c>
      <c r="D3" s="6">
        <f t="shared" ref="D3:D37" si="0">IF(B3="","",(C3-B3)*24*60)</f>
        <v>1440</v>
      </c>
      <c r="E3" s="7">
        <f>10+100</f>
        <v>110</v>
      </c>
      <c r="F3" s="7">
        <v>98</v>
      </c>
      <c r="G3" s="8">
        <f t="shared" ref="G3:G37" si="1">IF(E3="","",F3-E3)</f>
        <v>-12</v>
      </c>
      <c r="H3" s="7">
        <f>5+8+6+6+9+5+14+5+8+6+10+12+6</f>
        <v>100</v>
      </c>
      <c r="I3" s="7">
        <f>3+4+3+3+3+1+3+3+3+2+4+1+4+3+2+2+3+3+2+2+4+4+2+4+2+3+4+4</f>
        <v>81</v>
      </c>
      <c r="J3" s="9">
        <f>IF(B3="","",(D3-G3-H3-I3)/D3)</f>
        <v>0.88263888888888886</v>
      </c>
      <c r="K3" s="28"/>
      <c r="L3" s="28">
        <f>4+4+3+2+2+3+2+4+4+9+1+22+2+3+4+16+4</f>
        <v>89</v>
      </c>
      <c r="M3" s="9">
        <f>IF(B3="","",(D3-G3-H3-I3-K3-L3-E3)/D3)</f>
        <v>0.74444444444444446</v>
      </c>
      <c r="N3" s="7">
        <v>17000</v>
      </c>
      <c r="O3" s="15">
        <f>AVERAGE(17000,17000,17000,17000,17000,17000,17000,17000,17000,17000,16000,16000,16000,16000,16000,16000,16000,17000,16000,16000,16000,16000,16000)</f>
        <v>16478.260869565216</v>
      </c>
      <c r="P3" s="9">
        <f t="shared" ref="P3:P37" si="2">IF(B3="","",O3/N3)</f>
        <v>0.96930946291560094</v>
      </c>
      <c r="Q3" s="7">
        <v>9018</v>
      </c>
      <c r="R3" s="7">
        <v>46</v>
      </c>
      <c r="S3" s="7"/>
      <c r="T3" s="5"/>
      <c r="U3" s="10" t="str">
        <f>IF(S3="","",(T3-C3))</f>
        <v/>
      </c>
      <c r="V3" s="9">
        <f>IF(B3="","",IF(U3&lt;3,(Q3-R3)/Q3,(Q3-R3-S3)/Q3))</f>
        <v>0.99489909070747395</v>
      </c>
      <c r="W3" s="11">
        <f>IF(B3="","",V3*P3*J3)</f>
        <v>0.851186143232464</v>
      </c>
      <c r="X3" s="11">
        <f>IF(B3="","",V3*P3*M3)</f>
        <v>0.7179162435446117</v>
      </c>
    </row>
    <row r="4" spans="1:24">
      <c r="A4" s="27" t="s">
        <v>142</v>
      </c>
      <c r="B4" s="5">
        <v>45932</v>
      </c>
      <c r="C4" s="5">
        <v>45933</v>
      </c>
      <c r="D4" s="6">
        <f t="shared" si="0"/>
        <v>1440</v>
      </c>
      <c r="E4" s="7">
        <f>30+45</f>
        <v>75</v>
      </c>
      <c r="F4" s="7">
        <v>94</v>
      </c>
      <c r="G4" s="8">
        <f t="shared" si="1"/>
        <v>19</v>
      </c>
      <c r="H4" s="7">
        <f>6+41+20+7+5+9+7+5+10+8</f>
        <v>118</v>
      </c>
      <c r="I4" s="7">
        <f>3+2+3+4+3+2+3+4+1+1+1+2+1+1+1+1+3+2+3+2+2+4+4+4+2+3+4+2+2+2+4+4+3</f>
        <v>83</v>
      </c>
      <c r="J4" s="9">
        <f t="shared" ref="J4:J37" si="3">IF(B4="","",(D4-G4-H4-I4)/D4)</f>
        <v>0.84722222222222221</v>
      </c>
      <c r="K4" s="28"/>
      <c r="L4" s="28">
        <v>10</v>
      </c>
      <c r="M4" s="9">
        <f t="shared" ref="M4:M37" si="4">IF(B4="","",(D4-G4-H4-I4-K4-L4-E4)/D4)</f>
        <v>0.78819444444444442</v>
      </c>
      <c r="N4" s="7">
        <v>17000</v>
      </c>
      <c r="O4" s="15">
        <f>AVERAGE(17000,17000,17000,17000,17000,17000,16000,18000,15600,15700,15800,15800,15700,15700,15700,17000,17000,17000)</f>
        <v>16500</v>
      </c>
      <c r="P4" s="9">
        <f t="shared" si="2"/>
        <v>0.97058823529411764</v>
      </c>
      <c r="Q4" s="7">
        <v>9848</v>
      </c>
      <c r="R4" s="7">
        <v>13</v>
      </c>
      <c r="S4" s="7">
        <v>12</v>
      </c>
      <c r="T4" s="5"/>
      <c r="U4" s="10">
        <f t="shared" ref="U4:U37" si="5">IF(S4="","",(T4-C4))</f>
        <v>-45933</v>
      </c>
      <c r="V4" s="9">
        <f t="shared" ref="V4:V37" si="6">IF(B4="","",IF(U4&lt;3,(Q4-R4)/Q4,(Q4-R4-S4)/Q4))</f>
        <v>0.99867993501218522</v>
      </c>
      <c r="W4" s="11">
        <f t="shared" ref="W4:W37" si="7">IF(B4="","",V4*P4*J4)</f>
        <v>0.82121842695242198</v>
      </c>
      <c r="X4" s="11">
        <f t="shared" ref="X4:X37" si="8">IF(B4="","",V4*P4*M4)</f>
        <v>0.76400238900901551</v>
      </c>
    </row>
    <row r="5" spans="1:24">
      <c r="A5" s="29" t="s">
        <v>143</v>
      </c>
      <c r="B5" s="5">
        <v>45933.005555555559</v>
      </c>
      <c r="C5" s="5">
        <v>45933.845833333333</v>
      </c>
      <c r="D5" s="6">
        <f t="shared" si="0"/>
        <v>1209.9999999941792</v>
      </c>
      <c r="E5" s="7">
        <f>7+60</f>
        <v>67</v>
      </c>
      <c r="F5" s="7">
        <v>13</v>
      </c>
      <c r="G5" s="8">
        <f t="shared" si="1"/>
        <v>-54</v>
      </c>
      <c r="H5" s="7">
        <f>6+5+7+7+6+7+5+6+5+8+9+8+14</f>
        <v>93</v>
      </c>
      <c r="I5" s="7">
        <f>1+1+1+4+4+3+3+4+4+3+3+2+4+4+4+3+2+2</f>
        <v>52</v>
      </c>
      <c r="J5" s="9">
        <f t="shared" si="3"/>
        <v>0.9247933884293903</v>
      </c>
      <c r="K5" s="28"/>
      <c r="L5" s="28">
        <f>3+5+5+4+7+60+22+4+4+3+60+60+60+60+60</f>
        <v>417</v>
      </c>
      <c r="M5" s="9">
        <f t="shared" si="4"/>
        <v>0.52479338842746603</v>
      </c>
      <c r="N5" s="7">
        <v>17000</v>
      </c>
      <c r="O5" s="15">
        <f>AVERAGE(17000,17000,17000,17000,16000,16000,16000,16000,17000,17000,17000)</f>
        <v>16636.363636363636</v>
      </c>
      <c r="P5" s="9">
        <f t="shared" si="2"/>
        <v>0.97860962566844922</v>
      </c>
      <c r="Q5" s="7">
        <v>4477</v>
      </c>
      <c r="R5" s="7">
        <v>39</v>
      </c>
      <c r="S5" s="7">
        <f>144+274</f>
        <v>418</v>
      </c>
      <c r="T5" s="5">
        <v>45937.120138888888</v>
      </c>
      <c r="U5" s="10">
        <f t="shared" si="5"/>
        <v>3.2743055555547471</v>
      </c>
      <c r="V5" s="9">
        <f t="shared" si="6"/>
        <v>0.89792271610453434</v>
      </c>
      <c r="W5" s="11">
        <f t="shared" si="7"/>
        <v>0.8126305742505251</v>
      </c>
      <c r="X5" s="11">
        <f t="shared" si="8"/>
        <v>0.46114424901433199</v>
      </c>
    </row>
    <row r="6" spans="1:24">
      <c r="A6" s="27" t="s">
        <v>144</v>
      </c>
      <c r="B6" s="5">
        <v>45936.385416666664</v>
      </c>
      <c r="C6" s="5">
        <v>45936.914583333331</v>
      </c>
      <c r="D6" s="6">
        <f>IF(B6="","",(C6-B6)*24*60)</f>
        <v>762.00000000069849</v>
      </c>
      <c r="E6" s="7">
        <v>60</v>
      </c>
      <c r="F6" s="7">
        <v>84</v>
      </c>
      <c r="G6" s="8">
        <f>IF(E6="","",F6-E6)</f>
        <v>24</v>
      </c>
      <c r="H6" s="7">
        <f>8+13+12+5+5</f>
        <v>43</v>
      </c>
      <c r="I6" s="7">
        <f>4+4+4+4+3+4+4+4+2+3+1+2+2+2+1+2+2+1</f>
        <v>49</v>
      </c>
      <c r="J6" s="9">
        <f>IF(B6="","",(D6-G6-H6-I6)/D6)</f>
        <v>0.84776902887153061</v>
      </c>
      <c r="K6" s="28"/>
      <c r="L6" s="28">
        <f>23+12+4+6+11+19</f>
        <v>75</v>
      </c>
      <c r="M6" s="9">
        <f>IF(B6="","",(D6-G6-H6-I6-K6-L6-E6)/D6)</f>
        <v>0.67060367454098435</v>
      </c>
      <c r="N6" s="7">
        <v>17000</v>
      </c>
      <c r="O6" s="15">
        <f>AVERAGE(17000,16000,16000,16000,16000,15000,15000,16700,16700,15700)</f>
        <v>16010</v>
      </c>
      <c r="P6" s="9">
        <f>IF(B6="","",O6/N6)</f>
        <v>0.94176470588235295</v>
      </c>
      <c r="Q6" s="7">
        <v>3894</v>
      </c>
      <c r="R6" s="7">
        <v>10</v>
      </c>
      <c r="S6" s="7">
        <v>210</v>
      </c>
      <c r="T6" s="5">
        <v>45933.462500000001</v>
      </c>
      <c r="U6" s="10">
        <f>IF(S6="","",(T6-C6))</f>
        <v>-3.4520833333299379</v>
      </c>
      <c r="V6" s="9">
        <f>IF(B6="","",IF(U6&lt;3,(Q6-R6)/Q6,(Q6-R6-S6)/Q6))</f>
        <v>0.99743194658448897</v>
      </c>
      <c r="W6" s="11">
        <f>IF(B6="","",V6*P6*J6)</f>
        <v>0.79634861898053966</v>
      </c>
      <c r="X6" s="11">
        <f>IF(B6="","",V6*P6*M6)</f>
        <v>0.62992901594299078</v>
      </c>
    </row>
    <row r="7" spans="1:24">
      <c r="A7" s="29" t="s">
        <v>49</v>
      </c>
      <c r="B7" s="5">
        <v>45937.338888888888</v>
      </c>
      <c r="C7" s="5">
        <v>45937.90902777778</v>
      </c>
      <c r="D7" s="6">
        <f t="shared" si="0"/>
        <v>821.00000000442378</v>
      </c>
      <c r="E7" s="7">
        <v>10</v>
      </c>
      <c r="F7" s="7">
        <v>14</v>
      </c>
      <c r="G7" s="8">
        <f t="shared" si="1"/>
        <v>4</v>
      </c>
      <c r="H7" s="7">
        <f>13+5+22+60+60+60+16+12</f>
        <v>248</v>
      </c>
      <c r="I7" s="7">
        <f>4+2+4+2+1+1+1+2+1+2+2+2+4+1+2</f>
        <v>31</v>
      </c>
      <c r="J7" s="9">
        <f t="shared" si="3"/>
        <v>0.65529841656702181</v>
      </c>
      <c r="K7" s="28"/>
      <c r="L7" s="28">
        <f>10+5+3+5+6</f>
        <v>29</v>
      </c>
      <c r="M7" s="9">
        <f t="shared" si="4"/>
        <v>0.60779537150028629</v>
      </c>
      <c r="N7" s="7">
        <v>17000</v>
      </c>
      <c r="O7" s="15">
        <f>AVERAGE(17000,17000,16000,15900,15000,15000,15000,15000)</f>
        <v>15737.5</v>
      </c>
      <c r="P7" s="9">
        <f t="shared" si="2"/>
        <v>0.9257352941176471</v>
      </c>
      <c r="Q7" s="15">
        <v>4545</v>
      </c>
      <c r="R7" s="15">
        <v>28</v>
      </c>
      <c r="S7" s="7"/>
      <c r="T7" s="5"/>
      <c r="U7" s="10" t="str">
        <f t="shared" si="5"/>
        <v/>
      </c>
      <c r="V7" s="9">
        <f t="shared" si="6"/>
        <v>0.99383938393839388</v>
      </c>
      <c r="W7" s="11">
        <f t="shared" si="7"/>
        <v>0.60289564017832231</v>
      </c>
      <c r="X7" s="11">
        <f t="shared" si="8"/>
        <v>0.55919130938508588</v>
      </c>
    </row>
    <row r="8" spans="1:24">
      <c r="A8" s="29" t="s">
        <v>83</v>
      </c>
      <c r="B8" s="5">
        <v>45938.34375</v>
      </c>
      <c r="C8" s="5">
        <v>45938.916666666664</v>
      </c>
      <c r="D8" s="6">
        <f t="shared" si="0"/>
        <v>824.99999999650754</v>
      </c>
      <c r="E8" s="7">
        <v>25</v>
      </c>
      <c r="F8" s="7">
        <v>10</v>
      </c>
      <c r="G8" s="8">
        <f t="shared" si="1"/>
        <v>-15</v>
      </c>
      <c r="H8" s="7">
        <f>6+6+9+12+9+6</f>
        <v>48</v>
      </c>
      <c r="I8" s="47">
        <f>2+2+1+3+2+2+1+1+1+3+1+1+2+1+1+2+1+1+4+4+3</f>
        <v>39</v>
      </c>
      <c r="J8" s="9">
        <f t="shared" si="3"/>
        <v>0.91272727272690324</v>
      </c>
      <c r="K8" s="28"/>
      <c r="L8" s="28">
        <f>2+2+40+3+1+6</f>
        <v>54</v>
      </c>
      <c r="M8" s="9">
        <f t="shared" si="4"/>
        <v>0.81696969696892219</v>
      </c>
      <c r="N8" s="7">
        <v>17000</v>
      </c>
      <c r="O8" s="15">
        <f>AVERAGE(17000,17000,17000,17000,17000,17000,16000,16000,15000,15000,15000)</f>
        <v>16272.727272727272</v>
      </c>
      <c r="P8" s="9">
        <f t="shared" si="2"/>
        <v>0.95721925133689834</v>
      </c>
      <c r="Q8" s="15">
        <v>6188</v>
      </c>
      <c r="R8" s="15">
        <v>31</v>
      </c>
      <c r="S8" s="7"/>
      <c r="T8" s="5"/>
      <c r="U8" s="10" t="str">
        <f t="shared" si="5"/>
        <v/>
      </c>
      <c r="V8" s="9">
        <f t="shared" si="6"/>
        <v>0.99499030381383324</v>
      </c>
      <c r="W8" s="11">
        <f t="shared" si="7"/>
        <v>0.86930324472598186</v>
      </c>
      <c r="X8" s="11">
        <f t="shared" si="8"/>
        <v>0.77810144348604682</v>
      </c>
    </row>
    <row r="9" spans="1:24">
      <c r="A9" s="29" t="s">
        <v>145</v>
      </c>
      <c r="B9" s="5">
        <v>45939.334722222222</v>
      </c>
      <c r="C9" s="5">
        <v>45939.913888888892</v>
      </c>
      <c r="D9" s="6">
        <f t="shared" si="0"/>
        <v>834.00000000488944</v>
      </c>
      <c r="E9" s="7">
        <v>120</v>
      </c>
      <c r="F9" s="7">
        <v>147</v>
      </c>
      <c r="G9" s="8">
        <f t="shared" si="1"/>
        <v>27</v>
      </c>
      <c r="H9" s="7">
        <f>5+5+25+10+8+5+18+7+12+5</f>
        <v>100</v>
      </c>
      <c r="I9" s="7">
        <f>2+2+1+3+4+4+1+4+4+4+4+4+1+3+3+1+2+1+2+3+3+3+2+2+4+3+3</f>
        <v>73</v>
      </c>
      <c r="J9" s="9">
        <f t="shared" si="3"/>
        <v>0.7601918465241877</v>
      </c>
      <c r="K9" s="28"/>
      <c r="L9" s="28">
        <f>9+4+10+48+11+9</f>
        <v>91</v>
      </c>
      <c r="M9" s="9">
        <f t="shared" si="4"/>
        <v>0.50719424460720564</v>
      </c>
      <c r="N9" s="7">
        <v>17000</v>
      </c>
      <c r="O9" s="15">
        <f>AVERAGE(17000,17000,17000,17000,13500,14000,14000,14000)</f>
        <v>15437.5</v>
      </c>
      <c r="P9" s="9">
        <f t="shared" si="2"/>
        <v>0.90808823529411764</v>
      </c>
      <c r="Q9" s="15">
        <v>2988</v>
      </c>
      <c r="R9" s="15">
        <v>47</v>
      </c>
      <c r="S9" s="7"/>
      <c r="T9" s="5"/>
      <c r="U9" s="10" t="str">
        <f t="shared" si="5"/>
        <v/>
      </c>
      <c r="V9" s="9">
        <f t="shared" si="6"/>
        <v>0.98427041499330659</v>
      </c>
      <c r="W9" s="11">
        <f t="shared" si="7"/>
        <v>0.67946280525905844</v>
      </c>
      <c r="X9" s="11">
        <f t="shared" si="8"/>
        <v>0.45333243947269297</v>
      </c>
    </row>
    <row r="10" spans="1:24">
      <c r="A10" s="29" t="s">
        <v>146</v>
      </c>
      <c r="B10" s="5">
        <v>45940.395833333336</v>
      </c>
      <c r="C10" s="5">
        <v>45940.834722222222</v>
      </c>
      <c r="D10" s="6">
        <f>IF(B10="","",(C10-B10)*24*60)</f>
        <v>631.99999999604188</v>
      </c>
      <c r="E10" s="7">
        <v>20</v>
      </c>
      <c r="F10" s="7">
        <v>26</v>
      </c>
      <c r="G10" s="8">
        <f t="shared" si="1"/>
        <v>6</v>
      </c>
      <c r="H10" s="7">
        <f>10+5+5</f>
        <v>20</v>
      </c>
      <c r="I10" s="7">
        <f>2+1+4+4+1+4+4+1+4+2+4+2+2+2+3+3</f>
        <v>43</v>
      </c>
      <c r="J10" s="9">
        <f t="shared" si="3"/>
        <v>0.89082278480944277</v>
      </c>
      <c r="K10" s="28"/>
      <c r="L10" s="28">
        <f>13+22+58+60+18</f>
        <v>171</v>
      </c>
      <c r="M10" s="9">
        <f>IF(B10="","",(D10-G10-H10-I10-K10-L10-E10)/D10)</f>
        <v>0.58860759493413239</v>
      </c>
      <c r="N10" s="7">
        <v>17000</v>
      </c>
      <c r="O10" s="15">
        <f>AVERAGE(14500,14500,14500,15000,15000,15000,15000)</f>
        <v>14785.714285714286</v>
      </c>
      <c r="P10" s="9">
        <f t="shared" si="2"/>
        <v>0.86974789915966388</v>
      </c>
      <c r="Q10" s="15">
        <v>2589</v>
      </c>
      <c r="R10" s="15">
        <v>62</v>
      </c>
      <c r="S10" s="7">
        <v>95</v>
      </c>
      <c r="T10" s="5">
        <v>45943.024305555555</v>
      </c>
      <c r="U10" s="10">
        <f t="shared" si="5"/>
        <v>2.1895833333328483</v>
      </c>
      <c r="V10" s="9">
        <f t="shared" si="6"/>
        <v>0.97605252993433755</v>
      </c>
      <c r="W10" s="11">
        <f t="shared" si="7"/>
        <v>0.75623695545015379</v>
      </c>
      <c r="X10" s="11">
        <f t="shared" si="8"/>
        <v>0.4996805460505182</v>
      </c>
    </row>
    <row r="11" spans="1:24">
      <c r="A11" s="29" t="s">
        <v>147</v>
      </c>
      <c r="B11" s="5">
        <v>45943.822916666664</v>
      </c>
      <c r="C11" s="5">
        <v>45944</v>
      </c>
      <c r="D11" s="6">
        <f t="shared" si="0"/>
        <v>255.00000000349246</v>
      </c>
      <c r="E11" s="7">
        <v>0</v>
      </c>
      <c r="F11" s="7">
        <v>0</v>
      </c>
      <c r="G11" s="8">
        <f t="shared" si="1"/>
        <v>0</v>
      </c>
      <c r="H11" s="7">
        <f>7+11</f>
        <v>18</v>
      </c>
      <c r="I11" s="7">
        <f>3+3+2+1</f>
        <v>9</v>
      </c>
      <c r="J11" s="9">
        <f t="shared" si="3"/>
        <v>0.89411764706027363</v>
      </c>
      <c r="K11" s="28"/>
      <c r="L11" s="28">
        <v>46</v>
      </c>
      <c r="M11" s="9">
        <f>IF(B11="","",(D11-G11-H11-I11-K11-L11-E11)/D11)</f>
        <v>0.7137254901999992</v>
      </c>
      <c r="N11" s="7">
        <v>17000</v>
      </c>
      <c r="O11" s="15">
        <f>AVERAGE(11000,11000,11000)</f>
        <v>11000</v>
      </c>
      <c r="P11" s="9">
        <f t="shared" si="2"/>
        <v>0.6470588235294118</v>
      </c>
      <c r="Q11" s="15">
        <v>984</v>
      </c>
      <c r="R11" s="15">
        <v>4</v>
      </c>
      <c r="S11" s="7"/>
      <c r="T11" s="5"/>
      <c r="U11" s="10" t="str">
        <f t="shared" si="5"/>
        <v/>
      </c>
      <c r="V11" s="9">
        <f t="shared" si="6"/>
        <v>0.99593495934959353</v>
      </c>
      <c r="W11" s="11">
        <f t="shared" si="7"/>
        <v>0.57619489689800041</v>
      </c>
      <c r="X11" s="11">
        <f t="shared" si="8"/>
        <v>0.45994504928000912</v>
      </c>
    </row>
    <row r="12" spans="1:24">
      <c r="A12" s="29" t="s">
        <v>148</v>
      </c>
      <c r="B12" s="5">
        <v>45944</v>
      </c>
      <c r="C12" s="5">
        <v>45945</v>
      </c>
      <c r="D12" s="6">
        <f t="shared" si="0"/>
        <v>1440</v>
      </c>
      <c r="E12" s="7">
        <f>100+20</f>
        <v>120</v>
      </c>
      <c r="F12" s="7">
        <v>91</v>
      </c>
      <c r="G12" s="8">
        <f t="shared" si="1"/>
        <v>-29</v>
      </c>
      <c r="H12" s="7">
        <f>8+5+6+5+6+9+6+6+9+35+30+38+10+7+6</f>
        <v>186</v>
      </c>
      <c r="I12" s="7">
        <f>2+4+2+2+2+2+4+3+3+4+3+3+1+2+4+4+3+2+4+2+4+3+1+2+2+3+1+3+2</f>
        <v>77</v>
      </c>
      <c r="J12" s="9">
        <f t="shared" si="3"/>
        <v>0.83750000000000002</v>
      </c>
      <c r="K12" s="28"/>
      <c r="L12" s="28">
        <f>35+35+16+34+4+10+2+2</f>
        <v>138</v>
      </c>
      <c r="M12" s="9">
        <f t="shared" si="4"/>
        <v>0.65833333333333333</v>
      </c>
      <c r="N12" s="7">
        <v>17000</v>
      </c>
      <c r="O12" s="15">
        <f>AVERAGE(11000,11000,7500,7500,9100,9100,11000,16000,17000,17000,17000,17000,17000,17000,16000)</f>
        <v>13346.666666666666</v>
      </c>
      <c r="P12" s="9">
        <f t="shared" si="2"/>
        <v>0.78509803921568622</v>
      </c>
      <c r="Q12" s="15">
        <v>5572</v>
      </c>
      <c r="R12" s="15">
        <v>29</v>
      </c>
      <c r="S12" s="7">
        <f>2.19+2</f>
        <v>4.1899999999999995</v>
      </c>
      <c r="T12" s="5"/>
      <c r="U12" s="10">
        <f t="shared" si="5"/>
        <v>-45945</v>
      </c>
      <c r="V12" s="9">
        <f t="shared" si="6"/>
        <v>0.9947954055994257</v>
      </c>
      <c r="W12" s="11">
        <f t="shared" si="7"/>
        <v>0.65409748497388909</v>
      </c>
      <c r="X12" s="11">
        <f t="shared" si="8"/>
        <v>0.51416618221828092</v>
      </c>
    </row>
    <row r="13" spans="1:24">
      <c r="A13" s="29" t="s">
        <v>149</v>
      </c>
      <c r="B13" s="5">
        <v>45945.002083333333</v>
      </c>
      <c r="C13" s="5">
        <v>45946</v>
      </c>
      <c r="D13" s="6">
        <f t="shared" si="0"/>
        <v>1437.0000000006985</v>
      </c>
      <c r="E13" s="7">
        <v>56</v>
      </c>
      <c r="F13" s="7">
        <v>60</v>
      </c>
      <c r="G13" s="8">
        <f t="shared" si="1"/>
        <v>4</v>
      </c>
      <c r="H13" s="7">
        <f>10+5+6+19+5+60+60+60+60+60+10+28+60</f>
        <v>443</v>
      </c>
      <c r="I13" s="7">
        <f>2+3+2+2+2+2+1+4+2+2+2+3+4+1+2+4+2+2+2+2+3+3+4+2+4+3+2+3+4+3+3+2+3+3+3+4</f>
        <v>95</v>
      </c>
      <c r="J13" s="9">
        <f t="shared" si="3"/>
        <v>0.62282533054993983</v>
      </c>
      <c r="K13" s="28"/>
      <c r="L13" s="28">
        <f>3+4+2+4+9+4+60+60+60</f>
        <v>206</v>
      </c>
      <c r="M13" s="9">
        <f t="shared" si="4"/>
        <v>0.4405010438416081</v>
      </c>
      <c r="N13" s="7">
        <v>17000</v>
      </c>
      <c r="O13" s="15">
        <f>AVERAGE(16000,16000,16000,16000,16000,16000,16000,17000,17000,17000,17000,17000,16000)</f>
        <v>16384.615384615383</v>
      </c>
      <c r="P13" s="9">
        <f t="shared" si="2"/>
        <v>0.96380090497737547</v>
      </c>
      <c r="Q13" s="15">
        <v>5133</v>
      </c>
      <c r="R13" s="15">
        <v>10</v>
      </c>
      <c r="S13" s="7"/>
      <c r="T13" s="5"/>
      <c r="U13" s="10" t="str">
        <f t="shared" si="5"/>
        <v/>
      </c>
      <c r="V13" s="9">
        <f t="shared" si="6"/>
        <v>0.99805182154685368</v>
      </c>
      <c r="W13" s="11">
        <f t="shared" si="7"/>
        <v>0.59911016541072071</v>
      </c>
      <c r="X13" s="11">
        <f t="shared" si="8"/>
        <v>0.42372819520123878</v>
      </c>
    </row>
    <row r="14" spans="1:24">
      <c r="A14" s="29" t="s">
        <v>150</v>
      </c>
      <c r="B14" s="5">
        <v>45946.022222222222</v>
      </c>
      <c r="C14" s="5">
        <v>45947</v>
      </c>
      <c r="D14" s="6">
        <f t="shared" si="0"/>
        <v>1408.0000000004657</v>
      </c>
      <c r="E14" s="7">
        <v>45</v>
      </c>
      <c r="F14" s="7">
        <v>23</v>
      </c>
      <c r="G14" s="8">
        <f t="shared" si="1"/>
        <v>-22</v>
      </c>
      <c r="H14" s="7">
        <f>5+6+9+8+9+7+6+5+7+14+22+9+12+7+9+6+8+6+17+9+6+7+8+5+7+9</f>
        <v>223</v>
      </c>
      <c r="I14" s="7">
        <f>2+3+4+1+4+1+2+3+3+4+3+4+3+4+1+1+4+3+3+3+1+4+2+4+2+4+3</f>
        <v>76</v>
      </c>
      <c r="J14" s="9">
        <f>IF(B14="","",(D14-G14-H14-I14)/D14)</f>
        <v>0.80326704545461047</v>
      </c>
      <c r="K14" s="28"/>
      <c r="L14" s="28">
        <f>42+8+6+32+6+10+2+2+26+15+13+30+3+4+10+30+7+2+14</f>
        <v>262</v>
      </c>
      <c r="M14" s="9">
        <f t="shared" si="4"/>
        <v>0.58522727272740993</v>
      </c>
      <c r="N14" s="7">
        <v>17000</v>
      </c>
      <c r="O14" s="15">
        <f>AVERAGE(16000,16000,16000,16000,16000,16000,16000,17000,17000,17000,17000,17000,17000,17000,17000,17000,17000,17000,17000,17000,16000)</f>
        <v>16619.047619047618</v>
      </c>
      <c r="P14" s="9">
        <f t="shared" si="2"/>
        <v>0.97759103641456579</v>
      </c>
      <c r="Q14" s="15">
        <v>6342</v>
      </c>
      <c r="R14" s="15">
        <v>37</v>
      </c>
      <c r="S14" s="7">
        <f>32+11</f>
        <v>43</v>
      </c>
      <c r="T14" s="5"/>
      <c r="U14" s="10">
        <f t="shared" si="5"/>
        <v>-45947</v>
      </c>
      <c r="V14" s="9">
        <f t="shared" si="6"/>
        <v>0.99416587827183855</v>
      </c>
      <c r="W14" s="11">
        <f t="shared" si="7"/>
        <v>0.78068532217980802</v>
      </c>
      <c r="X14" s="11">
        <f t="shared" si="8"/>
        <v>0.56877515957229052</v>
      </c>
    </row>
    <row r="15" spans="1:24">
      <c r="A15" s="29" t="s">
        <v>151</v>
      </c>
      <c r="B15" s="5">
        <v>45947.003472222219</v>
      </c>
      <c r="C15" s="5">
        <v>45947.82916666667</v>
      </c>
      <c r="D15" s="6">
        <f t="shared" si="0"/>
        <v>1189.0000000095461</v>
      </c>
      <c r="E15" s="7">
        <f>60+7+7+7</f>
        <v>81</v>
      </c>
      <c r="F15" s="7">
        <v>163</v>
      </c>
      <c r="G15" s="8">
        <f t="shared" si="1"/>
        <v>82</v>
      </c>
      <c r="H15" s="7">
        <f>5+7+7+9+5+7+5+17+57+5+5+11+5+6</f>
        <v>151</v>
      </c>
      <c r="I15" s="7">
        <f>2+4+3+2+2+2+2+2+4+3+4+4+2+2+2+4+2+4</f>
        <v>50</v>
      </c>
      <c r="J15" s="9">
        <f t="shared" si="3"/>
        <v>0.76198486122983355</v>
      </c>
      <c r="K15" s="28"/>
      <c r="L15" s="28">
        <f>2+18+31+60+15+2</f>
        <v>128</v>
      </c>
      <c r="M15" s="9">
        <f t="shared" si="4"/>
        <v>0.58620689655504632</v>
      </c>
      <c r="N15" s="7">
        <v>17000</v>
      </c>
      <c r="O15" s="15">
        <f>AVERAGE(16000,16000,16000,15500,16000,15500,17000,17000,17000,17000,17000,17000,17000)</f>
        <v>16461.538461538461</v>
      </c>
      <c r="P15" s="9">
        <f t="shared" si="2"/>
        <v>0.96832579185520362</v>
      </c>
      <c r="Q15" s="15">
        <v>5314</v>
      </c>
      <c r="R15" s="7">
        <v>25</v>
      </c>
      <c r="S15" s="7">
        <v>5</v>
      </c>
      <c r="T15" s="5"/>
      <c r="U15" s="10">
        <f t="shared" si="5"/>
        <v>-45947.82916666667</v>
      </c>
      <c r="V15" s="9">
        <f t="shared" si="6"/>
        <v>0.99529544599172004</v>
      </c>
      <c r="W15" s="11">
        <f t="shared" si="7"/>
        <v>0.73437834086647436</v>
      </c>
      <c r="X15" s="11">
        <f t="shared" si="8"/>
        <v>0.56496876775447002</v>
      </c>
    </row>
    <row r="16" spans="1:24">
      <c r="A16" s="29" t="s">
        <v>28</v>
      </c>
      <c r="B16" s="5">
        <v>45951.53125</v>
      </c>
      <c r="C16" s="5">
        <v>45952</v>
      </c>
      <c r="D16" s="6">
        <f t="shared" si="0"/>
        <v>675</v>
      </c>
      <c r="E16" s="7">
        <v>10</v>
      </c>
      <c r="F16" s="7">
        <v>31</v>
      </c>
      <c r="G16" s="8">
        <f t="shared" si="1"/>
        <v>21</v>
      </c>
      <c r="H16" s="7">
        <f>5+7+22+6</f>
        <v>40</v>
      </c>
      <c r="I16" s="7">
        <f>2+1+2+1+4+3+3+2+3+3+3+2+3+2+2+2+2+2+1+2</f>
        <v>45</v>
      </c>
      <c r="J16" s="9">
        <f>IF(B16="","",(D16-G16-H16-I16)/D16)</f>
        <v>0.84296296296296291</v>
      </c>
      <c r="K16" s="28"/>
      <c r="L16" s="28">
        <f>2+4+6+5+10+4+6</f>
        <v>37</v>
      </c>
      <c r="M16" s="9">
        <f t="shared" si="4"/>
        <v>0.77333333333333332</v>
      </c>
      <c r="N16" s="7">
        <v>17000</v>
      </c>
      <c r="O16" s="15">
        <f>AVERAGE(16000,16000,17000,17000,17000,17000,17000,17000)</f>
        <v>16750</v>
      </c>
      <c r="P16" s="9">
        <f t="shared" si="2"/>
        <v>0.98529411764705888</v>
      </c>
      <c r="Q16" s="7">
        <v>4752</v>
      </c>
      <c r="R16" s="7">
        <v>14</v>
      </c>
      <c r="S16" s="7">
        <v>3</v>
      </c>
      <c r="T16" s="5"/>
      <c r="U16" s="10">
        <f t="shared" si="5"/>
        <v>-45952</v>
      </c>
      <c r="V16" s="9">
        <f t="shared" si="6"/>
        <v>0.99705387205387208</v>
      </c>
      <c r="W16" s="11">
        <f t="shared" si="7"/>
        <v>0.82811949377581195</v>
      </c>
      <c r="X16" s="11">
        <f t="shared" si="8"/>
        <v>0.75971595035320538</v>
      </c>
    </row>
    <row r="17" spans="1:24">
      <c r="A17" s="29" t="s">
        <v>152</v>
      </c>
      <c r="B17" s="5">
        <v>45952.010416666664</v>
      </c>
      <c r="C17" s="5">
        <v>45953</v>
      </c>
      <c r="D17" s="6">
        <f t="shared" si="0"/>
        <v>1425.0000000034925</v>
      </c>
      <c r="E17" s="7">
        <f>10+7</f>
        <v>17</v>
      </c>
      <c r="F17" s="7">
        <v>38</v>
      </c>
      <c r="G17" s="8">
        <f t="shared" si="1"/>
        <v>21</v>
      </c>
      <c r="H17" s="7">
        <f>5+9+5+6+6+25</f>
        <v>56</v>
      </c>
      <c r="I17" s="7">
        <f>2+4+4+3+4+2+2+2+4+4+2+2+3+2+3+2+2+2+2+4+3+3+3+3+2+2+2+3+2+3+1+2+2+2+3+3+2+1+2+3+2+2+3+1+2+2+3+4+1+4+2</f>
        <v>128</v>
      </c>
      <c r="J17" s="9">
        <f>IF(B17="","",(D17-G17-H17-I17)/D17)</f>
        <v>0.85614035087754559</v>
      </c>
      <c r="K17" s="28"/>
      <c r="L17" s="28">
        <f>31+10+2+2+3+4+3+5+4+9+4+6+3</f>
        <v>86</v>
      </c>
      <c r="M17" s="9">
        <f t="shared" si="4"/>
        <v>0.78385964912333672</v>
      </c>
      <c r="N17" s="7">
        <v>17000</v>
      </c>
      <c r="O17" s="15">
        <f>AVERAGE(18000,18000,18000,18000,18000,16000,16000,16000,16000,16000,16000,16000)</f>
        <v>16833.333333333332</v>
      </c>
      <c r="P17" s="9">
        <f t="shared" si="2"/>
        <v>0.99019607843137247</v>
      </c>
      <c r="Q17" s="7">
        <v>9966</v>
      </c>
      <c r="R17" s="7">
        <v>70</v>
      </c>
      <c r="S17" s="7"/>
      <c r="T17" s="5"/>
      <c r="U17" s="10" t="str">
        <f t="shared" si="5"/>
        <v/>
      </c>
      <c r="V17" s="9">
        <f t="shared" si="6"/>
        <v>0.99297611880393333</v>
      </c>
      <c r="W17" s="11">
        <f t="shared" si="7"/>
        <v>0.84179234509164802</v>
      </c>
      <c r="X17" s="11">
        <f t="shared" si="8"/>
        <v>0.77072299136690081</v>
      </c>
    </row>
    <row r="18" spans="1:24">
      <c r="A18" s="29" t="s">
        <v>59</v>
      </c>
      <c r="B18" s="5">
        <v>45953</v>
      </c>
      <c r="C18" s="5">
        <v>45954</v>
      </c>
      <c r="D18" s="6">
        <f t="shared" si="0"/>
        <v>1440</v>
      </c>
      <c r="E18" s="7">
        <v>0</v>
      </c>
      <c r="F18" s="7">
        <v>0</v>
      </c>
      <c r="G18" s="8">
        <f t="shared" si="1"/>
        <v>0</v>
      </c>
      <c r="H18" s="7">
        <f>9+5+6+6+5+10+7+5+15+12+7</f>
        <v>87</v>
      </c>
      <c r="I18" s="7">
        <f>4+1+1+1+4+2+1+2+3+3+4+3+3+3+4+4+3+3+3+2+1+3+1+2+2+1+4+1+3+1+4+2+3+3+3+1+2+3+3+2+2</f>
        <v>101</v>
      </c>
      <c r="J18" s="9">
        <f t="shared" si="3"/>
        <v>0.86944444444444446</v>
      </c>
      <c r="K18" s="28"/>
      <c r="L18" s="28">
        <f>10+2+2+3+3+35+15+10+12</f>
        <v>92</v>
      </c>
      <c r="M18" s="9">
        <f t="shared" si="4"/>
        <v>0.80555555555555558</v>
      </c>
      <c r="N18" s="7">
        <v>17000</v>
      </c>
      <c r="O18" s="15">
        <f>AVERAGE(17000,17000,17000,17000,17000,17000,15400,15400,15400,15200,15200,15300,17000,17000,17000,17000,17000,17000,17000,17000)</f>
        <v>16495</v>
      </c>
      <c r="P18" s="9">
        <f t="shared" si="2"/>
        <v>0.97029411764705886</v>
      </c>
      <c r="Q18" s="7">
        <v>10392</v>
      </c>
      <c r="R18" s="7">
        <v>81</v>
      </c>
      <c r="S18" s="7">
        <v>7</v>
      </c>
      <c r="T18" s="5"/>
      <c r="U18" s="10">
        <f t="shared" si="5"/>
        <v>-45954</v>
      </c>
      <c r="V18" s="9">
        <f t="shared" si="6"/>
        <v>0.99220554272517325</v>
      </c>
      <c r="W18" s="11">
        <f t="shared" si="7"/>
        <v>0.83704129472709032</v>
      </c>
      <c r="X18" s="11">
        <f t="shared" si="8"/>
        <v>0.77553346795800704</v>
      </c>
    </row>
    <row r="19" spans="1:24">
      <c r="A19" s="29" t="s">
        <v>83</v>
      </c>
      <c r="B19" s="5">
        <v>45954</v>
      </c>
      <c r="C19" s="5">
        <v>45954.824305555558</v>
      </c>
      <c r="D19" s="6">
        <f t="shared" si="0"/>
        <v>1187.0000000030268</v>
      </c>
      <c r="E19" s="7">
        <v>25</v>
      </c>
      <c r="F19" s="7">
        <v>27</v>
      </c>
      <c r="G19" s="8">
        <f t="shared" si="1"/>
        <v>2</v>
      </c>
      <c r="H19" s="7">
        <f>20+20+6+10+7+10+60+49+5+6+12+11+6+5+5+5</f>
        <v>237</v>
      </c>
      <c r="I19" s="7">
        <f>4+4+4+2+2+4+1+1+1+2+1</f>
        <v>26</v>
      </c>
      <c r="J19" s="9">
        <f t="shared" si="3"/>
        <v>0.77674810446560716</v>
      </c>
      <c r="K19" s="28"/>
      <c r="L19" s="28">
        <f>12+10+5+7+4+6+5+6+12+16+7+11+2+6+5+6+4+3+3+6</f>
        <v>136</v>
      </c>
      <c r="M19" s="9">
        <f t="shared" si="4"/>
        <v>0.6411120471786742</v>
      </c>
      <c r="N19" s="7">
        <v>17000</v>
      </c>
      <c r="O19" s="15">
        <f>AVERAGE(16000,16000,16000,17000,17000,17000,17000,17000)</f>
        <v>16625</v>
      </c>
      <c r="P19" s="9">
        <f t="shared" si="2"/>
        <v>0.9779411764705882</v>
      </c>
      <c r="Q19" s="15">
        <v>6289</v>
      </c>
      <c r="R19" s="7">
        <v>31</v>
      </c>
      <c r="S19" s="7">
        <v>20</v>
      </c>
      <c r="T19" s="5"/>
      <c r="U19" s="10">
        <f t="shared" si="5"/>
        <v>-45954.824305555558</v>
      </c>
      <c r="V19" s="9">
        <f t="shared" si="6"/>
        <v>0.99507075846716486</v>
      </c>
      <c r="W19" s="11">
        <f t="shared" si="7"/>
        <v>0.75586963444598332</v>
      </c>
      <c r="X19" s="11">
        <f t="shared" si="8"/>
        <v>0.62387938374597918</v>
      </c>
    </row>
    <row r="20" spans="1:24">
      <c r="A20" s="29" t="s">
        <v>153</v>
      </c>
      <c r="B20" s="5">
        <v>45957.059027777781</v>
      </c>
      <c r="C20" s="5">
        <v>45958</v>
      </c>
      <c r="D20" s="6">
        <f t="shared" si="0"/>
        <v>1354.9999999953434</v>
      </c>
      <c r="E20" s="7">
        <f>45+10</f>
        <v>55</v>
      </c>
      <c r="F20" s="7">
        <v>64</v>
      </c>
      <c r="G20" s="8">
        <f t="shared" si="1"/>
        <v>9</v>
      </c>
      <c r="H20" s="7">
        <f>5+14+11+40+6</f>
        <v>76</v>
      </c>
      <c r="I20" s="7">
        <f>4+2+4+2+3+3+4+3+4+4+4+4+1+2+2+1+2+2+1+1+2+3+3+1+2+2+2+2+1+2</f>
        <v>73</v>
      </c>
      <c r="J20" s="9">
        <f t="shared" si="3"/>
        <v>0.88339483394793872</v>
      </c>
      <c r="K20" s="28"/>
      <c r="L20" s="28">
        <f>6+5+8+3+5+6+6+11+19+10+8+5+10+4+3+3+3+3+14</f>
        <v>132</v>
      </c>
      <c r="M20" s="9">
        <f t="shared" si="4"/>
        <v>0.74538745387366379</v>
      </c>
      <c r="N20" s="7">
        <v>17000</v>
      </c>
      <c r="O20" s="30">
        <f>AVERAGE(17000,17000,17000,17000,17000,17000,17000,17000,17000,15600,15600,15600,15600,15600,15600,15600,15600,17000)</f>
        <v>16377.777777777777</v>
      </c>
      <c r="P20" s="9">
        <f t="shared" si="2"/>
        <v>0.96339869281045754</v>
      </c>
      <c r="Q20" s="7">
        <v>8654</v>
      </c>
      <c r="R20" s="7">
        <v>34</v>
      </c>
      <c r="S20" s="7">
        <v>3</v>
      </c>
      <c r="T20" s="5"/>
      <c r="U20" s="10">
        <f t="shared" si="5"/>
        <v>-45958</v>
      </c>
      <c r="V20" s="9">
        <f t="shared" si="6"/>
        <v>0.99607118095678304</v>
      </c>
      <c r="W20" s="11">
        <f t="shared" si="7"/>
        <v>0.84771776191465631</v>
      </c>
      <c r="X20" s="11">
        <f t="shared" si="8"/>
        <v>0.71528399292663847</v>
      </c>
    </row>
    <row r="21" spans="1:24">
      <c r="A21" s="29" t="s">
        <v>154</v>
      </c>
      <c r="B21" s="5">
        <v>45958</v>
      </c>
      <c r="C21" s="5">
        <v>45959</v>
      </c>
      <c r="D21" s="6">
        <f t="shared" si="0"/>
        <v>1440</v>
      </c>
      <c r="E21" s="7">
        <f>25+45</f>
        <v>70</v>
      </c>
      <c r="F21" s="7">
        <v>47</v>
      </c>
      <c r="G21" s="8">
        <f t="shared" si="1"/>
        <v>-23</v>
      </c>
      <c r="H21" s="7">
        <f>5+7+5+7+5+9</f>
        <v>38</v>
      </c>
      <c r="I21" s="7">
        <f>2+3+1+4+4+1+2+2+4+4+2+3+4+3+3+4+2+2+4+2+4+1+3+3+2+2+2+2+1+4+2+2+2+2+2+3+1+2+2+3</f>
        <v>101</v>
      </c>
      <c r="J21" s="9">
        <f t="shared" si="3"/>
        <v>0.9194444444444444</v>
      </c>
      <c r="K21" s="28"/>
      <c r="L21" s="28">
        <f>2+30+47+4+6+17+10+20+25+36+27+30</f>
        <v>254</v>
      </c>
      <c r="M21" s="9">
        <f t="shared" si="4"/>
        <v>0.69444444444444442</v>
      </c>
      <c r="N21" s="7">
        <v>17000</v>
      </c>
      <c r="O21" s="15">
        <f>AVERAGE(17000,17000,17000,17000,17000,17000,17000,17000,17000,17000,17000,17000,14800,15600,15600,15600,15600,15600)</f>
        <v>16488.888888888891</v>
      </c>
      <c r="P21" s="9">
        <f t="shared" si="2"/>
        <v>0.96993464052287592</v>
      </c>
      <c r="Q21" s="7">
        <v>8686</v>
      </c>
      <c r="R21" s="15">
        <v>36</v>
      </c>
      <c r="S21" s="7">
        <v>30</v>
      </c>
      <c r="T21" s="5"/>
      <c r="U21" s="10">
        <f t="shared" si="5"/>
        <v>-45959</v>
      </c>
      <c r="V21" s="9">
        <f t="shared" si="6"/>
        <v>0.99585539949343771</v>
      </c>
      <c r="W21" s="11">
        <f t="shared" si="7"/>
        <v>0.88810485775739767</v>
      </c>
      <c r="X21" s="11">
        <f>IF(B21="","",V21*P21*M21)</f>
        <v>0.67077406175030041</v>
      </c>
    </row>
    <row r="22" spans="1:24">
      <c r="A22" s="29" t="s">
        <v>155</v>
      </c>
      <c r="B22" s="5">
        <v>45959.003472222219</v>
      </c>
      <c r="C22" s="5">
        <v>45960</v>
      </c>
      <c r="D22" s="6">
        <f t="shared" si="0"/>
        <v>1435.0000000046566</v>
      </c>
      <c r="E22" s="7">
        <v>100</v>
      </c>
      <c r="F22" s="7">
        <v>77</v>
      </c>
      <c r="G22" s="8">
        <f t="shared" si="1"/>
        <v>-23</v>
      </c>
      <c r="H22" s="7">
        <f>5+6+9+5+5+7+60+25</f>
        <v>122</v>
      </c>
      <c r="I22" s="7">
        <f>3+2+3+2+4+3+2+4+2+2+3+1+4+2+3+4+2+1+4+3+3+2+2+1+1+2+1+2+1+2+1+2+1+1+2</f>
        <v>78</v>
      </c>
      <c r="J22" s="9">
        <f t="shared" si="3"/>
        <v>0.87665505226520857</v>
      </c>
      <c r="K22" s="28"/>
      <c r="L22" s="28">
        <f>4+30+4+4+5+5+5+4+2+30+15+19+3+1+5+4</f>
        <v>140</v>
      </c>
      <c r="M22" s="9">
        <f t="shared" si="4"/>
        <v>0.70940766550616952</v>
      </c>
      <c r="N22" s="7">
        <v>17000</v>
      </c>
      <c r="O22" s="30">
        <f>AVERAGE(17000,17000,17000,17000,17000,17000,17000,17000,17000,17000,15000,15000,15000,15000,15000,15000,15000)</f>
        <v>16176.470588235294</v>
      </c>
      <c r="P22" s="9">
        <f t="shared" si="2"/>
        <v>0.95155709342560546</v>
      </c>
      <c r="Q22" s="15">
        <v>8342</v>
      </c>
      <c r="R22" s="7">
        <v>23</v>
      </c>
      <c r="S22" s="7"/>
      <c r="T22" s="5"/>
      <c r="U22" s="10" t="str">
        <f t="shared" si="5"/>
        <v/>
      </c>
      <c r="V22" s="9">
        <f t="shared" ref="V22" si="9">IF(B22="","",IF(U22&lt;3,(Q22-R22)/Q22,(Q22-R22-S22)/Q22))</f>
        <v>0.99724286741788537</v>
      </c>
      <c r="W22" s="11">
        <f t="shared" ref="W22" si="10">IF(B22="","",V22*P22*J22)</f>
        <v>0.83188736839365574</v>
      </c>
      <c r="X22" s="11">
        <f t="shared" ref="X22" si="11">IF(B22="","",V22*P22*M22)</f>
        <v>0.67318071623647113</v>
      </c>
    </row>
    <row r="23" spans="1:24">
      <c r="A23" s="29" t="s">
        <v>126</v>
      </c>
      <c r="B23" s="5">
        <v>45960.004166666666</v>
      </c>
      <c r="C23" s="5">
        <v>45961</v>
      </c>
      <c r="D23" s="6">
        <f t="shared" si="0"/>
        <v>1434.000000001397</v>
      </c>
      <c r="E23" s="7">
        <v>100</v>
      </c>
      <c r="F23" s="7">
        <v>115</v>
      </c>
      <c r="G23" s="8">
        <f t="shared" si="1"/>
        <v>15</v>
      </c>
      <c r="H23" s="7">
        <f>5+26+26+7+6+5+7+10+6+10+8+6</f>
        <v>122</v>
      </c>
      <c r="I23" s="7">
        <f>3+3+2+3+2+2+2+3+3+4+1+2+4+2+3+4+3+4+3+1+2+2+3+2+2+3+4+2+3+4+3+3+2+4+2</f>
        <v>95</v>
      </c>
      <c r="J23" s="9">
        <f t="shared" si="3"/>
        <v>0.83821478382163594</v>
      </c>
      <c r="K23" s="28"/>
      <c r="L23" s="28">
        <f>5+5+9+20+12+2+21+4+2+4+3</f>
        <v>87</v>
      </c>
      <c r="M23" s="9">
        <f t="shared" si="4"/>
        <v>0.70781032078131667</v>
      </c>
      <c r="N23" s="7">
        <v>17000</v>
      </c>
      <c r="O23" s="15">
        <f>AVERAGE(15000,15000,17000,17000,17000,17000,17000,17000,17000,15000,15000,15000,15000,15000,15000,15000,15000)</f>
        <v>15823.529411764706</v>
      </c>
      <c r="P23" s="9">
        <f t="shared" si="2"/>
        <v>0.9307958477508651</v>
      </c>
      <c r="Q23" s="15">
        <v>8666</v>
      </c>
      <c r="R23" s="7">
        <v>38</v>
      </c>
      <c r="S23" s="7"/>
      <c r="T23" s="5"/>
      <c r="U23" s="10" t="str">
        <f t="shared" si="5"/>
        <v/>
      </c>
      <c r="V23" s="9">
        <f t="shared" si="6"/>
        <v>0.99561504731133166</v>
      </c>
      <c r="W23" s="11">
        <f t="shared" si="7"/>
        <v>0.77678567022245681</v>
      </c>
      <c r="X23" s="11">
        <f t="shared" si="8"/>
        <v>0.65593798275870419</v>
      </c>
    </row>
    <row r="24" spans="1:24">
      <c r="A24" s="29" t="s">
        <v>156</v>
      </c>
      <c r="B24" s="5">
        <v>45961.004166608793</v>
      </c>
      <c r="C24" s="5">
        <v>45961.875</v>
      </c>
      <c r="D24" s="6">
        <f t="shared" si="0"/>
        <v>1254.0000833384693</v>
      </c>
      <c r="E24" s="7">
        <f>7+40</f>
        <v>47</v>
      </c>
      <c r="F24" s="7">
        <v>128</v>
      </c>
      <c r="G24" s="8">
        <f t="shared" si="1"/>
        <v>81</v>
      </c>
      <c r="H24" s="7">
        <f>5+9+5+38+6+7+11+12+60+60+60+60+60+60</f>
        <v>453</v>
      </c>
      <c r="I24" s="7">
        <f>2+2+2+4+2+4+2+1+2+2</f>
        <v>23</v>
      </c>
      <c r="J24" s="9">
        <f t="shared" si="3"/>
        <v>0.55582140113011524</v>
      </c>
      <c r="K24" s="28"/>
      <c r="L24" s="28">
        <f>3+27+3+4+28+8+7+43+7+12</f>
        <v>142</v>
      </c>
      <c r="M24" s="9">
        <f t="shared" si="4"/>
        <v>0.40510370779724592</v>
      </c>
      <c r="N24" s="7">
        <v>17000</v>
      </c>
      <c r="O24" s="15">
        <f>AVERAGE(17000,17000,17000,17000,17000,17000,17000,15000,17000)</f>
        <v>16777.777777777777</v>
      </c>
      <c r="P24" s="9">
        <f t="shared" si="2"/>
        <v>0.98692810457516333</v>
      </c>
      <c r="Q24" s="48">
        <v>3775</v>
      </c>
      <c r="R24" s="7">
        <v>15</v>
      </c>
      <c r="S24" s="7">
        <v>70</v>
      </c>
      <c r="T24" s="5">
        <v>45972.291666666664</v>
      </c>
      <c r="U24" s="10">
        <f t="shared" si="5"/>
        <v>10.416666666664241</v>
      </c>
      <c r="V24" s="9">
        <f t="shared" ref="V24" si="12">IF(B24="","",IF(U24&lt;3,(Q24-R24)/Q24,(Q24-R24-S24)/Q24))</f>
        <v>0.97748344370860929</v>
      </c>
      <c r="W24" s="11">
        <f>IF(B24="","",V24*P24*J24)</f>
        <v>0.53620417520787578</v>
      </c>
      <c r="X24" s="11">
        <f t="shared" ref="X24" si="13">IF(B24="","",V24*P24*M24)</f>
        <v>0.39080592987499013</v>
      </c>
    </row>
    <row r="25" spans="1:24">
      <c r="A25" s="29"/>
      <c r="B25" s="5"/>
      <c r="C25" s="5"/>
      <c r="D25" s="6" t="str">
        <f t="shared" si="0"/>
        <v/>
      </c>
      <c r="E25" s="7"/>
      <c r="F25" s="7"/>
      <c r="G25" s="8" t="str">
        <f t="shared" si="1"/>
        <v/>
      </c>
      <c r="H25" s="7"/>
      <c r="I25" s="7"/>
      <c r="J25" s="9" t="str">
        <f t="shared" si="3"/>
        <v/>
      </c>
      <c r="K25" s="28"/>
      <c r="L25" s="28"/>
      <c r="M25" s="9" t="str">
        <f t="shared" si="4"/>
        <v/>
      </c>
      <c r="N25" s="7"/>
      <c r="O25" s="15"/>
      <c r="P25" s="9" t="str">
        <f t="shared" si="2"/>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3"/>
        <v/>
      </c>
      <c r="K26" s="28"/>
      <c r="L26" s="28"/>
      <c r="M26" s="9" t="str">
        <f t="shared" si="4"/>
        <v/>
      </c>
      <c r="N26" s="7"/>
      <c r="O26" s="15"/>
      <c r="P26" s="9" t="str">
        <f t="shared" si="2"/>
        <v/>
      </c>
      <c r="Q26" s="7"/>
      <c r="R26" s="7"/>
      <c r="S26" s="7"/>
      <c r="T26" s="5"/>
      <c r="U26" s="10" t="str">
        <f t="shared" si="5"/>
        <v/>
      </c>
      <c r="V26" s="9" t="str">
        <f t="shared" si="6"/>
        <v/>
      </c>
      <c r="W26" s="11" t="str">
        <f t="shared" si="7"/>
        <v/>
      </c>
      <c r="X26" s="11" t="str">
        <f t="shared" si="8"/>
        <v/>
      </c>
    </row>
    <row r="27" spans="1:24">
      <c r="A27" s="29"/>
      <c r="B27" s="5"/>
      <c r="C27" s="5"/>
      <c r="D27" s="6" t="str">
        <f t="shared" si="0"/>
        <v/>
      </c>
      <c r="E27" s="7"/>
      <c r="F27" s="7"/>
      <c r="G27" s="8" t="str">
        <f t="shared" si="1"/>
        <v/>
      </c>
      <c r="H27" s="7"/>
      <c r="I27" s="7"/>
      <c r="J27" s="9" t="str">
        <f t="shared" si="3"/>
        <v/>
      </c>
      <c r="K27" s="28"/>
      <c r="L27" s="28"/>
      <c r="M27" s="9" t="str">
        <f t="shared" si="4"/>
        <v/>
      </c>
      <c r="N27" s="7"/>
      <c r="O27" s="15"/>
      <c r="P27" s="9" t="str">
        <f t="shared" si="2"/>
        <v/>
      </c>
      <c r="Q27" s="7"/>
      <c r="R27" s="7"/>
      <c r="S27" s="7"/>
      <c r="T27" s="5"/>
      <c r="U27" s="10" t="str">
        <f t="shared" si="5"/>
        <v/>
      </c>
      <c r="V27" s="9" t="str">
        <f t="shared" si="6"/>
        <v/>
      </c>
      <c r="W27" s="11" t="str">
        <f t="shared" si="7"/>
        <v/>
      </c>
      <c r="X27" s="11" t="str">
        <f t="shared" si="8"/>
        <v/>
      </c>
    </row>
    <row r="28" spans="1:24" ht="15" thickBot="1">
      <c r="A28" s="29"/>
      <c r="B28" s="5"/>
      <c r="C28" s="5"/>
      <c r="D28" s="6" t="str">
        <f t="shared" si="0"/>
        <v/>
      </c>
      <c r="E28" s="7"/>
      <c r="F28" s="7"/>
      <c r="G28" s="8" t="str">
        <f t="shared" si="1"/>
        <v/>
      </c>
      <c r="H28" s="7"/>
      <c r="I28" s="7"/>
      <c r="J28" s="9" t="str">
        <f t="shared" si="3"/>
        <v/>
      </c>
      <c r="K28" s="28"/>
      <c r="L28" s="28"/>
      <c r="M28" s="9" t="str">
        <f t="shared" si="4"/>
        <v/>
      </c>
      <c r="N28" s="7"/>
      <c r="O28" s="15"/>
      <c r="P28" s="9" t="str">
        <f t="shared" si="2"/>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3"/>
        <v/>
      </c>
      <c r="K29" s="28"/>
      <c r="L29" s="28"/>
      <c r="M29" s="9" t="str">
        <f t="shared" si="4"/>
        <v/>
      </c>
      <c r="N29" s="7"/>
      <c r="O29" s="7"/>
      <c r="P29" s="9" t="str">
        <f t="shared" si="2"/>
        <v/>
      </c>
      <c r="Q29" s="7"/>
      <c r="R29" s="7"/>
      <c r="S29" s="7"/>
      <c r="T29" s="5"/>
      <c r="U29" s="10" t="str">
        <f t="shared" si="5"/>
        <v/>
      </c>
      <c r="V29" s="9" t="str">
        <f t="shared" si="6"/>
        <v/>
      </c>
      <c r="W29" s="11" t="str">
        <f t="shared" si="7"/>
        <v/>
      </c>
      <c r="X29" s="11" t="str">
        <f t="shared" si="8"/>
        <v/>
      </c>
    </row>
    <row r="30" spans="1:24" ht="15" hidden="1" thickBot="1">
      <c r="A30" s="29"/>
      <c r="B30" s="5"/>
      <c r="C30" s="5"/>
      <c r="D30" s="6" t="str">
        <f t="shared" si="0"/>
        <v/>
      </c>
      <c r="E30" s="7"/>
      <c r="F30" s="7"/>
      <c r="G30" s="8" t="str">
        <f t="shared" si="1"/>
        <v/>
      </c>
      <c r="H30" s="7"/>
      <c r="I30" s="7"/>
      <c r="J30" s="9" t="str">
        <f t="shared" si="3"/>
        <v/>
      </c>
      <c r="K30" s="28"/>
      <c r="L30" s="28"/>
      <c r="M30" s="9" t="str">
        <f t="shared" si="4"/>
        <v/>
      </c>
      <c r="N30" s="7"/>
      <c r="O30" s="15"/>
      <c r="P30" s="9" t="str">
        <f t="shared" si="2"/>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3"/>
        <v/>
      </c>
      <c r="K31" s="28"/>
      <c r="L31" s="28"/>
      <c r="M31" s="9" t="str">
        <f t="shared" si="4"/>
        <v/>
      </c>
      <c r="N31" s="7"/>
      <c r="O31" s="15"/>
      <c r="P31" s="9" t="str">
        <f t="shared" si="2"/>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3"/>
        <v/>
      </c>
      <c r="K32" s="28"/>
      <c r="L32" s="28"/>
      <c r="M32" s="9" t="str">
        <f t="shared" si="4"/>
        <v/>
      </c>
      <c r="N32" s="7"/>
      <c r="O32" s="15"/>
      <c r="P32" s="9" t="str">
        <f t="shared" si="2"/>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1"/>
        <v/>
      </c>
      <c r="H33" s="7"/>
      <c r="I33" s="7"/>
      <c r="J33" s="9" t="str">
        <f t="shared" si="3"/>
        <v/>
      </c>
      <c r="K33" s="28"/>
      <c r="L33" s="28"/>
      <c r="M33" s="9" t="str">
        <f t="shared" si="4"/>
        <v/>
      </c>
      <c r="N33" s="7"/>
      <c r="O33" s="15"/>
      <c r="P33" s="9" t="str">
        <f t="shared" si="2"/>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1"/>
        <v/>
      </c>
      <c r="H34" s="7"/>
      <c r="I34" s="7"/>
      <c r="J34" s="9" t="str">
        <f t="shared" si="3"/>
        <v/>
      </c>
      <c r="K34" s="28"/>
      <c r="L34" s="28"/>
      <c r="M34" s="9" t="str">
        <f t="shared" si="4"/>
        <v/>
      </c>
      <c r="N34" s="7"/>
      <c r="O34" s="15"/>
      <c r="P34" s="9" t="str">
        <f t="shared" si="2"/>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1"/>
        <v/>
      </c>
      <c r="H35" s="7"/>
      <c r="I35" s="7"/>
      <c r="J35" s="9" t="str">
        <f t="shared" si="3"/>
        <v/>
      </c>
      <c r="K35" s="28"/>
      <c r="L35" s="28"/>
      <c r="M35" s="9" t="str">
        <f t="shared" si="4"/>
        <v/>
      </c>
      <c r="N35" s="7"/>
      <c r="O35" s="15"/>
      <c r="P35" s="9" t="str">
        <f t="shared" si="2"/>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1"/>
        <v/>
      </c>
      <c r="H36" s="7"/>
      <c r="I36" s="7"/>
      <c r="J36" s="9" t="str">
        <f t="shared" si="3"/>
        <v/>
      </c>
      <c r="K36" s="28"/>
      <c r="L36" s="28"/>
      <c r="M36" s="9" t="str">
        <f t="shared" si="4"/>
        <v/>
      </c>
      <c r="N36" s="7"/>
      <c r="O36" s="15"/>
      <c r="P36" s="9" t="str">
        <f t="shared" si="2"/>
        <v/>
      </c>
      <c r="Q36" s="15"/>
      <c r="R36" s="7"/>
      <c r="S36" s="7"/>
      <c r="T36" s="5"/>
      <c r="U36" s="10" t="str">
        <f t="shared" si="5"/>
        <v/>
      </c>
      <c r="V36" s="9" t="str">
        <f t="shared" si="6"/>
        <v/>
      </c>
      <c r="W36" s="11" t="str">
        <f t="shared" si="7"/>
        <v/>
      </c>
      <c r="X36" s="11" t="str">
        <f t="shared" si="8"/>
        <v/>
      </c>
    </row>
    <row r="37" spans="1:24" ht="15" hidden="1" thickBot="1">
      <c r="A37" s="29"/>
      <c r="B37" s="5"/>
      <c r="C37" s="5"/>
      <c r="D37" s="6" t="str">
        <f t="shared" si="0"/>
        <v/>
      </c>
      <c r="E37" s="7"/>
      <c r="F37" s="7"/>
      <c r="G37" s="8" t="str">
        <f t="shared" si="1"/>
        <v/>
      </c>
      <c r="H37" s="7"/>
      <c r="I37" s="7"/>
      <c r="J37" s="9" t="str">
        <f t="shared" si="3"/>
        <v/>
      </c>
      <c r="K37" s="28"/>
      <c r="L37" s="28"/>
      <c r="M37" s="9" t="str">
        <f t="shared" si="4"/>
        <v/>
      </c>
      <c r="N37" s="7"/>
      <c r="O37" s="15"/>
      <c r="P37" s="9" t="str">
        <f t="shared" si="2"/>
        <v/>
      </c>
      <c r="Q37" s="7"/>
      <c r="R37" s="7"/>
      <c r="S37" s="7"/>
      <c r="T37" s="5"/>
      <c r="U37" s="10" t="str">
        <f t="shared" si="5"/>
        <v/>
      </c>
      <c r="V37" s="9" t="str">
        <f t="shared" si="6"/>
        <v/>
      </c>
      <c r="W37" s="11" t="str">
        <f t="shared" si="7"/>
        <v/>
      </c>
      <c r="X37" s="11" t="str">
        <f t="shared" si="8"/>
        <v/>
      </c>
    </row>
    <row r="38" spans="1:24" s="43" customFormat="1" ht="18.600000000000001" thickBot="1">
      <c r="A38" s="31"/>
      <c r="B38" s="32" t="s">
        <v>42</v>
      </c>
      <c r="C38" s="32"/>
      <c r="D38" s="33">
        <f>SUM(D3:D37)</f>
        <v>25338.000083357329</v>
      </c>
      <c r="E38" s="33">
        <f>SUM(E3:E37)</f>
        <v>1213</v>
      </c>
      <c r="F38" s="33">
        <f>SUM(F3:F37)</f>
        <v>1350</v>
      </c>
      <c r="G38" s="33">
        <f>SUM(G3:G37)</f>
        <v>137</v>
      </c>
      <c r="H38" s="33">
        <f>SUM(H2:H37)</f>
        <v>3022</v>
      </c>
      <c r="I38" s="33">
        <f>SUM(I3:I37)</f>
        <v>1428</v>
      </c>
      <c r="J38" s="34">
        <f>(D38-G38-H38-I38)/D38</f>
        <v>0.81896755920318809</v>
      </c>
      <c r="K38" s="35">
        <f>SUM(K3:K37)</f>
        <v>0</v>
      </c>
      <c r="L38" s="35">
        <f>SUM(L3:L37)</f>
        <v>2822</v>
      </c>
      <c r="M38" s="36">
        <f>(D38-G38-H38-I38-E38-K38-L38)/D38</f>
        <v>0.65972057890775848</v>
      </c>
      <c r="N38" s="37">
        <f>AVERAGE(N3:N37)</f>
        <v>17000</v>
      </c>
      <c r="O38" s="38">
        <f>AVERAGE(O3:O37)</f>
        <v>15909.895998818922</v>
      </c>
      <c r="P38" s="34">
        <f>O38/N38</f>
        <v>0.93587623522464247</v>
      </c>
      <c r="Q38" s="37">
        <f>SUM(Q3:Q35)</f>
        <v>136414</v>
      </c>
      <c r="R38" s="37"/>
      <c r="S38" s="32"/>
      <c r="T38" s="32"/>
      <c r="U38" s="39"/>
      <c r="V38" s="40">
        <f>AVERAGE(V3:V37)</f>
        <v>0.98890473012664437</v>
      </c>
      <c r="W38" s="41">
        <f>V38*P38*J38</f>
        <v>0.75794828123005886</v>
      </c>
      <c r="X38" s="42">
        <f>V38*P38*M38</f>
        <v>0.61056640553838493</v>
      </c>
    </row>
    <row r="39" spans="1:24" ht="28.9">
      <c r="Q39" s="67"/>
      <c r="R39" s="67"/>
      <c r="S39" s="44"/>
      <c r="T39" s="45"/>
      <c r="U39" s="22"/>
    </row>
    <row r="40" spans="1:24" ht="28.9">
      <c r="Q40" s="22"/>
      <c r="R40" s="22"/>
      <c r="S40" s="22"/>
      <c r="T40" s="22"/>
      <c r="U40" s="22"/>
    </row>
    <row r="41" spans="1:24" ht="28.9">
      <c r="Q41" s="22"/>
      <c r="R41" s="69"/>
      <c r="S41" s="69"/>
      <c r="T41" s="46">
        <f>AVERAGE('January 2025 (w Utilization)'!X38,'February 2025 (w Utilization) '!X38,'March 2025 (w Utilization'!X38,'April 2025 (w Utilization) '!X38,'May 2025 (w Utilization)'!X38,'June 2025 (w Utilization)'!X38,'June 2025 (w Utilization)'!X38,'July 2025 (w Utilization)'!X38,'August 2025 (w Utilization)'!X38,'September 2025 (w Utilization)'!X38,'October 2025 (w Utilization) '!X38)</f>
        <v>0.60143179815304382</v>
      </c>
      <c r="U41" s="22"/>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19" t="s">
        <v>44</v>
      </c>
      <c r="E46" s="19" t="s">
        <v>45</v>
      </c>
    </row>
    <row r="47" spans="1:24">
      <c r="C47" s="4" t="s">
        <v>46</v>
      </c>
      <c r="D47" s="16">
        <f>W38</f>
        <v>0.75794828123005886</v>
      </c>
      <c r="E47" s="18">
        <f>100%-D47</f>
        <v>0.24205171876994114</v>
      </c>
    </row>
    <row r="48" spans="1:24">
      <c r="C48" s="4" t="s">
        <v>140</v>
      </c>
      <c r="D48" s="16">
        <f>J38</f>
        <v>0.81896755920318809</v>
      </c>
      <c r="E48" s="18">
        <f>100%-D48</f>
        <v>0.18103244079681191</v>
      </c>
    </row>
    <row r="49" spans="3:5">
      <c r="C49" s="4" t="s">
        <v>17</v>
      </c>
      <c r="D49" s="16">
        <f>P38</f>
        <v>0.93587623522464247</v>
      </c>
      <c r="E49" s="18">
        <f>100%-D49</f>
        <v>6.4123764775357528E-2</v>
      </c>
    </row>
    <row r="50" spans="3:5">
      <c r="C50" s="4" t="str">
        <f>V2</f>
        <v>Quality</v>
      </c>
      <c r="D50" s="16">
        <f>V38</f>
        <v>0.98890473012664437</v>
      </c>
      <c r="E50" s="18">
        <f>100%-D50</f>
        <v>1.1095269873355629E-2</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50"/>
  <sheetViews>
    <sheetView zoomScale="70" zoomScaleNormal="70" workbookViewId="0">
      <pane ySplit="2" topLeftCell="A23" activePane="bottomLeft" state="frozen"/>
      <selection pane="bottomLeft" activeCell="Q6" sqref="Q6"/>
    </sheetView>
  </sheetViews>
  <sheetFormatPr defaultRowHeight="14.45"/>
  <cols>
    <col min="1" max="1" width="60" customWidth="1"/>
    <col min="2" max="2" width="17.140625" bestFit="1"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1.140625" customWidth="1"/>
    <col min="20" max="20" width="17.5703125" customWidth="1"/>
    <col min="21" max="21" width="12" customWidth="1"/>
    <col min="22" max="23" width="10" bestFit="1" customWidth="1"/>
    <col min="24" max="24" width="14.28515625" customWidth="1"/>
  </cols>
  <sheetData>
    <row r="1" spans="1:24"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24"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24">
      <c r="A3" s="27" t="s">
        <v>157</v>
      </c>
      <c r="B3" s="5">
        <v>45933.194444444445</v>
      </c>
      <c r="C3" s="5">
        <v>45934</v>
      </c>
      <c r="D3" s="6">
        <f t="shared" ref="D3:D37" si="0">IF(B3="","",(C3-B3)*24*60)</f>
        <v>1159.9999999988358</v>
      </c>
      <c r="E3" s="7">
        <f>100+7</f>
        <v>107</v>
      </c>
      <c r="F3" s="7">
        <v>149</v>
      </c>
      <c r="G3" s="8">
        <f t="shared" ref="G3:G37" si="1">IF(E3="","",F3-E3)</f>
        <v>42</v>
      </c>
      <c r="H3" s="7">
        <f>6+5+5+12+16+18+8+5+36+30+8+6+11+7+6+9+15</f>
        <v>203</v>
      </c>
      <c r="I3" s="7">
        <f>3+1+3+4+1+2+2+4+1+4+3+4+4</f>
        <v>36</v>
      </c>
      <c r="J3" s="9">
        <f t="shared" ref="J3:J37" si="2">IF(B3="","",(D3-G3-H3-I3)/D3)</f>
        <v>0.75775862068941202</v>
      </c>
      <c r="K3" s="28">
        <v>0</v>
      </c>
      <c r="L3" s="28">
        <f>13+17+20+4+6+11+9+15</f>
        <v>95</v>
      </c>
      <c r="M3" s="9">
        <f t="shared" ref="M3:M37" si="3">IF(B3="","",(D3-G3-H3-I3-K3-L3-E3)/D3)</f>
        <v>0.58362068965475455</v>
      </c>
      <c r="N3" s="7">
        <v>17000</v>
      </c>
      <c r="O3" s="15">
        <f>AVERAGE(17000,17000,17000,15000,15000,15000,17000,17000,17000,17000)</f>
        <v>16400</v>
      </c>
      <c r="P3" s="9">
        <f t="shared" ref="P3:P37" si="4">IF(B3="","",O3/N3)</f>
        <v>0.96470588235294119</v>
      </c>
      <c r="Q3" s="7">
        <v>4643</v>
      </c>
      <c r="R3" s="7">
        <v>22</v>
      </c>
      <c r="S3" s="7">
        <v>358</v>
      </c>
      <c r="T3" s="5"/>
      <c r="U3" s="10">
        <f t="shared" ref="U3:U37" si="5">IF(S3="","",(T3-C3))</f>
        <v>-45934</v>
      </c>
      <c r="V3" s="9">
        <f t="shared" ref="V3:V37" si="6">IF(B3="","",IF(U3&lt;3,(Q3-R3)/Q3,(Q3-R3-S3)/Q3))</f>
        <v>0.99526168425586903</v>
      </c>
      <c r="W3" s="11">
        <f t="shared" ref="W3:W37" si="7">IF(B3="","",V3*P3*J3)</f>
        <v>0.72755042269545145</v>
      </c>
      <c r="X3" s="11">
        <f t="shared" ref="X3:X37" si="8">IF(B3="","",V3*P3*M3)</f>
        <v>0.56035453488580889</v>
      </c>
    </row>
    <row r="4" spans="1:24">
      <c r="A4" s="62" t="s">
        <v>158</v>
      </c>
      <c r="B4" s="5">
        <v>45934.008333333331</v>
      </c>
      <c r="C4" s="5">
        <v>45935.008333333331</v>
      </c>
      <c r="D4" s="6">
        <f t="shared" si="0"/>
        <v>1440</v>
      </c>
      <c r="E4" s="7">
        <v>7</v>
      </c>
      <c r="F4" s="7">
        <v>35</v>
      </c>
      <c r="G4" s="8">
        <f t="shared" si="1"/>
        <v>28</v>
      </c>
      <c r="H4" s="7">
        <f>8+5+16+5+7+15+20+5+6+6+10</f>
        <v>103</v>
      </c>
      <c r="I4" s="7">
        <f>3+1+1+2+2+2+2+3+4+2+2+4+2+1+2+1+2+3+1+2+2+1+2+3+3+3+3+3+2+2+2+3+3</f>
        <v>74</v>
      </c>
      <c r="J4" s="9">
        <f t="shared" si="2"/>
        <v>0.85763888888888884</v>
      </c>
      <c r="K4" s="28">
        <v>0</v>
      </c>
      <c r="L4" s="28">
        <f>3+2+14+40+11+9+10+13+4+5+4+3+4+8+2+2+7</f>
        <v>141</v>
      </c>
      <c r="M4" s="9">
        <f t="shared" si="3"/>
        <v>0.75486111111111109</v>
      </c>
      <c r="N4" s="7">
        <v>17000</v>
      </c>
      <c r="O4" s="15">
        <f>AVERAGE(15000,15000,15000,15000,15000,15000,15000,17000,17000,17000,17000,17000,17000,17000,17000,17000,17000,17000,17000,17000,17000,17000,)</f>
        <v>15652.173913043478</v>
      </c>
      <c r="P4" s="9">
        <f t="shared" si="4"/>
        <v>0.92071611253196928</v>
      </c>
      <c r="Q4" s="7">
        <v>9159</v>
      </c>
      <c r="R4" s="7">
        <v>47</v>
      </c>
      <c r="S4" s="7"/>
      <c r="T4" s="5"/>
      <c r="U4" s="10" t="str">
        <f t="shared" si="5"/>
        <v/>
      </c>
      <c r="V4" s="9">
        <f t="shared" si="6"/>
        <v>0.99486843541871384</v>
      </c>
      <c r="W4" s="11">
        <f t="shared" si="7"/>
        <v>0.78558984510365182</v>
      </c>
      <c r="X4" s="11">
        <f t="shared" si="8"/>
        <v>0.6914462847187608</v>
      </c>
    </row>
    <row r="5" spans="1:24">
      <c r="A5" s="29" t="s">
        <v>159</v>
      </c>
      <c r="B5" s="5">
        <v>45935.009722222225</v>
      </c>
      <c r="C5" s="5">
        <v>45936</v>
      </c>
      <c r="D5" s="6">
        <f t="shared" si="0"/>
        <v>1425.9999999962747</v>
      </c>
      <c r="E5" s="7">
        <f>30+45</f>
        <v>75</v>
      </c>
      <c r="F5" s="7">
        <v>100</v>
      </c>
      <c r="G5" s="8">
        <f t="shared" si="1"/>
        <v>25</v>
      </c>
      <c r="H5" s="7">
        <f>60+6+6+10+16+10+14+5+5+30</f>
        <v>162</v>
      </c>
      <c r="I5" s="7">
        <f>2+2+4+2+2+2+1+1+1+1+2+3+1+4+4+3+4+1+2+2+3+3+4+1+2+3+3+2+3+4+2+2+2+2+2+2+1+1</f>
        <v>86</v>
      </c>
      <c r="J5" s="9">
        <f t="shared" si="2"/>
        <v>0.80855539971899493</v>
      </c>
      <c r="K5" s="28">
        <v>0</v>
      </c>
      <c r="L5" s="28">
        <f>3+5+11+5+5+4+7+6+4+7+2+4+5+4+15+4</f>
        <v>91</v>
      </c>
      <c r="M5" s="9">
        <f t="shared" si="3"/>
        <v>0.69214586255179045</v>
      </c>
      <c r="N5" s="7">
        <v>17000</v>
      </c>
      <c r="O5" s="15">
        <f>AVERAGE(15000,15000,15000,17000,17000,15000)</f>
        <v>15666.666666666666</v>
      </c>
      <c r="P5" s="9">
        <f t="shared" si="4"/>
        <v>0.92156862745098034</v>
      </c>
      <c r="Q5" s="7">
        <v>7657</v>
      </c>
      <c r="R5" s="7">
        <v>22</v>
      </c>
      <c r="S5" s="7"/>
      <c r="T5" s="5"/>
      <c r="U5" s="10" t="str">
        <f t="shared" si="5"/>
        <v/>
      </c>
      <c r="V5" s="9">
        <f t="shared" si="6"/>
        <v>0.99712681206738929</v>
      </c>
      <c r="W5" s="11">
        <f t="shared" si="7"/>
        <v>0.74299836472115144</v>
      </c>
      <c r="X5" s="11">
        <f t="shared" si="8"/>
        <v>0.6360272211443001</v>
      </c>
    </row>
    <row r="6" spans="1:24">
      <c r="A6" s="29" t="s">
        <v>160</v>
      </c>
      <c r="B6" s="5">
        <v>45936</v>
      </c>
      <c r="C6" s="5">
        <v>45937.95416666667</v>
      </c>
      <c r="D6" s="6">
        <f t="shared" si="0"/>
        <v>2814.0000000048894</v>
      </c>
      <c r="E6" s="7">
        <v>100</v>
      </c>
      <c r="F6" s="7">
        <v>93</v>
      </c>
      <c r="G6" s="8">
        <f t="shared" si="1"/>
        <v>-7</v>
      </c>
      <c r="H6" s="7">
        <f>5+34+6+17+10+5+7+10+6+6+5+14+5+6</f>
        <v>136</v>
      </c>
      <c r="I6" s="7">
        <f>2+1+1+2+1+2+2+2+1+3+3+1+2+2+2+2+1+3+4+2+1+4</f>
        <v>44</v>
      </c>
      <c r="J6" s="9">
        <f t="shared" si="2"/>
        <v>0.93852167732775427</v>
      </c>
      <c r="K6" s="28">
        <v>29</v>
      </c>
      <c r="L6" s="28">
        <f>6+31+36+3+5+3+9+13+2+36+29+5+8+6+2+5+6+60+2+41+4+2+3+4</f>
        <v>321</v>
      </c>
      <c r="M6" s="9">
        <f t="shared" si="3"/>
        <v>0.778606965174514</v>
      </c>
      <c r="N6" s="7">
        <v>17000</v>
      </c>
      <c r="O6" s="15">
        <f>AVERAGE(17000,17000,17000,17000,17000,15000,15000,15000,15200,15000,15000,15000,17000,17000,17000,17000)</f>
        <v>16137.5</v>
      </c>
      <c r="P6" s="9">
        <f t="shared" si="4"/>
        <v>0.9492647058823529</v>
      </c>
      <c r="Q6" s="7">
        <v>6334</v>
      </c>
      <c r="R6" s="7">
        <v>22</v>
      </c>
      <c r="S6" s="7">
        <v>731</v>
      </c>
      <c r="T6" s="5">
        <v>45972.291666666664</v>
      </c>
      <c r="U6" s="10">
        <f t="shared" si="5"/>
        <v>34.337499999994179</v>
      </c>
      <c r="V6" s="9">
        <f t="shared" si="6"/>
        <v>0.88111777707609729</v>
      </c>
      <c r="W6" s="11">
        <f t="shared" si="7"/>
        <v>0.78499267726294597</v>
      </c>
      <c r="X6" s="11">
        <f t="shared" si="8"/>
        <v>0.65123777201202904</v>
      </c>
    </row>
    <row r="7" spans="1:24">
      <c r="A7" s="29" t="s">
        <v>161</v>
      </c>
      <c r="B7" s="5">
        <v>45937</v>
      </c>
      <c r="C7" s="5">
        <v>45937.708333333336</v>
      </c>
      <c r="D7" s="6">
        <f t="shared" si="0"/>
        <v>1020.0000000034925</v>
      </c>
      <c r="E7" s="7">
        <f>100+20</f>
        <v>120</v>
      </c>
      <c r="F7" s="7">
        <v>106</v>
      </c>
      <c r="G7" s="8">
        <f t="shared" si="1"/>
        <v>-14</v>
      </c>
      <c r="H7" s="7">
        <f>5+8+6</f>
        <v>19</v>
      </c>
      <c r="I7" s="7">
        <f>2+4+3+2+1+2+1+2+2+1+2+2+1+2+3+3+3+3+2+3+3+1</f>
        <v>48</v>
      </c>
      <c r="J7" s="9">
        <f t="shared" si="2"/>
        <v>0.94803921568645244</v>
      </c>
      <c r="K7" s="28">
        <v>0</v>
      </c>
      <c r="L7" s="28">
        <f>6+6+11+6+46+2+2+4+7+26+3+3</f>
        <v>122</v>
      </c>
      <c r="M7" s="9">
        <f t="shared" si="3"/>
        <v>0.71078431372648043</v>
      </c>
      <c r="N7" s="7">
        <v>17000</v>
      </c>
      <c r="O7" s="15">
        <f>AVERAGE(17000,17000,17000,17000,17000,14000,14000,14000,14000,14000,17000,18000,17000)</f>
        <v>15923.076923076924</v>
      </c>
      <c r="P7" s="9">
        <f t="shared" si="4"/>
        <v>0.93665158371040724</v>
      </c>
      <c r="Q7" s="15">
        <v>5709</v>
      </c>
      <c r="R7" s="15">
        <v>13</v>
      </c>
      <c r="S7" s="7">
        <v>1477</v>
      </c>
      <c r="T7" s="5">
        <v>45972.291666666664</v>
      </c>
      <c r="U7" s="10">
        <f t="shared" si="5"/>
        <v>34.583333333328483</v>
      </c>
      <c r="V7" s="9">
        <f t="shared" si="6"/>
        <v>0.73900858293921878</v>
      </c>
      <c r="W7" s="11">
        <f t="shared" si="7"/>
        <v>0.65622663933274883</v>
      </c>
      <c r="X7" s="11">
        <f t="shared" si="8"/>
        <v>0.49200032421594259</v>
      </c>
    </row>
    <row r="8" spans="1:24">
      <c r="A8" s="29" t="s">
        <v>135</v>
      </c>
      <c r="B8" s="5">
        <v>45971.638888888891</v>
      </c>
      <c r="C8" s="5">
        <v>45971.895833333336</v>
      </c>
      <c r="D8" s="6">
        <f t="shared" si="0"/>
        <v>370.00000000116415</v>
      </c>
      <c r="E8" s="7">
        <v>0</v>
      </c>
      <c r="F8" s="7">
        <v>0</v>
      </c>
      <c r="G8" s="8">
        <f t="shared" si="1"/>
        <v>0</v>
      </c>
      <c r="H8" s="7">
        <f>10+25+5+8+7+5+6</f>
        <v>66</v>
      </c>
      <c r="I8" s="7">
        <f>3+4+3+3+3+1</f>
        <v>17</v>
      </c>
      <c r="J8" s="9">
        <f t="shared" si="2"/>
        <v>0.77567567567638152</v>
      </c>
      <c r="K8" s="28">
        <v>0</v>
      </c>
      <c r="L8" s="28">
        <f>2+5+5</f>
        <v>12</v>
      </c>
      <c r="M8" s="9">
        <f t="shared" si="3"/>
        <v>0.74324324324405111</v>
      </c>
      <c r="N8" s="7">
        <v>17000</v>
      </c>
      <c r="O8" s="15">
        <f>AVERAGE(17000,17000,17000,17000,17000,17000)</f>
        <v>17000</v>
      </c>
      <c r="P8" s="9">
        <f t="shared" si="4"/>
        <v>1</v>
      </c>
      <c r="Q8" s="15">
        <v>2675</v>
      </c>
      <c r="R8" s="15">
        <v>14</v>
      </c>
      <c r="S8" s="7"/>
      <c r="T8" s="5"/>
      <c r="U8" s="10" t="str">
        <f t="shared" si="5"/>
        <v/>
      </c>
      <c r="V8" s="9">
        <f t="shared" si="6"/>
        <v>0.99476635514018696</v>
      </c>
      <c r="W8" s="11">
        <f t="shared" si="7"/>
        <v>0.77161606466349586</v>
      </c>
      <c r="X8" s="11">
        <f t="shared" si="8"/>
        <v>0.73935337206445606</v>
      </c>
    </row>
    <row r="9" spans="1:24">
      <c r="A9" s="29" t="s">
        <v>162</v>
      </c>
      <c r="B9" s="5">
        <v>45972.350694444445</v>
      </c>
      <c r="C9" s="5">
        <v>45972.920138888891</v>
      </c>
      <c r="D9" s="6">
        <f t="shared" si="0"/>
        <v>820.00000000116415</v>
      </c>
      <c r="E9" s="7">
        <v>7</v>
      </c>
      <c r="F9" s="7">
        <v>8</v>
      </c>
      <c r="G9" s="8">
        <f t="shared" si="1"/>
        <v>1</v>
      </c>
      <c r="H9" s="7">
        <f>6+9+6+10+7+5+6+8+9+13+8+6+7+7+5+7+11+7+18+6+5+6+8+5+21</f>
        <v>206</v>
      </c>
      <c r="I9" s="7">
        <f>4+4+3+4+3+3+4+4+2+2+3+3+1+3+3+4+2</f>
        <v>52</v>
      </c>
      <c r="J9" s="9">
        <f t="shared" si="2"/>
        <v>0.68414634146386311</v>
      </c>
      <c r="K9" s="28">
        <v>0</v>
      </c>
      <c r="L9" s="28">
        <f>4+5+7+6+4</f>
        <v>26</v>
      </c>
      <c r="M9" s="9">
        <f t="shared" si="3"/>
        <v>0.64390243902489575</v>
      </c>
      <c r="N9" s="7">
        <v>17000</v>
      </c>
      <c r="O9" s="15">
        <f>AVERAGE(15500,15500,15500,15500,15500,15500,15500,15500,15500,15500)</f>
        <v>15500</v>
      </c>
      <c r="P9" s="9">
        <f t="shared" si="4"/>
        <v>0.91176470588235292</v>
      </c>
      <c r="Q9" s="15">
        <v>3225</v>
      </c>
      <c r="R9" s="15">
        <v>8</v>
      </c>
      <c r="S9" s="7"/>
      <c r="T9" s="5"/>
      <c r="U9" s="10" t="str">
        <f t="shared" si="5"/>
        <v/>
      </c>
      <c r="V9" s="9">
        <f t="shared" si="6"/>
        <v>0.9975193798449612</v>
      </c>
      <c r="W9" s="11">
        <f t="shared" si="7"/>
        <v>0.62223312535491726</v>
      </c>
      <c r="X9" s="11">
        <f t="shared" si="8"/>
        <v>0.58563117680470389</v>
      </c>
    </row>
    <row r="10" spans="1:24">
      <c r="A10" s="29" t="s">
        <v>163</v>
      </c>
      <c r="B10" s="5">
        <v>45973.343055555553</v>
      </c>
      <c r="C10" s="5">
        <v>45973.934027777781</v>
      </c>
      <c r="D10" s="6">
        <f t="shared" si="0"/>
        <v>851.00000000791624</v>
      </c>
      <c r="E10" s="7">
        <v>7</v>
      </c>
      <c r="F10" s="7">
        <v>14</v>
      </c>
      <c r="G10" s="8">
        <f t="shared" si="1"/>
        <v>7</v>
      </c>
      <c r="H10" s="7">
        <f>9+6+58+60+42+6+12+8+7+14+7+12+10+6+7+5</f>
        <v>269</v>
      </c>
      <c r="I10" s="7">
        <f>2+2+3+4+3+4+4+4+3+4+4</f>
        <v>37</v>
      </c>
      <c r="J10" s="9">
        <f t="shared" si="2"/>
        <v>0.63219741480953184</v>
      </c>
      <c r="K10" s="28">
        <v>5</v>
      </c>
      <c r="L10" s="28">
        <f>3+3+2+3</f>
        <v>11</v>
      </c>
      <c r="M10" s="9">
        <f t="shared" si="3"/>
        <v>0.60517038778275623</v>
      </c>
      <c r="N10" s="7">
        <v>17000</v>
      </c>
      <c r="O10" s="15">
        <f>AVERAGE(15000,15000,15000,15000,15000,15000,15000,15000,15000,15000,15000)</f>
        <v>15000</v>
      </c>
      <c r="P10" s="9">
        <f t="shared" si="4"/>
        <v>0.88235294117647056</v>
      </c>
      <c r="Q10" s="15">
        <v>3937</v>
      </c>
      <c r="R10" s="15">
        <v>48</v>
      </c>
      <c r="S10" s="7"/>
      <c r="T10" s="5"/>
      <c r="U10" s="10" t="str">
        <f t="shared" si="5"/>
        <v/>
      </c>
      <c r="V10" s="9">
        <f t="shared" si="6"/>
        <v>0.98780797561595124</v>
      </c>
      <c r="W10" s="11">
        <f t="shared" si="7"/>
        <v>0.55102027809938947</v>
      </c>
      <c r="X10" s="11">
        <f t="shared" si="8"/>
        <v>0.52746364911035692</v>
      </c>
    </row>
    <row r="11" spans="1:24">
      <c r="A11" s="29" t="s">
        <v>164</v>
      </c>
      <c r="B11" s="5">
        <v>45974.347222222219</v>
      </c>
      <c r="C11" s="5">
        <v>45974.758333333331</v>
      </c>
      <c r="D11" s="6">
        <f t="shared" si="0"/>
        <v>592.00000000186265</v>
      </c>
      <c r="E11" s="7">
        <v>7</v>
      </c>
      <c r="F11" s="7">
        <v>2</v>
      </c>
      <c r="G11" s="8">
        <f t="shared" si="1"/>
        <v>-5</v>
      </c>
      <c r="H11" s="7">
        <f>7+6+15+5+46+12+60</f>
        <v>151</v>
      </c>
      <c r="I11" s="7">
        <f>3+4+3+1+3+2+2+3+3+2+2+2+3+1</f>
        <v>34</v>
      </c>
      <c r="J11" s="9">
        <f t="shared" si="2"/>
        <v>0.69594594594690262</v>
      </c>
      <c r="K11" s="28">
        <v>0</v>
      </c>
      <c r="L11" s="28">
        <f>4+15+2+10</f>
        <v>31</v>
      </c>
      <c r="M11" s="9">
        <f t="shared" si="3"/>
        <v>0.63175675675791543</v>
      </c>
      <c r="N11" s="7">
        <v>17000</v>
      </c>
      <c r="O11" s="15">
        <f>AVERAGE(15000,14500,15500,15500,15500,17000,17000)</f>
        <v>15714.285714285714</v>
      </c>
      <c r="P11" s="9">
        <f t="shared" si="4"/>
        <v>0.9243697478991596</v>
      </c>
      <c r="Q11" s="15">
        <v>3215</v>
      </c>
      <c r="R11" s="15">
        <v>20</v>
      </c>
      <c r="S11" s="7"/>
      <c r="T11" s="5"/>
      <c r="U11" s="10" t="str">
        <f t="shared" si="5"/>
        <v/>
      </c>
      <c r="V11" s="9">
        <f t="shared" si="6"/>
        <v>0.99377916018662515</v>
      </c>
      <c r="W11" s="11">
        <f t="shared" si="7"/>
        <v>0.63930944156994884</v>
      </c>
      <c r="X11" s="11">
        <f t="shared" si="8"/>
        <v>0.58034400763900662</v>
      </c>
    </row>
    <row r="12" spans="1:24">
      <c r="A12" s="29" t="s">
        <v>59</v>
      </c>
      <c r="B12" s="5">
        <v>45975.355555555558</v>
      </c>
      <c r="C12" s="5">
        <v>45975.825694444444</v>
      </c>
      <c r="D12" s="6">
        <f t="shared" si="0"/>
        <v>676.99999999604188</v>
      </c>
      <c r="E12" s="7">
        <v>0</v>
      </c>
      <c r="F12" s="7">
        <v>0</v>
      </c>
      <c r="G12" s="8">
        <f t="shared" si="1"/>
        <v>0</v>
      </c>
      <c r="H12" s="7">
        <f>6+21+43+54+60+60+45+7+24+45+10</f>
        <v>375</v>
      </c>
      <c r="I12" s="7">
        <f>2+4+4+3+4+3+2</f>
        <v>22</v>
      </c>
      <c r="J12" s="9">
        <f t="shared" si="2"/>
        <v>0.41358936484147552</v>
      </c>
      <c r="K12" s="28">
        <v>0</v>
      </c>
      <c r="L12" s="28">
        <v>0</v>
      </c>
      <c r="M12" s="9">
        <f t="shared" si="3"/>
        <v>0.41358936484147552</v>
      </c>
      <c r="N12" s="7">
        <v>17000</v>
      </c>
      <c r="O12" s="15">
        <f>AVERAGE(15600,15600,15600,15600,12000,18000)</f>
        <v>15400</v>
      </c>
      <c r="P12" s="9">
        <f t="shared" si="4"/>
        <v>0.90588235294117647</v>
      </c>
      <c r="Q12" s="15">
        <v>2045</v>
      </c>
      <c r="R12" s="15">
        <v>14</v>
      </c>
      <c r="S12" s="7"/>
      <c r="T12" s="5"/>
      <c r="U12" s="10" t="str">
        <f t="shared" si="5"/>
        <v/>
      </c>
      <c r="V12" s="9">
        <f t="shared" si="6"/>
        <v>0.99315403422982884</v>
      </c>
      <c r="W12" s="11">
        <f t="shared" si="7"/>
        <v>0.37209837479915908</v>
      </c>
      <c r="X12" s="11">
        <f t="shared" si="8"/>
        <v>0.37209837479915908</v>
      </c>
    </row>
    <row r="13" spans="1:24">
      <c r="A13" s="29" t="s">
        <v>59</v>
      </c>
      <c r="B13" s="5">
        <v>45978.0625</v>
      </c>
      <c r="C13" s="5">
        <v>45978.364583333336</v>
      </c>
      <c r="D13" s="6">
        <f t="shared" si="0"/>
        <v>435.00000000349246</v>
      </c>
      <c r="E13" s="7">
        <v>0</v>
      </c>
      <c r="F13" s="7">
        <v>0</v>
      </c>
      <c r="G13" s="8">
        <f t="shared" si="1"/>
        <v>0</v>
      </c>
      <c r="H13" s="7">
        <v>0</v>
      </c>
      <c r="I13" s="7">
        <f>2+3+3+3+2+2+2+2+1+4</f>
        <v>24</v>
      </c>
      <c r="J13" s="9">
        <f t="shared" si="2"/>
        <v>0.94482758620733953</v>
      </c>
      <c r="K13" s="28">
        <v>0</v>
      </c>
      <c r="L13" s="28">
        <f>4+3+4+5+5+10</f>
        <v>31</v>
      </c>
      <c r="M13" s="9">
        <f t="shared" si="3"/>
        <v>0.87356321839181972</v>
      </c>
      <c r="N13" s="7">
        <v>17000</v>
      </c>
      <c r="O13" s="15">
        <f>AVERAGE(17000,17000,17000,17000,17000,17000,17000)</f>
        <v>17000</v>
      </c>
      <c r="P13" s="9">
        <f t="shared" si="4"/>
        <v>1</v>
      </c>
      <c r="Q13" s="15">
        <v>3337</v>
      </c>
      <c r="R13" s="15">
        <v>13</v>
      </c>
      <c r="S13" s="7"/>
      <c r="T13" s="5"/>
      <c r="U13" s="10" t="str">
        <f t="shared" si="5"/>
        <v/>
      </c>
      <c r="V13" s="9">
        <f t="shared" ref="V13" si="9">IF(B13="","",IF(U13&lt;3,(Q13-R13)/Q13,(Q13-R13-S13)/Q13))</f>
        <v>0.99610428528618522</v>
      </c>
      <c r="W13" s="11">
        <f t="shared" ref="W13" si="10">IF(B13="","",V13*P13*J13)</f>
        <v>0.94114680747773349</v>
      </c>
      <c r="X13" s="11">
        <f t="shared" ref="X13" si="11">IF(B13="","",V13*P13*M13)</f>
        <v>0.87016006530848333</v>
      </c>
    </row>
    <row r="14" spans="1:24">
      <c r="A14" s="29" t="s">
        <v>71</v>
      </c>
      <c r="B14" s="5">
        <v>45979.354166666664</v>
      </c>
      <c r="C14" s="5">
        <v>45979.986111111109</v>
      </c>
      <c r="D14" s="6">
        <f t="shared" si="0"/>
        <v>910.00000000116415</v>
      </c>
      <c r="E14" s="7">
        <v>10</v>
      </c>
      <c r="F14" s="7">
        <v>12</v>
      </c>
      <c r="G14" s="8">
        <f t="shared" si="1"/>
        <v>2</v>
      </c>
      <c r="H14" s="7">
        <f>6+10+5+10+5+10</f>
        <v>46</v>
      </c>
      <c r="I14" s="7">
        <f>4+3+4+4+2+2+3+2+1+1+1+2+3+3+4+3+3+1+4+3+4</f>
        <v>57</v>
      </c>
      <c r="J14" s="9">
        <f t="shared" si="2"/>
        <v>0.88461538461553224</v>
      </c>
      <c r="K14" s="28">
        <v>0</v>
      </c>
      <c r="L14" s="28">
        <f>5+10+13+7+5+1+2</f>
        <v>43</v>
      </c>
      <c r="M14" s="9">
        <f t="shared" si="3"/>
        <v>0.82637362637384848</v>
      </c>
      <c r="N14" s="7">
        <v>17000</v>
      </c>
      <c r="O14" s="15">
        <f>AVERAGE(15000,15600,15600,15600,15600,15600,15600,15600,17000,17000,15000,15000,15000,17000)</f>
        <v>15728.571428571429</v>
      </c>
      <c r="P14" s="9">
        <f t="shared" si="4"/>
        <v>0.92521008403361349</v>
      </c>
      <c r="Q14" s="15">
        <v>6249</v>
      </c>
      <c r="R14" s="15">
        <v>48</v>
      </c>
      <c r="S14" s="7"/>
      <c r="T14" s="5"/>
      <c r="U14" s="10" t="str">
        <f t="shared" si="5"/>
        <v/>
      </c>
      <c r="V14" s="9">
        <f t="shared" si="6"/>
        <v>0.99231877100336052</v>
      </c>
      <c r="W14" s="11">
        <f t="shared" si="7"/>
        <v>0.81216833348811546</v>
      </c>
      <c r="X14" s="11">
        <f t="shared" si="8"/>
        <v>0.75869638109704973</v>
      </c>
    </row>
    <row r="15" spans="1:24">
      <c r="A15" s="29" t="s">
        <v>165</v>
      </c>
      <c r="B15" s="5">
        <v>45980</v>
      </c>
      <c r="C15" s="5">
        <v>45981</v>
      </c>
      <c r="D15" s="6">
        <f t="shared" si="0"/>
        <v>1440</v>
      </c>
      <c r="E15" s="7">
        <v>60</v>
      </c>
      <c r="F15" s="7">
        <v>60</v>
      </c>
      <c r="G15" s="8">
        <f t="shared" si="1"/>
        <v>0</v>
      </c>
      <c r="H15" s="7">
        <f>7+9+5+6+53+60+28+6+14+7+6+9+9+6+5</f>
        <v>230</v>
      </c>
      <c r="I15" s="7">
        <f>4+1+4+3+1+2+2+3+3+1+4+2+2+3+3+4+4+3+4+2+3+3</f>
        <v>61</v>
      </c>
      <c r="J15" s="9">
        <f t="shared" si="2"/>
        <v>0.79791666666666672</v>
      </c>
      <c r="K15" s="28">
        <v>0</v>
      </c>
      <c r="L15" s="28">
        <f>12+3+13+60+60+45+41+26+30+6</f>
        <v>296</v>
      </c>
      <c r="M15" s="9">
        <f t="shared" si="3"/>
        <v>0.55069444444444449</v>
      </c>
      <c r="N15" s="7">
        <v>17000</v>
      </c>
      <c r="O15" s="15">
        <f>AVERAGE(15000,15000,15000,15000,15000,15000,15000,15000)</f>
        <v>15000</v>
      </c>
      <c r="P15" s="9">
        <f t="shared" si="4"/>
        <v>0.88235294117647056</v>
      </c>
      <c r="Q15" s="15">
        <v>5913</v>
      </c>
      <c r="R15" s="15">
        <v>23</v>
      </c>
      <c r="S15" s="7">
        <v>18</v>
      </c>
      <c r="T15" s="5">
        <v>45980.708333333336</v>
      </c>
      <c r="U15" s="10">
        <f t="shared" si="5"/>
        <v>-0.29166666666424135</v>
      </c>
      <c r="V15" s="9">
        <f t="shared" si="6"/>
        <v>0.99611026551665816</v>
      </c>
      <c r="W15" s="11">
        <f t="shared" si="7"/>
        <v>0.70130557296485319</v>
      </c>
      <c r="X15" s="11">
        <f t="shared" si="8"/>
        <v>0.48401681406538605</v>
      </c>
    </row>
    <row r="16" spans="1:24">
      <c r="A16" s="29" t="s">
        <v>166</v>
      </c>
      <c r="B16" s="5">
        <v>45981.004166666666</v>
      </c>
      <c r="C16" s="5">
        <v>45982</v>
      </c>
      <c r="D16" s="6">
        <f t="shared" si="0"/>
        <v>1434.000000001397</v>
      </c>
      <c r="E16" s="7">
        <v>60</v>
      </c>
      <c r="F16" s="7">
        <v>48</v>
      </c>
      <c r="G16" s="8">
        <f t="shared" si="1"/>
        <v>-12</v>
      </c>
      <c r="H16" s="7">
        <f>6+5+5+15+10+20+13+5+9+5+9+7+5+5</f>
        <v>119</v>
      </c>
      <c r="I16" s="7">
        <f>3+3+2+2+3+3+2+1+2+3+3+3+2+2+2+2+3+3+4+3+4+3+3+4+4</f>
        <v>69</v>
      </c>
      <c r="J16" s="9">
        <f t="shared" si="2"/>
        <v>0.87726638772675836</v>
      </c>
      <c r="K16" s="28">
        <v>0</v>
      </c>
      <c r="L16" s="28">
        <f>6+5+35+60+60+60+4+7+7+2+10+48+12+60+60+60+20+1+5+8</f>
        <v>530</v>
      </c>
      <c r="M16" s="9">
        <f t="shared" si="3"/>
        <v>0.46582984658350501</v>
      </c>
      <c r="N16" s="7">
        <v>17000</v>
      </c>
      <c r="O16" s="15">
        <f>AVERAGE(16000,16000,16000,16000,16000,16000,16000,16000,16000,16000,16000,15000,15000,15000,15000,15000)</f>
        <v>15687.5</v>
      </c>
      <c r="P16" s="9">
        <f t="shared" si="4"/>
        <v>0.92279411764705888</v>
      </c>
      <c r="Q16" s="15">
        <v>5697</v>
      </c>
      <c r="R16" s="15">
        <v>33</v>
      </c>
      <c r="S16" s="7"/>
      <c r="T16" s="5"/>
      <c r="U16" s="10" t="str">
        <f t="shared" si="5"/>
        <v/>
      </c>
      <c r="V16" s="9">
        <f t="shared" si="6"/>
        <v>0.99420747761979988</v>
      </c>
      <c r="W16" s="11">
        <f t="shared" si="7"/>
        <v>0.80484700528733788</v>
      </c>
      <c r="X16" s="11">
        <f t="shared" si="8"/>
        <v>0.42737503937398169</v>
      </c>
    </row>
    <row r="17" spans="1:24">
      <c r="A17" s="29" t="s">
        <v>109</v>
      </c>
      <c r="B17" s="5">
        <v>45982.00277777778</v>
      </c>
      <c r="C17" s="5">
        <v>45982.80972222222</v>
      </c>
      <c r="D17" s="6">
        <f t="shared" si="0"/>
        <v>1161.9999999948777</v>
      </c>
      <c r="E17" s="7">
        <v>60</v>
      </c>
      <c r="F17" s="7">
        <v>57</v>
      </c>
      <c r="G17" s="8">
        <f t="shared" si="1"/>
        <v>-3</v>
      </c>
      <c r="H17" s="7">
        <f>36</f>
        <v>36</v>
      </c>
      <c r="I17" s="7">
        <f>3+3+3+2+3+4+4+1+3+3+2+2+1+2+3+3+1+2+2+2+1+2+2+2+2+1+3+2+3+2+2</f>
        <v>71</v>
      </c>
      <c r="J17" s="9">
        <f t="shared" si="2"/>
        <v>0.91049913941440752</v>
      </c>
      <c r="K17" s="28">
        <v>0</v>
      </c>
      <c r="L17" s="28">
        <f>5+4+1+8</f>
        <v>18</v>
      </c>
      <c r="M17" s="9">
        <f t="shared" si="3"/>
        <v>0.84337349397521322</v>
      </c>
      <c r="N17" s="7">
        <v>17000</v>
      </c>
      <c r="O17" s="15">
        <f>AVERAGE(17000,16000,17000,17000,17000,17000,17000,17000,17000,17000,17000,17000,17000,17000,15000,15000,15000,15000)</f>
        <v>16500</v>
      </c>
      <c r="P17" s="9">
        <f t="shared" si="4"/>
        <v>0.97058823529411764</v>
      </c>
      <c r="Q17" s="15">
        <v>8725</v>
      </c>
      <c r="R17" s="15">
        <v>29</v>
      </c>
      <c r="S17" s="7">
        <f>70*3+61</f>
        <v>271</v>
      </c>
      <c r="T17" s="5">
        <v>45988</v>
      </c>
      <c r="U17" s="10">
        <f t="shared" si="5"/>
        <v>5.1902777777795563</v>
      </c>
      <c r="V17" s="9">
        <f t="shared" si="6"/>
        <v>0.96561604584527216</v>
      </c>
      <c r="W17" s="11">
        <f t="shared" si="7"/>
        <v>0.85333397348960272</v>
      </c>
      <c r="X17" s="11">
        <f t="shared" si="8"/>
        <v>0.79042277317531984</v>
      </c>
    </row>
    <row r="18" spans="1:24">
      <c r="A18" s="29" t="s">
        <v>59</v>
      </c>
      <c r="B18" s="5">
        <v>45983.503472222219</v>
      </c>
      <c r="C18" s="5">
        <v>45983.927777777775</v>
      </c>
      <c r="D18" s="6">
        <f t="shared" si="0"/>
        <v>611.00000000093132</v>
      </c>
      <c r="E18" s="7">
        <v>0</v>
      </c>
      <c r="F18" s="7">
        <v>0</v>
      </c>
      <c r="G18" s="8">
        <f t="shared" si="1"/>
        <v>0</v>
      </c>
      <c r="H18" s="7">
        <f>5+31+5+35+23+15+5+9+7+5</f>
        <v>140</v>
      </c>
      <c r="I18" s="7">
        <f>2+3+3+4+1+2+4+2</f>
        <v>21</v>
      </c>
      <c r="J18" s="9">
        <f t="shared" si="2"/>
        <v>0.736497545008585</v>
      </c>
      <c r="K18" s="28">
        <v>0</v>
      </c>
      <c r="L18" s="28">
        <f>3+6+4</f>
        <v>13</v>
      </c>
      <c r="M18" s="9">
        <f t="shared" si="3"/>
        <v>0.71522094926393653</v>
      </c>
      <c r="N18" s="7">
        <v>17000</v>
      </c>
      <c r="O18" s="15">
        <f>AVERAGE(17000,17000,17000,17000,17000,17000,17000,15000)</f>
        <v>16750</v>
      </c>
      <c r="P18" s="9">
        <f t="shared" si="4"/>
        <v>0.98529411764705888</v>
      </c>
      <c r="Q18" s="15">
        <v>3780</v>
      </c>
      <c r="R18" s="15">
        <v>33</v>
      </c>
      <c r="S18" s="7"/>
      <c r="T18" s="5"/>
      <c r="U18" s="10" t="str">
        <f t="shared" si="5"/>
        <v/>
      </c>
      <c r="V18" s="9">
        <f t="shared" si="6"/>
        <v>0.9912698412698413</v>
      </c>
      <c r="W18" s="11">
        <f t="shared" si="7"/>
        <v>0.71933151329310718</v>
      </c>
      <c r="X18" s="11">
        <f t="shared" si="8"/>
        <v>0.69855082513134925</v>
      </c>
    </row>
    <row r="19" spans="1:24">
      <c r="A19" s="29" t="s">
        <v>59</v>
      </c>
      <c r="B19" s="5">
        <v>45984.350694444445</v>
      </c>
      <c r="C19" s="5">
        <v>45984.90902777778</v>
      </c>
      <c r="D19" s="6">
        <f t="shared" si="0"/>
        <v>804.00000000139698</v>
      </c>
      <c r="E19" s="7">
        <v>0</v>
      </c>
      <c r="F19" s="7">
        <v>0</v>
      </c>
      <c r="G19" s="8">
        <f t="shared" si="1"/>
        <v>0</v>
      </c>
      <c r="H19" s="7">
        <f>5+6+6+6+7+17+6+6+6+8+5+5+8+5+11</f>
        <v>107</v>
      </c>
      <c r="I19" s="7">
        <f>4+4+3+3+3+3+2+2+4+2+2+3+1+3+2+3+2+3+2+4+2</f>
        <v>57</v>
      </c>
      <c r="J19" s="9">
        <f t="shared" si="2"/>
        <v>0.79601990049786686</v>
      </c>
      <c r="K19" s="28">
        <v>0</v>
      </c>
      <c r="L19" s="28">
        <f>12+11+50+3+3+6+7+8</f>
        <v>100</v>
      </c>
      <c r="M19" s="9">
        <f t="shared" si="3"/>
        <v>0.6716417910453466</v>
      </c>
      <c r="N19" s="7">
        <v>17000</v>
      </c>
      <c r="O19" s="15">
        <v>17000</v>
      </c>
      <c r="P19" s="9">
        <f t="shared" si="4"/>
        <v>1</v>
      </c>
      <c r="Q19" s="15">
        <v>4328</v>
      </c>
      <c r="R19" s="15">
        <v>39</v>
      </c>
      <c r="S19" s="7"/>
      <c r="T19" s="5"/>
      <c r="U19" s="10" t="str">
        <f t="shared" si="5"/>
        <v/>
      </c>
      <c r="V19" s="9">
        <f t="shared" si="6"/>
        <v>0.99098890942698703</v>
      </c>
      <c r="W19" s="11">
        <f t="shared" si="7"/>
        <v>0.78884689307655986</v>
      </c>
      <c r="X19" s="11">
        <f t="shared" si="8"/>
        <v>0.6655895660336163</v>
      </c>
    </row>
    <row r="20" spans="1:24">
      <c r="A20" s="29" t="s">
        <v>167</v>
      </c>
      <c r="B20" s="5">
        <v>45986.405555555553</v>
      </c>
      <c r="C20" s="5">
        <v>45987</v>
      </c>
      <c r="D20" s="6">
        <f t="shared" si="0"/>
        <v>856.00000000325963</v>
      </c>
      <c r="E20" s="7">
        <f>7+7</f>
        <v>14</v>
      </c>
      <c r="F20" s="7">
        <v>16</v>
      </c>
      <c r="G20" s="8">
        <f t="shared" si="1"/>
        <v>2</v>
      </c>
      <c r="H20" s="7">
        <f>13+24+14+6+11+5+8+11+5+7+20+36+30</f>
        <v>190</v>
      </c>
      <c r="I20" s="7">
        <f>2+2+2+2+2</f>
        <v>10</v>
      </c>
      <c r="J20" s="9">
        <f t="shared" si="2"/>
        <v>0.76401869158968361</v>
      </c>
      <c r="K20" s="28">
        <v>0</v>
      </c>
      <c r="L20" s="28">
        <f>25+44+9+3+8+10+8+11+12+23</f>
        <v>153</v>
      </c>
      <c r="M20" s="9">
        <f t="shared" si="3"/>
        <v>0.56892523364650138</v>
      </c>
      <c r="N20" s="7">
        <v>17000</v>
      </c>
      <c r="O20" s="15">
        <f>AVERAGE(17000,16200,15000,15000,17000,16500,17000,17000,17000,17000,17000,17000)</f>
        <v>16558.333333333332</v>
      </c>
      <c r="P20" s="9">
        <f t="shared" si="4"/>
        <v>0.97401960784313724</v>
      </c>
      <c r="Q20" s="15">
        <v>3781</v>
      </c>
      <c r="R20" s="15">
        <v>39</v>
      </c>
      <c r="S20" s="7">
        <v>71.11</v>
      </c>
      <c r="T20" s="5">
        <v>45989.6875</v>
      </c>
      <c r="U20" s="10">
        <f t="shared" si="5"/>
        <v>2.6875</v>
      </c>
      <c r="V20" s="9">
        <f t="shared" si="6"/>
        <v>0.98968526844750071</v>
      </c>
      <c r="W20" s="11">
        <f t="shared" si="7"/>
        <v>0.73649328097999289</v>
      </c>
      <c r="X20" s="11">
        <f t="shared" si="8"/>
        <v>0.54842848293252233</v>
      </c>
    </row>
    <row r="21" spans="1:24">
      <c r="A21" s="29" t="s">
        <v>168</v>
      </c>
      <c r="B21" s="5">
        <v>45987.006944444445</v>
      </c>
      <c r="C21" s="5">
        <v>45987.947222222225</v>
      </c>
      <c r="D21" s="6">
        <f t="shared" si="0"/>
        <v>1354.0000000025611</v>
      </c>
      <c r="E21" s="7">
        <v>60</v>
      </c>
      <c r="F21" s="7">
        <v>87</v>
      </c>
      <c r="G21" s="8">
        <f t="shared" si="1"/>
        <v>27</v>
      </c>
      <c r="H21" s="7">
        <f>6+7+39+10+20+5+6+8+5+6+12+5+6+5+5+10+8+6</f>
        <v>169</v>
      </c>
      <c r="I21" s="7">
        <f>3+3+4+3+3+3+2+2+1+2+2+3+4+4+1+2+2+2+3+1+2+1+2+3</f>
        <v>58</v>
      </c>
      <c r="J21" s="9">
        <f t="shared" si="2"/>
        <v>0.81240768094570193</v>
      </c>
      <c r="K21" s="28">
        <v>0</v>
      </c>
      <c r="L21" s="28">
        <f>3+41+30+60+50+8+3+11+10+2+13+3+16+60</f>
        <v>310</v>
      </c>
      <c r="M21" s="9">
        <f t="shared" si="3"/>
        <v>0.53914327917369298</v>
      </c>
      <c r="N21" s="7">
        <v>17000</v>
      </c>
      <c r="O21" s="15">
        <f>AVERAGE(16000,16000,16000,16000,16500,16000,16000,16000,16000,16000,16000,17000,17000,17000,17000,17000,17000,17000,17000)</f>
        <v>16447.36842105263</v>
      </c>
      <c r="P21" s="9">
        <f t="shared" si="4"/>
        <v>0.96749226006191935</v>
      </c>
      <c r="Q21" s="15">
        <v>6094</v>
      </c>
      <c r="R21" s="15">
        <v>20</v>
      </c>
      <c r="S21" s="7"/>
      <c r="T21" s="5"/>
      <c r="U21" s="10" t="str">
        <f t="shared" si="5"/>
        <v/>
      </c>
      <c r="V21" s="9">
        <f t="shared" si="6"/>
        <v>0.99671808336068268</v>
      </c>
      <c r="W21" s="11">
        <f t="shared" si="7"/>
        <v>0.78341856294475321</v>
      </c>
      <c r="X21" s="11">
        <f t="shared" si="8"/>
        <v>0.51990504631849521</v>
      </c>
    </row>
    <row r="22" spans="1:24">
      <c r="A22" s="29" t="s">
        <v>169</v>
      </c>
      <c r="B22" s="5">
        <v>45988.012499999997</v>
      </c>
      <c r="C22" s="5">
        <v>45989</v>
      </c>
      <c r="D22" s="6">
        <f t="shared" si="0"/>
        <v>1422.000000004191</v>
      </c>
      <c r="E22" s="7">
        <v>45</v>
      </c>
      <c r="F22" s="7">
        <v>45</v>
      </c>
      <c r="G22" s="8">
        <f t="shared" si="1"/>
        <v>0</v>
      </c>
      <c r="H22" s="7">
        <f>7+6+13+8+11+5+9+60+60+26+18+60+60+60+60+60+60+40+6+7+9+9</f>
        <v>654</v>
      </c>
      <c r="I22" s="7">
        <f>2+2+1+2+1+1+1+2+3+2+2+1+3+3+2+1+1+1+3+1+2</f>
        <v>37</v>
      </c>
      <c r="J22" s="9">
        <f>IF(B22="","",(D22-G22-H22-I22)/D22)</f>
        <v>0.51406469761043361</v>
      </c>
      <c r="K22" s="28">
        <v>0</v>
      </c>
      <c r="L22" s="28">
        <f>41</f>
        <v>41</v>
      </c>
      <c r="M22" s="9">
        <f t="shared" si="3"/>
        <v>0.45358649789190575</v>
      </c>
      <c r="N22" s="7">
        <v>17000</v>
      </c>
      <c r="O22" s="15">
        <f>AVERAGE(15000,15000,15000,15000,15000,15000,15000,15000,15000,17000,16300,17000,17000)</f>
        <v>15561.538461538461</v>
      </c>
      <c r="P22" s="9">
        <f t="shared" si="4"/>
        <v>0.91538461538461535</v>
      </c>
      <c r="Q22" s="15">
        <v>4403</v>
      </c>
      <c r="R22" s="15">
        <v>20</v>
      </c>
      <c r="S22" s="7">
        <f>13*70+34</f>
        <v>944</v>
      </c>
      <c r="T22" s="5">
        <v>45988.291666666664</v>
      </c>
      <c r="U22" s="10">
        <f t="shared" si="5"/>
        <v>-0.70833333333575865</v>
      </c>
      <c r="V22" s="9">
        <f t="shared" si="6"/>
        <v>0.99545764251646607</v>
      </c>
      <c r="W22" s="11">
        <f t="shared" si="7"/>
        <v>0.46842943235478801</v>
      </c>
      <c r="X22" s="11">
        <f t="shared" si="8"/>
        <v>0.41332008737218767</v>
      </c>
    </row>
    <row r="23" spans="1:24">
      <c r="A23" s="29" t="s">
        <v>170</v>
      </c>
      <c r="B23" s="5">
        <v>45989.006944444445</v>
      </c>
      <c r="C23" s="5">
        <v>45989.840277777781</v>
      </c>
      <c r="D23" s="6">
        <f t="shared" si="0"/>
        <v>1200.0000000034925</v>
      </c>
      <c r="E23" s="7">
        <v>60</v>
      </c>
      <c r="F23" s="7">
        <v>57</v>
      </c>
      <c r="G23" s="8">
        <f t="shared" si="1"/>
        <v>-3</v>
      </c>
      <c r="H23" s="7">
        <f>6+30+5+13+6+20+10+10+13+10+6</f>
        <v>129</v>
      </c>
      <c r="I23" s="7">
        <f>3+4+4+3+2+1+2+2+4+2+2+2+2+2+2+2+3+4+2+2+2+1+2+4+1+3</f>
        <v>63</v>
      </c>
      <c r="J23" s="9">
        <f t="shared" si="2"/>
        <v>0.84250000000045844</v>
      </c>
      <c r="K23" s="28">
        <v>0</v>
      </c>
      <c r="L23" s="28">
        <f>46+8+35+32+20+3+2+3+3+16+24+6</f>
        <v>198</v>
      </c>
      <c r="M23" s="9">
        <f t="shared" si="3"/>
        <v>0.62750000000108408</v>
      </c>
      <c r="N23" s="7">
        <v>17000</v>
      </c>
      <c r="O23" s="15">
        <f>AVERAGE(16000,16000,16000,16000,16000,16000,16000,17000,17000,17000,17000,17000,17000,17000)</f>
        <v>16500</v>
      </c>
      <c r="P23" s="9">
        <f t="shared" si="4"/>
        <v>0.97058823529411764</v>
      </c>
      <c r="Q23" s="15">
        <v>5932</v>
      </c>
      <c r="R23" s="7">
        <f>6+9</f>
        <v>15</v>
      </c>
      <c r="S23" s="7"/>
      <c r="T23" s="5"/>
      <c r="U23" s="10" t="str">
        <f t="shared" si="5"/>
        <v/>
      </c>
      <c r="V23" s="9">
        <f t="shared" si="6"/>
        <v>0.99747134187457853</v>
      </c>
      <c r="W23" s="11">
        <f t="shared" si="7"/>
        <v>0.8156528524259723</v>
      </c>
      <c r="X23" s="11">
        <f t="shared" si="8"/>
        <v>0.60750405329127999</v>
      </c>
    </row>
    <row r="24" spans="1:24">
      <c r="A24" s="29"/>
      <c r="B24" s="5"/>
      <c r="C24" s="5"/>
      <c r="D24" s="6" t="str">
        <f t="shared" si="0"/>
        <v/>
      </c>
      <c r="E24" s="7"/>
      <c r="F24" s="7"/>
      <c r="G24" s="8" t="str">
        <f t="shared" si="1"/>
        <v/>
      </c>
      <c r="H24" s="7"/>
      <c r="I24" s="7" t="s">
        <v>113</v>
      </c>
      <c r="J24" s="9" t="str">
        <f t="shared" si="2"/>
        <v/>
      </c>
      <c r="K24" s="28"/>
      <c r="L24" s="28"/>
      <c r="M24" s="9" t="str">
        <f t="shared" si="3"/>
        <v/>
      </c>
      <c r="N24" s="7"/>
      <c r="O24" s="15"/>
      <c r="P24" s="9" t="str">
        <f t="shared" si="4"/>
        <v/>
      </c>
      <c r="Q24" s="7"/>
      <c r="R24" s="7"/>
      <c r="S24" s="7"/>
      <c r="T24" s="5"/>
      <c r="U24" s="10" t="str">
        <f t="shared" si="5"/>
        <v/>
      </c>
      <c r="V24" s="9" t="str">
        <f t="shared" si="6"/>
        <v/>
      </c>
      <c r="W24" s="11" t="str">
        <f t="shared" si="7"/>
        <v/>
      </c>
      <c r="X24" s="11" t="str">
        <f t="shared" si="8"/>
        <v/>
      </c>
    </row>
    <row r="25" spans="1:24">
      <c r="A25" s="29"/>
      <c r="B25" s="5"/>
      <c r="C25" s="5"/>
      <c r="D25" s="6" t="str">
        <f t="shared" si="0"/>
        <v/>
      </c>
      <c r="E25" s="7"/>
      <c r="F25" s="7"/>
      <c r="G25" s="8" t="str">
        <f t="shared" si="1"/>
        <v/>
      </c>
      <c r="H25" s="7"/>
      <c r="I25" s="7"/>
      <c r="J25" s="9" t="str">
        <f t="shared" si="2"/>
        <v/>
      </c>
      <c r="K25" s="28"/>
      <c r="L25" s="28"/>
      <c r="M25" s="9" t="str">
        <f t="shared" si="3"/>
        <v/>
      </c>
      <c r="N25" s="7"/>
      <c r="O25" s="15"/>
      <c r="P25" s="9" t="str">
        <f t="shared" si="4"/>
        <v/>
      </c>
      <c r="Q25" s="7"/>
      <c r="R25" s="7"/>
      <c r="S25" s="7"/>
      <c r="T25" s="5"/>
      <c r="U25" s="10" t="str">
        <f t="shared" si="5"/>
        <v/>
      </c>
      <c r="V25" s="9" t="str">
        <f t="shared" si="6"/>
        <v/>
      </c>
      <c r="W25" s="11" t="str">
        <f t="shared" si="7"/>
        <v/>
      </c>
      <c r="X25" s="11" t="str">
        <f t="shared" si="8"/>
        <v/>
      </c>
    </row>
    <row r="26" spans="1:24">
      <c r="A26" s="29"/>
      <c r="B26" s="5"/>
      <c r="C26" s="5"/>
      <c r="D26" s="6" t="str">
        <f t="shared" si="0"/>
        <v/>
      </c>
      <c r="E26" s="7"/>
      <c r="F26" s="7"/>
      <c r="G26" s="8" t="str">
        <f t="shared" si="1"/>
        <v/>
      </c>
      <c r="H26" s="7"/>
      <c r="I26" s="7"/>
      <c r="J26" s="9" t="str">
        <f t="shared" si="2"/>
        <v/>
      </c>
      <c r="K26" s="28"/>
      <c r="L26" s="28"/>
      <c r="M26" s="9" t="str">
        <f t="shared" si="3"/>
        <v/>
      </c>
      <c r="N26" s="7"/>
      <c r="O26" s="15"/>
      <c r="P26" s="9" t="str">
        <f t="shared" si="4"/>
        <v/>
      </c>
      <c r="Q26" s="7"/>
      <c r="R26" s="7"/>
      <c r="S26" s="7"/>
      <c r="T26" s="5"/>
      <c r="U26" s="10" t="str">
        <f t="shared" si="5"/>
        <v/>
      </c>
      <c r="V26" s="9" t="str">
        <f t="shared" si="6"/>
        <v/>
      </c>
      <c r="W26" s="11" t="str">
        <f t="shared" si="7"/>
        <v/>
      </c>
      <c r="X26" s="11" t="str">
        <f t="shared" si="8"/>
        <v/>
      </c>
    </row>
    <row r="27" spans="1:24" ht="15" thickBot="1">
      <c r="A27" s="29"/>
      <c r="B27" s="5"/>
      <c r="C27" s="5"/>
      <c r="D27" s="6" t="str">
        <f t="shared" si="0"/>
        <v/>
      </c>
      <c r="E27" s="7"/>
      <c r="F27" s="7"/>
      <c r="G27" s="8" t="str">
        <f t="shared" si="1"/>
        <v/>
      </c>
      <c r="H27" s="7"/>
      <c r="I27" s="7"/>
      <c r="J27" s="9" t="str">
        <f t="shared" si="2"/>
        <v/>
      </c>
      <c r="K27" s="28"/>
      <c r="L27" s="28"/>
      <c r="M27" s="9" t="str">
        <f t="shared" si="3"/>
        <v/>
      </c>
      <c r="N27" s="7"/>
      <c r="O27" s="15"/>
      <c r="P27" s="9" t="str">
        <f t="shared" si="4"/>
        <v/>
      </c>
      <c r="Q27" s="7"/>
      <c r="R27" s="7"/>
      <c r="S27" s="7"/>
      <c r="T27" s="5"/>
      <c r="U27" s="10" t="str">
        <f t="shared" si="5"/>
        <v/>
      </c>
      <c r="V27" s="9" t="str">
        <f t="shared" si="6"/>
        <v/>
      </c>
      <c r="W27" s="11" t="str">
        <f t="shared" si="7"/>
        <v/>
      </c>
      <c r="X27" s="11" t="str">
        <f t="shared" si="8"/>
        <v/>
      </c>
    </row>
    <row r="28" spans="1:24" hidden="1">
      <c r="A28" s="29"/>
      <c r="B28" s="5"/>
      <c r="C28" s="5"/>
      <c r="D28" s="6" t="str">
        <f t="shared" si="0"/>
        <v/>
      </c>
      <c r="E28" s="7"/>
      <c r="F28" s="7"/>
      <c r="G28" s="8" t="str">
        <f t="shared" si="1"/>
        <v/>
      </c>
      <c r="H28" s="7"/>
      <c r="I28" s="7"/>
      <c r="J28" s="9" t="str">
        <f t="shared" si="2"/>
        <v/>
      </c>
      <c r="K28" s="28"/>
      <c r="L28" s="28"/>
      <c r="M28" s="9" t="str">
        <f t="shared" si="3"/>
        <v/>
      </c>
      <c r="N28" s="7"/>
      <c r="O28" s="15"/>
      <c r="P28" s="9" t="str">
        <f t="shared" si="4"/>
        <v/>
      </c>
      <c r="Q28" s="15"/>
      <c r="R28" s="7"/>
      <c r="S28" s="7"/>
      <c r="T28" s="5"/>
      <c r="U28" s="10" t="str">
        <f t="shared" si="5"/>
        <v/>
      </c>
      <c r="V28" s="9" t="str">
        <f t="shared" si="6"/>
        <v/>
      </c>
      <c r="W28" s="11" t="str">
        <f t="shared" si="7"/>
        <v/>
      </c>
      <c r="X28" s="11" t="str">
        <f t="shared" si="8"/>
        <v/>
      </c>
    </row>
    <row r="29" spans="1:24" hidden="1">
      <c r="A29" s="29"/>
      <c r="B29" s="5"/>
      <c r="C29" s="5"/>
      <c r="D29" s="6" t="str">
        <f t="shared" si="0"/>
        <v/>
      </c>
      <c r="E29" s="7"/>
      <c r="F29" s="7"/>
      <c r="G29" s="8" t="str">
        <f t="shared" si="1"/>
        <v/>
      </c>
      <c r="H29" s="7"/>
      <c r="I29" s="7"/>
      <c r="J29" s="9" t="str">
        <f t="shared" si="2"/>
        <v/>
      </c>
      <c r="K29" s="28"/>
      <c r="L29" s="28"/>
      <c r="M29" s="9" t="str">
        <f t="shared" si="3"/>
        <v/>
      </c>
      <c r="N29" s="7"/>
      <c r="O29" s="7"/>
      <c r="P29" s="9" t="str">
        <f t="shared" si="4"/>
        <v/>
      </c>
      <c r="Q29" s="7"/>
      <c r="R29" s="7"/>
      <c r="S29" s="7"/>
      <c r="T29" s="5"/>
      <c r="U29" s="10" t="str">
        <f t="shared" si="5"/>
        <v/>
      </c>
      <c r="V29" s="9" t="str">
        <f t="shared" si="6"/>
        <v/>
      </c>
      <c r="W29" s="11" t="str">
        <f t="shared" si="7"/>
        <v/>
      </c>
      <c r="X29" s="11" t="str">
        <f t="shared" si="8"/>
        <v/>
      </c>
    </row>
    <row r="30" spans="1:24" hidden="1">
      <c r="A30" s="29"/>
      <c r="B30" s="5"/>
      <c r="C30" s="5"/>
      <c r="D30" s="6" t="str">
        <f t="shared" si="0"/>
        <v/>
      </c>
      <c r="E30" s="7"/>
      <c r="F30" s="7"/>
      <c r="G30" s="8" t="str">
        <f t="shared" si="1"/>
        <v/>
      </c>
      <c r="H30" s="7"/>
      <c r="I30" s="7"/>
      <c r="J30" s="9" t="str">
        <f t="shared" si="2"/>
        <v/>
      </c>
      <c r="K30" s="28"/>
      <c r="L30" s="28"/>
      <c r="M30" s="9" t="str">
        <f t="shared" si="3"/>
        <v/>
      </c>
      <c r="N30" s="7"/>
      <c r="O30" s="15"/>
      <c r="P30" s="9" t="str">
        <f t="shared" si="4"/>
        <v/>
      </c>
      <c r="Q30" s="15"/>
      <c r="R30" s="7"/>
      <c r="S30" s="7"/>
      <c r="T30" s="5"/>
      <c r="U30" s="10" t="str">
        <f t="shared" si="5"/>
        <v/>
      </c>
      <c r="V30" s="9" t="str">
        <f t="shared" si="6"/>
        <v/>
      </c>
      <c r="W30" s="11" t="str">
        <f t="shared" si="7"/>
        <v/>
      </c>
      <c r="X30" s="11" t="str">
        <f t="shared" si="8"/>
        <v/>
      </c>
    </row>
    <row r="31" spans="1:24" hidden="1">
      <c r="A31" s="29"/>
      <c r="B31" s="5"/>
      <c r="C31" s="5"/>
      <c r="D31" s="6" t="str">
        <f t="shared" si="0"/>
        <v/>
      </c>
      <c r="E31" s="7"/>
      <c r="F31" s="7"/>
      <c r="G31" s="8" t="str">
        <f t="shared" si="1"/>
        <v/>
      </c>
      <c r="H31" s="7"/>
      <c r="I31" s="7"/>
      <c r="J31" s="9" t="str">
        <f t="shared" si="2"/>
        <v/>
      </c>
      <c r="K31" s="28"/>
      <c r="L31" s="28"/>
      <c r="M31" s="9" t="str">
        <f t="shared" si="3"/>
        <v/>
      </c>
      <c r="N31" s="7"/>
      <c r="O31" s="15"/>
      <c r="P31" s="9" t="str">
        <f t="shared" si="4"/>
        <v/>
      </c>
      <c r="Q31" s="15"/>
      <c r="R31" s="15"/>
      <c r="S31" s="7"/>
      <c r="T31" s="5"/>
      <c r="U31" s="10" t="str">
        <f t="shared" si="5"/>
        <v/>
      </c>
      <c r="V31" s="9" t="str">
        <f t="shared" si="6"/>
        <v/>
      </c>
      <c r="W31" s="11" t="str">
        <f t="shared" si="7"/>
        <v/>
      </c>
      <c r="X31" s="11" t="str">
        <f t="shared" si="8"/>
        <v/>
      </c>
    </row>
    <row r="32" spans="1:24" hidden="1">
      <c r="A32" s="29"/>
      <c r="B32" s="5"/>
      <c r="C32" s="5"/>
      <c r="D32" s="6" t="str">
        <f t="shared" si="0"/>
        <v/>
      </c>
      <c r="E32" s="7"/>
      <c r="F32" s="7"/>
      <c r="G32" s="8" t="str">
        <f t="shared" si="1"/>
        <v/>
      </c>
      <c r="H32" s="7"/>
      <c r="I32" s="7"/>
      <c r="J32" s="9" t="str">
        <f t="shared" si="2"/>
        <v/>
      </c>
      <c r="K32" s="28"/>
      <c r="L32" s="28"/>
      <c r="M32" s="9" t="str">
        <f t="shared" si="3"/>
        <v/>
      </c>
      <c r="N32" s="7"/>
      <c r="O32" s="15"/>
      <c r="P32" s="9" t="str">
        <f t="shared" si="4"/>
        <v/>
      </c>
      <c r="Q32" s="15"/>
      <c r="R32" s="7"/>
      <c r="S32" s="7"/>
      <c r="T32" s="5"/>
      <c r="U32" s="10" t="str">
        <f t="shared" si="5"/>
        <v/>
      </c>
      <c r="V32" s="9" t="str">
        <f t="shared" si="6"/>
        <v/>
      </c>
      <c r="W32" s="11" t="str">
        <f t="shared" si="7"/>
        <v/>
      </c>
      <c r="X32" s="11" t="str">
        <f t="shared" si="8"/>
        <v/>
      </c>
    </row>
    <row r="33" spans="1:24" hidden="1">
      <c r="A33" s="29"/>
      <c r="B33" s="5"/>
      <c r="C33" s="5"/>
      <c r="D33" s="6" t="str">
        <f t="shared" si="0"/>
        <v/>
      </c>
      <c r="E33" s="7"/>
      <c r="F33" s="7"/>
      <c r="G33" s="8" t="str">
        <f t="shared" si="1"/>
        <v/>
      </c>
      <c r="H33" s="7"/>
      <c r="I33" s="7"/>
      <c r="J33" s="9" t="str">
        <f t="shared" si="2"/>
        <v/>
      </c>
      <c r="K33" s="28"/>
      <c r="L33" s="28"/>
      <c r="M33" s="9" t="str">
        <f t="shared" si="3"/>
        <v/>
      </c>
      <c r="N33" s="7"/>
      <c r="O33" s="15"/>
      <c r="P33" s="9" t="str">
        <f t="shared" si="4"/>
        <v/>
      </c>
      <c r="Q33" s="15"/>
      <c r="R33" s="7"/>
      <c r="S33" s="7"/>
      <c r="T33" s="5"/>
      <c r="U33" s="10" t="str">
        <f t="shared" si="5"/>
        <v/>
      </c>
      <c r="V33" s="9" t="str">
        <f t="shared" si="6"/>
        <v/>
      </c>
      <c r="W33" s="11" t="str">
        <f t="shared" si="7"/>
        <v/>
      </c>
      <c r="X33" s="11" t="str">
        <f t="shared" si="8"/>
        <v/>
      </c>
    </row>
    <row r="34" spans="1:24" hidden="1">
      <c r="A34" s="29"/>
      <c r="B34" s="5"/>
      <c r="C34" s="5"/>
      <c r="D34" s="6" t="str">
        <f t="shared" si="0"/>
        <v/>
      </c>
      <c r="E34" s="7"/>
      <c r="F34" s="7"/>
      <c r="G34" s="8" t="str">
        <f t="shared" si="1"/>
        <v/>
      </c>
      <c r="H34" s="7"/>
      <c r="I34" s="7"/>
      <c r="J34" s="9" t="str">
        <f t="shared" si="2"/>
        <v/>
      </c>
      <c r="K34" s="28"/>
      <c r="L34" s="28"/>
      <c r="M34" s="9" t="str">
        <f t="shared" si="3"/>
        <v/>
      </c>
      <c r="N34" s="7"/>
      <c r="O34" s="15"/>
      <c r="P34" s="9" t="str">
        <f t="shared" si="4"/>
        <v/>
      </c>
      <c r="Q34" s="15"/>
      <c r="R34" s="7"/>
      <c r="S34" s="7"/>
      <c r="T34" s="5"/>
      <c r="U34" s="10" t="str">
        <f t="shared" si="5"/>
        <v/>
      </c>
      <c r="V34" s="9" t="str">
        <f t="shared" si="6"/>
        <v/>
      </c>
      <c r="W34" s="11" t="str">
        <f t="shared" si="7"/>
        <v/>
      </c>
      <c r="X34" s="11" t="str">
        <f t="shared" si="8"/>
        <v/>
      </c>
    </row>
    <row r="35" spans="1:24" hidden="1">
      <c r="A35" s="29"/>
      <c r="B35" s="5"/>
      <c r="C35" s="5"/>
      <c r="D35" s="6" t="str">
        <f t="shared" si="0"/>
        <v/>
      </c>
      <c r="E35" s="7"/>
      <c r="F35" s="7"/>
      <c r="G35" s="8" t="str">
        <f t="shared" si="1"/>
        <v/>
      </c>
      <c r="H35" s="7"/>
      <c r="I35" s="7"/>
      <c r="J35" s="9" t="str">
        <f t="shared" si="2"/>
        <v/>
      </c>
      <c r="K35" s="28"/>
      <c r="L35" s="28"/>
      <c r="M35" s="9" t="str">
        <f t="shared" si="3"/>
        <v/>
      </c>
      <c r="N35" s="7"/>
      <c r="O35" s="15"/>
      <c r="P35" s="9" t="str">
        <f t="shared" si="4"/>
        <v/>
      </c>
      <c r="Q35" s="15"/>
      <c r="R35" s="7"/>
      <c r="S35" s="7"/>
      <c r="T35" s="5"/>
      <c r="U35" s="10" t="str">
        <f t="shared" si="5"/>
        <v/>
      </c>
      <c r="V35" s="9" t="str">
        <f t="shared" si="6"/>
        <v/>
      </c>
      <c r="W35" s="11" t="str">
        <f t="shared" si="7"/>
        <v/>
      </c>
      <c r="X35" s="11" t="str">
        <f t="shared" si="8"/>
        <v/>
      </c>
    </row>
    <row r="36" spans="1:24" hidden="1">
      <c r="A36" s="29"/>
      <c r="B36" s="5"/>
      <c r="C36" s="5"/>
      <c r="D36" s="6" t="str">
        <f t="shared" si="0"/>
        <v/>
      </c>
      <c r="E36" s="7"/>
      <c r="F36" s="7"/>
      <c r="G36" s="8" t="str">
        <f t="shared" si="1"/>
        <v/>
      </c>
      <c r="H36" s="7"/>
      <c r="I36" s="7"/>
      <c r="J36" s="9" t="str">
        <f t="shared" si="2"/>
        <v/>
      </c>
      <c r="K36" s="28"/>
      <c r="L36" s="28"/>
      <c r="M36" s="9" t="str">
        <f t="shared" si="3"/>
        <v/>
      </c>
      <c r="N36" s="7"/>
      <c r="O36" s="15"/>
      <c r="P36" s="9" t="str">
        <f t="shared" si="4"/>
        <v/>
      </c>
      <c r="Q36" s="15"/>
      <c r="R36" s="7"/>
      <c r="S36" s="7"/>
      <c r="T36" s="5"/>
      <c r="U36" s="10" t="str">
        <f t="shared" si="5"/>
        <v/>
      </c>
      <c r="V36" s="9" t="str">
        <f t="shared" si="6"/>
        <v/>
      </c>
      <c r="W36" s="11" t="str">
        <f t="shared" si="7"/>
        <v/>
      </c>
      <c r="X36" s="11" t="str">
        <f t="shared" si="8"/>
        <v/>
      </c>
    </row>
    <row r="37" spans="1:24" ht="15" hidden="1" thickBot="1">
      <c r="A37" s="29"/>
      <c r="B37" s="5"/>
      <c r="C37" s="5"/>
      <c r="D37" s="6" t="str">
        <f t="shared" si="0"/>
        <v/>
      </c>
      <c r="E37" s="7"/>
      <c r="F37" s="7"/>
      <c r="G37" s="8" t="str">
        <f t="shared" si="1"/>
        <v/>
      </c>
      <c r="H37" s="7"/>
      <c r="I37" s="7"/>
      <c r="J37" s="9" t="str">
        <f t="shared" si="2"/>
        <v/>
      </c>
      <c r="K37" s="28"/>
      <c r="L37" s="28"/>
      <c r="M37" s="9" t="str">
        <f t="shared" si="3"/>
        <v/>
      </c>
      <c r="N37" s="7"/>
      <c r="O37" s="15"/>
      <c r="P37" s="9" t="str">
        <f t="shared" si="4"/>
        <v/>
      </c>
      <c r="Q37" s="7"/>
      <c r="R37" s="7"/>
      <c r="S37" s="7"/>
      <c r="T37" s="5"/>
      <c r="U37" s="10" t="str">
        <f t="shared" si="5"/>
        <v/>
      </c>
      <c r="V37" s="9" t="str">
        <f t="shared" si="6"/>
        <v/>
      </c>
      <c r="W37" s="11" t="str">
        <f t="shared" si="7"/>
        <v/>
      </c>
      <c r="X37" s="11" t="str">
        <f t="shared" si="8"/>
        <v/>
      </c>
    </row>
    <row r="38" spans="1:24" s="43" customFormat="1" ht="18.600000000000001" thickBot="1">
      <c r="A38" s="31"/>
      <c r="B38" s="32" t="s">
        <v>42</v>
      </c>
      <c r="C38" s="32"/>
      <c r="D38" s="33">
        <f>SUM(D3:D37)</f>
        <v>22798.000000028405</v>
      </c>
      <c r="E38" s="33">
        <f>SUM(E3:E37)</f>
        <v>799</v>
      </c>
      <c r="F38" s="33">
        <f>SUM(F3:F37)</f>
        <v>889</v>
      </c>
      <c r="G38" s="33">
        <f>SUM(G3:G37)</f>
        <v>90</v>
      </c>
      <c r="H38" s="33">
        <f>SUM(H2:H37)</f>
        <v>3510</v>
      </c>
      <c r="I38" s="33">
        <f>SUM(I3:I37)</f>
        <v>978</v>
      </c>
      <c r="J38" s="34">
        <f>(D38-G38-H38-I38)/D38</f>
        <v>0.79919291165916762</v>
      </c>
      <c r="K38" s="35">
        <f>SUM(K3:K37)</f>
        <v>34</v>
      </c>
      <c r="L38" s="35">
        <f>SUM(L3:L37)</f>
        <v>2583</v>
      </c>
      <c r="M38" s="36">
        <f>(D38-G38-H38-I38-E38-K38-L38)/D38</f>
        <v>0.64935520659750678</v>
      </c>
      <c r="N38" s="37">
        <f>AVERAGE(N3:N37)</f>
        <v>17000</v>
      </c>
      <c r="O38" s="38">
        <f>AVERAGE(O3:O37)</f>
        <v>16053.667374360411</v>
      </c>
      <c r="P38" s="34">
        <f>O38/N38</f>
        <v>0.94433337496237713</v>
      </c>
      <c r="Q38" s="37">
        <f>SUM(Q3:Q35)</f>
        <v>106838</v>
      </c>
      <c r="R38" s="37"/>
      <c r="S38" s="32"/>
      <c r="T38" s="32"/>
      <c r="U38" s="39"/>
      <c r="V38" s="40">
        <f>AVERAGE(V3:V37)</f>
        <v>0.97525514899724641</v>
      </c>
      <c r="W38" s="41">
        <f>V38*P38*J38</f>
        <v>0.73602948813175695</v>
      </c>
      <c r="X38" s="42">
        <f>V38*P38*M38</f>
        <v>0.59803405830441547</v>
      </c>
    </row>
    <row r="39" spans="1:24" ht="28.9">
      <c r="Q39" s="67"/>
      <c r="R39" s="67"/>
      <c r="S39" s="44"/>
      <c r="T39" s="45"/>
      <c r="U39" s="22"/>
    </row>
    <row r="40" spans="1:24" ht="28.9">
      <c r="Q40" s="22"/>
      <c r="R40" s="22"/>
      <c r="S40" s="22"/>
      <c r="T40" s="22"/>
      <c r="U40" s="22"/>
    </row>
    <row r="41" spans="1:24" ht="28.9">
      <c r="Q41" s="22"/>
      <c r="R41" s="69" t="s">
        <v>113</v>
      </c>
      <c r="S41" s="69"/>
      <c r="T41" s="46"/>
      <c r="U41" s="22"/>
      <c r="V41" s="16">
        <f>AVERAGE(X38,'October 2025 (w Utilization) '!X38,'September 2025 (w Utilization)'!X38,'August 2025 (w Utilization)'!X38,'July 2025 (w Utilization)'!X38,'June 2025 (w Utilization)'!X38,'May 2025 (w Utilization)'!X38,'April 2025 (w Utilization) '!X38,'March 2025 (w Utilization'!X38,'February 2025 (w Utilization) '!X38,'January 2025 (w Utilization)'!X38)</f>
        <v>0.6014995848353526</v>
      </c>
    </row>
    <row r="42" spans="1:24" ht="28.9">
      <c r="Q42" s="22"/>
      <c r="R42" s="22"/>
      <c r="S42" s="22"/>
      <c r="T42" s="22"/>
      <c r="U42" s="22"/>
    </row>
    <row r="43" spans="1:24" ht="28.9">
      <c r="Q43" s="22"/>
      <c r="R43" s="22"/>
      <c r="S43" s="22"/>
      <c r="T43" s="22"/>
      <c r="U43" s="22"/>
    </row>
    <row r="44" spans="1:24" ht="28.9">
      <c r="Q44" s="22"/>
      <c r="R44" s="22"/>
      <c r="S44" s="22"/>
      <c r="T44" s="22"/>
      <c r="U44" s="22"/>
    </row>
    <row r="46" spans="1:24">
      <c r="C46" s="17"/>
      <c r="D46" s="19" t="s">
        <v>44</v>
      </c>
      <c r="E46" s="19" t="s">
        <v>45</v>
      </c>
    </row>
    <row r="47" spans="1:24">
      <c r="C47" s="4" t="s">
        <v>46</v>
      </c>
      <c r="D47" s="16">
        <f>W38</f>
        <v>0.73602948813175695</v>
      </c>
      <c r="E47" s="18">
        <f>100%-D47</f>
        <v>0.26397051186824305</v>
      </c>
    </row>
    <row r="48" spans="1:24">
      <c r="C48" s="4" t="s">
        <v>140</v>
      </c>
      <c r="D48" s="16">
        <f>J38</f>
        <v>0.79919291165916762</v>
      </c>
      <c r="E48" s="18">
        <f>100%-D48</f>
        <v>0.20080708834083238</v>
      </c>
    </row>
    <row r="49" spans="3:5">
      <c r="C49" s="4" t="s">
        <v>17</v>
      </c>
      <c r="D49" s="16">
        <f>P38</f>
        <v>0.94433337496237713</v>
      </c>
      <c r="E49" s="18">
        <f>100%-D49</f>
        <v>5.5666625037622874E-2</v>
      </c>
    </row>
    <row r="50" spans="3:5">
      <c r="C50" s="4" t="str">
        <f>V2</f>
        <v>Quality</v>
      </c>
      <c r="D50" s="16">
        <f>V38</f>
        <v>0.97525514899724641</v>
      </c>
      <c r="E50" s="18">
        <f>100%-D50</f>
        <v>2.4744851002753587E-2</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J51"/>
  <sheetViews>
    <sheetView tabSelected="1" topLeftCell="G36" zoomScale="70" zoomScaleNormal="70" workbookViewId="0">
      <selection activeCell="U43" sqref="U43"/>
    </sheetView>
  </sheetViews>
  <sheetFormatPr defaultRowHeight="14.45"/>
  <cols>
    <col min="1" max="1" width="60" customWidth="1"/>
    <col min="2" max="2" width="19.7109375" customWidth="1"/>
    <col min="3" max="3" width="24.42578125" customWidth="1"/>
    <col min="4" max="4" width="12.28515625" customWidth="1"/>
    <col min="5" max="5" width="15.140625" customWidth="1"/>
    <col min="6" max="6" width="12.85546875" customWidth="1"/>
    <col min="7" max="7" width="12.7109375" customWidth="1"/>
    <col min="8" max="8" width="13.42578125" customWidth="1"/>
    <col min="9" max="9" width="11.42578125" customWidth="1"/>
    <col min="10" max="13" width="13.85546875" customWidth="1"/>
    <col min="14" max="14" width="9.85546875" customWidth="1"/>
    <col min="15" max="15" width="11.42578125" customWidth="1"/>
    <col min="16" max="16" width="16.140625" customWidth="1"/>
    <col min="17" max="17" width="11.85546875" customWidth="1"/>
    <col min="19" max="19" width="12" bestFit="1" customWidth="1"/>
    <col min="20" max="20" width="17.5703125" customWidth="1"/>
    <col min="21" max="21" width="12" customWidth="1"/>
    <col min="22" max="23" width="10" bestFit="1" customWidth="1"/>
    <col min="24" max="24" width="14.28515625" customWidth="1"/>
  </cols>
  <sheetData>
    <row r="1" spans="1:36" ht="48.75" customHeight="1">
      <c r="A1" s="12"/>
      <c r="B1" s="12"/>
      <c r="C1" s="13" t="s">
        <v>0</v>
      </c>
      <c r="D1" s="14"/>
      <c r="E1" s="12"/>
      <c r="F1" s="12"/>
      <c r="G1" s="14" t="s">
        <v>1</v>
      </c>
      <c r="H1" s="12"/>
      <c r="I1" s="12"/>
      <c r="J1" s="14"/>
      <c r="K1" s="14"/>
      <c r="L1" s="14"/>
      <c r="M1" s="14"/>
      <c r="N1" s="13"/>
      <c r="O1" s="13"/>
      <c r="P1" s="14"/>
      <c r="Q1" s="13"/>
      <c r="R1" s="13"/>
      <c r="S1" s="13"/>
      <c r="T1" s="13"/>
      <c r="U1" s="14"/>
      <c r="V1" s="14"/>
      <c r="W1" s="14"/>
      <c r="X1" s="14"/>
    </row>
    <row r="2" spans="1:36" ht="57.6">
      <c r="A2" s="1" t="s">
        <v>2</v>
      </c>
      <c r="B2" s="2" t="s">
        <v>3</v>
      </c>
      <c r="C2" s="2" t="s">
        <v>4</v>
      </c>
      <c r="D2" s="3" t="s">
        <v>5</v>
      </c>
      <c r="E2" s="2" t="s">
        <v>6</v>
      </c>
      <c r="F2" s="2" t="s">
        <v>7</v>
      </c>
      <c r="G2" s="3" t="s">
        <v>8</v>
      </c>
      <c r="H2" s="2" t="s">
        <v>9</v>
      </c>
      <c r="I2" s="2" t="s">
        <v>10</v>
      </c>
      <c r="J2" s="4" t="s">
        <v>11</v>
      </c>
      <c r="K2" s="1" t="s">
        <v>12</v>
      </c>
      <c r="L2" s="1" t="s">
        <v>13</v>
      </c>
      <c r="M2" s="4" t="s">
        <v>14</v>
      </c>
      <c r="N2" s="2" t="s">
        <v>15</v>
      </c>
      <c r="O2" s="2" t="s">
        <v>16</v>
      </c>
      <c r="P2" s="4" t="s">
        <v>17</v>
      </c>
      <c r="Q2" s="2" t="s">
        <v>18</v>
      </c>
      <c r="R2" s="2" t="s">
        <v>19</v>
      </c>
      <c r="S2" s="2" t="s">
        <v>20</v>
      </c>
      <c r="T2" s="2" t="s">
        <v>21</v>
      </c>
      <c r="U2" s="3" t="s">
        <v>22</v>
      </c>
      <c r="V2" s="4" t="s">
        <v>23</v>
      </c>
      <c r="W2" s="4" t="s">
        <v>24</v>
      </c>
      <c r="X2" s="4" t="s">
        <v>25</v>
      </c>
    </row>
    <row r="3" spans="1:36">
      <c r="A3" s="29" t="s">
        <v>32</v>
      </c>
      <c r="B3" s="5">
        <v>45992.145833333336</v>
      </c>
      <c r="C3" s="5">
        <v>45993</v>
      </c>
      <c r="D3" s="6">
        <f>IF(B3="","",(C3-B3)*24*60)</f>
        <v>1229.9999999965075</v>
      </c>
      <c r="E3" s="7">
        <v>10</v>
      </c>
      <c r="F3" s="7">
        <v>30</v>
      </c>
      <c r="G3" s="8">
        <f>IF(E3="","",F3-E3)</f>
        <v>20</v>
      </c>
      <c r="H3" s="7">
        <f>7+6+9+8+6+5+32+60+60</f>
        <v>193</v>
      </c>
      <c r="I3" s="7">
        <f>4+2+2+2+1+3+3+2+2+2+2+2+3+4+3+3+4+4+1+4+4+3+3+1+4+1+4+3+2+4+3</f>
        <v>85</v>
      </c>
      <c r="J3" s="9">
        <f>IF(B3="","",(D3-G3-H3-I3)/D3)</f>
        <v>0.75772357723508443</v>
      </c>
      <c r="K3" s="28">
        <v>0</v>
      </c>
      <c r="L3" s="28">
        <f>2+7+6+4+26+2+5+5+4</f>
        <v>61</v>
      </c>
      <c r="M3" s="9">
        <f>IF(B3="","",(D3-G3-H3-I3-K3-L3-E3)/D3)</f>
        <v>0.69999999999914819</v>
      </c>
      <c r="N3" s="7">
        <v>17000</v>
      </c>
      <c r="O3" s="15">
        <f>AVERAGE(17000,17000,17000,15000,15000,15000,15000,15000,15000,15000,17000,17000,17000,17000,16000,16000)</f>
        <v>16000</v>
      </c>
      <c r="P3" s="9">
        <f>IF(B3="","",O3/N3)</f>
        <v>0.94117647058823528</v>
      </c>
      <c r="Q3" s="15">
        <v>6896</v>
      </c>
      <c r="R3" s="15">
        <v>61</v>
      </c>
      <c r="S3" s="7"/>
      <c r="T3" s="5"/>
      <c r="U3" s="10" t="str">
        <f>IF(S3="","",(T3-C3))</f>
        <v/>
      </c>
      <c r="V3" s="9">
        <f>IF(B3="","",IF(U3&lt;3,(Q3-R3)/Q3,(Q3-R3-S3)/Q3))</f>
        <v>0.99115429234338748</v>
      </c>
      <c r="W3" s="11">
        <f>IF(B3="","",V3*P3*J3)</f>
        <v>0.70684327151655546</v>
      </c>
      <c r="X3" s="11">
        <f>IF(B3="","",V3*P3*M3)</f>
        <v>0.6529957690724959</v>
      </c>
    </row>
    <row r="4" spans="1:36">
      <c r="A4" s="29" t="s">
        <v>59</v>
      </c>
      <c r="B4" s="5">
        <v>45993.577777777777</v>
      </c>
      <c r="C4" s="5">
        <v>45994</v>
      </c>
      <c r="D4" s="6">
        <f>IF(B4="","",(C4-B4)*24*60)</f>
        <v>608.00000000162981</v>
      </c>
      <c r="E4" s="7">
        <v>0</v>
      </c>
      <c r="F4" s="7">
        <v>0</v>
      </c>
      <c r="G4" s="8">
        <f>IF(E4="","",F4-E4)</f>
        <v>0</v>
      </c>
      <c r="H4" s="7">
        <f>6+8+5+22+53+6+9+13+8+5+11</f>
        <v>146</v>
      </c>
      <c r="I4" s="7">
        <f>2+2+3+4+1+4+2+3+3</f>
        <v>24</v>
      </c>
      <c r="J4" s="9">
        <f>IF(B4="","",(D4-G4-H4-I4)/D4)</f>
        <v>0.72039473684285482</v>
      </c>
      <c r="K4" s="28">
        <v>0</v>
      </c>
      <c r="L4" s="28">
        <f>4+5+4+6+2+5+3</f>
        <v>29</v>
      </c>
      <c r="M4" s="9">
        <f>IF(B4="","",(D4-G4-H4-I4-K4-L4-E4)/D4)</f>
        <v>0.67269736842192995</v>
      </c>
      <c r="N4" s="7">
        <v>17000</v>
      </c>
      <c r="O4" s="15">
        <f>AVERAGE(15000,15000,15000,15000,15000,15000,15000,15000,15000,15000)</f>
        <v>15000</v>
      </c>
      <c r="P4" s="9">
        <f>IF(B4="","",O4/N4)</f>
        <v>0.88235294117647056</v>
      </c>
      <c r="Q4" s="15">
        <v>3211</v>
      </c>
      <c r="R4" s="15">
        <v>19</v>
      </c>
      <c r="S4" s="7"/>
      <c r="T4" s="5"/>
      <c r="U4" s="10" t="str">
        <f>IF(S4="","",(T4-C4))</f>
        <v/>
      </c>
      <c r="V4" s="9">
        <f>IF(B4="","",IF(U4&lt;3,(Q4-R4)/Q4,(Q4-R4-S4)/Q4))</f>
        <v>0.99408284023668636</v>
      </c>
      <c r="W4" s="11">
        <f>IF(B4="","",V4*P4*J4)</f>
        <v>0.63188121714026946</v>
      </c>
      <c r="X4" s="11">
        <f>IF(B4="","",V4*P4*M4)</f>
        <v>0.59004433290054414</v>
      </c>
    </row>
    <row r="5" spans="1:36">
      <c r="A5" s="29" t="s">
        <v>171</v>
      </c>
      <c r="B5" s="5">
        <v>45994</v>
      </c>
      <c r="C5" s="5">
        <v>45995</v>
      </c>
      <c r="D5" s="6">
        <f>IF(B5="","",(C5-B5)*24*60)</f>
        <v>1440</v>
      </c>
      <c r="E5" s="7">
        <v>7</v>
      </c>
      <c r="F5" s="7">
        <v>24</v>
      </c>
      <c r="G5" s="8">
        <f>IF(E5="","",F5-E5)</f>
        <v>17</v>
      </c>
      <c r="H5" s="7">
        <f>6+6+8+5+9+6+5+5+5+7+5+29+19+15+11+15+11+25+11+12+7+11</f>
        <v>233</v>
      </c>
      <c r="I5" s="7">
        <f>1+2+2+1+3+2+2+3+3+1+4+4+3+3+2+3+3+3+4+3+4+3+4+4+2+3+3+4+4+2+4+4</f>
        <v>93</v>
      </c>
      <c r="J5" s="9">
        <f>IF(B5="","",(D5-G5-H5-I5)/D5)</f>
        <v>0.76180555555555551</v>
      </c>
      <c r="K5" s="28">
        <v>0</v>
      </c>
      <c r="L5" s="28">
        <f>2+3+40+3+8+12+42+5+38+11+5+16+40+45+15</f>
        <v>285</v>
      </c>
      <c r="M5" s="9">
        <f>IF(B5="","",(D5-G5-H5-I5-K5-L5-E5)/D5)</f>
        <v>0.55902777777777779</v>
      </c>
      <c r="N5" s="7">
        <v>17000</v>
      </c>
      <c r="O5" s="15">
        <f>AVERAGE(15000,15000,15000,15000,15000,15000,15000,15000,15000,15000,15000,15000,15000,15000,15000,15000,15000,15000,15000,15000,15000)</f>
        <v>15000</v>
      </c>
      <c r="P5" s="9">
        <f>IF(B5="","",O5/N5)</f>
        <v>0.88235294117647056</v>
      </c>
      <c r="Q5" s="15">
        <v>5250</v>
      </c>
      <c r="R5" s="15">
        <v>28</v>
      </c>
      <c r="S5" s="7"/>
      <c r="T5" s="5"/>
      <c r="U5" s="10" t="str">
        <f t="shared" ref="U5:U12" si="0">IF(S5="","",(T5-C5))</f>
        <v/>
      </c>
      <c r="V5" s="9">
        <f>IF(B5="","",IF(U5&lt;3,(Q5-R5)/Q5,(Q5-R5-S5)/Q5))</f>
        <v>0.9946666666666667</v>
      </c>
      <c r="W5" s="11">
        <f>IF(B5="","",V5*P5*J5)</f>
        <v>0.66859640522875818</v>
      </c>
      <c r="X5" s="11">
        <f>IF(B5="","",V5*P5*M5)</f>
        <v>0.49062908496732027</v>
      </c>
    </row>
    <row r="6" spans="1:36">
      <c r="A6" s="29" t="s">
        <v>172</v>
      </c>
      <c r="B6" s="5">
        <v>45995.00277777778</v>
      </c>
      <c r="C6" s="5">
        <v>45996</v>
      </c>
      <c r="D6" s="6">
        <f t="shared" ref="D6:D37" si="1">IF(B6="","",(C6-B6)*24*60)</f>
        <v>1435.9999999974389</v>
      </c>
      <c r="E6" s="7">
        <f>60+60</f>
        <v>120</v>
      </c>
      <c r="F6" s="7">
        <v>136</v>
      </c>
      <c r="G6" s="8">
        <f>IF(E6="","",F6-E6)</f>
        <v>16</v>
      </c>
      <c r="H6" s="7">
        <f>14+20+60+18+7+10+5+8+17+23+25+23+14+6+12+6+5+60</f>
        <v>333</v>
      </c>
      <c r="I6" s="7">
        <f>3+3+4+3+2+3+4+2+3+4+1+4+3+4+1+4</f>
        <v>48</v>
      </c>
      <c r="J6" s="9">
        <f t="shared" ref="J6:J37" si="2">IF(B6="","",(D6-G6-H6-I6)/D6)</f>
        <v>0.72353760445633142</v>
      </c>
      <c r="K6" s="28">
        <v>0</v>
      </c>
      <c r="L6" s="28">
        <f>60+60+60+6+16+2+5+40+8+18+4+10+39+4+4+2+4+8+4+5+26+17+5</f>
        <v>407</v>
      </c>
      <c r="M6" s="9">
        <f t="shared" ref="M6:M37" si="3">IF(B6="","",(D6-G6-H6-I6-K6-L6-E6)/D6)</f>
        <v>0.35654596100163788</v>
      </c>
      <c r="N6" s="7">
        <v>17000</v>
      </c>
      <c r="O6" s="15">
        <f>AVERAGE(15000,15000,15000,15000,15000,15000,15000,16000,15000,15000,15000,15000)</f>
        <v>15083.333333333334</v>
      </c>
      <c r="P6" s="9">
        <f t="shared" ref="P6:P37" si="4">IF(B6="","",O6/N6)</f>
        <v>0.88725490196078438</v>
      </c>
      <c r="Q6" s="7">
        <v>3846</v>
      </c>
      <c r="R6" s="7">
        <v>39</v>
      </c>
      <c r="S6" s="7"/>
      <c r="T6" s="5"/>
      <c r="U6" s="10" t="str">
        <f t="shared" si="0"/>
        <v/>
      </c>
      <c r="V6" s="9">
        <f t="shared" ref="V6:V37" si="5">IF(B6="","",IF(U6&lt;3,(Q6-R6)/Q6,(Q6-R6-S6)/Q6))</f>
        <v>0.98985959438377535</v>
      </c>
      <c r="W6" s="11">
        <f t="shared" ref="W6:W37" si="6">IF(B6="","",V6*P6*J6)</f>
        <v>0.63545252833337285</v>
      </c>
      <c r="X6" s="11">
        <f t="shared" ref="X6:X37" si="7">IF(B6="","",V6*P6*M6)</f>
        <v>0.31313926323952007</v>
      </c>
    </row>
    <row r="7" spans="1:36">
      <c r="A7" s="29" t="s">
        <v>85</v>
      </c>
      <c r="B7" s="5">
        <v>45996.149305555555</v>
      </c>
      <c r="C7" s="5">
        <v>45996.638888888891</v>
      </c>
      <c r="D7" s="6">
        <f t="shared" si="1"/>
        <v>705.00000000349246</v>
      </c>
      <c r="E7" s="7">
        <v>0</v>
      </c>
      <c r="F7" s="7">
        <v>0</v>
      </c>
      <c r="G7" s="8">
        <f t="shared" ref="G7:G37" si="8">IF(E7="","",F7-E7)</f>
        <v>0</v>
      </c>
      <c r="H7" s="7">
        <f>26+7+5+6+6+20+6+5</f>
        <v>81</v>
      </c>
      <c r="I7" s="7">
        <f>3+4+2+4+2+3+1+1+1+2+2+2+3+1+3+2+2+1+4+4</f>
        <v>47</v>
      </c>
      <c r="J7" s="9">
        <f t="shared" si="2"/>
        <v>0.8184397163129562</v>
      </c>
      <c r="K7" s="28">
        <v>0</v>
      </c>
      <c r="L7" s="28">
        <f>8+28+41+18+2+7</f>
        <v>104</v>
      </c>
      <c r="M7" s="9">
        <f t="shared" si="3"/>
        <v>0.67092198581723306</v>
      </c>
      <c r="N7" s="7">
        <v>17000</v>
      </c>
      <c r="O7" s="15">
        <f>AVERAGE(15000,15000,15000,15000,15000,15000,15000,15000,15000,15000,16000)</f>
        <v>15090.90909090909</v>
      </c>
      <c r="P7" s="9">
        <f t="shared" si="4"/>
        <v>0.88770053475935828</v>
      </c>
      <c r="Q7" s="15">
        <v>3981</v>
      </c>
      <c r="R7" s="15">
        <v>15</v>
      </c>
      <c r="S7" s="7"/>
      <c r="T7" s="5"/>
      <c r="U7" s="10" t="str">
        <f t="shared" si="0"/>
        <v/>
      </c>
      <c r="V7" s="9">
        <f t="shared" si="5"/>
        <v>0.99623210248681238</v>
      </c>
      <c r="W7" s="11">
        <f t="shared" si="6"/>
        <v>0.72379188561836183</v>
      </c>
      <c r="X7" s="11">
        <f t="shared" si="7"/>
        <v>0.5933337294591694</v>
      </c>
    </row>
    <row r="8" spans="1:36" s="51" customFormat="1">
      <c r="A8" s="29" t="s">
        <v>85</v>
      </c>
      <c r="B8" s="5">
        <v>45997.35833333333</v>
      </c>
      <c r="C8" s="5">
        <v>45997.894444444442</v>
      </c>
      <c r="D8" s="6">
        <f t="shared" si="1"/>
        <v>772.00000000186265</v>
      </c>
      <c r="E8" s="7">
        <v>0</v>
      </c>
      <c r="F8" s="7">
        <v>0</v>
      </c>
      <c r="G8" s="8">
        <f t="shared" si="8"/>
        <v>0</v>
      </c>
      <c r="H8" s="7">
        <f>5+15+5+6+12+8+7+6+10+5+5+6</f>
        <v>90</v>
      </c>
      <c r="I8" s="7">
        <f>4+4+2+4+3+3+2+3+1+3+4+3+4+1+4+4+3+4+2+1+4+3+4</f>
        <v>70</v>
      </c>
      <c r="J8" s="9">
        <f t="shared" si="2"/>
        <v>0.79274611399013739</v>
      </c>
      <c r="K8" s="28">
        <v>0</v>
      </c>
      <c r="L8" s="28">
        <f>2+4+4+3+7+4+13+5</f>
        <v>42</v>
      </c>
      <c r="M8" s="9">
        <f t="shared" si="3"/>
        <v>0.73834196891254844</v>
      </c>
      <c r="N8" s="7">
        <v>17000</v>
      </c>
      <c r="O8" s="15">
        <f>AVERAGE(15000,15000,15000,15000,5000,15000,15000,15000,15000,15000,15000,15000)</f>
        <v>14166.666666666666</v>
      </c>
      <c r="P8" s="9">
        <f t="shared" si="4"/>
        <v>0.83333333333333326</v>
      </c>
      <c r="Q8" s="15">
        <v>4586</v>
      </c>
      <c r="R8" s="15">
        <v>36</v>
      </c>
      <c r="S8" s="7">
        <f>70+36</f>
        <v>106</v>
      </c>
      <c r="T8" s="64">
        <v>45997.865972222222</v>
      </c>
      <c r="U8" s="10">
        <f>IF(S8="","",(T8-C8))</f>
        <v>-2.8472222220443655E-2</v>
      </c>
      <c r="V8" s="9">
        <f t="shared" si="5"/>
        <v>0.99215002180549494</v>
      </c>
      <c r="W8" s="11">
        <f t="shared" si="6"/>
        <v>0.65543589523461343</v>
      </c>
      <c r="X8" s="11">
        <f t="shared" si="7"/>
        <v>0.61045500046374745</v>
      </c>
      <c r="Y8"/>
      <c r="Z8"/>
      <c r="AA8"/>
      <c r="AB8"/>
      <c r="AC8"/>
      <c r="AD8"/>
      <c r="AE8"/>
      <c r="AF8"/>
      <c r="AG8"/>
      <c r="AH8"/>
      <c r="AI8"/>
      <c r="AJ8"/>
    </row>
    <row r="9" spans="1:36" s="51" customFormat="1">
      <c r="A9" s="29" t="s">
        <v>173</v>
      </c>
      <c r="B9" s="5">
        <v>45998.371527777781</v>
      </c>
      <c r="C9" s="5">
        <v>45999</v>
      </c>
      <c r="D9" s="6">
        <f t="shared" si="1"/>
        <v>904.99999999534339</v>
      </c>
      <c r="E9" s="7">
        <v>0</v>
      </c>
      <c r="F9" s="7">
        <v>0</v>
      </c>
      <c r="G9" s="8">
        <f t="shared" si="8"/>
        <v>0</v>
      </c>
      <c r="H9" s="7">
        <f>10+11+13+6+9+6+5+5+8+5+6+7+5+6+12+6+5+6+5</f>
        <v>136</v>
      </c>
      <c r="I9" s="7">
        <f>3+3+3+4+2+3+2+2+2+4+4+4+2+3+4+4+4+4+2</f>
        <v>59</v>
      </c>
      <c r="J9" s="9">
        <f t="shared" si="2"/>
        <v>0.78453038673922282</v>
      </c>
      <c r="K9" s="28">
        <v>0</v>
      </c>
      <c r="L9" s="28">
        <f>12+6+6+5+5+5+4+5+4+2</f>
        <v>54</v>
      </c>
      <c r="M9" s="9">
        <f t="shared" si="3"/>
        <v>0.72486187845162298</v>
      </c>
      <c r="N9" s="7">
        <v>17000</v>
      </c>
      <c r="O9" s="15">
        <f>AVERAGE(15200,15000,15000,16000,15600,15600,15600,16000,16000,16000,16000,16000,16000,16000)</f>
        <v>15714.285714285714</v>
      </c>
      <c r="P9" s="9">
        <f t="shared" si="4"/>
        <v>0.9243697478991596</v>
      </c>
      <c r="Q9" s="15">
        <v>5488</v>
      </c>
      <c r="R9" s="15">
        <v>20</v>
      </c>
      <c r="S9" s="7">
        <f>17*70+48</f>
        <v>1238</v>
      </c>
      <c r="T9" s="5">
        <v>46000.625</v>
      </c>
      <c r="U9" s="10">
        <f t="shared" si="0"/>
        <v>1.625</v>
      </c>
      <c r="V9" s="9">
        <f t="shared" si="5"/>
        <v>0.99635568513119532</v>
      </c>
      <c r="W9" s="11">
        <f t="shared" si="6"/>
        <v>0.72255331267594958</v>
      </c>
      <c r="X9" s="11">
        <f t="shared" si="7"/>
        <v>0.66759855368333376</v>
      </c>
      <c r="Y9"/>
      <c r="Z9"/>
      <c r="AA9"/>
      <c r="AB9"/>
      <c r="AC9"/>
      <c r="AD9"/>
      <c r="AE9"/>
      <c r="AF9"/>
      <c r="AG9"/>
      <c r="AH9"/>
      <c r="AI9"/>
      <c r="AJ9"/>
    </row>
    <row r="10" spans="1:36">
      <c r="A10" s="29" t="s">
        <v>121</v>
      </c>
      <c r="B10" s="5">
        <v>45999</v>
      </c>
      <c r="C10" s="5">
        <v>46000</v>
      </c>
      <c r="D10" s="6">
        <f t="shared" si="1"/>
        <v>1440</v>
      </c>
      <c r="E10" s="7">
        <v>60</v>
      </c>
      <c r="F10" s="7">
        <v>95</v>
      </c>
      <c r="G10" s="8">
        <f t="shared" si="8"/>
        <v>35</v>
      </c>
      <c r="H10" s="7">
        <f>5+14+35+7+18+7+5+5+8+8+8+11+9+14+5+5+8+13+7+6+17+5+11+8+6+7+9+8+15+8</f>
        <v>292</v>
      </c>
      <c r="I10" s="7">
        <f>1+2+2+2+3+4+4+4+2+1+4+2+2+4+3+4+4+2+2+3+3+3+2+4+2+3+4+4+3+3+3+2</f>
        <v>91</v>
      </c>
      <c r="J10" s="9">
        <f t="shared" si="2"/>
        <v>0.70972222222222225</v>
      </c>
      <c r="K10" s="28">
        <v>0</v>
      </c>
      <c r="L10" s="28">
        <f>3+12+4+6+10+18+4+6+29+2</f>
        <v>94</v>
      </c>
      <c r="M10" s="9">
        <f t="shared" si="3"/>
        <v>0.60277777777777775</v>
      </c>
      <c r="N10" s="7">
        <v>17000</v>
      </c>
      <c r="O10" s="15">
        <f>AVERAGE(16000,16000,15600,15600,15600,15600,15600,15500,15000,15000,15000,15000,1500,15000,15000,15000,15600,15600)</f>
        <v>14622.222222222223</v>
      </c>
      <c r="P10" s="9">
        <f t="shared" si="4"/>
        <v>0.86013071895424842</v>
      </c>
      <c r="Q10" s="15">
        <v>6699</v>
      </c>
      <c r="R10" s="15">
        <v>85</v>
      </c>
      <c r="S10" s="7">
        <f>140+19+19</f>
        <v>178</v>
      </c>
      <c r="T10" s="5">
        <v>46000.625</v>
      </c>
      <c r="U10" s="10">
        <f t="shared" si="0"/>
        <v>0.625</v>
      </c>
      <c r="V10" s="9">
        <f t="shared" si="5"/>
        <v>0.98731153903567692</v>
      </c>
      <c r="W10" s="11">
        <f t="shared" si="6"/>
        <v>0.60270816496419388</v>
      </c>
      <c r="X10" s="11">
        <f t="shared" si="7"/>
        <v>0.51188912640794537</v>
      </c>
    </row>
    <row r="11" spans="1:36">
      <c r="A11" s="29" t="s">
        <v>31</v>
      </c>
      <c r="B11" s="5">
        <v>46000.666666666664</v>
      </c>
      <c r="C11" s="5">
        <v>46001</v>
      </c>
      <c r="D11" s="6">
        <f t="shared" si="1"/>
        <v>480.00000000349246</v>
      </c>
      <c r="E11" s="7">
        <v>0</v>
      </c>
      <c r="F11" s="7">
        <v>0</v>
      </c>
      <c r="G11" s="8">
        <f t="shared" si="8"/>
        <v>0</v>
      </c>
      <c r="H11" s="7">
        <f>5+7+5+5</f>
        <v>22</v>
      </c>
      <c r="I11" s="7">
        <f>4+3+2+3+3+3+1+3+3+2+3+2+2+4+2+4+2+3+1+3+2+1+2+2+2</f>
        <v>62</v>
      </c>
      <c r="J11" s="9">
        <f t="shared" si="2"/>
        <v>0.82500000000127327</v>
      </c>
      <c r="K11" s="28">
        <v>0</v>
      </c>
      <c r="L11" s="28">
        <v>0</v>
      </c>
      <c r="M11" s="9">
        <f t="shared" si="3"/>
        <v>0.82500000000127327</v>
      </c>
      <c r="N11" s="7">
        <v>17000</v>
      </c>
      <c r="O11" s="15">
        <f>AVERAGE(15000,15000,15000,15000,15000,15000,15000,15000)</f>
        <v>15000</v>
      </c>
      <c r="P11" s="9">
        <f t="shared" si="4"/>
        <v>0.88235294117647056</v>
      </c>
      <c r="Q11" s="15">
        <v>3254</v>
      </c>
      <c r="R11" s="15">
        <v>24</v>
      </c>
      <c r="S11" s="7"/>
      <c r="T11" s="5"/>
      <c r="U11" s="10" t="str">
        <f t="shared" si="0"/>
        <v/>
      </c>
      <c r="V11" s="9">
        <f t="shared" si="5"/>
        <v>0.99262446220036882</v>
      </c>
      <c r="W11" s="11">
        <f t="shared" si="6"/>
        <v>0.72257221880873657</v>
      </c>
      <c r="X11" s="11">
        <f t="shared" si="7"/>
        <v>0.72257221880873657</v>
      </c>
    </row>
    <row r="12" spans="1:36">
      <c r="A12" s="29" t="s">
        <v>174</v>
      </c>
      <c r="B12" s="5">
        <v>46001.003472222219</v>
      </c>
      <c r="C12" s="5">
        <v>46002</v>
      </c>
      <c r="D12" s="6">
        <f t="shared" si="1"/>
        <v>1435.0000000046566</v>
      </c>
      <c r="E12" s="7">
        <v>60</v>
      </c>
      <c r="F12" s="7">
        <v>60</v>
      </c>
      <c r="G12" s="8">
        <f>IF(E12="","",F12-E12)</f>
        <v>0</v>
      </c>
      <c r="H12" s="7">
        <f>5+6+5+6+5+6+5+6+8+10+6+6+5+9+7+60+60+60+60+7+6</f>
        <v>348</v>
      </c>
      <c r="I12" s="7">
        <f>4+3+3+4+3+1+4+2+1+3+3+1+4+4+2+3+2+2+3+2+4+2+3+4+4+3</f>
        <v>74</v>
      </c>
      <c r="J12" s="9">
        <f t="shared" si="2"/>
        <v>0.70592334494868947</v>
      </c>
      <c r="K12" s="28">
        <v>0</v>
      </c>
      <c r="L12" s="28">
        <f>4+2+5+6+8+3+3+3+3</f>
        <v>37</v>
      </c>
      <c r="M12" s="9">
        <f t="shared" si="3"/>
        <v>0.63832752613357779</v>
      </c>
      <c r="N12" s="7">
        <v>17000</v>
      </c>
      <c r="O12" s="15">
        <f>AVERAGE(15000,15000,15000,15000,15000,15000,15000,15000,15000,15000,15000,15000,15000,15000)</f>
        <v>15000</v>
      </c>
      <c r="P12" s="9">
        <f t="shared" si="4"/>
        <v>0.88235294117647056</v>
      </c>
      <c r="Q12" s="15">
        <v>6622</v>
      </c>
      <c r="R12" s="15">
        <v>47</v>
      </c>
      <c r="S12" s="7"/>
      <c r="T12" s="5"/>
      <c r="U12" s="10" t="str">
        <f t="shared" si="0"/>
        <v/>
      </c>
      <c r="V12" s="9">
        <f t="shared" si="5"/>
        <v>0.99290244639081848</v>
      </c>
      <c r="W12" s="11">
        <f t="shared" si="6"/>
        <v>0.61845266132112653</v>
      </c>
      <c r="X12" s="11">
        <f t="shared" si="7"/>
        <v>0.55923261379114275</v>
      </c>
    </row>
    <row r="13" spans="1:36">
      <c r="A13" s="29" t="s">
        <v>175</v>
      </c>
      <c r="B13" s="5">
        <v>46002</v>
      </c>
      <c r="C13" s="5">
        <v>46003</v>
      </c>
      <c r="D13" s="6">
        <f t="shared" si="1"/>
        <v>1440</v>
      </c>
      <c r="E13" s="7">
        <v>0</v>
      </c>
      <c r="F13" s="7">
        <v>0</v>
      </c>
      <c r="G13" s="8">
        <f t="shared" si="8"/>
        <v>0</v>
      </c>
      <c r="H13" s="7">
        <f>5+8+7+44+35+5+7+9+18+6+7+10+11+10+10+60+60+60</f>
        <v>372</v>
      </c>
      <c r="I13" s="7">
        <f>4+3+3+4+2+3+1+2+3+4+3+2+2+3+3+3+3+1+3+2+1+1+2+3+2+2+2+1+4</f>
        <v>72</v>
      </c>
      <c r="J13" s="9">
        <f t="shared" si="2"/>
        <v>0.69166666666666665</v>
      </c>
      <c r="K13" s="28">
        <v>0</v>
      </c>
      <c r="L13" s="28">
        <f>31+26+11+4+8+5+5+4+21+24+35+12+8</f>
        <v>194</v>
      </c>
      <c r="M13" s="9">
        <f t="shared" si="3"/>
        <v>0.55694444444444446</v>
      </c>
      <c r="N13" s="7">
        <v>17000</v>
      </c>
      <c r="O13" s="15">
        <f>AVERAGE(15000,15000,15000,15000,15000,15000,15000,15000,15000,15000,15000,15000,15000)</f>
        <v>15000</v>
      </c>
      <c r="P13" s="9">
        <f t="shared" si="4"/>
        <v>0.88235294117647056</v>
      </c>
      <c r="Q13" s="15">
        <v>5043</v>
      </c>
      <c r="R13" s="15">
        <v>85</v>
      </c>
      <c r="S13" s="7">
        <f>183+36</f>
        <v>219</v>
      </c>
      <c r="T13" s="5">
        <v>46028.708333333336</v>
      </c>
      <c r="U13" s="10">
        <f t="shared" ref="U13:U37" si="9">IF(S13="","",(T13-C13))</f>
        <v>25.708333333335759</v>
      </c>
      <c r="V13" s="9">
        <f t="shared" si="5"/>
        <v>0.93971842157445962</v>
      </c>
      <c r="W13" s="11">
        <f t="shared" si="6"/>
        <v>0.57350462493147158</v>
      </c>
      <c r="X13" s="11">
        <f t="shared" si="7"/>
        <v>0.46179790079823319</v>
      </c>
    </row>
    <row r="14" spans="1:36">
      <c r="A14" s="29" t="s">
        <v>176</v>
      </c>
      <c r="B14" s="5">
        <v>46003.166666666664</v>
      </c>
      <c r="C14" s="5">
        <v>46003.810416666667</v>
      </c>
      <c r="D14" s="6">
        <f t="shared" si="1"/>
        <v>927.00000000419095</v>
      </c>
      <c r="E14" s="7">
        <f>45+60</f>
        <v>105</v>
      </c>
      <c r="F14" s="7">
        <v>87</v>
      </c>
      <c r="G14" s="8">
        <f t="shared" si="8"/>
        <v>-18</v>
      </c>
      <c r="H14" s="7">
        <f>29+6+10+7+6+6+10+60+44+7</f>
        <v>185</v>
      </c>
      <c r="I14" s="7">
        <f>2+2+3+4+1+2+3+2+4+1+3+2+2</f>
        <v>31</v>
      </c>
      <c r="J14" s="9">
        <f t="shared" si="2"/>
        <v>0.78640776699125692</v>
      </c>
      <c r="K14" s="28">
        <v>0</v>
      </c>
      <c r="L14" s="28">
        <f>15+5+6+14+3+17</f>
        <v>60</v>
      </c>
      <c r="M14" s="9">
        <f t="shared" si="3"/>
        <v>0.608414239483971</v>
      </c>
      <c r="N14" s="7">
        <v>17000</v>
      </c>
      <c r="O14" s="15">
        <f>AVERAGE(15000,15000,16000,16000,15000,15000,15000,15000,15000,15000)</f>
        <v>15200</v>
      </c>
      <c r="P14" s="9">
        <f t="shared" si="4"/>
        <v>0.89411764705882357</v>
      </c>
      <c r="Q14" s="15">
        <v>3925</v>
      </c>
      <c r="R14" s="15">
        <v>95</v>
      </c>
      <c r="S14" s="7">
        <v>4</v>
      </c>
      <c r="T14" s="5"/>
      <c r="U14" s="10">
        <f t="shared" si="9"/>
        <v>-46003.810416666667</v>
      </c>
      <c r="V14" s="9">
        <f t="shared" ref="V14" si="10">IF(B14="","",IF(U14&lt;3,(Q14-R14)/Q14,(Q14-R14-S14)/Q14))</f>
        <v>0.97579617834394905</v>
      </c>
      <c r="W14" s="11">
        <f t="shared" ref="W14" si="11">IF(B14="","",V14*P14*J14)</f>
        <v>0.68612236138123672</v>
      </c>
      <c r="X14" s="11">
        <f t="shared" ref="X14" si="12">IF(B14="","",V14*P14*M14)</f>
        <v>0.5308271767073639</v>
      </c>
    </row>
    <row r="15" spans="1:36">
      <c r="A15" s="29" t="s">
        <v>35</v>
      </c>
      <c r="B15" s="5">
        <v>46004.645833333336</v>
      </c>
      <c r="C15" s="5">
        <v>46004.930555555555</v>
      </c>
      <c r="D15" s="6">
        <f t="shared" si="1"/>
        <v>409.99999999534339</v>
      </c>
      <c r="E15" s="7">
        <v>0</v>
      </c>
      <c r="F15" s="7">
        <v>0</v>
      </c>
      <c r="G15" s="8">
        <f t="shared" si="8"/>
        <v>0</v>
      </c>
      <c r="H15" s="7">
        <f>6+5+5+5+5+6+6+6+6</f>
        <v>50</v>
      </c>
      <c r="I15" s="7">
        <f>4+4+2+4+2+3+4</f>
        <v>23</v>
      </c>
      <c r="J15" s="9">
        <f t="shared" si="2"/>
        <v>0.82195121951017291</v>
      </c>
      <c r="K15" s="28">
        <v>0</v>
      </c>
      <c r="L15" s="28">
        <v>0</v>
      </c>
      <c r="M15" s="9">
        <f t="shared" si="3"/>
        <v>0.82195121951017291</v>
      </c>
      <c r="N15" s="7">
        <v>17000</v>
      </c>
      <c r="O15" s="15">
        <f>AVERAGE(15000,15000,15000,16000,16000,15000,)</f>
        <v>13142.857142857143</v>
      </c>
      <c r="P15" s="9">
        <f t="shared" si="4"/>
        <v>0.77310924369747902</v>
      </c>
      <c r="Q15" s="15">
        <v>2888</v>
      </c>
      <c r="R15" s="7"/>
      <c r="S15" s="7"/>
      <c r="T15" s="5"/>
      <c r="U15" s="10" t="str">
        <f t="shared" si="9"/>
        <v/>
      </c>
      <c r="V15" s="9">
        <f t="shared" si="5"/>
        <v>1</v>
      </c>
      <c r="W15" s="11">
        <f t="shared" si="6"/>
        <v>0.63545808567173034</v>
      </c>
      <c r="X15" s="11">
        <f t="shared" si="7"/>
        <v>0.63545808567173034</v>
      </c>
    </row>
    <row r="16" spans="1:36">
      <c r="A16" s="29" t="s">
        <v>177</v>
      </c>
      <c r="B16" s="5">
        <v>46005.347222222219</v>
      </c>
      <c r="C16" s="5">
        <v>46006</v>
      </c>
      <c r="D16" s="6">
        <f t="shared" si="1"/>
        <v>940.00000000465661</v>
      </c>
      <c r="E16" s="7">
        <v>100</v>
      </c>
      <c r="F16" s="7">
        <v>60</v>
      </c>
      <c r="G16" s="8">
        <f t="shared" si="8"/>
        <v>-40</v>
      </c>
      <c r="H16" s="7">
        <f>10+26+10+6+13+5+10+14</f>
        <v>94</v>
      </c>
      <c r="I16" s="7">
        <f>3+1+2+3+4+15+3+3+2+1+1</f>
        <v>38</v>
      </c>
      <c r="J16" s="9">
        <f>IF(B16="","",(D16-G16-H16-I16)/D16)</f>
        <v>0.90212765957495289</v>
      </c>
      <c r="K16" s="28">
        <v>0</v>
      </c>
      <c r="L16" s="28">
        <f>3+20+5+11+4+9+2</f>
        <v>54</v>
      </c>
      <c r="M16" s="9">
        <f t="shared" si="3"/>
        <v>0.73829787234172195</v>
      </c>
      <c r="N16" s="7">
        <v>17000</v>
      </c>
      <c r="O16" s="15">
        <f>AVERAGE(15000,14000,14000,15000,15000,15000,15000,15000)</f>
        <v>14750</v>
      </c>
      <c r="P16" s="9">
        <f t="shared" si="4"/>
        <v>0.86764705882352944</v>
      </c>
      <c r="Q16" s="7">
        <v>5634</v>
      </c>
      <c r="R16" s="7">
        <v>118</v>
      </c>
      <c r="S16" s="7"/>
      <c r="T16" s="5"/>
      <c r="U16" s="10" t="str">
        <f t="shared" si="9"/>
        <v/>
      </c>
      <c r="V16" s="9">
        <f t="shared" si="5"/>
        <v>0.97905573304934324</v>
      </c>
      <c r="W16" s="11">
        <f t="shared" si="6"/>
        <v>0.76633473773390282</v>
      </c>
      <c r="X16" s="11">
        <f t="shared" si="7"/>
        <v>0.62716545753299124</v>
      </c>
    </row>
    <row r="17" spans="1:24">
      <c r="A17" s="29" t="s">
        <v>178</v>
      </c>
      <c r="B17" s="5">
        <v>46006.006944444445</v>
      </c>
      <c r="C17" s="5">
        <v>46006.994444444441</v>
      </c>
      <c r="D17" s="6">
        <f t="shared" si="1"/>
        <v>1421.9999999937136</v>
      </c>
      <c r="E17" s="7">
        <v>100</v>
      </c>
      <c r="F17" s="7">
        <v>76</v>
      </c>
      <c r="G17" s="8">
        <f t="shared" si="8"/>
        <v>-24</v>
      </c>
      <c r="H17" s="7">
        <f>324+44+60+10+6+39+5+5+9+6+14</f>
        <v>522</v>
      </c>
      <c r="I17" s="7">
        <f>1+2+4+3+4+2+3+3+3+1+2+2+2+4+1</f>
        <v>37</v>
      </c>
      <c r="J17" s="9">
        <f t="shared" si="2"/>
        <v>0.62376933895754916</v>
      </c>
      <c r="K17" s="28">
        <v>0</v>
      </c>
      <c r="L17" s="28">
        <f>14+17+15+30+22+13+2+10+9</f>
        <v>132</v>
      </c>
      <c r="M17" s="9">
        <f t="shared" si="3"/>
        <v>0.46061884669241154</v>
      </c>
      <c r="N17" s="7">
        <v>17000</v>
      </c>
      <c r="O17" s="15">
        <f>AVERAGE(15000,15000,15000,15000,15000,15000,15000,15000,15000,15000,15000,15000)</f>
        <v>15000</v>
      </c>
      <c r="P17" s="9">
        <f t="shared" si="4"/>
        <v>0.88235294117647056</v>
      </c>
      <c r="Q17" s="7">
        <v>5567</v>
      </c>
      <c r="R17" s="7">
        <v>132</v>
      </c>
      <c r="S17" s="7"/>
      <c r="T17" s="5"/>
      <c r="U17" s="10" t="str">
        <f t="shared" si="9"/>
        <v/>
      </c>
      <c r="V17" s="9">
        <f t="shared" si="5"/>
        <v>0.97628884497934254</v>
      </c>
      <c r="W17" s="11">
        <f t="shared" si="6"/>
        <v>0.53733445364505328</v>
      </c>
      <c r="X17" s="11">
        <f t="shared" si="7"/>
        <v>0.39679150748210412</v>
      </c>
    </row>
    <row r="18" spans="1:24">
      <c r="A18" s="29" t="s">
        <v>179</v>
      </c>
      <c r="B18" s="5">
        <v>46007.027777777781</v>
      </c>
      <c r="C18" s="5">
        <v>46007.97152777778</v>
      </c>
      <c r="D18" s="6">
        <f t="shared" si="1"/>
        <v>1358.9999999979045</v>
      </c>
      <c r="E18" s="7">
        <v>10</v>
      </c>
      <c r="F18" s="7">
        <v>25</v>
      </c>
      <c r="G18" s="8">
        <f t="shared" si="8"/>
        <v>15</v>
      </c>
      <c r="H18" s="7">
        <f>14+20+5+7+7+10+6+5+8+8+5+55+9+6+6+11+7+8+6+5+8+6+14+5+14+20+6+6+16+10</f>
        <v>313</v>
      </c>
      <c r="I18" s="7">
        <f>1+3+1+1+2+3+3+3+3+2+2+2+1+4+4+2+3+2+2+3+1+3+3+3+3+2+4</f>
        <v>66</v>
      </c>
      <c r="J18" s="9">
        <f t="shared" si="2"/>
        <v>0.71008094186857429</v>
      </c>
      <c r="K18" s="28">
        <v>0</v>
      </c>
      <c r="L18" s="28">
        <f>13+4+7+8+4+5+5+11+20+6+6+5+5+13</f>
        <v>112</v>
      </c>
      <c r="M18" s="9">
        <f t="shared" si="3"/>
        <v>0.62030905077204146</v>
      </c>
      <c r="N18" s="7">
        <v>17000</v>
      </c>
      <c r="O18" s="15">
        <f>AVERAGE(15000,15000,15000,15000,15000,15000,15000,15000,15000,15000,15000,15000,15000,14000,15000,15000,14500,14500,15000)</f>
        <v>14894.736842105263</v>
      </c>
      <c r="P18" s="9">
        <f t="shared" si="4"/>
        <v>0.87616099071207432</v>
      </c>
      <c r="Q18" s="7">
        <v>5497</v>
      </c>
      <c r="R18" s="7">
        <v>99</v>
      </c>
      <c r="S18" s="7"/>
      <c r="T18" s="5"/>
      <c r="U18" s="10" t="str">
        <f t="shared" si="9"/>
        <v/>
      </c>
      <c r="V18" s="9">
        <f t="shared" si="5"/>
        <v>0.98199017645988718</v>
      </c>
      <c r="W18" s="11">
        <f t="shared" si="6"/>
        <v>0.61094049585755339</v>
      </c>
      <c r="X18" s="11">
        <f t="shared" si="7"/>
        <v>0.53370242280596436</v>
      </c>
    </row>
    <row r="19" spans="1:24">
      <c r="A19" s="29" t="s">
        <v>31</v>
      </c>
      <c r="B19" s="5">
        <v>46008.009027777778</v>
      </c>
      <c r="C19" s="5">
        <v>46009</v>
      </c>
      <c r="D19" s="6">
        <f t="shared" si="1"/>
        <v>1426.9999999995343</v>
      </c>
      <c r="E19" s="7">
        <v>0</v>
      </c>
      <c r="F19" s="7">
        <v>0</v>
      </c>
      <c r="G19" s="8">
        <f t="shared" si="8"/>
        <v>0</v>
      </c>
      <c r="H19" s="7">
        <f>18+8+9+6+6+5+7+7+6+6+7+8+5+7+7+5+6+5+7+54+23+23+7+5+5+58</f>
        <v>310</v>
      </c>
      <c r="I19" s="7">
        <f>1+3+2+2+2+1+2+2+3+3+2+3+1+3+2+3+4+2+4+2+4+2+1+2+4+2+3+4+1+2+3+2+2+3+4</f>
        <v>86</v>
      </c>
      <c r="J19" s="9">
        <f t="shared" si="2"/>
        <v>0.72249474421854998</v>
      </c>
      <c r="K19" s="28">
        <v>0</v>
      </c>
      <c r="L19" s="28">
        <f>7+30+11+4+5+7+10</f>
        <v>74</v>
      </c>
      <c r="M19" s="9">
        <f t="shared" si="3"/>
        <v>0.67063770147151125</v>
      </c>
      <c r="N19" s="7">
        <v>17000</v>
      </c>
      <c r="O19" s="15">
        <f>AVERAGE(15000,15000,15000,15000,15000,15000,15000,15000,15000,15000,15000,15000,15000)</f>
        <v>15000</v>
      </c>
      <c r="P19" s="9">
        <f t="shared" si="4"/>
        <v>0.88235294117647056</v>
      </c>
      <c r="Q19" s="15">
        <v>7410</v>
      </c>
      <c r="R19" s="7">
        <v>150</v>
      </c>
      <c r="S19" s="7"/>
      <c r="T19" s="5"/>
      <c r="U19" s="10" t="str">
        <f t="shared" si="9"/>
        <v/>
      </c>
      <c r="V19" s="9">
        <f t="shared" si="5"/>
        <v>0.97975708502024295</v>
      </c>
      <c r="W19" s="11">
        <f t="shared" si="6"/>
        <v>0.62459059812177575</v>
      </c>
      <c r="X19" s="11">
        <f t="shared" si="7"/>
        <v>0.57976062308682674</v>
      </c>
    </row>
    <row r="20" spans="1:24">
      <c r="A20" s="29" t="s">
        <v>180</v>
      </c>
      <c r="B20" s="5">
        <v>46009.006944444445</v>
      </c>
      <c r="C20" s="5">
        <v>46010</v>
      </c>
      <c r="D20" s="6">
        <f t="shared" si="1"/>
        <v>1429.9999999988358</v>
      </c>
      <c r="E20" s="7">
        <f>60+60+10</f>
        <v>130</v>
      </c>
      <c r="F20" s="7">
        <v>197</v>
      </c>
      <c r="G20" s="8">
        <f t="shared" si="8"/>
        <v>67</v>
      </c>
      <c r="H20" s="7">
        <f>9+7+11+8+24+7+7+33+34+6+10+5+6+6+5+8+5+10+5+7</f>
        <v>213</v>
      </c>
      <c r="I20" s="7">
        <f>3+2+3+3+2+2+3+1+3+3+4+2+4+1+3+2+3+4+3+3+1+3+3+3+2+3+3+3</f>
        <v>75</v>
      </c>
      <c r="J20" s="9">
        <f t="shared" si="2"/>
        <v>0.7517482517480496</v>
      </c>
      <c r="K20" s="28">
        <v>0</v>
      </c>
      <c r="L20" s="28">
        <f>11+2+2+8+17</f>
        <v>40</v>
      </c>
      <c r="M20" s="9">
        <f t="shared" si="3"/>
        <v>0.63286713286683394</v>
      </c>
      <c r="N20" s="7">
        <v>17000</v>
      </c>
      <c r="O20" s="30">
        <f>AVERAGE(15000,15000,15000,15000,15000,15000,15000,15000,15000,15000,15000,15000,15000,15000,15000,15000,15000,15000,15000,15000)</f>
        <v>15000</v>
      </c>
      <c r="P20" s="9">
        <f t="shared" si="4"/>
        <v>0.88235294117647056</v>
      </c>
      <c r="Q20" s="7">
        <v>6964</v>
      </c>
      <c r="R20" s="7">
        <v>173</v>
      </c>
      <c r="S20" s="7"/>
      <c r="T20" s="5"/>
      <c r="U20" s="10" t="str">
        <f t="shared" si="9"/>
        <v/>
      </c>
      <c r="V20" s="9">
        <f t="shared" si="5"/>
        <v>0.97515795519816195</v>
      </c>
      <c r="W20" s="11">
        <f t="shared" si="6"/>
        <v>0.64682937176331268</v>
      </c>
      <c r="X20" s="11">
        <f t="shared" si="7"/>
        <v>0.54454007576342223</v>
      </c>
    </row>
    <row r="21" spans="1:24">
      <c r="A21" s="29" t="s">
        <v>181</v>
      </c>
      <c r="B21" s="5">
        <v>46010.006944444445</v>
      </c>
      <c r="C21" s="5">
        <v>46010.852083333331</v>
      </c>
      <c r="D21" s="6">
        <f t="shared" si="1"/>
        <v>1216.9999999960419</v>
      </c>
      <c r="E21" s="7">
        <v>45</v>
      </c>
      <c r="F21" s="7">
        <v>84</v>
      </c>
      <c r="G21" s="8">
        <f t="shared" si="8"/>
        <v>39</v>
      </c>
      <c r="H21" s="7">
        <f>12+10+42+15+14+9+6+5+5+13+6</f>
        <v>137</v>
      </c>
      <c r="I21" s="7">
        <f>3+2+3+3+2+2+4+4+1+2+2+4+1+4+3+3+1+2+2+2+1+2+1+1</f>
        <v>55</v>
      </c>
      <c r="J21" s="9">
        <f t="shared" si="2"/>
        <v>0.81018898931737771</v>
      </c>
      <c r="K21" s="28">
        <v>0</v>
      </c>
      <c r="L21" s="28">
        <f>4+10+10+4+5+3+13+4+14+3+7</f>
        <v>77</v>
      </c>
      <c r="M21" s="9">
        <f t="shared" si="3"/>
        <v>0.70994248151097117</v>
      </c>
      <c r="N21" s="7">
        <v>17000</v>
      </c>
      <c r="O21" s="15">
        <f>AVERAGE(15000,15000,17000,15000,15000,15000,15000,15000,15000,15000,15000,15000,15000,15000,15000,15000,15000,15000,15000,15000,15000,15000)</f>
        <v>15090.90909090909</v>
      </c>
      <c r="P21" s="9">
        <f t="shared" si="4"/>
        <v>0.88770053475935828</v>
      </c>
      <c r="Q21" s="7">
        <v>7261</v>
      </c>
      <c r="R21" s="15">
        <v>73</v>
      </c>
      <c r="S21" s="7"/>
      <c r="T21" s="5"/>
      <c r="U21" s="10" t="str">
        <f t="shared" si="9"/>
        <v/>
      </c>
      <c r="V21" s="9">
        <f t="shared" si="5"/>
        <v>0.98994628839002896</v>
      </c>
      <c r="W21" s="11">
        <f t="shared" si="6"/>
        <v>0.71197451741330664</v>
      </c>
      <c r="X21" s="11">
        <f t="shared" si="7"/>
        <v>0.6238803073476149</v>
      </c>
    </row>
    <row r="22" spans="1:24">
      <c r="A22" s="29" t="s">
        <v>31</v>
      </c>
      <c r="B22" s="5">
        <v>46013.070833333331</v>
      </c>
      <c r="C22" s="5">
        <v>46014.005555555559</v>
      </c>
      <c r="D22" s="6">
        <f t="shared" si="1"/>
        <v>1346.0000000079162</v>
      </c>
      <c r="E22" s="7">
        <v>0</v>
      </c>
      <c r="F22" s="7">
        <v>0</v>
      </c>
      <c r="G22" s="8">
        <f t="shared" si="8"/>
        <v>0</v>
      </c>
      <c r="H22" s="7">
        <f>5+5+6+9+5+13+6+7+5+6+6+5+6+5+6+5+6+7</f>
        <v>113</v>
      </c>
      <c r="I22" s="7">
        <f>3+4+3+2+2+3+3+3+2+2+3+2+2+4+2+4+1+2+2+1+4+4+4</f>
        <v>62</v>
      </c>
      <c r="J22" s="9">
        <f t="shared" si="2"/>
        <v>0.86998514115975423</v>
      </c>
      <c r="K22" s="28">
        <v>0</v>
      </c>
      <c r="L22" s="28">
        <f>5+7+3+4+6+15+2+11+5+2+13+3+3+9+3+4+2+4+8</f>
        <v>109</v>
      </c>
      <c r="M22" s="9">
        <f t="shared" si="3"/>
        <v>0.7890044576535441</v>
      </c>
      <c r="N22" s="7">
        <v>17000</v>
      </c>
      <c r="O22" s="30">
        <f>AVERAGE(17000,17000,17000,15000,17000,15000,15000,15000,15000,15000,15000,15000,15000,15000,15000,17000,15000,15000,15000,15000,15000,15000)</f>
        <v>15454.545454545454</v>
      </c>
      <c r="P22" s="9">
        <f t="shared" si="4"/>
        <v>0.90909090909090906</v>
      </c>
      <c r="Q22" s="15">
        <v>8227</v>
      </c>
      <c r="R22" s="7">
        <v>28</v>
      </c>
      <c r="S22" s="7"/>
      <c r="T22" s="5"/>
      <c r="U22" s="10" t="str">
        <f t="shared" si="9"/>
        <v/>
      </c>
      <c r="V22" s="9">
        <f t="shared" si="5"/>
        <v>0.99659657226206388</v>
      </c>
      <c r="W22" s="11">
        <f t="shared" si="6"/>
        <v>0.78820382690794444</v>
      </c>
      <c r="X22" s="11">
        <f t="shared" si="7"/>
        <v>0.71483557999728253</v>
      </c>
    </row>
    <row r="23" spans="1:24">
      <c r="A23" s="29" t="s">
        <v>85</v>
      </c>
      <c r="B23" s="5">
        <v>46014.019444444442</v>
      </c>
      <c r="C23" s="5">
        <v>46015.038194444445</v>
      </c>
      <c r="D23" s="6">
        <f t="shared" si="1"/>
        <v>1467.000000004191</v>
      </c>
      <c r="E23" s="7">
        <v>0</v>
      </c>
      <c r="F23" s="7">
        <v>0</v>
      </c>
      <c r="G23" s="8">
        <f t="shared" si="8"/>
        <v>0</v>
      </c>
      <c r="H23" s="7">
        <f>25+15+7+45+50+5+10+7+8+7+14+18+35+5+5+6+7+6+7+6+7+8+18+8</f>
        <v>329</v>
      </c>
      <c r="I23" s="7">
        <f>4+2+2+3+3+1+4+3+1+3+3+2+3+2+4+2+2+3+4+4+4+2+4+4+4+2+4+2+1+2+3+3+3+3+3+2</f>
        <v>101</v>
      </c>
      <c r="J23" s="9">
        <f t="shared" si="2"/>
        <v>0.70688479891017619</v>
      </c>
      <c r="K23" s="28">
        <v>0</v>
      </c>
      <c r="L23" s="28">
        <f>12+40+3+9+42+10</f>
        <v>116</v>
      </c>
      <c r="M23" s="9">
        <f t="shared" si="3"/>
        <v>0.62781186094175856</v>
      </c>
      <c r="N23" s="7">
        <v>17000</v>
      </c>
      <c r="O23" s="15">
        <f>AVERAGE(15000,15000,1500,15000,15000,15000,15000,15000,15000,15000,15000,15000,15000,15000,15000)</f>
        <v>14100</v>
      </c>
      <c r="P23" s="9">
        <f t="shared" si="4"/>
        <v>0.8294117647058824</v>
      </c>
      <c r="Q23" s="15">
        <v>6843</v>
      </c>
      <c r="R23" s="7">
        <v>59</v>
      </c>
      <c r="S23" s="7">
        <v>20</v>
      </c>
      <c r="T23" s="5">
        <v>46024</v>
      </c>
      <c r="U23" s="10">
        <f t="shared" si="9"/>
        <v>8.9618055555547471</v>
      </c>
      <c r="V23" s="9">
        <f t="shared" si="5"/>
        <v>0.98845535583808275</v>
      </c>
      <c r="W23" s="11">
        <f t="shared" si="6"/>
        <v>0.57952996016178737</v>
      </c>
      <c r="X23" s="11">
        <f t="shared" si="7"/>
        <v>0.51470307937249549</v>
      </c>
    </row>
    <row r="24" spans="1:24">
      <c r="A24" s="29" t="s">
        <v>135</v>
      </c>
      <c r="B24" s="5">
        <v>46015.072916666664</v>
      </c>
      <c r="C24" s="5">
        <v>46016.711805555555</v>
      </c>
      <c r="D24" s="6">
        <f t="shared" si="1"/>
        <v>2360.0000000023283</v>
      </c>
      <c r="E24" s="7">
        <v>0</v>
      </c>
      <c r="F24" s="7">
        <v>0</v>
      </c>
      <c r="G24" s="8">
        <f t="shared" si="8"/>
        <v>0</v>
      </c>
      <c r="H24" s="7">
        <f>5+7+5+14+22+20+6</f>
        <v>79</v>
      </c>
      <c r="I24" s="7">
        <f>3+1+1+4+2+1+3+1+3+2+1+2+2+2+4+4+2+3+3+1</f>
        <v>45</v>
      </c>
      <c r="J24" s="9">
        <f t="shared" si="2"/>
        <v>0.94745762711869586</v>
      </c>
      <c r="K24" s="28">
        <v>0</v>
      </c>
      <c r="L24" s="28">
        <f>35+2+3+60+60+4+4+11</f>
        <v>179</v>
      </c>
      <c r="M24" s="9">
        <f t="shared" si="3"/>
        <v>0.87161016949165204</v>
      </c>
      <c r="N24" s="7">
        <v>17000</v>
      </c>
      <c r="O24" s="15">
        <f>AVERAGE(15000,15000,15000,15000,15000,14000,13000,14000,15000,15000,15000,15000)</f>
        <v>14666.666666666666</v>
      </c>
      <c r="P24" s="9">
        <f t="shared" si="4"/>
        <v>0.86274509803921562</v>
      </c>
      <c r="Q24" s="7">
        <v>4430</v>
      </c>
      <c r="R24" s="7">
        <v>19</v>
      </c>
      <c r="S24" s="7">
        <v>13</v>
      </c>
      <c r="T24" s="5">
        <v>46024</v>
      </c>
      <c r="U24" s="10">
        <f t="shared" si="9"/>
        <v>7.2881944444452529</v>
      </c>
      <c r="V24" s="9">
        <f t="shared" si="5"/>
        <v>0.99277652370203162</v>
      </c>
      <c r="W24" s="11">
        <f t="shared" si="6"/>
        <v>0.8115098496834996</v>
      </c>
      <c r="X24" s="11">
        <f t="shared" si="7"/>
        <v>0.74654551019638193</v>
      </c>
    </row>
    <row r="25" spans="1:24">
      <c r="A25" s="29" t="s">
        <v>109</v>
      </c>
      <c r="B25" s="5">
        <v>46020.319444444445</v>
      </c>
      <c r="C25" s="5">
        <v>46021</v>
      </c>
      <c r="D25" s="6">
        <f t="shared" si="1"/>
        <v>979.99999999883585</v>
      </c>
      <c r="E25" s="7">
        <v>60</v>
      </c>
      <c r="F25" s="7">
        <v>45</v>
      </c>
      <c r="G25" s="8">
        <f t="shared" si="8"/>
        <v>-15</v>
      </c>
      <c r="H25" s="7">
        <f>13+14+6+5+16+7+6+5+6+19+5+6+5+7</f>
        <v>120</v>
      </c>
      <c r="I25" s="7">
        <f>2+2+3+3+3+1+3+2+4+2+3+1+1+3+4+3+4+4+3+4+3+4+4+3+3+3+3+2+1+3+3+3+1</f>
        <v>91</v>
      </c>
      <c r="J25" s="9">
        <f t="shared" si="2"/>
        <v>0.79999999999976246</v>
      </c>
      <c r="K25" s="28">
        <v>0</v>
      </c>
      <c r="L25" s="28">
        <f>2+10</f>
        <v>12</v>
      </c>
      <c r="M25" s="9">
        <f t="shared" si="3"/>
        <v>0.72653061224457305</v>
      </c>
      <c r="N25" s="7">
        <v>17000</v>
      </c>
      <c r="O25" s="15">
        <f>AVERAGE(15000,15000,17000,15000,15000,15000,15000,15000,15000,15000,15000,15000,15000,15000)</f>
        <v>15142.857142857143</v>
      </c>
      <c r="P25" s="9">
        <f t="shared" si="4"/>
        <v>0.89075630252100846</v>
      </c>
      <c r="Q25" s="7">
        <v>5655</v>
      </c>
      <c r="R25" s="7">
        <v>18</v>
      </c>
      <c r="S25" s="7"/>
      <c r="T25" s="5"/>
      <c r="U25" s="10" t="str">
        <f t="shared" si="9"/>
        <v/>
      </c>
      <c r="V25" s="9">
        <f t="shared" si="5"/>
        <v>0.99681697612732101</v>
      </c>
      <c r="W25" s="11">
        <f t="shared" si="6"/>
        <v>0.71033680315606496</v>
      </c>
      <c r="X25" s="11">
        <f t="shared" si="7"/>
        <v>0.6451017906212273</v>
      </c>
    </row>
    <row r="26" spans="1:24" ht="15" thickBot="1">
      <c r="A26" s="29" t="s">
        <v>28</v>
      </c>
      <c r="B26" s="5">
        <v>46021.003472222219</v>
      </c>
      <c r="C26" s="5">
        <v>46022</v>
      </c>
      <c r="D26" s="6">
        <f t="shared" si="1"/>
        <v>1435.0000000046566</v>
      </c>
      <c r="E26" s="7">
        <v>10</v>
      </c>
      <c r="F26" s="7">
        <v>19</v>
      </c>
      <c r="G26" s="8">
        <f t="shared" si="8"/>
        <v>9</v>
      </c>
      <c r="H26" s="7">
        <f>5+5+7+32+7+11+6+5+5+5+6+6+5+10+12+9+15+50+5+18+5+15+6+20+5</f>
        <v>275</v>
      </c>
      <c r="I26" s="7">
        <f>4+4+3+4+4+1+4+2+4+4+2+1+3+4+2+1+3+2+3+2+1+4+3+3+3+4+4+4+2+4+2+2+3+3+4+3+2+3+2+2+4+3+2+1+4</f>
        <v>129</v>
      </c>
      <c r="J26" s="9">
        <f t="shared" si="2"/>
        <v>0.7121951219521534</v>
      </c>
      <c r="K26" s="28">
        <v>0</v>
      </c>
      <c r="L26" s="28">
        <f>3+6+4+24+3+7</f>
        <v>47</v>
      </c>
      <c r="M26" s="9">
        <f t="shared" si="3"/>
        <v>0.67247386759688166</v>
      </c>
      <c r="N26" s="7">
        <v>17000</v>
      </c>
      <c r="O26" s="15">
        <f>AVERAGE(15000,15000,15000,15000,15000,15000,15000,15000,15000,15000,15000,15000,15000,15000,15000,15000,15000,15000,15000,15000)</f>
        <v>15000</v>
      </c>
      <c r="P26" s="9">
        <f t="shared" si="4"/>
        <v>0.88235294117647056</v>
      </c>
      <c r="Q26" s="7">
        <v>7773</v>
      </c>
      <c r="R26" s="7">
        <v>18</v>
      </c>
      <c r="S26" s="7"/>
      <c r="T26" s="5"/>
      <c r="U26" s="10" t="str">
        <f t="shared" si="9"/>
        <v/>
      </c>
      <c r="V26" s="9">
        <f t="shared" si="5"/>
        <v>0.99768429177923579</v>
      </c>
      <c r="W26" s="11">
        <f t="shared" si="6"/>
        <v>0.6269522522236417</v>
      </c>
      <c r="X26" s="11">
        <f t="shared" si="7"/>
        <v>0.59198524794126917</v>
      </c>
    </row>
    <row r="27" spans="1:24">
      <c r="A27" s="29" t="s">
        <v>32</v>
      </c>
      <c r="B27" s="5">
        <v>46022.018750000003</v>
      </c>
      <c r="C27" s="5">
        <v>46022.75</v>
      </c>
      <c r="D27" s="6">
        <f t="shared" si="1"/>
        <v>1052.999999995809</v>
      </c>
      <c r="E27" s="7">
        <v>10</v>
      </c>
      <c r="F27" s="7">
        <v>29</v>
      </c>
      <c r="G27" s="8">
        <f t="shared" si="8"/>
        <v>19</v>
      </c>
      <c r="H27" s="7">
        <f>5+5+5+5+7+5+6+5+6+21</f>
        <v>70</v>
      </c>
      <c r="I27" s="7">
        <f>1+4+1+2+2+4+2+1+3+2+2+4+4+2+2+3+4+1+3+3+2+2+2+3+1+3+3+2+3+3+4+2</f>
        <v>80</v>
      </c>
      <c r="J27" s="9">
        <f t="shared" si="2"/>
        <v>0.83950617283886741</v>
      </c>
      <c r="K27" s="28">
        <v>10</v>
      </c>
      <c r="L27" s="28">
        <f>9+3+3+4+7+1</f>
        <v>27</v>
      </c>
      <c r="M27" s="9">
        <f t="shared" si="3"/>
        <v>0.79487179487097848</v>
      </c>
      <c r="N27" s="7">
        <v>17000</v>
      </c>
      <c r="O27" s="15">
        <f>AVERAGE(15000,15000,15000,15000,15000,15000,15000,15000,15000,15000,15000,15000,15000,15000,15000,15000,15000)</f>
        <v>15000</v>
      </c>
      <c r="P27" s="9">
        <f t="shared" si="4"/>
        <v>0.88235294117647056</v>
      </c>
      <c r="Q27" s="7">
        <v>6523</v>
      </c>
      <c r="R27" s="7">
        <v>14</v>
      </c>
      <c r="S27" s="7">
        <v>211</v>
      </c>
      <c r="T27" s="5">
        <v>46022.375</v>
      </c>
      <c r="U27" s="10">
        <f t="shared" si="9"/>
        <v>-0.375</v>
      </c>
      <c r="V27" s="9">
        <f t="shared" si="5"/>
        <v>0.99785374827533346</v>
      </c>
      <c r="W27" s="11">
        <f t="shared" si="6"/>
        <v>0.73915092464783272</v>
      </c>
      <c r="X27" s="11">
        <f t="shared" si="7"/>
        <v>0.69985217639148334</v>
      </c>
    </row>
    <row r="28" spans="1:24">
      <c r="A28" s="29"/>
      <c r="B28" s="5"/>
      <c r="C28" s="5"/>
      <c r="D28" s="6"/>
      <c r="E28" s="7"/>
      <c r="F28" s="7"/>
      <c r="G28" s="8"/>
      <c r="H28" s="7"/>
      <c r="I28" s="7"/>
      <c r="J28" s="9"/>
      <c r="K28" s="28"/>
      <c r="L28" s="28"/>
      <c r="M28" s="9"/>
      <c r="N28" s="7"/>
      <c r="O28" s="15"/>
      <c r="P28" s="9"/>
      <c r="Q28" s="15"/>
      <c r="R28" s="7"/>
      <c r="S28" s="7"/>
      <c r="T28" s="5"/>
      <c r="U28" s="10"/>
      <c r="V28" s="9"/>
      <c r="W28" s="11"/>
      <c r="X28" s="11"/>
    </row>
    <row r="29" spans="1:24">
      <c r="A29" s="29"/>
      <c r="B29" s="5"/>
      <c r="C29" s="5"/>
      <c r="D29" s="6" t="str">
        <f t="shared" si="1"/>
        <v/>
      </c>
      <c r="E29" s="7"/>
      <c r="F29" s="7"/>
      <c r="G29" s="8" t="str">
        <f t="shared" si="8"/>
        <v/>
      </c>
      <c r="H29" s="7"/>
      <c r="I29" s="7"/>
      <c r="J29" s="9" t="str">
        <f t="shared" si="2"/>
        <v/>
      </c>
      <c r="K29" s="28"/>
      <c r="L29" s="28"/>
      <c r="M29" s="9" t="str">
        <f t="shared" si="3"/>
        <v/>
      </c>
      <c r="N29" s="7"/>
      <c r="O29" s="7"/>
      <c r="P29" s="9" t="str">
        <f t="shared" si="4"/>
        <v/>
      </c>
      <c r="Q29" s="7"/>
      <c r="R29" s="7"/>
      <c r="S29" s="7"/>
      <c r="T29" s="5"/>
      <c r="U29" s="10" t="str">
        <f t="shared" si="9"/>
        <v/>
      </c>
      <c r="V29" s="9" t="str">
        <f t="shared" si="5"/>
        <v/>
      </c>
      <c r="W29" s="11" t="str">
        <f t="shared" si="6"/>
        <v/>
      </c>
      <c r="X29" s="11" t="str">
        <f t="shared" si="7"/>
        <v/>
      </c>
    </row>
    <row r="30" spans="1:24">
      <c r="A30" s="29"/>
      <c r="B30" s="5"/>
      <c r="C30" s="5"/>
      <c r="D30" s="6" t="str">
        <f t="shared" si="1"/>
        <v/>
      </c>
      <c r="E30" s="7"/>
      <c r="F30" s="7"/>
      <c r="G30" s="8" t="str">
        <f t="shared" si="8"/>
        <v/>
      </c>
      <c r="H30" s="7"/>
      <c r="I30" s="7"/>
      <c r="J30" s="9" t="str">
        <f t="shared" si="2"/>
        <v/>
      </c>
      <c r="K30" s="28"/>
      <c r="L30" s="28"/>
      <c r="M30" s="9" t="str">
        <f t="shared" si="3"/>
        <v/>
      </c>
      <c r="N30" s="7"/>
      <c r="O30" s="15"/>
      <c r="P30" s="9" t="str">
        <f t="shared" si="4"/>
        <v/>
      </c>
      <c r="Q30" s="15"/>
      <c r="R30" s="7"/>
      <c r="S30" s="7"/>
      <c r="T30" s="5"/>
      <c r="U30" s="10" t="str">
        <f t="shared" si="9"/>
        <v/>
      </c>
      <c r="V30" s="9" t="str">
        <f t="shared" si="5"/>
        <v/>
      </c>
      <c r="W30" s="11" t="str">
        <f t="shared" si="6"/>
        <v/>
      </c>
      <c r="X30" s="11" t="str">
        <f t="shared" si="7"/>
        <v/>
      </c>
    </row>
    <row r="31" spans="1:24">
      <c r="A31" s="29"/>
      <c r="B31" s="5"/>
      <c r="C31" s="5"/>
      <c r="D31" s="6" t="str">
        <f t="shared" si="1"/>
        <v/>
      </c>
      <c r="E31" s="7"/>
      <c r="F31" s="7"/>
      <c r="G31" s="8" t="str">
        <f t="shared" si="8"/>
        <v/>
      </c>
      <c r="H31" s="7"/>
      <c r="I31" s="7"/>
      <c r="J31" s="9" t="str">
        <f t="shared" si="2"/>
        <v/>
      </c>
      <c r="K31" s="28"/>
      <c r="L31" s="28"/>
      <c r="M31" s="9" t="str">
        <f t="shared" si="3"/>
        <v/>
      </c>
      <c r="N31" s="7"/>
      <c r="O31" s="15"/>
      <c r="P31" s="9" t="str">
        <f t="shared" si="4"/>
        <v/>
      </c>
      <c r="Q31" s="15"/>
      <c r="R31" s="15"/>
      <c r="S31" s="7"/>
      <c r="T31" s="5"/>
      <c r="U31" s="10" t="str">
        <f t="shared" si="9"/>
        <v/>
      </c>
      <c r="V31" s="9" t="str">
        <f t="shared" si="5"/>
        <v/>
      </c>
      <c r="W31" s="11" t="str">
        <f t="shared" si="6"/>
        <v/>
      </c>
      <c r="X31" s="11" t="str">
        <f t="shared" si="7"/>
        <v/>
      </c>
    </row>
    <row r="32" spans="1:24">
      <c r="A32" s="29"/>
      <c r="B32" s="5"/>
      <c r="C32" s="5"/>
      <c r="D32" s="6" t="str">
        <f t="shared" si="1"/>
        <v/>
      </c>
      <c r="E32" s="7"/>
      <c r="F32" s="7"/>
      <c r="G32" s="8" t="str">
        <f t="shared" si="8"/>
        <v/>
      </c>
      <c r="H32" s="7"/>
      <c r="I32" s="7"/>
      <c r="J32" s="9" t="str">
        <f t="shared" si="2"/>
        <v/>
      </c>
      <c r="K32" s="28"/>
      <c r="L32" s="28"/>
      <c r="M32" s="9" t="str">
        <f t="shared" si="3"/>
        <v/>
      </c>
      <c r="N32" s="7"/>
      <c r="O32" s="15"/>
      <c r="P32" s="9" t="str">
        <f t="shared" si="4"/>
        <v/>
      </c>
      <c r="Q32" s="15"/>
      <c r="R32" s="7"/>
      <c r="S32" s="7"/>
      <c r="T32" s="5"/>
      <c r="U32" s="10" t="str">
        <f t="shared" si="9"/>
        <v/>
      </c>
      <c r="V32" s="9" t="str">
        <f t="shared" si="5"/>
        <v/>
      </c>
      <c r="W32" s="11" t="str">
        <f t="shared" si="6"/>
        <v/>
      </c>
      <c r="X32" s="11" t="str">
        <f t="shared" si="7"/>
        <v/>
      </c>
    </row>
    <row r="33" spans="1:24">
      <c r="A33" s="29"/>
      <c r="B33" s="5"/>
      <c r="C33" s="5"/>
      <c r="D33" s="6" t="str">
        <f t="shared" si="1"/>
        <v/>
      </c>
      <c r="E33" s="7"/>
      <c r="F33" s="7"/>
      <c r="G33" s="8" t="str">
        <f t="shared" si="8"/>
        <v/>
      </c>
      <c r="H33" s="7"/>
      <c r="I33" s="7"/>
      <c r="J33" s="9" t="str">
        <f t="shared" si="2"/>
        <v/>
      </c>
      <c r="K33" s="28"/>
      <c r="L33" s="28"/>
      <c r="M33" s="9" t="str">
        <f t="shared" si="3"/>
        <v/>
      </c>
      <c r="N33" s="7"/>
      <c r="O33" s="15"/>
      <c r="P33" s="9" t="str">
        <f t="shared" si="4"/>
        <v/>
      </c>
      <c r="Q33" s="15"/>
      <c r="R33" s="7"/>
      <c r="S33" s="7"/>
      <c r="T33" s="5"/>
      <c r="U33" s="10" t="str">
        <f t="shared" si="9"/>
        <v/>
      </c>
      <c r="V33" s="9" t="str">
        <f t="shared" si="5"/>
        <v/>
      </c>
      <c r="W33" s="11" t="str">
        <f t="shared" si="6"/>
        <v/>
      </c>
      <c r="X33" s="11" t="str">
        <f t="shared" si="7"/>
        <v/>
      </c>
    </row>
    <row r="34" spans="1:24">
      <c r="A34" s="29"/>
      <c r="B34" s="5"/>
      <c r="C34" s="5"/>
      <c r="D34" s="6" t="str">
        <f t="shared" si="1"/>
        <v/>
      </c>
      <c r="E34" s="7"/>
      <c r="F34" s="7"/>
      <c r="G34" s="8" t="str">
        <f t="shared" si="8"/>
        <v/>
      </c>
      <c r="H34" s="7"/>
      <c r="I34" s="7"/>
      <c r="J34" s="9" t="str">
        <f t="shared" si="2"/>
        <v/>
      </c>
      <c r="K34" s="28"/>
      <c r="L34" s="28"/>
      <c r="M34" s="9" t="str">
        <f t="shared" si="3"/>
        <v/>
      </c>
      <c r="N34" s="7"/>
      <c r="O34" s="15"/>
      <c r="P34" s="9" t="str">
        <f t="shared" si="4"/>
        <v/>
      </c>
      <c r="Q34" s="15"/>
      <c r="R34" s="7"/>
      <c r="S34" s="7"/>
      <c r="T34" s="5"/>
      <c r="U34" s="10" t="str">
        <f t="shared" si="9"/>
        <v/>
      </c>
      <c r="V34" s="9" t="str">
        <f t="shared" si="5"/>
        <v/>
      </c>
      <c r="W34" s="11" t="str">
        <f t="shared" si="6"/>
        <v/>
      </c>
      <c r="X34" s="11" t="str">
        <f t="shared" si="7"/>
        <v/>
      </c>
    </row>
    <row r="35" spans="1:24">
      <c r="A35" s="29"/>
      <c r="B35" s="5"/>
      <c r="C35" s="5"/>
      <c r="D35" s="6" t="str">
        <f t="shared" si="1"/>
        <v/>
      </c>
      <c r="E35" s="7"/>
      <c r="F35" s="7"/>
      <c r="G35" s="8" t="str">
        <f t="shared" si="8"/>
        <v/>
      </c>
      <c r="H35" s="7"/>
      <c r="I35" s="7"/>
      <c r="J35" s="9" t="str">
        <f t="shared" si="2"/>
        <v/>
      </c>
      <c r="K35" s="28"/>
      <c r="L35" s="28"/>
      <c r="M35" s="9" t="str">
        <f t="shared" si="3"/>
        <v/>
      </c>
      <c r="N35" s="7"/>
      <c r="O35" s="15"/>
      <c r="P35" s="9" t="str">
        <f t="shared" si="4"/>
        <v/>
      </c>
      <c r="Q35" s="15"/>
      <c r="R35" s="7"/>
      <c r="S35" s="7"/>
      <c r="T35" s="5"/>
      <c r="U35" s="10" t="str">
        <f t="shared" si="9"/>
        <v/>
      </c>
      <c r="V35" s="9" t="str">
        <f t="shared" si="5"/>
        <v/>
      </c>
      <c r="W35" s="11" t="str">
        <f t="shared" si="6"/>
        <v/>
      </c>
      <c r="X35" s="11" t="str">
        <f t="shared" si="7"/>
        <v/>
      </c>
    </row>
    <row r="36" spans="1:24">
      <c r="A36" s="29"/>
      <c r="B36" s="5"/>
      <c r="C36" s="5"/>
      <c r="D36" s="6" t="str">
        <f t="shared" si="1"/>
        <v/>
      </c>
      <c r="E36" s="7"/>
      <c r="F36" s="7"/>
      <c r="G36" s="8" t="str">
        <f t="shared" si="8"/>
        <v/>
      </c>
      <c r="H36" s="7"/>
      <c r="I36" s="7"/>
      <c r="J36" s="9" t="str">
        <f t="shared" si="2"/>
        <v/>
      </c>
      <c r="K36" s="28"/>
      <c r="L36" s="28"/>
      <c r="M36" s="9" t="str">
        <f t="shared" si="3"/>
        <v/>
      </c>
      <c r="N36" s="7"/>
      <c r="O36" s="15"/>
      <c r="P36" s="9" t="str">
        <f t="shared" si="4"/>
        <v/>
      </c>
      <c r="Q36" s="15"/>
      <c r="R36" s="7"/>
      <c r="S36" s="7"/>
      <c r="T36" s="5"/>
      <c r="U36" s="10" t="str">
        <f t="shared" si="9"/>
        <v/>
      </c>
      <c r="V36" s="9" t="str">
        <f t="shared" si="5"/>
        <v/>
      </c>
      <c r="W36" s="11" t="str">
        <f t="shared" si="6"/>
        <v/>
      </c>
      <c r="X36" s="11" t="str">
        <f t="shared" si="7"/>
        <v/>
      </c>
    </row>
    <row r="37" spans="1:24" ht="15" thickBot="1">
      <c r="A37" s="29"/>
      <c r="B37" s="5"/>
      <c r="C37" s="5"/>
      <c r="D37" s="6" t="str">
        <f t="shared" si="1"/>
        <v/>
      </c>
      <c r="E37" s="7"/>
      <c r="F37" s="7"/>
      <c r="G37" s="8" t="str">
        <f t="shared" si="8"/>
        <v/>
      </c>
      <c r="H37" s="7"/>
      <c r="I37" s="7"/>
      <c r="J37" s="9" t="str">
        <f t="shared" si="2"/>
        <v/>
      </c>
      <c r="K37" s="28"/>
      <c r="L37" s="28"/>
      <c r="M37" s="9" t="str">
        <f t="shared" si="3"/>
        <v/>
      </c>
      <c r="N37" s="7"/>
      <c r="O37" s="15"/>
      <c r="P37" s="9" t="str">
        <f t="shared" si="4"/>
        <v/>
      </c>
      <c r="Q37" s="7"/>
      <c r="R37" s="7"/>
      <c r="S37" s="7"/>
      <c r="T37" s="5"/>
      <c r="U37" s="10" t="str">
        <f t="shared" si="9"/>
        <v/>
      </c>
      <c r="V37" s="9" t="str">
        <f t="shared" si="5"/>
        <v/>
      </c>
      <c r="W37" s="11" t="str">
        <f t="shared" si="6"/>
        <v/>
      </c>
      <c r="X37" s="11" t="str">
        <f t="shared" si="7"/>
        <v/>
      </c>
    </row>
    <row r="38" spans="1:24" s="43" customFormat="1" ht="18.600000000000001" thickBot="1">
      <c r="A38" s="31"/>
      <c r="B38" s="32" t="s">
        <v>42</v>
      </c>
      <c r="C38" s="32"/>
      <c r="D38" s="33">
        <f>SUM(D3:D37)</f>
        <v>29664.000000008382</v>
      </c>
      <c r="E38" s="33">
        <f>SUM(E3:E37)</f>
        <v>827</v>
      </c>
      <c r="F38" s="33">
        <f>SUM(F3:F37)</f>
        <v>967</v>
      </c>
      <c r="G38" s="33">
        <f>SUM(G3:G37)</f>
        <v>140</v>
      </c>
      <c r="H38" s="33">
        <f>SUM(H2:H37)</f>
        <v>5056</v>
      </c>
      <c r="I38" s="33">
        <f>SUM(I3:I37)</f>
        <v>1644</v>
      </c>
      <c r="J38" s="34">
        <f>(D38-G38-H38-I38)/D38</f>
        <v>0.7694174757282205</v>
      </c>
      <c r="K38" s="35">
        <f>SUM(K3:K37)</f>
        <v>10</v>
      </c>
      <c r="L38" s="35">
        <f>SUM(L3:L37)</f>
        <v>2346</v>
      </c>
      <c r="M38" s="36">
        <f>(D38-G38-H38-I38-E38-K38-L38)/D38</f>
        <v>0.66211569579297569</v>
      </c>
      <c r="N38" s="37">
        <f>AVERAGE(N3:N37)</f>
        <v>17000</v>
      </c>
      <c r="O38" s="38">
        <f>AVERAGE(O3:O37)</f>
        <v>14924.799574694314</v>
      </c>
      <c r="P38" s="34">
        <f>O38/N38</f>
        <v>0.87792938674672438</v>
      </c>
      <c r="Q38" s="37">
        <f>SUM(Q3:Q35)</f>
        <v>139473</v>
      </c>
      <c r="R38" s="37"/>
      <c r="S38" s="32"/>
      <c r="T38" s="32"/>
      <c r="U38" s="39"/>
      <c r="V38" s="40">
        <f>AVERAGE(V3:V37)</f>
        <v>0.98780935206721465</v>
      </c>
      <c r="W38" s="41">
        <f>V38*P38*J38</f>
        <v>0.66725950049162575</v>
      </c>
      <c r="X38" s="42">
        <f>V38*P38*M38</f>
        <v>0.57420451494728353</v>
      </c>
    </row>
    <row r="39" spans="1:24" ht="28.9">
      <c r="Q39" s="67"/>
      <c r="R39" s="67"/>
      <c r="S39" s="44"/>
      <c r="T39" s="45"/>
      <c r="U39" s="22"/>
    </row>
    <row r="40" spans="1:24" ht="28.9">
      <c r="Q40" s="22"/>
      <c r="R40" s="22"/>
      <c r="S40" s="65">
        <f>'January 2025 (w Utilization)'!O38</f>
        <v>15699.627934606006</v>
      </c>
      <c r="T40" s="22"/>
      <c r="U40" s="22"/>
      <c r="W40" s="16">
        <f>AVERAGE(W38,'November 2025 (w Utilization)'!W38,'October 2025 (w Utilization) '!W38,'September 2025 (w Utilization)'!W38,'August 2025 (w Utilization)'!W38,'July 2025 (w Utilization)'!W38,'June 2025 (w Utilization)'!W38,'May 2025 (w Utilization)'!W38,'April 2025 (w Utilization) '!W38,'March 2025 (w Utilization'!W38,'February 2025 (w Utilization) '!W38,'January 2025 (w Utilization)'!W38)</f>
        <v>0.7120996150805724</v>
      </c>
    </row>
    <row r="41" spans="1:24" ht="28.9">
      <c r="Q41" s="22"/>
      <c r="R41" s="68">
        <f>'February 2025 (w Utilization) '!O38</f>
        <v>17013.466034010857</v>
      </c>
      <c r="S41" s="68"/>
      <c r="T41" s="46"/>
      <c r="U41" s="22"/>
    </row>
    <row r="42" spans="1:24" ht="28.9">
      <c r="Q42" s="22"/>
      <c r="R42" s="22"/>
      <c r="S42" s="65">
        <f>'March 2025 (w Utilization'!O38</f>
        <v>16228.693784797277</v>
      </c>
      <c r="T42" s="22"/>
      <c r="U42" s="22"/>
    </row>
    <row r="43" spans="1:24" ht="28.9">
      <c r="Q43" s="22"/>
      <c r="R43" s="22"/>
      <c r="S43" s="65">
        <f>'April 2025 (w Utilization) '!O38</f>
        <v>15989.862814027718</v>
      </c>
      <c r="T43" s="22"/>
      <c r="U43" s="22"/>
    </row>
    <row r="44" spans="1:24" ht="28.9">
      <c r="Q44" s="22"/>
      <c r="R44" s="22"/>
      <c r="S44" s="65">
        <f>'May 2025 (w Utilization)'!O38</f>
        <v>15856.579939668174</v>
      </c>
      <c r="T44" s="22"/>
      <c r="U44" s="22"/>
    </row>
    <row r="45" spans="1:24">
      <c r="S45" s="66">
        <f>'June 2025 (w Utilization)'!O38</f>
        <v>16687.396308903557</v>
      </c>
    </row>
    <row r="46" spans="1:24">
      <c r="C46" s="17"/>
      <c r="D46" s="19" t="s">
        <v>44</v>
      </c>
      <c r="E46" s="19" t="s">
        <v>45</v>
      </c>
      <c r="S46">
        <f>'July 2025 (w Utilization)'!N38</f>
        <v>17000</v>
      </c>
    </row>
    <row r="47" spans="1:24">
      <c r="C47" s="4" t="s">
        <v>46</v>
      </c>
      <c r="D47" s="16">
        <f>W38</f>
        <v>0.66725950049162575</v>
      </c>
      <c r="E47" s="18">
        <f>100%-D47</f>
        <v>0.33274049950837425</v>
      </c>
      <c r="S47" s="66">
        <f>'August 2025 (w Utilization)'!O38</f>
        <v>16746.740275655717</v>
      </c>
    </row>
    <row r="48" spans="1:24">
      <c r="C48" s="4" t="s">
        <v>140</v>
      </c>
      <c r="D48" s="16">
        <f>J38</f>
        <v>0.7694174757282205</v>
      </c>
      <c r="E48" s="18">
        <f>100%-D48</f>
        <v>0.2305825242717795</v>
      </c>
      <c r="S48" s="66">
        <f>'September 2025 (w Utilization)'!O38</f>
        <v>16619.471586614447</v>
      </c>
    </row>
    <row r="49" spans="3:19">
      <c r="C49" s="4" t="s">
        <v>17</v>
      </c>
      <c r="D49" s="16">
        <f>P38</f>
        <v>0.87792938674672438</v>
      </c>
      <c r="E49" s="18">
        <f>100%-D49</f>
        <v>0.12207061325327562</v>
      </c>
      <c r="S49" s="66">
        <f>'October 2025 (w Utilization) '!O38</f>
        <v>15909.895998818922</v>
      </c>
    </row>
    <row r="50" spans="3:19">
      <c r="C50" s="4" t="str">
        <f>V2</f>
        <v>Quality</v>
      </c>
      <c r="D50" s="16">
        <f>V38</f>
        <v>0.98780935206721465</v>
      </c>
      <c r="E50" s="18">
        <f>100%-D50</f>
        <v>1.2190647932785348E-2</v>
      </c>
      <c r="S50" s="66">
        <f>'November 2025 (w Utilization)'!O38</f>
        <v>16053.667374360411</v>
      </c>
    </row>
    <row r="51" spans="3:19">
      <c r="S51" s="66">
        <f>O38</f>
        <v>14924.799574694314</v>
      </c>
    </row>
  </sheetData>
  <mergeCells count="2">
    <mergeCell ref="Q39:R39"/>
    <mergeCell ref="R41:S41"/>
  </mergeCells>
  <pageMargins left="0.7" right="0.7" top="0.75" bottom="0.75" header="0.3" footer="0.3"/>
  <pageSetup paperSize="5" scale="50" orientation="landscape" horizontalDpi="4294967295" verticalDpi="4294967295"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3:P34"/>
  <sheetViews>
    <sheetView workbookViewId="0">
      <selection activeCell="Q17" sqref="Q17"/>
    </sheetView>
  </sheetViews>
  <sheetFormatPr defaultRowHeight="14.45"/>
  <cols>
    <col min="3" max="3" width="11" bestFit="1" customWidth="1"/>
    <col min="4" max="4" width="11.42578125" bestFit="1" customWidth="1"/>
    <col min="11" max="11" width="13.42578125" customWidth="1"/>
    <col min="12" max="12" width="10.5703125" bestFit="1" customWidth="1"/>
    <col min="13" max="13" width="13.42578125" bestFit="1" customWidth="1"/>
    <col min="14" max="14" width="13" bestFit="1" customWidth="1"/>
  </cols>
  <sheetData>
    <row r="3" spans="2:16" ht="18">
      <c r="C3" s="24" t="s">
        <v>182</v>
      </c>
      <c r="D3" s="24" t="s">
        <v>183</v>
      </c>
      <c r="E3" s="24" t="s">
        <v>184</v>
      </c>
      <c r="F3" s="24" t="s">
        <v>185</v>
      </c>
      <c r="G3" s="24" t="s">
        <v>186</v>
      </c>
      <c r="H3" s="24" t="s">
        <v>187</v>
      </c>
      <c r="I3" s="24" t="s">
        <v>188</v>
      </c>
      <c r="J3" s="24" t="s">
        <v>189</v>
      </c>
      <c r="K3" s="24" t="s">
        <v>190</v>
      </c>
      <c r="L3" s="24" t="s">
        <v>191</v>
      </c>
      <c r="M3" s="24" t="s">
        <v>192</v>
      </c>
      <c r="N3" s="24" t="s">
        <v>193</v>
      </c>
      <c r="O3" s="23" t="s">
        <v>194</v>
      </c>
      <c r="P3" s="23" t="s">
        <v>195</v>
      </c>
    </row>
    <row r="4" spans="2:16">
      <c r="B4" s="23" t="s">
        <v>196</v>
      </c>
      <c r="C4" s="26">
        <f>'January 2025 (w Utilization)'!W38</f>
        <v>0.68139184986289691</v>
      </c>
      <c r="D4" s="26">
        <f>'February 2025 (w Utilization) '!W38</f>
        <v>0.75709821994807625</v>
      </c>
      <c r="E4" s="26">
        <f>'March 2025 (w Utilization'!W38</f>
        <v>0.69263813238861494</v>
      </c>
      <c r="F4" s="26">
        <f>'April 2025 (w Utilization) '!W38</f>
        <v>0.67552451866810093</v>
      </c>
      <c r="G4" s="26">
        <f>'May 2025 (w Utilization)'!W38</f>
        <v>0.66080558784483101</v>
      </c>
      <c r="H4" s="26">
        <f>'June 2025 (w Utilization)'!W38</f>
        <v>0.73071783403905033</v>
      </c>
      <c r="I4" s="26">
        <f>'July 2025 (w Utilization)'!W38</f>
        <v>0.71507978339242184</v>
      </c>
      <c r="J4" s="26">
        <f>'August 2025 (w Utilization)'!W38</f>
        <v>0.72289947111186437</v>
      </c>
      <c r="K4" s="26">
        <f>'September 2025 (w Utilization)'!W38</f>
        <v>0.74780271385756958</v>
      </c>
      <c r="L4" s="26">
        <f>'October 2025 (w Utilization) '!W38</f>
        <v>0.75794828123005886</v>
      </c>
      <c r="M4" s="26">
        <f>'November 2025 (w Utilization)'!W38</f>
        <v>0.73602948813175695</v>
      </c>
      <c r="N4" s="26">
        <f>'December 2025 (w Utilization)'!W38</f>
        <v>0.66725950049162575</v>
      </c>
      <c r="O4" s="26">
        <f>N5</f>
        <v>0.71209961508057218</v>
      </c>
      <c r="P4" s="52">
        <v>0.72</v>
      </c>
    </row>
    <row r="5" spans="2:16">
      <c r="B5" s="23" t="s">
        <v>194</v>
      </c>
      <c r="C5" s="25">
        <f>C4</f>
        <v>0.68139184986289691</v>
      </c>
      <c r="D5" s="25">
        <f>AVERAGE(C5,D4)</f>
        <v>0.71924503490548664</v>
      </c>
      <c r="E5" s="25">
        <f>AVERAGE($C$4:E4)</f>
        <v>0.7103760673998627</v>
      </c>
      <c r="F5" s="25">
        <f>AVERAGE($C$4:F4)</f>
        <v>0.7016631802169222</v>
      </c>
      <c r="G5" s="25">
        <f>AVERAGE($C$4:G4)</f>
        <v>0.69349166174250398</v>
      </c>
      <c r="H5" s="25">
        <f>AVERAGE($C$4:H4)</f>
        <v>0.6996960237919283</v>
      </c>
      <c r="I5" s="25">
        <f>AVERAGE($C$4:I4)</f>
        <v>0.70189370373485593</v>
      </c>
      <c r="J5" s="25">
        <f>AVERAGE($C$4:J4)</f>
        <v>0.70451942465698192</v>
      </c>
      <c r="K5" s="25">
        <f>AVERAGE($C$4:K4)</f>
        <v>0.70932867901260277</v>
      </c>
      <c r="L5" s="25">
        <f>AVERAGE($C$4:L4)</f>
        <v>0.71419063923434833</v>
      </c>
      <c r="M5" s="25">
        <f>AVERAGE($C$4:M4)</f>
        <v>0.71617598913411273</v>
      </c>
      <c r="N5" s="25">
        <f>AVERAGE($C$4:N4)</f>
        <v>0.71209961508057218</v>
      </c>
    </row>
    <row r="32" spans="3:16" ht="18">
      <c r="C32" s="24" t="s">
        <v>182</v>
      </c>
      <c r="D32" s="24" t="s">
        <v>183</v>
      </c>
      <c r="E32" s="24" t="s">
        <v>184</v>
      </c>
      <c r="F32" s="24" t="s">
        <v>185</v>
      </c>
      <c r="G32" s="24" t="s">
        <v>186</v>
      </c>
      <c r="H32" s="24" t="s">
        <v>187</v>
      </c>
      <c r="I32" s="24" t="s">
        <v>188</v>
      </c>
      <c r="J32" s="24" t="s">
        <v>189</v>
      </c>
      <c r="K32" s="24" t="s">
        <v>190</v>
      </c>
      <c r="L32" s="24" t="s">
        <v>191</v>
      </c>
      <c r="M32" s="24" t="s">
        <v>192</v>
      </c>
      <c r="N32" s="24" t="s">
        <v>193</v>
      </c>
      <c r="O32" s="23" t="s">
        <v>194</v>
      </c>
      <c r="P32" s="23" t="s">
        <v>195</v>
      </c>
    </row>
    <row r="33" spans="2:16">
      <c r="B33" s="23" t="s">
        <v>196</v>
      </c>
      <c r="C33" s="26">
        <f>'January 2025 (w Utilization)'!X38</f>
        <v>0.59383418120926823</v>
      </c>
      <c r="D33" s="26">
        <f>'February 2025 (w Utilization) '!X38</f>
        <v>0.6096053846701075</v>
      </c>
      <c r="E33" s="26">
        <f>'March 2025 (w Utilization'!X38</f>
        <v>0.59829171735601328</v>
      </c>
      <c r="F33" s="26">
        <f>'April 2025 (w Utilization) '!X38</f>
        <v>0.5765703907397397</v>
      </c>
      <c r="G33" s="26">
        <f>'May 2025 (w Utilization)'!X38</f>
        <v>0.5268202146995018</v>
      </c>
      <c r="H33" s="26">
        <f>'June 2025 (w Utilization)'!X38</f>
        <v>0.59728840479901901</v>
      </c>
      <c r="I33" s="26">
        <f>'July 2025 (w Utilization)'!X38</f>
        <v>0.59857022116151215</v>
      </c>
      <c r="J33" s="26">
        <f>'August 2025 (w Utilization)'!X38</f>
        <v>0.62608514268518822</v>
      </c>
      <c r="K33" s="26">
        <f>'September 2025 (w Utilization)'!X38</f>
        <v>0.68082931202572905</v>
      </c>
      <c r="L33" s="26">
        <f>'October 2025 (w Utilization) '!X38</f>
        <v>0.61056640553838493</v>
      </c>
      <c r="M33" s="26">
        <f>'November 2025 (w Utilization)'!X38</f>
        <v>0.59803405830441547</v>
      </c>
      <c r="N33" s="26">
        <f>'December 2025 (w Utilization)'!X38</f>
        <v>0.57420451494728353</v>
      </c>
      <c r="O33" s="26">
        <f>N34</f>
        <v>0.6722213110521138</v>
      </c>
      <c r="P33" s="52">
        <v>0.56000000000000005</v>
      </c>
    </row>
    <row r="34" spans="2:16">
      <c r="B34" s="23" t="s">
        <v>194</v>
      </c>
      <c r="C34" s="25">
        <f>C33</f>
        <v>0.59383418120926823</v>
      </c>
      <c r="D34" s="25">
        <f>AVERAGE(C34,D33)</f>
        <v>0.60171978293968786</v>
      </c>
      <c r="E34" s="25">
        <f>AVERAGE(C33:E33)</f>
        <v>0.60057709441179641</v>
      </c>
      <c r="F34" s="25">
        <f>AVERAGE(C33:F33)</f>
        <v>0.59457541849378215</v>
      </c>
      <c r="G34" s="25">
        <f>AVERAGE(C33:G33)</f>
        <v>0.58102437773492599</v>
      </c>
      <c r="H34" s="25">
        <f>AVERAGE(C33:H33)</f>
        <v>0.5837350489122749</v>
      </c>
      <c r="I34" s="25">
        <f>AVERAGE(C33:I33)</f>
        <v>0.58585435923359441</v>
      </c>
      <c r="J34" s="25">
        <f>AVERAGE(C33:J33)</f>
        <v>0.59088320716504361</v>
      </c>
      <c r="K34" s="25">
        <f>AVERAGE(C33:K33)</f>
        <v>0.60087721881623091</v>
      </c>
      <c r="L34" s="25">
        <f>AVERAGE($C$4:L33)</f>
        <v>0.67320546772621126</v>
      </c>
      <c r="M34" s="25">
        <f>AVERAGE($C$4:M33)</f>
        <v>0.67413344143504905</v>
      </c>
      <c r="N34" s="25">
        <f>AVERAGE($C$4:N33)</f>
        <v>0.6722213110521138</v>
      </c>
    </row>
  </sheetData>
  <phoneticPr fontId="8" type="noConversion"/>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election activeCell="F13" sqref="F13"/>
    </sheetView>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A9D3CB8B02F24FBD87913D50150624" ma:contentTypeVersion="4" ma:contentTypeDescription="Create a new document." ma:contentTypeScope="" ma:versionID="500ab49bf8b3ce09fa5e1a39689d4b20">
  <xsd:schema xmlns:xsd="http://www.w3.org/2001/XMLSchema" xmlns:xs="http://www.w3.org/2001/XMLSchema" xmlns:p="http://schemas.microsoft.com/office/2006/metadata/properties" xmlns:ns2="1dad3094-c8e6-4667-8455-c68e96f815a4" targetNamespace="http://schemas.microsoft.com/office/2006/metadata/properties" ma:root="true" ma:fieldsID="c9f2927e2397c07eda7eaadef1fb651c" ns2:_="">
    <xsd:import namespace="1dad3094-c8e6-4667-8455-c68e96f815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d3094-c8e6-4667-8455-c68e96f815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747DEF-23EB-494D-8310-B85AAFEB988F}"/>
</file>

<file path=customXml/itemProps2.xml><?xml version="1.0" encoding="utf-8"?>
<ds:datastoreItem xmlns:ds="http://schemas.openxmlformats.org/officeDocument/2006/customXml" ds:itemID="{77075DFF-DEDE-4E50-8ADC-F3E74E8E52C5}"/>
</file>

<file path=customXml/itemProps3.xml><?xml version="1.0" encoding="utf-8"?>
<ds:datastoreItem xmlns:ds="http://schemas.openxmlformats.org/officeDocument/2006/customXml" ds:itemID="{4A0221E9-7351-4007-92F0-8B6A656CD9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Reshelle Fleming</dc:creator>
  <cp:keywords/>
  <dc:description/>
  <cp:lastModifiedBy/>
  <cp:revision/>
  <dcterms:created xsi:type="dcterms:W3CDTF">2021-04-09T14:58:45Z</dcterms:created>
  <dcterms:modified xsi:type="dcterms:W3CDTF">2026-10-07T17:34:22Z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0x01010065A9D3CB8B02F24FBD87913D50150624</vt:lpwstr>
  </property>
</Properties>
</file>