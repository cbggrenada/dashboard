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drawings/drawing1.xml" ContentType="application/vnd.openxmlformats-officedocument.drawing+xml"/>
  <Override PartName="/xl/comments17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AA875D79-5581-43EE-933F-F4C222AF44C1}" xr6:coauthVersionLast="47" xr6:coauthVersionMax="47" xr10:uidLastSave="{00000000-0000-0000-0000-000000000000}"/>
  <bookViews>
    <workbookView xWindow="-120" yWindow="-120" windowWidth="29040" windowHeight="15720" tabRatio="599" firstSheet="7" activeTab="15" xr2:uid="{1120807F-7390-4E10-A66F-84111922E872}"/>
  </bookViews>
  <sheets>
    <sheet name="Dec 18th" sheetId="658" state="hidden" r:id="rId1"/>
    <sheet name="Oct 1st" sheetId="1082" r:id="rId2"/>
    <sheet name="Oct 2nd" sheetId="1083" r:id="rId3"/>
    <sheet name="Oct 5th" sheetId="1084" r:id="rId4"/>
    <sheet name="Oct 6th" sheetId="1085" r:id="rId5"/>
    <sheet name="Oct 7th" sheetId="1086" r:id="rId6"/>
    <sheet name="Oct 8th " sheetId="1087" r:id="rId7"/>
    <sheet name="Oct 9th-10th" sheetId="1088" r:id="rId8"/>
    <sheet name="Oct 12th" sheetId="1089" r:id="rId9"/>
    <sheet name="Oct 13th " sheetId="1090" r:id="rId10"/>
    <sheet name="Oct 14th" sheetId="1091" r:id="rId11"/>
    <sheet name="Oct 15th " sheetId="1092" r:id="rId12"/>
    <sheet name="Oct  23rd " sheetId="1093" r:id="rId13"/>
    <sheet name="Oct  27th" sheetId="1094" r:id="rId14"/>
    <sheet name="Oct  28th" sheetId="1095" r:id="rId15"/>
    <sheet name="Oct  29th" sheetId="1096" r:id="rId16"/>
    <sheet name="MTD_Links" sheetId="18" r:id="rId17"/>
    <sheet name="YTD_Links" sheetId="19" r:id="rId18"/>
    <sheet name="KPIs" sheetId="20" state="hidden" r:id="rId19"/>
    <sheet name="Brewer Performance" sheetId="21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Print_Area" localSheetId="19">'Brewer Performance'!$B$2:$K$35</definedName>
    <definedName name="_xlnm.Print_Area" localSheetId="16">MTD_Links!$B$2:$K$65</definedName>
    <definedName name="_xlnm.Print_Area" localSheetId="17">YTD_Links!$B$2:$K$65</definedName>
    <definedName name="ProductList" localSheetId="19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2" i="1096" l="1"/>
  <c r="L34" i="1096"/>
  <c r="C33" i="1096"/>
  <c r="C34" i="1096"/>
  <c r="K32" i="1096"/>
  <c r="K33" i="1096"/>
  <c r="K34" i="1096"/>
  <c r="L43" i="1096"/>
  <c r="K43" i="1096"/>
  <c r="K85" i="1096"/>
  <c r="G85" i="1096"/>
  <c r="K74" i="1096"/>
  <c r="K72" i="1096"/>
  <c r="G74" i="1096"/>
  <c r="G72" i="1096"/>
  <c r="D74" i="1096"/>
  <c r="D72" i="1096"/>
  <c r="B74" i="1096"/>
  <c r="B72" i="1096"/>
  <c r="C55" i="1096"/>
  <c r="C56" i="1096"/>
  <c r="C57" i="1096"/>
  <c r="C58" i="1096"/>
  <c r="C59" i="1096"/>
  <c r="C60" i="1096"/>
  <c r="C61" i="1096"/>
  <c r="C62" i="1096"/>
  <c r="C49" i="1096"/>
  <c r="C50" i="1096"/>
  <c r="C51" i="1096"/>
  <c r="C52" i="1096"/>
  <c r="C43" i="1096"/>
  <c r="C44" i="1096"/>
  <c r="C45" i="1096"/>
  <c r="C46" i="1096"/>
  <c r="C47" i="1096"/>
  <c r="C48" i="1096"/>
  <c r="B55" i="1096"/>
  <c r="B43" i="1096"/>
  <c r="D33" i="1096"/>
  <c r="E33" i="1096"/>
  <c r="F33" i="1096"/>
  <c r="G33" i="1096"/>
  <c r="L33" i="1096"/>
  <c r="M33" i="1096"/>
  <c r="N33" i="1096"/>
  <c r="O33" i="1096"/>
  <c r="D34" i="1096"/>
  <c r="E34" i="1096"/>
  <c r="F34" i="1096"/>
  <c r="G34" i="1096"/>
  <c r="M34" i="1096"/>
  <c r="N34" i="1096"/>
  <c r="O34" i="1096"/>
  <c r="O32" i="1096"/>
  <c r="N32" i="1096"/>
  <c r="M32" i="1096"/>
  <c r="G32" i="1096"/>
  <c r="F32" i="1096"/>
  <c r="E32" i="1096"/>
  <c r="D32" i="1096"/>
  <c r="R20" i="1096"/>
  <c r="S20" i="1096"/>
  <c r="T20" i="1096"/>
  <c r="U20" i="1096"/>
  <c r="V20" i="1096"/>
  <c r="W20" i="1096"/>
  <c r="X20" i="1096"/>
  <c r="Y20" i="1096"/>
  <c r="Z20" i="1096"/>
  <c r="R21" i="1096"/>
  <c r="S21" i="1096"/>
  <c r="T21" i="1096"/>
  <c r="U21" i="1096"/>
  <c r="V21" i="1096"/>
  <c r="W21" i="1096"/>
  <c r="X21" i="1096"/>
  <c r="Y21" i="1096"/>
  <c r="Z21" i="1096"/>
  <c r="R22" i="1096"/>
  <c r="S22" i="1096"/>
  <c r="T22" i="1096"/>
  <c r="U22" i="1096"/>
  <c r="V22" i="1096"/>
  <c r="W22" i="1096"/>
  <c r="X22" i="1096"/>
  <c r="Y22" i="1096"/>
  <c r="Z22" i="1096"/>
  <c r="R23" i="1096"/>
  <c r="S23" i="1096"/>
  <c r="T23" i="1096"/>
  <c r="U23" i="1096"/>
  <c r="V23" i="1096"/>
  <c r="W23" i="1096"/>
  <c r="X23" i="1096"/>
  <c r="Y23" i="1096"/>
  <c r="Z23" i="1096"/>
  <c r="R24" i="1096"/>
  <c r="S24" i="1096"/>
  <c r="T24" i="1096"/>
  <c r="U24" i="1096"/>
  <c r="V24" i="1096"/>
  <c r="W24" i="1096"/>
  <c r="X24" i="1096"/>
  <c r="Y24" i="1096"/>
  <c r="Z24" i="1096"/>
  <c r="R25" i="1096"/>
  <c r="S25" i="1096"/>
  <c r="T25" i="1096"/>
  <c r="U25" i="1096"/>
  <c r="V25" i="1096"/>
  <c r="W25" i="1096"/>
  <c r="X25" i="1096"/>
  <c r="Y25" i="1096"/>
  <c r="Z25" i="1096"/>
  <c r="R26" i="1096"/>
  <c r="S26" i="1096"/>
  <c r="T26" i="1096"/>
  <c r="U26" i="1096"/>
  <c r="V26" i="1096"/>
  <c r="W26" i="1096"/>
  <c r="X26" i="1096"/>
  <c r="Y26" i="1096"/>
  <c r="Z26" i="1096"/>
  <c r="R27" i="1096"/>
  <c r="S27" i="1096"/>
  <c r="T27" i="1096"/>
  <c r="U27" i="1096"/>
  <c r="V27" i="1096"/>
  <c r="W27" i="1096"/>
  <c r="X27" i="1096"/>
  <c r="Y27" i="1096"/>
  <c r="Z27" i="1096"/>
  <c r="R28" i="1096"/>
  <c r="S28" i="1096"/>
  <c r="T28" i="1096"/>
  <c r="U28" i="1096"/>
  <c r="V28" i="1096"/>
  <c r="W28" i="1096"/>
  <c r="X28" i="1096"/>
  <c r="Y28" i="1096"/>
  <c r="Z28" i="1096"/>
  <c r="R29" i="1096"/>
  <c r="S29" i="1096"/>
  <c r="T29" i="1096"/>
  <c r="U29" i="1096"/>
  <c r="V29" i="1096"/>
  <c r="W29" i="1096"/>
  <c r="X29" i="1096"/>
  <c r="Y29" i="1096"/>
  <c r="Z29" i="1096"/>
  <c r="R30" i="1096"/>
  <c r="S30" i="1096"/>
  <c r="T30" i="1096"/>
  <c r="U30" i="1096"/>
  <c r="V30" i="1096"/>
  <c r="W30" i="1096"/>
  <c r="X30" i="1096"/>
  <c r="Y30" i="1096"/>
  <c r="Z30" i="1096"/>
  <c r="R31" i="1096"/>
  <c r="S31" i="1096"/>
  <c r="T31" i="1096"/>
  <c r="U31" i="1096"/>
  <c r="V31" i="1096"/>
  <c r="W31" i="1096"/>
  <c r="X31" i="1096"/>
  <c r="Y31" i="1096"/>
  <c r="Z31" i="1096"/>
  <c r="R32" i="1096"/>
  <c r="S32" i="1096"/>
  <c r="T32" i="1096"/>
  <c r="U32" i="1096"/>
  <c r="V32" i="1096"/>
  <c r="W32" i="1096"/>
  <c r="X32" i="1096"/>
  <c r="Y32" i="1096"/>
  <c r="Z32" i="1096"/>
  <c r="R33" i="1096"/>
  <c r="S33" i="1096"/>
  <c r="T33" i="1096"/>
  <c r="U33" i="1096"/>
  <c r="V33" i="1096"/>
  <c r="W33" i="1096"/>
  <c r="X33" i="1096"/>
  <c r="Y33" i="1096"/>
  <c r="Z33" i="1096"/>
  <c r="R34" i="1096"/>
  <c r="S34" i="1096"/>
  <c r="T34" i="1096"/>
  <c r="U34" i="1096"/>
  <c r="V34" i="1096"/>
  <c r="W34" i="1096"/>
  <c r="X34" i="1096"/>
  <c r="Y34" i="1096"/>
  <c r="Z34" i="1096"/>
  <c r="R35" i="1096"/>
  <c r="S35" i="1096"/>
  <c r="T35" i="1096"/>
  <c r="U35" i="1096"/>
  <c r="V35" i="1096"/>
  <c r="W35" i="1096"/>
  <c r="X35" i="1096"/>
  <c r="Y35" i="1096"/>
  <c r="Z35" i="1096"/>
  <c r="R36" i="1096"/>
  <c r="S36" i="1096"/>
  <c r="T36" i="1096"/>
  <c r="U36" i="1096"/>
  <c r="V36" i="1096"/>
  <c r="W36" i="1096"/>
  <c r="X36" i="1096"/>
  <c r="Y36" i="1096"/>
  <c r="Z36" i="1096"/>
  <c r="R37" i="1096"/>
  <c r="S37" i="1096"/>
  <c r="T37" i="1096"/>
  <c r="U37" i="1096"/>
  <c r="V37" i="1096"/>
  <c r="W37" i="1096"/>
  <c r="X37" i="1096"/>
  <c r="Y37" i="1096"/>
  <c r="Z37" i="1096"/>
  <c r="R38" i="1096"/>
  <c r="S38" i="1096"/>
  <c r="T38" i="1096"/>
  <c r="U38" i="1096"/>
  <c r="V38" i="1096"/>
  <c r="W38" i="1096"/>
  <c r="X38" i="1096"/>
  <c r="Y38" i="1096"/>
  <c r="Z38" i="1096"/>
  <c r="C25" i="1096"/>
  <c r="D25" i="1096"/>
  <c r="E25" i="1096"/>
  <c r="F25" i="1096"/>
  <c r="G25" i="1096"/>
  <c r="I25" i="1096"/>
  <c r="J25" i="1096"/>
  <c r="K25" i="1096"/>
  <c r="L25" i="1096"/>
  <c r="M25" i="1096"/>
  <c r="N25" i="1096"/>
  <c r="O25" i="1096"/>
  <c r="C26" i="1096"/>
  <c r="D26" i="1096"/>
  <c r="E26" i="1096"/>
  <c r="F26" i="1096"/>
  <c r="G26" i="1096"/>
  <c r="I26" i="1096"/>
  <c r="J26" i="1096"/>
  <c r="K26" i="1096"/>
  <c r="L26" i="1096"/>
  <c r="M26" i="1096"/>
  <c r="N26" i="1096"/>
  <c r="O26" i="1096"/>
  <c r="C27" i="1096"/>
  <c r="D27" i="1096"/>
  <c r="E27" i="1096"/>
  <c r="F27" i="1096"/>
  <c r="G27" i="1096"/>
  <c r="I27" i="1096"/>
  <c r="J27" i="1096"/>
  <c r="K27" i="1096"/>
  <c r="L27" i="1096"/>
  <c r="M27" i="1096"/>
  <c r="N27" i="1096"/>
  <c r="O27" i="1096"/>
  <c r="C28" i="1096"/>
  <c r="D28" i="1096"/>
  <c r="E28" i="1096"/>
  <c r="F28" i="1096"/>
  <c r="G28" i="1096"/>
  <c r="I28" i="1096"/>
  <c r="J28" i="1096"/>
  <c r="K28" i="1096"/>
  <c r="L28" i="1096"/>
  <c r="M28" i="1096"/>
  <c r="N28" i="1096"/>
  <c r="O28" i="1096"/>
  <c r="C29" i="1096"/>
  <c r="D29" i="1096"/>
  <c r="E29" i="1096"/>
  <c r="F29" i="1096"/>
  <c r="G29" i="1096"/>
  <c r="I29" i="1096"/>
  <c r="J29" i="1096"/>
  <c r="K29" i="1096"/>
  <c r="L29" i="1096"/>
  <c r="M29" i="1096"/>
  <c r="N29" i="1096"/>
  <c r="O29" i="1096"/>
  <c r="C30" i="1096"/>
  <c r="D30" i="1096"/>
  <c r="E30" i="1096"/>
  <c r="F30" i="1096"/>
  <c r="G30" i="1096"/>
  <c r="I30" i="1096"/>
  <c r="J30" i="1096"/>
  <c r="K30" i="1096"/>
  <c r="L30" i="1096"/>
  <c r="M30" i="1096"/>
  <c r="N30" i="1096"/>
  <c r="O30" i="1096"/>
  <c r="AX74" i="1096"/>
  <c r="AW74" i="1096"/>
  <c r="AV74" i="1096"/>
  <c r="AU74" i="1096"/>
  <c r="AT74" i="1096"/>
  <c r="AS74" i="1096"/>
  <c r="AR74" i="1096"/>
  <c r="AQ74" i="1096"/>
  <c r="AP74" i="1096"/>
  <c r="AO74" i="1096"/>
  <c r="AN74" i="1096"/>
  <c r="AM74" i="1096"/>
  <c r="AL74" i="1096"/>
  <c r="AK74" i="1096"/>
  <c r="AJ74" i="1096"/>
  <c r="AI74" i="1096"/>
  <c r="AH74" i="1096"/>
  <c r="AG74" i="1096"/>
  <c r="AF74" i="1096"/>
  <c r="AE74" i="1096"/>
  <c r="AD74" i="1096"/>
  <c r="AC74" i="1096"/>
  <c r="AB74" i="1096"/>
  <c r="L74" i="1096"/>
  <c r="AX73" i="1096"/>
  <c r="AW73" i="1096"/>
  <c r="AV73" i="1096"/>
  <c r="AU73" i="1096"/>
  <c r="AT73" i="1096"/>
  <c r="AS73" i="1096"/>
  <c r="AR73" i="1096"/>
  <c r="AQ73" i="1096"/>
  <c r="AP73" i="1096"/>
  <c r="AO73" i="1096"/>
  <c r="AN73" i="1096"/>
  <c r="AM73" i="1096"/>
  <c r="AL73" i="1096"/>
  <c r="AK73" i="1096"/>
  <c r="AJ73" i="1096"/>
  <c r="AI73" i="1096"/>
  <c r="AH73" i="1096"/>
  <c r="AG73" i="1096"/>
  <c r="AF73" i="1096"/>
  <c r="AE73" i="1096"/>
  <c r="AD73" i="1096"/>
  <c r="AC73" i="1096"/>
  <c r="AB73" i="1096"/>
  <c r="AX72" i="1096"/>
  <c r="AW72" i="1096"/>
  <c r="AV72" i="1096"/>
  <c r="AU72" i="1096"/>
  <c r="AT72" i="1096"/>
  <c r="AS72" i="1096"/>
  <c r="AR72" i="1096"/>
  <c r="AQ72" i="1096"/>
  <c r="AP72" i="1096"/>
  <c r="AO72" i="1096"/>
  <c r="AN72" i="1096"/>
  <c r="AM72" i="1096"/>
  <c r="AL72" i="1096"/>
  <c r="AK72" i="1096"/>
  <c r="AJ72" i="1096"/>
  <c r="AI72" i="1096"/>
  <c r="AH72" i="1096"/>
  <c r="AG72" i="1096"/>
  <c r="AF72" i="1096"/>
  <c r="AE72" i="1096"/>
  <c r="AD72" i="1096"/>
  <c r="AC72" i="1096"/>
  <c r="AB72" i="1096"/>
  <c r="L72" i="1096"/>
  <c r="C85" i="1096" s="1"/>
  <c r="K67" i="1096"/>
  <c r="L58" i="1096" s="1"/>
  <c r="M58" i="1096" s="1"/>
  <c r="Z54" i="1096"/>
  <c r="Y54" i="1096"/>
  <c r="X54" i="1096"/>
  <c r="W54" i="1096"/>
  <c r="V54" i="1096"/>
  <c r="U54" i="1096"/>
  <c r="T54" i="1096"/>
  <c r="S54" i="1096"/>
  <c r="R54" i="1096"/>
  <c r="Z53" i="1096"/>
  <c r="Y53" i="1096"/>
  <c r="X53" i="1096"/>
  <c r="W53" i="1096"/>
  <c r="V53" i="1096"/>
  <c r="U53" i="1096"/>
  <c r="T53" i="1096"/>
  <c r="S53" i="1096"/>
  <c r="R53" i="1096"/>
  <c r="Z52" i="1096"/>
  <c r="Y52" i="1096"/>
  <c r="X52" i="1096"/>
  <c r="W52" i="1096"/>
  <c r="V52" i="1096"/>
  <c r="U52" i="1096"/>
  <c r="T52" i="1096"/>
  <c r="S52" i="1096"/>
  <c r="R52" i="1096"/>
  <c r="Z51" i="1096"/>
  <c r="Y51" i="1096"/>
  <c r="X51" i="1096"/>
  <c r="W51" i="1096"/>
  <c r="V51" i="1096"/>
  <c r="U51" i="1096"/>
  <c r="T51" i="1096"/>
  <c r="S51" i="1096"/>
  <c r="R51" i="1096"/>
  <c r="Z50" i="1096"/>
  <c r="Y50" i="1096"/>
  <c r="X50" i="1096"/>
  <c r="W50" i="1096"/>
  <c r="V50" i="1096"/>
  <c r="U50" i="1096"/>
  <c r="T50" i="1096"/>
  <c r="S50" i="1096"/>
  <c r="R50" i="1096"/>
  <c r="Z49" i="1096"/>
  <c r="Y49" i="1096"/>
  <c r="X49" i="1096"/>
  <c r="W49" i="1096"/>
  <c r="V49" i="1096"/>
  <c r="U49" i="1096"/>
  <c r="T49" i="1096"/>
  <c r="S49" i="1096"/>
  <c r="R49" i="1096"/>
  <c r="M49" i="1096"/>
  <c r="L49" i="1096"/>
  <c r="K49" i="1096"/>
  <c r="Z48" i="1096"/>
  <c r="Y48" i="1096"/>
  <c r="X48" i="1096"/>
  <c r="W48" i="1096"/>
  <c r="V48" i="1096"/>
  <c r="U48" i="1096"/>
  <c r="T48" i="1096"/>
  <c r="S48" i="1096"/>
  <c r="R48" i="1096"/>
  <c r="M48" i="1096"/>
  <c r="Z47" i="1096"/>
  <c r="Y47" i="1096"/>
  <c r="X47" i="1096"/>
  <c r="W47" i="1096"/>
  <c r="V47" i="1096"/>
  <c r="U47" i="1096"/>
  <c r="T47" i="1096"/>
  <c r="S47" i="1096"/>
  <c r="R47" i="1096"/>
  <c r="Z46" i="1096"/>
  <c r="Y46" i="1096"/>
  <c r="X46" i="1096"/>
  <c r="W46" i="1096"/>
  <c r="V46" i="1096"/>
  <c r="U46" i="1096"/>
  <c r="T46" i="1096"/>
  <c r="S46" i="1096"/>
  <c r="R46" i="1096"/>
  <c r="M46" i="1096"/>
  <c r="Z45" i="1096"/>
  <c r="Y45" i="1096"/>
  <c r="X45" i="1096"/>
  <c r="W45" i="1096"/>
  <c r="V45" i="1096"/>
  <c r="U45" i="1096"/>
  <c r="T45" i="1096"/>
  <c r="S45" i="1096"/>
  <c r="R45" i="1096"/>
  <c r="M45" i="1096"/>
  <c r="L45" i="1096"/>
  <c r="K45" i="1096"/>
  <c r="Z44" i="1096"/>
  <c r="Y44" i="1096"/>
  <c r="X44" i="1096"/>
  <c r="W44" i="1096"/>
  <c r="V44" i="1096"/>
  <c r="U44" i="1096"/>
  <c r="T44" i="1096"/>
  <c r="S44" i="1096"/>
  <c r="R44" i="1096"/>
  <c r="Z42" i="1096"/>
  <c r="Y42" i="1096"/>
  <c r="X42" i="1096"/>
  <c r="W42" i="1096"/>
  <c r="V42" i="1096"/>
  <c r="U42" i="1096"/>
  <c r="T42" i="1096"/>
  <c r="S42" i="1096"/>
  <c r="R42" i="1096"/>
  <c r="Z41" i="1096"/>
  <c r="Y41" i="1096"/>
  <c r="X41" i="1096"/>
  <c r="W41" i="1096"/>
  <c r="V41" i="1096"/>
  <c r="U41" i="1096"/>
  <c r="T41" i="1096"/>
  <c r="S41" i="1096"/>
  <c r="R41" i="1096"/>
  <c r="Z40" i="1096"/>
  <c r="Y40" i="1096"/>
  <c r="X40" i="1096"/>
  <c r="W40" i="1096"/>
  <c r="V40" i="1096"/>
  <c r="U40" i="1096"/>
  <c r="T40" i="1096"/>
  <c r="S40" i="1096"/>
  <c r="R40" i="1096"/>
  <c r="Z39" i="1096"/>
  <c r="Y39" i="1096"/>
  <c r="X39" i="1096"/>
  <c r="W39" i="1096"/>
  <c r="V39" i="1096"/>
  <c r="U39" i="1096"/>
  <c r="T39" i="1096"/>
  <c r="S39" i="1096"/>
  <c r="R39" i="1096"/>
  <c r="Z19" i="1096"/>
  <c r="Y19" i="1096"/>
  <c r="X19" i="1096"/>
  <c r="W19" i="1096"/>
  <c r="V19" i="1096"/>
  <c r="U19" i="1096"/>
  <c r="T19" i="1096"/>
  <c r="S19" i="1096"/>
  <c r="R19" i="1096"/>
  <c r="Z18" i="1096"/>
  <c r="Y18" i="1096"/>
  <c r="X18" i="1096"/>
  <c r="W18" i="1096"/>
  <c r="V18" i="1096"/>
  <c r="U18" i="1096"/>
  <c r="T18" i="1096"/>
  <c r="S18" i="1096"/>
  <c r="R18" i="1096"/>
  <c r="Z17" i="1096"/>
  <c r="Y17" i="1096"/>
  <c r="X17" i="1096"/>
  <c r="W17" i="1096"/>
  <c r="V17" i="1096"/>
  <c r="U17" i="1096"/>
  <c r="T17" i="1096"/>
  <c r="S17" i="1096"/>
  <c r="R17" i="1096"/>
  <c r="Z16" i="1096"/>
  <c r="Y16" i="1096"/>
  <c r="X16" i="1096"/>
  <c r="W16" i="1096"/>
  <c r="V16" i="1096"/>
  <c r="U16" i="1096"/>
  <c r="T16" i="1096"/>
  <c r="S16" i="1096"/>
  <c r="R16" i="1096"/>
  <c r="Z15" i="1096"/>
  <c r="Y15" i="1096"/>
  <c r="X15" i="1096"/>
  <c r="W15" i="1096"/>
  <c r="V15" i="1096"/>
  <c r="U15" i="1096"/>
  <c r="T15" i="1096"/>
  <c r="S15" i="1096"/>
  <c r="R15" i="1096"/>
  <c r="Z14" i="1096"/>
  <c r="Y14" i="1096"/>
  <c r="X14" i="1096"/>
  <c r="W14" i="1096"/>
  <c r="V14" i="1096"/>
  <c r="U14" i="1096"/>
  <c r="T14" i="1096"/>
  <c r="S14" i="1096"/>
  <c r="R14" i="1096"/>
  <c r="Z13" i="1096"/>
  <c r="Y13" i="1096"/>
  <c r="X13" i="1096"/>
  <c r="W13" i="1096"/>
  <c r="V13" i="1096"/>
  <c r="U13" i="1096"/>
  <c r="T13" i="1096"/>
  <c r="S13" i="1096"/>
  <c r="R13" i="1096"/>
  <c r="Z12" i="1096"/>
  <c r="Y12" i="1096"/>
  <c r="X12" i="1096"/>
  <c r="W12" i="1096"/>
  <c r="V12" i="1096"/>
  <c r="U12" i="1096"/>
  <c r="T12" i="1096"/>
  <c r="S12" i="1096"/>
  <c r="R12" i="1096"/>
  <c r="Z11" i="1096"/>
  <c r="Y11" i="1096"/>
  <c r="X11" i="1096"/>
  <c r="W11" i="1096"/>
  <c r="V11" i="1096"/>
  <c r="U11" i="1096"/>
  <c r="T11" i="1096"/>
  <c r="S11" i="1096"/>
  <c r="R11" i="1096"/>
  <c r="Z10" i="1096"/>
  <c r="Y10" i="1096"/>
  <c r="X10" i="1096"/>
  <c r="W10" i="1096"/>
  <c r="V10" i="1096"/>
  <c r="U10" i="1096"/>
  <c r="T10" i="1096"/>
  <c r="S10" i="1096"/>
  <c r="R10" i="1096"/>
  <c r="L35" i="1095"/>
  <c r="K35" i="1095"/>
  <c r="G64" i="1095"/>
  <c r="K64" i="1095"/>
  <c r="K78" i="1095" s="1"/>
  <c r="L50" i="1095"/>
  <c r="M50" i="1095" s="1"/>
  <c r="R20" i="1095"/>
  <c r="S20" i="1095"/>
  <c r="T20" i="1095"/>
  <c r="U20" i="1095"/>
  <c r="V20" i="1095"/>
  <c r="W20" i="1095"/>
  <c r="X20" i="1095"/>
  <c r="Y20" i="1095"/>
  <c r="Z20" i="1095"/>
  <c r="R21" i="1095"/>
  <c r="S21" i="1095"/>
  <c r="T21" i="1095"/>
  <c r="U21" i="1095"/>
  <c r="V21" i="1095"/>
  <c r="W21" i="1095"/>
  <c r="X21" i="1095"/>
  <c r="Y21" i="1095"/>
  <c r="Z21" i="1095"/>
  <c r="R22" i="1095"/>
  <c r="S22" i="1095"/>
  <c r="T22" i="1095"/>
  <c r="U22" i="1095"/>
  <c r="V22" i="1095"/>
  <c r="W22" i="1095"/>
  <c r="X22" i="1095"/>
  <c r="Y22" i="1095"/>
  <c r="Z22" i="1095"/>
  <c r="R23" i="1095"/>
  <c r="S23" i="1095"/>
  <c r="T23" i="1095"/>
  <c r="U23" i="1095"/>
  <c r="V23" i="1095"/>
  <c r="W23" i="1095"/>
  <c r="X23" i="1095"/>
  <c r="Y23" i="1095"/>
  <c r="Z23" i="1095"/>
  <c r="R24" i="1095"/>
  <c r="S24" i="1095"/>
  <c r="T24" i="1095"/>
  <c r="U24" i="1095"/>
  <c r="V24" i="1095"/>
  <c r="W24" i="1095"/>
  <c r="X24" i="1095"/>
  <c r="Y24" i="1095"/>
  <c r="Z24" i="1095"/>
  <c r="R25" i="1095"/>
  <c r="S25" i="1095"/>
  <c r="T25" i="1095"/>
  <c r="U25" i="1095"/>
  <c r="V25" i="1095"/>
  <c r="W25" i="1095"/>
  <c r="X25" i="1095"/>
  <c r="Y25" i="1095"/>
  <c r="Z25" i="1095"/>
  <c r="R26" i="1095"/>
  <c r="S26" i="1095"/>
  <c r="T26" i="1095"/>
  <c r="U26" i="1095"/>
  <c r="V26" i="1095"/>
  <c r="W26" i="1095"/>
  <c r="X26" i="1095"/>
  <c r="Y26" i="1095"/>
  <c r="Z26" i="1095"/>
  <c r="R27" i="1095"/>
  <c r="S27" i="1095"/>
  <c r="T27" i="1095"/>
  <c r="U27" i="1095"/>
  <c r="V27" i="1095"/>
  <c r="W27" i="1095"/>
  <c r="X27" i="1095"/>
  <c r="Y27" i="1095"/>
  <c r="Z27" i="1095"/>
  <c r="R28" i="1095"/>
  <c r="S28" i="1095"/>
  <c r="T28" i="1095"/>
  <c r="U28" i="1095"/>
  <c r="V28" i="1095"/>
  <c r="W28" i="1095"/>
  <c r="X28" i="1095"/>
  <c r="Y28" i="1095"/>
  <c r="Z28" i="1095"/>
  <c r="R29" i="1095"/>
  <c r="S29" i="1095"/>
  <c r="T29" i="1095"/>
  <c r="U29" i="1095"/>
  <c r="V29" i="1095"/>
  <c r="W29" i="1095"/>
  <c r="X29" i="1095"/>
  <c r="Y29" i="1095"/>
  <c r="Z29" i="1095"/>
  <c r="R30" i="1095"/>
  <c r="S30" i="1095"/>
  <c r="T30" i="1095"/>
  <c r="U30" i="1095"/>
  <c r="V30" i="1095"/>
  <c r="W30" i="1095"/>
  <c r="X30" i="1095"/>
  <c r="Y30" i="1095"/>
  <c r="Z30" i="1095"/>
  <c r="R31" i="1095"/>
  <c r="S31" i="1095"/>
  <c r="T31" i="1095"/>
  <c r="U31" i="1095"/>
  <c r="V31" i="1095"/>
  <c r="W31" i="1095"/>
  <c r="X31" i="1095"/>
  <c r="Y31" i="1095"/>
  <c r="Z31" i="1095"/>
  <c r="R32" i="1095"/>
  <c r="S32" i="1095"/>
  <c r="T32" i="1095"/>
  <c r="U32" i="1095"/>
  <c r="V32" i="1095"/>
  <c r="W32" i="1095"/>
  <c r="X32" i="1095"/>
  <c r="Y32" i="1095"/>
  <c r="Z32" i="1095"/>
  <c r="R33" i="1095"/>
  <c r="S33" i="1095"/>
  <c r="T33" i="1095"/>
  <c r="U33" i="1095"/>
  <c r="V33" i="1095"/>
  <c r="W33" i="1095"/>
  <c r="X33" i="1095"/>
  <c r="Y33" i="1095"/>
  <c r="Z33" i="1095"/>
  <c r="R34" i="1095"/>
  <c r="S34" i="1095"/>
  <c r="T34" i="1095"/>
  <c r="U34" i="1095"/>
  <c r="V34" i="1095"/>
  <c r="W34" i="1095"/>
  <c r="X34" i="1095"/>
  <c r="Y34" i="1095"/>
  <c r="Z34" i="1095"/>
  <c r="R35" i="1095"/>
  <c r="S35" i="1095"/>
  <c r="T35" i="1095"/>
  <c r="U35" i="1095"/>
  <c r="V35" i="1095"/>
  <c r="W35" i="1095"/>
  <c r="X35" i="1095"/>
  <c r="Y35" i="1095"/>
  <c r="Z35" i="1095"/>
  <c r="R36" i="1095"/>
  <c r="S36" i="1095"/>
  <c r="T36" i="1095"/>
  <c r="U36" i="1095"/>
  <c r="V36" i="1095"/>
  <c r="W36" i="1095"/>
  <c r="X36" i="1095"/>
  <c r="Y36" i="1095"/>
  <c r="Z36" i="1095"/>
  <c r="R37" i="1095"/>
  <c r="S37" i="1095"/>
  <c r="T37" i="1095"/>
  <c r="U37" i="1095"/>
  <c r="V37" i="1095"/>
  <c r="W37" i="1095"/>
  <c r="X37" i="1095"/>
  <c r="Y37" i="1095"/>
  <c r="Z37" i="1095"/>
  <c r="C19" i="1095"/>
  <c r="D19" i="1095"/>
  <c r="E19" i="1095"/>
  <c r="F19" i="1095"/>
  <c r="G19" i="1095"/>
  <c r="K19" i="1095"/>
  <c r="L19" i="1095"/>
  <c r="M19" i="1095"/>
  <c r="N19" i="1095"/>
  <c r="O19" i="1095"/>
  <c r="C20" i="1095"/>
  <c r="D20" i="1095"/>
  <c r="E20" i="1095"/>
  <c r="F20" i="1095"/>
  <c r="G20" i="1095"/>
  <c r="K20" i="1095"/>
  <c r="L20" i="1095"/>
  <c r="M20" i="1095"/>
  <c r="N20" i="1095"/>
  <c r="O20" i="1095"/>
  <c r="C21" i="1095"/>
  <c r="D21" i="1095"/>
  <c r="E21" i="1095"/>
  <c r="F21" i="1095"/>
  <c r="G21" i="1095"/>
  <c r="K21" i="1095"/>
  <c r="L21" i="1095"/>
  <c r="M21" i="1095"/>
  <c r="N21" i="1095"/>
  <c r="O21" i="1095"/>
  <c r="C22" i="1095"/>
  <c r="D22" i="1095"/>
  <c r="E22" i="1095"/>
  <c r="F22" i="1095"/>
  <c r="G22" i="1095"/>
  <c r="K22" i="1095"/>
  <c r="L22" i="1095"/>
  <c r="M22" i="1095"/>
  <c r="N22" i="1095"/>
  <c r="O22" i="1095"/>
  <c r="C23" i="1095"/>
  <c r="D23" i="1095"/>
  <c r="E23" i="1095"/>
  <c r="F23" i="1095"/>
  <c r="G23" i="1095"/>
  <c r="K23" i="1095"/>
  <c r="L23" i="1095"/>
  <c r="M23" i="1095"/>
  <c r="N23" i="1095"/>
  <c r="O23" i="1095"/>
  <c r="C24" i="1095"/>
  <c r="D24" i="1095"/>
  <c r="E24" i="1095"/>
  <c r="F24" i="1095"/>
  <c r="G24" i="1095"/>
  <c r="K24" i="1095"/>
  <c r="L24" i="1095"/>
  <c r="M24" i="1095"/>
  <c r="N24" i="1095"/>
  <c r="O24" i="1095"/>
  <c r="C18" i="1095"/>
  <c r="D18" i="1095"/>
  <c r="E18" i="1095"/>
  <c r="F18" i="1095"/>
  <c r="G18" i="1095"/>
  <c r="K18" i="1095"/>
  <c r="L18" i="1095"/>
  <c r="M18" i="1095"/>
  <c r="N18" i="1095"/>
  <c r="O18" i="1095"/>
  <c r="B64" i="1095"/>
  <c r="C35" i="1095"/>
  <c r="C36" i="1095"/>
  <c r="C37" i="1095"/>
  <c r="C38" i="1095"/>
  <c r="C39" i="1095"/>
  <c r="C40" i="1095"/>
  <c r="C41" i="1095"/>
  <c r="C42" i="1095"/>
  <c r="B35" i="1095"/>
  <c r="AX66" i="1095"/>
  <c r="AW66" i="1095"/>
  <c r="AV66" i="1095"/>
  <c r="AU66" i="1095"/>
  <c r="AT66" i="1095"/>
  <c r="AS66" i="1095"/>
  <c r="AR66" i="1095"/>
  <c r="AQ66" i="1095"/>
  <c r="AP66" i="1095"/>
  <c r="AO66" i="1095"/>
  <c r="AN66" i="1095"/>
  <c r="AM66" i="1095"/>
  <c r="AL66" i="1095"/>
  <c r="AK66" i="1095"/>
  <c r="AJ66" i="1095"/>
  <c r="AI66" i="1095"/>
  <c r="AH66" i="1095"/>
  <c r="AG66" i="1095"/>
  <c r="AF66" i="1095"/>
  <c r="AE66" i="1095"/>
  <c r="AD66" i="1095"/>
  <c r="AC66" i="1095"/>
  <c r="AB66" i="1095"/>
  <c r="L66" i="1095"/>
  <c r="AX65" i="1095"/>
  <c r="AW65" i="1095"/>
  <c r="AV65" i="1095"/>
  <c r="AU65" i="1095"/>
  <c r="AT65" i="1095"/>
  <c r="AS65" i="1095"/>
  <c r="AR65" i="1095"/>
  <c r="AQ65" i="1095"/>
  <c r="AP65" i="1095"/>
  <c r="AO65" i="1095"/>
  <c r="AN65" i="1095"/>
  <c r="AM65" i="1095"/>
  <c r="AL65" i="1095"/>
  <c r="AK65" i="1095"/>
  <c r="AJ65" i="1095"/>
  <c r="AI65" i="1095"/>
  <c r="AH65" i="1095"/>
  <c r="AG65" i="1095"/>
  <c r="AF65" i="1095"/>
  <c r="AE65" i="1095"/>
  <c r="AD65" i="1095"/>
  <c r="AC65" i="1095"/>
  <c r="AB65" i="1095"/>
  <c r="AX64" i="1095"/>
  <c r="AW64" i="1095"/>
  <c r="AV64" i="1095"/>
  <c r="AU64" i="1095"/>
  <c r="AT64" i="1095"/>
  <c r="AS64" i="1095"/>
  <c r="AR64" i="1095"/>
  <c r="AQ64" i="1095"/>
  <c r="AP64" i="1095"/>
  <c r="AO64" i="1095"/>
  <c r="AN64" i="1095"/>
  <c r="AM64" i="1095"/>
  <c r="AL64" i="1095"/>
  <c r="AK64" i="1095"/>
  <c r="AJ64" i="1095"/>
  <c r="AI64" i="1095"/>
  <c r="AH64" i="1095"/>
  <c r="AG64" i="1095"/>
  <c r="AF64" i="1095"/>
  <c r="AE64" i="1095"/>
  <c r="AD64" i="1095"/>
  <c r="AC64" i="1095"/>
  <c r="AB64" i="1095"/>
  <c r="K59" i="1095"/>
  <c r="Z46" i="1095"/>
  <c r="Y46" i="1095"/>
  <c r="X46" i="1095"/>
  <c r="W46" i="1095"/>
  <c r="V46" i="1095"/>
  <c r="U46" i="1095"/>
  <c r="T46" i="1095"/>
  <c r="S46" i="1095"/>
  <c r="R46" i="1095"/>
  <c r="Z45" i="1095"/>
  <c r="Y45" i="1095"/>
  <c r="X45" i="1095"/>
  <c r="W45" i="1095"/>
  <c r="V45" i="1095"/>
  <c r="U45" i="1095"/>
  <c r="T45" i="1095"/>
  <c r="S45" i="1095"/>
  <c r="R45" i="1095"/>
  <c r="Z44" i="1095"/>
  <c r="Y44" i="1095"/>
  <c r="X44" i="1095"/>
  <c r="W44" i="1095"/>
  <c r="V44" i="1095"/>
  <c r="U44" i="1095"/>
  <c r="T44" i="1095"/>
  <c r="S44" i="1095"/>
  <c r="R44" i="1095"/>
  <c r="Z43" i="1095"/>
  <c r="Y43" i="1095"/>
  <c r="X43" i="1095"/>
  <c r="W43" i="1095"/>
  <c r="V43" i="1095"/>
  <c r="U43" i="1095"/>
  <c r="T43" i="1095"/>
  <c r="S43" i="1095"/>
  <c r="R43" i="1095"/>
  <c r="Z42" i="1095"/>
  <c r="Y42" i="1095"/>
  <c r="X42" i="1095"/>
  <c r="W42" i="1095"/>
  <c r="V42" i="1095"/>
  <c r="U42" i="1095"/>
  <c r="T42" i="1095"/>
  <c r="S42" i="1095"/>
  <c r="R42" i="1095"/>
  <c r="Z41" i="1095"/>
  <c r="Y41" i="1095"/>
  <c r="X41" i="1095"/>
  <c r="W41" i="1095"/>
  <c r="V41" i="1095"/>
  <c r="U41" i="1095"/>
  <c r="T41" i="1095"/>
  <c r="S41" i="1095"/>
  <c r="R41" i="1095"/>
  <c r="M41" i="1095"/>
  <c r="L41" i="1095"/>
  <c r="K41" i="1095"/>
  <c r="Z40" i="1095"/>
  <c r="Y40" i="1095"/>
  <c r="X40" i="1095"/>
  <c r="W40" i="1095"/>
  <c r="V40" i="1095"/>
  <c r="U40" i="1095"/>
  <c r="T40" i="1095"/>
  <c r="S40" i="1095"/>
  <c r="R40" i="1095"/>
  <c r="M40" i="1095"/>
  <c r="Z39" i="1095"/>
  <c r="Y39" i="1095"/>
  <c r="X39" i="1095"/>
  <c r="W39" i="1095"/>
  <c r="V39" i="1095"/>
  <c r="U39" i="1095"/>
  <c r="T39" i="1095"/>
  <c r="S39" i="1095"/>
  <c r="R39" i="1095"/>
  <c r="Z38" i="1095"/>
  <c r="Y38" i="1095"/>
  <c r="X38" i="1095"/>
  <c r="W38" i="1095"/>
  <c r="V38" i="1095"/>
  <c r="U38" i="1095"/>
  <c r="T38" i="1095"/>
  <c r="S38" i="1095"/>
  <c r="R38" i="1095"/>
  <c r="M38" i="1095"/>
  <c r="M37" i="1095"/>
  <c r="L37" i="1095"/>
  <c r="K37" i="1095"/>
  <c r="M36" i="1095"/>
  <c r="L36" i="1095"/>
  <c r="K36" i="1095"/>
  <c r="Z19" i="1095"/>
  <c r="Y19" i="1095"/>
  <c r="X19" i="1095"/>
  <c r="W19" i="1095"/>
  <c r="V19" i="1095"/>
  <c r="U19" i="1095"/>
  <c r="T19" i="1095"/>
  <c r="S19" i="1095"/>
  <c r="R19" i="1095"/>
  <c r="Z18" i="1095"/>
  <c r="Y18" i="1095"/>
  <c r="X18" i="1095"/>
  <c r="W18" i="1095"/>
  <c r="V18" i="1095"/>
  <c r="U18" i="1095"/>
  <c r="T18" i="1095"/>
  <c r="S18" i="1095"/>
  <c r="R18" i="1095"/>
  <c r="Z17" i="1095"/>
  <c r="Y17" i="1095"/>
  <c r="X17" i="1095"/>
  <c r="W17" i="1095"/>
  <c r="V17" i="1095"/>
  <c r="U17" i="1095"/>
  <c r="T17" i="1095"/>
  <c r="S17" i="1095"/>
  <c r="R17" i="1095"/>
  <c r="Z16" i="1095"/>
  <c r="Y16" i="1095"/>
  <c r="X16" i="1095"/>
  <c r="W16" i="1095"/>
  <c r="V16" i="1095"/>
  <c r="U16" i="1095"/>
  <c r="T16" i="1095"/>
  <c r="S16" i="1095"/>
  <c r="R16" i="1095"/>
  <c r="Z15" i="1095"/>
  <c r="Y15" i="1095"/>
  <c r="X15" i="1095"/>
  <c r="W15" i="1095"/>
  <c r="V15" i="1095"/>
  <c r="U15" i="1095"/>
  <c r="T15" i="1095"/>
  <c r="S15" i="1095"/>
  <c r="R15" i="1095"/>
  <c r="Z14" i="1095"/>
  <c r="Y14" i="1095"/>
  <c r="X14" i="1095"/>
  <c r="W14" i="1095"/>
  <c r="V14" i="1095"/>
  <c r="U14" i="1095"/>
  <c r="T14" i="1095"/>
  <c r="S14" i="1095"/>
  <c r="R14" i="1095"/>
  <c r="Z13" i="1095"/>
  <c r="Y13" i="1095"/>
  <c r="X13" i="1095"/>
  <c r="W13" i="1095"/>
  <c r="V13" i="1095"/>
  <c r="U13" i="1095"/>
  <c r="T13" i="1095"/>
  <c r="S13" i="1095"/>
  <c r="R13" i="1095"/>
  <c r="Z12" i="1095"/>
  <c r="Y12" i="1095"/>
  <c r="X12" i="1095"/>
  <c r="W12" i="1095"/>
  <c r="V12" i="1095"/>
  <c r="U12" i="1095"/>
  <c r="T12" i="1095"/>
  <c r="S12" i="1095"/>
  <c r="R12" i="1095"/>
  <c r="Z11" i="1095"/>
  <c r="Y11" i="1095"/>
  <c r="X11" i="1095"/>
  <c r="W11" i="1095"/>
  <c r="V11" i="1095"/>
  <c r="U11" i="1095"/>
  <c r="T11" i="1095"/>
  <c r="S11" i="1095"/>
  <c r="R11" i="1095"/>
  <c r="Z10" i="1095"/>
  <c r="Y10" i="1095"/>
  <c r="X10" i="1095"/>
  <c r="W10" i="1095"/>
  <c r="V10" i="1095"/>
  <c r="U10" i="1095"/>
  <c r="T10" i="1095"/>
  <c r="S10" i="1095"/>
  <c r="R10" i="1095"/>
  <c r="K11" i="1093"/>
  <c r="J12" i="1094"/>
  <c r="L43" i="1094"/>
  <c r="M43" i="1094" s="1"/>
  <c r="C40" i="1094"/>
  <c r="C41" i="1094"/>
  <c r="C42" i="1094"/>
  <c r="C43" i="1094"/>
  <c r="C44" i="1094"/>
  <c r="C45" i="1094"/>
  <c r="C34" i="1094"/>
  <c r="C35" i="1094"/>
  <c r="C28" i="1094"/>
  <c r="C29" i="1094"/>
  <c r="C30" i="1094"/>
  <c r="C31" i="1094"/>
  <c r="C32" i="1094"/>
  <c r="C33" i="1094"/>
  <c r="B40" i="1094"/>
  <c r="K29" i="1094"/>
  <c r="K28" i="1094"/>
  <c r="C16" i="1094"/>
  <c r="D16" i="1094"/>
  <c r="E16" i="1094"/>
  <c r="F16" i="1094"/>
  <c r="G16" i="1094"/>
  <c r="K16" i="1094"/>
  <c r="L16" i="1094"/>
  <c r="M16" i="1094"/>
  <c r="N16" i="1094"/>
  <c r="O16" i="1094"/>
  <c r="C17" i="1094"/>
  <c r="D17" i="1094"/>
  <c r="E17" i="1094"/>
  <c r="F17" i="1094"/>
  <c r="G17" i="1094"/>
  <c r="K17" i="1094"/>
  <c r="L17" i="1094"/>
  <c r="M17" i="1094"/>
  <c r="N17" i="1094"/>
  <c r="O17" i="1094"/>
  <c r="O15" i="1094"/>
  <c r="N15" i="1094"/>
  <c r="M15" i="1094"/>
  <c r="L15" i="1094"/>
  <c r="K15" i="1094"/>
  <c r="G15" i="1094"/>
  <c r="F15" i="1094"/>
  <c r="E15" i="1094"/>
  <c r="D15" i="1094"/>
  <c r="C15" i="1094"/>
  <c r="B28" i="1094"/>
  <c r="C10" i="1094"/>
  <c r="D10" i="1094"/>
  <c r="E10" i="1094"/>
  <c r="F10" i="1094"/>
  <c r="G10" i="1094"/>
  <c r="K10" i="1094"/>
  <c r="L10" i="1094"/>
  <c r="M10" i="1094"/>
  <c r="N10" i="1094"/>
  <c r="O10" i="1094"/>
  <c r="C11" i="1094"/>
  <c r="D11" i="1094"/>
  <c r="E11" i="1094"/>
  <c r="F11" i="1094"/>
  <c r="G11" i="1094"/>
  <c r="K11" i="1094"/>
  <c r="L11" i="1094"/>
  <c r="M11" i="1094"/>
  <c r="N11" i="1094"/>
  <c r="O11" i="1094"/>
  <c r="C12" i="1094"/>
  <c r="D12" i="1094"/>
  <c r="E12" i="1094"/>
  <c r="F12" i="1094"/>
  <c r="G12" i="1094"/>
  <c r="K12" i="1094"/>
  <c r="L12" i="1094"/>
  <c r="M12" i="1094"/>
  <c r="N12" i="1094"/>
  <c r="O12" i="1094"/>
  <c r="C13" i="1094"/>
  <c r="D13" i="1094"/>
  <c r="E13" i="1094"/>
  <c r="F13" i="1094"/>
  <c r="G13" i="1094"/>
  <c r="I13" i="1094"/>
  <c r="J13" i="1094"/>
  <c r="K13" i="1094"/>
  <c r="L13" i="1094"/>
  <c r="M13" i="1094"/>
  <c r="N13" i="1094"/>
  <c r="O13" i="1094"/>
  <c r="R10" i="1094"/>
  <c r="S10" i="1094"/>
  <c r="T10" i="1094"/>
  <c r="U10" i="1094"/>
  <c r="V10" i="1094"/>
  <c r="W10" i="1094"/>
  <c r="X10" i="1094"/>
  <c r="Y10" i="1094"/>
  <c r="Z10" i="1094"/>
  <c r="R11" i="1094"/>
  <c r="S11" i="1094"/>
  <c r="T11" i="1094"/>
  <c r="U11" i="1094"/>
  <c r="V11" i="1094"/>
  <c r="W11" i="1094"/>
  <c r="X11" i="1094"/>
  <c r="Y11" i="1094"/>
  <c r="Z11" i="1094"/>
  <c r="R12" i="1094"/>
  <c r="S12" i="1094"/>
  <c r="T12" i="1094"/>
  <c r="U12" i="1094"/>
  <c r="V12" i="1094"/>
  <c r="W12" i="1094"/>
  <c r="X12" i="1094"/>
  <c r="Y12" i="1094"/>
  <c r="Z12" i="1094"/>
  <c r="R13" i="1094"/>
  <c r="S13" i="1094"/>
  <c r="T13" i="1094"/>
  <c r="U13" i="1094"/>
  <c r="V13" i="1094"/>
  <c r="W13" i="1094"/>
  <c r="X13" i="1094"/>
  <c r="Y13" i="1094"/>
  <c r="Z13" i="1094"/>
  <c r="R14" i="1094"/>
  <c r="S14" i="1094"/>
  <c r="T14" i="1094"/>
  <c r="U14" i="1094"/>
  <c r="V14" i="1094"/>
  <c r="W14" i="1094"/>
  <c r="X14" i="1094"/>
  <c r="Y14" i="1094"/>
  <c r="Z14" i="1094"/>
  <c r="R15" i="1094"/>
  <c r="S15" i="1094"/>
  <c r="T15" i="1094"/>
  <c r="U15" i="1094"/>
  <c r="V15" i="1094"/>
  <c r="W15" i="1094"/>
  <c r="X15" i="1094"/>
  <c r="Y15" i="1094"/>
  <c r="Z15" i="1094"/>
  <c r="R16" i="1094"/>
  <c r="S16" i="1094"/>
  <c r="T16" i="1094"/>
  <c r="U16" i="1094"/>
  <c r="V16" i="1094"/>
  <c r="W16" i="1094"/>
  <c r="X16" i="1094"/>
  <c r="Y16" i="1094"/>
  <c r="Z16" i="1094"/>
  <c r="R17" i="1094"/>
  <c r="S17" i="1094"/>
  <c r="T17" i="1094"/>
  <c r="U17" i="1094"/>
  <c r="V17" i="1094"/>
  <c r="W17" i="1094"/>
  <c r="X17" i="1094"/>
  <c r="Y17" i="1094"/>
  <c r="Z17" i="1094"/>
  <c r="R18" i="1094"/>
  <c r="S18" i="1094"/>
  <c r="T18" i="1094"/>
  <c r="U18" i="1094"/>
  <c r="V18" i="1094"/>
  <c r="W18" i="1094"/>
  <c r="X18" i="1094"/>
  <c r="Y18" i="1094"/>
  <c r="Z18" i="1094"/>
  <c r="R19" i="1094"/>
  <c r="S19" i="1094"/>
  <c r="T19" i="1094"/>
  <c r="U19" i="1094"/>
  <c r="V19" i="1094"/>
  <c r="W19" i="1094"/>
  <c r="X19" i="1094"/>
  <c r="Y19" i="1094"/>
  <c r="Z19" i="1094"/>
  <c r="R20" i="1094"/>
  <c r="S20" i="1094"/>
  <c r="T20" i="1094"/>
  <c r="U20" i="1094"/>
  <c r="V20" i="1094"/>
  <c r="W20" i="1094"/>
  <c r="X20" i="1094"/>
  <c r="Y20" i="1094"/>
  <c r="Z20" i="1094"/>
  <c r="R21" i="1094"/>
  <c r="S21" i="1094"/>
  <c r="T21" i="1094"/>
  <c r="U21" i="1094"/>
  <c r="V21" i="1094"/>
  <c r="W21" i="1094"/>
  <c r="X21" i="1094"/>
  <c r="Y21" i="1094"/>
  <c r="Z21" i="1094"/>
  <c r="R22" i="1094"/>
  <c r="S22" i="1094"/>
  <c r="T22" i="1094"/>
  <c r="U22" i="1094"/>
  <c r="V22" i="1094"/>
  <c r="W22" i="1094"/>
  <c r="X22" i="1094"/>
  <c r="Y22" i="1094"/>
  <c r="Z22" i="1094"/>
  <c r="R23" i="1094"/>
  <c r="S23" i="1094"/>
  <c r="T23" i="1094"/>
  <c r="U23" i="1094"/>
  <c r="V23" i="1094"/>
  <c r="W23" i="1094"/>
  <c r="X23" i="1094"/>
  <c r="Y23" i="1094"/>
  <c r="Z23" i="1094"/>
  <c r="R24" i="1094"/>
  <c r="S24" i="1094"/>
  <c r="T24" i="1094"/>
  <c r="U24" i="1094"/>
  <c r="V24" i="1094"/>
  <c r="W24" i="1094"/>
  <c r="X24" i="1094"/>
  <c r="Y24" i="1094"/>
  <c r="Z24" i="1094"/>
  <c r="R25" i="1094"/>
  <c r="S25" i="1094"/>
  <c r="T25" i="1094"/>
  <c r="U25" i="1094"/>
  <c r="V25" i="1094"/>
  <c r="W25" i="1094"/>
  <c r="X25" i="1094"/>
  <c r="Y25" i="1094"/>
  <c r="Z25" i="1094"/>
  <c r="R26" i="1094"/>
  <c r="S26" i="1094"/>
  <c r="T26" i="1094"/>
  <c r="U26" i="1094"/>
  <c r="V26" i="1094"/>
  <c r="W26" i="1094"/>
  <c r="X26" i="1094"/>
  <c r="Y26" i="1094"/>
  <c r="Z26" i="1094"/>
  <c r="R27" i="1094"/>
  <c r="S27" i="1094"/>
  <c r="T27" i="1094"/>
  <c r="U27" i="1094"/>
  <c r="V27" i="1094"/>
  <c r="W27" i="1094"/>
  <c r="X27" i="1094"/>
  <c r="Y27" i="1094"/>
  <c r="Z27" i="1094"/>
  <c r="R28" i="1094"/>
  <c r="S28" i="1094"/>
  <c r="T28" i="1094"/>
  <c r="U28" i="1094"/>
  <c r="V28" i="1094"/>
  <c r="W28" i="1094"/>
  <c r="X28" i="1094"/>
  <c r="Y28" i="1094"/>
  <c r="Z28" i="1094"/>
  <c r="R29" i="1094"/>
  <c r="S29" i="1094"/>
  <c r="T29" i="1094"/>
  <c r="U29" i="1094"/>
  <c r="V29" i="1094"/>
  <c r="W29" i="1094"/>
  <c r="X29" i="1094"/>
  <c r="Y29" i="1094"/>
  <c r="Z29" i="1094"/>
  <c r="R30" i="1094"/>
  <c r="S30" i="1094"/>
  <c r="T30" i="1094"/>
  <c r="U30" i="1094"/>
  <c r="V30" i="1094"/>
  <c r="W30" i="1094"/>
  <c r="X30" i="1094"/>
  <c r="Y30" i="1094"/>
  <c r="Z30" i="1094"/>
  <c r="R31" i="1094"/>
  <c r="S31" i="1094"/>
  <c r="T31" i="1094"/>
  <c r="U31" i="1094"/>
  <c r="V31" i="1094"/>
  <c r="W31" i="1094"/>
  <c r="X31" i="1094"/>
  <c r="Y31" i="1094"/>
  <c r="Z31" i="1094"/>
  <c r="G59" i="1094"/>
  <c r="G57" i="1094"/>
  <c r="K55" i="1092"/>
  <c r="K72" i="1092" s="1"/>
  <c r="G55" i="1092"/>
  <c r="B59" i="1094"/>
  <c r="AX59" i="1094"/>
  <c r="AW59" i="1094"/>
  <c r="AV59" i="1094"/>
  <c r="AU59" i="1094"/>
  <c r="AT59" i="1094"/>
  <c r="AS59" i="1094"/>
  <c r="AR59" i="1094"/>
  <c r="AQ59" i="1094"/>
  <c r="AP59" i="1094"/>
  <c r="AO59" i="1094"/>
  <c r="AN59" i="1094"/>
  <c r="AM59" i="1094"/>
  <c r="AL59" i="1094"/>
  <c r="AK59" i="1094"/>
  <c r="AJ59" i="1094"/>
  <c r="AI59" i="1094"/>
  <c r="AH59" i="1094"/>
  <c r="AG59" i="1094"/>
  <c r="AF59" i="1094"/>
  <c r="AE59" i="1094"/>
  <c r="AD59" i="1094"/>
  <c r="AC59" i="1094"/>
  <c r="AB59" i="1094"/>
  <c r="AX58" i="1094"/>
  <c r="AW58" i="1094"/>
  <c r="AV58" i="1094"/>
  <c r="AU58" i="1094"/>
  <c r="AT58" i="1094"/>
  <c r="AS58" i="1094"/>
  <c r="AR58" i="1094"/>
  <c r="AQ58" i="1094"/>
  <c r="AP58" i="1094"/>
  <c r="AO58" i="1094"/>
  <c r="AN58" i="1094"/>
  <c r="AM58" i="1094"/>
  <c r="AL58" i="1094"/>
  <c r="AK58" i="1094"/>
  <c r="AJ58" i="1094"/>
  <c r="AI58" i="1094"/>
  <c r="AH58" i="1094"/>
  <c r="AG58" i="1094"/>
  <c r="AF58" i="1094"/>
  <c r="AE58" i="1094"/>
  <c r="AD58" i="1094"/>
  <c r="AC58" i="1094"/>
  <c r="AB58" i="1094"/>
  <c r="AX57" i="1094"/>
  <c r="AW57" i="1094"/>
  <c r="AV57" i="1094"/>
  <c r="AU57" i="1094"/>
  <c r="AT57" i="1094"/>
  <c r="AS57" i="1094"/>
  <c r="AR57" i="1094"/>
  <c r="AQ57" i="1094"/>
  <c r="AP57" i="1094"/>
  <c r="AO57" i="1094"/>
  <c r="AN57" i="1094"/>
  <c r="AM57" i="1094"/>
  <c r="AL57" i="1094"/>
  <c r="AK57" i="1094"/>
  <c r="AJ57" i="1094"/>
  <c r="AI57" i="1094"/>
  <c r="AH57" i="1094"/>
  <c r="AG57" i="1094"/>
  <c r="AF57" i="1094"/>
  <c r="AE57" i="1094"/>
  <c r="AD57" i="1094"/>
  <c r="AC57" i="1094"/>
  <c r="AB57" i="1094"/>
  <c r="B57" i="1094"/>
  <c r="K52" i="1094"/>
  <c r="Z39" i="1094"/>
  <c r="Y39" i="1094"/>
  <c r="X39" i="1094"/>
  <c r="W39" i="1094"/>
  <c r="V39" i="1094"/>
  <c r="U39" i="1094"/>
  <c r="T39" i="1094"/>
  <c r="S39" i="1094"/>
  <c r="R39" i="1094"/>
  <c r="Z38" i="1094"/>
  <c r="Y38" i="1094"/>
  <c r="X38" i="1094"/>
  <c r="W38" i="1094"/>
  <c r="V38" i="1094"/>
  <c r="U38" i="1094"/>
  <c r="T38" i="1094"/>
  <c r="S38" i="1094"/>
  <c r="R38" i="1094"/>
  <c r="Z37" i="1094"/>
  <c r="Y37" i="1094"/>
  <c r="X37" i="1094"/>
  <c r="W37" i="1094"/>
  <c r="V37" i="1094"/>
  <c r="U37" i="1094"/>
  <c r="T37" i="1094"/>
  <c r="S37" i="1094"/>
  <c r="R37" i="1094"/>
  <c r="Z36" i="1094"/>
  <c r="Y36" i="1094"/>
  <c r="X36" i="1094"/>
  <c r="W36" i="1094"/>
  <c r="V36" i="1094"/>
  <c r="U36" i="1094"/>
  <c r="T36" i="1094"/>
  <c r="S36" i="1094"/>
  <c r="R36" i="1094"/>
  <c r="Z35" i="1094"/>
  <c r="Y35" i="1094"/>
  <c r="X35" i="1094"/>
  <c r="W35" i="1094"/>
  <c r="V35" i="1094"/>
  <c r="U35" i="1094"/>
  <c r="T35" i="1094"/>
  <c r="S35" i="1094"/>
  <c r="R35" i="1094"/>
  <c r="Z34" i="1094"/>
  <c r="Y34" i="1094"/>
  <c r="X34" i="1094"/>
  <c r="W34" i="1094"/>
  <c r="V34" i="1094"/>
  <c r="U34" i="1094"/>
  <c r="T34" i="1094"/>
  <c r="S34" i="1094"/>
  <c r="R34" i="1094"/>
  <c r="M34" i="1094"/>
  <c r="L34" i="1094"/>
  <c r="K34" i="1094"/>
  <c r="Z33" i="1094"/>
  <c r="Y33" i="1094"/>
  <c r="X33" i="1094"/>
  <c r="W33" i="1094"/>
  <c r="V33" i="1094"/>
  <c r="U33" i="1094"/>
  <c r="T33" i="1094"/>
  <c r="S33" i="1094"/>
  <c r="R33" i="1094"/>
  <c r="M33" i="1094"/>
  <c r="Z32" i="1094"/>
  <c r="Y32" i="1094"/>
  <c r="X32" i="1094"/>
  <c r="W32" i="1094"/>
  <c r="V32" i="1094"/>
  <c r="U32" i="1094"/>
  <c r="T32" i="1094"/>
  <c r="S32" i="1094"/>
  <c r="R32" i="1094"/>
  <c r="M31" i="1094"/>
  <c r="M30" i="1094"/>
  <c r="L30" i="1094"/>
  <c r="K30" i="1094"/>
  <c r="L48" i="1093"/>
  <c r="K33" i="1093"/>
  <c r="C17" i="1093"/>
  <c r="D17" i="1093"/>
  <c r="E17" i="1093"/>
  <c r="F17" i="1093"/>
  <c r="G17" i="1093"/>
  <c r="I17" i="1093"/>
  <c r="J17" i="1093"/>
  <c r="K17" i="1093"/>
  <c r="L17" i="1093"/>
  <c r="M17" i="1093"/>
  <c r="N17" i="1093"/>
  <c r="O17" i="1093"/>
  <c r="C11" i="1093"/>
  <c r="D11" i="1093"/>
  <c r="E11" i="1093"/>
  <c r="F11" i="1093"/>
  <c r="G11" i="1093"/>
  <c r="I11" i="1093"/>
  <c r="J11" i="1093"/>
  <c r="L11" i="1093"/>
  <c r="M11" i="1093"/>
  <c r="N11" i="1093"/>
  <c r="O11" i="1093"/>
  <c r="C12" i="1093"/>
  <c r="D12" i="1093"/>
  <c r="E12" i="1093"/>
  <c r="F12" i="1093"/>
  <c r="G12" i="1093"/>
  <c r="I12" i="1093"/>
  <c r="J12" i="1093"/>
  <c r="K12" i="1093"/>
  <c r="L12" i="1093"/>
  <c r="M12" i="1093"/>
  <c r="N12" i="1093"/>
  <c r="O12" i="1093"/>
  <c r="C13" i="1093"/>
  <c r="D13" i="1093"/>
  <c r="E13" i="1093"/>
  <c r="F13" i="1093"/>
  <c r="G13" i="1093"/>
  <c r="K13" i="1093"/>
  <c r="L13" i="1093"/>
  <c r="M13" i="1093"/>
  <c r="N13" i="1093"/>
  <c r="O13" i="1093"/>
  <c r="C14" i="1093"/>
  <c r="D14" i="1093"/>
  <c r="E14" i="1093"/>
  <c r="F14" i="1093"/>
  <c r="G14" i="1093"/>
  <c r="I14" i="1093"/>
  <c r="J14" i="1093"/>
  <c r="K14" i="1093"/>
  <c r="L14" i="1093"/>
  <c r="M14" i="1093"/>
  <c r="N14" i="1093"/>
  <c r="O14" i="1093"/>
  <c r="C15" i="1093"/>
  <c r="D15" i="1093"/>
  <c r="E15" i="1093"/>
  <c r="F15" i="1093"/>
  <c r="G15" i="1093"/>
  <c r="I15" i="1093"/>
  <c r="J15" i="1093"/>
  <c r="K15" i="1093"/>
  <c r="L15" i="1093"/>
  <c r="M15" i="1093"/>
  <c r="N15" i="1093"/>
  <c r="O15" i="1093"/>
  <c r="C16" i="1093"/>
  <c r="D16" i="1093"/>
  <c r="E16" i="1093"/>
  <c r="F16" i="1093"/>
  <c r="G16" i="1093"/>
  <c r="I16" i="1093"/>
  <c r="J16" i="1093"/>
  <c r="K16" i="1093"/>
  <c r="L16" i="1093"/>
  <c r="M16" i="1093"/>
  <c r="N16" i="1093"/>
  <c r="O16" i="1093"/>
  <c r="O10" i="1093"/>
  <c r="N10" i="1093"/>
  <c r="M10" i="1093"/>
  <c r="L10" i="1093"/>
  <c r="K10" i="1093"/>
  <c r="J10" i="1093"/>
  <c r="I10" i="1093"/>
  <c r="G10" i="1093"/>
  <c r="F10" i="1093"/>
  <c r="E10" i="1093"/>
  <c r="D10" i="1093"/>
  <c r="C10" i="1093"/>
  <c r="M34" i="1093"/>
  <c r="L34" i="1093"/>
  <c r="K34" i="1093"/>
  <c r="C20" i="1093"/>
  <c r="D20" i="1093"/>
  <c r="E20" i="1093"/>
  <c r="F20" i="1093"/>
  <c r="G20" i="1093"/>
  <c r="I20" i="1093"/>
  <c r="J20" i="1093"/>
  <c r="L20" i="1093"/>
  <c r="M20" i="1093"/>
  <c r="N20" i="1093"/>
  <c r="O20" i="1093"/>
  <c r="C21" i="1093"/>
  <c r="D21" i="1093"/>
  <c r="E21" i="1093"/>
  <c r="F21" i="1093"/>
  <c r="G21" i="1093"/>
  <c r="I21" i="1093"/>
  <c r="J21" i="1093"/>
  <c r="L21" i="1093"/>
  <c r="M21" i="1093"/>
  <c r="N21" i="1093"/>
  <c r="O21" i="1093"/>
  <c r="C22" i="1093"/>
  <c r="D22" i="1093"/>
  <c r="E22" i="1093"/>
  <c r="F22" i="1093"/>
  <c r="G22" i="1093"/>
  <c r="I22" i="1093"/>
  <c r="J22" i="1093"/>
  <c r="L22" i="1093"/>
  <c r="M22" i="1093"/>
  <c r="N22" i="1093"/>
  <c r="O22" i="1093"/>
  <c r="C23" i="1093"/>
  <c r="D23" i="1093"/>
  <c r="E23" i="1093"/>
  <c r="F23" i="1093"/>
  <c r="G23" i="1093"/>
  <c r="I23" i="1093"/>
  <c r="J23" i="1093"/>
  <c r="L23" i="1093"/>
  <c r="M23" i="1093"/>
  <c r="N23" i="1093"/>
  <c r="O23" i="1093"/>
  <c r="C24" i="1093"/>
  <c r="D24" i="1093"/>
  <c r="E24" i="1093"/>
  <c r="F24" i="1093"/>
  <c r="G24" i="1093"/>
  <c r="I24" i="1093"/>
  <c r="J24" i="1093"/>
  <c r="L24" i="1093"/>
  <c r="M24" i="1093"/>
  <c r="N24" i="1093"/>
  <c r="O24" i="1093"/>
  <c r="C25" i="1093"/>
  <c r="D25" i="1093"/>
  <c r="E25" i="1093"/>
  <c r="F25" i="1093"/>
  <c r="G25" i="1093"/>
  <c r="I25" i="1093"/>
  <c r="J25" i="1093"/>
  <c r="L25" i="1093"/>
  <c r="M25" i="1093"/>
  <c r="N25" i="1093"/>
  <c r="O25" i="1093"/>
  <c r="C26" i="1093"/>
  <c r="D26" i="1093"/>
  <c r="E26" i="1093"/>
  <c r="F26" i="1093"/>
  <c r="G26" i="1093"/>
  <c r="I26" i="1093"/>
  <c r="J26" i="1093"/>
  <c r="L26" i="1093"/>
  <c r="M26" i="1093"/>
  <c r="N26" i="1093"/>
  <c r="O26" i="1093"/>
  <c r="N19" i="1093"/>
  <c r="O19" i="1093"/>
  <c r="M19" i="1093"/>
  <c r="L19" i="1093"/>
  <c r="J19" i="1093"/>
  <c r="I19" i="1093"/>
  <c r="J34" i="1093" s="1"/>
  <c r="G19" i="1093"/>
  <c r="F19" i="1093"/>
  <c r="E19" i="1093"/>
  <c r="D19" i="1093"/>
  <c r="C19" i="1093"/>
  <c r="AX64" i="1093"/>
  <c r="AW64" i="1093"/>
  <c r="AV64" i="1093"/>
  <c r="AU64" i="1093"/>
  <c r="AT64" i="1093"/>
  <c r="AS64" i="1093"/>
  <c r="AR64" i="1093"/>
  <c r="AQ64" i="1093"/>
  <c r="AP64" i="1093"/>
  <c r="AO64" i="1093"/>
  <c r="AN64" i="1093"/>
  <c r="AM64" i="1093"/>
  <c r="AL64" i="1093"/>
  <c r="AK64" i="1093"/>
  <c r="AJ64" i="1093"/>
  <c r="AI64" i="1093"/>
  <c r="AH64" i="1093"/>
  <c r="AG64" i="1093"/>
  <c r="AF64" i="1093"/>
  <c r="AE64" i="1093"/>
  <c r="AD64" i="1093"/>
  <c r="AC64" i="1093"/>
  <c r="AB64" i="1093"/>
  <c r="L64" i="1093"/>
  <c r="B64" i="1093"/>
  <c r="AX63" i="1093"/>
  <c r="AW63" i="1093"/>
  <c r="AV63" i="1093"/>
  <c r="AU63" i="1093"/>
  <c r="AT63" i="1093"/>
  <c r="AS63" i="1093"/>
  <c r="AR63" i="1093"/>
  <c r="AQ63" i="1093"/>
  <c r="AP63" i="1093"/>
  <c r="AO63" i="1093"/>
  <c r="AN63" i="1093"/>
  <c r="AM63" i="1093"/>
  <c r="AL63" i="1093"/>
  <c r="AK63" i="1093"/>
  <c r="AJ63" i="1093"/>
  <c r="AI63" i="1093"/>
  <c r="AH63" i="1093"/>
  <c r="AG63" i="1093"/>
  <c r="AF63" i="1093"/>
  <c r="AE63" i="1093"/>
  <c r="AD63" i="1093"/>
  <c r="AC63" i="1093"/>
  <c r="AB63" i="1093"/>
  <c r="AX62" i="1093"/>
  <c r="AW62" i="1093"/>
  <c r="AV62" i="1093"/>
  <c r="AU62" i="1093"/>
  <c r="AT62" i="1093"/>
  <c r="AS62" i="1093"/>
  <c r="AR62" i="1093"/>
  <c r="AQ62" i="1093"/>
  <c r="AP62" i="1093"/>
  <c r="AO62" i="1093"/>
  <c r="AN62" i="1093"/>
  <c r="AM62" i="1093"/>
  <c r="AL62" i="1093"/>
  <c r="AK62" i="1093"/>
  <c r="AJ62" i="1093"/>
  <c r="AI62" i="1093"/>
  <c r="AH62" i="1093"/>
  <c r="AG62" i="1093"/>
  <c r="AF62" i="1093"/>
  <c r="AE62" i="1093"/>
  <c r="AD62" i="1093"/>
  <c r="AC62" i="1093"/>
  <c r="AB62" i="1093"/>
  <c r="L62" i="1093"/>
  <c r="B62" i="1093"/>
  <c r="K57" i="1093"/>
  <c r="Z44" i="1093"/>
  <c r="Y44" i="1093"/>
  <c r="X44" i="1093"/>
  <c r="W44" i="1093"/>
  <c r="V44" i="1093"/>
  <c r="U44" i="1093"/>
  <c r="T44" i="1093"/>
  <c r="S44" i="1093"/>
  <c r="R44" i="1093"/>
  <c r="Z43" i="1093"/>
  <c r="Y43" i="1093"/>
  <c r="X43" i="1093"/>
  <c r="W43" i="1093"/>
  <c r="V43" i="1093"/>
  <c r="U43" i="1093"/>
  <c r="T43" i="1093"/>
  <c r="S43" i="1093"/>
  <c r="R43" i="1093"/>
  <c r="Z42" i="1093"/>
  <c r="Y42" i="1093"/>
  <c r="X42" i="1093"/>
  <c r="W42" i="1093"/>
  <c r="V42" i="1093"/>
  <c r="U42" i="1093"/>
  <c r="T42" i="1093"/>
  <c r="S42" i="1093"/>
  <c r="R42" i="1093"/>
  <c r="Z41" i="1093"/>
  <c r="Y41" i="1093"/>
  <c r="X41" i="1093"/>
  <c r="W41" i="1093"/>
  <c r="V41" i="1093"/>
  <c r="U41" i="1093"/>
  <c r="T41" i="1093"/>
  <c r="S41" i="1093"/>
  <c r="R41" i="1093"/>
  <c r="Z40" i="1093"/>
  <c r="Y40" i="1093"/>
  <c r="X40" i="1093"/>
  <c r="W40" i="1093"/>
  <c r="V40" i="1093"/>
  <c r="U40" i="1093"/>
  <c r="T40" i="1093"/>
  <c r="S40" i="1093"/>
  <c r="R40" i="1093"/>
  <c r="Z39" i="1093"/>
  <c r="Y39" i="1093"/>
  <c r="X39" i="1093"/>
  <c r="W39" i="1093"/>
  <c r="V39" i="1093"/>
  <c r="U39" i="1093"/>
  <c r="T39" i="1093"/>
  <c r="S39" i="1093"/>
  <c r="R39" i="1093"/>
  <c r="M39" i="1093"/>
  <c r="L39" i="1093"/>
  <c r="K39" i="1093"/>
  <c r="Z38" i="1093"/>
  <c r="Y38" i="1093"/>
  <c r="X38" i="1093"/>
  <c r="W38" i="1093"/>
  <c r="V38" i="1093"/>
  <c r="U38" i="1093"/>
  <c r="T38" i="1093"/>
  <c r="S38" i="1093"/>
  <c r="R38" i="1093"/>
  <c r="M38" i="1093"/>
  <c r="Z37" i="1093"/>
  <c r="Y37" i="1093"/>
  <c r="X37" i="1093"/>
  <c r="W37" i="1093"/>
  <c r="V37" i="1093"/>
  <c r="U37" i="1093"/>
  <c r="T37" i="1093"/>
  <c r="S37" i="1093"/>
  <c r="R37" i="1093"/>
  <c r="Z36" i="1093"/>
  <c r="Y36" i="1093"/>
  <c r="X36" i="1093"/>
  <c r="W36" i="1093"/>
  <c r="V36" i="1093"/>
  <c r="U36" i="1093"/>
  <c r="T36" i="1093"/>
  <c r="S36" i="1093"/>
  <c r="R36" i="1093"/>
  <c r="M36" i="1093"/>
  <c r="Z35" i="1093"/>
  <c r="Y35" i="1093"/>
  <c r="X35" i="1093"/>
  <c r="W35" i="1093"/>
  <c r="V35" i="1093"/>
  <c r="U35" i="1093"/>
  <c r="T35" i="1093"/>
  <c r="S35" i="1093"/>
  <c r="R35" i="1093"/>
  <c r="M35" i="1093"/>
  <c r="L35" i="1093"/>
  <c r="K35" i="1093"/>
  <c r="Z34" i="1093"/>
  <c r="Y34" i="1093"/>
  <c r="X34" i="1093"/>
  <c r="W34" i="1093"/>
  <c r="V34" i="1093"/>
  <c r="U34" i="1093"/>
  <c r="T34" i="1093"/>
  <c r="S34" i="1093"/>
  <c r="R34" i="1093"/>
  <c r="Z32" i="1093"/>
  <c r="Y32" i="1093"/>
  <c r="X32" i="1093"/>
  <c r="W32" i="1093"/>
  <c r="V32" i="1093"/>
  <c r="U32" i="1093"/>
  <c r="T32" i="1093"/>
  <c r="S32" i="1093"/>
  <c r="R32" i="1093"/>
  <c r="Z31" i="1093"/>
  <c r="Y31" i="1093"/>
  <c r="X31" i="1093"/>
  <c r="W31" i="1093"/>
  <c r="V31" i="1093"/>
  <c r="U31" i="1093"/>
  <c r="T31" i="1093"/>
  <c r="S31" i="1093"/>
  <c r="R31" i="1093"/>
  <c r="Z30" i="1093"/>
  <c r="Y30" i="1093"/>
  <c r="X30" i="1093"/>
  <c r="W30" i="1093"/>
  <c r="V30" i="1093"/>
  <c r="U30" i="1093"/>
  <c r="T30" i="1093"/>
  <c r="S30" i="1093"/>
  <c r="R30" i="1093"/>
  <c r="Z29" i="1093"/>
  <c r="Y29" i="1093"/>
  <c r="X29" i="1093"/>
  <c r="W29" i="1093"/>
  <c r="V29" i="1093"/>
  <c r="U29" i="1093"/>
  <c r="T29" i="1093"/>
  <c r="S29" i="1093"/>
  <c r="R29" i="1093"/>
  <c r="Z28" i="1093"/>
  <c r="Y28" i="1093"/>
  <c r="X28" i="1093"/>
  <c r="W28" i="1093"/>
  <c r="V28" i="1093"/>
  <c r="U28" i="1093"/>
  <c r="T28" i="1093"/>
  <c r="S28" i="1093"/>
  <c r="R28" i="1093"/>
  <c r="Z27" i="1093"/>
  <c r="Y27" i="1093"/>
  <c r="X27" i="1093"/>
  <c r="W27" i="1093"/>
  <c r="V27" i="1093"/>
  <c r="U27" i="1093"/>
  <c r="T27" i="1093"/>
  <c r="S27" i="1093"/>
  <c r="R27" i="1093"/>
  <c r="Z26" i="1093"/>
  <c r="Y26" i="1093"/>
  <c r="X26" i="1093"/>
  <c r="W26" i="1093"/>
  <c r="V26" i="1093"/>
  <c r="U26" i="1093"/>
  <c r="T26" i="1093"/>
  <c r="S26" i="1093"/>
  <c r="R26" i="1093"/>
  <c r="Z25" i="1093"/>
  <c r="Y25" i="1093"/>
  <c r="X25" i="1093"/>
  <c r="W25" i="1093"/>
  <c r="V25" i="1093"/>
  <c r="U25" i="1093"/>
  <c r="T25" i="1093"/>
  <c r="S25" i="1093"/>
  <c r="R25" i="1093"/>
  <c r="Z24" i="1093"/>
  <c r="Y24" i="1093"/>
  <c r="X24" i="1093"/>
  <c r="W24" i="1093"/>
  <c r="V24" i="1093"/>
  <c r="U24" i="1093"/>
  <c r="T24" i="1093"/>
  <c r="S24" i="1093"/>
  <c r="R24" i="1093"/>
  <c r="Z23" i="1093"/>
  <c r="Y23" i="1093"/>
  <c r="X23" i="1093"/>
  <c r="W23" i="1093"/>
  <c r="V23" i="1093"/>
  <c r="U23" i="1093"/>
  <c r="T23" i="1093"/>
  <c r="S23" i="1093"/>
  <c r="R23" i="1093"/>
  <c r="Z22" i="1093"/>
  <c r="Y22" i="1093"/>
  <c r="X22" i="1093"/>
  <c r="W22" i="1093"/>
  <c r="V22" i="1093"/>
  <c r="U22" i="1093"/>
  <c r="T22" i="1093"/>
  <c r="S22" i="1093"/>
  <c r="R22" i="1093"/>
  <c r="Z21" i="1093"/>
  <c r="Y21" i="1093"/>
  <c r="X21" i="1093"/>
  <c r="W21" i="1093"/>
  <c r="V21" i="1093"/>
  <c r="U21" i="1093"/>
  <c r="T21" i="1093"/>
  <c r="S21" i="1093"/>
  <c r="R21" i="1093"/>
  <c r="Z20" i="1093"/>
  <c r="Y20" i="1093"/>
  <c r="X20" i="1093"/>
  <c r="W20" i="1093"/>
  <c r="V20" i="1093"/>
  <c r="U20" i="1093"/>
  <c r="T20" i="1093"/>
  <c r="S20" i="1093"/>
  <c r="R20" i="1093"/>
  <c r="Z19" i="1093"/>
  <c r="Y19" i="1093"/>
  <c r="X19" i="1093"/>
  <c r="W19" i="1093"/>
  <c r="V19" i="1093"/>
  <c r="U19" i="1093"/>
  <c r="T19" i="1093"/>
  <c r="S19" i="1093"/>
  <c r="R19" i="1093"/>
  <c r="M25" i="1092"/>
  <c r="L25" i="1092"/>
  <c r="K25" i="1092"/>
  <c r="C16" i="1092"/>
  <c r="D16" i="1092"/>
  <c r="E16" i="1092"/>
  <c r="F16" i="1092"/>
  <c r="G16" i="1092"/>
  <c r="J16" i="1092"/>
  <c r="L16" i="1092"/>
  <c r="M16" i="1092"/>
  <c r="N16" i="1092"/>
  <c r="O16" i="1092"/>
  <c r="B55" i="1092"/>
  <c r="C36" i="1092"/>
  <c r="C37" i="1092"/>
  <c r="C38" i="1092"/>
  <c r="C39" i="1092"/>
  <c r="C40" i="1092"/>
  <c r="C41" i="1092"/>
  <c r="C42" i="1092"/>
  <c r="C43" i="1092"/>
  <c r="K16" i="1092"/>
  <c r="K19" i="1093"/>
  <c r="K20" i="1093"/>
  <c r="K21" i="1093"/>
  <c r="K22" i="1093"/>
  <c r="K23" i="1093"/>
  <c r="K24" i="1093"/>
  <c r="K25" i="1093"/>
  <c r="K26" i="1093"/>
  <c r="K59" i="1094"/>
  <c r="K71" i="1094" s="1"/>
  <c r="K57" i="1094"/>
  <c r="K70" i="1094" s="1"/>
  <c r="J43" i="1096" l="1"/>
  <c r="C32" i="1096"/>
  <c r="K44" i="1096"/>
  <c r="K53" i="1096" s="1"/>
  <c r="J32" i="1096"/>
  <c r="J33" i="1096"/>
  <c r="J34" i="1096"/>
  <c r="D59" i="1094"/>
  <c r="L59" i="1094" s="1"/>
  <c r="C71" i="1094" s="1"/>
  <c r="G71" i="1094"/>
  <c r="D64" i="1095"/>
  <c r="L64" i="1095" s="1"/>
  <c r="C78" i="1095" s="1"/>
  <c r="G78" i="1095"/>
  <c r="K45" i="1095"/>
  <c r="Z43" i="1096"/>
  <c r="Y43" i="1096"/>
  <c r="X43" i="1096"/>
  <c r="W43" i="1096"/>
  <c r="V43" i="1096"/>
  <c r="U43" i="1096"/>
  <c r="T43" i="1096"/>
  <c r="S43" i="1096"/>
  <c r="R43" i="1096"/>
  <c r="J20" i="1095"/>
  <c r="J19" i="1095"/>
  <c r="I18" i="1095"/>
  <c r="J18" i="1095"/>
  <c r="I19" i="1095"/>
  <c r="J24" i="1095"/>
  <c r="J17" i="1094"/>
  <c r="I21" i="1095"/>
  <c r="J21" i="1095"/>
  <c r="J22" i="1095"/>
  <c r="I22" i="1095"/>
  <c r="J23" i="1095"/>
  <c r="D55" i="1092"/>
  <c r="D57" i="1094"/>
  <c r="L57" i="1094" s="1"/>
  <c r="C70" i="1094" s="1"/>
  <c r="G70" i="1094"/>
  <c r="I15" i="1094"/>
  <c r="I16" i="1094"/>
  <c r="J16" i="1094"/>
  <c r="J15" i="1094"/>
  <c r="J13" i="1093"/>
  <c r="I13" i="1093"/>
  <c r="J33" i="1093" s="1"/>
  <c r="J10" i="1094"/>
  <c r="J11" i="1094"/>
  <c r="I12" i="1094"/>
  <c r="M48" i="1093"/>
  <c r="K38" i="1094"/>
  <c r="K43" i="1093"/>
  <c r="Y33" i="1093"/>
  <c r="U33" i="1093"/>
  <c r="T33" i="1093"/>
  <c r="S33" i="1093"/>
  <c r="Z33" i="1093"/>
  <c r="X33" i="1093"/>
  <c r="W33" i="1093"/>
  <c r="V33" i="1093"/>
  <c r="R33" i="1093"/>
  <c r="I16" i="1092"/>
  <c r="I34" i="1096" l="1"/>
  <c r="M44" i="1096"/>
  <c r="I32" i="1096"/>
  <c r="J44" i="1096" s="1"/>
  <c r="G72" i="1092"/>
  <c r="I24" i="1095"/>
  <c r="I23" i="1095"/>
  <c r="I20" i="1095"/>
  <c r="J35" i="1095" s="1"/>
  <c r="L45" i="1095"/>
  <c r="M45" i="1095" s="1"/>
  <c r="I17" i="1094"/>
  <c r="J28" i="1094" s="1"/>
  <c r="I11" i="1094"/>
  <c r="B36" i="1092"/>
  <c r="G53" i="1092"/>
  <c r="I33" i="1096" l="1"/>
  <c r="L44" i="1096"/>
  <c r="L53" i="1096" s="1"/>
  <c r="M53" i="1096" s="1"/>
  <c r="L29" i="1094"/>
  <c r="M29" i="1094"/>
  <c r="I10" i="1094"/>
  <c r="J29" i="1094" s="1"/>
  <c r="C24" i="1092"/>
  <c r="C25" i="1092"/>
  <c r="C26" i="1092"/>
  <c r="C27" i="1092"/>
  <c r="C28" i="1092"/>
  <c r="C29" i="1092"/>
  <c r="C30" i="1092"/>
  <c r="C31" i="1092"/>
  <c r="C11" i="1092"/>
  <c r="D11" i="1092"/>
  <c r="E11" i="1092"/>
  <c r="F11" i="1092"/>
  <c r="G11" i="1092"/>
  <c r="I11" i="1092"/>
  <c r="J11" i="1092"/>
  <c r="K11" i="1092"/>
  <c r="L11" i="1092"/>
  <c r="M11" i="1092"/>
  <c r="N11" i="1092"/>
  <c r="O11" i="1092"/>
  <c r="C12" i="1092"/>
  <c r="D12" i="1092"/>
  <c r="E12" i="1092"/>
  <c r="F12" i="1092"/>
  <c r="G12" i="1092"/>
  <c r="I12" i="1092"/>
  <c r="J12" i="1092"/>
  <c r="K12" i="1092"/>
  <c r="L12" i="1092"/>
  <c r="M12" i="1092"/>
  <c r="N12" i="1092"/>
  <c r="O12" i="1092"/>
  <c r="C13" i="1092"/>
  <c r="D13" i="1092"/>
  <c r="E13" i="1092"/>
  <c r="F13" i="1092"/>
  <c r="G13" i="1092"/>
  <c r="I13" i="1092"/>
  <c r="J13" i="1092"/>
  <c r="K13" i="1092"/>
  <c r="L13" i="1092"/>
  <c r="M13" i="1092"/>
  <c r="N13" i="1092"/>
  <c r="O13" i="1092"/>
  <c r="C14" i="1092"/>
  <c r="D14" i="1092"/>
  <c r="E14" i="1092"/>
  <c r="F14" i="1092"/>
  <c r="G14" i="1092"/>
  <c r="I14" i="1092"/>
  <c r="J14" i="1092"/>
  <c r="K14" i="1092"/>
  <c r="L14" i="1092"/>
  <c r="M14" i="1092"/>
  <c r="N14" i="1092"/>
  <c r="O14" i="1092"/>
  <c r="C15" i="1092"/>
  <c r="D15" i="1092"/>
  <c r="E15" i="1092"/>
  <c r="F15" i="1092"/>
  <c r="G15" i="1092"/>
  <c r="I15" i="1092"/>
  <c r="J15" i="1092"/>
  <c r="K15" i="1092"/>
  <c r="L15" i="1092"/>
  <c r="M15" i="1092"/>
  <c r="N15" i="1092"/>
  <c r="O15" i="1092"/>
  <c r="O10" i="1092"/>
  <c r="N10" i="1092"/>
  <c r="M10" i="1092"/>
  <c r="L10" i="1092"/>
  <c r="K10" i="1092"/>
  <c r="J10" i="1092"/>
  <c r="I10" i="1092"/>
  <c r="G10" i="1092"/>
  <c r="F10" i="1092"/>
  <c r="E10" i="1092"/>
  <c r="D10" i="1092"/>
  <c r="C10" i="1092"/>
  <c r="AX55" i="1092"/>
  <c r="AW55" i="1092"/>
  <c r="AV55" i="1092"/>
  <c r="AU55" i="1092"/>
  <c r="AT55" i="1092"/>
  <c r="AS55" i="1092"/>
  <c r="AR55" i="1092"/>
  <c r="AQ55" i="1092"/>
  <c r="AP55" i="1092"/>
  <c r="AO55" i="1092"/>
  <c r="AN55" i="1092"/>
  <c r="AM55" i="1092"/>
  <c r="AL55" i="1092"/>
  <c r="AK55" i="1092"/>
  <c r="AJ55" i="1092"/>
  <c r="AI55" i="1092"/>
  <c r="AH55" i="1092"/>
  <c r="AG55" i="1092"/>
  <c r="AF55" i="1092"/>
  <c r="AE55" i="1092"/>
  <c r="AD55" i="1092"/>
  <c r="AC55" i="1092"/>
  <c r="AB55" i="1092"/>
  <c r="AX54" i="1092"/>
  <c r="AW54" i="1092"/>
  <c r="AV54" i="1092"/>
  <c r="AU54" i="1092"/>
  <c r="AT54" i="1092"/>
  <c r="AS54" i="1092"/>
  <c r="AR54" i="1092"/>
  <c r="AQ54" i="1092"/>
  <c r="AP54" i="1092"/>
  <c r="AO54" i="1092"/>
  <c r="AN54" i="1092"/>
  <c r="AM54" i="1092"/>
  <c r="AL54" i="1092"/>
  <c r="AK54" i="1092"/>
  <c r="AJ54" i="1092"/>
  <c r="AI54" i="1092"/>
  <c r="AH54" i="1092"/>
  <c r="AG54" i="1092"/>
  <c r="AF54" i="1092"/>
  <c r="AE54" i="1092"/>
  <c r="AD54" i="1092"/>
  <c r="AC54" i="1092"/>
  <c r="AB54" i="1092"/>
  <c r="AX53" i="1092"/>
  <c r="AW53" i="1092"/>
  <c r="AV53" i="1092"/>
  <c r="AU53" i="1092"/>
  <c r="AT53" i="1092"/>
  <c r="AS53" i="1092"/>
  <c r="AR53" i="1092"/>
  <c r="AQ53" i="1092"/>
  <c r="AP53" i="1092"/>
  <c r="AO53" i="1092"/>
  <c r="AN53" i="1092"/>
  <c r="AM53" i="1092"/>
  <c r="AL53" i="1092"/>
  <c r="AK53" i="1092"/>
  <c r="AJ53" i="1092"/>
  <c r="AI53" i="1092"/>
  <c r="AH53" i="1092"/>
  <c r="AG53" i="1092"/>
  <c r="AF53" i="1092"/>
  <c r="AE53" i="1092"/>
  <c r="AD53" i="1092"/>
  <c r="AC53" i="1092"/>
  <c r="AB53" i="1092"/>
  <c r="B53" i="1092"/>
  <c r="K48" i="1092"/>
  <c r="L39" i="1092" s="1"/>
  <c r="M39" i="1092" s="1"/>
  <c r="Z35" i="1092"/>
  <c r="Y35" i="1092"/>
  <c r="X35" i="1092"/>
  <c r="W35" i="1092"/>
  <c r="V35" i="1092"/>
  <c r="U35" i="1092"/>
  <c r="T35" i="1092"/>
  <c r="S35" i="1092"/>
  <c r="R35" i="1092"/>
  <c r="Z34" i="1092"/>
  <c r="Y34" i="1092"/>
  <c r="X34" i="1092"/>
  <c r="W34" i="1092"/>
  <c r="V34" i="1092"/>
  <c r="U34" i="1092"/>
  <c r="T34" i="1092"/>
  <c r="S34" i="1092"/>
  <c r="R34" i="1092"/>
  <c r="Z33" i="1092"/>
  <c r="Y33" i="1092"/>
  <c r="X33" i="1092"/>
  <c r="W33" i="1092"/>
  <c r="V33" i="1092"/>
  <c r="U33" i="1092"/>
  <c r="T33" i="1092"/>
  <c r="S33" i="1092"/>
  <c r="R33" i="1092"/>
  <c r="Z32" i="1092"/>
  <c r="Y32" i="1092"/>
  <c r="X32" i="1092"/>
  <c r="W32" i="1092"/>
  <c r="V32" i="1092"/>
  <c r="U32" i="1092"/>
  <c r="T32" i="1092"/>
  <c r="S32" i="1092"/>
  <c r="R32" i="1092"/>
  <c r="Z31" i="1092"/>
  <c r="Y31" i="1092"/>
  <c r="X31" i="1092"/>
  <c r="W31" i="1092"/>
  <c r="V31" i="1092"/>
  <c r="U31" i="1092"/>
  <c r="T31" i="1092"/>
  <c r="S31" i="1092"/>
  <c r="R31" i="1092"/>
  <c r="Z30" i="1092"/>
  <c r="Y30" i="1092"/>
  <c r="X30" i="1092"/>
  <c r="W30" i="1092"/>
  <c r="V30" i="1092"/>
  <c r="U30" i="1092"/>
  <c r="T30" i="1092"/>
  <c r="S30" i="1092"/>
  <c r="R30" i="1092"/>
  <c r="M30" i="1092"/>
  <c r="L30" i="1092"/>
  <c r="K30" i="1092"/>
  <c r="Z29" i="1092"/>
  <c r="Y29" i="1092"/>
  <c r="X29" i="1092"/>
  <c r="W29" i="1092"/>
  <c r="V29" i="1092"/>
  <c r="U29" i="1092"/>
  <c r="T29" i="1092"/>
  <c r="S29" i="1092"/>
  <c r="R29" i="1092"/>
  <c r="M29" i="1092"/>
  <c r="Z28" i="1092"/>
  <c r="Y28" i="1092"/>
  <c r="X28" i="1092"/>
  <c r="W28" i="1092"/>
  <c r="V28" i="1092"/>
  <c r="U28" i="1092"/>
  <c r="T28" i="1092"/>
  <c r="S28" i="1092"/>
  <c r="R28" i="1092"/>
  <c r="Z27" i="1092"/>
  <c r="Y27" i="1092"/>
  <c r="X27" i="1092"/>
  <c r="W27" i="1092"/>
  <c r="V27" i="1092"/>
  <c r="U27" i="1092"/>
  <c r="T27" i="1092"/>
  <c r="S27" i="1092"/>
  <c r="R27" i="1092"/>
  <c r="M27" i="1092"/>
  <c r="Z26" i="1092"/>
  <c r="Y26" i="1092"/>
  <c r="X26" i="1092"/>
  <c r="W26" i="1092"/>
  <c r="V26" i="1092"/>
  <c r="U26" i="1092"/>
  <c r="T26" i="1092"/>
  <c r="S26" i="1092"/>
  <c r="R26" i="1092"/>
  <c r="M26" i="1092"/>
  <c r="L26" i="1092"/>
  <c r="K26" i="1092"/>
  <c r="Z25" i="1092"/>
  <c r="Y25" i="1092"/>
  <c r="X25" i="1092"/>
  <c r="W25" i="1092"/>
  <c r="V25" i="1092"/>
  <c r="U25" i="1092"/>
  <c r="T25" i="1092"/>
  <c r="S25" i="1092"/>
  <c r="R25" i="1092"/>
  <c r="K24" i="1092"/>
  <c r="B24" i="1092"/>
  <c r="Z24" i="1092" s="1"/>
  <c r="Z23" i="1092"/>
  <c r="Y23" i="1092"/>
  <c r="X23" i="1092"/>
  <c r="W23" i="1092"/>
  <c r="V23" i="1092"/>
  <c r="U23" i="1092"/>
  <c r="T23" i="1092"/>
  <c r="S23" i="1092"/>
  <c r="R23" i="1092"/>
  <c r="Z22" i="1092"/>
  <c r="Y22" i="1092"/>
  <c r="X22" i="1092"/>
  <c r="W22" i="1092"/>
  <c r="V22" i="1092"/>
  <c r="U22" i="1092"/>
  <c r="T22" i="1092"/>
  <c r="S22" i="1092"/>
  <c r="R22" i="1092"/>
  <c r="Z21" i="1092"/>
  <c r="Y21" i="1092"/>
  <c r="X21" i="1092"/>
  <c r="W21" i="1092"/>
  <c r="V21" i="1092"/>
  <c r="U21" i="1092"/>
  <c r="T21" i="1092"/>
  <c r="S21" i="1092"/>
  <c r="R21" i="1092"/>
  <c r="Z20" i="1092"/>
  <c r="Y20" i="1092"/>
  <c r="X20" i="1092"/>
  <c r="W20" i="1092"/>
  <c r="V20" i="1092"/>
  <c r="U20" i="1092"/>
  <c r="T20" i="1092"/>
  <c r="S20" i="1092"/>
  <c r="R20" i="1092"/>
  <c r="Z19" i="1092"/>
  <c r="Y19" i="1092"/>
  <c r="X19" i="1092"/>
  <c r="W19" i="1092"/>
  <c r="V19" i="1092"/>
  <c r="U19" i="1092"/>
  <c r="T19" i="1092"/>
  <c r="S19" i="1092"/>
  <c r="R19" i="1092"/>
  <c r="Z18" i="1092"/>
  <c r="Y18" i="1092"/>
  <c r="X18" i="1092"/>
  <c r="W18" i="1092"/>
  <c r="V18" i="1092"/>
  <c r="U18" i="1092"/>
  <c r="T18" i="1092"/>
  <c r="S18" i="1092"/>
  <c r="R18" i="1092"/>
  <c r="Z17" i="1092"/>
  <c r="Y17" i="1092"/>
  <c r="X17" i="1092"/>
  <c r="W17" i="1092"/>
  <c r="V17" i="1092"/>
  <c r="U17" i="1092"/>
  <c r="T17" i="1092"/>
  <c r="S17" i="1092"/>
  <c r="R17" i="1092"/>
  <c r="Z16" i="1092"/>
  <c r="Y16" i="1092"/>
  <c r="X16" i="1092"/>
  <c r="W16" i="1092"/>
  <c r="V16" i="1092"/>
  <c r="U16" i="1092"/>
  <c r="T16" i="1092"/>
  <c r="S16" i="1092"/>
  <c r="R16" i="1092"/>
  <c r="Z15" i="1092"/>
  <c r="Y15" i="1092"/>
  <c r="X15" i="1092"/>
  <c r="W15" i="1092"/>
  <c r="V15" i="1092"/>
  <c r="U15" i="1092"/>
  <c r="T15" i="1092"/>
  <c r="S15" i="1092"/>
  <c r="R15" i="1092"/>
  <c r="Z14" i="1092"/>
  <c r="Y14" i="1092"/>
  <c r="X14" i="1092"/>
  <c r="W14" i="1092"/>
  <c r="V14" i="1092"/>
  <c r="U14" i="1092"/>
  <c r="T14" i="1092"/>
  <c r="S14" i="1092"/>
  <c r="R14" i="1092"/>
  <c r="Z13" i="1092"/>
  <c r="Y13" i="1092"/>
  <c r="X13" i="1092"/>
  <c r="W13" i="1092"/>
  <c r="V13" i="1092"/>
  <c r="U13" i="1092"/>
  <c r="T13" i="1092"/>
  <c r="S13" i="1092"/>
  <c r="R13" i="1092"/>
  <c r="Z12" i="1092"/>
  <c r="Y12" i="1092"/>
  <c r="X12" i="1092"/>
  <c r="W12" i="1092"/>
  <c r="V12" i="1092"/>
  <c r="U12" i="1092"/>
  <c r="T12" i="1092"/>
  <c r="S12" i="1092"/>
  <c r="R12" i="1092"/>
  <c r="Z11" i="1092"/>
  <c r="Y11" i="1092"/>
  <c r="X11" i="1092"/>
  <c r="W11" i="1092"/>
  <c r="V11" i="1092"/>
  <c r="U11" i="1092"/>
  <c r="T11" i="1092"/>
  <c r="S11" i="1092"/>
  <c r="R11" i="1092"/>
  <c r="Z10" i="1092"/>
  <c r="Y10" i="1092"/>
  <c r="X10" i="1092"/>
  <c r="W10" i="1092"/>
  <c r="V10" i="1092"/>
  <c r="U10" i="1092"/>
  <c r="T10" i="1092"/>
  <c r="S10" i="1092"/>
  <c r="R10" i="1092"/>
  <c r="C20" i="1091"/>
  <c r="D20" i="1091"/>
  <c r="E20" i="1091"/>
  <c r="F20" i="1091"/>
  <c r="G20" i="1091"/>
  <c r="I20" i="1091"/>
  <c r="J20" i="1091"/>
  <c r="K20" i="1091"/>
  <c r="L20" i="1091"/>
  <c r="M20" i="1091"/>
  <c r="N20" i="1091"/>
  <c r="O20" i="1091"/>
  <c r="J25" i="1092" l="1"/>
  <c r="G66" i="1092"/>
  <c r="D53" i="1092"/>
  <c r="L53" i="1092" s="1"/>
  <c r="C66" i="1092" s="1"/>
  <c r="L55" i="1092"/>
  <c r="C72" i="1092" s="1"/>
  <c r="K34" i="1092"/>
  <c r="S24" i="1092"/>
  <c r="U24" i="1092"/>
  <c r="R24" i="1092"/>
  <c r="T24" i="1092"/>
  <c r="V24" i="1092"/>
  <c r="W24" i="1092"/>
  <c r="Y24" i="1092"/>
  <c r="X24" i="1092"/>
  <c r="G66" i="1091"/>
  <c r="G53" i="1091"/>
  <c r="D53" i="1091"/>
  <c r="M30" i="1091" l="1"/>
  <c r="L30" i="1091"/>
  <c r="C24" i="1090"/>
  <c r="C25" i="1090"/>
  <c r="C26" i="1090"/>
  <c r="C27" i="1090"/>
  <c r="C28" i="1090"/>
  <c r="C29" i="1090"/>
  <c r="C30" i="1090"/>
  <c r="C31" i="1090"/>
  <c r="B24" i="1090" l="1"/>
  <c r="L39" i="1090"/>
  <c r="M30" i="1090"/>
  <c r="L30" i="1090"/>
  <c r="K30" i="1091"/>
  <c r="K30" i="1090"/>
  <c r="O19" i="1091"/>
  <c r="N19" i="1091"/>
  <c r="M19" i="1091"/>
  <c r="L19" i="1091"/>
  <c r="K19" i="1091"/>
  <c r="J19" i="1091"/>
  <c r="I19" i="1091"/>
  <c r="G19" i="1091"/>
  <c r="F19" i="1091"/>
  <c r="E19" i="1091"/>
  <c r="D19" i="1091"/>
  <c r="C19" i="1091"/>
  <c r="C24" i="1091"/>
  <c r="C25" i="1091"/>
  <c r="C26" i="1091"/>
  <c r="C27" i="1091"/>
  <c r="C28" i="1091"/>
  <c r="C29" i="1091"/>
  <c r="C30" i="1091"/>
  <c r="C31" i="1091"/>
  <c r="L24" i="1092" l="1"/>
  <c r="L34" i="1092" s="1"/>
  <c r="M34" i="1092" s="1"/>
  <c r="D55" i="1091"/>
  <c r="B24" i="1091"/>
  <c r="Z24" i="1091" s="1"/>
  <c r="AX55" i="1091"/>
  <c r="AW55" i="1091"/>
  <c r="AV55" i="1091"/>
  <c r="AU55" i="1091"/>
  <c r="AT55" i="1091"/>
  <c r="AS55" i="1091"/>
  <c r="AR55" i="1091"/>
  <c r="AQ55" i="1091"/>
  <c r="AP55" i="1091"/>
  <c r="AO55" i="1091"/>
  <c r="AN55" i="1091"/>
  <c r="AM55" i="1091"/>
  <c r="AL55" i="1091"/>
  <c r="AK55" i="1091"/>
  <c r="AJ55" i="1091"/>
  <c r="AI55" i="1091"/>
  <c r="AH55" i="1091"/>
  <c r="AG55" i="1091"/>
  <c r="AF55" i="1091"/>
  <c r="AE55" i="1091"/>
  <c r="AD55" i="1091"/>
  <c r="AC55" i="1091"/>
  <c r="AB55" i="1091"/>
  <c r="G55" i="1091"/>
  <c r="B55" i="1091"/>
  <c r="AX54" i="1091"/>
  <c r="AW54" i="1091"/>
  <c r="AV54" i="1091"/>
  <c r="AU54" i="1091"/>
  <c r="AT54" i="1091"/>
  <c r="AS54" i="1091"/>
  <c r="AR54" i="1091"/>
  <c r="AQ54" i="1091"/>
  <c r="AP54" i="1091"/>
  <c r="AO54" i="1091"/>
  <c r="AN54" i="1091"/>
  <c r="AM54" i="1091"/>
  <c r="AL54" i="1091"/>
  <c r="AK54" i="1091"/>
  <c r="AJ54" i="1091"/>
  <c r="AI54" i="1091"/>
  <c r="AH54" i="1091"/>
  <c r="AG54" i="1091"/>
  <c r="AF54" i="1091"/>
  <c r="AE54" i="1091"/>
  <c r="AD54" i="1091"/>
  <c r="AC54" i="1091"/>
  <c r="AB54" i="1091"/>
  <c r="AX53" i="1091"/>
  <c r="AW53" i="1091"/>
  <c r="AV53" i="1091"/>
  <c r="AU53" i="1091"/>
  <c r="AT53" i="1091"/>
  <c r="AS53" i="1091"/>
  <c r="AR53" i="1091"/>
  <c r="AQ53" i="1091"/>
  <c r="AP53" i="1091"/>
  <c r="AO53" i="1091"/>
  <c r="AN53" i="1091"/>
  <c r="AM53" i="1091"/>
  <c r="AL53" i="1091"/>
  <c r="AK53" i="1091"/>
  <c r="AJ53" i="1091"/>
  <c r="AI53" i="1091"/>
  <c r="AH53" i="1091"/>
  <c r="AG53" i="1091"/>
  <c r="AF53" i="1091"/>
  <c r="AE53" i="1091"/>
  <c r="AD53" i="1091"/>
  <c r="AC53" i="1091"/>
  <c r="AB53" i="1091"/>
  <c r="L53" i="1091"/>
  <c r="C66" i="1091" s="1"/>
  <c r="B53" i="1091"/>
  <c r="K48" i="1091"/>
  <c r="L39" i="1091" s="1"/>
  <c r="M39" i="1091" s="1"/>
  <c r="Z35" i="1091"/>
  <c r="Y35" i="1091"/>
  <c r="X35" i="1091"/>
  <c r="W35" i="1091"/>
  <c r="V35" i="1091"/>
  <c r="U35" i="1091"/>
  <c r="T35" i="1091"/>
  <c r="S35" i="1091"/>
  <c r="R35" i="1091"/>
  <c r="Z34" i="1091"/>
  <c r="Y34" i="1091"/>
  <c r="X34" i="1091"/>
  <c r="W34" i="1091"/>
  <c r="V34" i="1091"/>
  <c r="U34" i="1091"/>
  <c r="T34" i="1091"/>
  <c r="S34" i="1091"/>
  <c r="R34" i="1091"/>
  <c r="Z33" i="1091"/>
  <c r="Y33" i="1091"/>
  <c r="X33" i="1091"/>
  <c r="W33" i="1091"/>
  <c r="V33" i="1091"/>
  <c r="U33" i="1091"/>
  <c r="T33" i="1091"/>
  <c r="S33" i="1091"/>
  <c r="R33" i="1091"/>
  <c r="Z32" i="1091"/>
  <c r="Y32" i="1091"/>
  <c r="X32" i="1091"/>
  <c r="W32" i="1091"/>
  <c r="V32" i="1091"/>
  <c r="U32" i="1091"/>
  <c r="T32" i="1091"/>
  <c r="S32" i="1091"/>
  <c r="R32" i="1091"/>
  <c r="Z31" i="1091"/>
  <c r="Y31" i="1091"/>
  <c r="X31" i="1091"/>
  <c r="W31" i="1091"/>
  <c r="V31" i="1091"/>
  <c r="U31" i="1091"/>
  <c r="T31" i="1091"/>
  <c r="S31" i="1091"/>
  <c r="R31" i="1091"/>
  <c r="Z30" i="1091"/>
  <c r="Y30" i="1091"/>
  <c r="X30" i="1091"/>
  <c r="W30" i="1091"/>
  <c r="V30" i="1091"/>
  <c r="U30" i="1091"/>
  <c r="T30" i="1091"/>
  <c r="S30" i="1091"/>
  <c r="R30" i="1091"/>
  <c r="Z29" i="1091"/>
  <c r="Y29" i="1091"/>
  <c r="X29" i="1091"/>
  <c r="W29" i="1091"/>
  <c r="V29" i="1091"/>
  <c r="U29" i="1091"/>
  <c r="T29" i="1091"/>
  <c r="S29" i="1091"/>
  <c r="R29" i="1091"/>
  <c r="M29" i="1091"/>
  <c r="Z28" i="1091"/>
  <c r="Y28" i="1091"/>
  <c r="X28" i="1091"/>
  <c r="W28" i="1091"/>
  <c r="V28" i="1091"/>
  <c r="U28" i="1091"/>
  <c r="T28" i="1091"/>
  <c r="S28" i="1091"/>
  <c r="R28" i="1091"/>
  <c r="Z27" i="1091"/>
  <c r="Y27" i="1091"/>
  <c r="X27" i="1091"/>
  <c r="W27" i="1091"/>
  <c r="V27" i="1091"/>
  <c r="U27" i="1091"/>
  <c r="T27" i="1091"/>
  <c r="S27" i="1091"/>
  <c r="R27" i="1091"/>
  <c r="M27" i="1091"/>
  <c r="Z26" i="1091"/>
  <c r="Y26" i="1091"/>
  <c r="X26" i="1091"/>
  <c r="W26" i="1091"/>
  <c r="V26" i="1091"/>
  <c r="U26" i="1091"/>
  <c r="T26" i="1091"/>
  <c r="S26" i="1091"/>
  <c r="R26" i="1091"/>
  <c r="M26" i="1091"/>
  <c r="L26" i="1091"/>
  <c r="K26" i="1091"/>
  <c r="Z25" i="1091"/>
  <c r="Y25" i="1091"/>
  <c r="X25" i="1091"/>
  <c r="W25" i="1091"/>
  <c r="V25" i="1091"/>
  <c r="U25" i="1091"/>
  <c r="T25" i="1091"/>
  <c r="S25" i="1091"/>
  <c r="R25" i="1091"/>
  <c r="M25" i="1091"/>
  <c r="L25" i="1091"/>
  <c r="K25" i="1091"/>
  <c r="Y24" i="1091"/>
  <c r="X24" i="1091"/>
  <c r="W24" i="1091"/>
  <c r="V24" i="1091"/>
  <c r="U24" i="1091"/>
  <c r="T24" i="1091"/>
  <c r="S24" i="1091"/>
  <c r="R24" i="1091"/>
  <c r="L24" i="1091"/>
  <c r="K24" i="1091"/>
  <c r="Z23" i="1091"/>
  <c r="Y23" i="1091"/>
  <c r="X23" i="1091"/>
  <c r="W23" i="1091"/>
  <c r="V23" i="1091"/>
  <c r="U23" i="1091"/>
  <c r="T23" i="1091"/>
  <c r="S23" i="1091"/>
  <c r="R23" i="1091"/>
  <c r="Z22" i="1091"/>
  <c r="Y22" i="1091"/>
  <c r="X22" i="1091"/>
  <c r="W22" i="1091"/>
  <c r="V22" i="1091"/>
  <c r="U22" i="1091"/>
  <c r="T22" i="1091"/>
  <c r="S22" i="1091"/>
  <c r="R22" i="1091"/>
  <c r="Z21" i="1091"/>
  <c r="Y21" i="1091"/>
  <c r="X21" i="1091"/>
  <c r="W21" i="1091"/>
  <c r="V21" i="1091"/>
  <c r="U21" i="1091"/>
  <c r="T21" i="1091"/>
  <c r="S21" i="1091"/>
  <c r="R21" i="1091"/>
  <c r="Z20" i="1091"/>
  <c r="Y20" i="1091"/>
  <c r="X20" i="1091"/>
  <c r="W20" i="1091"/>
  <c r="V20" i="1091"/>
  <c r="U20" i="1091"/>
  <c r="T20" i="1091"/>
  <c r="S20" i="1091"/>
  <c r="R20" i="1091"/>
  <c r="Z19" i="1091"/>
  <c r="Y19" i="1091"/>
  <c r="X19" i="1091"/>
  <c r="W19" i="1091"/>
  <c r="V19" i="1091"/>
  <c r="U19" i="1091"/>
  <c r="T19" i="1091"/>
  <c r="S19" i="1091"/>
  <c r="R19" i="1091"/>
  <c r="Z18" i="1091"/>
  <c r="Y18" i="1091"/>
  <c r="X18" i="1091"/>
  <c r="W18" i="1091"/>
  <c r="V18" i="1091"/>
  <c r="U18" i="1091"/>
  <c r="T18" i="1091"/>
  <c r="S18" i="1091"/>
  <c r="R18" i="1091"/>
  <c r="Z17" i="1091"/>
  <c r="Y17" i="1091"/>
  <c r="X17" i="1091"/>
  <c r="W17" i="1091"/>
  <c r="V17" i="1091"/>
  <c r="U17" i="1091"/>
  <c r="T17" i="1091"/>
  <c r="S17" i="1091"/>
  <c r="R17" i="1091"/>
  <c r="O17" i="1091"/>
  <c r="N17" i="1091"/>
  <c r="M17" i="1091"/>
  <c r="L17" i="1091"/>
  <c r="J17" i="1091"/>
  <c r="I17" i="1091"/>
  <c r="G17" i="1091"/>
  <c r="F17" i="1091"/>
  <c r="E17" i="1091"/>
  <c r="D17" i="1091"/>
  <c r="C17" i="1091"/>
  <c r="Z16" i="1091"/>
  <c r="Y16" i="1091"/>
  <c r="X16" i="1091"/>
  <c r="W16" i="1091"/>
  <c r="V16" i="1091"/>
  <c r="U16" i="1091"/>
  <c r="T16" i="1091"/>
  <c r="S16" i="1091"/>
  <c r="R16" i="1091"/>
  <c r="O16" i="1091"/>
  <c r="N16" i="1091"/>
  <c r="M16" i="1091"/>
  <c r="L16" i="1091"/>
  <c r="J16" i="1091"/>
  <c r="I16" i="1091"/>
  <c r="G16" i="1091"/>
  <c r="F16" i="1091"/>
  <c r="E16" i="1091"/>
  <c r="D16" i="1091"/>
  <c r="C16" i="1091"/>
  <c r="Z15" i="1091"/>
  <c r="Y15" i="1091"/>
  <c r="X15" i="1091"/>
  <c r="W15" i="1091"/>
  <c r="V15" i="1091"/>
  <c r="U15" i="1091"/>
  <c r="T15" i="1091"/>
  <c r="S15" i="1091"/>
  <c r="R15" i="1091"/>
  <c r="O15" i="1091"/>
  <c r="N15" i="1091"/>
  <c r="M15" i="1091"/>
  <c r="L15" i="1091"/>
  <c r="J15" i="1091"/>
  <c r="I15" i="1091"/>
  <c r="G15" i="1091"/>
  <c r="F15" i="1091"/>
  <c r="E15" i="1091"/>
  <c r="D15" i="1091"/>
  <c r="C15" i="1091"/>
  <c r="Z14" i="1091"/>
  <c r="Y14" i="1091"/>
  <c r="X14" i="1091"/>
  <c r="W14" i="1091"/>
  <c r="V14" i="1091"/>
  <c r="U14" i="1091"/>
  <c r="T14" i="1091"/>
  <c r="S14" i="1091"/>
  <c r="R14" i="1091"/>
  <c r="O14" i="1091"/>
  <c r="N14" i="1091"/>
  <c r="M14" i="1091"/>
  <c r="L14" i="1091"/>
  <c r="J14" i="1091"/>
  <c r="I14" i="1091"/>
  <c r="J30" i="1091" s="1"/>
  <c r="G14" i="1091"/>
  <c r="F14" i="1091"/>
  <c r="E14" i="1091"/>
  <c r="D14" i="1091"/>
  <c r="C14" i="1091"/>
  <c r="Z13" i="1091"/>
  <c r="Y13" i="1091"/>
  <c r="X13" i="1091"/>
  <c r="W13" i="1091"/>
  <c r="V13" i="1091"/>
  <c r="U13" i="1091"/>
  <c r="T13" i="1091"/>
  <c r="S13" i="1091"/>
  <c r="R13" i="1091"/>
  <c r="Z12" i="1091"/>
  <c r="Y12" i="1091"/>
  <c r="X12" i="1091"/>
  <c r="W12" i="1091"/>
  <c r="V12" i="1091"/>
  <c r="U12" i="1091"/>
  <c r="T12" i="1091"/>
  <c r="S12" i="1091"/>
  <c r="R12" i="1091"/>
  <c r="Z11" i="1091"/>
  <c r="Y11" i="1091"/>
  <c r="X11" i="1091"/>
  <c r="W11" i="1091"/>
  <c r="V11" i="1091"/>
  <c r="U11" i="1091"/>
  <c r="T11" i="1091"/>
  <c r="S11" i="1091"/>
  <c r="R11" i="1091"/>
  <c r="Z10" i="1091"/>
  <c r="Y10" i="1091"/>
  <c r="X10" i="1091"/>
  <c r="W10" i="1091"/>
  <c r="V10" i="1091"/>
  <c r="U10" i="1091"/>
  <c r="T10" i="1091"/>
  <c r="S10" i="1091"/>
  <c r="R10" i="1091"/>
  <c r="G66" i="1090"/>
  <c r="D53" i="1090"/>
  <c r="G53" i="1090"/>
  <c r="AX55" i="1090"/>
  <c r="AW55" i="1090"/>
  <c r="AV55" i="1090"/>
  <c r="AU55" i="1090"/>
  <c r="AT55" i="1090"/>
  <c r="AS55" i="1090"/>
  <c r="AR55" i="1090"/>
  <c r="AQ55" i="1090"/>
  <c r="AP55" i="1090"/>
  <c r="AO55" i="1090"/>
  <c r="AN55" i="1090"/>
  <c r="AM55" i="1090"/>
  <c r="AL55" i="1090"/>
  <c r="AK55" i="1090"/>
  <c r="AJ55" i="1090"/>
  <c r="AI55" i="1090"/>
  <c r="AH55" i="1090"/>
  <c r="AG55" i="1090"/>
  <c r="AF55" i="1090"/>
  <c r="AE55" i="1090"/>
  <c r="AD55" i="1090"/>
  <c r="AC55" i="1090"/>
  <c r="AB55" i="1090"/>
  <c r="G55" i="1090"/>
  <c r="B55" i="1090"/>
  <c r="AX54" i="1090"/>
  <c r="AW54" i="1090"/>
  <c r="AV54" i="1090"/>
  <c r="AU54" i="1090"/>
  <c r="AT54" i="1090"/>
  <c r="AS54" i="1090"/>
  <c r="AR54" i="1090"/>
  <c r="AQ54" i="1090"/>
  <c r="AP54" i="1090"/>
  <c r="AO54" i="1090"/>
  <c r="AN54" i="1090"/>
  <c r="AM54" i="1090"/>
  <c r="AL54" i="1090"/>
  <c r="AK54" i="1090"/>
  <c r="AJ54" i="1090"/>
  <c r="AI54" i="1090"/>
  <c r="AH54" i="1090"/>
  <c r="AG54" i="1090"/>
  <c r="AF54" i="1090"/>
  <c r="AE54" i="1090"/>
  <c r="AD54" i="1090"/>
  <c r="AC54" i="1090"/>
  <c r="AB54" i="1090"/>
  <c r="AX53" i="1090"/>
  <c r="AW53" i="1090"/>
  <c r="AV53" i="1090"/>
  <c r="AU53" i="1090"/>
  <c r="AT53" i="1090"/>
  <c r="AS53" i="1090"/>
  <c r="AR53" i="1090"/>
  <c r="AQ53" i="1090"/>
  <c r="AP53" i="1090"/>
  <c r="AO53" i="1090"/>
  <c r="AN53" i="1090"/>
  <c r="AM53" i="1090"/>
  <c r="AL53" i="1090"/>
  <c r="AK53" i="1090"/>
  <c r="AJ53" i="1090"/>
  <c r="AI53" i="1090"/>
  <c r="AH53" i="1090"/>
  <c r="AG53" i="1090"/>
  <c r="AF53" i="1090"/>
  <c r="AE53" i="1090"/>
  <c r="AD53" i="1090"/>
  <c r="AC53" i="1090"/>
  <c r="AB53" i="1090"/>
  <c r="B53" i="1090"/>
  <c r="K48" i="1090"/>
  <c r="M39" i="1090"/>
  <c r="Z35" i="1090"/>
  <c r="Y35" i="1090"/>
  <c r="X35" i="1090"/>
  <c r="W35" i="1090"/>
  <c r="V35" i="1090"/>
  <c r="U35" i="1090"/>
  <c r="T35" i="1090"/>
  <c r="S35" i="1090"/>
  <c r="R35" i="1090"/>
  <c r="Z34" i="1090"/>
  <c r="Y34" i="1090"/>
  <c r="X34" i="1090"/>
  <c r="W34" i="1090"/>
  <c r="V34" i="1090"/>
  <c r="U34" i="1090"/>
  <c r="T34" i="1090"/>
  <c r="S34" i="1090"/>
  <c r="R34" i="1090"/>
  <c r="Z33" i="1090"/>
  <c r="Y33" i="1090"/>
  <c r="X33" i="1090"/>
  <c r="W33" i="1090"/>
  <c r="V33" i="1090"/>
  <c r="U33" i="1090"/>
  <c r="T33" i="1090"/>
  <c r="S33" i="1090"/>
  <c r="R33" i="1090"/>
  <c r="Z32" i="1090"/>
  <c r="Y32" i="1090"/>
  <c r="X32" i="1090"/>
  <c r="W32" i="1090"/>
  <c r="V32" i="1090"/>
  <c r="U32" i="1090"/>
  <c r="T32" i="1090"/>
  <c r="S32" i="1090"/>
  <c r="R32" i="1090"/>
  <c r="Z31" i="1090"/>
  <c r="Y31" i="1090"/>
  <c r="X31" i="1090"/>
  <c r="W31" i="1090"/>
  <c r="V31" i="1090"/>
  <c r="U31" i="1090"/>
  <c r="T31" i="1090"/>
  <c r="S31" i="1090"/>
  <c r="R31" i="1090"/>
  <c r="Z30" i="1090"/>
  <c r="Y30" i="1090"/>
  <c r="X30" i="1090"/>
  <c r="W30" i="1090"/>
  <c r="V30" i="1090"/>
  <c r="U30" i="1090"/>
  <c r="T30" i="1090"/>
  <c r="S30" i="1090"/>
  <c r="R30" i="1090"/>
  <c r="Z29" i="1090"/>
  <c r="Y29" i="1090"/>
  <c r="X29" i="1090"/>
  <c r="W29" i="1090"/>
  <c r="V29" i="1090"/>
  <c r="U29" i="1090"/>
  <c r="T29" i="1090"/>
  <c r="S29" i="1090"/>
  <c r="R29" i="1090"/>
  <c r="M29" i="1090"/>
  <c r="Z28" i="1090"/>
  <c r="Y28" i="1090"/>
  <c r="X28" i="1090"/>
  <c r="W28" i="1090"/>
  <c r="V28" i="1090"/>
  <c r="U28" i="1090"/>
  <c r="T28" i="1090"/>
  <c r="S28" i="1090"/>
  <c r="R28" i="1090"/>
  <c r="Z27" i="1090"/>
  <c r="Y27" i="1090"/>
  <c r="X27" i="1090"/>
  <c r="W27" i="1090"/>
  <c r="V27" i="1090"/>
  <c r="U27" i="1090"/>
  <c r="T27" i="1090"/>
  <c r="S27" i="1090"/>
  <c r="R27" i="1090"/>
  <c r="M27" i="1090"/>
  <c r="Z26" i="1090"/>
  <c r="Y26" i="1090"/>
  <c r="X26" i="1090"/>
  <c r="W26" i="1090"/>
  <c r="V26" i="1090"/>
  <c r="U26" i="1090"/>
  <c r="T26" i="1090"/>
  <c r="S26" i="1090"/>
  <c r="R26" i="1090"/>
  <c r="M26" i="1090"/>
  <c r="L26" i="1090"/>
  <c r="K26" i="1090"/>
  <c r="Z25" i="1090"/>
  <c r="Y25" i="1090"/>
  <c r="X25" i="1090"/>
  <c r="W25" i="1090"/>
  <c r="V25" i="1090"/>
  <c r="U25" i="1090"/>
  <c r="T25" i="1090"/>
  <c r="S25" i="1090"/>
  <c r="R25" i="1090"/>
  <c r="M25" i="1090"/>
  <c r="L25" i="1090"/>
  <c r="K25" i="1090"/>
  <c r="Z24" i="1090"/>
  <c r="Y24" i="1090"/>
  <c r="X24" i="1090"/>
  <c r="W24" i="1090"/>
  <c r="V24" i="1090"/>
  <c r="U24" i="1090"/>
  <c r="T24" i="1090"/>
  <c r="S24" i="1090"/>
  <c r="R24" i="1090"/>
  <c r="L24" i="1090"/>
  <c r="K24" i="1090"/>
  <c r="Z23" i="1090"/>
  <c r="Y23" i="1090"/>
  <c r="X23" i="1090"/>
  <c r="W23" i="1090"/>
  <c r="V23" i="1090"/>
  <c r="U23" i="1090"/>
  <c r="T23" i="1090"/>
  <c r="S23" i="1090"/>
  <c r="R23" i="1090"/>
  <c r="Z22" i="1090"/>
  <c r="Y22" i="1090"/>
  <c r="X22" i="1090"/>
  <c r="W22" i="1090"/>
  <c r="V22" i="1090"/>
  <c r="U22" i="1090"/>
  <c r="T22" i="1090"/>
  <c r="S22" i="1090"/>
  <c r="R22" i="1090"/>
  <c r="Z21" i="1090"/>
  <c r="Y21" i="1090"/>
  <c r="X21" i="1090"/>
  <c r="W21" i="1090"/>
  <c r="V21" i="1090"/>
  <c r="U21" i="1090"/>
  <c r="T21" i="1090"/>
  <c r="S21" i="1090"/>
  <c r="R21" i="1090"/>
  <c r="Z20" i="1090"/>
  <c r="Y20" i="1090"/>
  <c r="X20" i="1090"/>
  <c r="W20" i="1090"/>
  <c r="V20" i="1090"/>
  <c r="U20" i="1090"/>
  <c r="T20" i="1090"/>
  <c r="S20" i="1090"/>
  <c r="R20" i="1090"/>
  <c r="Z19" i="1090"/>
  <c r="Y19" i="1090"/>
  <c r="X19" i="1090"/>
  <c r="W19" i="1090"/>
  <c r="V19" i="1090"/>
  <c r="U19" i="1090"/>
  <c r="T19" i="1090"/>
  <c r="S19" i="1090"/>
  <c r="R19" i="1090"/>
  <c r="Z18" i="1090"/>
  <c r="Y18" i="1090"/>
  <c r="X18" i="1090"/>
  <c r="W18" i="1090"/>
  <c r="V18" i="1090"/>
  <c r="U18" i="1090"/>
  <c r="T18" i="1090"/>
  <c r="S18" i="1090"/>
  <c r="R18" i="1090"/>
  <c r="Z17" i="1090"/>
  <c r="Y17" i="1090"/>
  <c r="X17" i="1090"/>
  <c r="W17" i="1090"/>
  <c r="V17" i="1090"/>
  <c r="U17" i="1090"/>
  <c r="T17" i="1090"/>
  <c r="S17" i="1090"/>
  <c r="R17" i="1090"/>
  <c r="Z16" i="1090"/>
  <c r="Y16" i="1090"/>
  <c r="X16" i="1090"/>
  <c r="W16" i="1090"/>
  <c r="V16" i="1090"/>
  <c r="U16" i="1090"/>
  <c r="T16" i="1090"/>
  <c r="S16" i="1090"/>
  <c r="R16" i="1090"/>
  <c r="Z15" i="1090"/>
  <c r="Y15" i="1090"/>
  <c r="X15" i="1090"/>
  <c r="W15" i="1090"/>
  <c r="V15" i="1090"/>
  <c r="U15" i="1090"/>
  <c r="T15" i="1090"/>
  <c r="S15" i="1090"/>
  <c r="R15" i="1090"/>
  <c r="Z14" i="1090"/>
  <c r="Y14" i="1090"/>
  <c r="X14" i="1090"/>
  <c r="W14" i="1090"/>
  <c r="V14" i="1090"/>
  <c r="U14" i="1090"/>
  <c r="T14" i="1090"/>
  <c r="S14" i="1090"/>
  <c r="R14" i="1090"/>
  <c r="Z13" i="1090"/>
  <c r="Y13" i="1090"/>
  <c r="X13" i="1090"/>
  <c r="W13" i="1090"/>
  <c r="V13" i="1090"/>
  <c r="U13" i="1090"/>
  <c r="T13" i="1090"/>
  <c r="S13" i="1090"/>
  <c r="R13" i="1090"/>
  <c r="O13" i="1090"/>
  <c r="N13" i="1090"/>
  <c r="M13" i="1090"/>
  <c r="L13" i="1090"/>
  <c r="J13" i="1090"/>
  <c r="I13" i="1090"/>
  <c r="G13" i="1090"/>
  <c r="F13" i="1090"/>
  <c r="E13" i="1090"/>
  <c r="D13" i="1090"/>
  <c r="Z12" i="1090"/>
  <c r="Y12" i="1090"/>
  <c r="X12" i="1090"/>
  <c r="W12" i="1090"/>
  <c r="V12" i="1090"/>
  <c r="U12" i="1090"/>
  <c r="T12" i="1090"/>
  <c r="S12" i="1090"/>
  <c r="R12" i="1090"/>
  <c r="O12" i="1090"/>
  <c r="N12" i="1090"/>
  <c r="M12" i="1090"/>
  <c r="L12" i="1090"/>
  <c r="J12" i="1090"/>
  <c r="I12" i="1090"/>
  <c r="G12" i="1090"/>
  <c r="F12" i="1090"/>
  <c r="E12" i="1090"/>
  <c r="D12" i="1090"/>
  <c r="Z11" i="1090"/>
  <c r="Y11" i="1090"/>
  <c r="X11" i="1090"/>
  <c r="W11" i="1090"/>
  <c r="V11" i="1090"/>
  <c r="U11" i="1090"/>
  <c r="T11" i="1090"/>
  <c r="S11" i="1090"/>
  <c r="R11" i="1090"/>
  <c r="O11" i="1090"/>
  <c r="N11" i="1090"/>
  <c r="M11" i="1090"/>
  <c r="L11" i="1090"/>
  <c r="J11" i="1090"/>
  <c r="I11" i="1090"/>
  <c r="G11" i="1090"/>
  <c r="F11" i="1090"/>
  <c r="E11" i="1090"/>
  <c r="D11" i="1090"/>
  <c r="Z10" i="1090"/>
  <c r="Y10" i="1090"/>
  <c r="X10" i="1090"/>
  <c r="W10" i="1090"/>
  <c r="V10" i="1090"/>
  <c r="U10" i="1090"/>
  <c r="T10" i="1090"/>
  <c r="S10" i="1090"/>
  <c r="R10" i="1090"/>
  <c r="O10" i="1090"/>
  <c r="N10" i="1090"/>
  <c r="M10" i="1090"/>
  <c r="L10" i="1090"/>
  <c r="J10" i="1090"/>
  <c r="I10" i="1090"/>
  <c r="G10" i="1090"/>
  <c r="F10" i="1090"/>
  <c r="E10" i="1090"/>
  <c r="D10" i="1090"/>
  <c r="G55" i="1089"/>
  <c r="D55" i="1089"/>
  <c r="G68" i="1089"/>
  <c r="L55" i="1091" l="1"/>
  <c r="J30" i="1090"/>
  <c r="D55" i="1090"/>
  <c r="L55" i="1090" s="1"/>
  <c r="K34" i="1091"/>
  <c r="L34" i="1091" s="1"/>
  <c r="M34" i="1091" s="1"/>
  <c r="K34" i="1090"/>
  <c r="L34" i="1090" s="1"/>
  <c r="M34" i="1090" s="1"/>
  <c r="L53" i="1090"/>
  <c r="C66" i="1090" s="1"/>
  <c r="M27" i="1089"/>
  <c r="L27" i="1089"/>
  <c r="K27" i="1089"/>
  <c r="D17" i="1089" l="1"/>
  <c r="E17" i="1089"/>
  <c r="F17" i="1089"/>
  <c r="G17" i="1089"/>
  <c r="I17" i="1089"/>
  <c r="J17" i="1089"/>
  <c r="L17" i="1089"/>
  <c r="M17" i="1089"/>
  <c r="N17" i="1089"/>
  <c r="O17" i="1089"/>
  <c r="D18" i="1089"/>
  <c r="E18" i="1089"/>
  <c r="F18" i="1089"/>
  <c r="G18" i="1089"/>
  <c r="I18" i="1089"/>
  <c r="J18" i="1089"/>
  <c r="L18" i="1089"/>
  <c r="M18" i="1089"/>
  <c r="N18" i="1089"/>
  <c r="O18" i="1089"/>
  <c r="C19" i="1089"/>
  <c r="D19" i="1089"/>
  <c r="E19" i="1089"/>
  <c r="F19" i="1089"/>
  <c r="G19" i="1089"/>
  <c r="I19" i="1089"/>
  <c r="J19" i="1089"/>
  <c r="L19" i="1089"/>
  <c r="M19" i="1089"/>
  <c r="N19" i="1089"/>
  <c r="O19" i="1089"/>
  <c r="D12" i="1089"/>
  <c r="E12" i="1089"/>
  <c r="F12" i="1089"/>
  <c r="G12" i="1089"/>
  <c r="I12" i="1089"/>
  <c r="J12" i="1089"/>
  <c r="L12" i="1089"/>
  <c r="M12" i="1089"/>
  <c r="N12" i="1089"/>
  <c r="O12" i="1089"/>
  <c r="D13" i="1089"/>
  <c r="E13" i="1089"/>
  <c r="F13" i="1089"/>
  <c r="G13" i="1089"/>
  <c r="I13" i="1089"/>
  <c r="J13" i="1089"/>
  <c r="L13" i="1089"/>
  <c r="M13" i="1089"/>
  <c r="N13" i="1089"/>
  <c r="O13" i="1089"/>
  <c r="D14" i="1089"/>
  <c r="E14" i="1089"/>
  <c r="F14" i="1089"/>
  <c r="G14" i="1089"/>
  <c r="I14" i="1089"/>
  <c r="J14" i="1089"/>
  <c r="L14" i="1089"/>
  <c r="M14" i="1089"/>
  <c r="N14" i="1089"/>
  <c r="O14" i="1089"/>
  <c r="D15" i="1089"/>
  <c r="E15" i="1089"/>
  <c r="F15" i="1089"/>
  <c r="G15" i="1089"/>
  <c r="I15" i="1089"/>
  <c r="J15" i="1089"/>
  <c r="L15" i="1089"/>
  <c r="M15" i="1089"/>
  <c r="N15" i="1089"/>
  <c r="O15" i="1089"/>
  <c r="D16" i="1089"/>
  <c r="E16" i="1089"/>
  <c r="F16" i="1089"/>
  <c r="G16" i="1089"/>
  <c r="I16" i="1089"/>
  <c r="J16" i="1089"/>
  <c r="L16" i="1089"/>
  <c r="M16" i="1089"/>
  <c r="N16" i="1089"/>
  <c r="O16" i="1089"/>
  <c r="O10" i="1089" l="1"/>
  <c r="M10" i="1089"/>
  <c r="L10" i="1089"/>
  <c r="K10" i="1089"/>
  <c r="G10" i="1089"/>
  <c r="F10" i="1089"/>
  <c r="E10" i="1089"/>
  <c r="D10" i="1089"/>
  <c r="C10" i="1089"/>
  <c r="B55" i="1089"/>
  <c r="AX57" i="1089"/>
  <c r="AW57" i="1089"/>
  <c r="AV57" i="1089"/>
  <c r="AU57" i="1089"/>
  <c r="AT57" i="1089"/>
  <c r="AS57" i="1089"/>
  <c r="AR57" i="1089"/>
  <c r="AQ57" i="1089"/>
  <c r="AP57" i="1089"/>
  <c r="AO57" i="1089"/>
  <c r="AN57" i="1089"/>
  <c r="AM57" i="1089"/>
  <c r="AL57" i="1089"/>
  <c r="AK57" i="1089"/>
  <c r="AJ57" i="1089"/>
  <c r="AI57" i="1089"/>
  <c r="AH57" i="1089"/>
  <c r="AG57" i="1089"/>
  <c r="AF57" i="1089"/>
  <c r="AE57" i="1089"/>
  <c r="AD57" i="1089"/>
  <c r="AC57" i="1089"/>
  <c r="AB57" i="1089"/>
  <c r="G57" i="1089"/>
  <c r="B57" i="1089"/>
  <c r="AX56" i="1089"/>
  <c r="AW56" i="1089"/>
  <c r="AV56" i="1089"/>
  <c r="AU56" i="1089"/>
  <c r="AT56" i="1089"/>
  <c r="AS56" i="1089"/>
  <c r="AR56" i="1089"/>
  <c r="AQ56" i="1089"/>
  <c r="AP56" i="1089"/>
  <c r="AO56" i="1089"/>
  <c r="AN56" i="1089"/>
  <c r="AM56" i="1089"/>
  <c r="AL56" i="1089"/>
  <c r="AK56" i="1089"/>
  <c r="AJ56" i="1089"/>
  <c r="AI56" i="1089"/>
  <c r="AH56" i="1089"/>
  <c r="AG56" i="1089"/>
  <c r="AF56" i="1089"/>
  <c r="AE56" i="1089"/>
  <c r="AD56" i="1089"/>
  <c r="AC56" i="1089"/>
  <c r="AB56" i="1089"/>
  <c r="AX55" i="1089"/>
  <c r="AW55" i="1089"/>
  <c r="AV55" i="1089"/>
  <c r="AU55" i="1089"/>
  <c r="AT55" i="1089"/>
  <c r="AS55" i="1089"/>
  <c r="AR55" i="1089"/>
  <c r="AQ55" i="1089"/>
  <c r="AP55" i="1089"/>
  <c r="AO55" i="1089"/>
  <c r="AN55" i="1089"/>
  <c r="AM55" i="1089"/>
  <c r="AL55" i="1089"/>
  <c r="AK55" i="1089"/>
  <c r="AJ55" i="1089"/>
  <c r="AI55" i="1089"/>
  <c r="AH55" i="1089"/>
  <c r="AG55" i="1089"/>
  <c r="AF55" i="1089"/>
  <c r="AE55" i="1089"/>
  <c r="AD55" i="1089"/>
  <c r="AC55" i="1089"/>
  <c r="AB55" i="1089"/>
  <c r="L55" i="1089"/>
  <c r="C68" i="1089" s="1"/>
  <c r="K50" i="1089"/>
  <c r="L41" i="1089" s="1"/>
  <c r="Z37" i="1089"/>
  <c r="Y37" i="1089"/>
  <c r="X37" i="1089"/>
  <c r="W37" i="1089"/>
  <c r="V37" i="1089"/>
  <c r="U37" i="1089"/>
  <c r="T37" i="1089"/>
  <c r="S37" i="1089"/>
  <c r="R37" i="1089"/>
  <c r="Z36" i="1089"/>
  <c r="Y36" i="1089"/>
  <c r="X36" i="1089"/>
  <c r="W36" i="1089"/>
  <c r="V36" i="1089"/>
  <c r="U36" i="1089"/>
  <c r="T36" i="1089"/>
  <c r="S36" i="1089"/>
  <c r="R36" i="1089"/>
  <c r="Z35" i="1089"/>
  <c r="Y35" i="1089"/>
  <c r="X35" i="1089"/>
  <c r="W35" i="1089"/>
  <c r="V35" i="1089"/>
  <c r="U35" i="1089"/>
  <c r="T35" i="1089"/>
  <c r="S35" i="1089"/>
  <c r="R35" i="1089"/>
  <c r="Z34" i="1089"/>
  <c r="Y34" i="1089"/>
  <c r="X34" i="1089"/>
  <c r="W34" i="1089"/>
  <c r="V34" i="1089"/>
  <c r="U34" i="1089"/>
  <c r="T34" i="1089"/>
  <c r="S34" i="1089"/>
  <c r="R34" i="1089"/>
  <c r="Z33" i="1089"/>
  <c r="Y33" i="1089"/>
  <c r="X33" i="1089"/>
  <c r="W33" i="1089"/>
  <c r="V33" i="1089"/>
  <c r="U33" i="1089"/>
  <c r="T33" i="1089"/>
  <c r="S33" i="1089"/>
  <c r="R33" i="1089"/>
  <c r="Z32" i="1089"/>
  <c r="Y32" i="1089"/>
  <c r="X32" i="1089"/>
  <c r="W32" i="1089"/>
  <c r="V32" i="1089"/>
  <c r="U32" i="1089"/>
  <c r="T32" i="1089"/>
  <c r="S32" i="1089"/>
  <c r="R32" i="1089"/>
  <c r="M32" i="1089"/>
  <c r="Z31" i="1089"/>
  <c r="Y31" i="1089"/>
  <c r="X31" i="1089"/>
  <c r="W31" i="1089"/>
  <c r="V31" i="1089"/>
  <c r="U31" i="1089"/>
  <c r="T31" i="1089"/>
  <c r="S31" i="1089"/>
  <c r="R31" i="1089"/>
  <c r="M31" i="1089"/>
  <c r="Z30" i="1089"/>
  <c r="Y30" i="1089"/>
  <c r="X30" i="1089"/>
  <c r="W30" i="1089"/>
  <c r="V30" i="1089"/>
  <c r="U30" i="1089"/>
  <c r="T30" i="1089"/>
  <c r="S30" i="1089"/>
  <c r="R30" i="1089"/>
  <c r="Z29" i="1089"/>
  <c r="Y29" i="1089"/>
  <c r="X29" i="1089"/>
  <c r="W29" i="1089"/>
  <c r="V29" i="1089"/>
  <c r="U29" i="1089"/>
  <c r="T29" i="1089"/>
  <c r="S29" i="1089"/>
  <c r="R29" i="1089"/>
  <c r="M29" i="1089"/>
  <c r="Z28" i="1089"/>
  <c r="Y28" i="1089"/>
  <c r="X28" i="1089"/>
  <c r="W28" i="1089"/>
  <c r="V28" i="1089"/>
  <c r="U28" i="1089"/>
  <c r="T28" i="1089"/>
  <c r="S28" i="1089"/>
  <c r="R28" i="1089"/>
  <c r="M28" i="1089"/>
  <c r="L28" i="1089"/>
  <c r="K28" i="1089"/>
  <c r="Z27" i="1089"/>
  <c r="Y27" i="1089"/>
  <c r="X27" i="1089"/>
  <c r="W27" i="1089"/>
  <c r="V27" i="1089"/>
  <c r="U27" i="1089"/>
  <c r="T27" i="1089"/>
  <c r="S27" i="1089"/>
  <c r="R27" i="1089"/>
  <c r="Z26" i="1089"/>
  <c r="Y26" i="1089"/>
  <c r="X26" i="1089"/>
  <c r="W26" i="1089"/>
  <c r="V26" i="1089"/>
  <c r="U26" i="1089"/>
  <c r="T26" i="1089"/>
  <c r="S26" i="1089"/>
  <c r="R26" i="1089"/>
  <c r="L26" i="1089"/>
  <c r="K26" i="1089"/>
  <c r="Z25" i="1089"/>
  <c r="Y25" i="1089"/>
  <c r="X25" i="1089"/>
  <c r="W25" i="1089"/>
  <c r="V25" i="1089"/>
  <c r="U25" i="1089"/>
  <c r="T25" i="1089"/>
  <c r="S25" i="1089"/>
  <c r="R25" i="1089"/>
  <c r="Z24" i="1089"/>
  <c r="Y24" i="1089"/>
  <c r="X24" i="1089"/>
  <c r="W24" i="1089"/>
  <c r="V24" i="1089"/>
  <c r="U24" i="1089"/>
  <c r="T24" i="1089"/>
  <c r="S24" i="1089"/>
  <c r="R24" i="1089"/>
  <c r="Z23" i="1089"/>
  <c r="Y23" i="1089"/>
  <c r="X23" i="1089"/>
  <c r="W23" i="1089"/>
  <c r="V23" i="1089"/>
  <c r="U23" i="1089"/>
  <c r="T23" i="1089"/>
  <c r="S23" i="1089"/>
  <c r="R23" i="1089"/>
  <c r="Z22" i="1089"/>
  <c r="Y22" i="1089"/>
  <c r="X22" i="1089"/>
  <c r="W22" i="1089"/>
  <c r="V22" i="1089"/>
  <c r="U22" i="1089"/>
  <c r="T22" i="1089"/>
  <c r="S22" i="1089"/>
  <c r="R22" i="1089"/>
  <c r="Z21" i="1089"/>
  <c r="Y21" i="1089"/>
  <c r="X21" i="1089"/>
  <c r="W21" i="1089"/>
  <c r="V21" i="1089"/>
  <c r="U21" i="1089"/>
  <c r="T21" i="1089"/>
  <c r="S21" i="1089"/>
  <c r="R21" i="1089"/>
  <c r="Z20" i="1089"/>
  <c r="Y20" i="1089"/>
  <c r="X20" i="1089"/>
  <c r="W20" i="1089"/>
  <c r="V20" i="1089"/>
  <c r="U20" i="1089"/>
  <c r="T20" i="1089"/>
  <c r="S20" i="1089"/>
  <c r="R20" i="1089"/>
  <c r="Z19" i="1089"/>
  <c r="Y19" i="1089"/>
  <c r="X19" i="1089"/>
  <c r="W19" i="1089"/>
  <c r="V19" i="1089"/>
  <c r="U19" i="1089"/>
  <c r="T19" i="1089"/>
  <c r="S19" i="1089"/>
  <c r="R19" i="1089"/>
  <c r="Z18" i="1089"/>
  <c r="Y18" i="1089"/>
  <c r="X18" i="1089"/>
  <c r="W18" i="1089"/>
  <c r="V18" i="1089"/>
  <c r="U18" i="1089"/>
  <c r="T18" i="1089"/>
  <c r="S18" i="1089"/>
  <c r="R18" i="1089"/>
  <c r="Z17" i="1089"/>
  <c r="Y17" i="1089"/>
  <c r="X17" i="1089"/>
  <c r="W17" i="1089"/>
  <c r="V17" i="1089"/>
  <c r="U17" i="1089"/>
  <c r="T17" i="1089"/>
  <c r="S17" i="1089"/>
  <c r="R17" i="1089"/>
  <c r="Z16" i="1089"/>
  <c r="Y16" i="1089"/>
  <c r="X16" i="1089"/>
  <c r="W16" i="1089"/>
  <c r="V16" i="1089"/>
  <c r="U16" i="1089"/>
  <c r="T16" i="1089"/>
  <c r="S16" i="1089"/>
  <c r="R16" i="1089"/>
  <c r="Z15" i="1089"/>
  <c r="Y15" i="1089"/>
  <c r="X15" i="1089"/>
  <c r="W15" i="1089"/>
  <c r="V15" i="1089"/>
  <c r="U15" i="1089"/>
  <c r="T15" i="1089"/>
  <c r="S15" i="1089"/>
  <c r="R15" i="1089"/>
  <c r="Z14" i="1089"/>
  <c r="Y14" i="1089"/>
  <c r="X14" i="1089"/>
  <c r="W14" i="1089"/>
  <c r="V14" i="1089"/>
  <c r="U14" i="1089"/>
  <c r="T14" i="1089"/>
  <c r="S14" i="1089"/>
  <c r="R14" i="1089"/>
  <c r="Z13" i="1089"/>
  <c r="Y13" i="1089"/>
  <c r="X13" i="1089"/>
  <c r="W13" i="1089"/>
  <c r="V13" i="1089"/>
  <c r="U13" i="1089"/>
  <c r="T13" i="1089"/>
  <c r="S13" i="1089"/>
  <c r="R13" i="1089"/>
  <c r="Z12" i="1089"/>
  <c r="Y12" i="1089"/>
  <c r="X12" i="1089"/>
  <c r="W12" i="1089"/>
  <c r="V12" i="1089"/>
  <c r="U12" i="1089"/>
  <c r="T12" i="1089"/>
  <c r="S12" i="1089"/>
  <c r="R12" i="1089"/>
  <c r="Z11" i="1089"/>
  <c r="Y11" i="1089"/>
  <c r="X11" i="1089"/>
  <c r="W11" i="1089"/>
  <c r="V11" i="1089"/>
  <c r="U11" i="1089"/>
  <c r="T11" i="1089"/>
  <c r="S11" i="1089"/>
  <c r="R11" i="1089"/>
  <c r="Z10" i="1089"/>
  <c r="Y10" i="1089"/>
  <c r="X10" i="1089"/>
  <c r="W10" i="1089"/>
  <c r="V10" i="1089"/>
  <c r="U10" i="1089"/>
  <c r="T10" i="1089"/>
  <c r="S10" i="1089"/>
  <c r="R10" i="1089"/>
  <c r="B62" i="1088"/>
  <c r="K36" i="1089" l="1"/>
  <c r="L36" i="1089" s="1"/>
  <c r="M36" i="1089" s="1"/>
  <c r="M41" i="1089"/>
  <c r="R20" i="1088"/>
  <c r="S20" i="1088"/>
  <c r="T20" i="1088"/>
  <c r="U20" i="1088"/>
  <c r="V20" i="1088"/>
  <c r="W20" i="1088"/>
  <c r="X20" i="1088"/>
  <c r="Y20" i="1088"/>
  <c r="Z20" i="1088"/>
  <c r="L48" i="1088"/>
  <c r="J57" i="1088"/>
  <c r="M35" i="1088"/>
  <c r="L35" i="1088"/>
  <c r="K35" i="1088"/>
  <c r="L33" i="1088"/>
  <c r="K33" i="1088"/>
  <c r="C20" i="1088"/>
  <c r="D20" i="1088"/>
  <c r="E20" i="1088"/>
  <c r="F20" i="1088"/>
  <c r="G20" i="1088"/>
  <c r="I20" i="1088"/>
  <c r="J20" i="1088"/>
  <c r="L20" i="1088"/>
  <c r="M20" i="1088"/>
  <c r="N20" i="1088"/>
  <c r="O20" i="1088"/>
  <c r="C22" i="1088"/>
  <c r="D22" i="1088"/>
  <c r="E22" i="1088"/>
  <c r="F22" i="1088"/>
  <c r="G22" i="1088"/>
  <c r="I22" i="1088"/>
  <c r="J22" i="1088"/>
  <c r="L22" i="1088"/>
  <c r="M22" i="1088"/>
  <c r="N22" i="1088"/>
  <c r="O22" i="1088"/>
  <c r="C23" i="1088"/>
  <c r="D23" i="1088"/>
  <c r="E23" i="1088"/>
  <c r="F23" i="1088"/>
  <c r="G23" i="1088"/>
  <c r="I23" i="1088"/>
  <c r="J23" i="1088"/>
  <c r="L23" i="1088"/>
  <c r="M23" i="1088"/>
  <c r="N23" i="1088"/>
  <c r="O23" i="1088"/>
  <c r="C24" i="1088"/>
  <c r="D24" i="1088"/>
  <c r="E24" i="1088"/>
  <c r="F24" i="1088"/>
  <c r="G24" i="1088"/>
  <c r="I24" i="1088"/>
  <c r="J24" i="1088"/>
  <c r="L24" i="1088"/>
  <c r="M24" i="1088"/>
  <c r="N24" i="1088"/>
  <c r="O24" i="1088"/>
  <c r="C25" i="1088"/>
  <c r="D25" i="1088"/>
  <c r="E25" i="1088"/>
  <c r="F25" i="1088"/>
  <c r="G25" i="1088"/>
  <c r="I25" i="1088"/>
  <c r="J25" i="1088"/>
  <c r="L25" i="1088"/>
  <c r="M25" i="1088"/>
  <c r="N25" i="1088"/>
  <c r="O25" i="1088"/>
  <c r="C26" i="1088"/>
  <c r="D26" i="1088"/>
  <c r="E26" i="1088"/>
  <c r="F26" i="1088"/>
  <c r="G26" i="1088"/>
  <c r="I26" i="1088"/>
  <c r="J26" i="1088"/>
  <c r="L26" i="1088"/>
  <c r="M26" i="1088"/>
  <c r="N26" i="1088"/>
  <c r="O26" i="1088"/>
  <c r="C27" i="1088"/>
  <c r="D27" i="1088"/>
  <c r="E27" i="1088"/>
  <c r="F27" i="1088"/>
  <c r="G27" i="1088"/>
  <c r="I27" i="1088"/>
  <c r="J27" i="1088"/>
  <c r="L27" i="1088"/>
  <c r="M27" i="1088"/>
  <c r="N27" i="1088"/>
  <c r="O27" i="1088"/>
  <c r="O21" i="1088"/>
  <c r="N21" i="1088"/>
  <c r="M21" i="1088"/>
  <c r="L21" i="1088"/>
  <c r="J21" i="1088"/>
  <c r="I21" i="1088"/>
  <c r="G21" i="1088"/>
  <c r="F21" i="1088"/>
  <c r="E21" i="1088"/>
  <c r="D21" i="1088"/>
  <c r="C21" i="1088"/>
  <c r="J35" i="1088" l="1"/>
  <c r="R10" i="1088"/>
  <c r="S10" i="1088"/>
  <c r="T10" i="1088"/>
  <c r="U10" i="1088"/>
  <c r="V10" i="1088"/>
  <c r="W10" i="1088"/>
  <c r="X10" i="1088"/>
  <c r="Y10" i="1088"/>
  <c r="Z10" i="1088"/>
  <c r="R11" i="1088"/>
  <c r="S11" i="1088"/>
  <c r="T11" i="1088"/>
  <c r="U11" i="1088"/>
  <c r="V11" i="1088"/>
  <c r="W11" i="1088"/>
  <c r="X11" i="1088"/>
  <c r="Y11" i="1088"/>
  <c r="Z11" i="1088"/>
  <c r="R12" i="1088"/>
  <c r="S12" i="1088"/>
  <c r="T12" i="1088"/>
  <c r="U12" i="1088"/>
  <c r="V12" i="1088"/>
  <c r="W12" i="1088"/>
  <c r="X12" i="1088"/>
  <c r="Y12" i="1088"/>
  <c r="Z12" i="1088"/>
  <c r="R13" i="1088"/>
  <c r="S13" i="1088"/>
  <c r="T13" i="1088"/>
  <c r="U13" i="1088"/>
  <c r="V13" i="1088"/>
  <c r="W13" i="1088"/>
  <c r="X13" i="1088"/>
  <c r="Y13" i="1088"/>
  <c r="Z13" i="1088"/>
  <c r="R14" i="1088"/>
  <c r="S14" i="1088"/>
  <c r="T14" i="1088"/>
  <c r="U14" i="1088"/>
  <c r="V14" i="1088"/>
  <c r="W14" i="1088"/>
  <c r="X14" i="1088"/>
  <c r="Y14" i="1088"/>
  <c r="Z14" i="1088"/>
  <c r="R15" i="1088"/>
  <c r="S15" i="1088"/>
  <c r="T15" i="1088"/>
  <c r="U15" i="1088"/>
  <c r="V15" i="1088"/>
  <c r="W15" i="1088"/>
  <c r="X15" i="1088"/>
  <c r="Y15" i="1088"/>
  <c r="Z15" i="1088"/>
  <c r="R16" i="1088"/>
  <c r="S16" i="1088"/>
  <c r="T16" i="1088"/>
  <c r="U16" i="1088"/>
  <c r="V16" i="1088"/>
  <c r="W16" i="1088"/>
  <c r="X16" i="1088"/>
  <c r="Y16" i="1088"/>
  <c r="Z16" i="1088"/>
  <c r="R17" i="1088"/>
  <c r="S17" i="1088"/>
  <c r="T17" i="1088"/>
  <c r="U17" i="1088"/>
  <c r="V17" i="1088"/>
  <c r="W17" i="1088"/>
  <c r="X17" i="1088"/>
  <c r="Y17" i="1088"/>
  <c r="Z17" i="1088"/>
  <c r="R18" i="1088"/>
  <c r="S18" i="1088"/>
  <c r="T18" i="1088"/>
  <c r="U18" i="1088"/>
  <c r="V18" i="1088"/>
  <c r="W18" i="1088"/>
  <c r="X18" i="1088"/>
  <c r="Y18" i="1088"/>
  <c r="Z18" i="1088"/>
  <c r="R19" i="1088"/>
  <c r="S19" i="1088"/>
  <c r="T19" i="1088"/>
  <c r="U19" i="1088"/>
  <c r="V19" i="1088"/>
  <c r="W19" i="1088"/>
  <c r="X19" i="1088"/>
  <c r="Y19" i="1088"/>
  <c r="Z19" i="1088"/>
  <c r="R21" i="1088"/>
  <c r="S21" i="1088"/>
  <c r="T21" i="1088"/>
  <c r="U21" i="1088"/>
  <c r="V21" i="1088"/>
  <c r="W21" i="1088"/>
  <c r="X21" i="1088"/>
  <c r="Y21" i="1088"/>
  <c r="Z21" i="1088"/>
  <c r="R22" i="1088"/>
  <c r="S22" i="1088"/>
  <c r="T22" i="1088"/>
  <c r="U22" i="1088"/>
  <c r="V22" i="1088"/>
  <c r="W22" i="1088"/>
  <c r="X22" i="1088"/>
  <c r="Y22" i="1088"/>
  <c r="Z22" i="1088"/>
  <c r="R23" i="1088"/>
  <c r="S23" i="1088"/>
  <c r="T23" i="1088"/>
  <c r="U23" i="1088"/>
  <c r="V23" i="1088"/>
  <c r="W23" i="1088"/>
  <c r="X23" i="1088"/>
  <c r="Y23" i="1088"/>
  <c r="Z23" i="1088"/>
  <c r="R24" i="1088"/>
  <c r="S24" i="1088"/>
  <c r="T24" i="1088"/>
  <c r="U24" i="1088"/>
  <c r="V24" i="1088"/>
  <c r="W24" i="1088"/>
  <c r="X24" i="1088"/>
  <c r="Y24" i="1088"/>
  <c r="Z24" i="1088"/>
  <c r="R25" i="1088"/>
  <c r="S25" i="1088"/>
  <c r="T25" i="1088"/>
  <c r="U25" i="1088"/>
  <c r="V25" i="1088"/>
  <c r="W25" i="1088"/>
  <c r="X25" i="1088"/>
  <c r="Y25" i="1088"/>
  <c r="Z25" i="1088"/>
  <c r="R26" i="1088"/>
  <c r="S26" i="1088"/>
  <c r="T26" i="1088"/>
  <c r="U26" i="1088"/>
  <c r="V26" i="1088"/>
  <c r="W26" i="1088"/>
  <c r="X26" i="1088"/>
  <c r="Y26" i="1088"/>
  <c r="Z26" i="1088"/>
  <c r="R27" i="1088"/>
  <c r="S27" i="1088"/>
  <c r="T27" i="1088"/>
  <c r="U27" i="1088"/>
  <c r="V27" i="1088"/>
  <c r="W27" i="1088"/>
  <c r="X27" i="1088"/>
  <c r="Y27" i="1088"/>
  <c r="Z27" i="1088"/>
  <c r="R28" i="1088"/>
  <c r="S28" i="1088"/>
  <c r="T28" i="1088"/>
  <c r="U28" i="1088"/>
  <c r="V28" i="1088"/>
  <c r="W28" i="1088"/>
  <c r="X28" i="1088"/>
  <c r="Y28" i="1088"/>
  <c r="Z28" i="1088"/>
  <c r="I10" i="1088"/>
  <c r="J10" i="1088"/>
  <c r="K10" i="1088"/>
  <c r="L10" i="1088"/>
  <c r="M10" i="1088"/>
  <c r="N10" i="1088"/>
  <c r="O10" i="1088"/>
  <c r="I11" i="1088"/>
  <c r="J11" i="1088"/>
  <c r="K11" i="1088"/>
  <c r="L11" i="1088"/>
  <c r="M11" i="1088"/>
  <c r="N11" i="1088"/>
  <c r="O11" i="1088"/>
  <c r="I12" i="1088"/>
  <c r="J12" i="1088"/>
  <c r="K12" i="1088"/>
  <c r="L12" i="1088"/>
  <c r="M12" i="1088"/>
  <c r="N12" i="1088"/>
  <c r="O12" i="1088"/>
  <c r="I13" i="1088"/>
  <c r="J13" i="1088"/>
  <c r="K13" i="1088"/>
  <c r="L13" i="1088"/>
  <c r="M13" i="1088"/>
  <c r="N13" i="1088"/>
  <c r="O13" i="1088"/>
  <c r="I14" i="1088"/>
  <c r="J14" i="1088"/>
  <c r="K14" i="1088"/>
  <c r="L14" i="1088"/>
  <c r="M14" i="1088"/>
  <c r="N14" i="1088"/>
  <c r="O14" i="1088"/>
  <c r="I15" i="1088"/>
  <c r="J15" i="1088"/>
  <c r="K15" i="1088"/>
  <c r="L15" i="1088"/>
  <c r="M15" i="1088"/>
  <c r="N15" i="1088"/>
  <c r="O15" i="1088"/>
  <c r="I16" i="1088"/>
  <c r="J16" i="1088"/>
  <c r="K16" i="1088"/>
  <c r="L16" i="1088"/>
  <c r="M16" i="1088"/>
  <c r="N16" i="1088"/>
  <c r="O16" i="1088"/>
  <c r="C10" i="1088"/>
  <c r="D10" i="1088"/>
  <c r="E10" i="1088"/>
  <c r="F10" i="1088"/>
  <c r="G10" i="1088"/>
  <c r="C11" i="1088"/>
  <c r="D11" i="1088"/>
  <c r="E11" i="1088"/>
  <c r="F11" i="1088"/>
  <c r="G11" i="1088"/>
  <c r="C12" i="1088"/>
  <c r="D12" i="1088"/>
  <c r="E12" i="1088"/>
  <c r="F12" i="1088"/>
  <c r="G12" i="1088"/>
  <c r="C13" i="1088"/>
  <c r="D13" i="1088"/>
  <c r="E13" i="1088"/>
  <c r="F13" i="1088"/>
  <c r="G13" i="1088"/>
  <c r="C14" i="1088"/>
  <c r="D14" i="1088"/>
  <c r="E14" i="1088"/>
  <c r="F14" i="1088"/>
  <c r="G14" i="1088"/>
  <c r="C15" i="1088"/>
  <c r="D15" i="1088"/>
  <c r="E15" i="1088"/>
  <c r="F15" i="1088"/>
  <c r="G15" i="1088"/>
  <c r="C16" i="1088"/>
  <c r="D16" i="1088"/>
  <c r="E16" i="1088"/>
  <c r="F16" i="1088"/>
  <c r="G16" i="1088"/>
  <c r="R29" i="1088"/>
  <c r="S29" i="1088"/>
  <c r="T29" i="1088"/>
  <c r="U29" i="1088"/>
  <c r="V29" i="1088"/>
  <c r="W29" i="1088"/>
  <c r="X29" i="1088"/>
  <c r="Y29" i="1088"/>
  <c r="Z29" i="1088"/>
  <c r="R30" i="1088"/>
  <c r="S30" i="1088"/>
  <c r="T30" i="1088"/>
  <c r="U30" i="1088"/>
  <c r="V30" i="1088"/>
  <c r="W30" i="1088"/>
  <c r="X30" i="1088"/>
  <c r="Y30" i="1088"/>
  <c r="Z30" i="1088"/>
  <c r="R31" i="1088"/>
  <c r="S31" i="1088"/>
  <c r="T31" i="1088"/>
  <c r="U31" i="1088"/>
  <c r="V31" i="1088"/>
  <c r="W31" i="1088"/>
  <c r="X31" i="1088"/>
  <c r="Y31" i="1088"/>
  <c r="Z31" i="1088"/>
  <c r="G62" i="1088"/>
  <c r="AX64" i="1088"/>
  <c r="AW64" i="1088"/>
  <c r="AV64" i="1088"/>
  <c r="AU64" i="1088"/>
  <c r="AT64" i="1088"/>
  <c r="AS64" i="1088"/>
  <c r="AR64" i="1088"/>
  <c r="AQ64" i="1088"/>
  <c r="AP64" i="1088"/>
  <c r="AO64" i="1088"/>
  <c r="AN64" i="1088"/>
  <c r="AM64" i="1088"/>
  <c r="AL64" i="1088"/>
  <c r="AK64" i="1088"/>
  <c r="AJ64" i="1088"/>
  <c r="AI64" i="1088"/>
  <c r="AH64" i="1088"/>
  <c r="AG64" i="1088"/>
  <c r="AF64" i="1088"/>
  <c r="AE64" i="1088"/>
  <c r="AD64" i="1088"/>
  <c r="AC64" i="1088"/>
  <c r="AB64" i="1088"/>
  <c r="G64" i="1088"/>
  <c r="B64" i="1088"/>
  <c r="AX63" i="1088"/>
  <c r="AW63" i="1088"/>
  <c r="AV63" i="1088"/>
  <c r="AU63" i="1088"/>
  <c r="AT63" i="1088"/>
  <c r="AS63" i="1088"/>
  <c r="AR63" i="1088"/>
  <c r="AQ63" i="1088"/>
  <c r="AP63" i="1088"/>
  <c r="AO63" i="1088"/>
  <c r="AN63" i="1088"/>
  <c r="AM63" i="1088"/>
  <c r="AL63" i="1088"/>
  <c r="AK63" i="1088"/>
  <c r="AJ63" i="1088"/>
  <c r="AI63" i="1088"/>
  <c r="AH63" i="1088"/>
  <c r="AG63" i="1088"/>
  <c r="AF63" i="1088"/>
  <c r="AE63" i="1088"/>
  <c r="AD63" i="1088"/>
  <c r="AC63" i="1088"/>
  <c r="AB63" i="1088"/>
  <c r="AX62" i="1088"/>
  <c r="AW62" i="1088"/>
  <c r="AV62" i="1088"/>
  <c r="AU62" i="1088"/>
  <c r="AT62" i="1088"/>
  <c r="AS62" i="1088"/>
  <c r="AR62" i="1088"/>
  <c r="AQ62" i="1088"/>
  <c r="AP62" i="1088"/>
  <c r="AO62" i="1088"/>
  <c r="AN62" i="1088"/>
  <c r="AM62" i="1088"/>
  <c r="AL62" i="1088"/>
  <c r="AK62" i="1088"/>
  <c r="AJ62" i="1088"/>
  <c r="AI62" i="1088"/>
  <c r="AH62" i="1088"/>
  <c r="AG62" i="1088"/>
  <c r="AF62" i="1088"/>
  <c r="AE62" i="1088"/>
  <c r="AD62" i="1088"/>
  <c r="AC62" i="1088"/>
  <c r="AB62" i="1088"/>
  <c r="K57" i="1088"/>
  <c r="M48" i="1088"/>
  <c r="Z44" i="1088"/>
  <c r="Y44" i="1088"/>
  <c r="X44" i="1088"/>
  <c r="W44" i="1088"/>
  <c r="V44" i="1088"/>
  <c r="U44" i="1088"/>
  <c r="T44" i="1088"/>
  <c r="S44" i="1088"/>
  <c r="R44" i="1088"/>
  <c r="Z43" i="1088"/>
  <c r="Y43" i="1088"/>
  <c r="X43" i="1088"/>
  <c r="W43" i="1088"/>
  <c r="V43" i="1088"/>
  <c r="U43" i="1088"/>
  <c r="T43" i="1088"/>
  <c r="S43" i="1088"/>
  <c r="R43" i="1088"/>
  <c r="Z42" i="1088"/>
  <c r="Y42" i="1088"/>
  <c r="X42" i="1088"/>
  <c r="W42" i="1088"/>
  <c r="V42" i="1088"/>
  <c r="U42" i="1088"/>
  <c r="T42" i="1088"/>
  <c r="S42" i="1088"/>
  <c r="R42" i="1088"/>
  <c r="Z41" i="1088"/>
  <c r="Y41" i="1088"/>
  <c r="X41" i="1088"/>
  <c r="W41" i="1088"/>
  <c r="V41" i="1088"/>
  <c r="U41" i="1088"/>
  <c r="T41" i="1088"/>
  <c r="S41" i="1088"/>
  <c r="R41" i="1088"/>
  <c r="Z40" i="1088"/>
  <c r="Y40" i="1088"/>
  <c r="X40" i="1088"/>
  <c r="W40" i="1088"/>
  <c r="V40" i="1088"/>
  <c r="U40" i="1088"/>
  <c r="T40" i="1088"/>
  <c r="S40" i="1088"/>
  <c r="R40" i="1088"/>
  <c r="Z39" i="1088"/>
  <c r="Y39" i="1088"/>
  <c r="X39" i="1088"/>
  <c r="W39" i="1088"/>
  <c r="V39" i="1088"/>
  <c r="U39" i="1088"/>
  <c r="T39" i="1088"/>
  <c r="S39" i="1088"/>
  <c r="R39" i="1088"/>
  <c r="M39" i="1088"/>
  <c r="Z38" i="1088"/>
  <c r="Y38" i="1088"/>
  <c r="X38" i="1088"/>
  <c r="W38" i="1088"/>
  <c r="V38" i="1088"/>
  <c r="U38" i="1088"/>
  <c r="T38" i="1088"/>
  <c r="S38" i="1088"/>
  <c r="R38" i="1088"/>
  <c r="M38" i="1088"/>
  <c r="Z37" i="1088"/>
  <c r="Y37" i="1088"/>
  <c r="X37" i="1088"/>
  <c r="W37" i="1088"/>
  <c r="V37" i="1088"/>
  <c r="U37" i="1088"/>
  <c r="T37" i="1088"/>
  <c r="S37" i="1088"/>
  <c r="R37" i="1088"/>
  <c r="Z36" i="1088"/>
  <c r="Y36" i="1088"/>
  <c r="X36" i="1088"/>
  <c r="W36" i="1088"/>
  <c r="V36" i="1088"/>
  <c r="U36" i="1088"/>
  <c r="T36" i="1088"/>
  <c r="S36" i="1088"/>
  <c r="R36" i="1088"/>
  <c r="M36" i="1088"/>
  <c r="Z35" i="1088"/>
  <c r="Y35" i="1088"/>
  <c r="X35" i="1088"/>
  <c r="W35" i="1088"/>
  <c r="V35" i="1088"/>
  <c r="U35" i="1088"/>
  <c r="T35" i="1088"/>
  <c r="S35" i="1088"/>
  <c r="R35" i="1088"/>
  <c r="Z34" i="1088"/>
  <c r="Y34" i="1088"/>
  <c r="X34" i="1088"/>
  <c r="W34" i="1088"/>
  <c r="V34" i="1088"/>
  <c r="U34" i="1088"/>
  <c r="T34" i="1088"/>
  <c r="S34" i="1088"/>
  <c r="R34" i="1088"/>
  <c r="M34" i="1088"/>
  <c r="L34" i="1088"/>
  <c r="K34" i="1088"/>
  <c r="Z33" i="1088"/>
  <c r="Y33" i="1088"/>
  <c r="X33" i="1088"/>
  <c r="W33" i="1088"/>
  <c r="V33" i="1088"/>
  <c r="U33" i="1088"/>
  <c r="T33" i="1088"/>
  <c r="S33" i="1088"/>
  <c r="R33" i="1088"/>
  <c r="Z32" i="1088"/>
  <c r="Y32" i="1088"/>
  <c r="X32" i="1088"/>
  <c r="W32" i="1088"/>
  <c r="V32" i="1088"/>
  <c r="U32" i="1088"/>
  <c r="T32" i="1088"/>
  <c r="S32" i="1088"/>
  <c r="R32" i="1088"/>
  <c r="R10" i="1087"/>
  <c r="S10" i="1087"/>
  <c r="T10" i="1087"/>
  <c r="U10" i="1087"/>
  <c r="V10" i="1087"/>
  <c r="W10" i="1087"/>
  <c r="X10" i="1087"/>
  <c r="Y10" i="1087"/>
  <c r="Z10" i="1087"/>
  <c r="R11" i="1087"/>
  <c r="S11" i="1087"/>
  <c r="T11" i="1087"/>
  <c r="U11" i="1087"/>
  <c r="V11" i="1087"/>
  <c r="W11" i="1087"/>
  <c r="X11" i="1087"/>
  <c r="Y11" i="1087"/>
  <c r="Z11" i="1087"/>
  <c r="R12" i="1087"/>
  <c r="S12" i="1087"/>
  <c r="T12" i="1087"/>
  <c r="U12" i="1087"/>
  <c r="V12" i="1087"/>
  <c r="W12" i="1087"/>
  <c r="X12" i="1087"/>
  <c r="Y12" i="1087"/>
  <c r="Z12" i="1087"/>
  <c r="R13" i="1087"/>
  <c r="S13" i="1087"/>
  <c r="T13" i="1087"/>
  <c r="U13" i="1087"/>
  <c r="V13" i="1087"/>
  <c r="W13" i="1087"/>
  <c r="X13" i="1087"/>
  <c r="Y13" i="1087"/>
  <c r="Z13" i="1087"/>
  <c r="R14" i="1087"/>
  <c r="S14" i="1087"/>
  <c r="T14" i="1087"/>
  <c r="U14" i="1087"/>
  <c r="V14" i="1087"/>
  <c r="W14" i="1087"/>
  <c r="X14" i="1087"/>
  <c r="Y14" i="1087"/>
  <c r="Z14" i="1087"/>
  <c r="R15" i="1087"/>
  <c r="S15" i="1087"/>
  <c r="T15" i="1087"/>
  <c r="U15" i="1087"/>
  <c r="V15" i="1087"/>
  <c r="W15" i="1087"/>
  <c r="X15" i="1087"/>
  <c r="Y15" i="1087"/>
  <c r="Z15" i="1087"/>
  <c r="R16" i="1087"/>
  <c r="S16" i="1087"/>
  <c r="T16" i="1087"/>
  <c r="U16" i="1087"/>
  <c r="V16" i="1087"/>
  <c r="W16" i="1087"/>
  <c r="X16" i="1087"/>
  <c r="Y16" i="1087"/>
  <c r="Z16" i="1087"/>
  <c r="J33" i="1088" l="1"/>
  <c r="K43" i="1088"/>
  <c r="L43" i="1088" s="1"/>
  <c r="M43" i="1088" s="1"/>
  <c r="G53" i="1087"/>
  <c r="G51" i="1087"/>
  <c r="B53" i="1087" l="1"/>
  <c r="L22" i="1087"/>
  <c r="K22" i="1087"/>
  <c r="C13" i="1087"/>
  <c r="D13" i="1087"/>
  <c r="E13" i="1087"/>
  <c r="F13" i="1087"/>
  <c r="G13" i="1087"/>
  <c r="I13" i="1087"/>
  <c r="J13" i="1087"/>
  <c r="K13" i="1087"/>
  <c r="L13" i="1087"/>
  <c r="M13" i="1087"/>
  <c r="N13" i="1087"/>
  <c r="O13" i="1087"/>
  <c r="C14" i="1087"/>
  <c r="D14" i="1087"/>
  <c r="E14" i="1087"/>
  <c r="F14" i="1087"/>
  <c r="G14" i="1087"/>
  <c r="I14" i="1087"/>
  <c r="J14" i="1087"/>
  <c r="K14" i="1087"/>
  <c r="L14" i="1087"/>
  <c r="M14" i="1087"/>
  <c r="N14" i="1087"/>
  <c r="O14" i="1087"/>
  <c r="C15" i="1087"/>
  <c r="D15" i="1087"/>
  <c r="E15" i="1087"/>
  <c r="F15" i="1087"/>
  <c r="G15" i="1087"/>
  <c r="I15" i="1087"/>
  <c r="J15" i="1087"/>
  <c r="K15" i="1087"/>
  <c r="L15" i="1087"/>
  <c r="M15" i="1087"/>
  <c r="N15" i="1087"/>
  <c r="O15" i="1087"/>
  <c r="C16" i="1087"/>
  <c r="D16" i="1087"/>
  <c r="E16" i="1087"/>
  <c r="F16" i="1087"/>
  <c r="G16" i="1087"/>
  <c r="I16" i="1087"/>
  <c r="J16" i="1087"/>
  <c r="K16" i="1087"/>
  <c r="L16" i="1087"/>
  <c r="M16" i="1087"/>
  <c r="N16" i="1087"/>
  <c r="O16" i="1087"/>
  <c r="C17" i="1087"/>
  <c r="D17" i="1087"/>
  <c r="E17" i="1087"/>
  <c r="F17" i="1087"/>
  <c r="G17" i="1087"/>
  <c r="I17" i="1087"/>
  <c r="J17" i="1087"/>
  <c r="K17" i="1087"/>
  <c r="L17" i="1087"/>
  <c r="M17" i="1087"/>
  <c r="N17" i="1087"/>
  <c r="O17" i="1087"/>
  <c r="D51" i="1087" l="1"/>
  <c r="J22" i="1087"/>
  <c r="M23" i="1087" l="1"/>
  <c r="L23" i="1087"/>
  <c r="K23" i="1087"/>
  <c r="K32" i="1087" s="1"/>
  <c r="I10" i="1087"/>
  <c r="J10" i="1087"/>
  <c r="L10" i="1087"/>
  <c r="M10" i="1087"/>
  <c r="N10" i="1087"/>
  <c r="O10" i="1087"/>
  <c r="I11" i="1087"/>
  <c r="J11" i="1087"/>
  <c r="L11" i="1087"/>
  <c r="M11" i="1087"/>
  <c r="N11" i="1087"/>
  <c r="O11" i="1087"/>
  <c r="C10" i="1087"/>
  <c r="D10" i="1087"/>
  <c r="E10" i="1087"/>
  <c r="F10" i="1087"/>
  <c r="G10" i="1087"/>
  <c r="C11" i="1087"/>
  <c r="D11" i="1087"/>
  <c r="E11" i="1087"/>
  <c r="F11" i="1087"/>
  <c r="G11" i="1087"/>
  <c r="AX53" i="1087"/>
  <c r="AW53" i="1087"/>
  <c r="AV53" i="1087"/>
  <c r="AU53" i="1087"/>
  <c r="AT53" i="1087"/>
  <c r="AS53" i="1087"/>
  <c r="AR53" i="1087"/>
  <c r="AQ53" i="1087"/>
  <c r="AP53" i="1087"/>
  <c r="AO53" i="1087"/>
  <c r="AN53" i="1087"/>
  <c r="AM53" i="1087"/>
  <c r="AL53" i="1087"/>
  <c r="AK53" i="1087"/>
  <c r="AJ53" i="1087"/>
  <c r="AI53" i="1087"/>
  <c r="AH53" i="1087"/>
  <c r="AG53" i="1087"/>
  <c r="AF53" i="1087"/>
  <c r="AE53" i="1087"/>
  <c r="AD53" i="1087"/>
  <c r="AC53" i="1087"/>
  <c r="AB53" i="1087"/>
  <c r="AX52" i="1087"/>
  <c r="AW52" i="1087"/>
  <c r="AV52" i="1087"/>
  <c r="AU52" i="1087"/>
  <c r="AT52" i="1087"/>
  <c r="AS52" i="1087"/>
  <c r="AR52" i="1087"/>
  <c r="AQ52" i="1087"/>
  <c r="AP52" i="1087"/>
  <c r="AO52" i="1087"/>
  <c r="AN52" i="1087"/>
  <c r="AM52" i="1087"/>
  <c r="AL52" i="1087"/>
  <c r="AK52" i="1087"/>
  <c r="AJ52" i="1087"/>
  <c r="AI52" i="1087"/>
  <c r="AH52" i="1087"/>
  <c r="AG52" i="1087"/>
  <c r="AF52" i="1087"/>
  <c r="AE52" i="1087"/>
  <c r="AD52" i="1087"/>
  <c r="AC52" i="1087"/>
  <c r="AB52" i="1087"/>
  <c r="AX51" i="1087"/>
  <c r="AW51" i="1087"/>
  <c r="AV51" i="1087"/>
  <c r="AU51" i="1087"/>
  <c r="AT51" i="1087"/>
  <c r="AS51" i="1087"/>
  <c r="AR51" i="1087"/>
  <c r="AQ51" i="1087"/>
  <c r="AP51" i="1087"/>
  <c r="AO51" i="1087"/>
  <c r="AN51" i="1087"/>
  <c r="AM51" i="1087"/>
  <c r="AL51" i="1087"/>
  <c r="AK51" i="1087"/>
  <c r="AJ51" i="1087"/>
  <c r="AI51" i="1087"/>
  <c r="AH51" i="1087"/>
  <c r="AG51" i="1087"/>
  <c r="AF51" i="1087"/>
  <c r="AE51" i="1087"/>
  <c r="AD51" i="1087"/>
  <c r="AC51" i="1087"/>
  <c r="AB51" i="1087"/>
  <c r="L51" i="1087"/>
  <c r="C64" i="1087" s="1"/>
  <c r="B51" i="1087"/>
  <c r="K46" i="1087"/>
  <c r="Z33" i="1087"/>
  <c r="Y33" i="1087"/>
  <c r="X33" i="1087"/>
  <c r="W33" i="1087"/>
  <c r="V33" i="1087"/>
  <c r="U33" i="1087"/>
  <c r="T33" i="1087"/>
  <c r="S33" i="1087"/>
  <c r="R33" i="1087"/>
  <c r="Z32" i="1087"/>
  <c r="Y32" i="1087"/>
  <c r="X32" i="1087"/>
  <c r="W32" i="1087"/>
  <c r="V32" i="1087"/>
  <c r="U32" i="1087"/>
  <c r="T32" i="1087"/>
  <c r="S32" i="1087"/>
  <c r="R32" i="1087"/>
  <c r="Z31" i="1087"/>
  <c r="Y31" i="1087"/>
  <c r="X31" i="1087"/>
  <c r="W31" i="1087"/>
  <c r="V31" i="1087"/>
  <c r="U31" i="1087"/>
  <c r="T31" i="1087"/>
  <c r="S31" i="1087"/>
  <c r="R31" i="1087"/>
  <c r="Z30" i="1087"/>
  <c r="Y30" i="1087"/>
  <c r="X30" i="1087"/>
  <c r="W30" i="1087"/>
  <c r="V30" i="1087"/>
  <c r="U30" i="1087"/>
  <c r="T30" i="1087"/>
  <c r="S30" i="1087"/>
  <c r="R30" i="1087"/>
  <c r="Z29" i="1087"/>
  <c r="Y29" i="1087"/>
  <c r="X29" i="1087"/>
  <c r="W29" i="1087"/>
  <c r="V29" i="1087"/>
  <c r="U29" i="1087"/>
  <c r="T29" i="1087"/>
  <c r="S29" i="1087"/>
  <c r="R29" i="1087"/>
  <c r="Z28" i="1087"/>
  <c r="Y28" i="1087"/>
  <c r="X28" i="1087"/>
  <c r="W28" i="1087"/>
  <c r="V28" i="1087"/>
  <c r="U28" i="1087"/>
  <c r="T28" i="1087"/>
  <c r="S28" i="1087"/>
  <c r="R28" i="1087"/>
  <c r="M28" i="1087"/>
  <c r="Z27" i="1087"/>
  <c r="Y27" i="1087"/>
  <c r="X27" i="1087"/>
  <c r="W27" i="1087"/>
  <c r="V27" i="1087"/>
  <c r="U27" i="1087"/>
  <c r="T27" i="1087"/>
  <c r="S27" i="1087"/>
  <c r="R27" i="1087"/>
  <c r="M27" i="1087"/>
  <c r="Z26" i="1087"/>
  <c r="Y26" i="1087"/>
  <c r="X26" i="1087"/>
  <c r="W26" i="1087"/>
  <c r="V26" i="1087"/>
  <c r="U26" i="1087"/>
  <c r="T26" i="1087"/>
  <c r="S26" i="1087"/>
  <c r="R26" i="1087"/>
  <c r="Z25" i="1087"/>
  <c r="Y25" i="1087"/>
  <c r="X25" i="1087"/>
  <c r="W25" i="1087"/>
  <c r="V25" i="1087"/>
  <c r="U25" i="1087"/>
  <c r="T25" i="1087"/>
  <c r="S25" i="1087"/>
  <c r="R25" i="1087"/>
  <c r="M25" i="1087"/>
  <c r="Z24" i="1087"/>
  <c r="Y24" i="1087"/>
  <c r="X24" i="1087"/>
  <c r="W24" i="1087"/>
  <c r="V24" i="1087"/>
  <c r="U24" i="1087"/>
  <c r="T24" i="1087"/>
  <c r="S24" i="1087"/>
  <c r="R24" i="1087"/>
  <c r="M24" i="1087"/>
  <c r="Z23" i="1087"/>
  <c r="Y23" i="1087"/>
  <c r="X23" i="1087"/>
  <c r="W23" i="1087"/>
  <c r="V23" i="1087"/>
  <c r="U23" i="1087"/>
  <c r="T23" i="1087"/>
  <c r="S23" i="1087"/>
  <c r="R23" i="1087"/>
  <c r="Z22" i="1087"/>
  <c r="Y22" i="1087"/>
  <c r="X22" i="1087"/>
  <c r="W22" i="1087"/>
  <c r="V22" i="1087"/>
  <c r="U22" i="1087"/>
  <c r="T22" i="1087"/>
  <c r="S22" i="1087"/>
  <c r="R22" i="1087"/>
  <c r="Z21" i="1087"/>
  <c r="Y21" i="1087"/>
  <c r="X21" i="1087"/>
  <c r="W21" i="1087"/>
  <c r="V21" i="1087"/>
  <c r="U21" i="1087"/>
  <c r="T21" i="1087"/>
  <c r="S21" i="1087"/>
  <c r="R21" i="1087"/>
  <c r="Z20" i="1087"/>
  <c r="Y20" i="1087"/>
  <c r="X20" i="1087"/>
  <c r="W20" i="1087"/>
  <c r="V20" i="1087"/>
  <c r="U20" i="1087"/>
  <c r="T20" i="1087"/>
  <c r="S20" i="1087"/>
  <c r="R20" i="1087"/>
  <c r="Z19" i="1087"/>
  <c r="Y19" i="1087"/>
  <c r="X19" i="1087"/>
  <c r="W19" i="1087"/>
  <c r="V19" i="1087"/>
  <c r="U19" i="1087"/>
  <c r="T19" i="1087"/>
  <c r="S19" i="1087"/>
  <c r="R19" i="1087"/>
  <c r="Z18" i="1087"/>
  <c r="Y18" i="1087"/>
  <c r="X18" i="1087"/>
  <c r="W18" i="1087"/>
  <c r="V18" i="1087"/>
  <c r="U18" i="1087"/>
  <c r="T18" i="1087"/>
  <c r="S18" i="1087"/>
  <c r="R18" i="1087"/>
  <c r="Z17" i="1087"/>
  <c r="Y17" i="1087"/>
  <c r="X17" i="1087"/>
  <c r="W17" i="1087"/>
  <c r="V17" i="1087"/>
  <c r="U17" i="1087"/>
  <c r="T17" i="1087"/>
  <c r="S17" i="1087"/>
  <c r="R17" i="1087"/>
  <c r="L11" i="1086"/>
  <c r="L12" i="1086"/>
  <c r="L13" i="1086"/>
  <c r="L14" i="1086"/>
  <c r="L15" i="1086"/>
  <c r="L16" i="1086"/>
  <c r="L10" i="1086"/>
  <c r="G65" i="1086"/>
  <c r="G52" i="1086"/>
  <c r="D52" i="1086"/>
  <c r="L28" i="1094" l="1"/>
  <c r="L38" i="1094" s="1"/>
  <c r="M38" i="1094" s="1"/>
  <c r="L33" i="1093"/>
  <c r="L43" i="1093" s="1"/>
  <c r="M43" i="1093" s="1"/>
  <c r="J23" i="1087"/>
  <c r="L37" i="1087"/>
  <c r="M37" i="1087" s="1"/>
  <c r="L32" i="1087"/>
  <c r="M32" i="1087" s="1"/>
  <c r="K24" i="1086"/>
  <c r="M24" i="1086"/>
  <c r="L24" i="1086"/>
  <c r="I10" i="1086"/>
  <c r="J10" i="1086"/>
  <c r="M10" i="1086"/>
  <c r="N10" i="1086"/>
  <c r="O10" i="1086"/>
  <c r="I11" i="1086"/>
  <c r="J11" i="1086"/>
  <c r="M11" i="1086"/>
  <c r="N11" i="1086"/>
  <c r="O11" i="1086"/>
  <c r="I12" i="1086"/>
  <c r="J12" i="1086"/>
  <c r="M12" i="1086"/>
  <c r="N12" i="1086"/>
  <c r="O12" i="1086"/>
  <c r="I13" i="1086"/>
  <c r="J13" i="1086"/>
  <c r="M13" i="1086"/>
  <c r="N13" i="1086"/>
  <c r="O13" i="1086"/>
  <c r="I14" i="1086"/>
  <c r="J14" i="1086"/>
  <c r="M14" i="1086"/>
  <c r="N14" i="1086"/>
  <c r="O14" i="1086"/>
  <c r="I15" i="1086"/>
  <c r="J15" i="1086"/>
  <c r="M15" i="1086"/>
  <c r="N15" i="1086"/>
  <c r="O15" i="1086"/>
  <c r="I16" i="1086"/>
  <c r="J16" i="1086"/>
  <c r="M16" i="1086"/>
  <c r="N16" i="1086"/>
  <c r="O16" i="1086"/>
  <c r="C10" i="1086"/>
  <c r="D10" i="1086"/>
  <c r="E10" i="1086"/>
  <c r="F10" i="1086"/>
  <c r="G10" i="1086"/>
  <c r="C11" i="1086"/>
  <c r="D11" i="1086"/>
  <c r="E11" i="1086"/>
  <c r="F11" i="1086"/>
  <c r="G11" i="1086"/>
  <c r="C12" i="1086"/>
  <c r="D12" i="1086"/>
  <c r="E12" i="1086"/>
  <c r="F12" i="1086"/>
  <c r="G12" i="1086"/>
  <c r="C13" i="1086"/>
  <c r="D13" i="1086"/>
  <c r="E13" i="1086"/>
  <c r="F13" i="1086"/>
  <c r="G13" i="1086"/>
  <c r="C14" i="1086"/>
  <c r="D14" i="1086"/>
  <c r="E14" i="1086"/>
  <c r="F14" i="1086"/>
  <c r="G14" i="1086"/>
  <c r="C15" i="1086"/>
  <c r="D15" i="1086"/>
  <c r="E15" i="1086"/>
  <c r="F15" i="1086"/>
  <c r="G15" i="1086"/>
  <c r="C16" i="1086"/>
  <c r="D16" i="1086"/>
  <c r="E16" i="1086"/>
  <c r="F16" i="1086"/>
  <c r="G16" i="1086"/>
  <c r="AX54" i="1086"/>
  <c r="AW54" i="1086"/>
  <c r="AV54" i="1086"/>
  <c r="AU54" i="1086"/>
  <c r="AT54" i="1086"/>
  <c r="AS54" i="1086"/>
  <c r="AR54" i="1086"/>
  <c r="AQ54" i="1086"/>
  <c r="AP54" i="1086"/>
  <c r="AO54" i="1086"/>
  <c r="AN54" i="1086"/>
  <c r="AM54" i="1086"/>
  <c r="AL54" i="1086"/>
  <c r="AK54" i="1086"/>
  <c r="AJ54" i="1086"/>
  <c r="AI54" i="1086"/>
  <c r="AH54" i="1086"/>
  <c r="AG54" i="1086"/>
  <c r="AF54" i="1086"/>
  <c r="AE54" i="1086"/>
  <c r="AD54" i="1086"/>
  <c r="AC54" i="1086"/>
  <c r="AB54" i="1086"/>
  <c r="L54" i="1086"/>
  <c r="B54" i="1086"/>
  <c r="AX53" i="1086"/>
  <c r="AW53" i="1086"/>
  <c r="AV53" i="1086"/>
  <c r="AU53" i="1086"/>
  <c r="AT53" i="1086"/>
  <c r="AS53" i="1086"/>
  <c r="AR53" i="1086"/>
  <c r="AQ53" i="1086"/>
  <c r="AP53" i="1086"/>
  <c r="AO53" i="1086"/>
  <c r="AN53" i="1086"/>
  <c r="AM53" i="1086"/>
  <c r="AL53" i="1086"/>
  <c r="AK53" i="1086"/>
  <c r="AJ53" i="1086"/>
  <c r="AI53" i="1086"/>
  <c r="AH53" i="1086"/>
  <c r="AG53" i="1086"/>
  <c r="AF53" i="1086"/>
  <c r="AE53" i="1086"/>
  <c r="AD53" i="1086"/>
  <c r="AC53" i="1086"/>
  <c r="AB53" i="1086"/>
  <c r="AX52" i="1086"/>
  <c r="AW52" i="1086"/>
  <c r="AV52" i="1086"/>
  <c r="AU52" i="1086"/>
  <c r="AT52" i="1086"/>
  <c r="AS52" i="1086"/>
  <c r="AR52" i="1086"/>
  <c r="AQ52" i="1086"/>
  <c r="AP52" i="1086"/>
  <c r="AO52" i="1086"/>
  <c r="AN52" i="1086"/>
  <c r="AM52" i="1086"/>
  <c r="AL52" i="1086"/>
  <c r="AK52" i="1086"/>
  <c r="AJ52" i="1086"/>
  <c r="AI52" i="1086"/>
  <c r="AH52" i="1086"/>
  <c r="AG52" i="1086"/>
  <c r="AF52" i="1086"/>
  <c r="AE52" i="1086"/>
  <c r="AD52" i="1086"/>
  <c r="AC52" i="1086"/>
  <c r="AB52" i="1086"/>
  <c r="L52" i="1086"/>
  <c r="C65" i="1086" s="1"/>
  <c r="B52" i="1086"/>
  <c r="K47" i="1086"/>
  <c r="Z34" i="1086"/>
  <c r="Y34" i="1086"/>
  <c r="X34" i="1086"/>
  <c r="W34" i="1086"/>
  <c r="V34" i="1086"/>
  <c r="U34" i="1086"/>
  <c r="T34" i="1086"/>
  <c r="S34" i="1086"/>
  <c r="R34" i="1086"/>
  <c r="Z33" i="1086"/>
  <c r="Y33" i="1086"/>
  <c r="X33" i="1086"/>
  <c r="W33" i="1086"/>
  <c r="V33" i="1086"/>
  <c r="U33" i="1086"/>
  <c r="T33" i="1086"/>
  <c r="S33" i="1086"/>
  <c r="R33" i="1086"/>
  <c r="Z32" i="1086"/>
  <c r="Y32" i="1086"/>
  <c r="X32" i="1086"/>
  <c r="W32" i="1086"/>
  <c r="V32" i="1086"/>
  <c r="U32" i="1086"/>
  <c r="T32" i="1086"/>
  <c r="S32" i="1086"/>
  <c r="R32" i="1086"/>
  <c r="Z31" i="1086"/>
  <c r="Y31" i="1086"/>
  <c r="X31" i="1086"/>
  <c r="W31" i="1086"/>
  <c r="V31" i="1086"/>
  <c r="U31" i="1086"/>
  <c r="T31" i="1086"/>
  <c r="S31" i="1086"/>
  <c r="R31" i="1086"/>
  <c r="Z30" i="1086"/>
  <c r="Y30" i="1086"/>
  <c r="X30" i="1086"/>
  <c r="W30" i="1086"/>
  <c r="V30" i="1086"/>
  <c r="U30" i="1086"/>
  <c r="T30" i="1086"/>
  <c r="S30" i="1086"/>
  <c r="R30" i="1086"/>
  <c r="Z29" i="1086"/>
  <c r="Y29" i="1086"/>
  <c r="X29" i="1086"/>
  <c r="W29" i="1086"/>
  <c r="V29" i="1086"/>
  <c r="U29" i="1086"/>
  <c r="T29" i="1086"/>
  <c r="S29" i="1086"/>
  <c r="R29" i="1086"/>
  <c r="M29" i="1086"/>
  <c r="Z28" i="1086"/>
  <c r="Y28" i="1086"/>
  <c r="X28" i="1086"/>
  <c r="W28" i="1086"/>
  <c r="V28" i="1086"/>
  <c r="U28" i="1086"/>
  <c r="T28" i="1086"/>
  <c r="S28" i="1086"/>
  <c r="R28" i="1086"/>
  <c r="M28" i="1086"/>
  <c r="Z27" i="1086"/>
  <c r="Y27" i="1086"/>
  <c r="X27" i="1086"/>
  <c r="W27" i="1086"/>
  <c r="V27" i="1086"/>
  <c r="U27" i="1086"/>
  <c r="T27" i="1086"/>
  <c r="S27" i="1086"/>
  <c r="R27" i="1086"/>
  <c r="Z26" i="1086"/>
  <c r="Y26" i="1086"/>
  <c r="X26" i="1086"/>
  <c r="W26" i="1086"/>
  <c r="V26" i="1086"/>
  <c r="U26" i="1086"/>
  <c r="T26" i="1086"/>
  <c r="S26" i="1086"/>
  <c r="R26" i="1086"/>
  <c r="M26" i="1086"/>
  <c r="Z25" i="1086"/>
  <c r="Y25" i="1086"/>
  <c r="X25" i="1086"/>
  <c r="W25" i="1086"/>
  <c r="V25" i="1086"/>
  <c r="U25" i="1086"/>
  <c r="T25" i="1086"/>
  <c r="S25" i="1086"/>
  <c r="R25" i="1086"/>
  <c r="M25" i="1086"/>
  <c r="Z24" i="1086"/>
  <c r="Y24" i="1086"/>
  <c r="X24" i="1086"/>
  <c r="W24" i="1086"/>
  <c r="V24" i="1086"/>
  <c r="U24" i="1086"/>
  <c r="T24" i="1086"/>
  <c r="S24" i="1086"/>
  <c r="R24" i="1086"/>
  <c r="Z23" i="1086"/>
  <c r="Y23" i="1086"/>
  <c r="X23" i="1086"/>
  <c r="W23" i="1086"/>
  <c r="V23" i="1086"/>
  <c r="U23" i="1086"/>
  <c r="T23" i="1086"/>
  <c r="S23" i="1086"/>
  <c r="R23" i="1086"/>
  <c r="L23" i="1086"/>
  <c r="K23" i="1086"/>
  <c r="Z22" i="1086"/>
  <c r="Y22" i="1086"/>
  <c r="X22" i="1086"/>
  <c r="W22" i="1086"/>
  <c r="V22" i="1086"/>
  <c r="U22" i="1086"/>
  <c r="T22" i="1086"/>
  <c r="S22" i="1086"/>
  <c r="R22" i="1086"/>
  <c r="Z21" i="1086"/>
  <c r="Y21" i="1086"/>
  <c r="X21" i="1086"/>
  <c r="W21" i="1086"/>
  <c r="V21" i="1086"/>
  <c r="U21" i="1086"/>
  <c r="T21" i="1086"/>
  <c r="S21" i="1086"/>
  <c r="R21" i="1086"/>
  <c r="Z20" i="1086"/>
  <c r="Y20" i="1086"/>
  <c r="X20" i="1086"/>
  <c r="W20" i="1086"/>
  <c r="V20" i="1086"/>
  <c r="U20" i="1086"/>
  <c r="T20" i="1086"/>
  <c r="S20" i="1086"/>
  <c r="R20" i="1086"/>
  <c r="Z19" i="1086"/>
  <c r="Y19" i="1086"/>
  <c r="X19" i="1086"/>
  <c r="W19" i="1086"/>
  <c r="V19" i="1086"/>
  <c r="U19" i="1086"/>
  <c r="T19" i="1086"/>
  <c r="S19" i="1086"/>
  <c r="R19" i="1086"/>
  <c r="Z18" i="1086"/>
  <c r="Y18" i="1086"/>
  <c r="X18" i="1086"/>
  <c r="W18" i="1086"/>
  <c r="V18" i="1086"/>
  <c r="U18" i="1086"/>
  <c r="T18" i="1086"/>
  <c r="S18" i="1086"/>
  <c r="R18" i="1086"/>
  <c r="Z17" i="1086"/>
  <c r="Y17" i="1086"/>
  <c r="X17" i="1086"/>
  <c r="W17" i="1086"/>
  <c r="V17" i="1086"/>
  <c r="U17" i="1086"/>
  <c r="T17" i="1086"/>
  <c r="S17" i="1086"/>
  <c r="R17" i="1086"/>
  <c r="Z16" i="1086"/>
  <c r="Y16" i="1086"/>
  <c r="X16" i="1086"/>
  <c r="W16" i="1086"/>
  <c r="V16" i="1086"/>
  <c r="U16" i="1086"/>
  <c r="T16" i="1086"/>
  <c r="S16" i="1086"/>
  <c r="R16" i="1086"/>
  <c r="Z15" i="1086"/>
  <c r="Y15" i="1086"/>
  <c r="X15" i="1086"/>
  <c r="W15" i="1086"/>
  <c r="V15" i="1086"/>
  <c r="U15" i="1086"/>
  <c r="T15" i="1086"/>
  <c r="S15" i="1086"/>
  <c r="R15" i="1086"/>
  <c r="Z14" i="1086"/>
  <c r="Y14" i="1086"/>
  <c r="X14" i="1086"/>
  <c r="W14" i="1086"/>
  <c r="V14" i="1086"/>
  <c r="U14" i="1086"/>
  <c r="T14" i="1086"/>
  <c r="S14" i="1086"/>
  <c r="R14" i="1086"/>
  <c r="Z13" i="1086"/>
  <c r="Y13" i="1086"/>
  <c r="X13" i="1086"/>
  <c r="W13" i="1086"/>
  <c r="V13" i="1086"/>
  <c r="U13" i="1086"/>
  <c r="T13" i="1086"/>
  <c r="S13" i="1086"/>
  <c r="R13" i="1086"/>
  <c r="Z12" i="1086"/>
  <c r="Y12" i="1086"/>
  <c r="X12" i="1086"/>
  <c r="W12" i="1086"/>
  <c r="V12" i="1086"/>
  <c r="U12" i="1086"/>
  <c r="T12" i="1086"/>
  <c r="S12" i="1086"/>
  <c r="R12" i="1086"/>
  <c r="Z11" i="1086"/>
  <c r="Y11" i="1086"/>
  <c r="X11" i="1086"/>
  <c r="W11" i="1086"/>
  <c r="V11" i="1086"/>
  <c r="U11" i="1086"/>
  <c r="T11" i="1086"/>
  <c r="S11" i="1086"/>
  <c r="R11" i="1086"/>
  <c r="Z10" i="1086"/>
  <c r="Y10" i="1086"/>
  <c r="X10" i="1086"/>
  <c r="W10" i="1086"/>
  <c r="V10" i="1086"/>
  <c r="U10" i="1086"/>
  <c r="T10" i="1086"/>
  <c r="S10" i="1086"/>
  <c r="R10" i="1086"/>
  <c r="J60" i="19"/>
  <c r="J63" i="19"/>
  <c r="J64" i="19"/>
  <c r="J24" i="1086" l="1"/>
  <c r="K33" i="1086"/>
  <c r="L33" i="1086" s="1"/>
  <c r="M33" i="1086" s="1"/>
  <c r="L38" i="1086"/>
  <c r="M38" i="1086" s="1"/>
  <c r="G76" i="1085"/>
  <c r="G63" i="1085"/>
  <c r="D63" i="1085"/>
  <c r="L34" i="1085"/>
  <c r="K34" i="1085"/>
  <c r="M35" i="1085"/>
  <c r="L35" i="1085"/>
  <c r="K35" i="1085"/>
  <c r="R13" i="1085"/>
  <c r="S13" i="1085"/>
  <c r="T13" i="1085"/>
  <c r="U13" i="1085"/>
  <c r="V13" i="1085"/>
  <c r="W13" i="1085"/>
  <c r="X13" i="1085"/>
  <c r="Y13" i="1085"/>
  <c r="Z13" i="1085"/>
  <c r="R14" i="1085"/>
  <c r="S14" i="1085"/>
  <c r="T14" i="1085"/>
  <c r="U14" i="1085"/>
  <c r="V14" i="1085"/>
  <c r="W14" i="1085"/>
  <c r="X14" i="1085"/>
  <c r="Y14" i="1085"/>
  <c r="Z14" i="1085"/>
  <c r="R15" i="1085"/>
  <c r="S15" i="1085"/>
  <c r="T15" i="1085"/>
  <c r="U15" i="1085"/>
  <c r="V15" i="1085"/>
  <c r="W15" i="1085"/>
  <c r="X15" i="1085"/>
  <c r="Y15" i="1085"/>
  <c r="Z15" i="1085"/>
  <c r="R16" i="1085"/>
  <c r="S16" i="1085"/>
  <c r="T16" i="1085"/>
  <c r="U16" i="1085"/>
  <c r="V16" i="1085"/>
  <c r="W16" i="1085"/>
  <c r="X16" i="1085"/>
  <c r="Y16" i="1085"/>
  <c r="Z16" i="1085"/>
  <c r="R17" i="1085"/>
  <c r="S17" i="1085"/>
  <c r="T17" i="1085"/>
  <c r="U17" i="1085"/>
  <c r="V17" i="1085"/>
  <c r="W17" i="1085"/>
  <c r="X17" i="1085"/>
  <c r="Y17" i="1085"/>
  <c r="Z17" i="1085"/>
  <c r="R18" i="1085"/>
  <c r="S18" i="1085"/>
  <c r="T18" i="1085"/>
  <c r="U18" i="1085"/>
  <c r="V18" i="1085"/>
  <c r="W18" i="1085"/>
  <c r="X18" i="1085"/>
  <c r="Y18" i="1085"/>
  <c r="Z18" i="1085"/>
  <c r="R19" i="1085"/>
  <c r="S19" i="1085"/>
  <c r="T19" i="1085"/>
  <c r="U19" i="1085"/>
  <c r="V19" i="1085"/>
  <c r="W19" i="1085"/>
  <c r="X19" i="1085"/>
  <c r="Y19" i="1085"/>
  <c r="Z19" i="1085"/>
  <c r="R20" i="1085"/>
  <c r="S20" i="1085"/>
  <c r="T20" i="1085"/>
  <c r="U20" i="1085"/>
  <c r="V20" i="1085"/>
  <c r="W20" i="1085"/>
  <c r="X20" i="1085"/>
  <c r="Y20" i="1085"/>
  <c r="Z20" i="1085"/>
  <c r="R21" i="1085"/>
  <c r="S21" i="1085"/>
  <c r="T21" i="1085"/>
  <c r="U21" i="1085"/>
  <c r="V21" i="1085"/>
  <c r="W21" i="1085"/>
  <c r="X21" i="1085"/>
  <c r="Y21" i="1085"/>
  <c r="Z21" i="1085"/>
  <c r="R22" i="1085"/>
  <c r="S22" i="1085"/>
  <c r="T22" i="1085"/>
  <c r="U22" i="1085"/>
  <c r="V22" i="1085"/>
  <c r="W22" i="1085"/>
  <c r="X22" i="1085"/>
  <c r="Y22" i="1085"/>
  <c r="Z22" i="1085"/>
  <c r="R23" i="1085"/>
  <c r="S23" i="1085"/>
  <c r="T23" i="1085"/>
  <c r="U23" i="1085"/>
  <c r="V23" i="1085"/>
  <c r="W23" i="1085"/>
  <c r="X23" i="1085"/>
  <c r="Y23" i="1085"/>
  <c r="Z23" i="1085"/>
  <c r="R24" i="1085"/>
  <c r="S24" i="1085"/>
  <c r="T24" i="1085"/>
  <c r="U24" i="1085"/>
  <c r="V24" i="1085"/>
  <c r="W24" i="1085"/>
  <c r="X24" i="1085"/>
  <c r="Y24" i="1085"/>
  <c r="Z24" i="1085"/>
  <c r="R25" i="1085"/>
  <c r="S25" i="1085"/>
  <c r="T25" i="1085"/>
  <c r="U25" i="1085"/>
  <c r="V25" i="1085"/>
  <c r="W25" i="1085"/>
  <c r="X25" i="1085"/>
  <c r="Y25" i="1085"/>
  <c r="Z25" i="1085"/>
  <c r="R26" i="1085"/>
  <c r="S26" i="1085"/>
  <c r="T26" i="1085"/>
  <c r="U26" i="1085"/>
  <c r="V26" i="1085"/>
  <c r="W26" i="1085"/>
  <c r="X26" i="1085"/>
  <c r="Y26" i="1085"/>
  <c r="Z26" i="1085"/>
  <c r="R27" i="1085"/>
  <c r="S27" i="1085"/>
  <c r="T27" i="1085"/>
  <c r="U27" i="1085"/>
  <c r="V27" i="1085"/>
  <c r="W27" i="1085"/>
  <c r="X27" i="1085"/>
  <c r="Y27" i="1085"/>
  <c r="Z27" i="1085"/>
  <c r="R28" i="1085"/>
  <c r="S28" i="1085"/>
  <c r="T28" i="1085"/>
  <c r="U28" i="1085"/>
  <c r="V28" i="1085"/>
  <c r="W28" i="1085"/>
  <c r="X28" i="1085"/>
  <c r="Y28" i="1085"/>
  <c r="Z28" i="1085"/>
  <c r="R29" i="1085"/>
  <c r="S29" i="1085"/>
  <c r="T29" i="1085"/>
  <c r="U29" i="1085"/>
  <c r="V29" i="1085"/>
  <c r="W29" i="1085"/>
  <c r="X29" i="1085"/>
  <c r="Y29" i="1085"/>
  <c r="Z29" i="1085"/>
  <c r="R30" i="1085"/>
  <c r="S30" i="1085"/>
  <c r="T30" i="1085"/>
  <c r="U30" i="1085"/>
  <c r="V30" i="1085"/>
  <c r="W30" i="1085"/>
  <c r="X30" i="1085"/>
  <c r="Y30" i="1085"/>
  <c r="Z30" i="1085"/>
  <c r="I16" i="1085"/>
  <c r="J16" i="1085"/>
  <c r="L16" i="1085"/>
  <c r="M16" i="1085"/>
  <c r="N16" i="1085"/>
  <c r="O16" i="1085"/>
  <c r="I17" i="1085"/>
  <c r="J17" i="1085"/>
  <c r="L17" i="1085"/>
  <c r="M17" i="1085"/>
  <c r="N17" i="1085"/>
  <c r="O17" i="1085"/>
  <c r="I18" i="1085"/>
  <c r="J18" i="1085"/>
  <c r="L18" i="1085"/>
  <c r="M18" i="1085"/>
  <c r="N18" i="1085"/>
  <c r="O18" i="1085"/>
  <c r="I19" i="1085"/>
  <c r="J19" i="1085"/>
  <c r="L19" i="1085"/>
  <c r="M19" i="1085"/>
  <c r="N19" i="1085"/>
  <c r="O19" i="1085"/>
  <c r="C16" i="1085"/>
  <c r="D16" i="1085"/>
  <c r="E16" i="1085"/>
  <c r="F16" i="1085"/>
  <c r="G16" i="1085"/>
  <c r="C17" i="1085"/>
  <c r="D17" i="1085"/>
  <c r="E17" i="1085"/>
  <c r="F17" i="1085"/>
  <c r="G17" i="1085"/>
  <c r="C18" i="1085"/>
  <c r="D18" i="1085"/>
  <c r="E18" i="1085"/>
  <c r="F18" i="1085"/>
  <c r="G18" i="1085"/>
  <c r="C19" i="1085"/>
  <c r="D19" i="1085"/>
  <c r="E19" i="1085"/>
  <c r="F19" i="1085"/>
  <c r="G19" i="1085"/>
  <c r="O20" i="1085"/>
  <c r="N20" i="1085"/>
  <c r="M20" i="1085"/>
  <c r="L20" i="1085"/>
  <c r="J20" i="1085"/>
  <c r="I20" i="1085"/>
  <c r="G20" i="1085"/>
  <c r="F20" i="1085"/>
  <c r="E20" i="1085"/>
  <c r="D20" i="1085"/>
  <c r="C20" i="1085"/>
  <c r="I10" i="1085"/>
  <c r="J10" i="1085"/>
  <c r="K10" i="1085"/>
  <c r="L10" i="1085"/>
  <c r="M10" i="1085"/>
  <c r="N10" i="1085"/>
  <c r="O10" i="1085"/>
  <c r="I11" i="1085"/>
  <c r="J11" i="1085"/>
  <c r="K11" i="1085"/>
  <c r="L11" i="1085"/>
  <c r="M11" i="1085"/>
  <c r="N11" i="1085"/>
  <c r="O11" i="1085"/>
  <c r="I12" i="1085"/>
  <c r="J12" i="1085"/>
  <c r="K12" i="1085"/>
  <c r="L12" i="1085"/>
  <c r="M12" i="1085"/>
  <c r="N12" i="1085"/>
  <c r="O12" i="1085"/>
  <c r="I13" i="1085"/>
  <c r="J13" i="1085"/>
  <c r="K13" i="1085"/>
  <c r="L13" i="1085"/>
  <c r="M13" i="1085"/>
  <c r="N13" i="1085"/>
  <c r="O13" i="1085"/>
  <c r="C10" i="1085"/>
  <c r="D10" i="1085"/>
  <c r="E10" i="1085"/>
  <c r="F10" i="1085"/>
  <c r="G10" i="1085"/>
  <c r="C11" i="1085"/>
  <c r="D11" i="1085"/>
  <c r="E11" i="1085"/>
  <c r="F11" i="1085"/>
  <c r="G11" i="1085"/>
  <c r="C12" i="1085"/>
  <c r="D12" i="1085"/>
  <c r="E12" i="1085"/>
  <c r="F12" i="1085"/>
  <c r="G12" i="1085"/>
  <c r="C13" i="1085"/>
  <c r="D13" i="1085"/>
  <c r="E13" i="1085"/>
  <c r="F13" i="1085"/>
  <c r="G13" i="1085"/>
  <c r="R10" i="1085"/>
  <c r="S10" i="1085"/>
  <c r="T10" i="1085"/>
  <c r="U10" i="1085"/>
  <c r="V10" i="1085"/>
  <c r="W10" i="1085"/>
  <c r="X10" i="1085"/>
  <c r="Y10" i="1085"/>
  <c r="Z10" i="1085"/>
  <c r="R11" i="1085"/>
  <c r="S11" i="1085"/>
  <c r="T11" i="1085"/>
  <c r="U11" i="1085"/>
  <c r="V11" i="1085"/>
  <c r="W11" i="1085"/>
  <c r="X11" i="1085"/>
  <c r="Y11" i="1085"/>
  <c r="Z11" i="1085"/>
  <c r="R12" i="1085"/>
  <c r="S12" i="1085"/>
  <c r="T12" i="1085"/>
  <c r="U12" i="1085"/>
  <c r="V12" i="1085"/>
  <c r="W12" i="1085"/>
  <c r="X12" i="1085"/>
  <c r="Y12" i="1085"/>
  <c r="Z12" i="1085"/>
  <c r="AX65" i="1085"/>
  <c r="AW65" i="1085"/>
  <c r="AV65" i="1085"/>
  <c r="AU65" i="1085"/>
  <c r="AT65" i="1085"/>
  <c r="AS65" i="1085"/>
  <c r="AR65" i="1085"/>
  <c r="AQ65" i="1085"/>
  <c r="AP65" i="1085"/>
  <c r="AO65" i="1085"/>
  <c r="AN65" i="1085"/>
  <c r="AM65" i="1085"/>
  <c r="AL65" i="1085"/>
  <c r="AK65" i="1085"/>
  <c r="AJ65" i="1085"/>
  <c r="AI65" i="1085"/>
  <c r="AH65" i="1085"/>
  <c r="AG65" i="1085"/>
  <c r="AF65" i="1085"/>
  <c r="AE65" i="1085"/>
  <c r="AD65" i="1085"/>
  <c r="AC65" i="1085"/>
  <c r="AB65" i="1085"/>
  <c r="L65" i="1085"/>
  <c r="B65" i="1085"/>
  <c r="AX64" i="1085"/>
  <c r="AW64" i="1085"/>
  <c r="AV64" i="1085"/>
  <c r="AU64" i="1085"/>
  <c r="AT64" i="1085"/>
  <c r="AS64" i="1085"/>
  <c r="AR64" i="1085"/>
  <c r="AQ64" i="1085"/>
  <c r="AP64" i="1085"/>
  <c r="AO64" i="1085"/>
  <c r="AN64" i="1085"/>
  <c r="AM64" i="1085"/>
  <c r="AL64" i="1085"/>
  <c r="AK64" i="1085"/>
  <c r="AJ64" i="1085"/>
  <c r="AI64" i="1085"/>
  <c r="AH64" i="1085"/>
  <c r="AG64" i="1085"/>
  <c r="AF64" i="1085"/>
  <c r="AE64" i="1085"/>
  <c r="AD64" i="1085"/>
  <c r="AC64" i="1085"/>
  <c r="AB64" i="1085"/>
  <c r="AX63" i="1085"/>
  <c r="AW63" i="1085"/>
  <c r="AV63" i="1085"/>
  <c r="AU63" i="1085"/>
  <c r="AT63" i="1085"/>
  <c r="AS63" i="1085"/>
  <c r="AR63" i="1085"/>
  <c r="AQ63" i="1085"/>
  <c r="AP63" i="1085"/>
  <c r="AO63" i="1085"/>
  <c r="AN63" i="1085"/>
  <c r="AM63" i="1085"/>
  <c r="AL63" i="1085"/>
  <c r="AK63" i="1085"/>
  <c r="AJ63" i="1085"/>
  <c r="AI63" i="1085"/>
  <c r="AH63" i="1085"/>
  <c r="AG63" i="1085"/>
  <c r="AF63" i="1085"/>
  <c r="AE63" i="1085"/>
  <c r="AD63" i="1085"/>
  <c r="AC63" i="1085"/>
  <c r="AB63" i="1085"/>
  <c r="B63" i="1085"/>
  <c r="K58" i="1085"/>
  <c r="L49" i="1085" s="1"/>
  <c r="M49" i="1085" s="1"/>
  <c r="Z45" i="1085"/>
  <c r="Y45" i="1085"/>
  <c r="X45" i="1085"/>
  <c r="W45" i="1085"/>
  <c r="V45" i="1085"/>
  <c r="U45" i="1085"/>
  <c r="T45" i="1085"/>
  <c r="S45" i="1085"/>
  <c r="R45" i="1085"/>
  <c r="Z44" i="1085"/>
  <c r="Y44" i="1085"/>
  <c r="X44" i="1085"/>
  <c r="W44" i="1085"/>
  <c r="V44" i="1085"/>
  <c r="U44" i="1085"/>
  <c r="T44" i="1085"/>
  <c r="S44" i="1085"/>
  <c r="R44" i="1085"/>
  <c r="Z43" i="1085"/>
  <c r="Y43" i="1085"/>
  <c r="X43" i="1085"/>
  <c r="W43" i="1085"/>
  <c r="V43" i="1085"/>
  <c r="U43" i="1085"/>
  <c r="T43" i="1085"/>
  <c r="S43" i="1085"/>
  <c r="R43" i="1085"/>
  <c r="Z42" i="1085"/>
  <c r="Y42" i="1085"/>
  <c r="X42" i="1085"/>
  <c r="W42" i="1085"/>
  <c r="V42" i="1085"/>
  <c r="U42" i="1085"/>
  <c r="T42" i="1085"/>
  <c r="S42" i="1085"/>
  <c r="R42" i="1085"/>
  <c r="Z41" i="1085"/>
  <c r="Y41" i="1085"/>
  <c r="X41" i="1085"/>
  <c r="W41" i="1085"/>
  <c r="V41" i="1085"/>
  <c r="U41" i="1085"/>
  <c r="T41" i="1085"/>
  <c r="S41" i="1085"/>
  <c r="R41" i="1085"/>
  <c r="Z40" i="1085"/>
  <c r="Y40" i="1085"/>
  <c r="X40" i="1085"/>
  <c r="W40" i="1085"/>
  <c r="V40" i="1085"/>
  <c r="U40" i="1085"/>
  <c r="T40" i="1085"/>
  <c r="S40" i="1085"/>
  <c r="R40" i="1085"/>
  <c r="M40" i="1085"/>
  <c r="Z39" i="1085"/>
  <c r="Y39" i="1085"/>
  <c r="X39" i="1085"/>
  <c r="W39" i="1085"/>
  <c r="V39" i="1085"/>
  <c r="U39" i="1085"/>
  <c r="T39" i="1085"/>
  <c r="S39" i="1085"/>
  <c r="R39" i="1085"/>
  <c r="M39" i="1085"/>
  <c r="Z38" i="1085"/>
  <c r="Y38" i="1085"/>
  <c r="X38" i="1085"/>
  <c r="W38" i="1085"/>
  <c r="V38" i="1085"/>
  <c r="U38" i="1085"/>
  <c r="T38" i="1085"/>
  <c r="S38" i="1085"/>
  <c r="R38" i="1085"/>
  <c r="Z37" i="1085"/>
  <c r="Y37" i="1085"/>
  <c r="X37" i="1085"/>
  <c r="W37" i="1085"/>
  <c r="V37" i="1085"/>
  <c r="U37" i="1085"/>
  <c r="T37" i="1085"/>
  <c r="S37" i="1085"/>
  <c r="R37" i="1085"/>
  <c r="M37" i="1085"/>
  <c r="Z36" i="1085"/>
  <c r="Y36" i="1085"/>
  <c r="X36" i="1085"/>
  <c r="W36" i="1085"/>
  <c r="V36" i="1085"/>
  <c r="U36" i="1085"/>
  <c r="T36" i="1085"/>
  <c r="S36" i="1085"/>
  <c r="R36" i="1085"/>
  <c r="M36" i="1085"/>
  <c r="Z35" i="1085"/>
  <c r="Y35" i="1085"/>
  <c r="X35" i="1085"/>
  <c r="W35" i="1085"/>
  <c r="V35" i="1085"/>
  <c r="U35" i="1085"/>
  <c r="T35" i="1085"/>
  <c r="S35" i="1085"/>
  <c r="R35" i="1085"/>
  <c r="Z34" i="1085"/>
  <c r="Y34" i="1085"/>
  <c r="X34" i="1085"/>
  <c r="W34" i="1085"/>
  <c r="V34" i="1085"/>
  <c r="U34" i="1085"/>
  <c r="T34" i="1085"/>
  <c r="S34" i="1085"/>
  <c r="R34" i="1085"/>
  <c r="Z33" i="1085"/>
  <c r="Y33" i="1085"/>
  <c r="X33" i="1085"/>
  <c r="W33" i="1085"/>
  <c r="V33" i="1085"/>
  <c r="U33" i="1085"/>
  <c r="T33" i="1085"/>
  <c r="S33" i="1085"/>
  <c r="R33" i="1085"/>
  <c r="Z32" i="1085"/>
  <c r="Y32" i="1085"/>
  <c r="X32" i="1085"/>
  <c r="W32" i="1085"/>
  <c r="V32" i="1085"/>
  <c r="U32" i="1085"/>
  <c r="T32" i="1085"/>
  <c r="S32" i="1085"/>
  <c r="R32" i="1085"/>
  <c r="Z31" i="1085"/>
  <c r="Y31" i="1085"/>
  <c r="X31" i="1085"/>
  <c r="W31" i="1085"/>
  <c r="V31" i="1085"/>
  <c r="U31" i="1085"/>
  <c r="T31" i="1085"/>
  <c r="S31" i="1085"/>
  <c r="R31" i="1085"/>
  <c r="L63" i="1085" l="1"/>
  <c r="C76" i="1085" s="1"/>
  <c r="J34" i="1085"/>
  <c r="J35" i="1085"/>
  <c r="K44" i="1085"/>
  <c r="L44" i="1085" s="1"/>
  <c r="M44" i="1085" s="1"/>
  <c r="G58" i="1084"/>
  <c r="G56" i="1084"/>
  <c r="D56" i="1084"/>
  <c r="G57" i="1082"/>
  <c r="B58" i="1084"/>
  <c r="L42" i="1084"/>
  <c r="L27" i="1084"/>
  <c r="K27" i="1084"/>
  <c r="R10" i="1084"/>
  <c r="S10" i="1084"/>
  <c r="T10" i="1084"/>
  <c r="U10" i="1084"/>
  <c r="V10" i="1084"/>
  <c r="W10" i="1084"/>
  <c r="X10" i="1084"/>
  <c r="Y10" i="1084"/>
  <c r="Z10" i="1084"/>
  <c r="R11" i="1084"/>
  <c r="S11" i="1084"/>
  <c r="T11" i="1084"/>
  <c r="U11" i="1084"/>
  <c r="V11" i="1084"/>
  <c r="W11" i="1084"/>
  <c r="X11" i="1084"/>
  <c r="Y11" i="1084"/>
  <c r="Z11" i="1084"/>
  <c r="R12" i="1084"/>
  <c r="S12" i="1084"/>
  <c r="T12" i="1084"/>
  <c r="U12" i="1084"/>
  <c r="V12" i="1084"/>
  <c r="W12" i="1084"/>
  <c r="X12" i="1084"/>
  <c r="Y12" i="1084"/>
  <c r="Z12" i="1084"/>
  <c r="R13" i="1084"/>
  <c r="S13" i="1084"/>
  <c r="T13" i="1084"/>
  <c r="U13" i="1084"/>
  <c r="V13" i="1084"/>
  <c r="W13" i="1084"/>
  <c r="X13" i="1084"/>
  <c r="Y13" i="1084"/>
  <c r="Z13" i="1084"/>
  <c r="R14" i="1084"/>
  <c r="S14" i="1084"/>
  <c r="T14" i="1084"/>
  <c r="U14" i="1084"/>
  <c r="V14" i="1084"/>
  <c r="W14" i="1084"/>
  <c r="X14" i="1084"/>
  <c r="Y14" i="1084"/>
  <c r="Z14" i="1084"/>
  <c r="R15" i="1084"/>
  <c r="S15" i="1084"/>
  <c r="T15" i="1084"/>
  <c r="U15" i="1084"/>
  <c r="V15" i="1084"/>
  <c r="W15" i="1084"/>
  <c r="X15" i="1084"/>
  <c r="Y15" i="1084"/>
  <c r="Z15" i="1084"/>
  <c r="R16" i="1084"/>
  <c r="S16" i="1084"/>
  <c r="T16" i="1084"/>
  <c r="U16" i="1084"/>
  <c r="V16" i="1084"/>
  <c r="W16" i="1084"/>
  <c r="X16" i="1084"/>
  <c r="Y16" i="1084"/>
  <c r="Z16" i="1084"/>
  <c r="R17" i="1084"/>
  <c r="S17" i="1084"/>
  <c r="T17" i="1084"/>
  <c r="U17" i="1084"/>
  <c r="V17" i="1084"/>
  <c r="W17" i="1084"/>
  <c r="X17" i="1084"/>
  <c r="Y17" i="1084"/>
  <c r="Z17" i="1084"/>
  <c r="R18" i="1084"/>
  <c r="S18" i="1084"/>
  <c r="T18" i="1084"/>
  <c r="U18" i="1084"/>
  <c r="V18" i="1084"/>
  <c r="W18" i="1084"/>
  <c r="X18" i="1084"/>
  <c r="Y18" i="1084"/>
  <c r="Z18" i="1084"/>
  <c r="R19" i="1084"/>
  <c r="S19" i="1084"/>
  <c r="T19" i="1084"/>
  <c r="U19" i="1084"/>
  <c r="V19" i="1084"/>
  <c r="W19" i="1084"/>
  <c r="X19" i="1084"/>
  <c r="Y19" i="1084"/>
  <c r="Z19" i="1084"/>
  <c r="I10" i="1084"/>
  <c r="J10" i="1084"/>
  <c r="K10" i="1084"/>
  <c r="L10" i="1084"/>
  <c r="M10" i="1084"/>
  <c r="N10" i="1084"/>
  <c r="O10" i="1084"/>
  <c r="I11" i="1084"/>
  <c r="J11" i="1084"/>
  <c r="K11" i="1084"/>
  <c r="L11" i="1084"/>
  <c r="M11" i="1084"/>
  <c r="N11" i="1084"/>
  <c r="O11" i="1084"/>
  <c r="I12" i="1084"/>
  <c r="J12" i="1084"/>
  <c r="K12" i="1084"/>
  <c r="L12" i="1084"/>
  <c r="M12" i="1084"/>
  <c r="N12" i="1084"/>
  <c r="O12" i="1084"/>
  <c r="I13" i="1084"/>
  <c r="J13" i="1084"/>
  <c r="K13" i="1084"/>
  <c r="L13" i="1084"/>
  <c r="M13" i="1084"/>
  <c r="N13" i="1084"/>
  <c r="O13" i="1084"/>
  <c r="I14" i="1084"/>
  <c r="J14" i="1084"/>
  <c r="K14" i="1084"/>
  <c r="L14" i="1084"/>
  <c r="M14" i="1084"/>
  <c r="N14" i="1084"/>
  <c r="O14" i="1084"/>
  <c r="I15" i="1084"/>
  <c r="J15" i="1084"/>
  <c r="K15" i="1084"/>
  <c r="L15" i="1084"/>
  <c r="M15" i="1084"/>
  <c r="N15" i="1084"/>
  <c r="O15" i="1084"/>
  <c r="I16" i="1084"/>
  <c r="J16" i="1084"/>
  <c r="K16" i="1084"/>
  <c r="L16" i="1084"/>
  <c r="M16" i="1084"/>
  <c r="N16" i="1084"/>
  <c r="O16" i="1084"/>
  <c r="I17" i="1084"/>
  <c r="J17" i="1084"/>
  <c r="K17" i="1084"/>
  <c r="L17" i="1084"/>
  <c r="M17" i="1084"/>
  <c r="N17" i="1084"/>
  <c r="O17" i="1084"/>
  <c r="C10" i="1084"/>
  <c r="D10" i="1084"/>
  <c r="E10" i="1084"/>
  <c r="F10" i="1084"/>
  <c r="G10" i="1084"/>
  <c r="C11" i="1084"/>
  <c r="D11" i="1084"/>
  <c r="E11" i="1084"/>
  <c r="F11" i="1084"/>
  <c r="G11" i="1084"/>
  <c r="C12" i="1084"/>
  <c r="D12" i="1084"/>
  <c r="E12" i="1084"/>
  <c r="F12" i="1084"/>
  <c r="G12" i="1084"/>
  <c r="C13" i="1084"/>
  <c r="D13" i="1084"/>
  <c r="E13" i="1084"/>
  <c r="F13" i="1084"/>
  <c r="G13" i="1084"/>
  <c r="C14" i="1084"/>
  <c r="D14" i="1084"/>
  <c r="E14" i="1084"/>
  <c r="F14" i="1084"/>
  <c r="G14" i="1084"/>
  <c r="C15" i="1084"/>
  <c r="D15" i="1084"/>
  <c r="E15" i="1084"/>
  <c r="F15" i="1084"/>
  <c r="G15" i="1084"/>
  <c r="C16" i="1084"/>
  <c r="D16" i="1084"/>
  <c r="E16" i="1084"/>
  <c r="F16" i="1084"/>
  <c r="G16" i="1084"/>
  <c r="C17" i="1084"/>
  <c r="D17" i="1084"/>
  <c r="E17" i="1084"/>
  <c r="F17" i="1084"/>
  <c r="G17" i="1084"/>
  <c r="AX58" i="1084"/>
  <c r="AW58" i="1084"/>
  <c r="AV58" i="1084"/>
  <c r="AU58" i="1084"/>
  <c r="AT58" i="1084"/>
  <c r="AS58" i="1084"/>
  <c r="AR58" i="1084"/>
  <c r="AQ58" i="1084"/>
  <c r="AP58" i="1084"/>
  <c r="AO58" i="1084"/>
  <c r="AN58" i="1084"/>
  <c r="AM58" i="1084"/>
  <c r="AL58" i="1084"/>
  <c r="AK58" i="1084"/>
  <c r="AJ58" i="1084"/>
  <c r="AI58" i="1084"/>
  <c r="AH58" i="1084"/>
  <c r="AG58" i="1084"/>
  <c r="AF58" i="1084"/>
  <c r="AE58" i="1084"/>
  <c r="AD58" i="1084"/>
  <c r="AC58" i="1084"/>
  <c r="AB58" i="1084"/>
  <c r="AX57" i="1084"/>
  <c r="AW57" i="1084"/>
  <c r="AV57" i="1084"/>
  <c r="AU57" i="1084"/>
  <c r="AT57" i="1084"/>
  <c r="AS57" i="1084"/>
  <c r="AR57" i="1084"/>
  <c r="AQ57" i="1084"/>
  <c r="AP57" i="1084"/>
  <c r="AO57" i="1084"/>
  <c r="AN57" i="1084"/>
  <c r="AM57" i="1084"/>
  <c r="AL57" i="1084"/>
  <c r="AK57" i="1084"/>
  <c r="AJ57" i="1084"/>
  <c r="AI57" i="1084"/>
  <c r="AH57" i="1084"/>
  <c r="AG57" i="1084"/>
  <c r="AF57" i="1084"/>
  <c r="AE57" i="1084"/>
  <c r="AD57" i="1084"/>
  <c r="AC57" i="1084"/>
  <c r="AB57" i="1084"/>
  <c r="AX56" i="1084"/>
  <c r="AW56" i="1084"/>
  <c r="AV56" i="1084"/>
  <c r="AU56" i="1084"/>
  <c r="AT56" i="1084"/>
  <c r="AS56" i="1084"/>
  <c r="AR56" i="1084"/>
  <c r="AQ56" i="1084"/>
  <c r="AP56" i="1084"/>
  <c r="AO56" i="1084"/>
  <c r="AN56" i="1084"/>
  <c r="AM56" i="1084"/>
  <c r="AL56" i="1084"/>
  <c r="AK56" i="1084"/>
  <c r="AJ56" i="1084"/>
  <c r="AI56" i="1084"/>
  <c r="AH56" i="1084"/>
  <c r="AG56" i="1084"/>
  <c r="AF56" i="1084"/>
  <c r="AE56" i="1084"/>
  <c r="AD56" i="1084"/>
  <c r="AC56" i="1084"/>
  <c r="AB56" i="1084"/>
  <c r="B56" i="1084"/>
  <c r="K51" i="1084"/>
  <c r="M42" i="1084"/>
  <c r="Z38" i="1084"/>
  <c r="Y38" i="1084"/>
  <c r="X38" i="1084"/>
  <c r="W38" i="1084"/>
  <c r="V38" i="1084"/>
  <c r="U38" i="1084"/>
  <c r="T38" i="1084"/>
  <c r="S38" i="1084"/>
  <c r="R38" i="1084"/>
  <c r="Z37" i="1084"/>
  <c r="Y37" i="1084"/>
  <c r="X37" i="1084"/>
  <c r="W37" i="1084"/>
  <c r="V37" i="1084"/>
  <c r="U37" i="1084"/>
  <c r="T37" i="1084"/>
  <c r="S37" i="1084"/>
  <c r="R37" i="1084"/>
  <c r="Z36" i="1084"/>
  <c r="Y36" i="1084"/>
  <c r="X36" i="1084"/>
  <c r="W36" i="1084"/>
  <c r="V36" i="1084"/>
  <c r="U36" i="1084"/>
  <c r="T36" i="1084"/>
  <c r="S36" i="1084"/>
  <c r="R36" i="1084"/>
  <c r="Z35" i="1084"/>
  <c r="Y35" i="1084"/>
  <c r="X35" i="1084"/>
  <c r="W35" i="1084"/>
  <c r="V35" i="1084"/>
  <c r="U35" i="1084"/>
  <c r="T35" i="1084"/>
  <c r="S35" i="1084"/>
  <c r="R35" i="1084"/>
  <c r="Z34" i="1084"/>
  <c r="Y34" i="1084"/>
  <c r="X34" i="1084"/>
  <c r="W34" i="1084"/>
  <c r="V34" i="1084"/>
  <c r="U34" i="1084"/>
  <c r="T34" i="1084"/>
  <c r="S34" i="1084"/>
  <c r="R34" i="1084"/>
  <c r="Z33" i="1084"/>
  <c r="Y33" i="1084"/>
  <c r="X33" i="1084"/>
  <c r="W33" i="1084"/>
  <c r="V33" i="1084"/>
  <c r="U33" i="1084"/>
  <c r="T33" i="1084"/>
  <c r="S33" i="1084"/>
  <c r="R33" i="1084"/>
  <c r="M33" i="1084"/>
  <c r="Z32" i="1084"/>
  <c r="Y32" i="1084"/>
  <c r="X32" i="1084"/>
  <c r="W32" i="1084"/>
  <c r="V32" i="1084"/>
  <c r="U32" i="1084"/>
  <c r="T32" i="1084"/>
  <c r="S32" i="1084"/>
  <c r="R32" i="1084"/>
  <c r="M32" i="1084"/>
  <c r="Z31" i="1084"/>
  <c r="Y31" i="1084"/>
  <c r="X31" i="1084"/>
  <c r="W31" i="1084"/>
  <c r="V31" i="1084"/>
  <c r="U31" i="1084"/>
  <c r="T31" i="1084"/>
  <c r="S31" i="1084"/>
  <c r="R31" i="1084"/>
  <c r="Z30" i="1084"/>
  <c r="Y30" i="1084"/>
  <c r="X30" i="1084"/>
  <c r="W30" i="1084"/>
  <c r="V30" i="1084"/>
  <c r="U30" i="1084"/>
  <c r="T30" i="1084"/>
  <c r="S30" i="1084"/>
  <c r="R30" i="1084"/>
  <c r="M30" i="1084"/>
  <c r="Z29" i="1084"/>
  <c r="Y29" i="1084"/>
  <c r="X29" i="1084"/>
  <c r="W29" i="1084"/>
  <c r="V29" i="1084"/>
  <c r="U29" i="1084"/>
  <c r="T29" i="1084"/>
  <c r="S29" i="1084"/>
  <c r="R29" i="1084"/>
  <c r="M29" i="1084"/>
  <c r="Z28" i="1084"/>
  <c r="Y28" i="1084"/>
  <c r="X28" i="1084"/>
  <c r="W28" i="1084"/>
  <c r="V28" i="1084"/>
  <c r="U28" i="1084"/>
  <c r="T28" i="1084"/>
  <c r="S28" i="1084"/>
  <c r="R28" i="1084"/>
  <c r="M28" i="1084"/>
  <c r="L28" i="1084"/>
  <c r="K28" i="1084"/>
  <c r="Z27" i="1084"/>
  <c r="Y27" i="1084"/>
  <c r="X27" i="1084"/>
  <c r="W27" i="1084"/>
  <c r="V27" i="1084"/>
  <c r="U27" i="1084"/>
  <c r="T27" i="1084"/>
  <c r="S27" i="1084"/>
  <c r="R27" i="1084"/>
  <c r="Z26" i="1084"/>
  <c r="Y26" i="1084"/>
  <c r="X26" i="1084"/>
  <c r="W26" i="1084"/>
  <c r="V26" i="1084"/>
  <c r="U26" i="1084"/>
  <c r="T26" i="1084"/>
  <c r="S26" i="1084"/>
  <c r="R26" i="1084"/>
  <c r="Z25" i="1084"/>
  <c r="Y25" i="1084"/>
  <c r="X25" i="1084"/>
  <c r="W25" i="1084"/>
  <c r="V25" i="1084"/>
  <c r="U25" i="1084"/>
  <c r="T25" i="1084"/>
  <c r="S25" i="1084"/>
  <c r="R25" i="1084"/>
  <c r="Z24" i="1084"/>
  <c r="Y24" i="1084"/>
  <c r="X24" i="1084"/>
  <c r="W24" i="1084"/>
  <c r="V24" i="1084"/>
  <c r="U24" i="1084"/>
  <c r="T24" i="1084"/>
  <c r="S24" i="1084"/>
  <c r="R24" i="1084"/>
  <c r="Z23" i="1084"/>
  <c r="Y23" i="1084"/>
  <c r="X23" i="1084"/>
  <c r="W23" i="1084"/>
  <c r="V23" i="1084"/>
  <c r="U23" i="1084"/>
  <c r="T23" i="1084"/>
  <c r="S23" i="1084"/>
  <c r="R23" i="1084"/>
  <c r="Z22" i="1084"/>
  <c r="Y22" i="1084"/>
  <c r="X22" i="1084"/>
  <c r="W22" i="1084"/>
  <c r="V22" i="1084"/>
  <c r="U22" i="1084"/>
  <c r="T22" i="1084"/>
  <c r="S22" i="1084"/>
  <c r="R22" i="1084"/>
  <c r="Z21" i="1084"/>
  <c r="Y21" i="1084"/>
  <c r="X21" i="1084"/>
  <c r="W21" i="1084"/>
  <c r="V21" i="1084"/>
  <c r="U21" i="1084"/>
  <c r="T21" i="1084"/>
  <c r="S21" i="1084"/>
  <c r="R21" i="1084"/>
  <c r="Z20" i="1084"/>
  <c r="Y20" i="1084"/>
  <c r="X20" i="1084"/>
  <c r="W20" i="1084"/>
  <c r="V20" i="1084"/>
  <c r="U20" i="1084"/>
  <c r="T20" i="1084"/>
  <c r="S20" i="1084"/>
  <c r="R20" i="1084"/>
  <c r="G49" i="1083"/>
  <c r="B49" i="1083"/>
  <c r="L35" i="1083"/>
  <c r="L20" i="1083"/>
  <c r="K20" i="1083"/>
  <c r="C12" i="1083"/>
  <c r="D12" i="1083"/>
  <c r="E12" i="1083"/>
  <c r="F12" i="1083"/>
  <c r="G12" i="1083"/>
  <c r="I10" i="1083"/>
  <c r="J10" i="1083"/>
  <c r="K10" i="1083"/>
  <c r="L10" i="1083"/>
  <c r="M10" i="1083"/>
  <c r="N10" i="1083"/>
  <c r="O10" i="1083"/>
  <c r="I11" i="1083"/>
  <c r="J11" i="1083"/>
  <c r="K11" i="1083"/>
  <c r="L11" i="1083"/>
  <c r="M11" i="1083"/>
  <c r="N11" i="1083"/>
  <c r="O11" i="1083"/>
  <c r="I12" i="1083"/>
  <c r="J12" i="1083"/>
  <c r="K12" i="1083"/>
  <c r="L12" i="1083"/>
  <c r="M12" i="1083"/>
  <c r="N12" i="1083"/>
  <c r="O12" i="1083"/>
  <c r="C10" i="1083"/>
  <c r="D10" i="1083"/>
  <c r="E10" i="1083"/>
  <c r="F10" i="1083"/>
  <c r="G10" i="1083"/>
  <c r="C11" i="1083"/>
  <c r="D11" i="1083"/>
  <c r="E11" i="1083"/>
  <c r="F11" i="1083"/>
  <c r="G11" i="1083"/>
  <c r="AX51" i="1083"/>
  <c r="AW51" i="1083"/>
  <c r="AV51" i="1083"/>
  <c r="AU51" i="1083"/>
  <c r="AT51" i="1083"/>
  <c r="AS51" i="1083"/>
  <c r="AR51" i="1083"/>
  <c r="AQ51" i="1083"/>
  <c r="AP51" i="1083"/>
  <c r="AO51" i="1083"/>
  <c r="AN51" i="1083"/>
  <c r="AM51" i="1083"/>
  <c r="AL51" i="1083"/>
  <c r="AK51" i="1083"/>
  <c r="AJ51" i="1083"/>
  <c r="AI51" i="1083"/>
  <c r="AH51" i="1083"/>
  <c r="AG51" i="1083"/>
  <c r="AF51" i="1083"/>
  <c r="AE51" i="1083"/>
  <c r="AD51" i="1083"/>
  <c r="AC51" i="1083"/>
  <c r="AB51" i="1083"/>
  <c r="B51" i="1083"/>
  <c r="AX50" i="1083"/>
  <c r="AW50" i="1083"/>
  <c r="AV50" i="1083"/>
  <c r="AU50" i="1083"/>
  <c r="AT50" i="1083"/>
  <c r="AS50" i="1083"/>
  <c r="AR50" i="1083"/>
  <c r="AQ50" i="1083"/>
  <c r="AP50" i="1083"/>
  <c r="AO50" i="1083"/>
  <c r="AN50" i="1083"/>
  <c r="AM50" i="1083"/>
  <c r="AL50" i="1083"/>
  <c r="AK50" i="1083"/>
  <c r="AJ50" i="1083"/>
  <c r="AI50" i="1083"/>
  <c r="AH50" i="1083"/>
  <c r="AG50" i="1083"/>
  <c r="AF50" i="1083"/>
  <c r="AE50" i="1083"/>
  <c r="AD50" i="1083"/>
  <c r="AC50" i="1083"/>
  <c r="AB50" i="1083"/>
  <c r="AX49" i="1083"/>
  <c r="AW49" i="1083"/>
  <c r="AV49" i="1083"/>
  <c r="AU49" i="1083"/>
  <c r="AT49" i="1083"/>
  <c r="AS49" i="1083"/>
  <c r="AR49" i="1083"/>
  <c r="AQ49" i="1083"/>
  <c r="AP49" i="1083"/>
  <c r="AO49" i="1083"/>
  <c r="AN49" i="1083"/>
  <c r="AM49" i="1083"/>
  <c r="AL49" i="1083"/>
  <c r="AK49" i="1083"/>
  <c r="AJ49" i="1083"/>
  <c r="AI49" i="1083"/>
  <c r="AH49" i="1083"/>
  <c r="AG49" i="1083"/>
  <c r="AF49" i="1083"/>
  <c r="AE49" i="1083"/>
  <c r="AD49" i="1083"/>
  <c r="AC49" i="1083"/>
  <c r="AB49" i="1083"/>
  <c r="K44" i="1083"/>
  <c r="M35" i="1083" s="1"/>
  <c r="Z31" i="1083"/>
  <c r="Y31" i="1083"/>
  <c r="X31" i="1083"/>
  <c r="W31" i="1083"/>
  <c r="V31" i="1083"/>
  <c r="U31" i="1083"/>
  <c r="T31" i="1083"/>
  <c r="S31" i="1083"/>
  <c r="R31" i="1083"/>
  <c r="Z30" i="1083"/>
  <c r="Y30" i="1083"/>
  <c r="X30" i="1083"/>
  <c r="W30" i="1083"/>
  <c r="V30" i="1083"/>
  <c r="U30" i="1083"/>
  <c r="T30" i="1083"/>
  <c r="S30" i="1083"/>
  <c r="R30" i="1083"/>
  <c r="Z29" i="1083"/>
  <c r="Y29" i="1083"/>
  <c r="X29" i="1083"/>
  <c r="W29" i="1083"/>
  <c r="V29" i="1083"/>
  <c r="U29" i="1083"/>
  <c r="T29" i="1083"/>
  <c r="S29" i="1083"/>
  <c r="R29" i="1083"/>
  <c r="Z28" i="1083"/>
  <c r="Y28" i="1083"/>
  <c r="X28" i="1083"/>
  <c r="W28" i="1083"/>
  <c r="V28" i="1083"/>
  <c r="U28" i="1083"/>
  <c r="T28" i="1083"/>
  <c r="S28" i="1083"/>
  <c r="R28" i="1083"/>
  <c r="Z27" i="1083"/>
  <c r="Y27" i="1083"/>
  <c r="X27" i="1083"/>
  <c r="W27" i="1083"/>
  <c r="V27" i="1083"/>
  <c r="U27" i="1083"/>
  <c r="T27" i="1083"/>
  <c r="S27" i="1083"/>
  <c r="R27" i="1083"/>
  <c r="Z26" i="1083"/>
  <c r="Y26" i="1083"/>
  <c r="X26" i="1083"/>
  <c r="W26" i="1083"/>
  <c r="V26" i="1083"/>
  <c r="U26" i="1083"/>
  <c r="T26" i="1083"/>
  <c r="S26" i="1083"/>
  <c r="R26" i="1083"/>
  <c r="M26" i="1083"/>
  <c r="Z25" i="1083"/>
  <c r="Y25" i="1083"/>
  <c r="X25" i="1083"/>
  <c r="W25" i="1083"/>
  <c r="V25" i="1083"/>
  <c r="U25" i="1083"/>
  <c r="T25" i="1083"/>
  <c r="S25" i="1083"/>
  <c r="R25" i="1083"/>
  <c r="M25" i="1083"/>
  <c r="Z24" i="1083"/>
  <c r="Y24" i="1083"/>
  <c r="X24" i="1083"/>
  <c r="W24" i="1083"/>
  <c r="V24" i="1083"/>
  <c r="U24" i="1083"/>
  <c r="T24" i="1083"/>
  <c r="S24" i="1083"/>
  <c r="R24" i="1083"/>
  <c r="Z23" i="1083"/>
  <c r="Y23" i="1083"/>
  <c r="X23" i="1083"/>
  <c r="W23" i="1083"/>
  <c r="V23" i="1083"/>
  <c r="U23" i="1083"/>
  <c r="T23" i="1083"/>
  <c r="S23" i="1083"/>
  <c r="R23" i="1083"/>
  <c r="M23" i="1083"/>
  <c r="Z22" i="1083"/>
  <c r="Y22" i="1083"/>
  <c r="X22" i="1083"/>
  <c r="W22" i="1083"/>
  <c r="V22" i="1083"/>
  <c r="U22" i="1083"/>
  <c r="T22" i="1083"/>
  <c r="S22" i="1083"/>
  <c r="R22" i="1083"/>
  <c r="M22" i="1083"/>
  <c r="Z21" i="1083"/>
  <c r="Y21" i="1083"/>
  <c r="X21" i="1083"/>
  <c r="W21" i="1083"/>
  <c r="V21" i="1083"/>
  <c r="U21" i="1083"/>
  <c r="T21" i="1083"/>
  <c r="S21" i="1083"/>
  <c r="R21" i="1083"/>
  <c r="M21" i="1083"/>
  <c r="L21" i="1083"/>
  <c r="K21" i="1083"/>
  <c r="Z20" i="1083"/>
  <c r="Y20" i="1083"/>
  <c r="X20" i="1083"/>
  <c r="W20" i="1083"/>
  <c r="V20" i="1083"/>
  <c r="U20" i="1083"/>
  <c r="T20" i="1083"/>
  <c r="S20" i="1083"/>
  <c r="R20" i="1083"/>
  <c r="Z19" i="1083"/>
  <c r="Y19" i="1083"/>
  <c r="X19" i="1083"/>
  <c r="W19" i="1083"/>
  <c r="V19" i="1083"/>
  <c r="U19" i="1083"/>
  <c r="T19" i="1083"/>
  <c r="S19" i="1083"/>
  <c r="R19" i="1083"/>
  <c r="Z18" i="1083"/>
  <c r="Y18" i="1083"/>
  <c r="X18" i="1083"/>
  <c r="W18" i="1083"/>
  <c r="V18" i="1083"/>
  <c r="U18" i="1083"/>
  <c r="T18" i="1083"/>
  <c r="S18" i="1083"/>
  <c r="R18" i="1083"/>
  <c r="Z17" i="1083"/>
  <c r="Y17" i="1083"/>
  <c r="X17" i="1083"/>
  <c r="W17" i="1083"/>
  <c r="V17" i="1083"/>
  <c r="U17" i="1083"/>
  <c r="T17" i="1083"/>
  <c r="S17" i="1083"/>
  <c r="R17" i="1083"/>
  <c r="Z16" i="1083"/>
  <c r="Y16" i="1083"/>
  <c r="X16" i="1083"/>
  <c r="W16" i="1083"/>
  <c r="V16" i="1083"/>
  <c r="U16" i="1083"/>
  <c r="T16" i="1083"/>
  <c r="S16" i="1083"/>
  <c r="R16" i="1083"/>
  <c r="Z15" i="1083"/>
  <c r="Y15" i="1083"/>
  <c r="X15" i="1083"/>
  <c r="W15" i="1083"/>
  <c r="V15" i="1083"/>
  <c r="U15" i="1083"/>
  <c r="T15" i="1083"/>
  <c r="S15" i="1083"/>
  <c r="R15" i="1083"/>
  <c r="Z14" i="1083"/>
  <c r="Y14" i="1083"/>
  <c r="X14" i="1083"/>
  <c r="W14" i="1083"/>
  <c r="V14" i="1083"/>
  <c r="U14" i="1083"/>
  <c r="T14" i="1083"/>
  <c r="S14" i="1083"/>
  <c r="R14" i="1083"/>
  <c r="Z13" i="1083"/>
  <c r="Y13" i="1083"/>
  <c r="X13" i="1083"/>
  <c r="W13" i="1083"/>
  <c r="V13" i="1083"/>
  <c r="U13" i="1083"/>
  <c r="T13" i="1083"/>
  <c r="S13" i="1083"/>
  <c r="R13" i="1083"/>
  <c r="Z12" i="1083"/>
  <c r="Y12" i="1083"/>
  <c r="X12" i="1083"/>
  <c r="W12" i="1083"/>
  <c r="V12" i="1083"/>
  <c r="U12" i="1083"/>
  <c r="T12" i="1083"/>
  <c r="S12" i="1083"/>
  <c r="R12" i="1083"/>
  <c r="Z11" i="1083"/>
  <c r="Y11" i="1083"/>
  <c r="X11" i="1083"/>
  <c r="W11" i="1083"/>
  <c r="V11" i="1083"/>
  <c r="U11" i="1083"/>
  <c r="T11" i="1083"/>
  <c r="S11" i="1083"/>
  <c r="R11" i="1083"/>
  <c r="Z10" i="1083"/>
  <c r="Y10" i="1083"/>
  <c r="X10" i="1083"/>
  <c r="W10" i="1083"/>
  <c r="V10" i="1083"/>
  <c r="U10" i="1083"/>
  <c r="T10" i="1083"/>
  <c r="S10" i="1083"/>
  <c r="R10" i="1083"/>
  <c r="E57" i="1082"/>
  <c r="K37" i="1084" l="1"/>
  <c r="L37" i="1084" s="1"/>
  <c r="M37" i="1084" s="1"/>
  <c r="G69" i="1084"/>
  <c r="D58" i="1084"/>
  <c r="L58" i="1084" s="1"/>
  <c r="J27" i="1084"/>
  <c r="J20" i="1083"/>
  <c r="D49" i="1083"/>
  <c r="L49" i="1083" s="1"/>
  <c r="C62" i="1083" s="1"/>
  <c r="L56" i="1084"/>
  <c r="K30" i="1083"/>
  <c r="L30" i="1083" s="1"/>
  <c r="M30" i="1083" s="1"/>
  <c r="B57" i="1082"/>
  <c r="M29" i="1082"/>
  <c r="L29" i="1082"/>
  <c r="L28" i="1082"/>
  <c r="K29" i="1082"/>
  <c r="K28" i="1082"/>
  <c r="C69" i="1084" l="1"/>
  <c r="G62" i="1083"/>
  <c r="R11" i="1082"/>
  <c r="S11" i="1082"/>
  <c r="T11" i="1082"/>
  <c r="U11" i="1082"/>
  <c r="V11" i="1082"/>
  <c r="W11" i="1082"/>
  <c r="X11" i="1082"/>
  <c r="Y11" i="1082"/>
  <c r="Z11" i="1082"/>
  <c r="R12" i="1082"/>
  <c r="S12" i="1082"/>
  <c r="T12" i="1082"/>
  <c r="U12" i="1082"/>
  <c r="V12" i="1082"/>
  <c r="W12" i="1082"/>
  <c r="X12" i="1082"/>
  <c r="Y12" i="1082"/>
  <c r="Z12" i="1082"/>
  <c r="R13" i="1082"/>
  <c r="S13" i="1082"/>
  <c r="T13" i="1082"/>
  <c r="U13" i="1082"/>
  <c r="V13" i="1082"/>
  <c r="W13" i="1082"/>
  <c r="X13" i="1082"/>
  <c r="Y13" i="1082"/>
  <c r="Z13" i="1082"/>
  <c r="R14" i="1082"/>
  <c r="S14" i="1082"/>
  <c r="T14" i="1082"/>
  <c r="U14" i="1082"/>
  <c r="V14" i="1082"/>
  <c r="W14" i="1082"/>
  <c r="X14" i="1082"/>
  <c r="Y14" i="1082"/>
  <c r="Z14" i="1082"/>
  <c r="R15" i="1082"/>
  <c r="S15" i="1082"/>
  <c r="T15" i="1082"/>
  <c r="U15" i="1082"/>
  <c r="V15" i="1082"/>
  <c r="W15" i="1082"/>
  <c r="X15" i="1082"/>
  <c r="Y15" i="1082"/>
  <c r="Z15" i="1082"/>
  <c r="R16" i="1082"/>
  <c r="S16" i="1082"/>
  <c r="T16" i="1082"/>
  <c r="U16" i="1082"/>
  <c r="V16" i="1082"/>
  <c r="W16" i="1082"/>
  <c r="X16" i="1082"/>
  <c r="Y16" i="1082"/>
  <c r="Z16" i="1082"/>
  <c r="R17" i="1082"/>
  <c r="S17" i="1082"/>
  <c r="T17" i="1082"/>
  <c r="U17" i="1082"/>
  <c r="V17" i="1082"/>
  <c r="W17" i="1082"/>
  <c r="X17" i="1082"/>
  <c r="Y17" i="1082"/>
  <c r="Z17" i="1082"/>
  <c r="R18" i="1082"/>
  <c r="S18" i="1082"/>
  <c r="T18" i="1082"/>
  <c r="U18" i="1082"/>
  <c r="V18" i="1082"/>
  <c r="W18" i="1082"/>
  <c r="X18" i="1082"/>
  <c r="Y18" i="1082"/>
  <c r="Z18" i="1082"/>
  <c r="R19" i="1082"/>
  <c r="S19" i="1082"/>
  <c r="T19" i="1082"/>
  <c r="U19" i="1082"/>
  <c r="V19" i="1082"/>
  <c r="W19" i="1082"/>
  <c r="X19" i="1082"/>
  <c r="Y19" i="1082"/>
  <c r="Z19" i="1082"/>
  <c r="R20" i="1082"/>
  <c r="S20" i="1082"/>
  <c r="T20" i="1082"/>
  <c r="U20" i="1082"/>
  <c r="V20" i="1082"/>
  <c r="W20" i="1082"/>
  <c r="X20" i="1082"/>
  <c r="Y20" i="1082"/>
  <c r="Z20" i="1082"/>
  <c r="R21" i="1082"/>
  <c r="S21" i="1082"/>
  <c r="T21" i="1082"/>
  <c r="U21" i="1082"/>
  <c r="V21" i="1082"/>
  <c r="W21" i="1082"/>
  <c r="X21" i="1082"/>
  <c r="Y21" i="1082"/>
  <c r="Z21" i="1082"/>
  <c r="R22" i="1082"/>
  <c r="S22" i="1082"/>
  <c r="T22" i="1082"/>
  <c r="U22" i="1082"/>
  <c r="V22" i="1082"/>
  <c r="W22" i="1082"/>
  <c r="X22" i="1082"/>
  <c r="Y22" i="1082"/>
  <c r="Z22" i="1082"/>
  <c r="R23" i="1082"/>
  <c r="S23" i="1082"/>
  <c r="T23" i="1082"/>
  <c r="U23" i="1082"/>
  <c r="V23" i="1082"/>
  <c r="W23" i="1082"/>
  <c r="X23" i="1082"/>
  <c r="Y23" i="1082"/>
  <c r="Z23" i="1082"/>
  <c r="R24" i="1082"/>
  <c r="S24" i="1082"/>
  <c r="T24" i="1082"/>
  <c r="U24" i="1082"/>
  <c r="V24" i="1082"/>
  <c r="W24" i="1082"/>
  <c r="X24" i="1082"/>
  <c r="Y24" i="1082"/>
  <c r="Z24" i="1082"/>
  <c r="R25" i="1082"/>
  <c r="S25" i="1082"/>
  <c r="T25" i="1082"/>
  <c r="U25" i="1082"/>
  <c r="V25" i="1082"/>
  <c r="W25" i="1082"/>
  <c r="X25" i="1082"/>
  <c r="Y25" i="1082"/>
  <c r="Z25" i="1082"/>
  <c r="R26" i="1082"/>
  <c r="S26" i="1082"/>
  <c r="T26" i="1082"/>
  <c r="U26" i="1082"/>
  <c r="V26" i="1082"/>
  <c r="W26" i="1082"/>
  <c r="X26" i="1082"/>
  <c r="Y26" i="1082"/>
  <c r="Z26" i="1082"/>
  <c r="R27" i="1082"/>
  <c r="S27" i="1082"/>
  <c r="T27" i="1082"/>
  <c r="U27" i="1082"/>
  <c r="V27" i="1082"/>
  <c r="W27" i="1082"/>
  <c r="X27" i="1082"/>
  <c r="Y27" i="1082"/>
  <c r="Z27" i="1082"/>
  <c r="R28" i="1082"/>
  <c r="S28" i="1082"/>
  <c r="T28" i="1082"/>
  <c r="U28" i="1082"/>
  <c r="V28" i="1082"/>
  <c r="W28" i="1082"/>
  <c r="X28" i="1082"/>
  <c r="Y28" i="1082"/>
  <c r="Z28" i="1082"/>
  <c r="R29" i="1082"/>
  <c r="S29" i="1082"/>
  <c r="T29" i="1082"/>
  <c r="U29" i="1082"/>
  <c r="V29" i="1082"/>
  <c r="W29" i="1082"/>
  <c r="X29" i="1082"/>
  <c r="Y29" i="1082"/>
  <c r="Z29" i="1082"/>
  <c r="R30" i="1082"/>
  <c r="S30" i="1082"/>
  <c r="T30" i="1082"/>
  <c r="U30" i="1082"/>
  <c r="V30" i="1082"/>
  <c r="W30" i="1082"/>
  <c r="X30" i="1082"/>
  <c r="Y30" i="1082"/>
  <c r="Z30" i="1082"/>
  <c r="C15" i="1082"/>
  <c r="D15" i="1082"/>
  <c r="E15" i="1082"/>
  <c r="F15" i="1082"/>
  <c r="G15" i="1082"/>
  <c r="I15" i="1082"/>
  <c r="J15" i="1082"/>
  <c r="K15" i="1082"/>
  <c r="L15" i="1082"/>
  <c r="M15" i="1082"/>
  <c r="N15" i="1082"/>
  <c r="O15" i="1082"/>
  <c r="C16" i="1082"/>
  <c r="D16" i="1082"/>
  <c r="E16" i="1082"/>
  <c r="F16" i="1082"/>
  <c r="G16" i="1082"/>
  <c r="I16" i="1082"/>
  <c r="J16" i="1082"/>
  <c r="K16" i="1082"/>
  <c r="L16" i="1082"/>
  <c r="M16" i="1082"/>
  <c r="N16" i="1082"/>
  <c r="O16" i="1082"/>
  <c r="C17" i="1082"/>
  <c r="D17" i="1082"/>
  <c r="E17" i="1082"/>
  <c r="F17" i="1082"/>
  <c r="G17" i="1082"/>
  <c r="I17" i="1082"/>
  <c r="J17" i="1082"/>
  <c r="K17" i="1082"/>
  <c r="L17" i="1082"/>
  <c r="O17" i="1082"/>
  <c r="C13" i="1082"/>
  <c r="D13" i="1082"/>
  <c r="E13" i="1082"/>
  <c r="F13" i="1082"/>
  <c r="G13" i="1082"/>
  <c r="I13" i="1082"/>
  <c r="J13" i="1082"/>
  <c r="K13" i="1082"/>
  <c r="L13" i="1082"/>
  <c r="M13" i="1082"/>
  <c r="N13" i="1082"/>
  <c r="O13" i="1082"/>
  <c r="O14" i="1082"/>
  <c r="N14" i="1082"/>
  <c r="M14" i="1082"/>
  <c r="L14" i="1082"/>
  <c r="K14" i="1082"/>
  <c r="J14" i="1082"/>
  <c r="I14" i="1082"/>
  <c r="G14" i="1082"/>
  <c r="F14" i="1082"/>
  <c r="E14" i="1082"/>
  <c r="D14" i="1082"/>
  <c r="C14" i="1082"/>
  <c r="R10" i="1082"/>
  <c r="S10" i="1082"/>
  <c r="T10" i="1082"/>
  <c r="U10" i="1082"/>
  <c r="V10" i="1082"/>
  <c r="W10" i="1082"/>
  <c r="X10" i="1082"/>
  <c r="Y10" i="1082"/>
  <c r="Z10" i="1082"/>
  <c r="I10" i="1082"/>
  <c r="J10" i="1082"/>
  <c r="L10" i="1082"/>
  <c r="M10" i="1082"/>
  <c r="N10" i="1082"/>
  <c r="O10" i="1082"/>
  <c r="I11" i="1082"/>
  <c r="J11" i="1082"/>
  <c r="L11" i="1082"/>
  <c r="M11" i="1082"/>
  <c r="N11" i="1082"/>
  <c r="O11" i="1082"/>
  <c r="C10" i="1082"/>
  <c r="D10" i="1082"/>
  <c r="E10" i="1082"/>
  <c r="F10" i="1082"/>
  <c r="G10" i="1082"/>
  <c r="C11" i="1082"/>
  <c r="D11" i="1082"/>
  <c r="E11" i="1082"/>
  <c r="F11" i="1082"/>
  <c r="G11" i="1082"/>
  <c r="J60" i="18"/>
  <c r="J61" i="18"/>
  <c r="J63" i="18"/>
  <c r="J64" i="18"/>
  <c r="G58" i="18"/>
  <c r="G60" i="18"/>
  <c r="G61" i="18"/>
  <c r="G62" i="18"/>
  <c r="G63" i="18"/>
  <c r="G64" i="18"/>
  <c r="G60" i="19"/>
  <c r="G63" i="19"/>
  <c r="G64" i="19"/>
  <c r="J29" i="1082" l="1"/>
  <c r="G56" i="18"/>
  <c r="J28" i="1082"/>
  <c r="D58" i="18"/>
  <c r="D60" i="18"/>
  <c r="D61" i="18"/>
  <c r="D62" i="18"/>
  <c r="D63" i="18"/>
  <c r="D64" i="18"/>
  <c r="AX59" i="1082" l="1"/>
  <c r="AW59" i="1082"/>
  <c r="AV59" i="1082"/>
  <c r="AU59" i="1082"/>
  <c r="AT59" i="1082"/>
  <c r="AS59" i="1082"/>
  <c r="AR59" i="1082"/>
  <c r="AQ59" i="1082"/>
  <c r="AP59" i="1082"/>
  <c r="AO59" i="1082"/>
  <c r="AN59" i="1082"/>
  <c r="AM59" i="1082"/>
  <c r="AL59" i="1082"/>
  <c r="AK59" i="1082"/>
  <c r="AJ59" i="1082"/>
  <c r="AI59" i="1082"/>
  <c r="AH59" i="1082"/>
  <c r="AG59" i="1082"/>
  <c r="AF59" i="1082"/>
  <c r="AE59" i="1082"/>
  <c r="AD59" i="1082"/>
  <c r="AC59" i="1082"/>
  <c r="AB59" i="1082"/>
  <c r="B59" i="1082"/>
  <c r="AX58" i="1082"/>
  <c r="AW58" i="1082"/>
  <c r="AV58" i="1082"/>
  <c r="AU58" i="1082"/>
  <c r="AT58" i="1082"/>
  <c r="AS58" i="1082"/>
  <c r="AR58" i="1082"/>
  <c r="AQ58" i="1082"/>
  <c r="AP58" i="1082"/>
  <c r="AO58" i="1082"/>
  <c r="AN58" i="1082"/>
  <c r="AM58" i="1082"/>
  <c r="AL58" i="1082"/>
  <c r="AK58" i="1082"/>
  <c r="AJ58" i="1082"/>
  <c r="AI58" i="1082"/>
  <c r="AH58" i="1082"/>
  <c r="AG58" i="1082"/>
  <c r="AF58" i="1082"/>
  <c r="AE58" i="1082"/>
  <c r="AD58" i="1082"/>
  <c r="AC58" i="1082"/>
  <c r="AB58" i="1082"/>
  <c r="AX57" i="1082"/>
  <c r="AW57" i="1082"/>
  <c r="AV57" i="1082"/>
  <c r="AU57" i="1082"/>
  <c r="AT57" i="1082"/>
  <c r="AS57" i="1082"/>
  <c r="AR57" i="1082"/>
  <c r="AQ57" i="1082"/>
  <c r="AP57" i="1082"/>
  <c r="AO57" i="1082"/>
  <c r="AN57" i="1082"/>
  <c r="AM57" i="1082"/>
  <c r="AL57" i="1082"/>
  <c r="AK57" i="1082"/>
  <c r="AJ57" i="1082"/>
  <c r="AI57" i="1082"/>
  <c r="AH57" i="1082"/>
  <c r="AG57" i="1082"/>
  <c r="AF57" i="1082"/>
  <c r="AE57" i="1082"/>
  <c r="AD57" i="1082"/>
  <c r="AC57" i="1082"/>
  <c r="AB57" i="1082"/>
  <c r="K52" i="1082"/>
  <c r="L43" i="1082" s="1"/>
  <c r="M43" i="1082" s="1"/>
  <c r="Z39" i="1082"/>
  <c r="Y39" i="1082"/>
  <c r="X39" i="1082"/>
  <c r="W39" i="1082"/>
  <c r="V39" i="1082"/>
  <c r="U39" i="1082"/>
  <c r="T39" i="1082"/>
  <c r="S39" i="1082"/>
  <c r="R39" i="1082"/>
  <c r="Z38" i="1082"/>
  <c r="Y38" i="1082"/>
  <c r="X38" i="1082"/>
  <c r="W38" i="1082"/>
  <c r="V38" i="1082"/>
  <c r="U38" i="1082"/>
  <c r="T38" i="1082"/>
  <c r="S38" i="1082"/>
  <c r="R38" i="1082"/>
  <c r="Z37" i="1082"/>
  <c r="Y37" i="1082"/>
  <c r="X37" i="1082"/>
  <c r="W37" i="1082"/>
  <c r="V37" i="1082"/>
  <c r="U37" i="1082"/>
  <c r="T37" i="1082"/>
  <c r="S37" i="1082"/>
  <c r="R37" i="1082"/>
  <c r="Z36" i="1082"/>
  <c r="Y36" i="1082"/>
  <c r="X36" i="1082"/>
  <c r="W36" i="1082"/>
  <c r="V36" i="1082"/>
  <c r="U36" i="1082"/>
  <c r="T36" i="1082"/>
  <c r="S36" i="1082"/>
  <c r="R36" i="1082"/>
  <c r="Z35" i="1082"/>
  <c r="Y35" i="1082"/>
  <c r="X35" i="1082"/>
  <c r="W35" i="1082"/>
  <c r="V35" i="1082"/>
  <c r="U35" i="1082"/>
  <c r="T35" i="1082"/>
  <c r="S35" i="1082"/>
  <c r="R35" i="1082"/>
  <c r="Z34" i="1082"/>
  <c r="Y34" i="1082"/>
  <c r="X34" i="1082"/>
  <c r="W34" i="1082"/>
  <c r="V34" i="1082"/>
  <c r="U34" i="1082"/>
  <c r="T34" i="1082"/>
  <c r="S34" i="1082"/>
  <c r="R34" i="1082"/>
  <c r="M34" i="1082"/>
  <c r="Z33" i="1082"/>
  <c r="Y33" i="1082"/>
  <c r="X33" i="1082"/>
  <c r="W33" i="1082"/>
  <c r="V33" i="1082"/>
  <c r="U33" i="1082"/>
  <c r="T33" i="1082"/>
  <c r="S33" i="1082"/>
  <c r="R33" i="1082"/>
  <c r="M33" i="1082"/>
  <c r="Z32" i="1082"/>
  <c r="Y32" i="1082"/>
  <c r="X32" i="1082"/>
  <c r="W32" i="1082"/>
  <c r="V32" i="1082"/>
  <c r="U32" i="1082"/>
  <c r="T32" i="1082"/>
  <c r="S32" i="1082"/>
  <c r="R32" i="1082"/>
  <c r="Z31" i="1082"/>
  <c r="Y31" i="1082"/>
  <c r="X31" i="1082"/>
  <c r="W31" i="1082"/>
  <c r="V31" i="1082"/>
  <c r="U31" i="1082"/>
  <c r="T31" i="1082"/>
  <c r="S31" i="1082"/>
  <c r="R31" i="1082"/>
  <c r="M31" i="1082"/>
  <c r="M30" i="1082"/>
  <c r="K38" i="1082" l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L38" i="1082" l="1"/>
  <c r="M38" i="1082" s="1"/>
  <c r="G51" i="1083" l="1"/>
  <c r="G59" i="1082"/>
  <c r="D51" i="1083"/>
  <c r="D59" i="1082"/>
  <c r="L59" i="1082" l="1"/>
  <c r="L51" i="1083"/>
  <c r="G56" i="19" l="1"/>
  <c r="G62" i="19"/>
  <c r="K27" i="1088" l="1"/>
  <c r="K26" i="1088"/>
  <c r="K25" i="1088"/>
  <c r="K24" i="1088"/>
  <c r="K23" i="1088"/>
  <c r="K22" i="1088"/>
  <c r="K21" i="1088"/>
  <c r="K20" i="1088"/>
  <c r="K11" i="1087" l="1"/>
  <c r="N10" i="1089"/>
  <c r="K11" i="1086"/>
  <c r="K12" i="1086"/>
  <c r="K13" i="1086"/>
  <c r="K14" i="1086"/>
  <c r="K15" i="1086"/>
  <c r="K16" i="1086"/>
  <c r="K10" i="1087"/>
  <c r="K17" i="1085"/>
  <c r="K18" i="1085"/>
  <c r="K19" i="1085"/>
  <c r="K20" i="1085"/>
  <c r="K10" i="1086"/>
  <c r="K10" i="1082"/>
  <c r="K11" i="1082"/>
  <c r="K16" i="1085"/>
  <c r="J10" i="1089" l="1"/>
  <c r="I10" i="1089"/>
  <c r="J27" i="1089" s="1"/>
  <c r="C13" i="1090" l="1"/>
  <c r="C15" i="1089"/>
  <c r="C12" i="1090"/>
  <c r="C14" i="1089"/>
  <c r="C11" i="1090"/>
  <c r="C13" i="1089"/>
  <c r="C18" i="1089"/>
  <c r="C17" i="1089"/>
  <c r="C16" i="1089"/>
  <c r="C10" i="1090"/>
  <c r="C12" i="1089"/>
  <c r="D57" i="1082"/>
  <c r="L57" i="1082" s="1"/>
  <c r="C73" i="1082" s="1"/>
  <c r="G76" i="1088"/>
  <c r="D62" i="1088"/>
  <c r="L62" i="1088" s="1"/>
  <c r="C76" i="1088" s="1"/>
  <c r="D57" i="1089" l="1"/>
  <c r="L57" i="1089" s="1"/>
  <c r="D64" i="1088"/>
  <c r="L64" i="1088" s="1"/>
  <c r="D53" i="1087"/>
  <c r="L53" i="1087" s="1"/>
  <c r="C65" i="1087" s="1"/>
  <c r="G73" i="1082"/>
  <c r="G57" i="18" l="1"/>
  <c r="G59" i="18"/>
  <c r="G57" i="19" l="1"/>
  <c r="G65" i="18" l="1"/>
  <c r="G59" i="19" l="1"/>
  <c r="G65" i="19"/>
  <c r="G58" i="19" l="1"/>
  <c r="G61" i="19"/>
  <c r="D58" i="19" l="1"/>
  <c r="D60" i="19"/>
  <c r="D61" i="19"/>
  <c r="D62" i="19"/>
  <c r="D64" i="19"/>
  <c r="D63" i="19" l="1"/>
  <c r="K17" i="1091" l="1"/>
  <c r="K19" i="1089"/>
  <c r="K16" i="1091"/>
  <c r="K18" i="1089"/>
  <c r="K11" i="1090"/>
  <c r="K13" i="1089"/>
  <c r="K12" i="1090"/>
  <c r="K14" i="1089"/>
  <c r="K10" i="1090"/>
  <c r="K12" i="1089"/>
  <c r="K15" i="1091"/>
  <c r="K17" i="1089"/>
  <c r="K13" i="1090"/>
  <c r="K15" i="1089"/>
  <c r="K14" i="1091"/>
  <c r="K16" i="1089"/>
  <c r="D59" i="18" l="1"/>
  <c r="D59" i="19"/>
  <c r="D57" i="18"/>
  <c r="D57" i="19"/>
  <c r="D56" i="18" l="1"/>
  <c r="D56" i="19" l="1"/>
  <c r="D65" i="19" l="1"/>
  <c r="D65" i="18"/>
  <c r="J62" i="18" l="1"/>
  <c r="J58" i="18"/>
  <c r="K52" i="1086" l="1"/>
  <c r="K65" i="1086" s="1"/>
  <c r="K53" i="1091"/>
  <c r="K66" i="1091" s="1"/>
  <c r="K56" i="1084"/>
  <c r="K69" i="1084" s="1"/>
  <c r="K53" i="1092"/>
  <c r="K66" i="1092" s="1"/>
  <c r="K55" i="1089"/>
  <c r="K68" i="1089" s="1"/>
  <c r="K63" i="1085"/>
  <c r="K76" i="1085" s="1"/>
  <c r="K57" i="1082"/>
  <c r="K73" i="1082" s="1"/>
  <c r="K58" i="1084"/>
  <c r="K51" i="1087"/>
  <c r="K64" i="1087" s="1"/>
  <c r="K62" i="1088"/>
  <c r="K76" i="1088" s="1"/>
  <c r="K55" i="1090" l="1"/>
  <c r="K55" i="1091"/>
  <c r="K57" i="1089"/>
  <c r="K64" i="1088"/>
  <c r="K53" i="1087"/>
  <c r="K65" i="1087" s="1"/>
  <c r="K59" i="1082"/>
  <c r="K51" i="1083"/>
  <c r="K53" i="1090"/>
  <c r="K66" i="1090" s="1"/>
  <c r="J57" i="18"/>
  <c r="K49" i="1083"/>
  <c r="K62" i="1083" s="1"/>
  <c r="J59" i="18"/>
  <c r="J56" i="18" l="1"/>
  <c r="J65" i="18"/>
  <c r="J59" i="19" l="1"/>
  <c r="J57" i="19"/>
  <c r="J58" i="19"/>
  <c r="J61" i="19" l="1"/>
  <c r="J65" i="19" l="1"/>
  <c r="J56" i="19"/>
  <c r="J62" i="19"/>
  <c r="M35" i="1095" l="1"/>
  <c r="M43" i="1096"/>
  <c r="M24" i="1091"/>
  <c r="M24" i="1090"/>
  <c r="M24" i="1092"/>
  <c r="M26" i="1089"/>
  <c r="M33" i="1088"/>
  <c r="M22" i="1087"/>
  <c r="M23" i="1086"/>
  <c r="M28" i="1094"/>
  <c r="M33" i="1093"/>
  <c r="M34" i="1085"/>
  <c r="M27" i="1084"/>
  <c r="M20" i="1083"/>
  <c r="M28" i="108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95BA852-2DF0-4A72-AB68-0B81771E30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A98AB7C-D699-491A-B88A-F5E3A4C1D9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7040E7D-37E9-4235-AABE-5FDC5CBD12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CADD12F-BE97-41F1-B9AD-7A6145D0F7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93B51F8-6708-44F7-98BF-C52EA78B9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69F43F-8A3A-4B57-B67F-6BC56497DF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58DEF7-2D98-43E1-B947-1B7C278BC0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0C7B442-A13E-42B9-A5A5-3E0AA4E8AE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3EE1186-DA46-4D67-95FB-24977DD4DC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4D2C6A2-5FE3-4FA8-9A6F-4E5F0A9BC4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A64D889-75EF-43A9-8F39-9B6F34BB34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E5C4F00-6BBB-4927-83F9-9F87A32E91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D47CB0-482C-4F49-B731-EBEA93F31E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EFF0785-679A-4D0A-AAF8-638FA42352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8DEAECA-207F-42C4-86A9-3497222E4F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6563488-F615-40AD-AF92-F8B9A5FEC1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CF469BE-3572-4478-9087-C40CD9A51E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2861EA0-A086-4F78-A891-861515C0E1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17A2181-D3A4-4DE3-8CF9-EFBE017CC6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EF675BE-507B-4E6C-BED8-242C80853B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2FD9F78-E43D-4C71-B098-1861F8C0932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619EF59-753F-4912-88F2-57069BB2D8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7AE382A-9777-43CC-B2E5-D852058BB7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C3F2C6C-235A-431E-A2F9-BCCAAD3150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8F0279D-CEB1-4DA1-950F-461F7468EA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2C7B1AA-4BE0-4E23-B126-0A2ABD13F3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C7B0E94-8DCA-4A47-A65A-916D217673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0ECD4FC-FF2F-451F-AE16-8DB976876E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BE71496-EE66-414B-BB81-55A65C7FDC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9C3CA91-62A6-425B-A15A-F2AD71F2C7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F192936-3864-4A25-A565-E8A68A977D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314E519-C443-424A-B453-D022B553F2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8B5982B-0856-4231-9993-2644DFA3D5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7DE6D3C-90E4-465D-B822-32BF0F3546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02154AE-21C5-4058-806A-5B98A36461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716B9F5-2AEC-45B4-9740-AD834AA87C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6D3F975-84CB-48C9-BCCA-30AB44830D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8C0BE51-577E-4BCC-9ACF-66BDFC2396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E4621ED-2D0B-4AA9-929E-3244D9205B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6AEA2F4-5023-498F-B8A8-E302F1FAFC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ADCF573-2617-407F-8F04-E3A90ECD8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7E4957D-BF64-4E63-89FA-A595077EE7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BF6A40D-4DA8-4ECF-AC12-6999E2011D0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8E1F1B0-4120-46EF-A66C-2DF76D43CF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0391C6D-0C79-4734-994E-2FA4B921691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9DF84E3-203A-4623-8B2F-30139F9443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D224A59-A822-4557-A8CE-14D5DD6593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0961D8C-317E-4776-B65D-B5E278FAE4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C1FC73E-85A4-4A3A-8BCE-1EB6258C58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8404CF0-2C8E-491A-A3A7-81F2C0C796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44478E7-C49B-4E38-8186-2E06E83E14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008258E-A4F7-4601-AFEB-56CCA55C18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9EA58AC-D7A5-4B6C-9C17-4FD5FBD3DA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73CC311-7FA8-4D0D-B79D-2B36EFE3C0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13E0988-1148-4CE1-AB95-B60F74D3F2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47" authorId="1" shapeId="0" xr:uid="{C0466DEE-A807-4EFD-92A1-2879C6399400}">
      <text>
        <r>
          <rPr>
            <b/>
            <sz val="9"/>
            <color indexed="81"/>
            <rFont val="Tahoma"/>
            <family val="2"/>
          </rPr>
          <t xml:space="preserve">Kaylil Baptiste:
</t>
        </r>
        <r>
          <rPr>
            <sz val="9"/>
            <color indexed="81"/>
            <rFont val="Tahoma"/>
            <family val="2"/>
          </rPr>
          <t>No water- brewing paused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7614727-A18D-4C8E-B3D5-29A7D2CCCD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54A8D39-A7A5-4456-82D3-F7CFB97E4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ACBCCC6-DF93-4B99-81C4-4491061532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39583E8-5FE2-4698-99E9-2F0F60D988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B188A39-94C8-4380-9986-D4D291F760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9D5004F-2761-4D0A-BF4A-EEBBDBB9A3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3F55677-7ED3-49B9-A538-3CF720A8FB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6A0BA4B-21D4-4D46-BC73-BCEE3292DC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5579EAD-278A-4FDE-809A-2594D7FA02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9667EFE-5861-48EE-87C0-57EA0DEE337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3B8482C-DD72-4DB6-889A-BA96B8F732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E671254-365D-4067-9240-8AFF360EA4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643379D-25C2-493D-BE4C-A363142472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D8A4B29-34A8-4B68-B053-F6C8AAA912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F29256F-EEBE-43D6-B104-EBCE75124A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67A6B83-AC68-4233-BB7D-F5282C0D66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943D05B-F881-4205-A311-230B482097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470B22E-CD75-475A-B7E1-409D647957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6C7640E-421F-4FF1-A667-AF50D91CCE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C754C64-E095-440F-A6F8-B4442740B5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49454E4-608C-4582-97ED-AD50972E8E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1FC3794-4E14-4FAC-9652-B41A1BFB42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5D235D6-6873-4FF5-B5EA-C3E8D029CF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1AC2390-ED0B-4207-B165-925F0313C7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D47ABA1-91C0-4604-A46B-D51945EF65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EAF21F3-3EBF-40E7-BC27-A4F066431E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2570607-3F03-4F17-8EF5-C6C6A22CF7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FD994A7-B4F6-4B83-ACC7-18F7AF6337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3DED3FE-A463-46DA-9288-FC360FE60B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6E659C4-463F-406C-BCEB-26A9A3DC01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832A3C2-C8D3-4E76-9C42-2A8FBC315C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C729636-C23A-461B-90DD-190832C557C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D9648B0-2E0F-4748-B1F5-2EB84D007E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15504F9-569A-4FA4-933A-E488192577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7926B09-9866-4F3E-9DB7-0A4C978F05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3117397-21F5-4086-A520-47DA10AB25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B735F43-FE8B-4445-A04A-BEC3E06243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59B7AE6-1914-402F-B7BE-A2249B008E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522682F-CE91-430A-BDC7-43BE0D3FCB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16EC879-3424-407D-BE43-D48C105FA9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B371762-B564-4B1F-B0B7-30F5F624E6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CECEDEB-94FC-4E1F-9F49-A0451DA48D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EA0AF4A-E84A-4636-BEB8-BA0A1C5BC62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9B31DA5-83E4-4999-B567-23F2F858A9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DA504EA-88FA-41D7-80AA-04570A3C99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BFDEC33-73B2-4626-AB07-9FA583A35C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E5D7AA1-5671-4ED1-B0C2-9DE45703E5D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C76D8A1-995F-48F2-8C40-EA2173362E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196C914-676A-4291-86EC-EF9490FA17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09F3321-184E-443B-95B5-8D435B9392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B47A871-5433-44C0-A8C5-9D2C530B52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531AF73-DBFA-4F0F-9502-63CD85BD05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D6140AB-D925-494C-AE3A-1E8D4E6BDA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FF5ACDB-225E-4925-9154-66DF9D7C32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26E830E-8DD0-4D4E-B47D-21175FDBB6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88AB3EE-7637-4804-ACB6-8C21EFC279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BA34AED-C24D-42A9-B8E4-5A22EBBEA7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F40CC32-E0ED-499D-BFBF-2D6B5D2E70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710A882-0A3D-4A41-881D-853A634B3C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5C136F-1225-40F1-ADEC-BFDF58158A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8388FAD-A622-49A1-9549-64AAE88608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250CE1-4180-496B-8CDD-DE24ADEB8E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E5ABFEB-6EBB-42E7-9C96-042959FE51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5CB8657-E535-4500-90FD-D633E945FC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222FF95-B176-4D36-9160-61B5A3F7E91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0AF4208-6CEE-416F-B26D-1AACCB4777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EF37856-27FF-4C20-B3F3-A481BEA78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3FB9B69-FAAE-4F0F-9325-B302A33AC8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099E0EF-E481-4B66-A65D-198B4E919D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0B9F8B1-1345-4E4C-B12A-ACA2F3CED0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D093AB5-D77A-488A-BCFE-3B34389EC6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0F12FB5-F743-486B-9695-9DE2566AD73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0DF8D36-2DE5-427E-9463-B9BE0E74F7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ADAA2C9-0898-4E38-99E7-23540F112B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258735D-CA45-43BD-95C8-64E9CFD7AC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4EF9EE0-1982-47D0-A8BA-C50F30B48B6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C159F16-5D52-4481-B5EA-C1CC7F1B21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19A8FA9-4C4A-4C13-87C3-7C99A62CE1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89524FA-82A0-4BC0-93B3-5A9C906CB0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D50A233-E3D4-40A0-8C04-B7086F2BF86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B898B71-7B7B-4039-84A8-D01EE90032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0C27717-0F99-46CC-92D4-854F4FC8F2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A502CB6-91C8-4CD9-8203-333D324C24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835C262-2722-43CF-87FB-3B4D6F4E88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3E406D5-5D45-4268-8E59-76A9779E3D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2530E1C-0619-416D-A6F0-2FDBC99886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06B52F9-57E4-48F5-9622-2B30F42AF3B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C72FD23-BD20-4704-BB0A-B73B9B2B6D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D5A53A0-ADD5-4728-837C-FCD3A9D644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E38A161-FA04-4FD5-B585-B386797B52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7A5CA60-F117-4718-B9AF-63C11DB5F0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B7892FE-7BB1-422B-994B-4E7A5489CF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B24C990-5748-4613-8410-72941798C8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E30E610-7456-4165-9163-C6933AFDB3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D3189C-0593-4C8E-B4C6-D04CE33A10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17441A3-8000-41AB-980E-E516935D1B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744817C-31BC-473A-8C3B-0F109E891B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BBE9FF4-8FDF-49F4-AD6C-BE838A00CAB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4CE5532-45FF-44A2-A6C5-658E355A73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AF521B5-1A31-422C-BADD-F177269C69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BD61556-2D02-4140-964F-82AD7EAC73F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053B192-5B46-47A1-AF0A-EF5A4F4369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AE53EC6-9E12-4DB5-A3E7-47A1E29DE4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B527093-759D-4E27-A4ED-AE93C6CFF1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E01CB6A-2AB6-4F9F-A140-88092E34CA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B1DFF6A-3D63-4DD8-82D1-1E1292298E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FF87B89-AE54-4B3B-89AA-8EA0CD395B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A3BB476-7427-4073-A467-AFB1F909E1F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502DE7A-6DBD-475F-B4B6-03EB2E64C58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6B550FA-BC4A-48D8-8BFD-0ACA613C00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<sst xmlns="http://schemas.openxmlformats.org/spreadsheetml/2006/main" count="2416" uniqueCount="189">
  <si>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</si>
  <si>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</si>
  <si>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</si>
  <si>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</si>
  <si>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</si>
  <si>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</si>
  <si>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</si>
  <si>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</si>
  <si>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</si>
  <si>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</si>
  <si>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</si>
  <si>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</si>
  <si>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</si>
  <si>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</si>
  <si>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</si>
  <si>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</si>
  <si>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</si>
  <si>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</si>
  <si>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</si>
  <si>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</si>
  <si>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</si>
  <si>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</si>
  <si>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</si>
  <si>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</si>
  <si>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</si>
  <si>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</si>
  <si>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</si>
  <si>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</si>
  <si>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</si>
  <si>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</si>
  <si>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</si>
  <si>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</si>
  <si>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</si>
  <si>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</si>
  <si>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</si>
  <si>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</si>
  <si>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</si>
  <si>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</si>
  <si>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</si>
  <si>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</si>
  <si>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</si>
  <si>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</si>
  <si>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</si>
  <si>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</si>
  <si>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</si>
  <si>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</si>
  <si>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</si>
  <si>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</si>
  <si>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</si>
  <si>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</si>
  <si>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</si>
  <si>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</si>
  <si>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</si>
  <si>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</si>
  <si>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</si>
  <si>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</si>
  <si>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</si>
  <si>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</si>
  <si>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</si>
  <si>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</si>
  <si>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</si>
  <si>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</si>
  <si>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</si>
  <si>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</si>
  <si>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</si>
  <si>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</si>
  <si>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</si>
  <si>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</si>
  <si>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</si>
  <si>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</si>
  <si>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</si>
  <si>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</si>
  <si>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</si>
  <si>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</si>
  <si>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</si>
  <si>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</si>
  <si>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</si>
  <si>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</si>
  <si>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</si>
  <si>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</si>
  <si>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</si>
  <si>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</si>
  <si>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</si>
  <si>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</si>
  <si>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</si>
  <si>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</si>
  <si>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</si>
  <si>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</si>
  <si>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</si>
  <si>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</si>
  <si>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</si>
  <si>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</si>
  <si>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</si>
  <si>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</si>
  <si>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</si>
  <si>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</si>
  <si>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</si>
  <si>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</si>
  <si>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</si>
  <si>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</si>
  <si>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</si>
  <si>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</si>
  <si>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</si>
  <si>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</si>
  <si>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</si>
  <si>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</si>
  <si>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</si>
  <si>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</si>
  <si>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</si>
  <si>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</si>
  <si>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</si>
  <si>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</si>
  <si>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</si>
  <si>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</si>
  <si>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</si>
  <si>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</si>
  <si>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</si>
  <si>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</si>
  <si>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</si>
  <si>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</si>
  <si>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</si>
  <si>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</si>
  <si>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</si>
  <si>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</si>
  <si>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</si>
  <si>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</si>
  <si>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</si>
  <si>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</si>
  <si>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</si>
  <si>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</si>
  <si>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</si>
  <si>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</si>
  <si>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</si>
  <si>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</si>
  <si>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</si>
  <si>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</si>
  <si>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</si>
  <si>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</si>
  <si>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</si>
  <si>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</si>
  <si>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</si>
  <si>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</si>
  <si>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</si>
  <si>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</si>
  <si>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</si>
  <si>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</si>
  <si>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</si>
  <si>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</si>
  <si>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</si>
  <si>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</si>
  <si>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</si>
  <si>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</si>
  <si>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</si>
  <si>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</si>
  <si>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</si>
  <si>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</si>
  <si>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</si>
  <si>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</si>
  <si>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</si>
  <si>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</si>
  <si>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</si>
  <si>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</si>
  <si>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</si>
  <si>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</si>
  <si>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</si>
  <si>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 xml:space="preserve">  </t>
  </si>
  <si>
    <t>Brewing Time</t>
  </si>
  <si>
    <t>Extr. Rec (78%)</t>
  </si>
  <si>
    <t xml:space="preserve"> MALT LOT: Lot #15</t>
  </si>
  <si>
    <t>NO SBF</t>
  </si>
  <si>
    <t>K. Hosten</t>
  </si>
  <si>
    <t>R. Regis</t>
  </si>
  <si>
    <t>J. Nelson</t>
  </si>
  <si>
    <t>1 BREAK</t>
  </si>
  <si>
    <t>T. Chalres</t>
  </si>
  <si>
    <t xml:space="preserve">D. Emery </t>
  </si>
  <si>
    <t>T. Charles</t>
  </si>
  <si>
    <t>9th</t>
  </si>
  <si>
    <t>10th</t>
  </si>
  <si>
    <t xml:space="preserve"> MALT LOT: Lot #19</t>
  </si>
  <si>
    <t>LOT WORT COLOUR: 3.2</t>
  </si>
  <si>
    <t>2 BREAK- Haze issues in BBT (refiltered 2x)</t>
  </si>
  <si>
    <t>G. Mason</t>
  </si>
  <si>
    <t>1 BREAK- Haze issues in BBT (refiltered)</t>
  </si>
  <si>
    <t>Justin</t>
  </si>
  <si>
    <t xml:space="preserve"> MALT LOT: Lot #22</t>
  </si>
  <si>
    <t xml:space="preserve">LOT WORT COLOUR: </t>
  </si>
  <si>
    <t>2 BREAK</t>
  </si>
  <si>
    <t xml:space="preserve">K. Neptune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</si>
</sst>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165" fontId="0" fillId="0" borderId="0"/>
    <xf numFmtId="164" fontId="8" fillId="0" borderId="0" applyFont="0" applyFill="0" applyBorder="0" applyAlignment="0" applyProtection="0"/>
    <xf numFmtId="0" fontId="6" fillId="2" borderId="0" applyNumberFormat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8">
    <xf numFmtId="165" fontId="0" fillId="0" borderId="0" xfId="0"/>
    <xf numFmtId="165" fontId="10" fillId="0" borderId="0" xfId="3" applyFont="1"/>
    <xf numFmtId="165" fontId="10" fillId="0" borderId="0" xfId="3" applyFont="1" applyAlignment="1">
      <alignment wrapText="1"/>
    </xf>
    <xf numFmtId="165" fontId="11" fillId="3" borderId="1" xfId="0" applyFont="1" applyFill="1" applyBorder="1"/>
    <xf numFmtId="165" fontId="12" fillId="0" borderId="0" xfId="3" applyFont="1" applyAlignment="1">
      <alignment horizontal="center" wrapText="1"/>
    </xf>
    <xf numFmtId="165" fontId="13" fillId="0" borderId="0" xfId="3" applyFont="1"/>
    <xf numFmtId="165" fontId="9" fillId="0" borderId="0" xfId="3" applyFont="1" applyAlignment="1">
      <alignment wrapText="1"/>
    </xf>
    <xf numFmtId="166" fontId="11" fillId="3" borderId="1" xfId="0" applyNumberFormat="1" applyFont="1" applyFill="1" applyBorder="1"/>
    <xf numFmtId="166" fontId="11" fillId="3" borderId="2" xfId="0" applyNumberFormat="1" applyFont="1" applyFill="1" applyBorder="1"/>
    <xf numFmtId="167" fontId="10" fillId="3" borderId="1" xfId="3" applyNumberFormat="1" applyFont="1" applyFill="1" applyBorder="1" applyAlignment="1">
      <alignment horizontal="right"/>
    </xf>
    <xf numFmtId="167" fontId="10" fillId="3" borderId="1" xfId="3" applyNumberFormat="1" applyFont="1" applyFill="1" applyBorder="1" applyAlignment="1">
      <alignment horizontal="right" vertical="center"/>
    </xf>
    <xf numFmtId="166" fontId="9" fillId="0" borderId="0" xfId="3" applyNumberFormat="1" applyFont="1"/>
    <xf numFmtId="165" fontId="10" fillId="0" borderId="0" xfId="3" applyFont="1" applyAlignment="1">
      <alignment horizontal="center" wrapText="1"/>
    </xf>
    <xf numFmtId="165" fontId="10" fillId="0" borderId="0" xfId="3" applyFont="1" applyAlignment="1">
      <alignment vertical="center"/>
    </xf>
    <xf numFmtId="165" fontId="18" fillId="0" borderId="1" xfId="3" applyFont="1" applyBorder="1"/>
    <xf numFmtId="165" fontId="19" fillId="0" borderId="0" xfId="3" applyFont="1"/>
    <xf numFmtId="1" fontId="9" fillId="0" borderId="0" xfId="3" applyNumberFormat="1" applyFont="1" applyAlignment="1">
      <alignment horizontal="center" wrapText="1"/>
    </xf>
    <xf numFmtId="165" fontId="10" fillId="5" borderId="7" xfId="3" applyFont="1" applyFill="1" applyBorder="1" applyAlignment="1">
      <alignment horizontal="center" vertical="center" wrapText="1"/>
    </xf>
    <xf numFmtId="165" fontId="9" fillId="0" borderId="9" xfId="3" applyFont="1" applyBorder="1" applyAlignment="1">
      <alignment horizontal="center"/>
    </xf>
    <xf numFmtId="20" fontId="10" fillId="0" borderId="0" xfId="3" applyNumberFormat="1" applyFont="1"/>
    <xf numFmtId="165" fontId="10" fillId="0" borderId="11" xfId="3" applyFont="1" applyBorder="1" applyAlignment="1">
      <alignment horizontal="center" vertical="top" wrapText="1"/>
    </xf>
    <xf numFmtId="165" fontId="10" fillId="5" borderId="11" xfId="3" applyFont="1" applyFill="1" applyBorder="1" applyAlignment="1">
      <alignment horizontal="center" vertical="top" wrapText="1"/>
    </xf>
    <xf numFmtId="165" fontId="24" fillId="0" borderId="13" xfId="3" applyFont="1" applyBorder="1" applyAlignment="1">
      <alignment horizontal="left"/>
    </xf>
    <xf numFmtId="2" fontId="10" fillId="0" borderId="0" xfId="3" applyNumberFormat="1" applyFont="1"/>
    <xf numFmtId="165" fontId="10" fillId="0" borderId="20" xfId="3" applyFont="1" applyBorder="1" applyAlignment="1">
      <alignment horizontal="left"/>
    </xf>
    <xf numFmtId="165" fontId="10" fillId="0" borderId="21" xfId="3" applyFont="1" applyBorder="1" applyAlignment="1">
      <alignment horizontal="center"/>
    </xf>
    <xf numFmtId="165" fontId="10" fillId="0" borderId="21" xfId="3" applyFont="1" applyBorder="1" applyAlignment="1">
      <alignment horizontal="center" wrapText="1"/>
    </xf>
    <xf numFmtId="165" fontId="10" fillId="0" borderId="22" xfId="3" applyFont="1" applyBorder="1" applyAlignment="1">
      <alignment horizontal="center"/>
    </xf>
    <xf numFmtId="165" fontId="25" fillId="0" borderId="0" xfId="3" applyFont="1"/>
    <xf numFmtId="165" fontId="27" fillId="0" borderId="13" xfId="3" applyFont="1" applyBorder="1" applyAlignment="1">
      <alignment horizontal="left"/>
    </xf>
    <xf numFmtId="166" fontId="9" fillId="0" borderId="15" xfId="3" applyNumberFormat="1" applyFont="1" applyBorder="1"/>
    <xf numFmtId="166" fontId="9" fillId="0" borderId="0" xfId="3" applyNumberFormat="1" applyFont="1" applyAlignment="1">
      <alignment wrapText="1"/>
    </xf>
    <xf numFmtId="2" fontId="9" fillId="0" borderId="0" xfId="3" quotePrefix="1" applyNumberFormat="1" applyFont="1" applyAlignment="1">
      <alignment horizontal="center"/>
    </xf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/>
    <xf numFmtId="165" fontId="31" fillId="0" borderId="13" xfId="3" applyFont="1" applyBorder="1" applyAlignment="1">
      <alignment horizontal="left"/>
    </xf>
    <xf numFmtId="165" fontId="14" fillId="0" borderId="13" xfId="3" applyFont="1" applyBorder="1"/>
    <xf numFmtId="165" fontId="33" fillId="0" borderId="31" xfId="3" applyFont="1" applyBorder="1"/>
    <xf numFmtId="166" fontId="9" fillId="0" borderId="0" xfId="3" applyNumberFormat="1" applyFont="1" applyAlignment="1">
      <alignment horizontal="right"/>
    </xf>
    <xf numFmtId="166" fontId="9" fillId="4" borderId="0" xfId="3" applyNumberFormat="1" applyFont="1" applyFill="1"/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166" fontId="10" fillId="0" borderId="0" xfId="3" applyNumberFormat="1" applyFont="1" applyAlignment="1">
      <alignment horizontal="center"/>
    </xf>
    <xf numFmtId="2" fontId="25" fillId="0" borderId="0" xfId="3" applyNumberFormat="1" applyFont="1"/>
    <xf numFmtId="165" fontId="14" fillId="0" borderId="0" xfId="3" applyFont="1"/>
    <xf numFmtId="2" fontId="34" fillId="0" borderId="0" xfId="3" applyNumberFormat="1" applyFont="1" applyAlignment="1">
      <alignment horizontal="center"/>
    </xf>
    <xf numFmtId="165" fontId="9" fillId="0" borderId="4" xfId="3" applyFont="1" applyBorder="1" applyAlignment="1">
      <alignment horizontal="center"/>
    </xf>
    <xf numFmtId="165" fontId="9" fillId="0" borderId="0" xfId="3" applyFont="1" applyAlignment="1">
      <alignment horizontal="center"/>
    </xf>
    <xf numFmtId="165" fontId="9" fillId="0" borderId="0" xfId="3" applyFont="1" applyAlignment="1">
      <alignment horizontal="center" wrapText="1"/>
    </xf>
    <xf numFmtId="165" fontId="10" fillId="0" borderId="0" xfId="3" applyFont="1" applyAlignment="1">
      <alignment horizontal="center" vertical="center" wrapText="1"/>
    </xf>
    <xf numFmtId="169" fontId="35" fillId="0" borderId="41" xfId="0" applyNumberFormat="1" applyFont="1" applyBorder="1" applyAlignment="1">
      <alignment horizontal="center" vertical="center"/>
    </xf>
    <xf numFmtId="170" fontId="9" fillId="0" borderId="42" xfId="4" applyNumberFormat="1" applyFont="1" applyBorder="1" applyAlignment="1">
      <alignment horizontal="center" vertical="center"/>
    </xf>
    <xf numFmtId="2" fontId="32" fillId="0" borderId="2" xfId="3" applyNumberFormat="1" applyFont="1" applyBorder="1" applyAlignment="1">
      <alignment horizontal="center" vertical="center"/>
    </xf>
    <xf numFmtId="165" fontId="9" fillId="0" borderId="0" xfId="3" applyFont="1" applyAlignment="1">
      <alignment horizontal="center" vertical="center"/>
    </xf>
    <xf numFmtId="165" fontId="10" fillId="0" borderId="43" xfId="3" applyFont="1" applyBorder="1" applyAlignment="1">
      <alignment vertical="center" wrapText="1"/>
    </xf>
    <xf numFmtId="165" fontId="10" fillId="0" borderId="0" xfId="3" applyFont="1" applyAlignment="1">
      <alignment vertical="center" wrapText="1"/>
    </xf>
    <xf numFmtId="170" fontId="9" fillId="0" borderId="0" xfId="3" applyNumberFormat="1" applyFont="1" applyAlignment="1">
      <alignment horizontal="center" vertical="center"/>
    </xf>
    <xf numFmtId="165" fontId="10" fillId="0" borderId="44" xfId="3" applyFont="1" applyBorder="1" applyAlignment="1">
      <alignment horizontal="center" shrinkToFit="1"/>
    </xf>
    <xf numFmtId="165" fontId="10" fillId="0" borderId="45" xfId="3" applyFont="1" applyBorder="1" applyAlignment="1">
      <alignment horizontal="center" shrinkToFit="1"/>
    </xf>
    <xf numFmtId="165" fontId="10" fillId="0" borderId="0" xfId="3" applyFont="1" applyAlignment="1">
      <alignment horizontal="center" wrapText="1" shrinkToFit="1"/>
    </xf>
    <xf numFmtId="165" fontId="10" fillId="0" borderId="50" xfId="3" applyFont="1" applyBorder="1" applyAlignment="1">
      <alignment horizontal="left"/>
    </xf>
    <xf numFmtId="165" fontId="10" fillId="0" borderId="10" xfId="3" applyFont="1" applyBorder="1" applyAlignment="1">
      <alignment horizontal="left"/>
    </xf>
    <xf numFmtId="165" fontId="10" fillId="0" borderId="12" xfId="3" applyFont="1" applyBorder="1" applyAlignment="1">
      <alignment horizontal="left"/>
    </xf>
    <xf numFmtId="165" fontId="10" fillId="0" borderId="0" xfId="3" applyFont="1" applyAlignment="1">
      <alignment horizontal="left" wrapText="1"/>
    </xf>
    <xf numFmtId="2" fontId="36" fillId="0" borderId="1" xfId="3" applyNumberFormat="1" applyFont="1" applyBorder="1" applyAlignment="1">
      <alignment horizontal="right"/>
    </xf>
    <xf numFmtId="166" fontId="9" fillId="0" borderId="15" xfId="3" applyNumberFormat="1" applyFont="1" applyBorder="1" applyAlignment="1">
      <alignment horizontal="right"/>
    </xf>
    <xf numFmtId="170" fontId="32" fillId="0" borderId="1" xfId="3" applyNumberFormat="1" applyFont="1" applyBorder="1" applyAlignment="1">
      <alignment horizontal="right"/>
    </xf>
    <xf numFmtId="9" fontId="9" fillId="0" borderId="15" xfId="3" applyNumberFormat="1" applyFont="1" applyBorder="1" applyAlignment="1">
      <alignment horizontal="right"/>
    </xf>
    <xf numFmtId="9" fontId="9" fillId="0" borderId="0" xfId="3" applyNumberFormat="1" applyFont="1" applyAlignment="1">
      <alignment horizontal="right" wrapText="1"/>
    </xf>
    <xf numFmtId="166" fontId="9" fillId="0" borderId="51" xfId="3" applyNumberFormat="1" applyFont="1" applyBorder="1" applyAlignment="1">
      <alignment horizontal="right"/>
    </xf>
    <xf numFmtId="9" fontId="9" fillId="0" borderId="51" xfId="3" applyNumberFormat="1" applyFont="1" applyBorder="1" applyAlignment="1">
      <alignment horizontal="right"/>
    </xf>
    <xf numFmtId="166" fontId="9" fillId="0" borderId="36" xfId="3" applyNumberFormat="1" applyFont="1" applyBorder="1" applyAlignment="1">
      <alignment horizontal="right"/>
    </xf>
    <xf numFmtId="2" fontId="10" fillId="0" borderId="31" xfId="3" applyNumberFormat="1" applyFont="1" applyBorder="1" applyAlignment="1">
      <alignment horizontal="right"/>
    </xf>
    <xf numFmtId="165" fontId="9" fillId="0" borderId="0" xfId="3" applyFont="1" applyAlignment="1">
      <alignment horizontal="right"/>
    </xf>
    <xf numFmtId="165" fontId="9" fillId="0" borderId="0" xfId="3" applyFont="1" applyAlignment="1">
      <alignment horizontal="right" wrapText="1"/>
    </xf>
    <xf numFmtId="2" fontId="39" fillId="0" borderId="1" xfId="3" applyNumberFormat="1" applyFont="1" applyBorder="1" applyAlignment="1">
      <alignment horizontal="right"/>
    </xf>
    <xf numFmtId="165" fontId="10" fillId="0" borderId="37" xfId="3" applyFont="1" applyBorder="1" applyAlignment="1">
      <alignment vertical="center"/>
    </xf>
    <xf numFmtId="165" fontId="8" fillId="0" borderId="0" xfId="3"/>
    <xf numFmtId="165" fontId="40" fillId="0" borderId="0" xfId="3" applyFont="1"/>
    <xf numFmtId="165" fontId="41" fillId="0" borderId="6" xfId="3" applyFont="1" applyBorder="1" applyAlignment="1">
      <alignment horizontal="center" vertical="center" wrapText="1"/>
    </xf>
    <xf numFmtId="165" fontId="15" fillId="0" borderId="6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3" fillId="0" borderId="10" xfId="3" applyFont="1" applyBorder="1" applyAlignment="1">
      <alignment horizontal="center" vertical="center" wrapText="1"/>
    </xf>
    <xf numFmtId="165" fontId="41" fillId="0" borderId="11" xfId="3" applyFont="1" applyBorder="1" applyAlignment="1">
      <alignment horizontal="center" vertical="center" wrapText="1"/>
    </xf>
    <xf numFmtId="165" fontId="41" fillId="0" borderId="0" xfId="3" applyFont="1" applyAlignment="1">
      <alignment horizontal="left"/>
    </xf>
    <xf numFmtId="165" fontId="44" fillId="0" borderId="13" xfId="3" applyFont="1" applyBorder="1" applyAlignment="1">
      <alignment horizontal="left"/>
    </xf>
    <xf numFmtId="16" fontId="8" fillId="0" borderId="10" xfId="3" applyNumberFormat="1" applyBorder="1" applyAlignment="1">
      <alignment horizontal="center"/>
    </xf>
    <xf numFmtId="166" fontId="45" fillId="0" borderId="1" xfId="3" applyNumberFormat="1" applyFont="1" applyBorder="1" applyAlignment="1">
      <alignment horizontal="center"/>
    </xf>
    <xf numFmtId="1" fontId="45" fillId="0" borderId="10" xfId="3" applyNumberFormat="1" applyFont="1" applyBorder="1" applyAlignment="1">
      <alignment horizontal="center"/>
    </xf>
    <xf numFmtId="166" fontId="46" fillId="0" borderId="10" xfId="3" applyNumberFormat="1" applyFont="1" applyBorder="1" applyAlignment="1">
      <alignment horizontal="center"/>
    </xf>
    <xf numFmtId="166" fontId="8" fillId="0" borderId="1" xfId="3" applyNumberFormat="1" applyBorder="1" applyAlignment="1">
      <alignment horizontal="center"/>
    </xf>
    <xf numFmtId="167" fontId="8" fillId="0" borderId="11" xfId="3" applyNumberFormat="1" applyBorder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1" fillId="0" borderId="0" xfId="3" applyFont="1"/>
    <xf numFmtId="165" fontId="8" fillId="0" borderId="13" xfId="3" applyBorder="1"/>
    <xf numFmtId="166" fontId="8" fillId="0" borderId="0" xfId="3" applyNumberFormat="1" applyAlignment="1">
      <alignment horizontal="center"/>
    </xf>
    <xf numFmtId="165" fontId="48" fillId="8" borderId="43" xfId="3" applyFont="1" applyFill="1" applyBorder="1" applyAlignment="1">
      <alignment horizontal="center" wrapText="1"/>
    </xf>
    <xf numFmtId="165" fontId="49" fillId="0" borderId="13" xfId="3" applyFont="1" applyBorder="1"/>
    <xf numFmtId="166" fontId="8" fillId="0" borderId="0" xfId="3" applyNumberFormat="1"/>
    <xf numFmtId="165" fontId="50" fillId="0" borderId="13" xfId="3" applyFont="1" applyBorder="1"/>
    <xf numFmtId="165" fontId="51" fillId="0" borderId="52" xfId="3" applyFont="1" applyBorder="1" applyAlignment="1">
      <alignment horizontal="left"/>
    </xf>
    <xf numFmtId="15" fontId="8" fillId="0" borderId="10" xfId="3" applyNumberFormat="1" applyBorder="1" applyAlignment="1">
      <alignment horizontal="center"/>
    </xf>
    <xf numFmtId="166" fontId="8" fillId="8" borderId="1" xfId="3" applyNumberFormat="1" applyFill="1" applyBorder="1" applyAlignment="1">
      <alignment horizontal="center"/>
    </xf>
    <xf numFmtId="166" fontId="8" fillId="8" borderId="11" xfId="3" applyNumberFormat="1" applyFill="1" applyBorder="1" applyAlignment="1">
      <alignment horizontal="center"/>
    </xf>
    <xf numFmtId="165" fontId="15" fillId="8" borderId="43" xfId="3" applyFont="1" applyFill="1" applyBorder="1" applyAlignment="1">
      <alignment horizontal="center"/>
    </xf>
    <xf numFmtId="165" fontId="49" fillId="0" borderId="31" xfId="3" applyFont="1" applyBorder="1"/>
    <xf numFmtId="16" fontId="8" fillId="0" borderId="32" xfId="3" applyNumberFormat="1" applyBorder="1" applyAlignment="1">
      <alignment horizontal="center"/>
    </xf>
    <xf numFmtId="15" fontId="8" fillId="0" borderId="32" xfId="3" applyNumberFormat="1" applyBorder="1" applyAlignment="1">
      <alignment horizontal="center"/>
    </xf>
    <xf numFmtId="166" fontId="8" fillId="0" borderId="32" xfId="3" applyNumberFormat="1" applyBorder="1" applyAlignment="1">
      <alignment horizontal="center"/>
    </xf>
    <xf numFmtId="1" fontId="45" fillId="0" borderId="32" xfId="3" applyNumberFormat="1" applyFont="1" applyBorder="1" applyAlignment="1">
      <alignment horizontal="center"/>
    </xf>
    <xf numFmtId="166" fontId="46" fillId="0" borderId="32" xfId="3" applyNumberFormat="1" applyFont="1" applyBorder="1" applyAlignment="1">
      <alignment horizontal="center"/>
    </xf>
    <xf numFmtId="166" fontId="8" fillId="8" borderId="32" xfId="3" applyNumberFormat="1" applyFill="1" applyBorder="1" applyAlignment="1">
      <alignment horizontal="center"/>
    </xf>
    <xf numFmtId="166" fontId="8" fillId="8" borderId="53" xfId="3" applyNumberFormat="1" applyFill="1" applyBorder="1" applyAlignment="1">
      <alignment horizontal="center"/>
    </xf>
    <xf numFmtId="167" fontId="8" fillId="0" borderId="53" xfId="3" applyNumberFormat="1" applyBorder="1" applyAlignment="1">
      <alignment horizontal="center"/>
    </xf>
    <xf numFmtId="165" fontId="52" fillId="0" borderId="54" xfId="3" applyFont="1" applyBorder="1" applyAlignment="1">
      <alignment horizontal="center"/>
    </xf>
    <xf numFmtId="165" fontId="8" fillId="0" borderId="0" xfId="3" applyAlignment="1">
      <alignment horizontal="center"/>
    </xf>
    <xf numFmtId="15" fontId="8" fillId="0" borderId="0" xfId="3" applyNumberFormat="1" applyAlignment="1">
      <alignment horizontal="center"/>
    </xf>
    <xf numFmtId="166" fontId="53" fillId="0" borderId="0" xfId="3" applyNumberFormat="1" applyFont="1" applyAlignment="1">
      <alignment horizontal="center"/>
    </xf>
    <xf numFmtId="2" fontId="8" fillId="0" borderId="0" xfId="3" applyNumberFormat="1" applyAlignment="1">
      <alignment horizontal="center"/>
    </xf>
    <xf numFmtId="166" fontId="41" fillId="0" borderId="33" xfId="3" applyNumberFormat="1" applyFont="1" applyBorder="1"/>
    <xf numFmtId="165" fontId="52" fillId="0" borderId="0" xfId="3" applyFont="1" applyAlignment="1">
      <alignment horizontal="center"/>
    </xf>
    <xf numFmtId="166" fontId="45" fillId="0" borderId="20" xfId="3" applyNumberFormat="1" applyFont="1" applyBorder="1" applyAlignment="1">
      <alignment horizontal="center"/>
    </xf>
    <xf numFmtId="166" fontId="45" fillId="0" borderId="21" xfId="3" applyNumberFormat="1" applyFont="1" applyBorder="1" applyAlignment="1">
      <alignment horizontal="center"/>
    </xf>
    <xf numFmtId="2" fontId="41" fillId="0" borderId="0" xfId="3" applyNumberFormat="1" applyFont="1" applyAlignment="1">
      <alignment horizontal="center"/>
    </xf>
    <xf numFmtId="2" fontId="41" fillId="0" borderId="57" xfId="3" applyNumberFormat="1" applyFont="1" applyBorder="1" applyAlignment="1">
      <alignment horizontal="center"/>
    </xf>
    <xf numFmtId="166" fontId="8" fillId="0" borderId="13" xfId="3" applyNumberFormat="1" applyBorder="1" applyAlignment="1">
      <alignment horizontal="center"/>
    </xf>
    <xf numFmtId="2" fontId="8" fillId="0" borderId="1" xfId="3" applyNumberFormat="1" applyBorder="1" applyAlignment="1">
      <alignment horizontal="center"/>
    </xf>
    <xf numFmtId="165" fontId="8" fillId="0" borderId="2" xfId="3" applyBorder="1" applyAlignment="1">
      <alignment horizontal="center"/>
    </xf>
    <xf numFmtId="165" fontId="50" fillId="0" borderId="58" xfId="3" applyFont="1" applyBorder="1" applyAlignment="1">
      <alignment horizontal="center"/>
    </xf>
    <xf numFmtId="165" fontId="54" fillId="0" borderId="13" xfId="3" applyFont="1" applyBorder="1" applyAlignment="1">
      <alignment horizontal="center"/>
    </xf>
    <xf numFmtId="2" fontId="46" fillId="0" borderId="15" xfId="3" applyNumberFormat="1" applyFont="1" applyBorder="1" applyAlignment="1">
      <alignment horizontal="center"/>
    </xf>
    <xf numFmtId="2" fontId="46" fillId="0" borderId="2" xfId="3" applyNumberFormat="1" applyFont="1" applyBorder="1" applyAlignment="1">
      <alignment horizontal="center"/>
    </xf>
    <xf numFmtId="166" fontId="41" fillId="0" borderId="0" xfId="3" applyNumberFormat="1" applyFont="1" applyAlignment="1">
      <alignment horizontal="center"/>
    </xf>
    <xf numFmtId="1" fontId="8" fillId="0" borderId="58" xfId="3" applyNumberFormat="1" applyBorder="1" applyAlignment="1">
      <alignment horizontal="center"/>
    </xf>
    <xf numFmtId="166" fontId="55" fillId="0" borderId="59" xfId="3" applyNumberFormat="1" applyFont="1" applyBorder="1" applyAlignment="1">
      <alignment horizontal="center"/>
    </xf>
    <xf numFmtId="15" fontId="8" fillId="0" borderId="31" xfId="3" applyNumberFormat="1" applyBorder="1" applyAlignment="1">
      <alignment horizontal="center"/>
    </xf>
    <xf numFmtId="2" fontId="8" fillId="0" borderId="36" xfId="3" applyNumberFormat="1" applyBorder="1" applyAlignment="1">
      <alignment horizontal="center"/>
    </xf>
    <xf numFmtId="2" fontId="8" fillId="0" borderId="53" xfId="3" applyNumberFormat="1" applyBorder="1" applyAlignment="1">
      <alignment horizontal="center"/>
    </xf>
    <xf numFmtId="166" fontId="8" fillId="0" borderId="61" xfId="3" applyNumberFormat="1" applyBorder="1" applyAlignment="1">
      <alignment horizontal="center"/>
    </xf>
    <xf numFmtId="165" fontId="41" fillId="0" borderId="20" xfId="3" applyFont="1" applyBorder="1" applyAlignment="1">
      <alignment horizontal="left"/>
    </xf>
    <xf numFmtId="165" fontId="41" fillId="0" borderId="21" xfId="3" applyFont="1" applyBorder="1" applyAlignment="1">
      <alignment horizontal="center"/>
    </xf>
    <xf numFmtId="165" fontId="41" fillId="0" borderId="56" xfId="3" applyFont="1" applyBorder="1" applyAlignment="1">
      <alignment horizontal="center"/>
    </xf>
    <xf numFmtId="165" fontId="41" fillId="0" borderId="0" xfId="3" applyFont="1" applyAlignment="1">
      <alignment horizontal="center"/>
    </xf>
    <xf numFmtId="166" fontId="8" fillId="0" borderId="1" xfId="3" applyNumberFormat="1" applyBorder="1" applyAlignment="1">
      <alignment horizontal="right"/>
    </xf>
    <xf numFmtId="166" fontId="41" fillId="0" borderId="1" xfId="3" applyNumberFormat="1" applyFont="1" applyBorder="1" applyAlignment="1">
      <alignment horizontal="right"/>
    </xf>
    <xf numFmtId="166" fontId="8" fillId="0" borderId="59" xfId="3" applyNumberFormat="1" applyBorder="1"/>
    <xf numFmtId="165" fontId="56" fillId="0" borderId="13" xfId="3" applyFont="1" applyBorder="1" applyAlignment="1">
      <alignment horizontal="left"/>
    </xf>
    <xf numFmtId="166" fontId="55" fillId="0" borderId="1" xfId="3" applyNumberFormat="1" applyFont="1" applyBorder="1" applyAlignment="1">
      <alignment horizontal="right"/>
    </xf>
    <xf numFmtId="165" fontId="57" fillId="0" borderId="13" xfId="3" applyFont="1" applyBorder="1"/>
    <xf numFmtId="166" fontId="41" fillId="0" borderId="1" xfId="3" applyNumberFormat="1" applyFont="1" applyBorder="1"/>
    <xf numFmtId="166" fontId="46" fillId="0" borderId="1" xfId="3" applyNumberFormat="1" applyFont="1" applyBorder="1" applyAlignment="1">
      <alignment horizontal="right"/>
    </xf>
    <xf numFmtId="166" fontId="55" fillId="0" borderId="14" xfId="3" applyNumberFormat="1" applyFont="1" applyBorder="1"/>
    <xf numFmtId="165" fontId="58" fillId="0" borderId="31" xfId="3" applyFont="1" applyBorder="1"/>
    <xf numFmtId="166" fontId="8" fillId="0" borderId="32" xfId="3" applyNumberFormat="1" applyBorder="1" applyAlignment="1">
      <alignment horizontal="right"/>
    </xf>
    <xf numFmtId="166" fontId="41" fillId="0" borderId="14" xfId="3" applyNumberFormat="1" applyFont="1" applyBorder="1"/>
    <xf numFmtId="166" fontId="8" fillId="0" borderId="60" xfId="3" applyNumberFormat="1" applyBorder="1"/>
    <xf numFmtId="165" fontId="58" fillId="0" borderId="0" xfId="3" applyFont="1"/>
    <xf numFmtId="166" fontId="8" fillId="0" borderId="0" xfId="3" applyNumberFormat="1" applyAlignment="1">
      <alignment horizontal="right"/>
    </xf>
    <xf numFmtId="16" fontId="8" fillId="0" borderId="10" xfId="3" applyNumberFormat="1" applyBorder="1" applyAlignment="1">
      <alignment horizontal="center" vertical="center"/>
    </xf>
    <xf numFmtId="15" fontId="8" fillId="0" borderId="6" xfId="3" applyNumberFormat="1" applyBorder="1" applyAlignment="1">
      <alignment vertical="center"/>
    </xf>
    <xf numFmtId="2" fontId="8" fillId="0" borderId="1" xfId="3" applyNumberFormat="1" applyBorder="1" applyAlignment="1">
      <alignment horizontal="right" vertical="center"/>
    </xf>
    <xf numFmtId="166" fontId="8" fillId="0" borderId="1" xfId="3" applyNumberFormat="1" applyBorder="1" applyAlignment="1">
      <alignment horizontal="center" vertical="center"/>
    </xf>
    <xf numFmtId="170" fontId="8" fillId="0" borderId="6" xfId="3" applyNumberFormat="1" applyBorder="1" applyAlignment="1">
      <alignment vertical="center"/>
    </xf>
    <xf numFmtId="165" fontId="41" fillId="0" borderId="23" xfId="3" applyFont="1" applyBorder="1" applyAlignment="1">
      <alignment vertical="center" wrapText="1"/>
    </xf>
    <xf numFmtId="165" fontId="59" fillId="0" borderId="0" xfId="3" applyFont="1"/>
    <xf numFmtId="15" fontId="8" fillId="0" borderId="1" xfId="3" applyNumberFormat="1" applyBorder="1" applyAlignment="1">
      <alignment horizontal="center" vertical="center"/>
    </xf>
    <xf numFmtId="165" fontId="8" fillId="0" borderId="1" xfId="3" applyBorder="1"/>
    <xf numFmtId="165" fontId="60" fillId="0" borderId="43" xfId="3" applyFont="1" applyBorder="1" applyAlignment="1">
      <alignment vertical="center" wrapText="1"/>
    </xf>
    <xf numFmtId="2" fontId="8" fillId="0" borderId="1" xfId="3" applyNumberFormat="1" applyBorder="1" applyAlignment="1">
      <alignment horizontal="center" vertical="center"/>
    </xf>
    <xf numFmtId="2" fontId="8" fillId="0" borderId="1" xfId="3" applyNumberFormat="1" applyBorder="1" applyAlignment="1">
      <alignment horizontal="right"/>
    </xf>
    <xf numFmtId="165" fontId="41" fillId="0" borderId="43" xfId="3" applyFont="1" applyBorder="1" applyAlignment="1">
      <alignment vertical="center" wrapText="1"/>
    </xf>
    <xf numFmtId="165" fontId="53" fillId="0" borderId="13" xfId="3" applyFont="1" applyBorder="1"/>
    <xf numFmtId="165" fontId="53" fillId="0" borderId="52" xfId="3" applyFont="1" applyBorder="1"/>
    <xf numFmtId="165" fontId="8" fillId="0" borderId="14" xfId="3" applyBorder="1"/>
    <xf numFmtId="166" fontId="8" fillId="0" borderId="14" xfId="3" applyNumberFormat="1" applyBorder="1" applyAlignment="1">
      <alignment horizontal="right"/>
    </xf>
    <xf numFmtId="165" fontId="41" fillId="0" borderId="66" xfId="3" applyFont="1" applyBorder="1" applyAlignment="1">
      <alignment vertical="center" wrapText="1"/>
    </xf>
    <xf numFmtId="165" fontId="41" fillId="0" borderId="31" xfId="3" applyFont="1" applyBorder="1" applyAlignment="1">
      <alignment horizontal="center" shrinkToFit="1"/>
    </xf>
    <xf numFmtId="165" fontId="8" fillId="0" borderId="32" xfId="3" applyBorder="1" applyAlignment="1">
      <alignment horizontal="center"/>
    </xf>
    <xf numFmtId="15" fontId="8" fillId="0" borderId="39" xfId="3" applyNumberFormat="1" applyBorder="1"/>
    <xf numFmtId="165" fontId="8" fillId="0" borderId="32" xfId="3" applyBorder="1"/>
    <xf numFmtId="165" fontId="8" fillId="0" borderId="32" xfId="3" applyBorder="1" applyAlignment="1">
      <alignment horizontal="right"/>
    </xf>
    <xf numFmtId="165" fontId="41" fillId="0" borderId="54" xfId="3" applyFont="1" applyBorder="1" applyAlignment="1">
      <alignment vertical="center" wrapText="1"/>
    </xf>
    <xf numFmtId="165" fontId="41" fillId="0" borderId="0" xfId="3" applyFont="1" applyAlignment="1">
      <alignment horizontal="center" shrinkToFit="1"/>
    </xf>
    <xf numFmtId="165" fontId="41" fillId="0" borderId="0" xfId="3" applyFont="1" applyAlignment="1">
      <alignment vertical="center" wrapText="1"/>
    </xf>
    <xf numFmtId="165" fontId="39" fillId="0" borderId="50" xfId="3" applyFont="1" applyBorder="1" applyAlignment="1">
      <alignment horizontal="left"/>
    </xf>
    <xf numFmtId="165" fontId="39" fillId="0" borderId="10" xfId="3" applyFont="1" applyBorder="1" applyAlignment="1">
      <alignment horizontal="left"/>
    </xf>
    <xf numFmtId="165" fontId="39" fillId="0" borderId="12" xfId="3" applyFont="1" applyBorder="1" applyAlignment="1">
      <alignment horizontal="left"/>
    </xf>
    <xf numFmtId="165" fontId="41" fillId="0" borderId="10" xfId="3" applyFont="1" applyBorder="1" applyAlignment="1">
      <alignment horizontal="left"/>
    </xf>
    <xf numFmtId="165" fontId="41" fillId="0" borderId="12" xfId="3" applyFont="1" applyBorder="1" applyAlignment="1">
      <alignment horizontal="left"/>
    </xf>
    <xf numFmtId="2" fontId="62" fillId="0" borderId="1" xfId="4" applyNumberFormat="1" applyFont="1" applyBorder="1" applyAlignment="1">
      <alignment horizontal="right"/>
    </xf>
    <xf numFmtId="166" fontId="62" fillId="0" borderId="15" xfId="3" applyNumberFormat="1" applyFont="1" applyBorder="1" applyAlignment="1">
      <alignment horizontal="right"/>
    </xf>
    <xf numFmtId="170" fontId="8" fillId="0" borderId="52" xfId="4" applyNumberFormat="1" applyBorder="1" applyAlignment="1">
      <alignment horizontal="right" vertical="center"/>
    </xf>
    <xf numFmtId="170" fontId="55" fillId="0" borderId="1" xfId="3" applyNumberFormat="1" applyFont="1" applyBorder="1" applyAlignment="1">
      <alignment horizontal="right"/>
    </xf>
    <xf numFmtId="9" fontId="8" fillId="0" borderId="15" xfId="3" applyNumberFormat="1" applyBorder="1" applyAlignment="1">
      <alignment horizontal="right"/>
    </xf>
    <xf numFmtId="170" fontId="8" fillId="0" borderId="1" xfId="4" applyNumberFormat="1" applyBorder="1" applyAlignment="1">
      <alignment horizontal="right"/>
    </xf>
    <xf numFmtId="165" fontId="24" fillId="0" borderId="13" xfId="3" applyFont="1" applyBorder="1"/>
    <xf numFmtId="2" fontId="62" fillId="0" borderId="0" xfId="3" applyNumberFormat="1" applyFont="1" applyAlignment="1">
      <alignment horizontal="right"/>
    </xf>
    <xf numFmtId="165" fontId="31" fillId="0" borderId="52" xfId="3" applyFont="1" applyBorder="1" applyAlignment="1">
      <alignment horizontal="left"/>
    </xf>
    <xf numFmtId="166" fontId="62" fillId="0" borderId="51" xfId="3" applyNumberFormat="1" applyFont="1" applyBorder="1" applyAlignment="1">
      <alignment horizontal="right"/>
    </xf>
    <xf numFmtId="165" fontId="32" fillId="0" borderId="52" xfId="3" applyFont="1" applyBorder="1" applyAlignment="1">
      <alignment horizontal="left"/>
    </xf>
    <xf numFmtId="2" fontId="62" fillId="0" borderId="14" xfId="4" applyNumberFormat="1" applyFont="1" applyBorder="1" applyAlignment="1">
      <alignment horizontal="right"/>
    </xf>
    <xf numFmtId="170" fontId="8" fillId="0" borderId="14" xfId="4" applyNumberFormat="1" applyBorder="1" applyAlignment="1">
      <alignment horizontal="right"/>
    </xf>
    <xf numFmtId="9" fontId="8" fillId="0" borderId="51" xfId="3" applyNumberFormat="1" applyBorder="1" applyAlignment="1">
      <alignment horizontal="right"/>
    </xf>
    <xf numFmtId="2" fontId="62" fillId="0" borderId="32" xfId="3" applyNumberFormat="1" applyFont="1" applyBorder="1" applyAlignment="1">
      <alignment horizontal="right"/>
    </xf>
    <xf numFmtId="166" fontId="62" fillId="0" borderId="36" xfId="3" applyNumberFormat="1" applyFont="1" applyBorder="1" applyAlignment="1">
      <alignment horizontal="right"/>
    </xf>
    <xf numFmtId="170" fontId="8" fillId="0" borderId="32" xfId="3" applyNumberFormat="1" applyBorder="1" applyAlignment="1">
      <alignment horizontal="right"/>
    </xf>
    <xf numFmtId="9" fontId="8" fillId="0" borderId="36" xfId="3" applyNumberFormat="1" applyBorder="1" applyAlignment="1">
      <alignment horizontal="right"/>
    </xf>
    <xf numFmtId="165" fontId="62" fillId="0" borderId="0" xfId="3" applyFont="1"/>
    <xf numFmtId="165" fontId="62" fillId="0" borderId="0" xfId="3" applyFont="1" applyAlignment="1">
      <alignment horizontal="right"/>
    </xf>
    <xf numFmtId="2" fontId="39" fillId="0" borderId="0" xfId="3" applyNumberFormat="1" applyFont="1" applyAlignment="1">
      <alignment horizontal="right"/>
    </xf>
    <xf numFmtId="2" fontId="41" fillId="0" borderId="0" xfId="3" applyNumberFormat="1" applyFont="1" applyAlignment="1">
      <alignment horizontal="right"/>
    </xf>
    <xf numFmtId="165" fontId="8" fillId="0" borderId="0" xfId="3" applyAlignment="1">
      <alignment horizontal="right"/>
    </xf>
    <xf numFmtId="165" fontId="63" fillId="0" borderId="0" xfId="3" applyFont="1"/>
    <xf numFmtId="165" fontId="54" fillId="0" borderId="0" xfId="0" applyFont="1"/>
    <xf numFmtId="165" fontId="54" fillId="0" borderId="0" xfId="0" applyFont="1" applyAlignment="1">
      <alignment horizontal="center"/>
    </xf>
    <xf numFmtId="165" fontId="64" fillId="3" borderId="1" xfId="0" applyFont="1" applyFill="1" applyBorder="1"/>
    <xf numFmtId="165" fontId="64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4" fillId="3" borderId="1" xfId="0" applyNumberFormat="1" applyFont="1" applyFill="1" applyBorder="1" applyAlignment="1">
      <alignment horizontal="center"/>
    </xf>
    <xf numFmtId="40" fontId="54" fillId="10" borderId="27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40" fontId="54" fillId="12" borderId="27" xfId="1" applyNumberFormat="1" applyFont="1" applyFill="1" applyBorder="1" applyAlignment="1">
      <alignment horizontal="center"/>
    </xf>
    <xf numFmtId="40" fontId="54" fillId="13" borderId="27" xfId="1" applyNumberFormat="1" applyFont="1" applyFill="1" applyBorder="1" applyAlignment="1">
      <alignment horizontal="center"/>
    </xf>
    <xf numFmtId="40" fontId="54" fillId="14" borderId="27" xfId="1" applyNumberFormat="1" applyFont="1" applyFill="1" applyBorder="1" applyAlignment="1">
      <alignment horizontal="center"/>
    </xf>
    <xf numFmtId="40" fontId="54" fillId="15" borderId="27" xfId="1" applyNumberFormat="1" applyFont="1" applyFill="1" applyBorder="1" applyAlignment="1">
      <alignment horizontal="center"/>
    </xf>
    <xf numFmtId="40" fontId="54" fillId="16" borderId="27" xfId="1" applyNumberFormat="1" applyFont="1" applyFill="1" applyBorder="1" applyAlignment="1">
      <alignment horizontal="center"/>
    </xf>
    <xf numFmtId="40" fontId="54" fillId="17" borderId="27" xfId="1" applyNumberFormat="1" applyFont="1" applyFill="1" applyBorder="1" applyAlignment="1">
      <alignment horizontal="center"/>
    </xf>
    <xf numFmtId="40" fontId="54" fillId="18" borderId="27" xfId="1" applyNumberFormat="1" applyFont="1" applyFill="1" applyBorder="1" applyAlignment="1">
      <alignment horizontal="center"/>
    </xf>
    <xf numFmtId="166" fontId="64" fillId="4" borderId="1" xfId="0" applyNumberFormat="1" applyFont="1" applyFill="1" applyBorder="1" applyAlignment="1">
      <alignment horizontal="center"/>
    </xf>
    <xf numFmtId="165" fontId="64" fillId="19" borderId="1" xfId="0" applyFont="1" applyFill="1" applyBorder="1" applyAlignment="1">
      <alignment horizontal="center"/>
    </xf>
    <xf numFmtId="2" fontId="64" fillId="19" borderId="1" xfId="0" applyNumberFormat="1" applyFont="1" applyFill="1" applyBorder="1" applyAlignment="1">
      <alignment horizontal="center"/>
    </xf>
    <xf numFmtId="2" fontId="64" fillId="0" borderId="1" xfId="0" applyNumberFormat="1" applyFont="1" applyBorder="1" applyAlignment="1">
      <alignment horizontal="center"/>
    </xf>
    <xf numFmtId="165" fontId="64" fillId="9" borderId="3" xfId="0" applyFont="1" applyFill="1" applyBorder="1" applyAlignment="1">
      <alignment horizontal="center"/>
    </xf>
    <xf numFmtId="40" fontId="54" fillId="10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/>
    <xf numFmtId="40" fontId="54" fillId="12" borderId="68" xfId="1" applyNumberFormat="1" applyFont="1" applyFill="1" applyBorder="1" applyAlignment="1">
      <alignment horizontal="center"/>
    </xf>
    <xf numFmtId="2" fontId="54" fillId="0" borderId="1" xfId="0" applyNumberFormat="1" applyFont="1" applyBorder="1"/>
    <xf numFmtId="40" fontId="54" fillId="13" borderId="68" xfId="1" applyNumberFormat="1" applyFont="1" applyFill="1" applyBorder="1" applyAlignment="1">
      <alignment horizontal="center"/>
    </xf>
    <xf numFmtId="40" fontId="54" fillId="14" borderId="68" xfId="1" applyNumberFormat="1" applyFont="1" applyFill="1" applyBorder="1" applyAlignment="1">
      <alignment horizontal="center"/>
    </xf>
    <xf numFmtId="40" fontId="54" fillId="15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right"/>
    </xf>
    <xf numFmtId="40" fontId="54" fillId="16" borderId="68" xfId="1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right"/>
    </xf>
    <xf numFmtId="40" fontId="54" fillId="17" borderId="68" xfId="1" applyNumberFormat="1" applyFont="1" applyFill="1" applyBorder="1" applyAlignment="1">
      <alignment horizontal="center"/>
    </xf>
    <xf numFmtId="40" fontId="54" fillId="18" borderId="68" xfId="1" applyNumberFormat="1" applyFont="1" applyFill="1" applyBorder="1" applyAlignment="1">
      <alignment horizontal="center"/>
    </xf>
    <xf numFmtId="165" fontId="64" fillId="19" borderId="3" xfId="0" applyFont="1" applyFill="1" applyBorder="1"/>
    <xf numFmtId="2" fontId="64" fillId="19" borderId="1" xfId="0" applyNumberFormat="1" applyFont="1" applyFill="1" applyBorder="1"/>
    <xf numFmtId="165" fontId="7" fillId="0" borderId="0" xfId="0" applyFont="1"/>
    <xf numFmtId="165" fontId="11" fillId="0" borderId="0" xfId="0" applyFont="1"/>
    <xf numFmtId="165" fontId="66" fillId="0" borderId="0" xfId="0" applyFont="1"/>
    <xf numFmtId="165" fontId="67" fillId="19" borderId="70" xfId="0" applyFont="1" applyFill="1" applyBorder="1" applyAlignment="1">
      <alignment vertical="center"/>
    </xf>
    <xf numFmtId="165" fontId="67" fillId="19" borderId="71" xfId="0" applyFont="1" applyFill="1" applyBorder="1" applyAlignment="1">
      <alignment vertical="center"/>
    </xf>
    <xf numFmtId="165" fontId="67" fillId="19" borderId="72" xfId="0" applyFont="1" applyFill="1" applyBorder="1" applyAlignment="1">
      <alignment vertical="center"/>
    </xf>
    <xf numFmtId="165" fontId="67" fillId="21" borderId="72" xfId="0" applyFont="1" applyFill="1" applyBorder="1" applyAlignment="1">
      <alignment vertical="center"/>
    </xf>
    <xf numFmtId="165" fontId="68" fillId="0" borderId="50" xfId="0" applyFont="1" applyBorder="1"/>
    <xf numFmtId="2" fontId="69" fillId="0" borderId="12" xfId="0" applyNumberFormat="1" applyFont="1" applyBorder="1"/>
    <xf numFmtId="2" fontId="69" fillId="0" borderId="10" xfId="0" applyNumberFormat="1" applyFont="1" applyBorder="1"/>
    <xf numFmtId="2" fontId="69" fillId="6" borderId="10" xfId="0" applyNumberFormat="1" applyFont="1" applyFill="1" applyBorder="1"/>
    <xf numFmtId="166" fontId="68" fillId="21" borderId="12" xfId="0" applyNumberFormat="1" applyFont="1" applyFill="1" applyBorder="1"/>
    <xf numFmtId="2" fontId="70" fillId="0" borderId="73" xfId="0" applyNumberFormat="1" applyFont="1" applyBorder="1"/>
    <xf numFmtId="165" fontId="68" fillId="0" borderId="13" xfId="0" applyFont="1" applyBorder="1"/>
    <xf numFmtId="165" fontId="71" fillId="20" borderId="38" xfId="0" applyFont="1" applyFill="1" applyBorder="1" applyAlignment="1">
      <alignment vertical="center"/>
    </xf>
    <xf numFmtId="2" fontId="72" fillId="20" borderId="39" xfId="0" applyNumberFormat="1" applyFont="1" applyFill="1" applyBorder="1" applyAlignment="1">
      <alignment vertical="center"/>
    </xf>
    <xf numFmtId="165" fontId="67" fillId="22" borderId="72" xfId="0" applyFont="1" applyFill="1" applyBorder="1" applyAlignment="1">
      <alignment vertical="center"/>
    </xf>
    <xf numFmtId="2" fontId="69" fillId="0" borderId="12" xfId="0" applyNumberFormat="1" applyFont="1" applyBorder="1" applyAlignment="1">
      <alignment horizontal="right" vertical="center"/>
    </xf>
    <xf numFmtId="2" fontId="75" fillId="22" borderId="12" xfId="0" applyNumberFormat="1" applyFont="1" applyFill="1" applyBorder="1"/>
    <xf numFmtId="165" fontId="71" fillId="20" borderId="31" xfId="0" applyFont="1" applyFill="1" applyBorder="1" applyAlignment="1">
      <alignment vertical="center"/>
    </xf>
    <xf numFmtId="2" fontId="72" fillId="20" borderId="32" xfId="0" applyNumberFormat="1" applyFont="1" applyFill="1" applyBorder="1" applyAlignment="1">
      <alignment vertical="center"/>
    </xf>
    <xf numFmtId="2" fontId="72" fillId="22" borderId="36" xfId="0" applyNumberFormat="1" applyFont="1" applyFill="1" applyBorder="1" applyAlignment="1">
      <alignment vertical="center"/>
    </xf>
    <xf numFmtId="165" fontId="10" fillId="0" borderId="0" xfId="3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/>
    <xf numFmtId="165" fontId="9" fillId="0" borderId="0" xfId="3" applyFont="1"/>
    <xf numFmtId="1" fontId="9" fillId="0" borderId="1" xfId="3" applyNumberFormat="1" applyFont="1" applyBorder="1" applyAlignment="1">
      <alignment horizontal="center" vertical="center"/>
    </xf>
    <xf numFmtId="165" fontId="9" fillId="0" borderId="0" xfId="3" applyFont="1" applyAlignment="1">
      <alignment vertical="center"/>
    </xf>
    <xf numFmtId="1" fontId="10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right"/>
    </xf>
    <xf numFmtId="16" fontId="9" fillId="0" borderId="10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right"/>
    </xf>
    <xf numFmtId="166" fontId="11" fillId="23" borderId="0" xfId="0" applyNumberFormat="1" applyFont="1" applyFill="1"/>
    <xf numFmtId="170" fontId="9" fillId="0" borderId="42" xfId="4" applyNumberFormat="1" applyFont="1" applyFill="1" applyBorder="1" applyAlignment="1">
      <alignment horizontal="center" vertical="center"/>
    </xf>
    <xf numFmtId="165" fontId="27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24" fillId="4" borderId="1" xfId="3" applyFont="1" applyFill="1" applyBorder="1" applyAlignment="1">
      <alignment horizontal="left"/>
    </xf>
    <xf numFmtId="165" fontId="30" fillId="4" borderId="1" xfId="3" applyFont="1" applyFill="1" applyBorder="1"/>
    <xf numFmtId="165" fontId="31" fillId="4" borderId="1" xfId="3" applyFont="1" applyFill="1" applyBorder="1" applyAlignment="1">
      <alignment horizontal="left"/>
    </xf>
    <xf numFmtId="165" fontId="10" fillId="4" borderId="1" xfId="3" applyFont="1" applyFill="1" applyBorder="1" applyAlignment="1">
      <alignment horizontal="left" vertical="center" wrapText="1"/>
    </xf>
    <xf numFmtId="1" fontId="10" fillId="4" borderId="1" xfId="3" applyNumberFormat="1" applyFont="1" applyFill="1" applyBorder="1" applyAlignment="1">
      <alignment horizontal="center" vertical="center" wrapText="1"/>
    </xf>
    <xf numFmtId="165" fontId="10" fillId="0" borderId="0" xfId="3" applyFont="1" applyAlignment="1">
      <alignment horizontal="center"/>
    </xf>
    <xf numFmtId="165" fontId="78" fillId="4" borderId="1" xfId="3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167" fontId="10" fillId="0" borderId="0" xfId="3" applyNumberFormat="1" applyFont="1" applyAlignment="1">
      <alignment horizontal="right" vertical="center"/>
    </xf>
    <xf numFmtId="166" fontId="72" fillId="20" borderId="39" xfId="0" applyNumberFormat="1" applyFont="1" applyFill="1" applyBorder="1" applyAlignment="1">
      <alignment vertical="center"/>
    </xf>
    <xf numFmtId="166" fontId="70" fillId="0" borderId="73" xfId="0" applyNumberFormat="1" applyFont="1" applyBorder="1"/>
    <xf numFmtId="1" fontId="70" fillId="0" borderId="73" xfId="0" applyNumberFormat="1" applyFont="1" applyBorder="1"/>
    <xf numFmtId="14" fontId="10" fillId="0" borderId="0" xfId="3" applyNumberFormat="1" applyFont="1"/>
    <xf numFmtId="166" fontId="10" fillId="0" borderId="1" xfId="3" applyNumberFormat="1" applyFont="1" applyBorder="1" applyAlignment="1">
      <alignment horizontal="right"/>
    </xf>
    <xf numFmtId="4" fontId="9" fillId="0" borderId="11" xfId="3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right"/>
    </xf>
    <xf numFmtId="165" fontId="79" fillId="0" borderId="52" xfId="3" applyFont="1" applyBorder="1"/>
    <xf numFmtId="20" fontId="10" fillId="4" borderId="18" xfId="0" applyNumberFormat="1" applyFont="1" applyFill="1" applyBorder="1" applyAlignment="1">
      <alignment horizontal="center" vertical="center" wrapText="1"/>
    </xf>
    <xf numFmtId="1" fontId="10" fillId="0" borderId="63" xfId="3" applyNumberFormat="1" applyFont="1" applyBorder="1" applyAlignment="1">
      <alignment horizontal="center"/>
    </xf>
    <xf numFmtId="16" fontId="9" fillId="0" borderId="77" xfId="3" applyNumberFormat="1" applyFont="1" applyBorder="1" applyAlignment="1">
      <alignment vertical="center"/>
    </xf>
    <xf numFmtId="16" fontId="9" fillId="0" borderId="32" xfId="3" applyNumberFormat="1" applyFont="1" applyBorder="1" applyAlignment="1">
      <alignment vertical="center"/>
    </xf>
    <xf numFmtId="165" fontId="10" fillId="0" borderId="3" xfId="3" applyFont="1" applyBorder="1" applyAlignment="1">
      <alignment horizontal="center"/>
    </xf>
    <xf numFmtId="2" fontId="10" fillId="7" borderId="34" xfId="3" applyNumberFormat="1" applyFont="1" applyFill="1" applyBorder="1" applyAlignment="1">
      <alignment horizontal="center" vertical="center"/>
    </xf>
    <xf numFmtId="2" fontId="26" fillId="7" borderId="34" xfId="3" applyNumberFormat="1" applyFont="1" applyFill="1" applyBorder="1" applyAlignment="1">
      <alignment horizontal="center" vertical="center"/>
    </xf>
    <xf numFmtId="2" fontId="80" fillId="0" borderId="1" xfId="3" applyNumberFormat="1" applyFont="1" applyBorder="1" applyAlignment="1">
      <alignment horizontal="center" vertical="center"/>
    </xf>
    <xf numFmtId="2" fontId="9" fillId="0" borderId="0" xfId="3" applyNumberFormat="1" applyFont="1"/>
    <xf numFmtId="165" fontId="68" fillId="0" borderId="52" xfId="0" applyFont="1" applyBorder="1"/>
    <xf numFmtId="2" fontId="69" fillId="0" borderId="76" xfId="0" applyNumberFormat="1" applyFont="1" applyBorder="1"/>
    <xf numFmtId="2" fontId="69" fillId="0" borderId="80" xfId="0" applyNumberFormat="1" applyFont="1" applyBorder="1"/>
    <xf numFmtId="2" fontId="75" fillId="22" borderId="81" xfId="0" applyNumberFormat="1" applyFont="1" applyFill="1" applyBorder="1"/>
    <xf numFmtId="2" fontId="32" fillId="0" borderId="10" xfId="4" applyNumberFormat="1" applyFont="1" applyFill="1" applyBorder="1" applyAlignment="1">
      <alignment horizontal="center" vertical="center"/>
    </xf>
    <xf numFmtId="2" fontId="32" fillId="0" borderId="2" xfId="4" applyNumberFormat="1" applyFont="1" applyBorder="1" applyAlignment="1">
      <alignment horizontal="center" vertical="center"/>
    </xf>
    <xf numFmtId="2" fontId="32" fillId="0" borderId="2" xfId="4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166" fontId="10" fillId="0" borderId="14" xfId="3" applyNumberFormat="1" applyFont="1" applyBorder="1"/>
    <xf numFmtId="166" fontId="10" fillId="4" borderId="33" xfId="3" applyNumberFormat="1" applyFont="1" applyFill="1" applyBorder="1"/>
    <xf numFmtId="1" fontId="10" fillId="4" borderId="33" xfId="3" applyNumberFormat="1" applyFont="1" applyFill="1" applyBorder="1"/>
    <xf numFmtId="2" fontId="69" fillId="4" borderId="12" xfId="0" applyNumberFormat="1" applyFont="1" applyFill="1" applyBorder="1"/>
    <xf numFmtId="2" fontId="69" fillId="4" borderId="12" xfId="0" quotePrefix="1" applyNumberFormat="1" applyFont="1" applyFill="1" applyBorder="1"/>
    <xf numFmtId="2" fontId="69" fillId="4" borderId="80" xfId="0" applyNumberFormat="1" applyFont="1" applyFill="1" applyBorder="1"/>
    <xf numFmtId="2" fontId="9" fillId="0" borderId="0" xfId="3" applyNumberFormat="1" applyFont="1" applyAlignment="1">
      <alignment wrapText="1"/>
    </xf>
    <xf numFmtId="165" fontId="8" fillId="0" borderId="0" xfId="3" applyAlignment="1">
      <alignment horizontal="left"/>
    </xf>
    <xf numFmtId="2" fontId="8" fillId="0" borderId="60" xfId="3" applyNumberFormat="1" applyBorder="1" applyAlignment="1">
      <alignment horizontal="center"/>
    </xf>
    <xf numFmtId="2" fontId="41" fillId="0" borderId="26" xfId="3" applyNumberFormat="1" applyFont="1" applyBorder="1" applyAlignment="1">
      <alignment horizontal="center"/>
    </xf>
    <xf numFmtId="165" fontId="8" fillId="0" borderId="56" xfId="3" applyBorder="1" applyAlignment="1">
      <alignment horizontal="center"/>
    </xf>
    <xf numFmtId="165" fontId="10" fillId="0" borderId="1" xfId="3" applyFont="1" applyBorder="1" applyAlignment="1">
      <alignment horizontal="center" vertical="center" wrapText="1"/>
    </xf>
    <xf numFmtId="1" fontId="9" fillId="0" borderId="1" xfId="3" applyNumberFormat="1" applyFont="1" applyBorder="1"/>
    <xf numFmtId="2" fontId="36" fillId="23" borderId="1" xfId="3" applyNumberFormat="1" applyFont="1" applyFill="1" applyBorder="1" applyAlignment="1">
      <alignment horizontal="right"/>
    </xf>
    <xf numFmtId="2" fontId="10" fillId="23" borderId="21" xfId="3" applyNumberFormat="1" applyFont="1" applyFill="1" applyBorder="1" applyAlignment="1">
      <alignment horizontal="right"/>
    </xf>
    <xf numFmtId="20" fontId="10" fillId="4" borderId="17" xfId="0" applyNumberFormat="1" applyFont="1" applyFill="1" applyBorder="1" applyAlignment="1">
      <alignment horizontal="center" vertical="center" wrapText="1"/>
    </xf>
    <xf numFmtId="1" fontId="10" fillId="0" borderId="19" xfId="3" applyNumberFormat="1" applyFont="1" applyBorder="1" applyAlignment="1">
      <alignment horizontal="center"/>
    </xf>
    <xf numFmtId="165" fontId="28" fillId="4" borderId="1" xfId="3" applyFont="1" applyFill="1" applyBorder="1"/>
    <xf numFmtId="2" fontId="77" fillId="6" borderId="1" xfId="3" applyNumberFormat="1" applyFont="1" applyFill="1" applyBorder="1"/>
    <xf numFmtId="0" fontId="23" fillId="0" borderId="59" xfId="3" applyNumberFormat="1" applyFont="1" applyBorder="1" applyAlignment="1">
      <alignment vertical="top" wrapText="1"/>
    </xf>
    <xf numFmtId="166" fontId="10" fillId="0" borderId="0" xfId="3" applyNumberFormat="1" applyFont="1"/>
    <xf numFmtId="2" fontId="26" fillId="0" borderId="43" xfId="3" applyNumberFormat="1" applyFont="1" applyBorder="1" applyAlignment="1">
      <alignment horizontal="center" vertical="center"/>
    </xf>
    <xf numFmtId="2" fontId="26" fillId="0" borderId="54" xfId="3" applyNumberFormat="1" applyFont="1" applyBorder="1" applyAlignment="1">
      <alignment horizontal="center" vertical="center"/>
    </xf>
    <xf numFmtId="1" fontId="10" fillId="0" borderId="0" xfId="3" applyNumberFormat="1" applyFont="1"/>
    <xf numFmtId="2" fontId="10" fillId="0" borderId="76" xfId="6" applyNumberFormat="1" applyFont="1" applyBorder="1" applyAlignment="1">
      <alignment horizontal="center" vertical="center"/>
    </xf>
    <xf numFmtId="2" fontId="10" fillId="0" borderId="80" xfId="3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165" fontId="10" fillId="0" borderId="0" xfId="3" applyFont="1" applyAlignment="1">
      <alignment horizontal="left"/>
    </xf>
    <xf numFmtId="165" fontId="10" fillId="0" borderId="6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7" xfId="3" applyFont="1" applyBorder="1" applyAlignment="1">
      <alignment horizontal="center" vertical="center" wrapText="1"/>
    </xf>
    <xf numFmtId="2" fontId="10" fillId="4" borderId="23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left" vertical="center"/>
    </xf>
    <xf numFmtId="2" fontId="26" fillId="0" borderId="35" xfId="3" applyNumberFormat="1" applyFont="1" applyBorder="1" applyAlignment="1">
      <alignment horizontal="center" vertical="center"/>
    </xf>
    <xf numFmtId="2" fontId="10" fillId="7" borderId="0" xfId="3" applyNumberFormat="1" applyFont="1" applyFill="1" applyAlignment="1">
      <alignment horizontal="center" vertical="center"/>
    </xf>
    <xf numFmtId="2" fontId="26" fillId="7" borderId="0" xfId="3" applyNumberFormat="1" applyFont="1" applyFill="1" applyAlignment="1">
      <alignment horizontal="center" vertical="center"/>
    </xf>
    <xf numFmtId="166" fontId="10" fillId="7" borderId="0" xfId="3" applyNumberFormat="1" applyFont="1" applyFill="1" applyAlignment="1">
      <alignment horizontal="center" vertical="center"/>
    </xf>
    <xf numFmtId="16" fontId="9" fillId="0" borderId="1" xfId="3" applyNumberFormat="1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vertical="center" wrapText="1"/>
    </xf>
    <xf numFmtId="167" fontId="22" fillId="5" borderId="11" xfId="3" applyNumberFormat="1" applyFont="1" applyFill="1" applyBorder="1" applyAlignment="1">
      <alignment horizontal="center" vertical="center"/>
    </xf>
    <xf numFmtId="165" fontId="9" fillId="0" borderId="2" xfId="3" applyFont="1" applyBorder="1" applyAlignment="1">
      <alignment vertical="center"/>
    </xf>
    <xf numFmtId="170" fontId="9" fillId="0" borderId="1" xfId="4" applyNumberFormat="1" applyFont="1" applyBorder="1" applyAlignment="1">
      <alignment horizontal="center" vertical="center"/>
    </xf>
    <xf numFmtId="165" fontId="21" fillId="0" borderId="13" xfId="3" applyFont="1" applyBorder="1"/>
    <xf numFmtId="167" fontId="22" fillId="0" borderId="11" xfId="3" applyNumberFormat="1" applyFont="1" applyBorder="1" applyAlignment="1">
      <alignment horizontal="center" vertical="center"/>
    </xf>
    <xf numFmtId="1" fontId="32" fillId="0" borderId="51" xfId="3" applyNumberFormat="1" applyFont="1" applyBorder="1" applyAlignment="1">
      <alignment vertical="center" wrapText="1"/>
    </xf>
    <xf numFmtId="170" fontId="9" fillId="0" borderId="3" xfId="4" applyNumberFormat="1" applyFont="1" applyBorder="1" applyAlignment="1">
      <alignment horizontal="center" vertical="center"/>
    </xf>
    <xf numFmtId="4" fontId="9" fillId="0" borderId="10" xfId="3" applyNumberFormat="1" applyFont="1" applyBorder="1" applyAlignment="1">
      <alignment horizontal="center" vertical="center"/>
    </xf>
    <xf numFmtId="171" fontId="9" fillId="0" borderId="10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70" fontId="9" fillId="0" borderId="10" xfId="4" applyNumberFormat="1" applyFont="1" applyBorder="1" applyAlignment="1">
      <alignment horizontal="center" vertical="center"/>
    </xf>
    <xf numFmtId="2" fontId="32" fillId="0" borderId="1" xfId="4" applyNumberFormat="1" applyFont="1" applyFill="1" applyBorder="1" applyAlignment="1">
      <alignment horizontal="center" vertical="center"/>
    </xf>
    <xf numFmtId="2" fontId="32" fillId="0" borderId="1" xfId="4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2" fontId="10" fillId="0" borderId="1" xfId="3" applyNumberFormat="1" applyFont="1" applyBorder="1" applyAlignment="1">
      <alignment horizontal="left" vertical="center"/>
    </xf>
    <xf numFmtId="165" fontId="28" fillId="0" borderId="13" xfId="3" applyFont="1" applyBorder="1" applyAlignment="1">
      <alignment vertical="center"/>
    </xf>
    <xf numFmtId="170" fontId="10" fillId="23" borderId="1" xfId="3" applyNumberFormat="1" applyFont="1" applyFill="1" applyBorder="1" applyAlignment="1">
      <alignment horizontal="right"/>
    </xf>
    <xf numFmtId="165" fontId="27" fillId="0" borderId="13" xfId="3" applyFont="1" applyBorder="1" applyAlignment="1">
      <alignment horizontal="center" vertical="center"/>
    </xf>
    <xf numFmtId="165" fontId="10" fillId="0" borderId="18" xfId="3" applyFont="1" applyBorder="1"/>
    <xf numFmtId="2" fontId="10" fillId="0" borderId="10" xfId="3" applyNumberFormat="1" applyFont="1" applyBorder="1" applyAlignment="1">
      <alignment horizontal="center" vertical="center"/>
    </xf>
    <xf numFmtId="2" fontId="10" fillId="4" borderId="18" xfId="3" applyNumberFormat="1" applyFont="1" applyFill="1" applyBorder="1" applyAlignment="1">
      <alignment horizontal="center" vertical="center"/>
    </xf>
    <xf numFmtId="2" fontId="32" fillId="0" borderId="1" xfId="3" applyNumberFormat="1" applyFont="1" applyBorder="1" applyAlignment="1">
      <alignment horizontal="center" vertical="center"/>
    </xf>
    <xf numFmtId="2" fontId="10" fillId="4" borderId="1" xfId="3" applyNumberFormat="1" applyFont="1" applyFill="1" applyBorder="1" applyAlignment="1">
      <alignment horizontal="center" vertical="center"/>
    </xf>
    <xf numFmtId="165" fontId="28" fillId="0" borderId="1" xfId="3" applyFont="1" applyBorder="1" applyAlignment="1">
      <alignment vertical="center"/>
    </xf>
    <xf numFmtId="166" fontId="22" fillId="4" borderId="1" xfId="3" applyNumberFormat="1" applyFont="1" applyFill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166" fontId="9" fillId="7" borderId="1" xfId="3" applyNumberFormat="1" applyFont="1" applyFill="1" applyBorder="1" applyAlignment="1">
      <alignment horizontal="center" vertical="center"/>
    </xf>
    <xf numFmtId="165" fontId="14" fillId="4" borderId="0" xfId="3" applyFont="1" applyFill="1" applyAlignment="1">
      <alignment horizontal="center" vertic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" fontId="10" fillId="4" borderId="34" xfId="3" applyNumberFormat="1" applyFont="1" applyFill="1" applyBorder="1"/>
    <xf numFmtId="166" fontId="10" fillId="4" borderId="34" xfId="3" applyNumberFormat="1" applyFont="1" applyFill="1" applyBorder="1"/>
    <xf numFmtId="165" fontId="79" fillId="0" borderId="31" xfId="3" applyFont="1" applyBorder="1"/>
    <xf numFmtId="1" fontId="10" fillId="0" borderId="32" xfId="3" applyNumberFormat="1" applyFont="1" applyBorder="1" applyAlignment="1">
      <alignment horizontal="right"/>
    </xf>
    <xf numFmtId="166" fontId="10" fillId="0" borderId="32" xfId="3" applyNumberFormat="1" applyFont="1" applyBorder="1"/>
    <xf numFmtId="166" fontId="9" fillId="0" borderId="36" xfId="3" applyNumberFormat="1" applyFont="1" applyBorder="1"/>
    <xf numFmtId="165" fontId="82" fillId="0" borderId="52" xfId="3" applyFont="1" applyBorder="1"/>
    <xf numFmtId="165" fontId="83" fillId="0" borderId="52" xfId="3" applyFont="1" applyBorder="1"/>
    <xf numFmtId="170" fontId="8" fillId="0" borderId="0" xfId="3" applyNumberFormat="1" applyAlignment="1">
      <alignment horizontal="right"/>
    </xf>
    <xf numFmtId="165" fontId="84" fillId="0" borderId="31" xfId="3" applyFont="1" applyBorder="1"/>
    <xf numFmtId="165" fontId="85" fillId="0" borderId="31" xfId="3" applyFont="1" applyBorder="1"/>
    <xf numFmtId="166" fontId="9" fillId="0" borderId="0" xfId="3" applyNumberFormat="1" applyFont="1" applyAlignment="1">
      <alignment horizontal="center" vertical="center"/>
    </xf>
    <xf numFmtId="166" fontId="10" fillId="26" borderId="63" xfId="3" applyNumberFormat="1" applyFont="1" applyFill="1" applyBorder="1" applyAlignment="1">
      <alignment horizontal="center"/>
    </xf>
    <xf numFmtId="0" fontId="10" fillId="0" borderId="0" xfId="3" applyNumberFormat="1" applyFont="1" applyAlignment="1">
      <alignment horizontal="center"/>
    </xf>
    <xf numFmtId="0" fontId="23" fillId="0" borderId="1" xfId="3" applyNumberFormat="1" applyFont="1" applyBorder="1" applyAlignment="1">
      <alignment vertical="top" wrapText="1"/>
    </xf>
    <xf numFmtId="165" fontId="9" fillId="0" borderId="0" xfId="3" applyFont="1" applyAlignment="1">
      <alignment horizontal="left" vertical="center"/>
    </xf>
    <xf numFmtId="165" fontId="9" fillId="23" borderId="2" xfId="3" applyFont="1" applyFill="1" applyBorder="1" applyAlignment="1">
      <alignment vertical="center"/>
    </xf>
    <xf numFmtId="165" fontId="10" fillId="0" borderId="81" xfId="3" applyFont="1" applyBorder="1" applyAlignment="1">
      <alignment vertical="center" wrapText="1"/>
    </xf>
    <xf numFmtId="165" fontId="10" fillId="0" borderId="40" xfId="3" applyFont="1" applyBorder="1" applyAlignment="1">
      <alignment horizontal="center" vertical="center" wrapText="1"/>
    </xf>
    <xf numFmtId="16" fontId="9" fillId="0" borderId="39" xfId="3" applyNumberFormat="1" applyFont="1" applyBorder="1" applyAlignment="1">
      <alignment horizontal="center" vertical="center"/>
    </xf>
    <xf numFmtId="4" fontId="9" fillId="0" borderId="39" xfId="3" applyNumberFormat="1" applyFont="1" applyBorder="1" applyAlignment="1">
      <alignment horizontal="center" vertical="center"/>
    </xf>
    <xf numFmtId="171" fontId="9" fillId="0" borderId="39" xfId="3" applyNumberFormat="1" applyFont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4" fontId="9" fillId="0" borderId="62" xfId="3" applyNumberFormat="1" applyFont="1" applyBorder="1" applyAlignment="1">
      <alignment horizontal="center" vertical="center"/>
    </xf>
    <xf numFmtId="2" fontId="32" fillId="0" borderId="39" xfId="4" applyNumberFormat="1" applyFont="1" applyFill="1" applyBorder="1" applyAlignment="1">
      <alignment horizontal="center" vertical="center"/>
    </xf>
    <xf numFmtId="170" fontId="9" fillId="0" borderId="79" xfId="4" applyNumberFormat="1" applyFont="1" applyFill="1" applyBorder="1" applyAlignment="1">
      <alignment horizontal="center" vertical="center"/>
    </xf>
    <xf numFmtId="16" fontId="10" fillId="0" borderId="76" xfId="3" applyNumberFormat="1" applyFont="1" applyBorder="1" applyAlignment="1">
      <alignment horizontal="center" vertical="center"/>
    </xf>
    <xf numFmtId="4" fontId="9" fillId="0" borderId="76" xfId="3" applyNumberFormat="1" applyFont="1" applyBorder="1" applyAlignment="1">
      <alignment horizontal="center" vertical="center"/>
    </xf>
    <xf numFmtId="171" fontId="9" fillId="0" borderId="76" xfId="3" applyNumberFormat="1" applyFont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4" fontId="9" fillId="0" borderId="80" xfId="3" applyNumberFormat="1" applyFont="1" applyBorder="1" applyAlignment="1">
      <alignment horizontal="center" vertical="center"/>
    </xf>
    <xf numFmtId="2" fontId="32" fillId="0" borderId="76" xfId="4" applyNumberFormat="1" applyFont="1" applyFill="1" applyBorder="1" applyAlignment="1">
      <alignment horizontal="center" vertical="center"/>
    </xf>
    <xf numFmtId="170" fontId="9" fillId="0" borderId="9" xfId="4" applyNumberFormat="1" applyFont="1" applyFill="1" applyBorder="1" applyAlignment="1">
      <alignment horizontal="center" vertical="center"/>
    </xf>
    <xf numFmtId="165" fontId="86" fillId="0" borderId="38" xfId="3" applyFont="1" applyBorder="1" applyAlignment="1">
      <alignment horizontal="center" vertical="center"/>
    </xf>
    <xf numFmtId="2" fontId="32" fillId="0" borderId="62" xfId="4" applyNumberFormat="1" applyFont="1" applyFill="1" applyBorder="1" applyAlignment="1">
      <alignment horizontal="center" vertical="center"/>
    </xf>
    <xf numFmtId="2" fontId="10" fillId="0" borderId="39" xfId="3" applyNumberFormat="1" applyFont="1" applyBorder="1" applyAlignment="1">
      <alignment horizontal="center" vertical="center"/>
    </xf>
    <xf numFmtId="2" fontId="80" fillId="0" borderId="39" xfId="3" applyNumberFormat="1" applyFont="1" applyBorder="1" applyAlignment="1">
      <alignment horizontal="center" vertical="center"/>
    </xf>
    <xf numFmtId="16" fontId="10" fillId="0" borderId="84" xfId="3" applyNumberFormat="1" applyFont="1" applyBorder="1" applyAlignment="1">
      <alignment horizontal="center" vertical="center"/>
    </xf>
    <xf numFmtId="4" fontId="9" fillId="0" borderId="84" xfId="3" applyNumberFormat="1" applyFont="1" applyBorder="1" applyAlignment="1">
      <alignment horizontal="center" vertical="center"/>
    </xf>
    <xf numFmtId="171" fontId="9" fillId="0" borderId="84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4" fontId="9" fillId="0" borderId="85" xfId="3" applyNumberFormat="1" applyFont="1" applyBorder="1" applyAlignment="1">
      <alignment horizontal="center" vertical="center"/>
    </xf>
    <xf numFmtId="2" fontId="32" fillId="0" borderId="84" xfId="4" applyNumberFormat="1" applyFont="1" applyFill="1" applyBorder="1" applyAlignment="1">
      <alignment horizontal="center" vertical="center"/>
    </xf>
    <xf numFmtId="2" fontId="32" fillId="0" borderId="85" xfId="4" applyNumberFormat="1" applyFont="1" applyFill="1" applyBorder="1" applyAlignment="1">
      <alignment horizontal="center" vertical="center"/>
    </xf>
    <xf numFmtId="2" fontId="10" fillId="4" borderId="84" xfId="3" applyNumberFormat="1" applyFont="1" applyFill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32" fillId="0" borderId="80" xfId="4" applyNumberFormat="1" applyFont="1" applyFill="1" applyBorder="1" applyAlignment="1">
      <alignment horizontal="center" vertical="center"/>
    </xf>
    <xf numFmtId="2" fontId="10" fillId="0" borderId="76" xfId="3" applyNumberFormat="1" applyFont="1" applyBorder="1" applyAlignment="1">
      <alignment horizontal="center" vertical="center"/>
    </xf>
    <xf numFmtId="2" fontId="80" fillId="0" borderId="76" xfId="3" applyNumberFormat="1" applyFont="1" applyBorder="1" applyAlignment="1">
      <alignment horizontal="center" vertical="center"/>
    </xf>
    <xf numFmtId="165" fontId="87" fillId="0" borderId="88" xfId="3" applyFont="1" applyBorder="1" applyAlignment="1">
      <alignment horizontal="center" vertical="center"/>
    </xf>
    <xf numFmtId="165" fontId="10" fillId="0" borderId="87" xfId="3" applyFont="1" applyBorder="1" applyAlignment="1">
      <alignment horizontal="center" vertical="center" wrapText="1"/>
    </xf>
    <xf numFmtId="165" fontId="10" fillId="0" borderId="18" xfId="3" applyFont="1" applyBorder="1" applyAlignment="1">
      <alignment horizontal="center" vertical="center" wrapText="1"/>
    </xf>
    <xf numFmtId="165" fontId="21" fillId="0" borderId="13" xfId="3" applyFont="1" applyBorder="1" applyAlignment="1">
      <alignment horizontal="center" vertical="center"/>
    </xf>
    <xf numFmtId="2" fontId="80" fillId="0" borderId="84" xfId="3" applyNumberFormat="1" applyFont="1" applyBorder="1" applyAlignment="1">
      <alignment horizontal="center" vertical="center"/>
    </xf>
    <xf numFmtId="2" fontId="32" fillId="0" borderId="84" xfId="4" applyNumberFormat="1" applyFont="1" applyBorder="1" applyAlignment="1">
      <alignment horizontal="center" vertical="center"/>
    </xf>
    <xf numFmtId="170" fontId="10" fillId="0" borderId="86" xfId="4" applyNumberFormat="1" applyFont="1" applyFill="1" applyBorder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71" fontId="9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2" fontId="32" fillId="0" borderId="0" xfId="4" applyNumberFormat="1" applyFont="1" applyFill="1" applyBorder="1" applyAlignment="1">
      <alignment horizontal="center" vertical="center"/>
    </xf>
    <xf numFmtId="170" fontId="9" fillId="0" borderId="0" xfId="4" applyNumberFormat="1" applyFont="1" applyFill="1" applyBorder="1" applyAlignment="1">
      <alignment horizontal="center" vertical="center"/>
    </xf>
    <xf numFmtId="2" fontId="80" fillId="0" borderId="0" xfId="3" applyNumberFormat="1" applyFont="1" applyAlignment="1">
      <alignment horizontal="center" vertical="center"/>
    </xf>
    <xf numFmtId="165" fontId="28" fillId="0" borderId="0" xfId="3" applyFont="1" applyAlignment="1">
      <alignment horizontal="center" vertical="center"/>
    </xf>
    <xf numFmtId="165" fontId="11" fillId="3" borderId="1" xfId="3" applyFont="1" applyFill="1" applyBorder="1"/>
    <xf numFmtId="166" fontId="11" fillId="3" borderId="1" xfId="3" applyNumberFormat="1" applyFont="1" applyFill="1" applyBorder="1"/>
    <xf numFmtId="166" fontId="11" fillId="3" borderId="2" xfId="3" applyNumberFormat="1" applyFont="1" applyFill="1" applyBorder="1"/>
    <xf numFmtId="1" fontId="11" fillId="3" borderId="1" xfId="3" applyNumberFormat="1" applyFont="1" applyFill="1" applyBorder="1" applyAlignment="1">
      <alignment horizontal="center"/>
    </xf>
    <xf numFmtId="166" fontId="11" fillId="3" borderId="14" xfId="3" applyNumberFormat="1" applyFont="1" applyFill="1" applyBorder="1"/>
    <xf numFmtId="166" fontId="11" fillId="0" borderId="0" xfId="3" applyNumberFormat="1" applyFont="1" applyAlignment="1">
      <alignment vertical="center"/>
    </xf>
    <xf numFmtId="20" fontId="10" fillId="4" borderId="17" xfId="3" applyNumberFormat="1" applyFont="1" applyFill="1" applyBorder="1" applyAlignment="1">
      <alignment horizontal="center" vertical="center" wrapText="1"/>
    </xf>
    <xf numFmtId="20" fontId="10" fillId="4" borderId="18" xfId="3" applyNumberFormat="1" applyFont="1" applyFill="1" applyBorder="1" applyAlignment="1">
      <alignment horizontal="center" vertical="center" wrapText="1"/>
    </xf>
    <xf numFmtId="169" fontId="35" fillId="0" borderId="41" xfId="3" applyNumberFormat="1" applyFont="1" applyBorder="1" applyAlignment="1">
      <alignment horizontal="center" vertical="center"/>
    </xf>
    <xf numFmtId="2" fontId="10" fillId="0" borderId="84" xfId="3" applyNumberFormat="1" applyFont="1" applyBorder="1" applyAlignment="1">
      <alignment horizontal="center" vertical="center"/>
    </xf>
    <xf numFmtId="2" fontId="41" fillId="0" borderId="1" xfId="3" applyNumberFormat="1" applyFont="1" applyBorder="1" applyAlignment="1">
      <alignment horizontal="right"/>
    </xf>
    <xf numFmtId="165" fontId="10" fillId="0" borderId="27" xfId="3" applyFont="1" applyBorder="1" applyAlignment="1">
      <alignment vertical="center" wrapText="1"/>
    </xf>
    <xf numFmtId="16" fontId="10" fillId="0" borderId="86" xfId="3" applyNumberFormat="1" applyFont="1" applyBorder="1" applyAlignment="1">
      <alignment horizontal="center" vertical="center"/>
    </xf>
    <xf numFmtId="165" fontId="21" fillId="0" borderId="18" xfId="3" applyFont="1" applyBorder="1" applyAlignment="1">
      <alignment horizontal="center" vertical="center"/>
    </xf>
    <xf numFmtId="165" fontId="86" fillId="0" borderId="18" xfId="3" applyFont="1" applyBorder="1" applyAlignment="1">
      <alignment horizontal="center" vertical="center"/>
    </xf>
    <xf numFmtId="2" fontId="80" fillId="0" borderId="1" xfId="3" applyNumberFormat="1" applyFont="1" applyBorder="1" applyAlignment="1">
      <alignment horizontal="right"/>
    </xf>
    <xf numFmtId="165" fontId="10" fillId="0" borderId="23" xfId="3" applyFont="1" applyBorder="1"/>
    <xf numFmtId="2" fontId="26" fillId="0" borderId="89" xfId="3" applyNumberFormat="1" applyFont="1" applyBorder="1" applyAlignment="1">
      <alignment horizontal="center" vertical="center"/>
    </xf>
    <xf numFmtId="166" fontId="10" fillId="0" borderId="19" xfId="3" applyNumberFormat="1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65" fontId="27" fillId="0" borderId="18" xfId="3" applyFont="1" applyBorder="1" applyAlignment="1">
      <alignment horizontal="center" vertical="center"/>
    </xf>
    <xf numFmtId="166" fontId="10" fillId="23" borderId="1" xfId="3" applyNumberFormat="1" applyFont="1" applyFill="1" applyBorder="1" applyAlignment="1">
      <alignment horizontal="center" vertical="center"/>
    </xf>
    <xf numFmtId="2" fontId="10" fillId="23" borderId="1" xfId="3" applyNumberFormat="1" applyFont="1" applyFill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6" fontId="80" fillId="7" borderId="1" xfId="3" applyNumberFormat="1" applyFont="1" applyFill="1" applyBorder="1" applyAlignment="1">
      <alignment horizontal="center" vertical="center"/>
    </xf>
    <xf numFmtId="165" fontId="88" fillId="0" borderId="13" xfId="3" applyFont="1" applyBorder="1" applyAlignment="1">
      <alignment horizontal="center" vertical="center"/>
    </xf>
    <xf numFmtId="167" fontId="22" fillId="4" borderId="11" xfId="3" applyNumberFormat="1" applyFont="1" applyFill="1" applyBorder="1" applyAlignment="1">
      <alignment horizontal="center" vertical="center"/>
    </xf>
    <xf numFmtId="166" fontId="80" fillId="4" borderId="1" xfId="3" applyNumberFormat="1" applyFont="1" applyFill="1" applyBorder="1" applyAlignment="1">
      <alignment horizontal="center" vertical="center"/>
    </xf>
    <xf numFmtId="165" fontId="10" fillId="4" borderId="18" xfId="3" applyFont="1" applyFill="1" applyBorder="1" applyAlignment="1">
      <alignment horizontal="center" vertical="center" wrapText="1"/>
    </xf>
    <xf numFmtId="165" fontId="10" fillId="0" borderId="13" xfId="3" applyFont="1" applyBorder="1" applyAlignment="1">
      <alignment horizontal="left"/>
    </xf>
    <xf numFmtId="165" fontId="14" fillId="0" borderId="13" xfId="3" applyFont="1" applyBorder="1" applyAlignment="1">
      <alignment horizontal="center" vertical="center"/>
    </xf>
    <xf numFmtId="2" fontId="32" fillId="0" borderId="84" xfId="3" applyNumberFormat="1" applyFont="1" applyBorder="1" applyAlignment="1">
      <alignment horizontal="center" vertical="center"/>
    </xf>
    <xf numFmtId="165" fontId="28" fillId="0" borderId="13" xfId="3" applyFont="1" applyBorder="1" applyAlignment="1">
      <alignment horizontal="center"/>
    </xf>
    <xf numFmtId="165" fontId="28" fillId="0" borderId="13" xfId="3" applyFont="1" applyBorder="1" applyAlignment="1">
      <alignment horizontal="center" vertical="center"/>
    </xf>
    <xf numFmtId="165" fontId="21" fillId="0" borderId="13" xfId="3" applyFont="1" applyBorder="1" applyAlignment="1">
      <alignment horizontal="center"/>
    </xf>
    <xf numFmtId="165" fontId="10" fillId="0" borderId="23" xfId="3" applyFont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/>
    </xf>
    <xf numFmtId="165" fontId="10" fillId="0" borderId="46" xfId="3" applyFont="1" applyBorder="1" applyAlignment="1">
      <alignment horizontal="center" vertical="center"/>
    </xf>
    <xf numFmtId="165" fontId="10" fillId="0" borderId="47" xfId="3" applyFont="1" applyBorder="1" applyAlignment="1">
      <alignment horizontal="center" vertical="center"/>
    </xf>
    <xf numFmtId="165" fontId="10" fillId="0" borderId="48" xfId="3" applyFont="1" applyBorder="1" applyAlignment="1">
      <alignment horizontal="center" vertical="center"/>
    </xf>
    <xf numFmtId="165" fontId="10" fillId="0" borderId="49" xfId="3" applyFont="1" applyBorder="1" applyAlignment="1">
      <alignment horizontal="center" vertical="center"/>
    </xf>
    <xf numFmtId="165" fontId="10" fillId="0" borderId="25" xfId="3" applyFont="1" applyBorder="1" applyAlignment="1">
      <alignment horizontal="center" vertical="center" wrapText="1"/>
    </xf>
    <xf numFmtId="165" fontId="10" fillId="0" borderId="75" xfId="3" applyFont="1" applyBorder="1" applyAlignment="1">
      <alignment horizontal="center" vertical="center" wrapText="1"/>
    </xf>
    <xf numFmtId="165" fontId="10" fillId="0" borderId="23" xfId="3" applyFont="1" applyBorder="1" applyAlignment="1">
      <alignment horizontal="center" vertical="center" wrapText="1"/>
    </xf>
    <xf numFmtId="165" fontId="10" fillId="0" borderId="27" xfId="3" applyFont="1" applyBorder="1" applyAlignment="1">
      <alignment horizontal="center" vertical="center" wrapText="1"/>
    </xf>
    <xf numFmtId="165" fontId="10" fillId="0" borderId="5" xfId="3" applyFont="1" applyBorder="1" applyAlignment="1">
      <alignment horizontal="center" vertical="center" wrapText="1"/>
    </xf>
    <xf numFmtId="165" fontId="10" fillId="0" borderId="38" xfId="3" applyFont="1" applyBorder="1" applyAlignment="1">
      <alignment horizontal="center" vertical="center" wrapText="1"/>
    </xf>
    <xf numFmtId="165" fontId="10" fillId="0" borderId="8" xfId="3" applyFont="1" applyBorder="1" applyAlignment="1">
      <alignment horizontal="center" vertical="center" wrapText="1"/>
    </xf>
    <xf numFmtId="165" fontId="10" fillId="0" borderId="40" xfId="3" applyFont="1" applyBorder="1" applyAlignment="1">
      <alignment horizontal="center" vertical="center" wrapText="1"/>
    </xf>
    <xf numFmtId="166" fontId="10" fillId="27" borderId="83" xfId="3" applyNumberFormat="1" applyFont="1" applyFill="1" applyBorder="1" applyAlignment="1">
      <alignment horizontal="center" vertical="center"/>
    </xf>
    <xf numFmtId="166" fontId="10" fillId="27" borderId="19" xfId="3" applyNumberFormat="1" applyFont="1" applyFill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 wrapText="1"/>
    </xf>
    <xf numFmtId="168" fontId="10" fillId="0" borderId="78" xfId="3" applyNumberFormat="1" applyFont="1" applyBorder="1" applyAlignment="1">
      <alignment horizontal="center" vertical="center" wrapText="1"/>
    </xf>
    <xf numFmtId="168" fontId="10" fillId="0" borderId="79" xfId="3" applyNumberFormat="1" applyFont="1" applyBorder="1" applyAlignment="1">
      <alignment horizontal="center" vertical="center" wrapText="1"/>
    </xf>
    <xf numFmtId="165" fontId="10" fillId="0" borderId="6" xfId="3" applyFont="1" applyBorder="1" applyAlignment="1">
      <alignment horizontal="center" vertical="center" wrapText="1"/>
    </xf>
    <xf numFmtId="165" fontId="10" fillId="0" borderId="39" xfId="3" applyFont="1" applyBorder="1" applyAlignment="1">
      <alignment horizontal="center" vertical="center" wrapText="1"/>
    </xf>
    <xf numFmtId="165" fontId="10" fillId="0" borderId="7" xfId="3" applyFont="1" applyBorder="1" applyAlignment="1">
      <alignment horizontal="center" vertical="center" wrapText="1"/>
    </xf>
    <xf numFmtId="165" fontId="10" fillId="0" borderId="62" xfId="3" applyFont="1" applyBorder="1" applyAlignment="1">
      <alignment horizontal="center" vertical="center" wrapText="1"/>
    </xf>
    <xf numFmtId="165" fontId="21" fillId="0" borderId="23" xfId="3" applyFont="1" applyBorder="1" applyAlignment="1">
      <alignment horizontal="center" vertical="center"/>
    </xf>
    <xf numFmtId="165" fontId="21" fillId="0" borderId="27" xfId="3" applyFont="1" applyBorder="1" applyAlignment="1">
      <alignment horizontal="center" vertical="center"/>
    </xf>
    <xf numFmtId="165" fontId="21" fillId="0" borderId="35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2" fontId="32" fillId="24" borderId="1" xfId="3" applyNumberFormat="1" applyFont="1" applyFill="1" applyBorder="1" applyAlignment="1">
      <alignment horizontal="center"/>
    </xf>
    <xf numFmtId="165" fontId="10" fillId="25" borderId="16" xfId="3" applyFont="1" applyFill="1" applyBorder="1" applyAlignment="1">
      <alignment horizontal="center"/>
    </xf>
    <xf numFmtId="165" fontId="10" fillId="25" borderId="19" xfId="3" applyFont="1" applyFill="1" applyBorder="1" applyAlignment="1">
      <alignment horizontal="center"/>
    </xf>
    <xf numFmtId="166" fontId="9" fillId="0" borderId="29" xfId="3" applyNumberFormat="1" applyFont="1" applyBorder="1" applyAlignment="1">
      <alignment horizontal="center" vertical="center"/>
    </xf>
    <xf numFmtId="166" fontId="9" fillId="0" borderId="30" xfId="3" applyNumberFormat="1" applyFont="1" applyBorder="1" applyAlignment="1">
      <alignment horizontal="center" vertical="center"/>
    </xf>
    <xf numFmtId="166" fontId="9" fillId="0" borderId="28" xfId="3" applyNumberFormat="1" applyFont="1" applyBorder="1" applyAlignment="1">
      <alignment horizontal="center" vertical="center"/>
    </xf>
    <xf numFmtId="166" fontId="9" fillId="0" borderId="75" xfId="3" applyNumberFormat="1" applyFont="1" applyBorder="1" applyAlignment="1">
      <alignment horizontal="center" vertical="center"/>
    </xf>
    <xf numFmtId="166" fontId="9" fillId="0" borderId="63" xfId="3" applyNumberFormat="1" applyFont="1" applyBorder="1" applyAlignment="1">
      <alignment horizontal="center" vertical="center"/>
    </xf>
    <xf numFmtId="165" fontId="10" fillId="0" borderId="67" xfId="3" applyFont="1" applyBorder="1" applyAlignment="1">
      <alignment horizontal="center"/>
    </xf>
    <xf numFmtId="165" fontId="10" fillId="0" borderId="83" xfId="3" applyFont="1" applyBorder="1" applyAlignment="1">
      <alignment horizontal="center" wrapText="1"/>
    </xf>
    <xf numFmtId="165" fontId="10" fillId="0" borderId="19" xfId="3" applyFont="1" applyBorder="1" applyAlignment="1">
      <alignment horizontal="center" wrapText="1"/>
    </xf>
    <xf numFmtId="165" fontId="21" fillId="0" borderId="66" xfId="3" applyFont="1" applyBorder="1" applyAlignment="1">
      <alignment horizontal="center" vertical="center"/>
    </xf>
    <xf numFmtId="165" fontId="21" fillId="0" borderId="34" xfId="3" applyFont="1" applyBorder="1" applyAlignment="1">
      <alignment horizontal="center" vertical="center"/>
    </xf>
    <xf numFmtId="165" fontId="10" fillId="0" borderId="10" xfId="3" applyFont="1" applyBorder="1" applyAlignment="1">
      <alignment horizontal="center" vertical="center" wrapText="1"/>
    </xf>
    <xf numFmtId="165" fontId="6" fillId="2" borderId="6" xfId="2" applyNumberFormat="1" applyBorder="1" applyAlignment="1">
      <alignment horizontal="center" vertical="center" wrapText="1"/>
    </xf>
    <xf numFmtId="165" fontId="6" fillId="2" borderId="10" xfId="2" applyNumberFormat="1" applyBorder="1" applyAlignment="1">
      <alignment horizontal="center" vertical="center" wrapText="1"/>
    </xf>
    <xf numFmtId="165" fontId="10" fillId="4" borderId="6" xfId="3" applyFont="1" applyFill="1" applyBorder="1" applyAlignment="1">
      <alignment horizontal="center" vertical="center" wrapText="1"/>
    </xf>
    <xf numFmtId="165" fontId="10" fillId="4" borderId="10" xfId="3" applyFont="1" applyFill="1" applyBorder="1" applyAlignment="1">
      <alignment horizontal="center" vertical="center" wrapText="1"/>
    </xf>
    <xf numFmtId="165" fontId="20" fillId="0" borderId="6" xfId="3" applyFont="1" applyBorder="1" applyAlignment="1">
      <alignment horizontal="center" vertical="center" wrapText="1"/>
    </xf>
    <xf numFmtId="165" fontId="20" fillId="0" borderId="10" xfId="3" applyFont="1" applyBorder="1" applyAlignment="1">
      <alignment horizontal="center" vertical="center" wrapText="1"/>
    </xf>
    <xf numFmtId="165" fontId="10" fillId="0" borderId="14" xfId="3" applyFont="1" applyBorder="1" applyAlignment="1">
      <alignment horizontal="center" vertical="center" wrapText="1"/>
    </xf>
    <xf numFmtId="165" fontId="10" fillId="0" borderId="0" xfId="3" applyFont="1" applyAlignment="1">
      <alignment horizontal="left"/>
    </xf>
    <xf numFmtId="165" fontId="10" fillId="0" borderId="50" xfId="3" applyFont="1" applyBorder="1" applyAlignment="1">
      <alignment horizontal="center" vertical="center" wrapText="1"/>
    </xf>
    <xf numFmtId="165" fontId="10" fillId="7" borderId="6" xfId="3" applyFont="1" applyFill="1" applyBorder="1" applyAlignment="1">
      <alignment horizontal="center" vertical="center" wrapText="1"/>
    </xf>
    <xf numFmtId="165" fontId="10" fillId="7" borderId="10" xfId="3" applyFont="1" applyFill="1" applyBorder="1" applyAlignment="1">
      <alignment horizontal="center" vertical="center" wrapText="1"/>
    </xf>
    <xf numFmtId="165" fontId="11" fillId="3" borderId="1" xfId="3" applyFont="1" applyFill="1" applyBorder="1" applyAlignment="1">
      <alignment horizontal="center"/>
    </xf>
    <xf numFmtId="165" fontId="12" fillId="0" borderId="0" xfId="3" applyFont="1" applyAlignment="1">
      <alignment horizontal="center"/>
    </xf>
    <xf numFmtId="165" fontId="15" fillId="0" borderId="2" xfId="3" applyFont="1" applyBorder="1" applyAlignment="1">
      <alignment horizontal="center" wrapText="1"/>
    </xf>
    <xf numFmtId="165" fontId="15" fillId="0" borderId="3" xfId="3" applyFont="1" applyBorder="1" applyAlignment="1">
      <alignment horizontal="center" wrapText="1"/>
    </xf>
    <xf numFmtId="165" fontId="14" fillId="4" borderId="0" xfId="3" applyFont="1" applyFill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65" fontId="11" fillId="3" borderId="1" xfId="0" applyFont="1" applyFill="1" applyBorder="1" applyAlignment="1">
      <alignment horizont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0" fillId="0" borderId="12" xfId="3" applyFont="1" applyBorder="1" applyAlignment="1">
      <alignment horizontal="center" vertical="center" wrapText="1"/>
    </xf>
    <xf numFmtId="165" fontId="10" fillId="0" borderId="78" xfId="3" applyFont="1" applyBorder="1" applyAlignment="1">
      <alignment horizontal="center" vertical="center" wrapText="1"/>
    </xf>
    <xf numFmtId="165" fontId="10" fillId="0" borderId="42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81" fillId="0" borderId="23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6" fontId="9" fillId="0" borderId="82" xfId="3" applyNumberFormat="1" applyFont="1" applyBorder="1" applyAlignment="1">
      <alignment horizontal="center"/>
    </xf>
    <xf numFmtId="166" fontId="9" fillId="0" borderId="30" xfId="3" applyNumberFormat="1" applyFont="1" applyBorder="1" applyAlignment="1">
      <alignment horizontal="center"/>
    </xf>
    <xf numFmtId="166" fontId="9" fillId="0" borderId="74" xfId="3" applyNumberFormat="1" applyFont="1" applyBorder="1" applyAlignment="1">
      <alignment horizontal="center"/>
    </xf>
    <xf numFmtId="166" fontId="9" fillId="0" borderId="24" xfId="3" applyNumberFormat="1" applyFont="1" applyBorder="1" applyAlignment="1">
      <alignment horizontal="center"/>
    </xf>
    <xf numFmtId="166" fontId="9" fillId="0" borderId="0" xfId="3" applyNumberFormat="1" applyFont="1" applyAlignment="1">
      <alignment horizontal="center"/>
    </xf>
    <xf numFmtId="166" fontId="9" fillId="0" borderId="68" xfId="3" applyNumberFormat="1" applyFont="1" applyBorder="1" applyAlignment="1">
      <alignment horizont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6" fontId="9" fillId="0" borderId="25" xfId="3" applyNumberFormat="1" applyFont="1" applyBorder="1" applyAlignment="1">
      <alignment horizontal="center" vertical="center"/>
    </xf>
    <xf numFmtId="166" fontId="9" fillId="0" borderId="26" xfId="3" applyNumberFormat="1" applyFont="1" applyBorder="1" applyAlignment="1">
      <alignment horizontal="center" vertical="center"/>
    </xf>
    <xf numFmtId="2" fontId="32" fillId="24" borderId="74" xfId="3" applyNumberFormat="1" applyFont="1" applyFill="1" applyBorder="1" applyAlignment="1">
      <alignment horizontal="center"/>
    </xf>
    <xf numFmtId="166" fontId="9" fillId="0" borderId="37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/>
    </xf>
    <xf numFmtId="166" fontId="9" fillId="0" borderId="75" xfId="3" applyNumberFormat="1" applyFont="1" applyBorder="1" applyAlignment="1">
      <alignment horizontal="center"/>
    </xf>
    <xf numFmtId="166" fontId="9" fillId="0" borderId="63" xfId="3" applyNumberFormat="1" applyFont="1" applyBorder="1" applyAlignment="1">
      <alignment horizontal="center"/>
    </xf>
    <xf numFmtId="166" fontId="10" fillId="7" borderId="75" xfId="3" applyNumberFormat="1" applyFont="1" applyFill="1" applyBorder="1" applyAlignment="1">
      <alignment horizontal="center" vertical="center"/>
    </xf>
    <xf numFmtId="166" fontId="10" fillId="7" borderId="63" xfId="3" applyNumberFormat="1" applyFont="1" applyFill="1" applyBorder="1" applyAlignment="1">
      <alignment horizontal="center" vertical="center"/>
    </xf>
    <xf numFmtId="165" fontId="10" fillId="0" borderId="26" xfId="3" applyFont="1" applyBorder="1" applyAlignment="1">
      <alignment horizontal="center" vertical="center" wrapText="1"/>
    </xf>
    <xf numFmtId="165" fontId="10" fillId="0" borderId="63" xfId="3" applyFont="1" applyBorder="1" applyAlignment="1">
      <alignment horizontal="center" vertical="center" wrapText="1"/>
    </xf>
    <xf numFmtId="165" fontId="81" fillId="0" borderId="66" xfId="3" applyFont="1" applyBorder="1" applyAlignment="1">
      <alignment horizontal="center" vertical="center"/>
    </xf>
    <xf numFmtId="165" fontId="81" fillId="0" borderId="34" xfId="3" applyFont="1" applyBorder="1" applyAlignment="1">
      <alignment horizontal="center" vertical="center"/>
    </xf>
    <xf numFmtId="165" fontId="27" fillId="0" borderId="34" xfId="3" applyFont="1" applyBorder="1" applyAlignment="1">
      <alignment horizontal="center" vertical="center"/>
    </xf>
    <xf numFmtId="165" fontId="14" fillId="0" borderId="23" xfId="3" applyFont="1" applyBorder="1" applyAlignment="1">
      <alignment horizontal="center" vertical="center"/>
    </xf>
    <xf numFmtId="165" fontId="14" fillId="0" borderId="27" xfId="3" applyFont="1" applyBorder="1" applyAlignment="1">
      <alignment horizontal="center" vertical="center"/>
    </xf>
    <xf numFmtId="165" fontId="14" fillId="0" borderId="35" xfId="3" applyFont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28" fillId="0" borderId="66" xfId="3" applyFont="1" applyBorder="1" applyAlignment="1">
      <alignment horizontal="center" vertical="center"/>
    </xf>
    <xf numFmtId="165" fontId="28" fillId="0" borderId="34" xfId="3" applyFont="1" applyBorder="1" applyAlignment="1">
      <alignment horizontal="center" vertical="center"/>
    </xf>
    <xf numFmtId="165" fontId="40" fillId="0" borderId="0" xfId="3" applyFont="1" applyAlignment="1">
      <alignment horizontal="center"/>
    </xf>
    <xf numFmtId="165" fontId="8" fillId="0" borderId="0" xfId="3" applyAlignment="1">
      <alignment horizontal="left"/>
    </xf>
    <xf numFmtId="165" fontId="41" fillId="0" borderId="5" xfId="3" applyFont="1" applyBorder="1" applyAlignment="1">
      <alignment horizontal="center" vertical="center" wrapText="1"/>
    </xf>
    <xf numFmtId="165" fontId="41" fillId="0" borderId="5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2" fillId="0" borderId="6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1" fillId="0" borderId="23" xfId="3" applyFont="1" applyBorder="1" applyAlignment="1">
      <alignment horizontal="center" vertical="center"/>
    </xf>
    <xf numFmtId="165" fontId="41" fillId="0" borderId="35" xfId="3" applyFont="1" applyBorder="1" applyAlignment="1">
      <alignment horizontal="center" vertical="center"/>
    </xf>
    <xf numFmtId="2" fontId="8" fillId="0" borderId="55" xfId="3" applyNumberFormat="1" applyBorder="1" applyAlignment="1">
      <alignment horizontal="center"/>
    </xf>
    <xf numFmtId="2" fontId="8" fillId="0" borderId="56" xfId="3" applyNumberFormat="1" applyBorder="1" applyAlignment="1">
      <alignment horizontal="center"/>
    </xf>
    <xf numFmtId="165" fontId="41" fillId="0" borderId="34" xfId="3" applyFont="1" applyBorder="1" applyAlignment="1">
      <alignment horizontal="center" vertical="center"/>
    </xf>
    <xf numFmtId="165" fontId="41" fillId="0" borderId="55" xfId="3" applyFont="1" applyBorder="1" applyAlignment="1">
      <alignment horizontal="center" vertical="center"/>
    </xf>
    <xf numFmtId="165" fontId="41" fillId="0" borderId="64" xfId="3" applyFont="1" applyBorder="1" applyAlignment="1">
      <alignment horizontal="center" vertical="center"/>
    </xf>
    <xf numFmtId="165" fontId="41" fillId="0" borderId="38" xfId="3" applyFont="1" applyBorder="1" applyAlignment="1">
      <alignment horizontal="center" vertical="center" wrapText="1"/>
    </xf>
    <xf numFmtId="165" fontId="41" fillId="0" borderId="39" xfId="3" applyFont="1" applyBorder="1" applyAlignment="1">
      <alignment horizontal="center" vertical="center" wrapText="1"/>
    </xf>
    <xf numFmtId="165" fontId="8" fillId="0" borderId="2" xfId="3" applyBorder="1" applyAlignment="1">
      <alignment horizontal="center"/>
    </xf>
    <xf numFmtId="165" fontId="8" fillId="0" borderId="65" xfId="3" applyBorder="1" applyAlignment="1">
      <alignment horizontal="center"/>
    </xf>
    <xf numFmtId="165" fontId="41" fillId="0" borderId="7" xfId="3" applyFont="1" applyBorder="1" applyAlignment="1">
      <alignment horizontal="center" vertical="center" wrapText="1"/>
    </xf>
    <xf numFmtId="165" fontId="41" fillId="0" borderId="17" xfId="3" applyFont="1" applyBorder="1" applyAlignment="1">
      <alignment horizontal="center" vertical="center" wrapText="1"/>
    </xf>
    <xf numFmtId="165" fontId="41" fillId="0" borderId="62" xfId="3" applyFont="1" applyBorder="1" applyAlignment="1">
      <alignment horizontal="center" vertical="center" wrapText="1"/>
    </xf>
    <xf numFmtId="165" fontId="41" fillId="0" borderId="4" xfId="3" applyFont="1" applyBorder="1" applyAlignment="1">
      <alignment horizontal="center" vertical="center" wrapText="1"/>
    </xf>
    <xf numFmtId="165" fontId="41" fillId="0" borderId="2" xfId="3" applyFont="1" applyBorder="1" applyAlignment="1">
      <alignment horizontal="center"/>
    </xf>
    <xf numFmtId="165" fontId="41" fillId="0" borderId="65" xfId="3" applyFont="1" applyBorder="1" applyAlignment="1">
      <alignment horizontal="center"/>
    </xf>
    <xf numFmtId="165" fontId="8" fillId="0" borderId="53" xfId="3" applyBorder="1" applyAlignment="1">
      <alignment horizontal="center"/>
    </xf>
    <xf numFmtId="165" fontId="8" fillId="0" borderId="67" xfId="3" applyBorder="1" applyAlignment="1">
      <alignment horizontal="center"/>
    </xf>
    <xf numFmtId="15" fontId="41" fillId="0" borderId="44" xfId="3" applyNumberFormat="1" applyFont="1" applyBorder="1" applyAlignment="1">
      <alignment horizontal="center"/>
    </xf>
    <xf numFmtId="165" fontId="61" fillId="0" borderId="46" xfId="3" applyFont="1" applyBorder="1" applyAlignment="1">
      <alignment horizontal="center" vertical="center"/>
    </xf>
    <xf numFmtId="165" fontId="61" fillId="0" borderId="47" xfId="3" applyFont="1" applyBorder="1" applyAlignment="1">
      <alignment horizontal="center" vertical="center"/>
    </xf>
    <xf numFmtId="165" fontId="61" fillId="0" borderId="48" xfId="3" applyFont="1" applyBorder="1" applyAlignment="1">
      <alignment horizontal="center" vertic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64" fillId="4" borderId="0" xfId="0" applyFont="1" applyFill="1" applyAlignment="1">
      <alignment horizontal="center"/>
    </xf>
    <xf numFmtId="165" fontId="76" fillId="0" borderId="0" xfId="0" applyFont="1" applyAlignment="1">
      <alignment horizontal="center" vertical="top"/>
    </xf>
    <xf numFmtId="165" fontId="65" fillId="20" borderId="41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center" vertical="center"/>
    </xf>
    <xf numFmtId="165" fontId="73" fillId="0" borderId="0" xfId="0" applyFont="1" applyAlignment="1">
      <alignment horizontal="center" vertical="top"/>
    </xf>
    <xf numFmtId="165" fontId="65" fillId="20" borderId="4" xfId="0" applyFont="1" applyFill="1" applyBorder="1" applyAlignment="1">
      <alignment horizontal="center" vertical="center"/>
    </xf>
    <xf numFmtId="165" fontId="65" fillId="20" borderId="4" xfId="0" applyFont="1" applyFill="1" applyBorder="1" applyAlignment="1">
      <alignment horizontal="left" vertical="center"/>
    </xf>
    <xf numFmtId="165" fontId="74" fillId="20" borderId="4" xfId="0" applyFont="1" applyFill="1" applyBorder="1" applyAlignment="1">
      <alignment horizontal="right" vertical="center"/>
    </xf>
  </cellXfs>
  <cellStyles count="17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Normal 3 2" xfId="15" xr:uid="{DC2ABFCD-8089-4D58-B99E-08E1FAD9FF32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3 2 2" xfId="13" xr:uid="{34DF29C9-CC1F-489C-9B5C-86DA23AE2EAD}"/>
    <cellStyle name="Percent 3 3" xfId="11" xr:uid="{53D3FD01-33B0-466D-ADE6-A919A36CECBE}"/>
    <cellStyle name="Percent 4" xfId="6" xr:uid="{4AD98EB2-9BB4-4842-A408-0E56A74ED11E}"/>
    <cellStyle name="Percent 4 2" xfId="8" xr:uid="{4E10984A-3ADE-4C2D-B6E7-76DD6D94E726}"/>
    <cellStyle name="Percent 4 2 2" xfId="14" xr:uid="{F0B979ED-7081-4CE5-AE73-A7A6E88041FF}"/>
    <cellStyle name="Percent 4 3" xfId="10" xr:uid="{01053475-F444-4128-81F2-2F08DC4F4A0B}"/>
    <cellStyle name="Percent 4 3 2" xfId="16" xr:uid="{53801A28-4BCE-44B4-904F-9AF37504C028}"/>
    <cellStyle name="Percent 4 4" xfId="12" xr:uid="{5B270DAE-7FD6-4620-B6C7-8E73E3C84DBE}"/>
  </cellStyles>
  <dxfs count="3080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6.xml"/><Relationship Id="rId21" Type="http://schemas.openxmlformats.org/officeDocument/2006/relationships/externalLink" Target="externalLinks/externalLink1.xml"/><Relationship Id="rId42" Type="http://schemas.openxmlformats.org/officeDocument/2006/relationships/externalLink" Target="externalLinks/externalLink22.xml"/><Relationship Id="rId47" Type="http://schemas.openxmlformats.org/officeDocument/2006/relationships/externalLink" Target="externalLinks/externalLink27.xml"/><Relationship Id="rId63" Type="http://schemas.openxmlformats.org/officeDocument/2006/relationships/externalLink" Target="externalLinks/externalLink4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9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externalLink" Target="externalLinks/externalLink25.xml"/><Relationship Id="rId53" Type="http://schemas.openxmlformats.org/officeDocument/2006/relationships/externalLink" Target="externalLinks/externalLink33.xml"/><Relationship Id="rId58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46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48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36.xml"/><Relationship Id="rId64" Type="http://schemas.openxmlformats.org/officeDocument/2006/relationships/externalLink" Target="externalLinks/externalLink4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externalLink" Target="externalLinks/externalLink26.xml"/><Relationship Id="rId59" Type="http://schemas.openxmlformats.org/officeDocument/2006/relationships/externalLink" Target="externalLinks/externalLink39.xml"/><Relationship Id="rId67" Type="http://schemas.openxmlformats.org/officeDocument/2006/relationships/externalLink" Target="externalLinks/externalLink4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Relationship Id="rId54" Type="http://schemas.openxmlformats.org/officeDocument/2006/relationships/externalLink" Target="externalLinks/externalLink34.xml"/><Relationship Id="rId62" Type="http://schemas.openxmlformats.org/officeDocument/2006/relationships/externalLink" Target="externalLinks/externalLink4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49" Type="http://schemas.openxmlformats.org/officeDocument/2006/relationships/externalLink" Target="externalLinks/externalLink29.xml"/><Relationship Id="rId57" Type="http://schemas.openxmlformats.org/officeDocument/2006/relationships/externalLink" Target="externalLinks/externalLink3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1.xml"/><Relationship Id="rId44" Type="http://schemas.openxmlformats.org/officeDocument/2006/relationships/externalLink" Target="externalLinks/externalLink24.xml"/><Relationship Id="rId52" Type="http://schemas.openxmlformats.org/officeDocument/2006/relationships/externalLink" Target="externalLinks/externalLink32.xml"/><Relationship Id="rId60" Type="http://schemas.openxmlformats.org/officeDocument/2006/relationships/externalLink" Target="externalLinks/externalLink40.xml"/><Relationship Id="rId65" Type="http://schemas.openxmlformats.org/officeDocument/2006/relationships/externalLink" Target="externalLinks/externalLink4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30.xml"/><Relationship Id="rId55" Type="http://schemas.openxmlformats.org/officeDocument/2006/relationships/externalLink" Target="externalLinks/externalLink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ugust'26%20Daily%20Process%20Report%202026.xlsx" TargetMode="External"/><Relationship Id="rId1" Type="http://schemas.openxmlformats.org/officeDocument/2006/relationships/externalLinkPath" Target="August'26%20Daily%20Process%20Report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samcal-my.sharepoint.com/personal/ron_antoine_caribbrewery_com/Documents/Copy%20of%20BOY%20projections%202022.xlsx" TargetMode="External"/><Relationship Id="rId1" Type="http://schemas.openxmlformats.org/officeDocument/2006/relationships/externalLinkPath" Target="https://ansamcal-my.sharepoint.com/personal/ron_antoine_caribbrewery_com/Documents/Copy%20of%20BOY%20projections%20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September'26%20Daily%20Process%20Report%202026.xlsx" TargetMode="External"/><Relationship Id="rId1" Type="http://schemas.openxmlformats.org/officeDocument/2006/relationships/externalLinkPath" Target="September'26%20Daily%20Process%20Report%20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March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pril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October_2026.xls" TargetMode="External"/><Relationship Id="rId2" Type="http://schemas.openxmlformats.org/officeDocument/2006/relationships/externalLinkPath" Target="file:///F:\Operations\Brewing\Reports%20Local\Losses%202026\October_2026.xls" TargetMode="External"/><Relationship Id="rId1" Type="http://schemas.openxmlformats.org/officeDocument/2006/relationships/externalLinkPath" Target="/Operations/Brewing/Reports%20Local/Losses%202026/October_202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MMaltLog.xls" TargetMode="External"/><Relationship Id="rId2" Type="http://schemas.openxmlformats.org/officeDocument/2006/relationships/externalLinkPath" Target="file:///F:\Operations\Brewing\Logbooks\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Jan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Febr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Ma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U595">
            <v>102.9503534174209</v>
          </cell>
        </row>
        <row r="596">
          <cell r="AU596">
            <v>103.20695554361478</v>
          </cell>
        </row>
        <row r="597">
          <cell r="AU597">
            <v>100.49530782630643</v>
          </cell>
        </row>
        <row r="598">
          <cell r="AU598">
            <v>98.352761035087568</v>
          </cell>
        </row>
        <row r="599">
          <cell r="AU599">
            <v>99.302688314491746</v>
          </cell>
        </row>
        <row r="600">
          <cell r="AU600">
            <v>98.222221366406799</v>
          </cell>
        </row>
        <row r="601">
          <cell r="AU601">
            <v>99.769593439999099</v>
          </cell>
        </row>
        <row r="602">
          <cell r="AU602">
            <v>99.869825686975531</v>
          </cell>
        </row>
        <row r="603">
          <cell r="AU603">
            <v>94.979636183315108</v>
          </cell>
        </row>
        <row r="604">
          <cell r="AU604">
            <v>97.924342221439488</v>
          </cell>
        </row>
        <row r="605">
          <cell r="AU605">
            <v>100.78423889987383</v>
          </cell>
        </row>
        <row r="606">
          <cell r="AU606">
            <v>103.00616380131203</v>
          </cell>
        </row>
        <row r="607">
          <cell r="AU607">
            <v>98.735662358530632</v>
          </cell>
        </row>
        <row r="608">
          <cell r="AU608">
            <v>99.191120697559725</v>
          </cell>
        </row>
        <row r="609">
          <cell r="AU609">
            <v>99.137028566690901</v>
          </cell>
        </row>
        <row r="610">
          <cell r="AU610">
            <v>99.906988502754658</v>
          </cell>
        </row>
        <row r="611">
          <cell r="AU611">
            <v>94.112383169594878</v>
          </cell>
        </row>
        <row r="612">
          <cell r="AU612">
            <v>99.727537733596833</v>
          </cell>
        </row>
        <row r="613">
          <cell r="AU613">
            <v>102.00296712301547</v>
          </cell>
        </row>
        <row r="614">
          <cell r="AU614">
            <v>100.30661645676568</v>
          </cell>
        </row>
        <row r="615">
          <cell r="AU615">
            <v>102.38430000747583</v>
          </cell>
        </row>
        <row r="616">
          <cell r="AU616">
            <v>97.178318651163494</v>
          </cell>
        </row>
        <row r="617">
          <cell r="AU617">
            <v>99.448779663128292</v>
          </cell>
        </row>
        <row r="618">
          <cell r="AU618">
            <v>98.327017995218057</v>
          </cell>
        </row>
        <row r="619">
          <cell r="AU619">
            <v>96.630393194942471</v>
          </cell>
        </row>
        <row r="620">
          <cell r="AU620">
            <v>99.633829486310873</v>
          </cell>
        </row>
        <row r="621">
          <cell r="AU621">
            <v>98.745967480313396</v>
          </cell>
        </row>
        <row r="622">
          <cell r="AU622">
            <v>97.446768754393304</v>
          </cell>
        </row>
        <row r="623">
          <cell r="AU623">
            <v>99.881595354826231</v>
          </cell>
        </row>
        <row r="624">
          <cell r="AU624">
            <v>98.064310250675931</v>
          </cell>
        </row>
        <row r="625">
          <cell r="AU625">
            <v>98.308476686710605</v>
          </cell>
        </row>
        <row r="626">
          <cell r="AU626">
            <v>102.30475622682079</v>
          </cell>
        </row>
        <row r="627">
          <cell r="AU627">
            <v>94.623372416522983</v>
          </cell>
        </row>
        <row r="628">
          <cell r="AU628">
            <v>102.05066432590664</v>
          </cell>
        </row>
        <row r="629">
          <cell r="AU629">
            <v>98.46294565819899</v>
          </cell>
        </row>
        <row r="630">
          <cell r="AU630">
            <v>102.5771141317837</v>
          </cell>
        </row>
        <row r="631">
          <cell r="AU631">
            <v>98.897378510792095</v>
          </cell>
        </row>
        <row r="632">
          <cell r="AU632">
            <v>99.032006915549005</v>
          </cell>
        </row>
        <row r="633">
          <cell r="AU633">
            <v>100.3950691408541</v>
          </cell>
        </row>
        <row r="634">
          <cell r="AU634">
            <v>98.335203397010687</v>
          </cell>
        </row>
        <row r="635">
          <cell r="AU635">
            <v>92.210476129367706</v>
          </cell>
        </row>
        <row r="636">
          <cell r="AU636">
            <v>95.392227245105218</v>
          </cell>
        </row>
        <row r="637">
          <cell r="AU637">
            <v>97.63611706509802</v>
          </cell>
        </row>
        <row r="638">
          <cell r="AU638">
            <v>96.053814988905671</v>
          </cell>
        </row>
        <row r="639">
          <cell r="AU639">
            <v>99.79568244859415</v>
          </cell>
        </row>
        <row r="640">
          <cell r="AU640">
            <v>96.232629291944676</v>
          </cell>
        </row>
        <row r="641">
          <cell r="AU641">
            <v>101.43741414543481</v>
          </cell>
        </row>
        <row r="642">
          <cell r="AU642">
            <v>102.9971064188906</v>
          </cell>
        </row>
        <row r="643">
          <cell r="AU643">
            <v>96.510220819323507</v>
          </cell>
        </row>
        <row r="644">
          <cell r="AU644">
            <v>103.75607566491097</v>
          </cell>
        </row>
        <row r="645">
          <cell r="AU645">
            <v>99.510131013090614</v>
          </cell>
        </row>
        <row r="646">
          <cell r="AU646">
            <v>99.855544139268176</v>
          </cell>
        </row>
        <row r="647">
          <cell r="AU647">
            <v>98.434449089980745</v>
          </cell>
        </row>
        <row r="648">
          <cell r="AU648">
            <v>100.05955892682989</v>
          </cell>
        </row>
        <row r="649">
          <cell r="AU649">
            <v>95.934372886641839</v>
          </cell>
        </row>
        <row r="650">
          <cell r="AU650">
            <v>98.654470881741176</v>
          </cell>
        </row>
        <row r="651">
          <cell r="AU651">
            <v>96.064625992960757</v>
          </cell>
        </row>
        <row r="652">
          <cell r="AU652">
            <v>97.26610918503755</v>
          </cell>
        </row>
        <row r="653">
          <cell r="AU653">
            <v>98.696712146765265</v>
          </cell>
        </row>
        <row r="654">
          <cell r="AU654">
            <v>97.927386788830631</v>
          </cell>
        </row>
        <row r="655">
          <cell r="AU655">
            <v>111.54257690015881</v>
          </cell>
        </row>
        <row r="656">
          <cell r="AU656">
            <v>100.80384590106561</v>
          </cell>
        </row>
        <row r="657">
          <cell r="AU657">
            <v>97.823276952751186</v>
          </cell>
        </row>
        <row r="658">
          <cell r="AU658">
            <v>98.621300517774969</v>
          </cell>
        </row>
        <row r="659">
          <cell r="AU659">
            <v>92.983027682827753</v>
          </cell>
        </row>
        <row r="660">
          <cell r="AU660">
            <v>96.583285401532947</v>
          </cell>
        </row>
        <row r="661">
          <cell r="AU661">
            <v>96.846117108455005</v>
          </cell>
        </row>
        <row r="662">
          <cell r="AU662">
            <v>97.786680935858953</v>
          </cell>
        </row>
        <row r="663">
          <cell r="AU663">
            <v>97.163447975823857</v>
          </cell>
        </row>
        <row r="664">
          <cell r="AU664">
            <v>96.892783901710104</v>
          </cell>
        </row>
        <row r="665">
          <cell r="AU665">
            <v>101.21304317252451</v>
          </cell>
        </row>
        <row r="666">
          <cell r="AU666">
            <v>96.229472441397689</v>
          </cell>
        </row>
        <row r="667">
          <cell r="AU667">
            <v>98.804416600284995</v>
          </cell>
        </row>
        <row r="668">
          <cell r="AU668">
            <v>98.607570442650825</v>
          </cell>
        </row>
        <row r="669">
          <cell r="AU669">
            <v>105.37379988612518</v>
          </cell>
        </row>
        <row r="670">
          <cell r="AU670">
            <v>98.77626010729989</v>
          </cell>
        </row>
        <row r="671">
          <cell r="AU671">
            <v>98.182414856153798</v>
          </cell>
        </row>
        <row r="672">
          <cell r="AU672">
            <v>97.511963448181888</v>
          </cell>
        </row>
        <row r="673">
          <cell r="AU673">
            <v>97.970030213156235</v>
          </cell>
        </row>
        <row r="674">
          <cell r="AU674">
            <v>104.5660106879633</v>
          </cell>
        </row>
        <row r="675">
          <cell r="AU675">
            <v>99.53755069656674</v>
          </cell>
        </row>
        <row r="676">
          <cell r="AU676">
            <v>96.929373997463372</v>
          </cell>
        </row>
        <row r="677">
          <cell r="AU677">
            <v>101.60245432656833</v>
          </cell>
        </row>
        <row r="678">
          <cell r="AU678">
            <v>98.410586861189657</v>
          </cell>
        </row>
        <row r="679">
          <cell r="AU679">
            <v>97.543754381397036</v>
          </cell>
        </row>
        <row r="680">
          <cell r="AU680">
            <v>99.05762276816165</v>
          </cell>
        </row>
        <row r="681">
          <cell r="AU681">
            <v>98.136125359421726</v>
          </cell>
        </row>
        <row r="682">
          <cell r="AU682">
            <v>98.060390142903103</v>
          </cell>
        </row>
        <row r="683">
          <cell r="AU683">
            <v>101.67116843535777</v>
          </cell>
        </row>
        <row r="684">
          <cell r="AU684">
            <v>99.954575891981591</v>
          </cell>
        </row>
        <row r="685">
          <cell r="AU685">
            <v>100.91536339258649</v>
          </cell>
        </row>
        <row r="686">
          <cell r="AU686">
            <v>99.843917256766318</v>
          </cell>
        </row>
        <row r="687">
          <cell r="AU687">
            <v>86.450506030661657</v>
          </cell>
        </row>
        <row r="688">
          <cell r="AU688">
            <v>102.11257164728424</v>
          </cell>
        </row>
        <row r="689">
          <cell r="AU689">
            <v>97.47721612822464</v>
          </cell>
        </row>
        <row r="690">
          <cell r="AU690">
            <v>98.974208524348597</v>
          </cell>
        </row>
        <row r="691">
          <cell r="AU691">
            <v>97.404095796574978</v>
          </cell>
        </row>
        <row r="692">
          <cell r="AU692">
            <v>97.613140533184307</v>
          </cell>
        </row>
        <row r="693">
          <cell r="AU693">
            <v>98.455794941866429</v>
          </cell>
        </row>
        <row r="694">
          <cell r="AU694">
            <v>97.298899458351812</v>
          </cell>
        </row>
        <row r="696">
          <cell r="AU696">
            <v>97.633608454436768</v>
          </cell>
        </row>
        <row r="697">
          <cell r="AU697">
            <v>99.296130618355448</v>
          </cell>
        </row>
        <row r="698">
          <cell r="AU698">
            <v>98.221285990904661</v>
          </cell>
        </row>
        <row r="699">
          <cell r="AU699">
            <v>96.173272580659344</v>
          </cell>
        </row>
        <row r="700">
          <cell r="AU700">
            <v>96.130103634337729</v>
          </cell>
        </row>
        <row r="701">
          <cell r="AU701">
            <v>102.43572492564348</v>
          </cell>
        </row>
        <row r="702">
          <cell r="AU702">
            <v>96.684179403949585</v>
          </cell>
        </row>
        <row r="703">
          <cell r="AU703">
            <v>98.126698757069292</v>
          </cell>
        </row>
        <row r="704">
          <cell r="AU704">
            <v>99.408785613934398</v>
          </cell>
        </row>
        <row r="705">
          <cell r="AU705">
            <v>96.544010067439146</v>
          </cell>
        </row>
        <row r="706">
          <cell r="AU706">
            <v>98.726419047556874</v>
          </cell>
        </row>
        <row r="707">
          <cell r="AU707">
            <v>95.56863040279265</v>
          </cell>
        </row>
        <row r="708">
          <cell r="AU708">
            <v>96.692705408905809</v>
          </cell>
        </row>
        <row r="709">
          <cell r="AU709">
            <v>101.00946443477108</v>
          </cell>
        </row>
        <row r="710">
          <cell r="AU710">
            <v>95.236770396091657</v>
          </cell>
        </row>
        <row r="711">
          <cell r="AU711">
            <v>97.941168938335963</v>
          </cell>
        </row>
        <row r="712">
          <cell r="AU712">
            <v>98.62449539212821</v>
          </cell>
        </row>
        <row r="713">
          <cell r="AU713">
            <v>99.291911621355354</v>
          </cell>
        </row>
        <row r="714">
          <cell r="AU714">
            <v>102.67692873975598</v>
          </cell>
        </row>
        <row r="715">
          <cell r="AU715">
            <v>102.38450698329868</v>
          </cell>
        </row>
        <row r="716">
          <cell r="AU716">
            <v>97.406889141099541</v>
          </cell>
        </row>
        <row r="717">
          <cell r="AU717">
            <v>98.502058292495235</v>
          </cell>
        </row>
        <row r="718">
          <cell r="AU718">
            <v>98.31722610678014</v>
          </cell>
        </row>
        <row r="719">
          <cell r="AU719">
            <v>101.29884115103513</v>
          </cell>
        </row>
        <row r="720">
          <cell r="AU720">
            <v>100.09020957845156</v>
          </cell>
        </row>
        <row r="721">
          <cell r="AU721">
            <v>99.733387411391178</v>
          </cell>
        </row>
        <row r="722">
          <cell r="AU722">
            <v>98.19754764179018</v>
          </cell>
        </row>
        <row r="723">
          <cell r="AU723">
            <v>101.48311507954335</v>
          </cell>
        </row>
        <row r="724">
          <cell r="AU724">
            <v>99.282975850914454</v>
          </cell>
        </row>
        <row r="725">
          <cell r="AU725">
            <v>97.081866203837734</v>
          </cell>
        </row>
        <row r="726">
          <cell r="AU726">
            <v>98.865119442395837</v>
          </cell>
        </row>
        <row r="727">
          <cell r="AU727">
            <v>96.958974493352486</v>
          </cell>
        </row>
        <row r="728">
          <cell r="AU728">
            <v>98.55311063729188</v>
          </cell>
        </row>
        <row r="729">
          <cell r="AU729">
            <v>99.126741243313148</v>
          </cell>
        </row>
        <row r="730">
          <cell r="AU730">
            <v>97.011094633845403</v>
          </cell>
        </row>
        <row r="731">
          <cell r="AU731">
            <v>108.52324334564575</v>
          </cell>
        </row>
        <row r="732">
          <cell r="AU732">
            <v>96.180187549630773</v>
          </cell>
        </row>
        <row r="733">
          <cell r="AU733">
            <v>97.102481872305134</v>
          </cell>
        </row>
        <row r="734">
          <cell r="AU734">
            <v>98.17458240291262</v>
          </cell>
        </row>
        <row r="735">
          <cell r="AU735">
            <v>98.18822759357343</v>
          </cell>
        </row>
        <row r="736">
          <cell r="AU736">
            <v>99.836488721311795</v>
          </cell>
        </row>
        <row r="737">
          <cell r="AU737">
            <v>96.129104901277245</v>
          </cell>
        </row>
        <row r="738">
          <cell r="AU738">
            <v>96.773121785755123</v>
          </cell>
        </row>
        <row r="739">
          <cell r="AU739">
            <v>100.67902306542751</v>
          </cell>
        </row>
        <row r="740">
          <cell r="AU740">
            <v>99.289141660170145</v>
          </cell>
        </row>
        <row r="741">
          <cell r="AU741">
            <v>99.330638505114962</v>
          </cell>
        </row>
        <row r="742">
          <cell r="AU742">
            <v>100.92529729319159</v>
          </cell>
        </row>
        <row r="743">
          <cell r="AU743">
            <v>101.94859726081698</v>
          </cell>
        </row>
        <row r="744">
          <cell r="AU744">
            <v>98.546964828545995</v>
          </cell>
        </row>
        <row r="745">
          <cell r="AU745">
            <v>101.75420442737169</v>
          </cell>
        </row>
        <row r="746">
          <cell r="AU746">
            <v>100.59914666956269</v>
          </cell>
        </row>
        <row r="747">
          <cell r="AU747">
            <v>96.83330789221209</v>
          </cell>
        </row>
        <row r="748">
          <cell r="AU748">
            <v>96.27440025962683</v>
          </cell>
        </row>
        <row r="749">
          <cell r="AU749">
            <v>98.200690439983745</v>
          </cell>
        </row>
        <row r="750">
          <cell r="AU750">
            <v>95.935798235039968</v>
          </cell>
        </row>
        <row r="751">
          <cell r="AU751">
            <v>103.87449734934009</v>
          </cell>
        </row>
        <row r="752">
          <cell r="AU752">
            <v>93.602427745802785</v>
          </cell>
        </row>
        <row r="753">
          <cell r="AU753">
            <v>94.459604984803278</v>
          </cell>
        </row>
        <row r="754">
          <cell r="AU754">
            <v>99.279364994320531</v>
          </cell>
        </row>
        <row r="755">
          <cell r="AU755">
            <v>98.854256189992114</v>
          </cell>
        </row>
        <row r="756">
          <cell r="AU756">
            <v>98.732110806844759</v>
          </cell>
        </row>
        <row r="757">
          <cell r="AU757">
            <v>100.95300549069179</v>
          </cell>
        </row>
        <row r="758">
          <cell r="AU758">
            <v>98.368022017893821</v>
          </cell>
        </row>
        <row r="759">
          <cell r="AU759">
            <v>101.37277811430624</v>
          </cell>
        </row>
        <row r="760">
          <cell r="AU760">
            <v>95.073465016717392</v>
          </cell>
        </row>
        <row r="761">
          <cell r="AU761">
            <v>95.845344590065395</v>
          </cell>
        </row>
        <row r="762">
          <cell r="AU762">
            <v>98.85722005187705</v>
          </cell>
        </row>
        <row r="763">
          <cell r="AU763">
            <v>97.25721435799521</v>
          </cell>
        </row>
        <row r="764">
          <cell r="AU764">
            <v>96.785999739603284</v>
          </cell>
        </row>
        <row r="765">
          <cell r="AU765">
            <v>99.364558642314563</v>
          </cell>
        </row>
        <row r="766">
          <cell r="AU766">
            <v>98.321101532359165</v>
          </cell>
        </row>
        <row r="767">
          <cell r="AU767">
            <v>98.372755741557143</v>
          </cell>
        </row>
        <row r="768">
          <cell r="AU768">
            <v>99.594791192420629</v>
          </cell>
        </row>
        <row r="769">
          <cell r="AU769">
            <v>98.344995127617665</v>
          </cell>
        </row>
        <row r="770">
          <cell r="AU770">
            <v>99.451654839471487</v>
          </cell>
        </row>
        <row r="771">
          <cell r="AU771">
            <v>100.31189503016999</v>
          </cell>
        </row>
        <row r="772">
          <cell r="AU772">
            <v>96.86810648616374</v>
          </cell>
        </row>
        <row r="773">
          <cell r="AU773">
            <v>99.961185685422222</v>
          </cell>
        </row>
        <row r="774">
          <cell r="AU774">
            <v>99.939323457500208</v>
          </cell>
        </row>
        <row r="775">
          <cell r="AU775">
            <v>99.86775451447069</v>
          </cell>
        </row>
        <row r="776">
          <cell r="AU776">
            <v>98.790918499925468</v>
          </cell>
        </row>
        <row r="777">
          <cell r="AU777">
            <v>99.497291062726106</v>
          </cell>
        </row>
        <row r="778">
          <cell r="AU778">
            <v>99.057786899513189</v>
          </cell>
        </row>
        <row r="779">
          <cell r="AU779">
            <v>99.939323457500208</v>
          </cell>
        </row>
        <row r="780">
          <cell r="AU780">
            <v>93.69311574140643</v>
          </cell>
        </row>
        <row r="781">
          <cell r="AU781">
            <v>95.585249587972541</v>
          </cell>
        </row>
        <row r="782">
          <cell r="AU782">
            <v>98.669450209068287</v>
          </cell>
        </row>
        <row r="783">
          <cell r="AU783">
            <v>97.139339188871205</v>
          </cell>
        </row>
        <row r="784">
          <cell r="AU784">
            <v>98.695390021115415</v>
          </cell>
        </row>
        <row r="785">
          <cell r="AU785">
            <v>99.343880186051692</v>
          </cell>
        </row>
        <row r="786">
          <cell r="AU786">
            <v>100.18153216864758</v>
          </cell>
        </row>
        <row r="787">
          <cell r="AU787">
            <v>99.81550952865841</v>
          </cell>
        </row>
        <row r="789">
          <cell r="A789" t="str">
            <v>CA739</v>
          </cell>
          <cell r="P789">
            <v>63</v>
          </cell>
          <cell r="Q789">
            <v>15.037037037037033</v>
          </cell>
          <cell r="T789">
            <v>0.70277777777777772</v>
          </cell>
          <cell r="U789">
            <v>0.81458333333333333</v>
          </cell>
          <cell r="V789">
            <v>55</v>
          </cell>
          <cell r="Z789">
            <v>0.24861111111111112</v>
          </cell>
          <cell r="AF789">
            <v>47.4</v>
          </cell>
          <cell r="AG789">
            <v>11.8</v>
          </cell>
          <cell r="AI789">
            <v>47.9</v>
          </cell>
          <cell r="AU789">
            <v>94.056577044182816</v>
          </cell>
          <cell r="AV789">
            <v>94.785536062602233</v>
          </cell>
          <cell r="AX789" t="str">
            <v>R. Sookram</v>
          </cell>
        </row>
        <row r="790">
          <cell r="A790" t="str">
            <v>CA740</v>
          </cell>
          <cell r="P790">
            <v>61</v>
          </cell>
          <cell r="Q790">
            <v>12.074074074074066</v>
          </cell>
          <cell r="T790">
            <v>0.79305555555555551</v>
          </cell>
          <cell r="U790">
            <v>0.90277777777777779</v>
          </cell>
          <cell r="V790">
            <v>55</v>
          </cell>
          <cell r="Z790">
            <v>0.24305555555555558</v>
          </cell>
          <cell r="AF790">
            <v>49.8</v>
          </cell>
          <cell r="AG790">
            <v>11.9</v>
          </cell>
          <cell r="AI790">
            <v>50.3</v>
          </cell>
          <cell r="AU790">
            <v>99.034024996783444</v>
          </cell>
          <cell r="AV790">
            <v>99.801812518911376</v>
          </cell>
          <cell r="AX790" t="str">
            <v>K. Benjamin</v>
          </cell>
        </row>
        <row r="791">
          <cell r="A791" t="str">
            <v>CA741</v>
          </cell>
          <cell r="P791">
            <v>60</v>
          </cell>
          <cell r="Q791">
            <v>12.259259259259254</v>
          </cell>
          <cell r="T791">
            <v>0.88263888888888886</v>
          </cell>
          <cell r="U791">
            <v>0.99513888888888891</v>
          </cell>
          <cell r="V791">
            <v>58</v>
          </cell>
          <cell r="Z791">
            <v>0.24513888888888891</v>
          </cell>
          <cell r="AF791">
            <v>48.5</v>
          </cell>
          <cell r="AG791">
            <v>11.8</v>
          </cell>
          <cell r="AI791">
            <v>49.1</v>
          </cell>
          <cell r="AU791">
            <v>96.894771830654662</v>
          </cell>
          <cell r="AV791">
            <v>97.645527862092081</v>
          </cell>
          <cell r="AX791" t="str">
            <v>K. Benjamin</v>
          </cell>
        </row>
        <row r="792">
          <cell r="A792" t="str">
            <v>CA742</v>
          </cell>
          <cell r="P792">
            <v>60</v>
          </cell>
          <cell r="Q792">
            <v>10.573012939001845</v>
          </cell>
          <cell r="T792">
            <v>0.97152777777777777</v>
          </cell>
          <cell r="U792">
            <v>1.086111111111111</v>
          </cell>
          <cell r="V792">
            <v>64</v>
          </cell>
          <cell r="Z792">
            <v>0.24236111111111103</v>
          </cell>
          <cell r="AF792">
            <v>51.2</v>
          </cell>
          <cell r="AG792">
            <v>11.6</v>
          </cell>
          <cell r="AI792">
            <v>51.7</v>
          </cell>
          <cell r="AU792">
            <v>99.461062893244474</v>
          </cell>
          <cell r="AV792">
            <v>100.23200954727312</v>
          </cell>
          <cell r="AX792" t="str">
            <v>K. Benjamin</v>
          </cell>
        </row>
        <row r="793">
          <cell r="A793" t="str">
            <v>CA743</v>
          </cell>
          <cell r="P793">
            <v>60</v>
          </cell>
          <cell r="Q793">
            <v>10.388170055452859</v>
          </cell>
          <cell r="V793">
            <v>59</v>
          </cell>
          <cell r="AF793">
            <v>50.4</v>
          </cell>
          <cell r="AG793">
            <v>11.7</v>
          </cell>
          <cell r="AI793">
            <v>50.3</v>
          </cell>
          <cell r="AU793">
            <v>98.010640304902878</v>
          </cell>
          <cell r="AV793">
            <v>98.770193886926663</v>
          </cell>
          <cell r="AX793" t="str">
            <v>K. Benjamin</v>
          </cell>
        </row>
        <row r="794">
          <cell r="A794" t="str">
            <v>CA744</v>
          </cell>
          <cell r="P794">
            <v>59</v>
          </cell>
          <cell r="Q794">
            <v>10.203327171903888</v>
          </cell>
          <cell r="T794">
            <v>1.1513888888888888</v>
          </cell>
          <cell r="U794">
            <v>1.2680555555555555</v>
          </cell>
          <cell r="V794">
            <v>64</v>
          </cell>
          <cell r="Z794">
            <v>0.24722222222222223</v>
          </cell>
          <cell r="AF794">
            <v>50.5</v>
          </cell>
          <cell r="AG794">
            <v>11.7</v>
          </cell>
          <cell r="AI794">
            <v>51.1</v>
          </cell>
          <cell r="AU794">
            <v>99.322178612780704</v>
          </cell>
          <cell r="AV794">
            <v>100.09199803047697</v>
          </cell>
          <cell r="AX794" t="str">
            <v>R. Sookram</v>
          </cell>
        </row>
        <row r="795">
          <cell r="A795" t="str">
            <v>CA745</v>
          </cell>
          <cell r="P795">
            <v>59</v>
          </cell>
          <cell r="Q795">
            <v>10.203327171903888</v>
          </cell>
          <cell r="T795">
            <v>0.24861111111111112</v>
          </cell>
          <cell r="U795">
            <v>0.36319444444444443</v>
          </cell>
          <cell r="V795">
            <v>59</v>
          </cell>
          <cell r="Z795">
            <v>0.25208333333333333</v>
          </cell>
          <cell r="AF795">
            <v>49.7</v>
          </cell>
          <cell r="AG795">
            <v>11.6</v>
          </cell>
          <cell r="AI795">
            <v>50.3</v>
          </cell>
          <cell r="AU795">
            <v>96.647863753507224</v>
          </cell>
          <cell r="AV795">
            <v>97.39705384664137</v>
          </cell>
          <cell r="AX795" t="str">
            <v>D. Gomaz</v>
          </cell>
        </row>
        <row r="796">
          <cell r="A796" t="str">
            <v>CA746</v>
          </cell>
          <cell r="P796">
            <v>58</v>
          </cell>
          <cell r="Q796">
            <v>10.018484288354902</v>
          </cell>
          <cell r="T796">
            <v>0.35555555555555557</v>
          </cell>
          <cell r="U796">
            <v>0.46527777777777779</v>
          </cell>
          <cell r="V796">
            <v>60</v>
          </cell>
          <cell r="Z796">
            <v>0.25694444444444442</v>
          </cell>
          <cell r="AF796">
            <v>49.4</v>
          </cell>
          <cell r="AG796">
            <v>11.8</v>
          </cell>
          <cell r="AI796">
            <v>49.8</v>
          </cell>
          <cell r="AU796">
            <v>99.393897008473871</v>
          </cell>
          <cell r="AV796">
            <v>100.16354837022554</v>
          </cell>
          <cell r="AX796" t="str">
            <v>D. Gomaz</v>
          </cell>
        </row>
        <row r="797">
          <cell r="A797" t="str">
            <v>CA747</v>
          </cell>
          <cell r="P797">
            <v>88</v>
          </cell>
          <cell r="Q797">
            <v>12.421441774491679</v>
          </cell>
          <cell r="T797">
            <v>0.27361111111111114</v>
          </cell>
          <cell r="U797">
            <v>0.42638888888888887</v>
          </cell>
          <cell r="V797">
            <v>61</v>
          </cell>
          <cell r="Z797">
            <v>0.32777777777777778</v>
          </cell>
          <cell r="AF797">
            <v>48.9</v>
          </cell>
          <cell r="AG797">
            <v>11.6</v>
          </cell>
          <cell r="AI797">
            <v>49.1</v>
          </cell>
          <cell r="AU797">
            <v>94.225435543653518</v>
          </cell>
          <cell r="AV797">
            <v>94.955895449291049</v>
          </cell>
          <cell r="AX797" t="str">
            <v>D. Gomaz</v>
          </cell>
        </row>
        <row r="798">
          <cell r="A798" t="str">
            <v>CA748</v>
          </cell>
          <cell r="P798">
            <v>60</v>
          </cell>
          <cell r="Q798">
            <v>10.388170055452859</v>
          </cell>
          <cell r="T798">
            <v>0.40416666666666667</v>
          </cell>
          <cell r="U798">
            <v>0.51597222222222228</v>
          </cell>
          <cell r="V798">
            <v>62</v>
          </cell>
          <cell r="Z798">
            <v>0.29236111111111118</v>
          </cell>
          <cell r="AF798">
            <v>49.2</v>
          </cell>
          <cell r="AG798">
            <v>11.6</v>
          </cell>
          <cell r="AI798">
            <v>49.6</v>
          </cell>
          <cell r="AU798">
            <v>96.984705758803429</v>
          </cell>
          <cell r="AV798">
            <v>97.735804113121233</v>
          </cell>
          <cell r="AX798" t="str">
            <v>D. Gomaz</v>
          </cell>
        </row>
        <row r="799">
          <cell r="A799" t="str">
            <v>CA749</v>
          </cell>
          <cell r="P799">
            <v>60</v>
          </cell>
          <cell r="Q799">
            <v>10.018484288354902</v>
          </cell>
          <cell r="T799">
            <v>0.49375000000000002</v>
          </cell>
          <cell r="U799">
            <v>0.60624999999999996</v>
          </cell>
          <cell r="V799">
            <v>58</v>
          </cell>
          <cell r="Z799">
            <v>0.28680555555555554</v>
          </cell>
          <cell r="AF799">
            <v>50.8</v>
          </cell>
          <cell r="AG799">
            <v>11.7</v>
          </cell>
          <cell r="AI799">
            <v>51.8</v>
          </cell>
          <cell r="AU799">
            <v>100.30908258387295</v>
          </cell>
          <cell r="AV799">
            <v>101.086704492183</v>
          </cell>
          <cell r="AX799" t="str">
            <v>D. Gomaz</v>
          </cell>
        </row>
        <row r="800">
          <cell r="A800" t="str">
            <v>CA750</v>
          </cell>
          <cell r="P800">
            <v>60</v>
          </cell>
          <cell r="Q800">
            <v>9.8336414048059151</v>
          </cell>
          <cell r="T800">
            <v>0.58888888888888891</v>
          </cell>
          <cell r="U800">
            <v>0.69861111111111107</v>
          </cell>
          <cell r="V800">
            <v>62</v>
          </cell>
          <cell r="Z800">
            <v>0.26111111111111107</v>
          </cell>
          <cell r="AF800">
            <v>49.5</v>
          </cell>
          <cell r="AG800">
            <v>11.9</v>
          </cell>
          <cell r="AI800">
            <v>49.8</v>
          </cell>
          <cell r="AU800">
            <v>98.292492578870025</v>
          </cell>
          <cell r="AV800">
            <v>99.05443142376123</v>
          </cell>
          <cell r="AX800" t="str">
            <v>D. Gomaz</v>
          </cell>
        </row>
        <row r="801">
          <cell r="A801" t="str">
            <v>CA751</v>
          </cell>
          <cell r="P801">
            <v>58</v>
          </cell>
          <cell r="Q801">
            <v>10.222222222222214</v>
          </cell>
          <cell r="T801">
            <v>0.71666666666666667</v>
          </cell>
          <cell r="U801">
            <v>0.82777777777777772</v>
          </cell>
          <cell r="V801">
            <v>61</v>
          </cell>
          <cell r="Z801">
            <v>0.29999999999999993</v>
          </cell>
          <cell r="AF801">
            <v>49.2</v>
          </cell>
          <cell r="AG801">
            <v>12</v>
          </cell>
          <cell r="AI801">
            <v>49.6</v>
          </cell>
          <cell r="AU801">
            <v>98.762703596416429</v>
          </cell>
          <cell r="AV801">
            <v>99.52828739963725</v>
          </cell>
          <cell r="AX801" t="str">
            <v>D. Gomaz</v>
          </cell>
        </row>
        <row r="802">
          <cell r="A802" t="str">
            <v>CA752</v>
          </cell>
          <cell r="P802">
            <v>58</v>
          </cell>
          <cell r="Q802">
            <v>11.127541589648803</v>
          </cell>
          <cell r="T802">
            <v>0.86805555555555558</v>
          </cell>
          <cell r="U802">
            <v>0.97291666666666665</v>
          </cell>
          <cell r="V802">
            <v>58</v>
          </cell>
          <cell r="Z802">
            <v>0.24375000000000002</v>
          </cell>
          <cell r="AF802">
            <v>48.8</v>
          </cell>
          <cell r="AG802">
            <v>12</v>
          </cell>
          <cell r="AI802">
            <v>49.3</v>
          </cell>
          <cell r="AU802">
            <v>98.40914048650491</v>
          </cell>
          <cell r="AV802">
            <v>99.171883191944957</v>
          </cell>
          <cell r="AX802" t="str">
            <v>R. Sookram</v>
          </cell>
        </row>
        <row r="803">
          <cell r="A803" t="str">
            <v>CA753</v>
          </cell>
          <cell r="P803">
            <v>60</v>
          </cell>
          <cell r="Q803">
            <v>11.682070240295749</v>
          </cell>
          <cell r="T803">
            <v>0.9770833333333333</v>
          </cell>
          <cell r="U803">
            <v>1.0909722222222222</v>
          </cell>
          <cell r="V803">
            <v>62</v>
          </cell>
          <cell r="Z803">
            <v>0.27152777777777781</v>
          </cell>
          <cell r="AF803">
            <v>48.5</v>
          </cell>
          <cell r="AG803">
            <v>11.8</v>
          </cell>
          <cell r="AI803">
            <v>49</v>
          </cell>
          <cell r="AU803">
            <v>95.977884419871557</v>
          </cell>
          <cell r="AV803">
            <v>96.721832118617428</v>
          </cell>
          <cell r="AX803" t="str">
            <v>R. Sookram</v>
          </cell>
        </row>
        <row r="804">
          <cell r="A804" t="str">
            <v>CA754</v>
          </cell>
          <cell r="P804">
            <v>61</v>
          </cell>
          <cell r="Q804">
            <v>10.407407407407403</v>
          </cell>
          <cell r="T804">
            <v>1.0784722222222223</v>
          </cell>
          <cell r="U804">
            <v>1.1958333333333333</v>
          </cell>
          <cell r="V804">
            <v>58</v>
          </cell>
          <cell r="Z804">
            <v>0.28611111111111109</v>
          </cell>
          <cell r="AF804">
            <v>49.1</v>
          </cell>
          <cell r="AG804">
            <v>12</v>
          </cell>
          <cell r="AI804">
            <v>49.6</v>
          </cell>
          <cell r="AU804">
            <v>98.275780445846266</v>
          </cell>
          <cell r="AV804">
            <v>99.037788718358144</v>
          </cell>
          <cell r="AX804" t="str">
            <v>R. Sookram</v>
          </cell>
        </row>
        <row r="805">
          <cell r="A805" t="str">
            <v>CA755</v>
          </cell>
          <cell r="P805">
            <v>60</v>
          </cell>
          <cell r="Q805">
            <v>14.296296296296292</v>
          </cell>
          <cell r="T805">
            <v>0.21041666666666667</v>
          </cell>
          <cell r="U805">
            <v>0.32916666666666666</v>
          </cell>
          <cell r="V805">
            <v>60</v>
          </cell>
          <cell r="Z805">
            <v>0.26666666666666666</v>
          </cell>
          <cell r="AF805">
            <v>47</v>
          </cell>
          <cell r="AG805">
            <v>11.9</v>
          </cell>
          <cell r="AI805">
            <v>48.3</v>
          </cell>
          <cell r="AU805">
            <v>95.339517540422776</v>
          </cell>
          <cell r="AV805">
            <v>96.189962817201078</v>
          </cell>
          <cell r="AX805" t="str">
            <v>K. Benjamin</v>
          </cell>
        </row>
        <row r="806">
          <cell r="A806" t="str">
            <v>CA756</v>
          </cell>
          <cell r="P806">
            <v>57</v>
          </cell>
          <cell r="Q806">
            <v>9.0942698706099847</v>
          </cell>
          <cell r="T806">
            <v>0.31666666666666665</v>
          </cell>
          <cell r="U806">
            <v>0.42777777777777776</v>
          </cell>
          <cell r="V806">
            <v>63</v>
          </cell>
          <cell r="Z806">
            <v>0.27499999999999997</v>
          </cell>
          <cell r="AF806">
            <v>49.9</v>
          </cell>
          <cell r="AG806">
            <v>11.6</v>
          </cell>
          <cell r="AI806">
            <v>50.4</v>
          </cell>
          <cell r="AU806">
            <v>96.968036957171023</v>
          </cell>
          <cell r="AV806">
            <v>97.83295193865905</v>
          </cell>
          <cell r="AX806" t="str">
            <v>K. Benjamin</v>
          </cell>
        </row>
        <row r="807">
          <cell r="A807" t="str">
            <v>CA757</v>
          </cell>
          <cell r="P807">
            <v>59</v>
          </cell>
          <cell r="Q807">
            <v>9.0942698706099847</v>
          </cell>
          <cell r="T807">
            <v>0.41458333333333336</v>
          </cell>
          <cell r="U807">
            <v>0.52083333333333337</v>
          </cell>
          <cell r="V807">
            <v>61</v>
          </cell>
          <cell r="Z807">
            <v>0.26388888888888895</v>
          </cell>
          <cell r="AF807">
            <v>49.9</v>
          </cell>
          <cell r="AG807">
            <v>11.8</v>
          </cell>
          <cell r="AI807">
            <v>50.4</v>
          </cell>
          <cell r="AU807">
            <v>98.118953814827094</v>
          </cell>
          <cell r="AV807">
            <v>98.994421335445963</v>
          </cell>
          <cell r="AX807" t="str">
            <v>K. Benjamin</v>
          </cell>
        </row>
        <row r="808">
          <cell r="A808" t="str">
            <v>CA758</v>
          </cell>
          <cell r="P808">
            <v>59</v>
          </cell>
          <cell r="Q808">
            <v>8.7245841035120115</v>
          </cell>
          <cell r="T808">
            <v>0.51180555555555551</v>
          </cell>
          <cell r="U808">
            <v>0.62916666666666665</v>
          </cell>
          <cell r="V808">
            <v>61</v>
          </cell>
          <cell r="Z808">
            <v>0.27847222222222223</v>
          </cell>
          <cell r="AF808">
            <v>50.1</v>
          </cell>
          <cell r="AG808">
            <v>11.6</v>
          </cell>
          <cell r="AI808">
            <v>50.7</v>
          </cell>
          <cell r="AU808">
            <v>97.30356117947872</v>
          </cell>
          <cell r="AV808">
            <v>98.171583101883058</v>
          </cell>
          <cell r="AX808" t="str">
            <v>D. Gomaz</v>
          </cell>
        </row>
        <row r="809">
          <cell r="A809" t="str">
            <v>CA759</v>
          </cell>
          <cell r="P809">
            <v>60</v>
          </cell>
          <cell r="Q809">
            <v>13.16081330868761</v>
          </cell>
          <cell r="T809">
            <v>0.65486111111111112</v>
          </cell>
          <cell r="U809">
            <v>0.77430555555555558</v>
          </cell>
          <cell r="V809">
            <v>59</v>
          </cell>
          <cell r="Z809">
            <v>0.25347222222222221</v>
          </cell>
          <cell r="AF809">
            <v>48.4</v>
          </cell>
          <cell r="AG809">
            <v>11.7</v>
          </cell>
          <cell r="AI809">
            <v>48.6</v>
          </cell>
          <cell r="AU809">
            <v>94.236510026260618</v>
          </cell>
          <cell r="AV809">
            <v>95.077116281876755</v>
          </cell>
          <cell r="AX809" t="str">
            <v>D. Gomaz</v>
          </cell>
        </row>
        <row r="810">
          <cell r="A810" t="str">
            <v>CA760</v>
          </cell>
          <cell r="P810">
            <v>60</v>
          </cell>
          <cell r="Q810">
            <v>12.05175600739372</v>
          </cell>
          <cell r="T810">
            <v>0.76875000000000004</v>
          </cell>
          <cell r="U810">
            <v>0.875</v>
          </cell>
          <cell r="V810">
            <v>57</v>
          </cell>
          <cell r="Z810">
            <v>0.25694444444444442</v>
          </cell>
          <cell r="AF810">
            <v>48.3</v>
          </cell>
          <cell r="AG810">
            <v>12</v>
          </cell>
          <cell r="AI810">
            <v>48.9</v>
          </cell>
          <cell r="AU810">
            <v>97.015701586864395</v>
          </cell>
          <cell r="AV810">
            <v>97.881268884867609</v>
          </cell>
          <cell r="AX810" t="str">
            <v>D. Gomaz</v>
          </cell>
        </row>
        <row r="811">
          <cell r="A811" t="str">
            <v>CA761</v>
          </cell>
          <cell r="P811">
            <v>60</v>
          </cell>
          <cell r="Q811">
            <v>11.127541589648803</v>
          </cell>
          <cell r="T811">
            <v>0.86250000000000004</v>
          </cell>
          <cell r="U811">
            <v>0.97361111111111109</v>
          </cell>
          <cell r="V811">
            <v>62</v>
          </cell>
          <cell r="Z811">
            <v>0.2583333333333333</v>
          </cell>
          <cell r="AF811">
            <v>48.8</v>
          </cell>
          <cell r="AG811">
            <v>12</v>
          </cell>
          <cell r="AI811">
            <v>49.5</v>
          </cell>
          <cell r="AU811">
            <v>97.963974191260846</v>
          </cell>
          <cell r="AV811">
            <v>98.83811575723243</v>
          </cell>
          <cell r="AX811" t="str">
            <v>R. Sookram</v>
          </cell>
        </row>
        <row r="812">
          <cell r="A812" t="str">
            <v>CA762</v>
          </cell>
          <cell r="P812">
            <v>60</v>
          </cell>
          <cell r="Q812">
            <v>11.127541589648803</v>
          </cell>
          <cell r="T812">
            <v>0.95625000000000004</v>
          </cell>
          <cell r="U812">
            <v>1.0645833333333334</v>
          </cell>
          <cell r="V812">
            <v>59</v>
          </cell>
          <cell r="Z812">
            <v>0.25208333333333344</v>
          </cell>
          <cell r="AF812">
            <v>48.8</v>
          </cell>
          <cell r="AG812">
            <v>11.8</v>
          </cell>
          <cell r="AI812">
            <v>49.3</v>
          </cell>
          <cell r="AU812">
            <v>96.693476697667123</v>
          </cell>
          <cell r="AV812">
            <v>97.555885759630257</v>
          </cell>
          <cell r="AX812" t="str">
            <v>R. Sookram</v>
          </cell>
        </row>
        <row r="813">
          <cell r="A813" t="str">
            <v>CA763</v>
          </cell>
          <cell r="P813">
            <v>61</v>
          </cell>
          <cell r="Q813">
            <v>9.2962962962962887</v>
          </cell>
          <cell r="T813">
            <v>1.0486111111111112</v>
          </cell>
          <cell r="U813">
            <v>1.1708333333333334</v>
          </cell>
          <cell r="V813">
            <v>58</v>
          </cell>
          <cell r="Z813">
            <v>0.26111111111111118</v>
          </cell>
          <cell r="AF813">
            <v>49.7</v>
          </cell>
          <cell r="AG813">
            <v>11.7</v>
          </cell>
          <cell r="AI813">
            <v>50.1</v>
          </cell>
          <cell r="AU813">
            <v>97.50785453814089</v>
          </cell>
          <cell r="AV813">
            <v>98.377469457952813</v>
          </cell>
          <cell r="AX813" t="str">
            <v>R. Sookram</v>
          </cell>
        </row>
        <row r="814">
          <cell r="A814" t="str">
            <v>CA764</v>
          </cell>
          <cell r="P814">
            <v>62</v>
          </cell>
          <cell r="Q814">
            <v>10.407407407407403</v>
          </cell>
          <cell r="T814">
            <v>1.15625</v>
          </cell>
          <cell r="U814">
            <v>1.2722222222222221</v>
          </cell>
          <cell r="V814">
            <v>60</v>
          </cell>
          <cell r="Z814">
            <v>0.27222222222222214</v>
          </cell>
          <cell r="AF814">
            <v>49.1</v>
          </cell>
          <cell r="AG814">
            <v>12</v>
          </cell>
          <cell r="AI814">
            <v>49.5</v>
          </cell>
          <cell r="AU814">
            <v>98.693894286323896</v>
          </cell>
          <cell r="AV814">
            <v>99.574203204894033</v>
          </cell>
          <cell r="AX814" t="str">
            <v>K. Benjamin</v>
          </cell>
        </row>
        <row r="815">
          <cell r="A815" t="str">
            <v>CA765</v>
          </cell>
          <cell r="P815">
            <v>59</v>
          </cell>
          <cell r="Q815">
            <v>9.1111111111111143</v>
          </cell>
          <cell r="T815">
            <v>0.25763888888888886</v>
          </cell>
          <cell r="U815">
            <v>0.38472222222222224</v>
          </cell>
          <cell r="V815">
            <v>63</v>
          </cell>
          <cell r="Z815">
            <v>0.29097222222222224</v>
          </cell>
          <cell r="AF815">
            <v>49.8</v>
          </cell>
          <cell r="AG815">
            <v>11.8</v>
          </cell>
          <cell r="AI815">
            <v>50.1</v>
          </cell>
          <cell r="AU815">
            <v>98.262539199860527</v>
          </cell>
          <cell r="AV815">
            <v>99.138942729360579</v>
          </cell>
          <cell r="AX815" t="str">
            <v>K. Benjamin</v>
          </cell>
        </row>
        <row r="816">
          <cell r="A816" t="str">
            <v>CA766</v>
          </cell>
          <cell r="P816">
            <v>60</v>
          </cell>
          <cell r="Q816">
            <v>12.074074074074066</v>
          </cell>
          <cell r="T816">
            <v>0.36041666666666666</v>
          </cell>
          <cell r="U816">
            <v>0.48333333333333334</v>
          </cell>
          <cell r="V816">
            <v>63</v>
          </cell>
          <cell r="Z816">
            <v>0.29583333333333334</v>
          </cell>
          <cell r="AF816">
            <v>48.2</v>
          </cell>
          <cell r="AG816">
            <v>11.7</v>
          </cell>
          <cell r="AI816">
            <v>49.9</v>
          </cell>
          <cell r="AU816">
            <v>97.239656159599406</v>
          </cell>
          <cell r="AV816">
            <v>98.106821614261435</v>
          </cell>
          <cell r="AX816" t="str">
            <v>K. Benjamin</v>
          </cell>
        </row>
        <row r="817">
          <cell r="A817" t="str">
            <v>CA767</v>
          </cell>
          <cell r="P817">
            <v>60</v>
          </cell>
          <cell r="Q817">
            <v>22.402957486136778</v>
          </cell>
          <cell r="T817">
            <v>0.61527777777777781</v>
          </cell>
          <cell r="U817">
            <v>0.7270833333333333</v>
          </cell>
          <cell r="V817">
            <v>56</v>
          </cell>
          <cell r="Z817">
            <v>0.25486111111111109</v>
          </cell>
          <cell r="AF817">
            <v>42.7</v>
          </cell>
          <cell r="AG817">
            <v>11.7</v>
          </cell>
          <cell r="AI817">
            <v>43.2</v>
          </cell>
          <cell r="AU817">
            <v>83.765786690009421</v>
          </cell>
          <cell r="AV817">
            <v>84.512992250557105</v>
          </cell>
          <cell r="AX817" t="str">
            <v>D. Gomaz</v>
          </cell>
        </row>
        <row r="818">
          <cell r="A818" t="str">
            <v>CA768</v>
          </cell>
          <cell r="P818">
            <v>58</v>
          </cell>
          <cell r="Q818">
            <v>17.412199630314234</v>
          </cell>
          <cell r="T818">
            <v>0.75347222222222221</v>
          </cell>
          <cell r="U818">
            <v>0.86111111111111116</v>
          </cell>
          <cell r="V818">
            <v>56</v>
          </cell>
          <cell r="Z818">
            <v>0.29166666666666674</v>
          </cell>
          <cell r="AF818">
            <v>45.4</v>
          </cell>
          <cell r="AG818">
            <v>12</v>
          </cell>
          <cell r="AI818">
            <v>50.1</v>
          </cell>
          <cell r="AU818">
            <v>99.766292415070296</v>
          </cell>
          <cell r="AV818">
            <v>100.65622530286895</v>
          </cell>
          <cell r="AX818" t="str">
            <v>D. Gomaz</v>
          </cell>
        </row>
        <row r="819">
          <cell r="A819" t="str">
            <v>CA769</v>
          </cell>
          <cell r="P819">
            <v>58</v>
          </cell>
          <cell r="Q819">
            <v>11.312384473197778</v>
          </cell>
          <cell r="T819">
            <v>0.84930555555555554</v>
          </cell>
          <cell r="U819">
            <v>0.96458333333333335</v>
          </cell>
          <cell r="V819">
            <v>63</v>
          </cell>
          <cell r="Z819">
            <v>0.29791666666666672</v>
          </cell>
          <cell r="AF819">
            <v>50.3</v>
          </cell>
          <cell r="AG819">
            <v>11.8</v>
          </cell>
          <cell r="AI819">
            <v>50.8</v>
          </cell>
          <cell r="AU819">
            <v>99.511739849218969</v>
          </cell>
          <cell r="AV819">
            <v>100.39934361361757</v>
          </cell>
          <cell r="AX819" t="str">
            <v>R. Sookram</v>
          </cell>
        </row>
        <row r="820">
          <cell r="A820" t="str">
            <v>CA770</v>
          </cell>
          <cell r="P820">
            <v>60</v>
          </cell>
          <cell r="Q820">
            <v>9.8336414048059151</v>
          </cell>
          <cell r="T820">
            <v>0.9458333333333333</v>
          </cell>
          <cell r="U820">
            <v>1.0576388888888888</v>
          </cell>
          <cell r="V820">
            <v>59</v>
          </cell>
          <cell r="Z820">
            <v>0.26597222222222217</v>
          </cell>
          <cell r="AF820">
            <v>49.5</v>
          </cell>
          <cell r="AG820">
            <v>11.7</v>
          </cell>
          <cell r="AI820">
            <v>50.3</v>
          </cell>
          <cell r="AU820">
            <v>97.807901274623262</v>
          </cell>
          <cell r="AV820">
            <v>98.52500001825814</v>
          </cell>
          <cell r="AX820" t="str">
            <v>R. Sookram</v>
          </cell>
        </row>
        <row r="821">
          <cell r="A821" t="str">
            <v>CA771</v>
          </cell>
          <cell r="AU821">
            <v>98.103316383581316</v>
          </cell>
        </row>
        <row r="822">
          <cell r="A822" t="str">
            <v>CA772</v>
          </cell>
          <cell r="AU822">
            <v>103.13813113928801</v>
          </cell>
        </row>
        <row r="823">
          <cell r="A823" t="str">
            <v>CA773</v>
          </cell>
          <cell r="AU823">
            <v>109.97665677903534</v>
          </cell>
        </row>
        <row r="824">
          <cell r="A824" t="str">
            <v>CA774</v>
          </cell>
          <cell r="AU824">
            <v>103.07413375371806</v>
          </cell>
        </row>
        <row r="825">
          <cell r="A825" t="str">
            <v>CA775</v>
          </cell>
          <cell r="AU825">
            <v>103.81486668184603</v>
          </cell>
        </row>
        <row r="826">
          <cell r="A826" t="str">
            <v>CA776</v>
          </cell>
          <cell r="AU826">
            <v>100.42743341199692</v>
          </cell>
        </row>
        <row r="827">
          <cell r="A827" t="str">
            <v>CA777</v>
          </cell>
          <cell r="AU827">
            <v>98.230578249034778</v>
          </cell>
        </row>
        <row r="828">
          <cell r="A828" t="str">
            <v>CA778</v>
          </cell>
          <cell r="AU828">
            <v>101.37882066659169</v>
          </cell>
        </row>
        <row r="829">
          <cell r="A829" t="str">
            <v>CA779</v>
          </cell>
          <cell r="AU829">
            <v>92.679108154436491</v>
          </cell>
        </row>
        <row r="830">
          <cell r="A830" t="str">
            <v>CA780</v>
          </cell>
          <cell r="AU830">
            <v>94.648870775195505</v>
          </cell>
        </row>
        <row r="831">
          <cell r="A831" t="str">
            <v>CA781</v>
          </cell>
          <cell r="AU831">
            <v>95.848560283747346</v>
          </cell>
        </row>
        <row r="832">
          <cell r="A832" t="str">
            <v>CA782</v>
          </cell>
          <cell r="AU832">
            <v>96.710648724565999</v>
          </cell>
        </row>
        <row r="833">
          <cell r="A833" t="str">
            <v>CA783</v>
          </cell>
          <cell r="AU833">
            <v>96.236611135098542</v>
          </cell>
        </row>
        <row r="834">
          <cell r="A834" t="str">
            <v>CA784</v>
          </cell>
          <cell r="AU834">
            <v>98.165284152218973</v>
          </cell>
        </row>
        <row r="835">
          <cell r="A835" t="str">
            <v>CA785</v>
          </cell>
          <cell r="AU835">
            <v>96.909274916672175</v>
          </cell>
        </row>
        <row r="836">
          <cell r="A836" t="str">
            <v>CA786</v>
          </cell>
          <cell r="AU836">
            <v>96.791876049133379</v>
          </cell>
        </row>
        <row r="837">
          <cell r="A837" t="str">
            <v>CA787</v>
          </cell>
          <cell r="P837">
            <v>61</v>
          </cell>
          <cell r="Q837">
            <v>8.3396226415094361</v>
          </cell>
          <cell r="T837">
            <v>0.54027777777777775</v>
          </cell>
          <cell r="U837">
            <v>0.65972222222222221</v>
          </cell>
          <cell r="V837">
            <v>56</v>
          </cell>
          <cell r="Z837">
            <v>0.28472222222222221</v>
          </cell>
          <cell r="AF837">
            <v>49.3</v>
          </cell>
          <cell r="AG837">
            <v>11.68</v>
          </cell>
          <cell r="AI837">
            <v>49.3</v>
          </cell>
          <cell r="AU837">
            <v>95.654534858071727</v>
          </cell>
          <cell r="AV837">
            <v>96.205482512126622</v>
          </cell>
          <cell r="AX837" t="str">
            <v>K. Benjamin</v>
          </cell>
        </row>
        <row r="838">
          <cell r="A838" t="str">
            <v>CA788</v>
          </cell>
          <cell r="P838">
            <v>60</v>
          </cell>
          <cell r="Q838">
            <v>12.62962962962963</v>
          </cell>
          <cell r="T838">
            <v>0.63611111111111107</v>
          </cell>
          <cell r="U838">
            <v>0.76249999999999996</v>
          </cell>
          <cell r="V838">
            <v>52</v>
          </cell>
          <cell r="Z838">
            <v>0.29722222222222217</v>
          </cell>
          <cell r="AF838">
            <v>47.9</v>
          </cell>
          <cell r="AG838">
            <v>12</v>
          </cell>
          <cell r="AI838">
            <v>48.4</v>
          </cell>
          <cell r="AU838">
            <v>96.442217800409722</v>
          </cell>
          <cell r="AV838">
            <v>96.997702323206539</v>
          </cell>
          <cell r="AX838" t="str">
            <v>K. Benjamin</v>
          </cell>
        </row>
        <row r="839">
          <cell r="A839" t="str">
            <v>CA789</v>
          </cell>
          <cell r="P839">
            <v>59</v>
          </cell>
          <cell r="Q839">
            <v>12.444444444444443</v>
          </cell>
          <cell r="T839">
            <v>0.74444444444444446</v>
          </cell>
          <cell r="U839">
            <v>0.87222222222222223</v>
          </cell>
          <cell r="V839">
            <v>52</v>
          </cell>
          <cell r="Z839">
            <v>0.30972222222222223</v>
          </cell>
          <cell r="AF839">
            <v>48</v>
          </cell>
          <cell r="AG839">
            <v>11.7</v>
          </cell>
          <cell r="AI839">
            <v>49.6</v>
          </cell>
          <cell r="AU839">
            <v>100.48581555152971</v>
          </cell>
          <cell r="AV839">
            <v>101.06459024763849</v>
          </cell>
          <cell r="AX839" t="str">
            <v>K. Benjamin</v>
          </cell>
        </row>
        <row r="840">
          <cell r="A840" t="str">
            <v>CA790</v>
          </cell>
          <cell r="P840">
            <v>61</v>
          </cell>
          <cell r="Q840">
            <v>8.3703703703703631</v>
          </cell>
          <cell r="T840">
            <v>0.83750000000000002</v>
          </cell>
          <cell r="U840">
            <v>0.99930555555555556</v>
          </cell>
          <cell r="V840">
            <v>54</v>
          </cell>
          <cell r="Z840">
            <v>0.33263888888888893</v>
          </cell>
          <cell r="AF840">
            <v>50.2</v>
          </cell>
          <cell r="AG840">
            <v>11.8</v>
          </cell>
          <cell r="AI840">
            <v>51.6</v>
          </cell>
          <cell r="AU840">
            <v>101.0176006920568</v>
          </cell>
          <cell r="AV840">
            <v>101.59943834567271</v>
          </cell>
          <cell r="AX840" t="str">
            <v>K. Benjamin</v>
          </cell>
        </row>
        <row r="841">
          <cell r="A841" t="str">
            <v>CA791</v>
          </cell>
          <cell r="P841">
            <v>61</v>
          </cell>
          <cell r="Q841">
            <v>7.538461538461541</v>
          </cell>
          <cell r="T841">
            <v>0.93888888888888888</v>
          </cell>
          <cell r="U841">
            <v>1.0520833333333333</v>
          </cell>
          <cell r="V841">
            <v>59</v>
          </cell>
          <cell r="Z841">
            <v>0.27777777777777768</v>
          </cell>
          <cell r="AF841">
            <v>49.2</v>
          </cell>
          <cell r="AG841">
            <v>11.8</v>
          </cell>
          <cell r="AI841">
            <v>49.6</v>
          </cell>
          <cell r="AU841">
            <v>97.102189812519697</v>
          </cell>
          <cell r="AV841">
            <v>97.661475619096237</v>
          </cell>
          <cell r="AX841" t="str">
            <v>K. Benjamin</v>
          </cell>
        </row>
        <row r="842">
          <cell r="A842" t="str">
            <v>CA792</v>
          </cell>
          <cell r="P842">
            <v>6</v>
          </cell>
          <cell r="Q842">
            <v>9.8336414048059151</v>
          </cell>
          <cell r="T842">
            <v>3.2638888888888891E-2</v>
          </cell>
          <cell r="U842">
            <v>1.1548611111111111</v>
          </cell>
          <cell r="V842">
            <v>59</v>
          </cell>
          <cell r="Z842">
            <v>0.26944444444444449</v>
          </cell>
          <cell r="AF842">
            <v>50.7</v>
          </cell>
          <cell r="AG842">
            <v>12</v>
          </cell>
          <cell r="AI842">
            <v>50.5</v>
          </cell>
          <cell r="AU842">
            <v>98.86412470831138</v>
          </cell>
          <cell r="AV842">
            <v>99.433558846055647</v>
          </cell>
          <cell r="AX842" t="str">
            <v>K. Benjamin</v>
          </cell>
        </row>
        <row r="843">
          <cell r="A843" t="str">
            <v>CA793</v>
          </cell>
          <cell r="P843">
            <v>45</v>
          </cell>
          <cell r="Q843">
            <v>9.6487985212569285</v>
          </cell>
          <cell r="T843">
            <v>0.14652777777777778</v>
          </cell>
          <cell r="U843">
            <v>1.257638888888889</v>
          </cell>
          <cell r="V843">
            <v>56</v>
          </cell>
          <cell r="Z843">
            <v>0.26111111111111118</v>
          </cell>
          <cell r="AF843">
            <v>49.6</v>
          </cell>
          <cell r="AG843">
            <v>11.9</v>
          </cell>
          <cell r="AI843">
            <v>49.9</v>
          </cell>
          <cell r="AU843">
            <v>98.560315476775202</v>
          </cell>
          <cell r="AV843">
            <v>99.127999744702578</v>
          </cell>
          <cell r="AX843" t="str">
            <v>K. Benjamin</v>
          </cell>
        </row>
        <row r="844">
          <cell r="A844" t="str">
            <v>CA794</v>
          </cell>
          <cell r="P844">
            <v>60</v>
          </cell>
          <cell r="Q844">
            <v>7.2623574144486698</v>
          </cell>
          <cell r="T844">
            <v>0.24722222222222223</v>
          </cell>
          <cell r="U844">
            <v>0.37569444444444444</v>
          </cell>
          <cell r="V844">
            <v>61</v>
          </cell>
          <cell r="Z844">
            <v>0.26111111111111113</v>
          </cell>
          <cell r="AF844">
            <v>49.5</v>
          </cell>
          <cell r="AG844">
            <v>11.5</v>
          </cell>
          <cell r="AI844">
            <v>49.9</v>
          </cell>
          <cell r="AU844">
            <v>96.996745280353508</v>
          </cell>
          <cell r="AV844">
            <v>97.554857403307722</v>
          </cell>
          <cell r="AX844" t="str">
            <v>D. Gomaz</v>
          </cell>
        </row>
        <row r="845">
          <cell r="A845" t="str">
            <v>CA795</v>
          </cell>
          <cell r="P845">
            <v>60</v>
          </cell>
          <cell r="Q845">
            <v>14.111111111111107</v>
          </cell>
          <cell r="T845">
            <v>1.0111111111111111</v>
          </cell>
          <cell r="U845">
            <v>1.0847222222222221</v>
          </cell>
          <cell r="V845">
            <v>50</v>
          </cell>
          <cell r="Z845">
            <v>0.26527777777777772</v>
          </cell>
          <cell r="AF845">
            <v>47.1</v>
          </cell>
          <cell r="AG845">
            <v>11.6</v>
          </cell>
          <cell r="AI845">
            <v>48.4</v>
          </cell>
          <cell r="AU845">
            <v>92.769927391837356</v>
          </cell>
          <cell r="AV845">
            <v>93.599693643094199</v>
          </cell>
          <cell r="AX845" t="str">
            <v>R. Sookram</v>
          </cell>
        </row>
        <row r="846">
          <cell r="A846" t="str">
            <v>CA796</v>
          </cell>
          <cell r="P846">
            <v>62</v>
          </cell>
          <cell r="Q846">
            <v>7.2592592592592622</v>
          </cell>
          <cell r="T846">
            <v>1.1069444444444445</v>
          </cell>
          <cell r="U846">
            <v>1.1708333333333334</v>
          </cell>
          <cell r="V846">
            <v>54</v>
          </cell>
          <cell r="Z846">
            <v>0.21944444444444455</v>
          </cell>
          <cell r="AF846">
            <v>50.8</v>
          </cell>
          <cell r="AG846">
            <v>11.8</v>
          </cell>
          <cell r="AI846">
            <v>51.3</v>
          </cell>
          <cell r="AU846">
            <v>100.11329606139621</v>
          </cell>
          <cell r="AV846">
            <v>101.00874393668622</v>
          </cell>
          <cell r="AX846" t="str">
            <v>R. Sookram</v>
          </cell>
        </row>
        <row r="847">
          <cell r="A847" t="str">
            <v>CA797</v>
          </cell>
          <cell r="P847">
            <v>60</v>
          </cell>
          <cell r="Q847">
            <v>7.8148148148148131</v>
          </cell>
          <cell r="T847">
            <v>0.20347222222222222</v>
          </cell>
          <cell r="U847">
            <v>0.32569444444444445</v>
          </cell>
          <cell r="V847">
            <v>72</v>
          </cell>
          <cell r="Z847">
            <v>0.28402777777777777</v>
          </cell>
          <cell r="AF847">
            <v>50.5</v>
          </cell>
          <cell r="AG847">
            <v>11.9</v>
          </cell>
          <cell r="AI847">
            <v>50.8</v>
          </cell>
          <cell r="AU847">
            <v>100.02125487248973</v>
          </cell>
          <cell r="AV847">
            <v>100.91587949961705</v>
          </cell>
          <cell r="AX847" t="str">
            <v>K. Benjamin</v>
          </cell>
        </row>
        <row r="848">
          <cell r="A848" t="str">
            <v>CA798</v>
          </cell>
          <cell r="P848">
            <v>61</v>
          </cell>
          <cell r="Q848">
            <v>11.518518518518517</v>
          </cell>
          <cell r="T848">
            <v>0.30833333333333335</v>
          </cell>
          <cell r="U848">
            <v>0.43125000000000002</v>
          </cell>
          <cell r="V848">
            <v>60</v>
          </cell>
          <cell r="Z848">
            <v>0.29236111111111113</v>
          </cell>
          <cell r="AF848">
            <v>48.5</v>
          </cell>
          <cell r="AG848">
            <v>11.6</v>
          </cell>
          <cell r="AI848">
            <v>50.3</v>
          </cell>
          <cell r="AU848">
            <v>96.411722062178086</v>
          </cell>
          <cell r="AV848">
            <v>97.274061781976002</v>
          </cell>
          <cell r="AX848" t="str">
            <v>K. Benjamin</v>
          </cell>
        </row>
        <row r="849">
          <cell r="A849" t="str">
            <v>CA799</v>
          </cell>
          <cell r="P849">
            <v>59</v>
          </cell>
          <cell r="Q849">
            <v>12.05175600739372</v>
          </cell>
          <cell r="T849">
            <v>0.52986111111111112</v>
          </cell>
          <cell r="U849">
            <v>0.65416666666666667</v>
          </cell>
          <cell r="V849">
            <v>61</v>
          </cell>
          <cell r="Z849">
            <v>0.30347222222222225</v>
          </cell>
          <cell r="AF849">
            <v>48.3</v>
          </cell>
          <cell r="AG849">
            <v>11.6</v>
          </cell>
          <cell r="AI849">
            <v>49.8</v>
          </cell>
          <cell r="AU849">
            <v>95.453355043667358</v>
          </cell>
          <cell r="AV849">
            <v>96.307122798059723</v>
          </cell>
          <cell r="AX849" t="str">
            <v>D. Gomaz</v>
          </cell>
        </row>
        <row r="850">
          <cell r="A850" t="str">
            <v>CA800</v>
          </cell>
          <cell r="P850">
            <v>59</v>
          </cell>
          <cell r="Q850">
            <v>8.5397412199630267</v>
          </cell>
          <cell r="T850">
            <v>0.63958333333333328</v>
          </cell>
          <cell r="U850">
            <v>0.74861111111111112</v>
          </cell>
          <cell r="V850">
            <v>60</v>
          </cell>
          <cell r="Z850">
            <v>0.23819444444444449</v>
          </cell>
          <cell r="AF850">
            <v>51.8</v>
          </cell>
          <cell r="AG850">
            <v>11.7</v>
          </cell>
          <cell r="AI850">
            <v>52.6</v>
          </cell>
          <cell r="AU850">
            <v>106.22723482965104</v>
          </cell>
          <cell r="AV850">
            <v>107.17736788358437</v>
          </cell>
          <cell r="AX850" t="str">
            <v>R.Sookram</v>
          </cell>
        </row>
        <row r="851">
          <cell r="A851" t="str">
            <v>CA801</v>
          </cell>
          <cell r="P851">
            <v>60</v>
          </cell>
          <cell r="Q851">
            <v>11.312384473197778</v>
          </cell>
          <cell r="T851">
            <v>0.81666666666666665</v>
          </cell>
          <cell r="U851">
            <v>0.93819444444444444</v>
          </cell>
          <cell r="V851">
            <v>53</v>
          </cell>
          <cell r="Z851">
            <v>0.26111111111111107</v>
          </cell>
          <cell r="AF851">
            <v>48.7</v>
          </cell>
          <cell r="AG851">
            <v>11.9</v>
          </cell>
          <cell r="AI851">
            <v>48.3</v>
          </cell>
          <cell r="AU851">
            <v>95.098949022465632</v>
          </cell>
          <cell r="AV851">
            <v>95.949546847076832</v>
          </cell>
          <cell r="AX851" t="str">
            <v>R.Sookram</v>
          </cell>
        </row>
        <row r="852">
          <cell r="A852" t="str">
            <v>CA802</v>
          </cell>
          <cell r="P852">
            <v>67</v>
          </cell>
          <cell r="Q852">
            <v>13.900184842883553</v>
          </cell>
          <cell r="T852">
            <v>0.92152777777777772</v>
          </cell>
          <cell r="U852">
            <v>1.0347222222222223</v>
          </cell>
          <cell r="V852">
            <v>51</v>
          </cell>
          <cell r="Z852">
            <v>0.27430555555555569</v>
          </cell>
          <cell r="AF852">
            <v>47.3</v>
          </cell>
          <cell r="AG852">
            <v>11.8</v>
          </cell>
          <cell r="AI852">
            <v>49</v>
          </cell>
          <cell r="AU852">
            <v>95.624785711664998</v>
          </cell>
          <cell r="AV852">
            <v>96.480086801123292</v>
          </cell>
          <cell r="AX852" t="str">
            <v>R.Sookram</v>
          </cell>
        </row>
        <row r="853">
          <cell r="A853" t="str">
            <v>CA803</v>
          </cell>
          <cell r="P853">
            <v>61</v>
          </cell>
          <cell r="Q853">
            <v>14.481481481481481</v>
          </cell>
          <cell r="T853">
            <v>1.0222222222222221</v>
          </cell>
          <cell r="U853">
            <v>1.1409722222222223</v>
          </cell>
          <cell r="V853">
            <v>51</v>
          </cell>
          <cell r="Z853">
            <v>0.25902777777777786</v>
          </cell>
          <cell r="AF853">
            <v>46.9</v>
          </cell>
          <cell r="AG853">
            <v>12</v>
          </cell>
          <cell r="AI853">
            <v>48.9</v>
          </cell>
          <cell r="AU853">
            <v>97.130971765179197</v>
          </cell>
          <cell r="AV853">
            <v>97.999744702578496</v>
          </cell>
          <cell r="AX853" t="str">
            <v>R.Sookram</v>
          </cell>
        </row>
        <row r="854">
          <cell r="A854" t="str">
            <v>CA804</v>
          </cell>
          <cell r="P854">
            <v>60</v>
          </cell>
          <cell r="Q854">
            <v>8.5555555555555518</v>
          </cell>
          <cell r="T854">
            <v>0.10972222222222222</v>
          </cell>
          <cell r="U854">
            <v>1.2326388888888888</v>
          </cell>
          <cell r="V854">
            <v>53</v>
          </cell>
          <cell r="Z854">
            <v>0.26041666666666663</v>
          </cell>
          <cell r="AF854">
            <v>50.1</v>
          </cell>
          <cell r="AG854">
            <v>12</v>
          </cell>
          <cell r="AI854">
            <v>50.4</v>
          </cell>
          <cell r="AU854">
            <v>100.11044942668777</v>
          </cell>
          <cell r="AV854">
            <v>101.00587184069441</v>
          </cell>
          <cell r="AX854" t="str">
            <v>K.Benjamin</v>
          </cell>
        </row>
        <row r="855">
          <cell r="A855" t="str">
            <v>CA805</v>
          </cell>
          <cell r="P855">
            <v>61</v>
          </cell>
          <cell r="Q855">
            <v>5.5094339622641542</v>
          </cell>
          <cell r="T855">
            <v>0.19930555555555557</v>
          </cell>
          <cell r="U855">
            <v>0.31666666666666665</v>
          </cell>
          <cell r="V855">
            <v>57</v>
          </cell>
          <cell r="Z855">
            <v>0.26111111111111107</v>
          </cell>
          <cell r="AF855">
            <v>50.8</v>
          </cell>
          <cell r="AG855">
            <v>12</v>
          </cell>
          <cell r="AI855">
            <v>51.2</v>
          </cell>
          <cell r="AU855">
            <v>101.69950417949237</v>
          </cell>
          <cell r="AV855">
            <v>102.60913964768956</v>
          </cell>
          <cell r="AX855" t="str">
            <v>K.Benjamin</v>
          </cell>
        </row>
        <row r="856">
          <cell r="A856" t="str">
            <v>CA806</v>
          </cell>
          <cell r="P856">
            <v>62</v>
          </cell>
          <cell r="Q856">
            <v>5.3510436432637576</v>
          </cell>
          <cell r="T856">
            <v>0.29305555555555557</v>
          </cell>
          <cell r="U856">
            <v>0.41249999999999998</v>
          </cell>
          <cell r="V856">
            <v>64</v>
          </cell>
          <cell r="Z856">
            <v>0.2631944444444444</v>
          </cell>
          <cell r="AF856">
            <v>50.06</v>
          </cell>
          <cell r="AG856">
            <v>11.8</v>
          </cell>
          <cell r="AI856">
            <v>49.37</v>
          </cell>
          <cell r="AU856">
            <v>96.346850420100012</v>
          </cell>
          <cell r="AV856">
            <v>97.208609905539944</v>
          </cell>
          <cell r="AX856" t="str">
            <v>K.Benjamin</v>
          </cell>
        </row>
        <row r="857">
          <cell r="A857" t="str">
            <v>CA807</v>
          </cell>
          <cell r="P857">
            <v>90</v>
          </cell>
          <cell r="Q857">
            <v>6.4772727272727177</v>
          </cell>
          <cell r="T857">
            <v>0.39166666666666666</v>
          </cell>
          <cell r="U857">
            <v>0.50694444444444442</v>
          </cell>
          <cell r="V857">
            <v>63</v>
          </cell>
          <cell r="Z857">
            <v>0.27430555555555552</v>
          </cell>
          <cell r="AF857">
            <v>50.1</v>
          </cell>
          <cell r="AG857">
            <v>12</v>
          </cell>
          <cell r="AI857">
            <v>50.8</v>
          </cell>
          <cell r="AU857">
            <v>100.90497680309005</v>
          </cell>
          <cell r="AV857">
            <v>101.80750574419197</v>
          </cell>
          <cell r="AX857" t="str">
            <v>K.Benjamin</v>
          </cell>
        </row>
        <row r="858">
          <cell r="A858" t="str">
            <v>CA808</v>
          </cell>
          <cell r="P858">
            <v>60</v>
          </cell>
          <cell r="Q858">
            <v>5.1711026615969562</v>
          </cell>
          <cell r="T858">
            <v>0.48749999999999999</v>
          </cell>
          <cell r="U858">
            <v>0.60138888888888886</v>
          </cell>
          <cell r="V858">
            <v>64</v>
          </cell>
          <cell r="Z858">
            <v>0.27499999999999997</v>
          </cell>
          <cell r="AF858">
            <v>50.6</v>
          </cell>
          <cell r="AG858">
            <v>11.8</v>
          </cell>
          <cell r="AI858">
            <v>51.1</v>
          </cell>
          <cell r="AU858">
            <v>99.722990813593498</v>
          </cell>
          <cell r="AV858">
            <v>100.61494766402859</v>
          </cell>
          <cell r="AX858" t="str">
            <v>D. Gomaz</v>
          </cell>
        </row>
        <row r="859">
          <cell r="A859" t="str">
            <v>CA809</v>
          </cell>
          <cell r="P859">
            <v>60</v>
          </cell>
          <cell r="Q859">
            <v>5.7305502846299863</v>
          </cell>
          <cell r="T859">
            <v>0.58194444444444449</v>
          </cell>
          <cell r="U859">
            <v>0.70138888888888884</v>
          </cell>
          <cell r="V859">
            <v>68</v>
          </cell>
          <cell r="Z859">
            <v>0.27777777777777773</v>
          </cell>
          <cell r="AF859">
            <v>50.4</v>
          </cell>
          <cell r="AG859">
            <v>11.8</v>
          </cell>
          <cell r="AI859">
            <v>51.1</v>
          </cell>
          <cell r="AU859">
            <v>99.722990813593498</v>
          </cell>
          <cell r="AV859">
            <v>100.61494766402859</v>
          </cell>
          <cell r="AX859" t="str">
            <v>D. Gomaz</v>
          </cell>
        </row>
        <row r="860">
          <cell r="A860" t="str">
            <v>CA810</v>
          </cell>
          <cell r="P860">
            <v>59</v>
          </cell>
          <cell r="Q860">
            <v>6.4772727272727177</v>
          </cell>
          <cell r="T860">
            <v>0.67847222222222225</v>
          </cell>
          <cell r="U860">
            <v>0.80069444444444449</v>
          </cell>
          <cell r="V860">
            <v>60</v>
          </cell>
          <cell r="Z860">
            <v>0.27986111111111112</v>
          </cell>
          <cell r="AF860">
            <v>50.1</v>
          </cell>
          <cell r="AG860">
            <v>11.8</v>
          </cell>
          <cell r="AI860">
            <v>50.8</v>
          </cell>
          <cell r="AU860">
            <v>99.137532941889432</v>
          </cell>
          <cell r="AV860">
            <v>100.02425325504211</v>
          </cell>
          <cell r="AX860" t="str">
            <v>D. Gomaz</v>
          </cell>
        </row>
      </sheetData>
      <sheetData sheetId="6"/>
      <sheetData sheetId="7">
        <row r="727">
          <cell r="D727">
            <v>11.6</v>
          </cell>
        </row>
        <row r="728">
          <cell r="D728">
            <v>11.6</v>
          </cell>
        </row>
        <row r="729">
          <cell r="D729">
            <v>11.8</v>
          </cell>
        </row>
        <row r="730">
          <cell r="D730">
            <v>11.6</v>
          </cell>
        </row>
        <row r="731">
          <cell r="D731">
            <v>11.7</v>
          </cell>
        </row>
        <row r="732">
          <cell r="D732">
            <v>11.7</v>
          </cell>
        </row>
        <row r="733">
          <cell r="D733">
            <v>11.3</v>
          </cell>
        </row>
        <row r="734">
          <cell r="D734">
            <v>12.5</v>
          </cell>
        </row>
        <row r="755">
          <cell r="D755">
            <v>11.9</v>
          </cell>
        </row>
        <row r="756">
          <cell r="D756">
            <v>11.7</v>
          </cell>
        </row>
        <row r="757">
          <cell r="D757">
            <v>11.9</v>
          </cell>
        </row>
        <row r="758">
          <cell r="D758">
            <v>12</v>
          </cell>
        </row>
        <row r="759">
          <cell r="D759">
            <v>11.9</v>
          </cell>
        </row>
        <row r="760">
          <cell r="D760">
            <v>12</v>
          </cell>
        </row>
        <row r="761">
          <cell r="D761">
            <v>11.9</v>
          </cell>
        </row>
        <row r="762">
          <cell r="D762">
            <v>12</v>
          </cell>
        </row>
        <row r="765">
          <cell r="D765">
            <v>11.9</v>
          </cell>
        </row>
        <row r="766">
          <cell r="D766">
            <v>11.8</v>
          </cell>
        </row>
        <row r="767">
          <cell r="D767">
            <v>11.8</v>
          </cell>
        </row>
        <row r="768">
          <cell r="D768">
            <v>12</v>
          </cell>
        </row>
        <row r="769">
          <cell r="D769">
            <v>11.9</v>
          </cell>
        </row>
        <row r="770">
          <cell r="D770">
            <v>11.9</v>
          </cell>
        </row>
        <row r="771">
          <cell r="D771">
            <v>11.9</v>
          </cell>
        </row>
        <row r="772">
          <cell r="D772">
            <v>11.9</v>
          </cell>
        </row>
        <row r="773">
          <cell r="D773">
            <v>11.9</v>
          </cell>
        </row>
        <row r="774">
          <cell r="D774">
            <v>11.9</v>
          </cell>
        </row>
        <row r="779">
          <cell r="D779">
            <v>11.8</v>
          </cell>
        </row>
        <row r="780">
          <cell r="D780">
            <v>11.8</v>
          </cell>
        </row>
        <row r="781">
          <cell r="D781">
            <v>11.9</v>
          </cell>
        </row>
        <row r="782">
          <cell r="D782">
            <v>11.8</v>
          </cell>
        </row>
        <row r="783">
          <cell r="D783">
            <v>11.8</v>
          </cell>
        </row>
        <row r="784">
          <cell r="D784">
            <v>11.9</v>
          </cell>
        </row>
        <row r="792">
          <cell r="D792">
            <v>11.8</v>
          </cell>
        </row>
        <row r="793">
          <cell r="D793">
            <v>11.9</v>
          </cell>
        </row>
        <row r="794">
          <cell r="D794">
            <v>11.8</v>
          </cell>
        </row>
        <row r="795">
          <cell r="D795">
            <v>11.6</v>
          </cell>
        </row>
        <row r="796">
          <cell r="D796">
            <v>11.7</v>
          </cell>
        </row>
        <row r="797">
          <cell r="D797">
            <v>11.7</v>
          </cell>
        </row>
        <row r="798">
          <cell r="D798">
            <v>11.6</v>
          </cell>
        </row>
        <row r="799">
          <cell r="D799">
            <v>11.8</v>
          </cell>
        </row>
        <row r="806">
          <cell r="D806">
            <v>11.8</v>
          </cell>
        </row>
        <row r="807">
          <cell r="D807">
            <v>12</v>
          </cell>
        </row>
        <row r="808">
          <cell r="D808">
            <v>11.9</v>
          </cell>
        </row>
        <row r="809">
          <cell r="D809">
            <v>11.6</v>
          </cell>
        </row>
        <row r="810">
          <cell r="D810">
            <v>11.8</v>
          </cell>
        </row>
        <row r="811">
          <cell r="D811">
            <v>11.6</v>
          </cell>
        </row>
        <row r="816">
          <cell r="D816">
            <v>11.7</v>
          </cell>
        </row>
        <row r="817">
          <cell r="D817">
            <v>12</v>
          </cell>
        </row>
        <row r="818">
          <cell r="D818">
            <v>11.8</v>
          </cell>
        </row>
        <row r="819">
          <cell r="D819">
            <v>11.7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September '26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S327">
            <v>94.796610655110641</v>
          </cell>
        </row>
        <row r="328">
          <cell r="AS328">
            <v>98.314396537543004</v>
          </cell>
        </row>
        <row r="329">
          <cell r="AS329">
            <v>99.784866605770077</v>
          </cell>
        </row>
        <row r="330">
          <cell r="AS330">
            <v>100.33853534489856</v>
          </cell>
        </row>
        <row r="331">
          <cell r="AS331">
            <v>102.03438257870683</v>
          </cell>
        </row>
        <row r="332">
          <cell r="AS332">
            <v>99.155232444155033</v>
          </cell>
        </row>
        <row r="333">
          <cell r="AS333">
            <v>97.692816245651542</v>
          </cell>
        </row>
        <row r="334">
          <cell r="AS334">
            <v>99.929502656617558</v>
          </cell>
        </row>
        <row r="335">
          <cell r="AS335">
            <v>102.31885501216071</v>
          </cell>
        </row>
        <row r="336">
          <cell r="AS336">
            <v>99.652790566766143</v>
          </cell>
        </row>
        <row r="337">
          <cell r="AS337">
            <v>99.055898699447013</v>
          </cell>
        </row>
        <row r="338">
          <cell r="AS338">
            <v>98.745714949083094</v>
          </cell>
        </row>
        <row r="339">
          <cell r="AS339">
            <v>100.05112865724453</v>
          </cell>
        </row>
        <row r="340">
          <cell r="AS340">
            <v>99.219837183704257</v>
          </cell>
        </row>
        <row r="341">
          <cell r="AS341">
            <v>99.219837183704257</v>
          </cell>
        </row>
        <row r="342">
          <cell r="AS342">
            <v>99.323329633525859</v>
          </cell>
        </row>
        <row r="343">
          <cell r="AS343">
            <v>99.650122129560188</v>
          </cell>
        </row>
        <row r="344">
          <cell r="AS344">
            <v>96.130188550895028</v>
          </cell>
        </row>
        <row r="345">
          <cell r="AS345">
            <v>98.643672179069668</v>
          </cell>
        </row>
        <row r="346">
          <cell r="AS346">
            <v>97.544184434340778</v>
          </cell>
        </row>
        <row r="347">
          <cell r="AS347">
            <v>99.527904357748554</v>
          </cell>
        </row>
        <row r="348">
          <cell r="AS348">
            <v>100.13077318075212</v>
          </cell>
        </row>
        <row r="349">
          <cell r="AS349">
            <v>97.985529268351812</v>
          </cell>
        </row>
        <row r="350">
          <cell r="AS350">
            <v>101.05077690934993</v>
          </cell>
        </row>
        <row r="351">
          <cell r="AS351">
            <v>99.656323436956768</v>
          </cell>
        </row>
        <row r="352">
          <cell r="AS352">
            <v>105.3788158697007</v>
          </cell>
        </row>
        <row r="353">
          <cell r="AS353">
            <v>102.40349309246177</v>
          </cell>
        </row>
        <row r="354">
          <cell r="AS354">
            <v>96.049611913783252</v>
          </cell>
        </row>
        <row r="355">
          <cell r="AS355">
            <v>96.944463047798635</v>
          </cell>
        </row>
        <row r="356">
          <cell r="AS356">
            <v>98.909854486474273</v>
          </cell>
        </row>
        <row r="357">
          <cell r="AS357">
            <v>99.18039986493666</v>
          </cell>
        </row>
        <row r="358">
          <cell r="AS358">
            <v>98.266162409828908</v>
          </cell>
        </row>
        <row r="359">
          <cell r="AS359">
            <v>99.615522882404434</v>
          </cell>
        </row>
        <row r="360">
          <cell r="AS360">
            <v>100.62326379755295</v>
          </cell>
        </row>
        <row r="361">
          <cell r="AS361">
            <v>97.422783496499648</v>
          </cell>
        </row>
        <row r="363">
          <cell r="AS363">
            <v>96.072468702631554</v>
          </cell>
        </row>
        <row r="364">
          <cell r="AS364">
            <v>98.269552186475522</v>
          </cell>
        </row>
        <row r="365">
          <cell r="AS365">
            <v>99.989796775773399</v>
          </cell>
        </row>
        <row r="366">
          <cell r="AS366">
            <v>99.103260744156756</v>
          </cell>
        </row>
        <row r="367">
          <cell r="AS367">
            <v>99.933359063716594</v>
          </cell>
        </row>
        <row r="368">
          <cell r="AS368">
            <v>103.33714761585293</v>
          </cell>
        </row>
        <row r="369">
          <cell r="AS369">
            <v>103.81878537188666</v>
          </cell>
        </row>
        <row r="370">
          <cell r="AS370">
            <v>101.75531402615744</v>
          </cell>
        </row>
        <row r="371">
          <cell r="AS371">
            <v>99.050413722591401</v>
          </cell>
        </row>
        <row r="372">
          <cell r="AS372">
            <v>103.67708915402727</v>
          </cell>
        </row>
        <row r="373">
          <cell r="AS373">
            <v>92.207251912768385</v>
          </cell>
        </row>
        <row r="374">
          <cell r="AS374">
            <v>98.768973008259692</v>
          </cell>
        </row>
        <row r="375">
          <cell r="AS375">
            <v>99.2105296845954</v>
          </cell>
        </row>
        <row r="376">
          <cell r="AS376">
            <v>99.662586818553194</v>
          </cell>
        </row>
        <row r="377">
          <cell r="AS377">
            <v>99.814541571057831</v>
          </cell>
        </row>
        <row r="378">
          <cell r="AS378">
            <v>100.1578324034637</v>
          </cell>
        </row>
        <row r="379">
          <cell r="AS379">
            <v>92.812355369132575</v>
          </cell>
        </row>
        <row r="380">
          <cell r="AS380">
            <v>98.630536608448594</v>
          </cell>
        </row>
        <row r="381">
          <cell r="AS381">
            <v>96.842013247113243</v>
          </cell>
        </row>
        <row r="382">
          <cell r="AS382">
            <v>96.205080152594675</v>
          </cell>
        </row>
        <row r="383">
          <cell r="AS383">
            <v>100.7558906165406</v>
          </cell>
        </row>
        <row r="384">
          <cell r="AS384">
            <v>100.40312538745988</v>
          </cell>
        </row>
        <row r="385">
          <cell r="AS385">
            <v>100.52504411165808</v>
          </cell>
        </row>
        <row r="386">
          <cell r="AS386">
            <v>102.38526134694594</v>
          </cell>
        </row>
        <row r="387">
          <cell r="AS387">
            <v>100.3442123348951</v>
          </cell>
        </row>
        <row r="388">
          <cell r="AS388">
            <v>100.78585591212124</v>
          </cell>
        </row>
        <row r="390">
          <cell r="A390" t="str">
            <v>ST331</v>
          </cell>
          <cell r="P390">
            <v>57</v>
          </cell>
          <cell r="Q390">
            <v>11.064030131826742</v>
          </cell>
          <cell r="T390">
            <v>0.32916666666666666</v>
          </cell>
          <cell r="U390">
            <v>0.45347222222222222</v>
          </cell>
          <cell r="V390">
            <v>65</v>
          </cell>
          <cell r="AB390">
            <v>53.1</v>
          </cell>
          <cell r="AE390">
            <v>11.9</v>
          </cell>
          <cell r="AG390">
            <v>49.3</v>
          </cell>
          <cell r="AS390">
            <v>98.847023873347482</v>
          </cell>
          <cell r="AT390">
            <v>99.485547628646145</v>
          </cell>
          <cell r="AV390" t="str">
            <v>R. Regis</v>
          </cell>
          <cell r="AW390">
            <v>0.26597222222222222</v>
          </cell>
        </row>
        <row r="391">
          <cell r="A391" t="str">
            <v>ST332</v>
          </cell>
          <cell r="P391">
            <v>57</v>
          </cell>
          <cell r="Q391">
            <v>8.9924670433144982</v>
          </cell>
          <cell r="T391">
            <v>0.43194444444444446</v>
          </cell>
          <cell r="U391">
            <v>0.54583333333333328</v>
          </cell>
          <cell r="V391">
            <v>60</v>
          </cell>
          <cell r="AB391">
            <v>53.1</v>
          </cell>
          <cell r="AE391">
            <v>11.7</v>
          </cell>
          <cell r="AG391">
            <v>50.4</v>
          </cell>
          <cell r="AS391">
            <v>99.266868267130036</v>
          </cell>
          <cell r="AT391">
            <v>99.908104098204518</v>
          </cell>
          <cell r="AV391" t="str">
            <v>R. Regis</v>
          </cell>
          <cell r="AW391">
            <v>0.26111111111111107</v>
          </cell>
        </row>
        <row r="392">
          <cell r="A392" t="str">
            <v>ST333</v>
          </cell>
          <cell r="P392">
            <v>58</v>
          </cell>
          <cell r="Q392">
            <v>11.983082706766917</v>
          </cell>
          <cell r="T392">
            <v>0.71458333333333335</v>
          </cell>
          <cell r="U392">
            <v>0.82638888888888884</v>
          </cell>
          <cell r="V392">
            <v>61</v>
          </cell>
          <cell r="AB392">
            <v>53.2</v>
          </cell>
          <cell r="AE392">
            <v>11.6</v>
          </cell>
          <cell r="AG392">
            <v>49.7</v>
          </cell>
          <cell r="AS392">
            <v>96.764214336728287</v>
          </cell>
          <cell r="AT392">
            <v>97.389696666641669</v>
          </cell>
          <cell r="AV392" t="str">
            <v>R.Sookram</v>
          </cell>
          <cell r="AW392">
            <v>0.27777777777777768</v>
          </cell>
        </row>
        <row r="393">
          <cell r="A393" t="str">
            <v>ST334</v>
          </cell>
          <cell r="P393">
            <v>58</v>
          </cell>
          <cell r="Q393">
            <v>10.896226415094338</v>
          </cell>
          <cell r="T393">
            <v>0.80763888888888891</v>
          </cell>
          <cell r="U393">
            <v>0.92152777777777772</v>
          </cell>
          <cell r="V393">
            <v>61</v>
          </cell>
          <cell r="AB393">
            <v>53</v>
          </cell>
          <cell r="AE393">
            <v>11.9</v>
          </cell>
          <cell r="AG393">
            <v>49.7</v>
          </cell>
          <cell r="AS393">
            <v>98.288600505062334</v>
          </cell>
          <cell r="AT393">
            <v>98.925798193130305</v>
          </cell>
          <cell r="AV393" t="str">
            <v>R.Sookram</v>
          </cell>
          <cell r="AW393">
            <v>0.28263888888888888</v>
          </cell>
        </row>
        <row r="394">
          <cell r="A394" t="str">
            <v>ST335</v>
          </cell>
          <cell r="P394">
            <v>59</v>
          </cell>
          <cell r="Q394">
            <v>10.875706214689263</v>
          </cell>
          <cell r="T394">
            <v>0.90416666666666667</v>
          </cell>
          <cell r="U394">
            <v>1.0215277777777778</v>
          </cell>
          <cell r="V394">
            <v>55</v>
          </cell>
          <cell r="AB394">
            <v>53.1</v>
          </cell>
          <cell r="AE394">
            <v>11.8</v>
          </cell>
          <cell r="AG394">
            <v>48.7</v>
          </cell>
          <cell r="AS394">
            <v>97.025470988738689</v>
          </cell>
          <cell r="AT394">
            <v>97.651811894321455</v>
          </cell>
          <cell r="AV394" t="str">
            <v>R.Sookram</v>
          </cell>
          <cell r="AW394">
            <v>0.29236111111111118</v>
          </cell>
        </row>
        <row r="395">
          <cell r="A395" t="str">
            <v>ST336</v>
          </cell>
          <cell r="P395">
            <v>60</v>
          </cell>
          <cell r="Q395">
            <v>9.3867924528301909</v>
          </cell>
          <cell r="T395">
            <v>1.0062500000000001</v>
          </cell>
          <cell r="U395">
            <v>1.1208333333333333</v>
          </cell>
          <cell r="V395">
            <v>59</v>
          </cell>
          <cell r="AB395">
            <v>53</v>
          </cell>
          <cell r="AE395">
            <v>11.8</v>
          </cell>
          <cell r="AG395">
            <v>49.2</v>
          </cell>
          <cell r="AS395">
            <v>97.898131022692681</v>
          </cell>
          <cell r="AT395">
            <v>98.530315524604035</v>
          </cell>
          <cell r="AV395" t="str">
            <v>R.Sookram</v>
          </cell>
          <cell r="AW395">
            <v>0.28749999999999998</v>
          </cell>
        </row>
        <row r="396">
          <cell r="A396" t="str">
            <v>ST337</v>
          </cell>
          <cell r="P396">
            <v>60</v>
          </cell>
          <cell r="Q396">
            <v>9.3867924528301909</v>
          </cell>
          <cell r="T396">
            <v>1.1159722222222221</v>
          </cell>
          <cell r="U396">
            <v>1.2534722222222223</v>
          </cell>
          <cell r="V396">
            <v>59</v>
          </cell>
          <cell r="AB396">
            <v>53</v>
          </cell>
          <cell r="AE396">
            <v>11.7</v>
          </cell>
          <cell r="AG396">
            <v>49.1</v>
          </cell>
          <cell r="AS396">
            <v>96.950396118265601</v>
          </cell>
          <cell r="AT396">
            <v>97.57625238345571</v>
          </cell>
          <cell r="AV396" t="str">
            <v>R.Sookram</v>
          </cell>
          <cell r="AW396">
            <v>0.30208333333333348</v>
          </cell>
        </row>
        <row r="397">
          <cell r="A397" t="str">
            <v>ST338</v>
          </cell>
          <cell r="P397">
            <v>60</v>
          </cell>
          <cell r="Q397">
            <v>10.518867924528294</v>
          </cell>
          <cell r="T397">
            <v>0.24930555555555556</v>
          </cell>
          <cell r="U397">
            <v>0.36527777777777776</v>
          </cell>
          <cell r="V397">
            <v>60</v>
          </cell>
          <cell r="AB397">
            <v>53</v>
          </cell>
          <cell r="AE397">
            <v>11.6</v>
          </cell>
          <cell r="AG397">
            <v>48.8</v>
          </cell>
          <cell r="AS397">
            <v>95.039326872899267</v>
          </cell>
          <cell r="AT397">
            <v>95.746071658420689</v>
          </cell>
          <cell r="AV397" t="str">
            <v>K. Benjamin</v>
          </cell>
          <cell r="AW397">
            <v>0.30277777777777776</v>
          </cell>
        </row>
        <row r="398">
          <cell r="A398" t="str">
            <v>ST339</v>
          </cell>
          <cell r="P398">
            <v>61</v>
          </cell>
          <cell r="Q398">
            <v>10.499058380414318</v>
          </cell>
          <cell r="T398">
            <v>0.41597222222222224</v>
          </cell>
          <cell r="U398">
            <v>0.54027777777777775</v>
          </cell>
          <cell r="V398">
            <v>62</v>
          </cell>
          <cell r="AB398">
            <v>53.1</v>
          </cell>
          <cell r="AE398">
            <v>12</v>
          </cell>
          <cell r="AG398">
            <v>50.4</v>
          </cell>
          <cell r="AS398">
            <v>101.84679039354425</v>
          </cell>
          <cell r="AT398">
            <v>102.60390739766547</v>
          </cell>
          <cell r="AV398" t="str">
            <v>K. Benjamin</v>
          </cell>
          <cell r="AW398">
            <v>0.29027777777777775</v>
          </cell>
        </row>
        <row r="399">
          <cell r="A399" t="str">
            <v>ST340</v>
          </cell>
          <cell r="P399">
            <v>61</v>
          </cell>
          <cell r="Q399">
            <v>12.758945386064028</v>
          </cell>
          <cell r="T399">
            <v>0.53055555555555556</v>
          </cell>
          <cell r="U399">
            <v>0.65416666666666667</v>
          </cell>
          <cell r="V399">
            <v>69</v>
          </cell>
          <cell r="AB399">
            <v>53.1</v>
          </cell>
          <cell r="AE399">
            <v>11.6</v>
          </cell>
          <cell r="AG399">
            <v>48.6</v>
          </cell>
          <cell r="AS399">
            <v>94.176294457189954</v>
          </cell>
          <cell r="AT399">
            <v>94.877541814883955</v>
          </cell>
          <cell r="AV399" t="str">
            <v>D.Gomaz</v>
          </cell>
          <cell r="AW399">
            <v>0.27569444444444446</v>
          </cell>
        </row>
        <row r="400">
          <cell r="A400" t="str">
            <v>ST341</v>
          </cell>
          <cell r="P400">
            <v>58</v>
          </cell>
          <cell r="Q400">
            <v>9.7457627118644012</v>
          </cell>
          <cell r="T400">
            <v>0.63124999999999998</v>
          </cell>
          <cell r="U400">
            <v>0.74791666666666667</v>
          </cell>
          <cell r="V400">
            <v>64</v>
          </cell>
          <cell r="AB400">
            <v>53.1</v>
          </cell>
          <cell r="AE400">
            <v>11.8</v>
          </cell>
          <cell r="AG400">
            <v>50.4</v>
          </cell>
          <cell r="AS400">
            <v>99.686452242871411</v>
          </cell>
          <cell r="AT400">
            <v>100.42824296627992</v>
          </cell>
          <cell r="AV400" t="str">
            <v>D.Gomaz</v>
          </cell>
          <cell r="AW400">
            <v>0.26527777777777778</v>
          </cell>
        </row>
        <row r="401">
          <cell r="A401" t="str">
            <v>ST342</v>
          </cell>
          <cell r="P401">
            <v>63</v>
          </cell>
          <cell r="Q401">
            <v>10.12241054613936</v>
          </cell>
          <cell r="T401">
            <v>0.72777777777777775</v>
          </cell>
          <cell r="U401">
            <v>0.84236111111111112</v>
          </cell>
          <cell r="V401">
            <v>59</v>
          </cell>
          <cell r="AB401">
            <v>53.1</v>
          </cell>
          <cell r="AE401">
            <v>12</v>
          </cell>
          <cell r="AG401">
            <v>49.7</v>
          </cell>
          <cell r="AS401">
            <v>100.05446453730306</v>
          </cell>
          <cell r="AT401">
            <v>100.798993728176</v>
          </cell>
          <cell r="AV401" t="str">
            <v>D.Gomaz</v>
          </cell>
          <cell r="AW401">
            <v>0.25902777777777775</v>
          </cell>
        </row>
        <row r="402">
          <cell r="A402" t="str">
            <v>ST343</v>
          </cell>
          <cell r="P402">
            <v>58</v>
          </cell>
          <cell r="Q402">
            <v>9.5574387947269361</v>
          </cell>
          <cell r="T402">
            <v>0.83888888888888891</v>
          </cell>
          <cell r="U402">
            <v>0.94861111111111107</v>
          </cell>
          <cell r="V402">
            <v>60</v>
          </cell>
          <cell r="AB402">
            <v>53.1</v>
          </cell>
          <cell r="AE402">
            <v>11.7</v>
          </cell>
          <cell r="AG402">
            <v>49.2</v>
          </cell>
          <cell r="AS402">
            <v>97.299514644052692</v>
          </cell>
          <cell r="AT402">
            <v>98.021864827060583</v>
          </cell>
          <cell r="AV402" t="str">
            <v>R.Sookram</v>
          </cell>
          <cell r="AW402">
            <v>0.26111111111111107</v>
          </cell>
        </row>
        <row r="403">
          <cell r="A403" t="str">
            <v>ST344</v>
          </cell>
          <cell r="P403">
            <v>58</v>
          </cell>
          <cell r="Q403">
            <v>10.310734463276837</v>
          </cell>
          <cell r="T403">
            <v>0.94166666666666665</v>
          </cell>
          <cell r="U403">
            <v>1.0631944444444446</v>
          </cell>
          <cell r="V403">
            <v>57</v>
          </cell>
          <cell r="AB403">
            <v>53.1</v>
          </cell>
          <cell r="AE403">
            <v>11.7</v>
          </cell>
          <cell r="AG403">
            <v>49.1</v>
          </cell>
          <cell r="AS403">
            <v>96.73465116514339</v>
          </cell>
          <cell r="AT403">
            <v>97.453526703291658</v>
          </cell>
          <cell r="AV403" t="str">
            <v>R.Sookram</v>
          </cell>
          <cell r="AW403">
            <v>0.27847222222222234</v>
          </cell>
        </row>
        <row r="404">
          <cell r="A404" t="str">
            <v>ST345</v>
          </cell>
          <cell r="P404">
            <v>60</v>
          </cell>
          <cell r="Q404">
            <v>10.12241054613936</v>
          </cell>
          <cell r="T404">
            <v>0.35416666666666669</v>
          </cell>
          <cell r="U404">
            <v>0.46875</v>
          </cell>
          <cell r="V404">
            <v>59</v>
          </cell>
          <cell r="AB404">
            <v>53.1</v>
          </cell>
          <cell r="AE404">
            <v>11.9</v>
          </cell>
          <cell r="AG404">
            <v>49</v>
          </cell>
          <cell r="AS404">
            <v>97.904074452866993</v>
          </cell>
          <cell r="AT404">
            <v>98.632362577253517</v>
          </cell>
          <cell r="AV404" t="str">
            <v>K. Benjamin</v>
          </cell>
          <cell r="AW404">
            <v>0.26041666666666663</v>
          </cell>
        </row>
        <row r="405">
          <cell r="A405" t="str">
            <v>ST346</v>
          </cell>
          <cell r="P405">
            <v>60</v>
          </cell>
          <cell r="Q405">
            <v>8.6158192090395538</v>
          </cell>
          <cell r="T405">
            <v>0.46388888888888891</v>
          </cell>
          <cell r="U405">
            <v>0.5756944444444444</v>
          </cell>
          <cell r="V405">
            <v>59</v>
          </cell>
          <cell r="AB405">
            <v>53.1</v>
          </cell>
          <cell r="AE405">
            <v>11.7</v>
          </cell>
          <cell r="AG405">
            <v>50.1</v>
          </cell>
          <cell r="AS405">
            <v>97.964086278322426</v>
          </cell>
          <cell r="AT405">
            <v>98.693537963032824</v>
          </cell>
          <cell r="AV405" t="str">
            <v>D.Gomaz</v>
          </cell>
          <cell r="AW405">
            <v>0.25624999999999998</v>
          </cell>
        </row>
        <row r="406">
          <cell r="A406" t="str">
            <v>ST347</v>
          </cell>
          <cell r="P406">
            <v>59</v>
          </cell>
          <cell r="Q406">
            <v>10.357142857142849</v>
          </cell>
          <cell r="T406">
            <v>0.19097222222222221</v>
          </cell>
          <cell r="U406">
            <v>0.32777777777777778</v>
          </cell>
          <cell r="V406">
            <v>53</v>
          </cell>
          <cell r="AB406">
            <v>49</v>
          </cell>
          <cell r="AE406">
            <v>11.6</v>
          </cell>
          <cell r="AG406">
            <v>45.8</v>
          </cell>
          <cell r="AS406">
            <v>95.286967895266628</v>
          </cell>
          <cell r="AT406">
            <v>95.739220420834755</v>
          </cell>
          <cell r="AV406" t="str">
            <v>R.Sookram</v>
          </cell>
          <cell r="AW406">
            <v>0.28611111111111109</v>
          </cell>
        </row>
        <row r="407">
          <cell r="A407" t="str">
            <v>ST348</v>
          </cell>
          <cell r="P407">
            <v>59</v>
          </cell>
          <cell r="Q407">
            <v>11.440677966101701</v>
          </cell>
          <cell r="T407">
            <v>0.97777777777777775</v>
          </cell>
          <cell r="U407">
            <v>1.1000000000000001</v>
          </cell>
          <cell r="V407">
            <v>59</v>
          </cell>
          <cell r="AB407">
            <v>53.1</v>
          </cell>
          <cell r="AE407">
            <v>11.6</v>
          </cell>
          <cell r="AG407">
            <v>47.3</v>
          </cell>
          <cell r="AS407">
            <v>93.170349872577006</v>
          </cell>
          <cell r="AT407">
            <v>93.619008736833493</v>
          </cell>
          <cell r="AV407" t="str">
            <v>D.Gomaz</v>
          </cell>
          <cell r="AW407">
            <v>0.28055555555555567</v>
          </cell>
        </row>
        <row r="408">
          <cell r="A408" t="str">
            <v>ST349</v>
          </cell>
          <cell r="P408">
            <v>60</v>
          </cell>
          <cell r="Q408">
            <v>10.499058380414318</v>
          </cell>
          <cell r="T408">
            <v>1.0874999999999999</v>
          </cell>
          <cell r="U408">
            <v>1.20625</v>
          </cell>
          <cell r="V408">
            <v>57</v>
          </cell>
          <cell r="AB408">
            <v>53.1</v>
          </cell>
          <cell r="AE408">
            <v>11.8</v>
          </cell>
          <cell r="AG408">
            <v>48.7</v>
          </cell>
          <cell r="AS408">
            <v>96.447153396190089</v>
          </cell>
          <cell r="AT408">
            <v>96.913078535720061</v>
          </cell>
          <cell r="AV408" t="str">
            <v>D.Gomaz</v>
          </cell>
          <cell r="AW408">
            <v>0.28263888888888888</v>
          </cell>
        </row>
        <row r="409">
          <cell r="A409" t="str">
            <v>ST350</v>
          </cell>
          <cell r="P409">
            <v>84</v>
          </cell>
          <cell r="Q409">
            <v>12.193973634651604</v>
          </cell>
          <cell r="T409">
            <v>1.1916666666666667</v>
          </cell>
          <cell r="U409">
            <v>1.3159722222222223</v>
          </cell>
          <cell r="V409">
            <v>55</v>
          </cell>
          <cell r="AB409">
            <v>53.1</v>
          </cell>
          <cell r="AE409">
            <v>11.6</v>
          </cell>
          <cell r="AG409">
            <v>47.6</v>
          </cell>
          <cell r="AS409">
            <v>93.406197783718596</v>
          </cell>
          <cell r="AT409">
            <v>93.856428193760948</v>
          </cell>
          <cell r="AV409" t="str">
            <v>R.Sookram</v>
          </cell>
          <cell r="AW409">
            <v>0.28819444444444464</v>
          </cell>
        </row>
        <row r="410">
          <cell r="A410" t="str">
            <v>ST351</v>
          </cell>
          <cell r="P410">
            <v>62</v>
          </cell>
          <cell r="Q410">
            <v>10.518867924528294</v>
          </cell>
          <cell r="T410">
            <v>0.45833333333333331</v>
          </cell>
          <cell r="U410">
            <v>0.5708333333333333</v>
          </cell>
          <cell r="V410">
            <v>55</v>
          </cell>
          <cell r="AB410">
            <v>53</v>
          </cell>
          <cell r="AE410">
            <v>12</v>
          </cell>
          <cell r="AG410">
            <v>48.5</v>
          </cell>
          <cell r="AS410">
            <v>98.877019621072932</v>
          </cell>
          <cell r="AT410">
            <v>99.353312945973499</v>
          </cell>
          <cell r="AV410" t="str">
            <v>K. Benjamin</v>
          </cell>
          <cell r="AW410">
            <v>0.26527777777777772</v>
          </cell>
        </row>
        <row r="411">
          <cell r="A411" t="str">
            <v>ST352</v>
          </cell>
          <cell r="P411">
            <v>60</v>
          </cell>
          <cell r="Q411">
            <v>10.141509433962264</v>
          </cell>
          <cell r="T411">
            <v>0.56319444444444444</v>
          </cell>
          <cell r="U411">
            <v>0.69513888888888886</v>
          </cell>
          <cell r="V411">
            <v>60</v>
          </cell>
          <cell r="AB411">
            <v>53</v>
          </cell>
          <cell r="AE411">
            <v>11.7</v>
          </cell>
          <cell r="AG411">
            <v>48.7</v>
          </cell>
          <cell r="AS411">
            <v>96.553968078702184</v>
          </cell>
          <cell r="AT411">
            <v>97.019221371558871</v>
          </cell>
          <cell r="AV411" t="str">
            <v>K. Benjamin</v>
          </cell>
          <cell r="AW411">
            <v>0.29236111111111107</v>
          </cell>
        </row>
        <row r="412">
          <cell r="A412" t="str">
            <v>ST353</v>
          </cell>
          <cell r="P412">
            <v>62</v>
          </cell>
          <cell r="Q412">
            <v>8.2547169811320753</v>
          </cell>
          <cell r="T412">
            <v>0.68402777777777779</v>
          </cell>
          <cell r="U412">
            <v>0.80069444444444449</v>
          </cell>
          <cell r="V412">
            <v>59</v>
          </cell>
          <cell r="AB412">
            <v>53</v>
          </cell>
          <cell r="AE412">
            <v>11.6</v>
          </cell>
          <cell r="AG412">
            <v>49.6</v>
          </cell>
          <cell r="AS412">
            <v>97.57718513895729</v>
          </cell>
          <cell r="AT412">
            <v>98.047217125382247</v>
          </cell>
          <cell r="AV412" t="str">
            <v>K. Benjamin</v>
          </cell>
          <cell r="AW412">
            <v>0.30069444444444449</v>
          </cell>
        </row>
        <row r="413">
          <cell r="A413" t="str">
            <v>ST354</v>
          </cell>
          <cell r="P413">
            <v>61</v>
          </cell>
          <cell r="Q413">
            <v>8.4433962264150964</v>
          </cell>
          <cell r="T413">
            <v>0.79027777777777775</v>
          </cell>
          <cell r="U413">
            <v>0.90625</v>
          </cell>
          <cell r="V413">
            <v>57</v>
          </cell>
          <cell r="AB413">
            <v>53</v>
          </cell>
          <cell r="AE413">
            <v>11.7</v>
          </cell>
          <cell r="AG413">
            <v>49.6</v>
          </cell>
          <cell r="AS413">
            <v>98.214193542838373</v>
          </cell>
          <cell r="AT413">
            <v>98.68759913775574</v>
          </cell>
          <cell r="AV413" t="str">
            <v>K. Benjamin</v>
          </cell>
          <cell r="AW413">
            <v>0.30902777777777779</v>
          </cell>
        </row>
        <row r="414">
          <cell r="A414" t="str">
            <v>ST355</v>
          </cell>
          <cell r="P414">
            <v>60</v>
          </cell>
          <cell r="Q414">
            <v>8.4433962264150964</v>
          </cell>
          <cell r="T414">
            <v>0.9</v>
          </cell>
          <cell r="U414">
            <v>1.0125</v>
          </cell>
          <cell r="V414">
            <v>57</v>
          </cell>
          <cell r="AB414">
            <v>53</v>
          </cell>
          <cell r="AE414">
            <v>11.6</v>
          </cell>
          <cell r="AG414">
            <v>49.6</v>
          </cell>
          <cell r="AS414">
            <v>97.208115247656366</v>
          </cell>
          <cell r="AT414">
            <v>97.676821837679725</v>
          </cell>
          <cell r="AV414" t="str">
            <v>D.Gomaz</v>
          </cell>
          <cell r="AW414">
            <v>0.31458333333333333</v>
          </cell>
        </row>
        <row r="415">
          <cell r="A415" t="str">
            <v>ST356</v>
          </cell>
          <cell r="P415">
            <v>58</v>
          </cell>
          <cell r="Q415">
            <v>8.2547169811320753</v>
          </cell>
          <cell r="T415">
            <v>1.0118055555555556</v>
          </cell>
          <cell r="U415">
            <v>1.1465277777777778</v>
          </cell>
          <cell r="V415">
            <v>86</v>
          </cell>
          <cell r="AB415">
            <v>53</v>
          </cell>
          <cell r="AE415">
            <v>11.7</v>
          </cell>
          <cell r="AG415">
            <v>50.3</v>
          </cell>
          <cell r="AS415">
            <v>101.39220490411473</v>
          </cell>
          <cell r="AT415">
            <v>101.87869001780317</v>
          </cell>
          <cell r="AV415" t="str">
            <v>D.Gomaz</v>
          </cell>
          <cell r="AW415">
            <v>0.32013888888888897</v>
          </cell>
        </row>
        <row r="416">
          <cell r="A416" t="str">
            <v>ST357</v>
          </cell>
          <cell r="P416">
            <v>58</v>
          </cell>
          <cell r="Q416">
            <v>11.252354048964222</v>
          </cell>
          <cell r="T416">
            <v>0.43888888888888888</v>
          </cell>
          <cell r="U416">
            <v>0.56180555555555556</v>
          </cell>
          <cell r="V416">
            <v>60</v>
          </cell>
          <cell r="AB416">
            <v>53.1</v>
          </cell>
          <cell r="AE416">
            <v>11.8</v>
          </cell>
          <cell r="AG416">
            <v>48.6</v>
          </cell>
          <cell r="AS416">
            <v>96.234942891011144</v>
          </cell>
          <cell r="AT416">
            <v>96.956430361328927</v>
          </cell>
          <cell r="AV416" t="str">
            <v>D.Gomaz</v>
          </cell>
          <cell r="AW416">
            <v>0.27708333333333335</v>
          </cell>
        </row>
        <row r="417">
          <cell r="A417" t="str">
            <v>ST358</v>
          </cell>
          <cell r="P417">
            <v>67</v>
          </cell>
          <cell r="Q417">
            <v>11.064030131826742</v>
          </cell>
          <cell r="T417">
            <v>0.53888888888888886</v>
          </cell>
          <cell r="U417">
            <v>0.65347222222222223</v>
          </cell>
          <cell r="V417">
            <v>51</v>
          </cell>
          <cell r="AB417">
            <v>53.1</v>
          </cell>
          <cell r="AE417">
            <v>11.8</v>
          </cell>
          <cell r="AG417">
            <v>48.3</v>
          </cell>
          <cell r="AS417">
            <v>96.244976149243712</v>
          </cell>
          <cell r="AT417">
            <v>96.965388213283447</v>
          </cell>
          <cell r="AV417" t="str">
            <v>R.Sookram</v>
          </cell>
          <cell r="AW417">
            <v>0.26458333333333334</v>
          </cell>
        </row>
        <row r="418">
          <cell r="A418" t="str">
            <v>ST359</v>
          </cell>
          <cell r="P418">
            <v>61</v>
          </cell>
          <cell r="Q418">
            <v>7.6886792452830104</v>
          </cell>
          <cell r="T418">
            <v>0.67569444444444449</v>
          </cell>
          <cell r="U418">
            <v>0.81666666666666665</v>
          </cell>
          <cell r="V418">
            <v>54</v>
          </cell>
          <cell r="AB418">
            <v>53</v>
          </cell>
          <cell r="AE418">
            <v>11.9</v>
          </cell>
          <cell r="AG418">
            <v>49.2</v>
          </cell>
          <cell r="AS418">
            <v>98.78749454244813</v>
          </cell>
          <cell r="AT418">
            <v>99.527175237630999</v>
          </cell>
          <cell r="AV418" t="str">
            <v>R.Sookram</v>
          </cell>
          <cell r="AW418">
            <v>0.33055555555555555</v>
          </cell>
        </row>
        <row r="419">
          <cell r="A419" t="str">
            <v>ST360</v>
          </cell>
          <cell r="P419">
            <v>61</v>
          </cell>
          <cell r="Q419">
            <v>10.330188679245285</v>
          </cell>
          <cell r="T419">
            <v>0.78472222222222221</v>
          </cell>
          <cell r="U419">
            <v>0.91249999999999998</v>
          </cell>
          <cell r="V419">
            <v>60</v>
          </cell>
          <cell r="AB419">
            <v>53</v>
          </cell>
          <cell r="AE419">
            <v>11.7</v>
          </cell>
          <cell r="AG419">
            <v>49.3</v>
          </cell>
          <cell r="AS419">
            <v>97.239091605330472</v>
          </cell>
          <cell r="AT419">
            <v>97.967178487285707</v>
          </cell>
          <cell r="AV419" t="str">
            <v>K. Benjamin</v>
          </cell>
          <cell r="AW419">
            <v>0.28749999999999998</v>
          </cell>
        </row>
        <row r="420">
          <cell r="A420" t="str">
            <v>ST361</v>
          </cell>
          <cell r="P420">
            <v>60</v>
          </cell>
          <cell r="Q420">
            <v>6.7452830188679158</v>
          </cell>
          <cell r="T420">
            <v>0.87708333333333333</v>
          </cell>
          <cell r="U420">
            <v>0.99375000000000002</v>
          </cell>
          <cell r="V420">
            <v>54</v>
          </cell>
          <cell r="AB420">
            <v>53</v>
          </cell>
          <cell r="AE420">
            <v>11.8</v>
          </cell>
          <cell r="AG420">
            <v>50.6</v>
          </cell>
          <cell r="AS420">
            <v>100.82807025158867</v>
          </cell>
          <cell r="AT420">
            <v>101.58278765201123</v>
          </cell>
          <cell r="AV420" t="str">
            <v>K. Benjamin</v>
          </cell>
          <cell r="AW420">
            <v>0.26458333333333339</v>
          </cell>
        </row>
        <row r="421">
          <cell r="A421" t="str">
            <v>ST362</v>
          </cell>
          <cell r="P421">
            <v>58</v>
          </cell>
          <cell r="Q421">
            <v>7.5000000000000027</v>
          </cell>
          <cell r="T421">
            <v>0.96319444444444446</v>
          </cell>
          <cell r="U421">
            <v>1.0784722222222223</v>
          </cell>
          <cell r="V421">
            <v>52</v>
          </cell>
          <cell r="AB421">
            <v>53</v>
          </cell>
          <cell r="AE421">
            <v>11.8</v>
          </cell>
          <cell r="AG421">
            <v>50.1</v>
          </cell>
          <cell r="AS421">
            <v>99.831745446731063</v>
          </cell>
          <cell r="AT421">
            <v>100.5790051653313</v>
          </cell>
          <cell r="AV421" t="str">
            <v>K. Benjamin</v>
          </cell>
          <cell r="AW421">
            <v>0.25555555555555565</v>
          </cell>
        </row>
        <row r="422">
          <cell r="A422" t="str">
            <v>ST363</v>
          </cell>
          <cell r="P422">
            <v>61</v>
          </cell>
          <cell r="Q422">
            <v>10.896226415094338</v>
          </cell>
          <cell r="T422">
            <v>1.0687500000000001</v>
          </cell>
          <cell r="U422">
            <v>1.2118055555555556</v>
          </cell>
          <cell r="V422">
            <v>52</v>
          </cell>
          <cell r="AB422">
            <v>53</v>
          </cell>
          <cell r="AE422">
            <v>11.7</v>
          </cell>
          <cell r="AG422">
            <v>48.4</v>
          </cell>
          <cell r="AS422">
            <v>95.343647995140529</v>
          </cell>
          <cell r="AT422">
            <v>96.057771106332908</v>
          </cell>
          <cell r="AV422" t="str">
            <v>K. Benjamin</v>
          </cell>
          <cell r="AW422">
            <v>0.28472222222222221</v>
          </cell>
        </row>
        <row r="423">
          <cell r="A423" t="str">
            <v>ST364</v>
          </cell>
          <cell r="P423">
            <v>60</v>
          </cell>
          <cell r="Q423">
            <v>6.9339622641509377</v>
          </cell>
          <cell r="T423">
            <v>1.1763888888888889</v>
          </cell>
          <cell r="U423">
            <v>1.3</v>
          </cell>
          <cell r="V423">
            <v>57</v>
          </cell>
          <cell r="AB423">
            <v>53</v>
          </cell>
          <cell r="AE423">
            <v>11.8</v>
          </cell>
          <cell r="AG423">
            <v>50.3</v>
          </cell>
          <cell r="AS423">
            <v>95.602651708364647</v>
          </cell>
          <cell r="AT423">
            <v>96.318714755162475</v>
          </cell>
          <cell r="AV423" t="str">
            <v>K. Benjamin</v>
          </cell>
          <cell r="AW423">
            <v>0.27916666666666679</v>
          </cell>
        </row>
        <row r="424">
          <cell r="A424" t="str">
            <v>ST365</v>
          </cell>
          <cell r="P424">
            <v>60</v>
          </cell>
          <cell r="Q424">
            <v>15.395480225988695</v>
          </cell>
          <cell r="T424">
            <v>0.9458333333333333</v>
          </cell>
          <cell r="U424">
            <v>1.0611111111111111</v>
          </cell>
          <cell r="V424">
            <v>57</v>
          </cell>
          <cell r="AB424">
            <v>53.1</v>
          </cell>
          <cell r="AE424">
            <v>11.9</v>
          </cell>
          <cell r="AG424">
            <v>47.3</v>
          </cell>
          <cell r="AS424">
            <v>94.49565857690051</v>
          </cell>
          <cell r="AT424">
            <v>95.204106377819073</v>
          </cell>
          <cell r="AV424" t="str">
            <v>D.Gomaz</v>
          </cell>
          <cell r="AW424">
            <v>0.34583333333333333</v>
          </cell>
        </row>
        <row r="425">
          <cell r="A425" t="str">
            <v>ST366</v>
          </cell>
          <cell r="P425">
            <v>60</v>
          </cell>
          <cell r="Q425">
            <v>12.758945386064028</v>
          </cell>
          <cell r="T425">
            <v>0.55625000000000002</v>
          </cell>
          <cell r="U425">
            <v>0.72083333333333333</v>
          </cell>
          <cell r="V425">
            <v>55</v>
          </cell>
          <cell r="AB425">
            <v>53.1</v>
          </cell>
          <cell r="AE425">
            <v>12</v>
          </cell>
          <cell r="AG425">
            <v>48.1</v>
          </cell>
          <cell r="AS425">
            <v>96.942916172112362</v>
          </cell>
          <cell r="AT425">
            <v>97.669711421873757</v>
          </cell>
          <cell r="AV425" t="str">
            <v>D.Gomaz</v>
          </cell>
          <cell r="AW425">
            <v>0.29722222222222222</v>
          </cell>
        </row>
        <row r="426">
          <cell r="A426" t="str">
            <v>ST367</v>
          </cell>
          <cell r="P426">
            <v>59</v>
          </cell>
          <cell r="Q426">
            <v>11.817325800376645</v>
          </cell>
          <cell r="T426">
            <v>0.71388888888888891</v>
          </cell>
          <cell r="U426">
            <v>0.82499999999999996</v>
          </cell>
          <cell r="V426">
            <v>57</v>
          </cell>
          <cell r="AB426">
            <v>53.1</v>
          </cell>
          <cell r="AE426">
            <v>12</v>
          </cell>
          <cell r="AG426">
            <v>49</v>
          </cell>
          <cell r="AS426">
            <v>98.756816890509469</v>
          </cell>
          <cell r="AT426">
            <v>99.497211219788227</v>
          </cell>
          <cell r="AV426" t="str">
            <v>D.Gomaz</v>
          </cell>
          <cell r="AW426">
            <v>0.30416666666666659</v>
          </cell>
        </row>
        <row r="427">
          <cell r="A427" t="str">
            <v>ST368</v>
          </cell>
          <cell r="P427">
            <v>58</v>
          </cell>
          <cell r="Q427">
            <v>11.440677966101701</v>
          </cell>
          <cell r="T427">
            <v>0.82638888888888884</v>
          </cell>
          <cell r="U427">
            <v>0.93472222222222223</v>
          </cell>
          <cell r="V427">
            <v>53</v>
          </cell>
          <cell r="AB427">
            <v>53.1</v>
          </cell>
          <cell r="AE427">
            <v>11.8</v>
          </cell>
          <cell r="AG427">
            <v>49.7</v>
          </cell>
          <cell r="AS427">
            <v>98.413100034634851</v>
          </cell>
          <cell r="AT427">
            <v>99.150917468272581</v>
          </cell>
          <cell r="AV427" t="str">
            <v>D.Gomaz</v>
          </cell>
          <cell r="AW427">
            <v>0.25069444444444444</v>
          </cell>
        </row>
        <row r="428">
          <cell r="A428" t="str">
            <v>ST369</v>
          </cell>
          <cell r="P428">
            <v>76</v>
          </cell>
          <cell r="Q428">
            <v>11.817325800376645</v>
          </cell>
          <cell r="T428">
            <v>0.82499999999999996</v>
          </cell>
          <cell r="U428">
            <v>0.99305555555555558</v>
          </cell>
          <cell r="V428">
            <v>60</v>
          </cell>
          <cell r="AB428">
            <v>53.1</v>
          </cell>
          <cell r="AE428">
            <v>12</v>
          </cell>
          <cell r="AG428">
            <v>47.7</v>
          </cell>
          <cell r="AS428">
            <v>96.689802551080064</v>
          </cell>
          <cell r="AT428">
            <v>97.345357055812826</v>
          </cell>
          <cell r="AV428" t="str">
            <v>D.Gomaz</v>
          </cell>
          <cell r="AW428">
            <v>0.26388888888888895</v>
          </cell>
        </row>
        <row r="429">
          <cell r="A429" t="str">
            <v>ST370</v>
          </cell>
          <cell r="P429">
            <v>61</v>
          </cell>
          <cell r="Q429">
            <v>11.629001883239166</v>
          </cell>
          <cell r="T429">
            <v>0.97430555555555554</v>
          </cell>
          <cell r="U429">
            <v>1.0847222222222221</v>
          </cell>
          <cell r="V429">
            <v>52</v>
          </cell>
          <cell r="AB429">
            <v>53.1</v>
          </cell>
          <cell r="AE429">
            <v>12</v>
          </cell>
          <cell r="AG429">
            <v>49.3</v>
          </cell>
          <cell r="AS429">
            <v>99.306738861818587</v>
          </cell>
          <cell r="AT429">
            <v>99.981108464860924</v>
          </cell>
          <cell r="AV429" t="str">
            <v>D.Gomaz</v>
          </cell>
          <cell r="AW429">
            <v>0.25138888888888877</v>
          </cell>
        </row>
        <row r="430">
          <cell r="A430" t="str">
            <v>ST371</v>
          </cell>
          <cell r="P430">
            <v>61</v>
          </cell>
          <cell r="Q430">
            <v>11.839622641509431</v>
          </cell>
          <cell r="T430">
            <v>1.0833333333333333</v>
          </cell>
          <cell r="U430">
            <v>1.1937500000000001</v>
          </cell>
          <cell r="V430">
            <v>51</v>
          </cell>
          <cell r="AB430">
            <v>53</v>
          </cell>
          <cell r="AE430">
            <v>12</v>
          </cell>
          <cell r="AG430">
            <v>48.4</v>
          </cell>
          <cell r="AS430">
            <v>96.41596842762425</v>
          </cell>
          <cell r="AT430">
            <v>97.070292582250815</v>
          </cell>
          <cell r="AV430" t="str">
            <v>D.Gomaz</v>
          </cell>
          <cell r="AW430">
            <v>0.25625000000000009</v>
          </cell>
        </row>
      </sheetData>
      <sheetData sheetId="7">
        <row r="392">
          <cell r="D392">
            <v>11.6</v>
          </cell>
        </row>
        <row r="393">
          <cell r="D393">
            <v>11.9</v>
          </cell>
        </row>
        <row r="394">
          <cell r="D394">
            <v>11.8</v>
          </cell>
        </row>
        <row r="395">
          <cell r="D395">
            <v>11.8</v>
          </cell>
        </row>
        <row r="396">
          <cell r="D396">
            <v>11.7</v>
          </cell>
        </row>
        <row r="397">
          <cell r="D397">
            <v>11.6</v>
          </cell>
        </row>
        <row r="398">
          <cell r="D398">
            <v>12</v>
          </cell>
        </row>
        <row r="399">
          <cell r="D399">
            <v>11.6</v>
          </cell>
        </row>
        <row r="400">
          <cell r="D400">
            <v>11.8</v>
          </cell>
        </row>
        <row r="401">
          <cell r="D401">
            <v>12</v>
          </cell>
        </row>
        <row r="402">
          <cell r="D402">
            <v>11.7</v>
          </cell>
        </row>
        <row r="403">
          <cell r="D403">
            <v>11.7</v>
          </cell>
        </row>
        <row r="404">
          <cell r="D404">
            <v>11.9</v>
          </cell>
        </row>
        <row r="405">
          <cell r="D405">
            <v>11.7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September '26 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U90">
            <v>96.199574054545806</v>
          </cell>
        </row>
        <row r="91">
          <cell r="AU91">
            <v>96.990520431357425</v>
          </cell>
        </row>
        <row r="92">
          <cell r="AU92">
            <v>96.576570379573766</v>
          </cell>
        </row>
        <row r="93">
          <cell r="AU93">
            <v>97.958929323440969</v>
          </cell>
        </row>
        <row r="94">
          <cell r="AU94">
            <v>94.968203123829284</v>
          </cell>
        </row>
        <row r="95">
          <cell r="AU95">
            <v>96.13948802609309</v>
          </cell>
        </row>
        <row r="96">
          <cell r="AU96">
            <v>96.966158594827462</v>
          </cell>
        </row>
        <row r="97">
          <cell r="AU97">
            <v>94.938560144721919</v>
          </cell>
        </row>
        <row r="99">
          <cell r="AU99">
            <v>95.02973839984999</v>
          </cell>
        </row>
        <row r="100">
          <cell r="AU100">
            <v>96.659796680203456</v>
          </cell>
        </row>
        <row r="101">
          <cell r="AU101">
            <v>95.899301321002682</v>
          </cell>
        </row>
        <row r="102">
          <cell r="AU102">
            <v>96.739594506578101</v>
          </cell>
        </row>
        <row r="103">
          <cell r="AU103">
            <v>93.592658671733744</v>
          </cell>
        </row>
        <row r="104">
          <cell r="AU104">
            <v>99.414523178212718</v>
          </cell>
        </row>
        <row r="105">
          <cell r="AU105">
            <v>97.989371573302947</v>
          </cell>
        </row>
        <row r="106">
          <cell r="AU106">
            <v>96.371888664415408</v>
          </cell>
        </row>
        <row r="108">
          <cell r="A108" t="str">
            <v>GU085</v>
          </cell>
          <cell r="O108">
            <v>58</v>
          </cell>
          <cell r="R108">
            <v>9.9642857142857117</v>
          </cell>
          <cell r="T108">
            <v>1.1659722222222222</v>
          </cell>
          <cell r="U108">
            <v>1.2798611111111111</v>
          </cell>
          <cell r="V108">
            <v>56</v>
          </cell>
          <cell r="Z108">
            <v>0.27986111111111112</v>
          </cell>
          <cell r="AF108">
            <v>51.5</v>
          </cell>
          <cell r="AG108">
            <v>16.7</v>
          </cell>
          <cell r="AI108">
            <v>50.3</v>
          </cell>
          <cell r="AU108">
            <v>91.975176313227053</v>
          </cell>
          <cell r="AV108">
            <v>92.431180354931882</v>
          </cell>
          <cell r="AW108" t="str">
            <v>R. Sookram</v>
          </cell>
        </row>
        <row r="109">
          <cell r="A109" t="str">
            <v>GU086</v>
          </cell>
          <cell r="O109">
            <v>55</v>
          </cell>
          <cell r="R109">
            <v>7.2857142857142829</v>
          </cell>
          <cell r="T109">
            <v>0.27986111111111112</v>
          </cell>
          <cell r="U109">
            <v>0.42499999999999999</v>
          </cell>
          <cell r="V109">
            <v>79</v>
          </cell>
          <cell r="Z109">
            <v>0.3208333333333333</v>
          </cell>
          <cell r="AF109">
            <v>53</v>
          </cell>
          <cell r="AG109">
            <v>17</v>
          </cell>
          <cell r="AI109">
            <v>51.6</v>
          </cell>
          <cell r="AU109">
            <v>96.153490761650957</v>
          </cell>
          <cell r="AV109">
            <v>96.630210482872457</v>
          </cell>
          <cell r="AW109" t="str">
            <v>R. Sookram</v>
          </cell>
        </row>
        <row r="110">
          <cell r="A110" t="str">
            <v>GU087</v>
          </cell>
          <cell r="O110">
            <v>60</v>
          </cell>
          <cell r="R110">
            <v>7.4509803921568629</v>
          </cell>
          <cell r="T110">
            <v>0.39652777777777776</v>
          </cell>
          <cell r="U110">
            <v>0.55972222222222223</v>
          </cell>
          <cell r="V110">
            <v>72</v>
          </cell>
          <cell r="Z110">
            <v>0.3305555555555556</v>
          </cell>
          <cell r="AF110">
            <v>54.6</v>
          </cell>
          <cell r="AG110">
            <v>17.600000000000001</v>
          </cell>
          <cell r="AI110">
            <v>53.1</v>
          </cell>
          <cell r="AU110">
            <v>102.79261976436969</v>
          </cell>
          <cell r="AV110">
            <v>103.30216588791079</v>
          </cell>
          <cell r="AW110" t="str">
            <v>R. Sookram</v>
          </cell>
        </row>
        <row r="111">
          <cell r="A111" t="str">
            <v>GU088</v>
          </cell>
          <cell r="O111">
            <v>59</v>
          </cell>
          <cell r="R111">
            <v>5.8571428571428594</v>
          </cell>
          <cell r="T111">
            <v>0.53749999999999998</v>
          </cell>
          <cell r="U111">
            <v>0.68472222222222223</v>
          </cell>
          <cell r="V111">
            <v>81</v>
          </cell>
          <cell r="Z111">
            <v>0.33055555555555555</v>
          </cell>
          <cell r="AF111">
            <v>53.8</v>
          </cell>
          <cell r="AG111">
            <v>17.100000000000001</v>
          </cell>
          <cell r="AI111">
            <v>52.2</v>
          </cell>
          <cell r="AU111">
            <v>97.680094528624181</v>
          </cell>
          <cell r="AV111">
            <v>98.164638069015211</v>
          </cell>
          <cell r="AW111" t="str">
            <v>R. Sookram</v>
          </cell>
        </row>
        <row r="112">
          <cell r="A112" t="str">
            <v>GU089</v>
          </cell>
          <cell r="O112">
            <v>58</v>
          </cell>
          <cell r="R112">
            <v>5.4901960784313699</v>
          </cell>
          <cell r="T112">
            <v>0.66388888888888886</v>
          </cell>
          <cell r="U112">
            <v>0.79652777777777772</v>
          </cell>
          <cell r="V112">
            <v>81</v>
          </cell>
          <cell r="Z112">
            <v>0.31736111111111104</v>
          </cell>
          <cell r="AF112">
            <v>54.1</v>
          </cell>
          <cell r="AG112">
            <v>17.3</v>
          </cell>
          <cell r="AI112">
            <v>52.4</v>
          </cell>
          <cell r="AU112">
            <v>98.815277602756282</v>
          </cell>
          <cell r="AV112">
            <v>99.305964606755964</v>
          </cell>
          <cell r="AW112" t="str">
            <v>D. Gomaz</v>
          </cell>
        </row>
        <row r="113">
          <cell r="A113" t="str">
            <v>GU090</v>
          </cell>
          <cell r="O113">
            <v>60</v>
          </cell>
          <cell r="R113">
            <v>6.3928571428571406</v>
          </cell>
          <cell r="T113">
            <v>0.77777777777777779</v>
          </cell>
          <cell r="U113">
            <v>0.90763888888888888</v>
          </cell>
          <cell r="V113">
            <v>61</v>
          </cell>
          <cell r="Z113">
            <v>0.30347222222222225</v>
          </cell>
          <cell r="AF113">
            <v>53.5</v>
          </cell>
          <cell r="AG113">
            <v>17</v>
          </cell>
          <cell r="AI113">
            <v>52</v>
          </cell>
          <cell r="AU113">
            <v>96.743980175024319</v>
          </cell>
          <cell r="AV113">
            <v>97.223796033994319</v>
          </cell>
          <cell r="AW113" t="str">
            <v>D. Gomaz</v>
          </cell>
        </row>
        <row r="114">
          <cell r="A114" t="str">
            <v>GU091</v>
          </cell>
          <cell r="O114">
            <v>60</v>
          </cell>
          <cell r="R114">
            <v>6.0357142857142776</v>
          </cell>
          <cell r="T114">
            <v>0.90347222222222223</v>
          </cell>
          <cell r="U114">
            <v>1.0416666666666667</v>
          </cell>
          <cell r="V114">
            <v>63</v>
          </cell>
          <cell r="Z114">
            <v>0.30555555555555558</v>
          </cell>
          <cell r="AF114">
            <v>53.7</v>
          </cell>
          <cell r="AG114">
            <v>17</v>
          </cell>
          <cell r="AI114">
            <v>52.4</v>
          </cell>
          <cell r="AU114">
            <v>97.332584883765065</v>
          </cell>
          <cell r="AV114">
            <v>97.815489046590557</v>
          </cell>
          <cell r="AW114" t="str">
            <v>D. Gomaz</v>
          </cell>
        </row>
        <row r="115">
          <cell r="A115" t="str">
            <v>GU092</v>
          </cell>
          <cell r="O115">
            <v>62</v>
          </cell>
          <cell r="R115">
            <v>6.0357142857142776</v>
          </cell>
          <cell r="T115">
            <v>1.0201388888888889</v>
          </cell>
          <cell r="U115">
            <v>1.1868055555555554</v>
          </cell>
          <cell r="V115">
            <v>63</v>
          </cell>
          <cell r="Z115">
            <v>0.32569444444444429</v>
          </cell>
          <cell r="AF115">
            <v>53.7</v>
          </cell>
          <cell r="AG115">
            <v>17.100000000000001</v>
          </cell>
          <cell r="AI115">
            <v>51.9</v>
          </cell>
          <cell r="AU115">
            <v>97.429936670217501</v>
          </cell>
          <cell r="AV115">
            <v>97.912899811549678</v>
          </cell>
          <cell r="AW115" t="str">
            <v>K. Benjamin</v>
          </cell>
        </row>
      </sheetData>
      <sheetData sheetId="2">
        <row r="17">
          <cell r="D17">
            <v>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V89">
            <v>98.966709364408175</v>
          </cell>
        </row>
        <row r="90">
          <cell r="AV90">
            <v>96.872876691950268</v>
          </cell>
        </row>
        <row r="91">
          <cell r="AV91">
            <v>98.438453135356141</v>
          </cell>
        </row>
        <row r="92">
          <cell r="AV92">
            <v>98.648257968141067</v>
          </cell>
        </row>
        <row r="93">
          <cell r="AV93">
            <v>97.15488267089502</v>
          </cell>
        </row>
        <row r="94">
          <cell r="AV94">
            <v>97.674325034697105</v>
          </cell>
        </row>
        <row r="95">
          <cell r="AV95">
            <v>97.88449261906382</v>
          </cell>
        </row>
        <row r="96">
          <cell r="AV96">
            <v>97.580137789132138</v>
          </cell>
        </row>
        <row r="98">
          <cell r="AV98">
            <v>92.192234749793755</v>
          </cell>
        </row>
        <row r="99">
          <cell r="AV99">
            <v>97.908198253585468</v>
          </cell>
        </row>
        <row r="100">
          <cell r="AV100">
            <v>97.339468430709204</v>
          </cell>
        </row>
        <row r="101">
          <cell r="AV101">
            <v>98.522684853503378</v>
          </cell>
        </row>
        <row r="102">
          <cell r="AV102">
            <v>98.512227862178662</v>
          </cell>
        </row>
        <row r="103">
          <cell r="AV103">
            <v>98.875374733462692</v>
          </cell>
        </row>
        <row r="104">
          <cell r="AV104">
            <v>97.703049180207884</v>
          </cell>
        </row>
        <row r="105">
          <cell r="AV105">
            <v>99.954741113141679</v>
          </cell>
        </row>
      </sheetData>
      <sheetData sheetId="3">
        <row r="23">
          <cell r="D23">
            <v>14.3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September '26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  <row r="22">
          <cell r="AT22">
            <v>92.715575444638318</v>
          </cell>
        </row>
        <row r="23">
          <cell r="AT23">
            <v>91.951723879434397</v>
          </cell>
        </row>
        <row r="24">
          <cell r="AT24">
            <v>96.150583729382561</v>
          </cell>
        </row>
        <row r="25">
          <cell r="AT25">
            <v>96.730919507263621</v>
          </cell>
        </row>
        <row r="26">
          <cell r="AT26">
            <v>97.686758632829481</v>
          </cell>
        </row>
        <row r="27">
          <cell r="AT27">
            <v>97.217049049093575</v>
          </cell>
        </row>
        <row r="28">
          <cell r="AT28">
            <v>95.303327611119286</v>
          </cell>
        </row>
        <row r="29">
          <cell r="AT29">
            <v>97.085382097037311</v>
          </cell>
        </row>
        <row r="30">
          <cell r="AT30">
            <v>96.401573752548614</v>
          </cell>
        </row>
      </sheetData>
      <sheetData sheetId="8">
        <row r="4">
          <cell r="D4">
            <v>13.3</v>
          </cell>
        </row>
      </sheetData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September ' 26 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 refreshError="1"/>
      <sheetData sheetId="1" refreshError="1"/>
      <sheetData sheetId="2" refreshError="1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Y84">
            <v>89.865899111082911</v>
          </cell>
        </row>
        <row r="85">
          <cell r="AY85">
            <v>97.693621175915609</v>
          </cell>
        </row>
        <row r="86">
          <cell r="AY86">
            <v>98.098376729140924</v>
          </cell>
        </row>
        <row r="87">
          <cell r="AY87">
            <v>98.701099186405543</v>
          </cell>
        </row>
        <row r="88">
          <cell r="AY88">
            <v>98.149643000896063</v>
          </cell>
        </row>
        <row r="89">
          <cell r="AY89">
            <v>100.11673997026169</v>
          </cell>
        </row>
        <row r="90">
          <cell r="AY90">
            <v>99.269060038965534</v>
          </cell>
        </row>
        <row r="91">
          <cell r="AY91">
            <v>98.24191438139087</v>
          </cell>
        </row>
        <row r="92">
          <cell r="AY92">
            <v>96.193227678250963</v>
          </cell>
        </row>
        <row r="93">
          <cell r="AY93">
            <v>97.280253560904981</v>
          </cell>
        </row>
        <row r="94">
          <cell r="AY94">
            <v>99.077497022970533</v>
          </cell>
        </row>
        <row r="95">
          <cell r="AY95">
            <v>95.794055097674445</v>
          </cell>
        </row>
        <row r="96">
          <cell r="AY96">
            <v>98.473163790154686</v>
          </cell>
        </row>
        <row r="97">
          <cell r="AY97">
            <v>90.794605311533076</v>
          </cell>
        </row>
        <row r="98">
          <cell r="AY98">
            <v>98.854819757121476</v>
          </cell>
        </row>
        <row r="99">
          <cell r="AY99">
            <v>99.2047479604514</v>
          </cell>
        </row>
        <row r="100">
          <cell r="AY100">
            <v>97.580117216650279</v>
          </cell>
        </row>
        <row r="101">
          <cell r="AY101">
            <v>99.629199564339515</v>
          </cell>
        </row>
        <row r="103">
          <cell r="AY103">
            <v>91.518291197933038</v>
          </cell>
        </row>
        <row r="104">
          <cell r="AY104">
            <v>99.384605447346843</v>
          </cell>
        </row>
        <row r="105">
          <cell r="AY105">
            <v>99.466650911889417</v>
          </cell>
        </row>
        <row r="106">
          <cell r="AY106">
            <v>98.400502643916937</v>
          </cell>
        </row>
        <row r="107">
          <cell r="AY107">
            <v>99.738369220600319</v>
          </cell>
        </row>
        <row r="108">
          <cell r="AY108">
            <v>99.055708807837178</v>
          </cell>
        </row>
        <row r="109">
          <cell r="AY109">
            <v>98.875386413170901</v>
          </cell>
        </row>
        <row r="110">
          <cell r="AY110">
            <v>96.509894208472375</v>
          </cell>
        </row>
        <row r="112">
          <cell r="A112" t="str">
            <v>SM099</v>
          </cell>
          <cell r="T112">
            <v>60</v>
          </cell>
          <cell r="U112">
            <v>6.754716981132086</v>
          </cell>
          <cell r="X112">
            <v>0.80208333333333337</v>
          </cell>
          <cell r="Y112">
            <v>0.97499999999999998</v>
          </cell>
          <cell r="Z112">
            <v>90</v>
          </cell>
          <cell r="AD112">
            <v>0.33958333333333335</v>
          </cell>
          <cell r="AH112">
            <v>53</v>
          </cell>
          <cell r="AK112">
            <v>17</v>
          </cell>
          <cell r="AM112">
            <v>51.1</v>
          </cell>
          <cell r="AY112">
            <v>97.214271955083348</v>
          </cell>
          <cell r="AZ112">
            <v>97.481077972249778</v>
          </cell>
          <cell r="BC112" t="str">
            <v>D. Gomaz</v>
          </cell>
        </row>
        <row r="113">
          <cell r="A113" t="str">
            <v>SM100</v>
          </cell>
          <cell r="T113">
            <v>61</v>
          </cell>
          <cell r="U113">
            <v>7.8867924528301883</v>
          </cell>
          <cell r="X113">
            <v>0.93333333333333335</v>
          </cell>
          <cell r="Y113">
            <v>1.0715277777777779</v>
          </cell>
          <cell r="Z113">
            <v>69</v>
          </cell>
          <cell r="AD113">
            <v>0.32152777777777786</v>
          </cell>
          <cell r="AH113">
            <v>53</v>
          </cell>
          <cell r="AK113">
            <v>17.3</v>
          </cell>
          <cell r="AM113">
            <v>51.4</v>
          </cell>
          <cell r="AY113">
            <v>98.862710164301788</v>
          </cell>
          <cell r="AZ113">
            <v>99.136679966905078</v>
          </cell>
          <cell r="BC113" t="str">
            <v>D. Gomaz</v>
          </cell>
        </row>
        <row r="114">
          <cell r="A114" t="str">
            <v>SM101</v>
          </cell>
          <cell r="T114">
            <v>57</v>
          </cell>
          <cell r="U114">
            <v>4.1132075471698109</v>
          </cell>
          <cell r="X114">
            <v>1.0604166666666666</v>
          </cell>
          <cell r="Y114">
            <v>1.2090277777777778</v>
          </cell>
          <cell r="Z114">
            <v>70</v>
          </cell>
          <cell r="AD114">
            <v>0.34444444444444444</v>
          </cell>
          <cell r="AH114">
            <v>53</v>
          </cell>
          <cell r="AK114">
            <v>17.3</v>
          </cell>
          <cell r="AM114">
            <v>51.7</v>
          </cell>
          <cell r="AY114">
            <v>99.439729873431943</v>
          </cell>
          <cell r="AZ114">
            <v>99.715298721575735</v>
          </cell>
          <cell r="BC114" t="str">
            <v>D. Gomaz</v>
          </cell>
        </row>
        <row r="115">
          <cell r="A115" t="str">
            <v>SM102</v>
          </cell>
          <cell r="T115">
            <v>60</v>
          </cell>
          <cell r="U115">
            <v>7.3207547169811367</v>
          </cell>
          <cell r="X115">
            <v>1.1868055555555554</v>
          </cell>
          <cell r="Y115">
            <v>1.3430555555555554</v>
          </cell>
          <cell r="Z115">
            <v>67</v>
          </cell>
          <cell r="AD115">
            <v>0.35694444444444429</v>
          </cell>
          <cell r="AH115">
            <v>53</v>
          </cell>
          <cell r="AK115">
            <v>17.3</v>
          </cell>
          <cell r="AM115">
            <v>51</v>
          </cell>
          <cell r="AY115">
            <v>98.013898306372198</v>
          </cell>
          <cell r="AZ115">
            <v>98.285775240901714</v>
          </cell>
          <cell r="BC115" t="str">
            <v>R.Sookram</v>
          </cell>
        </row>
        <row r="116">
          <cell r="A116" t="str">
            <v>SM103</v>
          </cell>
          <cell r="T116">
            <v>60</v>
          </cell>
          <cell r="U116">
            <v>5.0566037735849045</v>
          </cell>
          <cell r="X116">
            <v>0.35347222222222224</v>
          </cell>
          <cell r="Y116">
            <v>0.50208333333333333</v>
          </cell>
          <cell r="Z116">
            <v>65</v>
          </cell>
          <cell r="AD116">
            <v>0.39444444444444443</v>
          </cell>
          <cell r="AH116">
            <v>53</v>
          </cell>
          <cell r="AK116">
            <v>17.36</v>
          </cell>
          <cell r="AM116">
            <v>51.9</v>
          </cell>
          <cell r="AY116">
            <v>95.022046186828362</v>
          </cell>
          <cell r="AZ116">
            <v>95.285372684690913</v>
          </cell>
          <cell r="BC116" t="str">
            <v>R.Sookram</v>
          </cell>
        </row>
        <row r="117">
          <cell r="A117" t="str">
            <v>SM104</v>
          </cell>
          <cell r="T117">
            <v>60</v>
          </cell>
          <cell r="U117">
            <v>6.754716981132086</v>
          </cell>
          <cell r="X117">
            <v>0.3923611111111111</v>
          </cell>
          <cell r="Y117">
            <v>0.65694444444444444</v>
          </cell>
          <cell r="Z117">
            <v>73</v>
          </cell>
          <cell r="AD117">
            <v>0.42083333333333334</v>
          </cell>
          <cell r="AH117">
            <v>53</v>
          </cell>
          <cell r="AK117">
            <v>17.399999999999999</v>
          </cell>
          <cell r="AM117">
            <v>51.9</v>
          </cell>
          <cell r="AY117">
            <v>95.022046186828362</v>
          </cell>
          <cell r="AZ117">
            <v>95.285372684690913</v>
          </cell>
          <cell r="BC117" t="str">
            <v>R.Sookram</v>
          </cell>
        </row>
        <row r="118">
          <cell r="A118" t="str">
            <v>SM105</v>
          </cell>
          <cell r="T118">
            <v>57</v>
          </cell>
          <cell r="U118">
            <v>2.960000000000008</v>
          </cell>
          <cell r="X118">
            <v>0.63680555555555551</v>
          </cell>
          <cell r="Y118">
            <v>0.79236111111111107</v>
          </cell>
          <cell r="Z118">
            <v>70</v>
          </cell>
          <cell r="AD118">
            <v>0.36180555555555549</v>
          </cell>
          <cell r="AH118">
            <v>50</v>
          </cell>
          <cell r="AK118">
            <v>17.399999999999999</v>
          </cell>
          <cell r="AM118">
            <v>49.3</v>
          </cell>
          <cell r="AY118">
            <v>90.335017111661628</v>
          </cell>
          <cell r="AZ118">
            <v>90.585115407273193</v>
          </cell>
          <cell r="BC118" t="str">
            <v>K. Benjamin</v>
          </cell>
        </row>
        <row r="119">
          <cell r="A119" t="str">
            <v>SM106</v>
          </cell>
          <cell r="T119">
            <v>60</v>
          </cell>
          <cell r="U119">
            <v>-0.41509433962263936</v>
          </cell>
          <cell r="X119">
            <v>0.77500000000000002</v>
          </cell>
          <cell r="Y119">
            <v>0.95277777777777772</v>
          </cell>
          <cell r="Z119">
            <v>104</v>
          </cell>
          <cell r="AD119">
            <v>0.39027777777777772</v>
          </cell>
          <cell r="AH119">
            <v>53</v>
          </cell>
          <cell r="AK119">
            <v>17.399999999999999</v>
          </cell>
          <cell r="AM119">
            <v>55.3</v>
          </cell>
          <cell r="AY119">
            <v>100.75694228020136</v>
          </cell>
          <cell r="AZ119">
            <v>101.03775475944533</v>
          </cell>
          <cell r="BC119" t="str">
            <v>K. Benjamin</v>
          </cell>
        </row>
      </sheetData>
      <sheetData sheetId="4">
        <row r="5">
          <cell r="D5">
            <v>17.100000000000001</v>
          </cell>
        </row>
        <row r="112">
          <cell r="D112">
            <v>17</v>
          </cell>
        </row>
        <row r="113">
          <cell r="D113">
            <v>17.3</v>
          </cell>
        </row>
        <row r="114">
          <cell r="D114">
            <v>17.3</v>
          </cell>
        </row>
        <row r="115">
          <cell r="D115">
            <v>17.3</v>
          </cell>
        </row>
        <row r="116">
          <cell r="D116">
            <v>17.36</v>
          </cell>
        </row>
        <row r="117">
          <cell r="D117">
            <v>17.399999999999999</v>
          </cell>
        </row>
        <row r="118">
          <cell r="D118">
            <v>17.399999999999999</v>
          </cell>
        </row>
        <row r="119">
          <cell r="D119">
            <v>17.399999999999999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2nd"/>
      <sheetName val="Aug 3rd "/>
      <sheetName val="Aug 4th"/>
      <sheetName val="Aug 5th"/>
      <sheetName val="Aug 6th"/>
      <sheetName val="Aug 7th"/>
      <sheetName val="Aug 12th"/>
      <sheetName val="Aug 13th "/>
      <sheetName val="Aug 14th&amp;15th"/>
      <sheetName val="Aug 17th "/>
      <sheetName val="Aug 18th"/>
      <sheetName val="Aug 19th "/>
      <sheetName val="Aug 20th "/>
      <sheetName val="Aug 21st-22nd"/>
      <sheetName val="Aug 24th"/>
      <sheetName val="Aug 25th "/>
      <sheetName val="Aug 26th"/>
      <sheetName val="Aug 27th "/>
      <sheetName val="Aug 28th "/>
      <sheetName val="Aug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>
            <v>98.65439164340431</v>
          </cell>
        </row>
        <row r="37">
          <cell r="L37">
            <v>7.2727272727272725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K1FGX_o80uuvwDQb-MEBZkBivKMV-JAuqF2TKcTVLp4ST5sf64RS5tkoaAr7JMw" itemId="016IKCK7YXXV75LPMRSFC2AVTH3SHM6S3B">
      <xxl21:absoluteUrl r:id="rId2"/>
    </xxl21:alternateUrls>
    <sheetNames>
      <sheetName val="Export order input"/>
      <sheetName val="Sales forecast"/>
      <sheetName val="Draw"/>
      <sheetName val="Sheet6"/>
      <sheetName val="crowns2"/>
      <sheetName val="EXPORTS "/>
      <sheetName val="EXPORTS"/>
      <sheetName val="Malt order"/>
      <sheetName val="fill time"/>
      <sheetName val="Recipes"/>
      <sheetName val="Sheet2"/>
      <sheetName val="Sheet3"/>
      <sheetName val="Sheet7"/>
    </sheetNames>
    <sheetDataSet>
      <sheetData sheetId="0"/>
      <sheetData sheetId="1"/>
      <sheetData sheetId="2">
        <row r="134">
          <cell r="BBB134">
            <v>8</v>
          </cell>
          <cell r="BBF134">
            <v>4</v>
          </cell>
          <cell r="BBG134">
            <v>8</v>
          </cell>
          <cell r="BBH134">
            <v>9</v>
          </cell>
          <cell r="BBI134">
            <v>8</v>
          </cell>
          <cell r="BBJ13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Sept 1st"/>
      <sheetName val="Sept 2nd"/>
      <sheetName val="Sept 3rd"/>
      <sheetName val="Sept 4th"/>
      <sheetName val="Sept 7th"/>
      <sheetName val="Sept 8th"/>
      <sheetName val="Sept 9th"/>
      <sheetName val="Sept 10th"/>
      <sheetName val="Sept 11th "/>
      <sheetName val="Sept 14th"/>
      <sheetName val="Sept 15th"/>
      <sheetName val="Sept 16th"/>
      <sheetName val="Sept 17th "/>
      <sheetName val="Sept 18th"/>
      <sheetName val="Sept 21st"/>
      <sheetName val="Sept 22nd"/>
      <sheetName val="Sept 23rd "/>
      <sheetName val="Sept 24th"/>
      <sheetName val="Sept 25th "/>
      <sheetName val="Sept 28th"/>
      <sheetName val="Sept 29th"/>
      <sheetName val="Sept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7">
          <cell r="L37">
            <v>7.0952380952380949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6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">
          <cell r="Y13">
            <v>190.70000000000002</v>
          </cell>
        </row>
        <row r="17">
          <cell r="Y17">
            <v>184.3</v>
          </cell>
        </row>
      </sheetData>
      <sheetData sheetId="9">
        <row r="3">
          <cell r="E3">
            <v>178.8</v>
          </cell>
          <cell r="G3">
            <v>198.2</v>
          </cell>
          <cell r="H3">
            <v>324.89999999999998</v>
          </cell>
          <cell r="I3">
            <v>399.7</v>
          </cell>
          <cell r="J3">
            <v>102.69999999999999</v>
          </cell>
          <cell r="K3">
            <v>302.39999999999998</v>
          </cell>
          <cell r="O3">
            <v>405.7</v>
          </cell>
          <cell r="P3">
            <v>403.29999999999995</v>
          </cell>
          <cell r="Q3">
            <v>399.1</v>
          </cell>
          <cell r="R3">
            <v>402.4</v>
          </cell>
          <cell r="AD3">
            <v>401.49999999999994</v>
          </cell>
          <cell r="AE3">
            <v>498</v>
          </cell>
          <cell r="AF3">
            <v>400.50000000000006</v>
          </cell>
          <cell r="AN3">
            <v>6.5883840063756107</v>
          </cell>
          <cell r="AQ3">
            <v>6.5333543848662465</v>
          </cell>
        </row>
        <row r="4">
          <cell r="AN4">
            <v>5.8480851106412217</v>
          </cell>
          <cell r="AQ4">
            <v>5.9207027133121715</v>
          </cell>
        </row>
        <row r="5">
          <cell r="AN5">
            <v>8.3572982592313725</v>
          </cell>
          <cell r="AQ5">
            <v>11.49802517103547</v>
          </cell>
        </row>
        <row r="6">
          <cell r="AN6">
            <v>4.6522194119603313</v>
          </cell>
          <cell r="AQ6">
            <v>4.8325383920386296</v>
          </cell>
        </row>
        <row r="7">
          <cell r="E7">
            <v>172.9</v>
          </cell>
          <cell r="G7">
            <v>189.1</v>
          </cell>
          <cell r="H7">
            <v>302.39999999999998</v>
          </cell>
          <cell r="I7">
            <v>379.9</v>
          </cell>
          <cell r="J7">
            <v>96.8</v>
          </cell>
          <cell r="K7">
            <v>292.2</v>
          </cell>
          <cell r="O7">
            <v>382.3</v>
          </cell>
          <cell r="P7">
            <v>381.9</v>
          </cell>
          <cell r="Q7">
            <v>384.7</v>
          </cell>
          <cell r="R7">
            <v>374.8</v>
          </cell>
          <cell r="AD7">
            <v>367.4</v>
          </cell>
          <cell r="AE7">
            <v>469</v>
          </cell>
          <cell r="AF7">
            <v>375.6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7.9667553186446929</v>
          </cell>
        </row>
        <row r="9">
          <cell r="AN9">
            <v>4.0067212349015007</v>
          </cell>
          <cell r="AQ9">
            <v>5.0257518320273871</v>
          </cell>
        </row>
        <row r="10">
          <cell r="AN10" t="e">
            <v>#DIV/0!</v>
          </cell>
          <cell r="AQ10" t="e">
            <v>#DIV/0!</v>
          </cell>
        </row>
        <row r="11">
          <cell r="E11">
            <v>4.7276713042744225</v>
          </cell>
          <cell r="G11">
            <v>4.4356796815713411</v>
          </cell>
          <cell r="H11">
            <v>7.9854576271950357</v>
          </cell>
          <cell r="I11">
            <v>5.5779930185734461</v>
          </cell>
          <cell r="J11">
            <v>6.1252557068905515</v>
          </cell>
          <cell r="O11">
            <v>6.8300073390577118</v>
          </cell>
          <cell r="P11">
            <v>5.6924136073155003</v>
          </cell>
          <cell r="Q11">
            <v>6.0063111503290374</v>
          </cell>
          <cell r="R11">
            <v>10.000958106780985</v>
          </cell>
          <cell r="AD11">
            <v>9.7497067740721892</v>
          </cell>
          <cell r="AE11">
            <v>6.8926150669181254</v>
          </cell>
          <cell r="AF11">
            <v>6.5229587709739256</v>
          </cell>
          <cell r="AN11" t="e">
            <v>#DIV/0!</v>
          </cell>
          <cell r="AQ11" t="e">
            <v>#DIV/0!</v>
          </cell>
        </row>
        <row r="12">
          <cell r="AN12">
            <v>6.1766981841577975</v>
          </cell>
          <cell r="AQ12">
            <v>6.6006541446520393</v>
          </cell>
        </row>
        <row r="13">
          <cell r="K13">
            <v>292</v>
          </cell>
          <cell r="L13">
            <v>101.1</v>
          </cell>
          <cell r="AD13">
            <v>295.2</v>
          </cell>
          <cell r="AE13">
            <v>386.50000000000006</v>
          </cell>
        </row>
        <row r="17">
          <cell r="K17">
            <v>278</v>
          </cell>
          <cell r="L17">
            <v>95.2</v>
          </cell>
          <cell r="AD17">
            <v>277.8</v>
          </cell>
          <cell r="AE17">
            <v>363.6</v>
          </cell>
        </row>
        <row r="21">
          <cell r="L21">
            <v>6.6677789297645509</v>
          </cell>
          <cell r="AD21">
            <v>5.2802424435337194</v>
          </cell>
          <cell r="AE21">
            <v>5.5437884350475199</v>
          </cell>
        </row>
        <row r="55">
          <cell r="R55">
            <v>413.59999999999997</v>
          </cell>
        </row>
        <row r="59">
          <cell r="R59">
            <v>410.1</v>
          </cell>
        </row>
        <row r="63">
          <cell r="R63">
            <v>4.0067212349015007</v>
          </cell>
        </row>
        <row r="65">
          <cell r="D65">
            <v>383.05</v>
          </cell>
        </row>
        <row r="70">
          <cell r="D70">
            <v>389</v>
          </cell>
        </row>
        <row r="74">
          <cell r="D74">
            <v>4.0562064167659644</v>
          </cell>
        </row>
      </sheetData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6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5">
          <cell r="Y25">
            <v>0.64666666666666672</v>
          </cell>
        </row>
      </sheetData>
      <sheetData sheetId="10">
        <row r="13">
          <cell r="AN13">
            <v>0.79074352548036753</v>
          </cell>
          <cell r="AQ13">
            <v>0.56877766684415731</v>
          </cell>
        </row>
        <row r="14">
          <cell r="AN14">
            <v>0.70652631578947367</v>
          </cell>
          <cell r="AQ14">
            <v>0.68503389722740882</v>
          </cell>
        </row>
        <row r="15">
          <cell r="AN15">
            <v>1.385263157894737</v>
          </cell>
          <cell r="AQ15">
            <v>0.42247265385686439</v>
          </cell>
        </row>
        <row r="16">
          <cell r="AN16">
            <v>1.1878947368421053</v>
          </cell>
          <cell r="AQ16">
            <v>0.8473099415204679</v>
          </cell>
        </row>
        <row r="17">
          <cell r="AN17" t="e">
            <v>#DIV/0!</v>
          </cell>
          <cell r="AQ17" t="e">
            <v>#DIV/0!</v>
          </cell>
        </row>
        <row r="18">
          <cell r="E18">
            <v>0.60666666666666669</v>
          </cell>
          <cell r="G18">
            <v>0.33175438596491225</v>
          </cell>
          <cell r="H18">
            <v>1.0610526315789472</v>
          </cell>
          <cell r="I18">
            <v>1.3329824561403507</v>
          </cell>
          <cell r="J18">
            <v>0.33964912280701753</v>
          </cell>
          <cell r="K18">
            <v>1.0252631578947369</v>
          </cell>
          <cell r="O18">
            <v>0.67070175438596491</v>
          </cell>
          <cell r="P18">
            <v>1.3399999999999999</v>
          </cell>
          <cell r="Q18">
            <v>1.3498245614035087</v>
          </cell>
          <cell r="R18">
            <v>0.43836257309941523</v>
          </cell>
          <cell r="AD18">
            <v>0.64456140350877189</v>
          </cell>
          <cell r="AE18">
            <v>0.82280701754385965</v>
          </cell>
          <cell r="AF18">
            <v>0.65894736842105273</v>
          </cell>
          <cell r="AN18" t="e">
            <v>#DIV/0!</v>
          </cell>
          <cell r="AQ18">
            <v>0.5883625730994152</v>
          </cell>
        </row>
        <row r="19">
          <cell r="AN19">
            <v>0.71947368421052638</v>
          </cell>
          <cell r="AQ19">
            <v>0.87835004177109433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>
            <v>0.82972031528095613</v>
          </cell>
          <cell r="AQ22">
            <v>0.62088919169328549</v>
          </cell>
        </row>
        <row r="25">
          <cell r="K25">
            <v>0.9754385964912281</v>
          </cell>
          <cell r="L25">
            <v>0.33403508771929824</v>
          </cell>
          <cell r="AD25">
            <v>0.97473684210526323</v>
          </cell>
          <cell r="AE25">
            <v>0.42526315789473684</v>
          </cell>
        </row>
        <row r="53">
          <cell r="R53">
            <v>0.71947368421052638</v>
          </cell>
        </row>
        <row r="60">
          <cell r="D60">
            <v>1.3649122807017544</v>
          </cell>
        </row>
      </sheetData>
      <sheetData sheetId="11"/>
      <sheetData sheetId="1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/>
      <sheetData sheetId="1"/>
      <sheetData sheetId="2"/>
      <sheetData sheetId="3">
        <row r="6"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E5">
            <v>5.5779123796880112</v>
          </cell>
        </row>
        <row r="6">
          <cell r="E6">
            <v>5.9993664871713683</v>
          </cell>
        </row>
        <row r="7">
          <cell r="E7">
            <v>7.2586328400281719</v>
          </cell>
        </row>
        <row r="8">
          <cell r="E8">
            <v>2.6160971335586405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0.84622823984524742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5.3475690784951517</v>
          </cell>
        </row>
      </sheetData>
      <sheetData sheetId="11">
        <row r="5">
          <cell r="E5">
            <v>6.3277880031135565</v>
          </cell>
        </row>
        <row r="6">
          <cell r="E6">
            <v>6.0314829247944388</v>
          </cell>
        </row>
        <row r="7">
          <cell r="E7">
            <v>10.57086906945613</v>
          </cell>
        </row>
        <row r="8">
          <cell r="E8">
            <v>4.6053599467161712</v>
          </cell>
        </row>
        <row r="9">
          <cell r="E9" t="e">
            <v>#DIV/0!</v>
          </cell>
        </row>
        <row r="10">
          <cell r="E10">
            <v>6.3233965672990236</v>
          </cell>
        </row>
        <row r="11">
          <cell r="E11">
            <v>3.7586797925639486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6.2546911108701195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62" t="s">
        <v>0</v>
      </c>
      <c r="U1" s="562"/>
      <c r="V1" s="562" t="s">
        <v>1</v>
      </c>
      <c r="W1" s="562"/>
      <c r="X1" s="562" t="s">
        <v>2</v>
      </c>
      <c r="Y1" s="562"/>
      <c r="Z1" s="562" t="s">
        <v>124</v>
      </c>
      <c r="AA1" s="562"/>
    </row>
    <row r="2" spans="2:30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52">
        <v>45278</v>
      </c>
      <c r="D4" s="552"/>
      <c r="J4" s="560" t="s">
        <v>153</v>
      </c>
      <c r="K4" s="560"/>
      <c r="L4" s="11"/>
      <c r="M4" s="558" t="s">
        <v>8</v>
      </c>
      <c r="N4" s="559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61"/>
      <c r="K5" s="561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63" t="s">
        <v>151</v>
      </c>
      <c r="K6" s="564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65"/>
      <c r="K7" s="566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152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26</v>
      </c>
      <c r="O8" s="520"/>
      <c r="P8" s="513" t="s">
        <v>28</v>
      </c>
      <c r="Q8" s="568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67"/>
      <c r="Q9" s="569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70" t="s">
        <v>34</v>
      </c>
      <c r="J48" s="570"/>
      <c r="K48" s="570"/>
      <c r="L48" s="570"/>
      <c r="M48" s="570"/>
      <c r="N48" s="570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40" t="s">
        <v>35</v>
      </c>
      <c r="E49" s="541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71" t="s">
        <v>9</v>
      </c>
      <c r="C50" s="362">
        <v>11.8</v>
      </c>
      <c r="D50" s="527">
        <v>11.73</v>
      </c>
      <c r="E50" s="528"/>
      <c r="F50" s="294"/>
      <c r="G50" s="294"/>
      <c r="H50" s="294"/>
      <c r="I50" s="29" t="s">
        <v>6</v>
      </c>
      <c r="J50" s="323"/>
      <c r="K50" s="284">
        <f>COUNTA([22]Brewhouse!$A$1596:$A$1619)</f>
        <v>24</v>
      </c>
      <c r="L50" s="302">
        <f>AVERAGE([22]Brewhouse!$AU$1529,[22]Brewhouse!$AU$1531:$AU$1594,[22]Brewhouse!$AU$1596:$AU$1619)</f>
        <v>98.205761326291494</v>
      </c>
      <c r="M50" s="302">
        <f>AVERAGE([22]Brewhouse!$AU$849:$AU$924,[22]Brewhouse!$AU$926:$AU$971,[22]Brewhouse!$AU$973:$AU$1066,[22]Brewhouse!$AU$1068:$AU$1111,[22]Brewhouse!$AU$1113:$AU$1132,[22]Brewhouse!$AU$1134:$AU$1167,[22]Brewhouse!$AU$1169:$AU$1230,[22]Brewhouse!$AU$1232:$AU$1299,[22]Brewhouse!$AU$1301:$AU$1363,[22]Brewhouse!$AU$1365:$AU$1444,[22]Brewhouse!$AU$1446:$AU$1527,[22]Brewhouse!$AU$1529,[22]Brewhouse!$AU$1531:$AU$1594,[22]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72"/>
      <c r="C51" s="349">
        <v>11.9</v>
      </c>
      <c r="D51" s="529"/>
      <c r="E51" s="530"/>
      <c r="F51" s="294"/>
      <c r="G51" s="294"/>
      <c r="H51" s="32"/>
      <c r="I51" s="33" t="s">
        <v>9</v>
      </c>
      <c r="J51" s="323"/>
      <c r="K51" s="284">
        <f>COUNTA([23]Brewhouse!$A$976:$A$1007)</f>
        <v>32</v>
      </c>
      <c r="L51" s="302">
        <f>AVERAGE([23]Brewhouse!$AS$976:$AS$979,[23]Brewhouse!$AS$981:$AS$1007)</f>
        <v>98.538566771868645</v>
      </c>
      <c r="M51" s="302">
        <f>AVERAGE([23]Brewhouse!$AS$577:$AS$618,[23]Brewhouse!$AS$620:$AS$651,[23]Brewhouse!$AS$653:$AS$696,[23]Brewhouse!$AS$698:$AS$708,[23]Brewhouse!$AS$710:$AS$733,[23]Brewhouse!$AS$735:$AS$777,[23]Brewhouse!$AS$779:$AS$822,[23]Brewhouse!$AS$824:$AS$863,[23]Brewhouse!$AS$865:$AS$974,[23]Brewhouse!$AS$976:$AS$979,[23]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72"/>
      <c r="C52" s="349"/>
      <c r="D52" s="527"/>
      <c r="E52" s="528"/>
      <c r="F52" s="294"/>
      <c r="G52" s="294"/>
      <c r="H52" s="32"/>
      <c r="I52" s="34" t="s">
        <v>12</v>
      </c>
      <c r="J52" s="280"/>
      <c r="K52" s="284">
        <f>COUNTA([24]Brewhouse!$A$282:$A$289)</f>
        <v>8</v>
      </c>
      <c r="L52" s="302">
        <f>AVERAGE([24]Brewhouse!$AU$269:$AU$279,[24]Brewhouse!$AU$282:$AU$289)</f>
        <v>96.1861768599382</v>
      </c>
      <c r="M52" s="302">
        <f>AVERAGE([24]Brewhouse!$AU$161:$AU$176,[24]Brewhouse!$AU$178:$AU$195,[24]Brewhouse!$AU$197:$AU$208,[24]Brewhouse!$AU$210:$AU$221,[24]Brewhouse!$AU$223:$AU$232,[24]Brewhouse!$AU$234:$AU$279,[24]Brewhouse!$AU$282:$AU$289)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72"/>
      <c r="C53" s="349"/>
      <c r="D53" s="529"/>
      <c r="E53" s="530"/>
      <c r="F53" s="294"/>
      <c r="G53" s="294"/>
      <c r="H53" s="32"/>
      <c r="I53" s="22" t="s">
        <v>33</v>
      </c>
      <c r="J53" s="280"/>
      <c r="K53" s="284">
        <f>COUNTA([25]Brewhouse!$A$158:$A$163)</f>
        <v>6</v>
      </c>
      <c r="L53" s="302">
        <f>AVERAGE([25]Brewhouse!$AU$158:$AU$163)</f>
        <v>94.603050114691541</v>
      </c>
      <c r="M53" s="302">
        <f>AVERAGE([25]Brewhouse!$AU$91:$AU$101,[25]Brewhouse!$AU$103:$AU$112,[25]Brewhouse!$AU$114:$AU$123,[25]Brewhouse!$AU$125:$AU$134,[25]Brewhouse!$AU$136:$AU$145,[25]Brewhouse!$AU$147:$AU$156,[25]Brewhouse!$AU$158:$AU$163)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72"/>
      <c r="C54" s="349"/>
      <c r="D54" s="527"/>
      <c r="E54" s="528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72"/>
      <c r="C55" s="349"/>
      <c r="D55" s="529"/>
      <c r="E55" s="530"/>
      <c r="F55" s="294"/>
      <c r="G55" s="294"/>
      <c r="H55" s="32"/>
      <c r="I55" s="36" t="s">
        <v>15</v>
      </c>
      <c r="J55" s="323"/>
      <c r="K55" s="284"/>
      <c r="L55" s="302"/>
      <c r="M55" s="302">
        <f>AVERAGE([26]Brewhouse!$AT$74:$AT$79)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72"/>
      <c r="C56" s="349"/>
      <c r="D56" s="527"/>
      <c r="E56" s="528"/>
      <c r="F56" s="294"/>
      <c r="G56" s="294"/>
      <c r="H56" s="32"/>
      <c r="I56" s="37" t="s">
        <v>16</v>
      </c>
      <c r="J56" s="323"/>
      <c r="K56" s="284">
        <f>COUNTA([27]Brewhouse!$A$249:$A$254)</f>
        <v>6</v>
      </c>
      <c r="L56" s="302">
        <f>AVERAGE([27]Brewhouse!$AY$249:$AY$254)</f>
        <v>99.681996476494263</v>
      </c>
      <c r="M56" s="302">
        <f>AVERAGE([27]Brewhouse!$AY$138:$AY$143,[27]Brewhouse!$AY$145:$AY$153,[27]Brewhouse!$AY$155,[27]Brewhouse!$AY$156:$AY$174,[27]Brewhouse!$AY$176:$AY$185,[27]Brewhouse!$AY$187:$AY$198,[27]Brewhouse!$AY$200:$AY$247,[27]Brewhouse!$AY$249:$AY$254)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72"/>
      <c r="C57" s="349"/>
      <c r="D57" s="529"/>
      <c r="E57" s="530"/>
      <c r="F57" s="294"/>
      <c r="G57" s="294"/>
      <c r="H57" s="32"/>
      <c r="I57" s="306" t="s">
        <v>137</v>
      </c>
      <c r="J57" s="326"/>
      <c r="K57" s="284"/>
      <c r="L57" s="305"/>
      <c r="M57" s="305">
        <f>AVERAGE([28]Brewhouse!$AW$13:$AW$14,[28]Brewhouse!$AW$16:$AW$17)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72"/>
      <c r="C58" s="349"/>
      <c r="D58" s="574"/>
      <c r="E58" s="575"/>
      <c r="F58" s="294"/>
      <c r="G58" s="294"/>
      <c r="H58" s="32"/>
      <c r="I58" s="38" t="s">
        <v>125</v>
      </c>
      <c r="J58" s="327"/>
      <c r="K58" s="284"/>
      <c r="L58" s="328"/>
      <c r="M58" s="328">
        <f>AVERAGE([28]Brewhouse!$AW$13:$AW$14)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72"/>
      <c r="C59" s="349"/>
      <c r="D59" s="576"/>
      <c r="E59" s="577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AVERAGE('[29]Closing- January 2023'!$L$42,'[30]Feb. 28th'!$L$42,'[31]March 31st'!$L$75,'[32]Apri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72"/>
      <c r="C60" s="349"/>
      <c r="D60" s="574"/>
      <c r="E60" s="575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73"/>
      <c r="C61" s="350"/>
      <c r="D61" s="578"/>
      <c r="E61" s="579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80"/>
      <c r="C62" s="362"/>
      <c r="D62" s="583"/>
      <c r="E62" s="584"/>
      <c r="F62" s="43"/>
      <c r="G62" s="41"/>
      <c r="H62" s="41"/>
      <c r="I62" s="42"/>
      <c r="J62" s="585" t="s">
        <v>129</v>
      </c>
      <c r="K62" s="585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81"/>
      <c r="C63" s="349"/>
      <c r="D63" s="536"/>
      <c r="E63" s="530"/>
      <c r="F63" s="43"/>
      <c r="G63" s="41"/>
      <c r="H63" s="41"/>
      <c r="I63" s="42"/>
      <c r="J63" s="292" t="s">
        <v>17</v>
      </c>
      <c r="K63" s="293" t="s">
        <v>147</v>
      </c>
      <c r="L63" s="532" t="s">
        <v>136</v>
      </c>
      <c r="M63" s="532"/>
      <c r="N63" s="533"/>
      <c r="O63" s="294"/>
      <c r="P63" s="12"/>
      <c r="S63" s="23"/>
    </row>
    <row r="64" spans="1:27" ht="15" customHeight="1" thickBot="1">
      <c r="B64" s="581"/>
      <c r="C64" s="349"/>
      <c r="D64" s="586"/>
      <c r="E64" s="528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81"/>
      <c r="C65" s="349"/>
      <c r="D65" s="536"/>
      <c r="E65" s="530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AVERAGE(6,6,'[31]March 31st'!$L$80,'[33]June 30th  '!$L$71,6,L65,'[34]July 31st'!$L$108,'[35]Aug 30th'!$L$124,7,[36]Oct.31st!$L$51)</f>
        <v>#REF!</v>
      </c>
      <c r="N65" s="308">
        <v>9</v>
      </c>
      <c r="O65" s="294"/>
      <c r="P65" s="12"/>
      <c r="S65" s="23"/>
    </row>
    <row r="66" spans="2:58" ht="15" customHeight="1">
      <c r="B66" s="581"/>
      <c r="C66" s="349"/>
      <c r="D66" s="586"/>
      <c r="E66" s="528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81"/>
      <c r="C67" s="349"/>
      <c r="D67" s="536"/>
      <c r="E67" s="530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81"/>
      <c r="C68" s="349"/>
      <c r="D68" s="586"/>
      <c r="E68" s="528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81"/>
      <c r="C69" s="349"/>
      <c r="D69" s="536"/>
      <c r="E69" s="530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81"/>
      <c r="C70" s="349"/>
      <c r="D70" s="587"/>
      <c r="E70" s="575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82"/>
      <c r="C71" s="350"/>
      <c r="D71" s="588"/>
      <c r="E71" s="589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90">
        <f>AVERAGE(D50:E71)</f>
        <v>11.73</v>
      </c>
      <c r="E72" s="591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09" t="s">
        <v>17</v>
      </c>
      <c r="C77" s="509" t="s">
        <v>44</v>
      </c>
      <c r="D77" s="518" t="s">
        <v>45</v>
      </c>
      <c r="E77" s="520" t="s">
        <v>46</v>
      </c>
      <c r="F77" s="522" t="s">
        <v>47</v>
      </c>
      <c r="G77" s="507" t="s">
        <v>48</v>
      </c>
      <c r="H77" s="509" t="s">
        <v>49</v>
      </c>
      <c r="I77" s="592" t="s">
        <v>50</v>
      </c>
      <c r="J77" s="501" t="s">
        <v>28</v>
      </c>
      <c r="K77" s="511" t="s">
        <v>51</v>
      </c>
      <c r="L77" s="513" t="s">
        <v>52</v>
      </c>
      <c r="M77" s="501" t="s">
        <v>53</v>
      </c>
      <c r="N77" s="77"/>
      <c r="O77" s="13"/>
      <c r="P77" s="50"/>
    </row>
    <row r="78" spans="2:58" ht="28.5" customHeight="1" thickTop="1" thickBot="1">
      <c r="B78" s="517"/>
      <c r="C78" s="517"/>
      <c r="D78" s="519"/>
      <c r="E78" s="521"/>
      <c r="F78" s="523"/>
      <c r="G78" s="508"/>
      <c r="H78" s="517"/>
      <c r="I78" s="593"/>
      <c r="J78" s="502"/>
      <c r="K78" s="512"/>
      <c r="L78" s="514"/>
      <c r="M78" s="502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[37]December_2023!$U$13</f>
        <v>150.4</v>
      </c>
      <c r="E79" s="378"/>
      <c r="F79" s="379"/>
      <c r="G79" s="303">
        <f>[37]December_2023!$U$17</f>
        <v>120.8</v>
      </c>
      <c r="H79" s="381"/>
      <c r="I79" s="382"/>
      <c r="J79" s="360" t="s">
        <v>150</v>
      </c>
      <c r="K79" s="380">
        <f>[38]December_2023!$U$25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[21]January_2019!D8</f>
        <v>#DIV/0!</v>
      </c>
      <c r="V80" s="57">
        <f>[21]January_2019!E8</f>
        <v>1.0319298245614037</v>
      </c>
      <c r="W80" s="57">
        <f>[21]January_2019!F8</f>
        <v>1.7789473684210526</v>
      </c>
      <c r="X80" s="57">
        <f>[21]January_2019!G8</f>
        <v>0.51929824561403504</v>
      </c>
      <c r="Y80" s="57" t="e">
        <f>[21]January_2019!H8</f>
        <v>#DIV/0!</v>
      </c>
      <c r="Z80" s="57" t="e">
        <f>[21]January_2019!I8</f>
        <v>#DIV/0!</v>
      </c>
      <c r="AA80" s="57">
        <f>[21]January_2019!J8</f>
        <v>1.365263157894737</v>
      </c>
      <c r="AB80" s="57" t="e">
        <f>[21]January_2019!K8</f>
        <v>#DIV/0!</v>
      </c>
      <c r="AC80" s="57">
        <f>[21]January_2019!L8</f>
        <v>1.0028070175438597</v>
      </c>
      <c r="AD80" s="57">
        <f>[21]January_2019!M8</f>
        <v>1.7828070175438597</v>
      </c>
      <c r="AE80" s="57" t="e">
        <f>[21]January_2019!N8</f>
        <v>#DIV/0!</v>
      </c>
      <c r="AF80" s="57" t="e">
        <f>[21]January_2019!O8</f>
        <v>#DIV/0!</v>
      </c>
      <c r="AG80" s="57">
        <f>[21]January_2019!P8</f>
        <v>0.19222222222222221</v>
      </c>
      <c r="AH80" s="57">
        <f>[21]January_2019!Q8</f>
        <v>0.52219298245614032</v>
      </c>
      <c r="AI80" s="57">
        <f>[21]January_2019!R8</f>
        <v>0.42912280701754385</v>
      </c>
      <c r="AJ80" s="57" t="e">
        <f>[21]January_2019!S8</f>
        <v>#DIV/0!</v>
      </c>
      <c r="AK80" s="57">
        <f>[21]January_2019!T8</f>
        <v>1.0340350877192983</v>
      </c>
      <c r="AL80" s="57">
        <f>[21]January_2019!U8</f>
        <v>0.98421052631578942</v>
      </c>
      <c r="AM80" s="57" t="e">
        <f>[21]January_2019!V8</f>
        <v>#DIV/0!</v>
      </c>
      <c r="AN80" s="57" t="e">
        <f>[21]January_2019!W8</f>
        <v>#DIV/0!</v>
      </c>
      <c r="AO80" s="57">
        <f>[21]January_2019!X8</f>
        <v>0.66052631578947374</v>
      </c>
      <c r="AP80" s="57">
        <f>[21]January_2019!Y8</f>
        <v>1.0375438596491227</v>
      </c>
      <c r="AQ80" s="57">
        <f>[21]January_2019!Z8</f>
        <v>0.90456140350877201</v>
      </c>
      <c r="AR80" s="57">
        <f>[21]January_2019!AA8</f>
        <v>1.0217543859649123</v>
      </c>
      <c r="AS80" s="57">
        <f>[21]January_2019!AB8</f>
        <v>0.65614035087719302</v>
      </c>
      <c r="AT80" s="57" t="e">
        <f>[21]January_2019!AC8</f>
        <v>#DIV/0!</v>
      </c>
      <c r="AU80" s="57" t="e">
        <f>[21]January_2019!AD8</f>
        <v>#DIV/0!</v>
      </c>
      <c r="AV80" s="57">
        <f>[21]January_2019!AE8</f>
        <v>1.7021052631578948</v>
      </c>
      <c r="AW80" s="57">
        <f>[21]January_2019!AF8</f>
        <v>0.60192982456140354</v>
      </c>
      <c r="AX80" s="57">
        <f>[21]January_2019!AG8</f>
        <v>1.4870175438596491</v>
      </c>
      <c r="AY80" s="277" t="e">
        <f>[21]January_2019!AH8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03" t="s">
        <v>55</v>
      </c>
      <c r="C87" s="504"/>
      <c r="D87" s="504"/>
      <c r="E87" s="504"/>
      <c r="F87" s="505"/>
      <c r="G87" s="503" t="s">
        <v>56</v>
      </c>
      <c r="H87" s="504"/>
      <c r="I87" s="504"/>
      <c r="J87" s="505"/>
      <c r="K87" s="503" t="s">
        <v>51</v>
      </c>
      <c r="L87" s="504"/>
      <c r="M87" s="504"/>
      <c r="N87" s="506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[37]December_2023!$U$21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[39]May_2022!$M$43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3079" priority="157" operator="notBetween">
      <formula>#REF!</formula>
      <formula>#REF!</formula>
    </cfRule>
  </conditionalFormatting>
  <conditionalFormatting sqref="C76">
    <cfRule type="cellIs" dxfId="3078" priority="190" stopIfTrue="1" operator="greaterThan">
      <formula>100</formula>
    </cfRule>
    <cfRule type="cellIs" dxfId="3077" priority="189" stopIfTrue="1" operator="lessThan">
      <formula>96</formula>
    </cfRule>
  </conditionalFormatting>
  <conditionalFormatting sqref="C90">
    <cfRule type="cellIs" dxfId="3076" priority="212" stopIfTrue="1" operator="greaterThan">
      <formula>$F89</formula>
    </cfRule>
    <cfRule type="cellIs" dxfId="3075" priority="106" stopIfTrue="1" operator="lessThanOrEqual">
      <formula>0</formula>
    </cfRule>
  </conditionalFormatting>
  <conditionalFormatting sqref="C91:C93">
    <cfRule type="cellIs" dxfId="3074" priority="105" stopIfTrue="1" operator="greaterThan">
      <formula>$F91</formula>
    </cfRule>
  </conditionalFormatting>
  <conditionalFormatting sqref="C91:C94">
    <cfRule type="cellIs" dxfId="3073" priority="129" stopIfTrue="1" operator="lessThanOrEqual">
      <formula>0</formula>
    </cfRule>
  </conditionalFormatting>
  <conditionalFormatting sqref="C94">
    <cfRule type="cellIs" dxfId="3072" priority="128" stopIfTrue="1" operator="greaterThan">
      <formula>$J94</formula>
    </cfRule>
  </conditionalFormatting>
  <conditionalFormatting sqref="C95:C97">
    <cfRule type="cellIs" dxfId="3071" priority="145" stopIfTrue="1" operator="greaterThan">
      <formula>$F95</formula>
    </cfRule>
    <cfRule type="cellIs" dxfId="3070" priority="146" stopIfTrue="1" operator="lessThanOrEqual">
      <formula>0</formula>
    </cfRule>
  </conditionalFormatting>
  <conditionalFormatting sqref="C100:C104">
    <cfRule type="cellIs" dxfId="3069" priority="181" stopIfTrue="1" operator="lessThanOrEqual">
      <formula>0</formula>
    </cfRule>
  </conditionalFormatting>
  <conditionalFormatting sqref="C101:C104">
    <cfRule type="cellIs" dxfId="3068" priority="180" stopIfTrue="1" operator="greaterThan">
      <formula>$F$100</formula>
    </cfRule>
  </conditionalFormatting>
  <conditionalFormatting sqref="C106">
    <cfRule type="cellIs" dxfId="3067" priority="183" stopIfTrue="1" operator="lessThanOrEqual">
      <formula>0</formula>
    </cfRule>
    <cfRule type="cellIs" dxfId="3066" priority="182" stopIfTrue="1" operator="greaterThan">
      <formula>$F$100</formula>
    </cfRule>
  </conditionalFormatting>
  <conditionalFormatting sqref="C100:D100 D102:D108">
    <cfRule type="cellIs" dxfId="3065" priority="175" stopIfTrue="1" operator="greaterThan">
      <formula>4.5</formula>
    </cfRule>
  </conditionalFormatting>
  <conditionalFormatting sqref="D72:D73">
    <cfRule type="cellIs" dxfId="3064" priority="158" operator="notBetween">
      <formula>#REF!</formula>
      <formula>#REF!</formula>
    </cfRule>
  </conditionalFormatting>
  <conditionalFormatting sqref="D89:D96">
    <cfRule type="cellIs" dxfId="3063" priority="144" stopIfTrue="1" operator="lessThanOrEqual">
      <formula>0</formula>
    </cfRule>
  </conditionalFormatting>
  <conditionalFormatting sqref="D97">
    <cfRule type="cellIs" dxfId="3062" priority="143" stopIfTrue="1" operator="lessThanOrEqual">
      <formula>0</formula>
    </cfRule>
  </conditionalFormatting>
  <conditionalFormatting sqref="D100 D102:D108">
    <cfRule type="cellIs" dxfId="3061" priority="176" stopIfTrue="1" operator="lessThanOrEqual">
      <formula>0</formula>
    </cfRule>
  </conditionalFormatting>
  <conditionalFormatting sqref="D101">
    <cfRule type="cellIs" dxfId="3060" priority="167" stopIfTrue="1" operator="greaterThan">
      <formula>$F$100</formula>
    </cfRule>
    <cfRule type="cellIs" dxfId="3059" priority="168" stopIfTrue="1" operator="lessThanOrEqual">
      <formula>0</formula>
    </cfRule>
  </conditionalFormatting>
  <conditionalFormatting sqref="D89:E97">
    <cfRule type="cellIs" dxfId="3058" priority="135" stopIfTrue="1" operator="greaterThan">
      <formula>$F89</formula>
    </cfRule>
  </conditionalFormatting>
  <conditionalFormatting sqref="E10:E14">
    <cfRule type="cellIs" dxfId="3057" priority="52" operator="lessThan">
      <formula>48</formula>
    </cfRule>
  </conditionalFormatting>
  <conditionalFormatting sqref="E33:E46">
    <cfRule type="cellIs" dxfId="3056" priority="25" operator="lessThan">
      <formula>48</formula>
    </cfRule>
  </conditionalFormatting>
  <conditionalFormatting sqref="E76">
    <cfRule type="cellIs" dxfId="3055" priority="169" stopIfTrue="1" operator="lessThan">
      <formula>96.8</formula>
    </cfRule>
    <cfRule type="cellIs" dxfId="3054" priority="170" stopIfTrue="1" operator="greaterThan">
      <formula>100</formula>
    </cfRule>
  </conditionalFormatting>
  <conditionalFormatting sqref="E89:E97">
    <cfRule type="cellIs" dxfId="3053" priority="136" stopIfTrue="1" operator="lessThanOrEqual">
      <formula>0</formula>
    </cfRule>
  </conditionalFormatting>
  <conditionalFormatting sqref="E100:E108">
    <cfRule type="cellIs" dxfId="3052" priority="161" stopIfTrue="1" operator="greaterThan">
      <formula>4.5</formula>
    </cfRule>
    <cfRule type="cellIs" dxfId="3051" priority="162" stopIfTrue="1" operator="lessThanOrEqual">
      <formula>0</formula>
    </cfRule>
  </conditionalFormatting>
  <conditionalFormatting sqref="E75:F76">
    <cfRule type="cellIs" dxfId="3050" priority="171" stopIfTrue="1" operator="lessThan">
      <formula>96.5</formula>
    </cfRule>
    <cfRule type="cellIs" dxfId="3049" priority="172" stopIfTrue="1" operator="greaterThan">
      <formula>100</formula>
    </cfRule>
  </conditionalFormatting>
  <conditionalFormatting sqref="F10:F12">
    <cfRule type="cellIs" dxfId="3048" priority="62" operator="greaterThan">
      <formula>#REF!</formula>
    </cfRule>
  </conditionalFormatting>
  <conditionalFormatting sqref="F10:F47">
    <cfRule type="cellIs" dxfId="3047" priority="15" operator="greaterThan">
      <formula>$AA10</formula>
    </cfRule>
  </conditionalFormatting>
  <conditionalFormatting sqref="F13">
    <cfRule type="cellIs" dxfId="3046" priority="53" operator="greaterThan">
      <formula>$AA47</formula>
    </cfRule>
  </conditionalFormatting>
  <conditionalFormatting sqref="F14">
    <cfRule type="cellIs" dxfId="3045" priority="196" operator="greaterThan">
      <formula>#REF!</formula>
    </cfRule>
  </conditionalFormatting>
  <conditionalFormatting sqref="F33:F46">
    <cfRule type="cellIs" dxfId="3044" priority="26" operator="greaterThan">
      <formula>$AA48</formula>
    </cfRule>
  </conditionalFormatting>
  <conditionalFormatting sqref="F76">
    <cfRule type="cellIs" dxfId="3043" priority="188" stopIfTrue="1" operator="greaterThan">
      <formula>100</formula>
    </cfRule>
    <cfRule type="cellIs" dxfId="3042" priority="187" stopIfTrue="1" operator="lessThan">
      <formula>96.8</formula>
    </cfRule>
  </conditionalFormatting>
  <conditionalFormatting sqref="F97">
    <cfRule type="cellIs" dxfId="3041" priority="137" stopIfTrue="1" operator="greaterThan">
      <formula>$F97</formula>
    </cfRule>
    <cfRule type="cellIs" dxfId="3040" priority="138" stopIfTrue="1" operator="lessThanOrEqual">
      <formula>0</formula>
    </cfRule>
  </conditionalFormatting>
  <conditionalFormatting sqref="G10:G14">
    <cfRule type="expression" dxfId="3039" priority="54">
      <formula>IF(+(IF(G10&lt;#REF!,0,IF(G10&gt;#REF!,0,1)))=0,1)</formula>
    </cfRule>
  </conditionalFormatting>
  <conditionalFormatting sqref="G33:G46">
    <cfRule type="expression" dxfId="3038" priority="27">
      <formula>IF(+(IF(G33&lt;#REF!,0,IF(G33&gt;#REF!,0,1)))=0,1)</formula>
    </cfRule>
  </conditionalFormatting>
  <conditionalFormatting sqref="G90">
    <cfRule type="cellIs" dxfId="3037" priority="71" stopIfTrue="1" operator="lessThanOrEqual">
      <formula>0</formula>
    </cfRule>
    <cfRule type="cellIs" dxfId="3036" priority="70" stopIfTrue="1" operator="greaterThan">
      <formula>$F89</formula>
    </cfRule>
  </conditionalFormatting>
  <conditionalFormatting sqref="G90:G91">
    <cfRule type="cellIs" dxfId="3035" priority="192" stopIfTrue="1" operator="lessThanOrEqual">
      <formula>0</formula>
    </cfRule>
    <cfRule type="cellIs" dxfId="3034" priority="191" stopIfTrue="1" operator="greaterThan">
      <formula>$F89</formula>
    </cfRule>
  </conditionalFormatting>
  <conditionalFormatting sqref="G92">
    <cfRule type="cellIs" dxfId="3033" priority="140" stopIfTrue="1" operator="lessThanOrEqual">
      <formula>0</formula>
    </cfRule>
    <cfRule type="cellIs" dxfId="3032" priority="139" stopIfTrue="1" operator="greaterThan">
      <formula>$F92</formula>
    </cfRule>
  </conditionalFormatting>
  <conditionalFormatting sqref="G93:G96">
    <cfRule type="cellIs" dxfId="3031" priority="149" stopIfTrue="1" operator="lessThanOrEqual">
      <formula>0</formula>
    </cfRule>
    <cfRule type="cellIs" dxfId="3030" priority="148" stopIfTrue="1" operator="greaterThan">
      <formula>$J93</formula>
    </cfRule>
  </conditionalFormatting>
  <conditionalFormatting sqref="G97">
    <cfRule type="cellIs" dxfId="3029" priority="147" operator="greaterThan">
      <formula>4.5</formula>
    </cfRule>
  </conditionalFormatting>
  <conditionalFormatting sqref="G102:G107 C105 C107">
    <cfRule type="cellIs" dxfId="3028" priority="184" stopIfTrue="1" operator="greaterThan">
      <formula>4.5</formula>
    </cfRule>
    <cfRule type="cellIs" dxfId="3027" priority="185" stopIfTrue="1" operator="lessThanOrEqual">
      <formula>0</formula>
    </cfRule>
  </conditionalFormatting>
  <conditionalFormatting sqref="G62:H62 G63:G73 H63:H74">
    <cfRule type="cellIs" dxfId="3026" priority="163" stopIfTrue="1" operator="greaterThan">
      <formula>0</formula>
    </cfRule>
  </conditionalFormatting>
  <conditionalFormatting sqref="G101:H101">
    <cfRule type="cellIs" dxfId="3025" priority="166" stopIfTrue="1" operator="lessThanOrEqual">
      <formula>0</formula>
    </cfRule>
    <cfRule type="cellIs" dxfId="3024" priority="165" stopIfTrue="1" operator="greaterThan">
      <formula>$F$100</formula>
    </cfRule>
  </conditionalFormatting>
  <conditionalFormatting sqref="H10">
    <cfRule type="expression" dxfId="3023" priority="63">
      <formula>IF(+(IF(H10&lt;T27,0,IF(H10&gt;U27,0,1)))=0,1)</formula>
    </cfRule>
  </conditionalFormatting>
  <conditionalFormatting sqref="H10:H12">
    <cfRule type="expression" dxfId="3022" priority="64">
      <formula>IF(+(IF(H10&lt;#REF!,0,IF(H10&gt;#REF!,0,1)))=0,1)</formula>
    </cfRule>
  </conditionalFormatting>
  <conditionalFormatting sqref="H11:H12">
    <cfRule type="expression" dxfId="3021" priority="207">
      <formula>IF(+(IF(H11&lt;T47,0,IF(H11&gt;U47,0,1)))=0,1)</formula>
    </cfRule>
  </conditionalFormatting>
  <conditionalFormatting sqref="H13">
    <cfRule type="expression" dxfId="3020" priority="55">
      <formula>IF(+(IF(H13&lt;T56,0,IF(H13&gt;U56,0,1)))=0,1)</formula>
    </cfRule>
    <cfRule type="expression" dxfId="3019" priority="56">
      <formula>IF(+(IF(H13&lt;T47,0,IF(H13&gt;U47,0,1)))=0,1)</formula>
    </cfRule>
  </conditionalFormatting>
  <conditionalFormatting sqref="H14">
    <cfRule type="expression" dxfId="3018" priority="197">
      <formula>IF(+(IF(H14&lt;T50,0,IF(H14&gt;U50,0,1)))=0,1)</formula>
    </cfRule>
    <cfRule type="expression" dxfId="3017" priority="198">
      <formula>IF(+(IF(H14&lt;#REF!,0,IF(H14&gt;#REF!,0,1)))=0,1)</formula>
    </cfRule>
  </conditionalFormatting>
  <conditionalFormatting sqref="H15:H32">
    <cfRule type="expression" dxfId="3016" priority="209">
      <formula>IF(+(IF(H15&lt;T66,0,IF(H15&gt;U66,0,1)))=0,1)</formula>
    </cfRule>
  </conditionalFormatting>
  <conditionalFormatting sqref="H33:H46">
    <cfRule type="expression" dxfId="3015" priority="29">
      <formula>IF(+(IF(H33&lt;T48,0,IF(H33&gt;U48,0,1)))=0,1)</formula>
    </cfRule>
    <cfRule type="expression" dxfId="3014" priority="28">
      <formula>IF(+(IF(H33&lt;T57,0,IF(H33&gt;U57,0,1)))=0,1)</formula>
    </cfRule>
  </conditionalFormatting>
  <conditionalFormatting sqref="H47">
    <cfRule type="expression" dxfId="3013" priority="193">
      <formula>IF(+(IF(H47&lt;#REF!,0,IF(H47&gt;#REF!,0,1)))=0,1)</formula>
    </cfRule>
  </conditionalFormatting>
  <conditionalFormatting sqref="H51:H61">
    <cfRule type="cellIs" dxfId="3012" priority="159" stopIfTrue="1" operator="greaterThan">
      <formula>0</formula>
    </cfRule>
  </conditionalFormatting>
  <conditionalFormatting sqref="H79">
    <cfRule type="cellIs" dxfId="3011" priority="12" stopIfTrue="1" operator="lessThanOrEqual">
      <formula>0</formula>
    </cfRule>
    <cfRule type="cellIs" dxfId="3010" priority="14" stopIfTrue="1" operator="lessThanOrEqual">
      <formula>0</formula>
    </cfRule>
    <cfRule type="cellIs" dxfId="3009" priority="13" stopIfTrue="1" operator="greaterThan">
      <formula>$F$54</formula>
    </cfRule>
    <cfRule type="cellIs" dxfId="3008" priority="11" stopIfTrue="1" operator="greaterThan">
      <formula>$F$56</formula>
    </cfRule>
    <cfRule type="cellIs" dxfId="3007" priority="2" stopIfTrue="1" operator="lessThanOrEqual">
      <formula>0</formula>
    </cfRule>
    <cfRule type="cellIs" dxfId="3006" priority="3" stopIfTrue="1" operator="greaterThan">
      <formula>$F$53</formula>
    </cfRule>
  </conditionalFormatting>
  <conditionalFormatting sqref="H80">
    <cfRule type="cellIs" dxfId="3005" priority="92" stopIfTrue="1" operator="lessThanOrEqual">
      <formula>0</formula>
    </cfRule>
    <cfRule type="cellIs" dxfId="3004" priority="93" stopIfTrue="1" operator="greaterThan">
      <formula>$F$88</formula>
    </cfRule>
    <cfRule type="cellIs" dxfId="3003" priority="104" stopIfTrue="1" operator="lessThanOrEqual">
      <formula>0</formula>
    </cfRule>
    <cfRule type="cellIs" dxfId="3002" priority="101" stopIfTrue="1" operator="greaterThan">
      <formula>$F$91</formula>
    </cfRule>
    <cfRule type="cellIs" dxfId="3001" priority="102" stopIfTrue="1" operator="lessThanOrEqual">
      <formula>0</formula>
    </cfRule>
    <cfRule type="cellIs" dxfId="3000" priority="103" stopIfTrue="1" operator="greaterThan">
      <formula>$F$89</formula>
    </cfRule>
  </conditionalFormatting>
  <conditionalFormatting sqref="H81">
    <cfRule type="cellIs" dxfId="2999" priority="45" stopIfTrue="1" operator="lessThanOrEqual">
      <formula>0</formula>
    </cfRule>
    <cfRule type="cellIs" dxfId="2998" priority="36" stopIfTrue="1" operator="greaterThan">
      <formula>$F$72</formula>
    </cfRule>
    <cfRule type="cellIs" dxfId="2997" priority="35" stopIfTrue="1" operator="lessThanOrEqual">
      <formula>0</formula>
    </cfRule>
    <cfRule type="cellIs" dxfId="2996" priority="44" stopIfTrue="1" operator="greaterThan">
      <formula>$F$75</formula>
    </cfRule>
    <cfRule type="cellIs" dxfId="2995" priority="47" stopIfTrue="1" operator="lessThanOrEqual">
      <formula>0</formula>
    </cfRule>
    <cfRule type="cellIs" dxfId="2994" priority="46" stopIfTrue="1" operator="greaterThan">
      <formula>$F$73</formula>
    </cfRule>
  </conditionalFormatting>
  <conditionalFormatting sqref="H82">
    <cfRule type="cellIs" dxfId="2993" priority="84" stopIfTrue="1" operator="greaterThan">
      <formula>#REF!</formula>
    </cfRule>
    <cfRule type="cellIs" dxfId="2992" priority="75" stopIfTrue="1" operator="lessThanOrEqual">
      <formula>0</formula>
    </cfRule>
    <cfRule type="cellIs" dxfId="2991" priority="76" stopIfTrue="1" operator="greaterThan">
      <formula>#REF!</formula>
    </cfRule>
  </conditionalFormatting>
  <conditionalFormatting sqref="H82:H84">
    <cfRule type="cellIs" dxfId="2990" priority="85" stopIfTrue="1" operator="lessThanOrEqual">
      <formula>0</formula>
    </cfRule>
  </conditionalFormatting>
  <conditionalFormatting sqref="H83:H84">
    <cfRule type="cellIs" dxfId="2989" priority="125" stopIfTrue="1" operator="lessThanOrEqual">
      <formula>0</formula>
    </cfRule>
    <cfRule type="cellIs" dxfId="2988" priority="124" stopIfTrue="1" operator="greaterThan">
      <formula>$F$90</formula>
    </cfRule>
    <cfRule type="cellIs" dxfId="2987" priority="122" stopIfTrue="1" operator="greaterThan">
      <formula>$F$92</formula>
    </cfRule>
    <cfRule type="cellIs" dxfId="2986" priority="114" stopIfTrue="1" operator="greaterThan">
      <formula>$F$89</formula>
    </cfRule>
    <cfRule type="cellIs" dxfId="2985" priority="123" stopIfTrue="1" operator="lessThanOrEqual">
      <formula>0</formula>
    </cfRule>
  </conditionalFormatting>
  <conditionalFormatting sqref="H85">
    <cfRule type="cellIs" dxfId="2984" priority="155" stopIfTrue="1" operator="greaterThan">
      <formula>$F$82</formula>
    </cfRule>
    <cfRule type="cellIs" dxfId="2983" priority="156" stopIfTrue="1" operator="lessThanOrEqual">
      <formula>0</formula>
    </cfRule>
    <cfRule type="cellIs" dxfId="2982" priority="153" stopIfTrue="1" operator="greaterThan">
      <formula>$F$86</formula>
    </cfRule>
    <cfRule type="cellIs" dxfId="2981" priority="154" stopIfTrue="1" operator="lessThanOrEqual">
      <formula>0</formula>
    </cfRule>
  </conditionalFormatting>
  <conditionalFormatting sqref="H89:H96">
    <cfRule type="cellIs" dxfId="2980" priority="127" stopIfTrue="1" operator="lessThanOrEqual">
      <formula>0</formula>
    </cfRule>
    <cfRule type="cellIs" dxfId="2979" priority="126" stopIfTrue="1" operator="greaterThan">
      <formula>$J89</formula>
    </cfRule>
  </conditionalFormatting>
  <conditionalFormatting sqref="H97">
    <cfRule type="cellIs" dxfId="2978" priority="132" operator="greaterThan">
      <formula>5.3</formula>
    </cfRule>
  </conditionalFormatting>
  <conditionalFormatting sqref="H100 H102:H108">
    <cfRule type="cellIs" dxfId="2977" priority="177" stopIfTrue="1" operator="greaterThan">
      <formula>4.5</formula>
    </cfRule>
    <cfRule type="cellIs" dxfId="2976" priority="178" stopIfTrue="1" operator="lessThanOrEqual">
      <formula>0</formula>
    </cfRule>
  </conditionalFormatting>
  <conditionalFormatting sqref="H79:I79">
    <cfRule type="cellIs" dxfId="2975" priority="4" stopIfTrue="1" operator="lessThanOrEqual">
      <formula>0</formula>
    </cfRule>
    <cfRule type="cellIs" dxfId="2974" priority="1" stopIfTrue="1" operator="greaterThan">
      <formula>$F$55</formula>
    </cfRule>
  </conditionalFormatting>
  <conditionalFormatting sqref="H80:I80">
    <cfRule type="cellIs" dxfId="2973" priority="94" stopIfTrue="1" operator="lessThanOrEqual">
      <formula>0</formula>
    </cfRule>
    <cfRule type="cellIs" dxfId="2972" priority="91" stopIfTrue="1" operator="greaterThan">
      <formula>$F$90</formula>
    </cfRule>
  </conditionalFormatting>
  <conditionalFormatting sqref="H81:I81">
    <cfRule type="cellIs" dxfId="2971" priority="37" stopIfTrue="1" operator="lessThanOrEqual">
      <formula>0</formula>
    </cfRule>
    <cfRule type="cellIs" dxfId="2970" priority="34" stopIfTrue="1" operator="greaterThan">
      <formula>$F$74</formula>
    </cfRule>
  </conditionalFormatting>
  <conditionalFormatting sqref="H82:I82">
    <cfRule type="cellIs" dxfId="2969" priority="83" stopIfTrue="1" operator="lessThanOrEqual">
      <formula>0</formula>
    </cfRule>
    <cfRule type="cellIs" dxfId="2968" priority="82" stopIfTrue="1" operator="greaterThan">
      <formula>#REF!</formula>
    </cfRule>
    <cfRule type="cellIs" dxfId="2967" priority="74" stopIfTrue="1" operator="greaterThan">
      <formula>#REF!</formula>
    </cfRule>
    <cfRule type="cellIs" dxfId="2966" priority="77" stopIfTrue="1" operator="lessThanOrEqual">
      <formula>0</formula>
    </cfRule>
  </conditionalFormatting>
  <conditionalFormatting sqref="H83:I83">
    <cfRule type="cellIs" dxfId="2965" priority="115" stopIfTrue="1" operator="lessThanOrEqual">
      <formula>0</formula>
    </cfRule>
  </conditionalFormatting>
  <conditionalFormatting sqref="H83:I84">
    <cfRule type="cellIs" dxfId="2964" priority="72" stopIfTrue="1" operator="greaterThan">
      <formula>$F$91</formula>
    </cfRule>
  </conditionalFormatting>
  <conditionalFormatting sqref="H84:I84">
    <cfRule type="cellIs" dxfId="2963" priority="73" stopIfTrue="1" operator="lessThanOrEqual">
      <formula>0</formula>
    </cfRule>
  </conditionalFormatting>
  <conditionalFormatting sqref="I10:I14">
    <cfRule type="cellIs" dxfId="2962" priority="49" operator="lessThan">
      <formula>97.8</formula>
    </cfRule>
  </conditionalFormatting>
  <conditionalFormatting sqref="I10:I47">
    <cfRule type="cellIs" dxfId="2961" priority="21" operator="lessThan">
      <formula>98</formula>
    </cfRule>
  </conditionalFormatting>
  <conditionalFormatting sqref="I33:I46">
    <cfRule type="cellIs" dxfId="2960" priority="22" operator="lessThan">
      <formula>97.8</formula>
    </cfRule>
  </conditionalFormatting>
  <conditionalFormatting sqref="I79">
    <cfRule type="cellIs" dxfId="2959" priority="5" stopIfTrue="1" operator="greaterThan">
      <formula>$F$53</formula>
    </cfRule>
    <cfRule type="cellIs" dxfId="2958" priority="6" stopIfTrue="1" operator="lessThanOrEqual">
      <formula>0</formula>
    </cfRule>
    <cfRule type="cellIs" dxfId="2957" priority="7" stopIfTrue="1" operator="greaterThan">
      <formula>$F$55</formula>
    </cfRule>
    <cfRule type="cellIs" dxfId="2956" priority="8" stopIfTrue="1" operator="lessThanOrEqual">
      <formula>0</formula>
    </cfRule>
    <cfRule type="cellIs" dxfId="2955" priority="9" stopIfTrue="1" operator="greaterThan">
      <formula>$F$53</formula>
    </cfRule>
    <cfRule type="cellIs" dxfId="2954" priority="10" stopIfTrue="1" operator="lessThanOrEqual">
      <formula>0</formula>
    </cfRule>
  </conditionalFormatting>
  <conditionalFormatting sqref="I80">
    <cfRule type="cellIs" dxfId="2953" priority="99" stopIfTrue="1" operator="greaterThan">
      <formula>$F$88</formula>
    </cfRule>
    <cfRule type="cellIs" dxfId="2952" priority="97" stopIfTrue="1" operator="greaterThan">
      <formula>$F$90</formula>
    </cfRule>
    <cfRule type="cellIs" dxfId="2951" priority="96" stopIfTrue="1" operator="lessThanOrEqual">
      <formula>0</formula>
    </cfRule>
    <cfRule type="cellIs" dxfId="2950" priority="95" stopIfTrue="1" operator="greaterThan">
      <formula>$F$88</formula>
    </cfRule>
    <cfRule type="cellIs" dxfId="2949" priority="100" stopIfTrue="1" operator="lessThanOrEqual">
      <formula>0</formula>
    </cfRule>
    <cfRule type="cellIs" dxfId="2948" priority="98" stopIfTrue="1" operator="lessThanOrEqual">
      <formula>0</formula>
    </cfRule>
  </conditionalFormatting>
  <conditionalFormatting sqref="I81">
    <cfRule type="cellIs" dxfId="2947" priority="43" stopIfTrue="1" operator="lessThanOrEqual">
      <formula>0</formula>
    </cfRule>
    <cfRule type="cellIs" dxfId="2946" priority="42" stopIfTrue="1" operator="greaterThan">
      <formula>$F$72</formula>
    </cfRule>
    <cfRule type="cellIs" dxfId="2945" priority="41" stopIfTrue="1" operator="lessThanOrEqual">
      <formula>0</formula>
    </cfRule>
    <cfRule type="cellIs" dxfId="2944" priority="40" stopIfTrue="1" operator="greaterThan">
      <formula>$F$74</formula>
    </cfRule>
    <cfRule type="cellIs" dxfId="2943" priority="39" stopIfTrue="1" operator="lessThanOrEqual">
      <formula>0</formula>
    </cfRule>
    <cfRule type="cellIs" dxfId="2942" priority="38" stopIfTrue="1" operator="greaterThan">
      <formula>$F$72</formula>
    </cfRule>
  </conditionalFormatting>
  <conditionalFormatting sqref="I82">
    <cfRule type="cellIs" dxfId="2941" priority="80" stopIfTrue="1" operator="greaterThan">
      <formula>#REF!</formula>
    </cfRule>
    <cfRule type="cellIs" dxfId="2940" priority="79" stopIfTrue="1" operator="lessThanOrEqual">
      <formula>0</formula>
    </cfRule>
    <cfRule type="cellIs" dxfId="2939" priority="78" stopIfTrue="1" operator="greaterThan">
      <formula>#REF!</formula>
    </cfRule>
    <cfRule type="cellIs" dxfId="2938" priority="81" stopIfTrue="1" operator="lessThanOrEqual">
      <formula>0</formula>
    </cfRule>
  </conditionalFormatting>
  <conditionalFormatting sqref="I83:I84">
    <cfRule type="cellIs" dxfId="2937" priority="118" stopIfTrue="1" operator="greaterThan">
      <formula>$F$91</formula>
    </cfRule>
    <cfRule type="cellIs" dxfId="2936" priority="116" stopIfTrue="1" operator="greaterThan">
      <formula>$F$89</formula>
    </cfRule>
    <cfRule type="cellIs" dxfId="2935" priority="117" stopIfTrue="1" operator="lessThanOrEqual">
      <formula>0</formula>
    </cfRule>
    <cfRule type="cellIs" dxfId="2934" priority="119" stopIfTrue="1" operator="lessThanOrEqual">
      <formula>0</formula>
    </cfRule>
    <cfRule type="cellIs" dxfId="2933" priority="120" stopIfTrue="1" operator="greaterThan">
      <formula>$F$89</formula>
    </cfRule>
    <cfRule type="cellIs" dxfId="2932" priority="121" stopIfTrue="1" operator="lessThanOrEqual">
      <formula>0</formula>
    </cfRule>
  </conditionalFormatting>
  <conditionalFormatting sqref="I89:I97">
    <cfRule type="cellIs" dxfId="2931" priority="133" stopIfTrue="1" operator="greaterThan">
      <formula>$J89</formula>
    </cfRule>
    <cfRule type="cellIs" dxfId="2930" priority="134" stopIfTrue="1" operator="lessThanOrEqual">
      <formula>0</formula>
    </cfRule>
  </conditionalFormatting>
  <conditionalFormatting sqref="I100:I108">
    <cfRule type="cellIs" dxfId="2929" priority="173" stopIfTrue="1" operator="greaterThan">
      <formula>4.5</formula>
    </cfRule>
    <cfRule type="cellIs" dxfId="2928" priority="174" stopIfTrue="1" operator="lessThanOrEqual">
      <formula>0</formula>
    </cfRule>
  </conditionalFormatting>
  <conditionalFormatting sqref="J10:J14">
    <cfRule type="cellIs" dxfId="2927" priority="51" operator="notBetween">
      <formula>98</formula>
      <formula>99.9</formula>
    </cfRule>
  </conditionalFormatting>
  <conditionalFormatting sqref="J10:J47">
    <cfRule type="cellIs" dxfId="2926" priority="20" operator="lessThan">
      <formula>97.4</formula>
    </cfRule>
  </conditionalFormatting>
  <conditionalFormatting sqref="J33:J46">
    <cfRule type="cellIs" dxfId="2925" priority="24" operator="notBetween">
      <formula>98</formula>
      <formula>99.9</formula>
    </cfRule>
  </conditionalFormatting>
  <conditionalFormatting sqref="J50:J52">
    <cfRule type="cellIs" dxfId="2924" priority="108" stopIfTrue="1" operator="greaterThan">
      <formula>100</formula>
    </cfRule>
    <cfRule type="cellIs" dxfId="2923" priority="109" operator="lessThan">
      <formula>98</formula>
    </cfRule>
    <cfRule type="cellIs" dxfId="2922" priority="107" stopIfTrue="1" operator="lessThan">
      <formula>96.8</formula>
    </cfRule>
  </conditionalFormatting>
  <conditionalFormatting sqref="J50:J54">
    <cfRule type="cellIs" dxfId="2921" priority="48" operator="lessThan">
      <formula>97.4</formula>
    </cfRule>
  </conditionalFormatting>
  <conditionalFormatting sqref="J55 L59:M59 L61:M61">
    <cfRule type="cellIs" dxfId="2920" priority="110" operator="lessThan">
      <formula>98</formula>
    </cfRule>
  </conditionalFormatting>
  <conditionalFormatting sqref="J56:J57">
    <cfRule type="cellIs" dxfId="2919" priority="111" stopIfTrue="1" operator="lessThan">
      <formula>96.8</formula>
    </cfRule>
    <cfRule type="cellIs" dxfId="2918" priority="112" stopIfTrue="1" operator="greaterThan">
      <formula>100</formula>
    </cfRule>
  </conditionalFormatting>
  <conditionalFormatting sqref="J56:J58">
    <cfRule type="cellIs" dxfId="2917" priority="113" operator="lessThan">
      <formula>98</formula>
    </cfRule>
  </conditionalFormatting>
  <conditionalFormatting sqref="K10:K14">
    <cfRule type="cellIs" dxfId="2916" priority="50" operator="greaterThan">
      <formula>6.4</formula>
    </cfRule>
  </conditionalFormatting>
  <conditionalFormatting sqref="K10:K47">
    <cfRule type="cellIs" dxfId="2915" priority="17" operator="lessThan">
      <formula>4</formula>
    </cfRule>
    <cfRule type="cellIs" dxfId="2914" priority="16" operator="greaterThan">
      <formula>6</formula>
    </cfRule>
  </conditionalFormatting>
  <conditionalFormatting sqref="K33:K46">
    <cfRule type="cellIs" dxfId="2913" priority="23" operator="greaterThan">
      <formula>6.4</formula>
    </cfRule>
  </conditionalFormatting>
  <conditionalFormatting sqref="K64:K73">
    <cfRule type="cellIs" dxfId="2912" priority="141" operator="notEqual">
      <formula>#REF!</formula>
    </cfRule>
  </conditionalFormatting>
  <conditionalFormatting sqref="K79:K84 J85:K85 L89:N89 K90:N97">
    <cfRule type="cellIs" dxfId="2911" priority="152" stopIfTrue="1" operator="lessThan">
      <formula>100%</formula>
    </cfRule>
  </conditionalFormatting>
  <conditionalFormatting sqref="K100:K105">
    <cfRule type="cellIs" dxfId="2910" priority="179" stopIfTrue="1" operator="lessThan">
      <formula>100%</formula>
    </cfRule>
  </conditionalFormatting>
  <conditionalFormatting sqref="K107:K108">
    <cfRule type="cellIs" dxfId="2909" priority="186" stopIfTrue="1" operator="lessThan">
      <formula>100%</formula>
    </cfRule>
  </conditionalFormatting>
  <conditionalFormatting sqref="L10:L47">
    <cfRule type="cellIs" dxfId="2908" priority="19" operator="greaterThan">
      <formula>65</formula>
    </cfRule>
    <cfRule type="cellIs" dxfId="2907" priority="18" operator="between">
      <formula>61</formula>
      <formula>65</formula>
    </cfRule>
  </conditionalFormatting>
  <conditionalFormatting sqref="L52:L58">
    <cfRule type="cellIs" dxfId="2906" priority="88" operator="lessThan">
      <formula>98</formula>
    </cfRule>
  </conditionalFormatting>
  <conditionalFormatting sqref="L65:N65">
    <cfRule type="cellIs" dxfId="2905" priority="87" operator="notEqual">
      <formula>#REF!</formula>
    </cfRule>
  </conditionalFormatting>
  <conditionalFormatting sqref="L100:N108">
    <cfRule type="cellIs" dxfId="2904" priority="164" stopIfTrue="1" operator="lessThan">
      <formula>100%</formula>
    </cfRule>
  </conditionalFormatting>
  <conditionalFormatting sqref="M10:M11">
    <cfRule type="expression" dxfId="2903" priority="65">
      <formula>IF(+(IF(M10&lt;V23,0,IF(M10&gt;W23,0,1)))=0,1)</formula>
    </cfRule>
  </conditionalFormatting>
  <conditionalFormatting sqref="M13">
    <cfRule type="expression" dxfId="2902" priority="58">
      <formula>IF(+(IF(M13&lt;V47,0,IF(M13&gt;W47,0,1)))=0,1)</formula>
    </cfRule>
    <cfRule type="expression" dxfId="2901" priority="57">
      <formula>IF(+(IF(M13&lt;V52,0,IF(M13&gt;W52,0,1)))=0,1)</formula>
    </cfRule>
  </conditionalFormatting>
  <conditionalFormatting sqref="M14">
    <cfRule type="expression" dxfId="2900" priority="199">
      <formula>IF(+(IF(M14&lt;V27,0,IF(M14&gt;W27,0,1)))=0,1)</formula>
    </cfRule>
  </conditionalFormatting>
  <conditionalFormatting sqref="M15:M32">
    <cfRule type="expression" dxfId="2899" priority="210">
      <formula>IF(+(IF(M15&lt;V62,0,IF(M15&gt;W62,0,1)))=0,1)</formula>
    </cfRule>
  </conditionalFormatting>
  <conditionalFormatting sqref="M33:M46">
    <cfRule type="expression" dxfId="2898" priority="31">
      <formula>IF(+(IF(M33&lt;V48,0,IF(M33&gt;W48,0,1)))=0,1)</formula>
    </cfRule>
    <cfRule type="expression" dxfId="2897" priority="30">
      <formula>IF(+(IF(M33&lt;V53,0,IF(M33&gt;W53,0,1)))=0,1)</formula>
    </cfRule>
  </conditionalFormatting>
  <conditionalFormatting sqref="M50:M58">
    <cfRule type="cellIs" dxfId="2896" priority="86" operator="lessThan">
      <formula>98</formula>
    </cfRule>
  </conditionalFormatting>
  <conditionalFormatting sqref="M10:N12">
    <cfRule type="expression" dxfId="2895" priority="66">
      <formula>IF(+(IF(M10&lt;#REF!,0,IF(M10&gt;#REF!,0,1)))=0,1)</formula>
    </cfRule>
  </conditionalFormatting>
  <conditionalFormatting sqref="M14:N14">
    <cfRule type="expression" dxfId="2894" priority="200">
      <formula>IF(+(IF(M14&lt;#REF!,0,IF(M14&gt;#REF!,0,1)))=0,1)</formula>
    </cfRule>
  </conditionalFormatting>
  <conditionalFormatting sqref="M47:N47">
    <cfRule type="expression" dxfId="2893" priority="194">
      <formula>IF(+(IF(M47&lt;#REF!,0,IF(M47&gt;#REF!,0,1)))=0,1)</formula>
    </cfRule>
  </conditionalFormatting>
  <conditionalFormatting sqref="N10:N11">
    <cfRule type="expression" dxfId="2892" priority="67">
      <formula>IF(+(IF(N10&lt;X23,0,IF(N10&gt;Y23,0,1)))=0,1)</formula>
    </cfRule>
  </conditionalFormatting>
  <conditionalFormatting sqref="N13">
    <cfRule type="expression" dxfId="2891" priority="60">
      <formula>IF(+(IF(N13&lt;X47,0,IF(N13&gt;Y47,0,1)))=0,1)</formula>
    </cfRule>
    <cfRule type="expression" dxfId="2890" priority="59">
      <formula>IF(+(IF(N13&lt;X52,0,IF(N13&gt;Y52,0,1)))=0,1)</formula>
    </cfRule>
  </conditionalFormatting>
  <conditionalFormatting sqref="N14">
    <cfRule type="expression" dxfId="2889" priority="203">
      <formula>IF(+(IF(N14&lt;X27,0,IF(N14&gt;Y27,0,1)))=0,1)</formula>
    </cfRule>
  </conditionalFormatting>
  <conditionalFormatting sqref="N15:N32">
    <cfRule type="expression" dxfId="2888" priority="211">
      <formula>IF(+(IF(N15&lt;X62,0,IF(N15&gt;Y62,0,1)))=0,1)</formula>
    </cfRule>
  </conditionalFormatting>
  <conditionalFormatting sqref="N33:N46">
    <cfRule type="expression" dxfId="2887" priority="33">
      <formula>IF(+(IF(N33&lt;X48,0,IF(N33&gt;Y48,0,1)))=0,1)</formula>
    </cfRule>
    <cfRule type="expression" dxfId="2886" priority="32">
      <formula>IF(+(IF(N33&lt;X53,0,IF(N33&gt;Y53,0,1)))=0,1)</formula>
    </cfRule>
  </conditionalFormatting>
  <conditionalFormatting sqref="P6">
    <cfRule type="cellIs" dxfId="2885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EC56-4DCA-44D3-9CE2-61E46565ECF3}">
  <sheetPr>
    <pageSetUpPr fitToPage="1"/>
  </sheetPr>
  <dimension ref="A1:BE79"/>
  <sheetViews>
    <sheetView zoomScale="85" zoomScaleNormal="85" workbookViewId="0">
      <selection activeCell="B11" sqref="B11:O11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46297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[4]Brewhouse!$A390</f>
        <v>ST331</v>
      </c>
      <c r="D10" s="279">
        <f>[4]Brewhouse!$AB390</f>
        <v>53.1</v>
      </c>
      <c r="E10" s="279">
        <f>[4]Brewhouse!$AG390</f>
        <v>49.3</v>
      </c>
      <c r="F10" s="278">
        <f>[4]Brewhouse!$V390</f>
        <v>65</v>
      </c>
      <c r="G10" s="279">
        <f>[4]Brewhouse!$AE390</f>
        <v>11.9</v>
      </c>
      <c r="H10" s="396">
        <v>12</v>
      </c>
      <c r="I10" s="368">
        <f>[4]Brewhouse!$AS390</f>
        <v>98.847023873347482</v>
      </c>
      <c r="J10" s="368">
        <f>[4]Brewhouse!$AT390</f>
        <v>99.485547628646145</v>
      </c>
      <c r="K10" s="281">
        <f>[4]Brewhouse!$Q390</f>
        <v>11.064030131826742</v>
      </c>
      <c r="L10" s="276">
        <f>[4]Brewhouse!$P390</f>
        <v>57</v>
      </c>
      <c r="M10" s="374">
        <f>[4]Brewhouse!$U390-[4]Brewhouse!$T390</f>
        <v>0.12430555555555556</v>
      </c>
      <c r="N10" s="370">
        <f>[4]Brewhouse!$AW390</f>
        <v>0.26597222222222222</v>
      </c>
      <c r="O10" s="419" t="str">
        <f>[4]Brewhouse!$AV390</f>
        <v>R. Regis</v>
      </c>
      <c r="P10" s="417"/>
      <c r="R10" s="277" t="str">
        <f t="shared" ref="R10" si="0">B10</f>
        <v>STAG</v>
      </c>
      <c r="S10" s="471">
        <f t="shared" ref="S10:S30" si="1">VLOOKUP($B10,$R$3:$X$9,2,FALSE)</f>
        <v>11.6</v>
      </c>
      <c r="T10" s="471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471">
        <f t="shared" ref="Z10:Z30" si="8">VLOOKUP($B10,$R$3:$Z$9,9,FALSE)</f>
        <v>60</v>
      </c>
    </row>
    <row r="11" spans="2:29" ht="15" customHeight="1">
      <c r="B11" s="33" t="s">
        <v>9</v>
      </c>
      <c r="C11" s="366" t="str">
        <f>[4]Brewhouse!$A391</f>
        <v>ST332</v>
      </c>
      <c r="D11" s="279">
        <f>[4]Brewhouse!$AB391</f>
        <v>53.1</v>
      </c>
      <c r="E11" s="279">
        <f>[4]Brewhouse!$AG391</f>
        <v>50.4</v>
      </c>
      <c r="F11" s="278">
        <f>[4]Brewhouse!$V391</f>
        <v>60</v>
      </c>
      <c r="G11" s="279">
        <f>[4]Brewhouse!$AE391</f>
        <v>11.7</v>
      </c>
      <c r="H11" s="396">
        <v>11.8</v>
      </c>
      <c r="I11" s="368">
        <f>[4]Brewhouse!$AS391</f>
        <v>99.266868267130036</v>
      </c>
      <c r="J11" s="368">
        <f>[4]Brewhouse!$AT391</f>
        <v>99.908104098204518</v>
      </c>
      <c r="K11" s="281">
        <f>[4]Brewhouse!$Q391</f>
        <v>8.9924670433144982</v>
      </c>
      <c r="L11" s="276">
        <f>[4]Brewhouse!$P391</f>
        <v>57</v>
      </c>
      <c r="M11" s="374">
        <f>[4]Brewhouse!$U391-[4]Brewhouse!$T391</f>
        <v>0.11388888888888882</v>
      </c>
      <c r="N11" s="370">
        <f>[4]Brewhouse!$AW391</f>
        <v>0.26111111111111107</v>
      </c>
      <c r="O11" s="419" t="str">
        <f>[4]Brewhouse!$AV391</f>
        <v>R. Regis</v>
      </c>
      <c r="P11" s="417"/>
      <c r="R11" s="277" t="str">
        <f t="shared" ref="R11:R30" si="9">B11</f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19"/>
      <c r="P12" s="417"/>
      <c r="R12" s="277">
        <f t="shared" si="9"/>
        <v>0</v>
      </c>
      <c r="S12" s="471" t="e">
        <f t="shared" si="1"/>
        <v>#N/A</v>
      </c>
      <c r="T12" s="471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1" t="e">
        <f t="shared" si="8"/>
        <v>#N/A</v>
      </c>
    </row>
    <row r="13" spans="2:29" ht="15" customHeight="1">
      <c r="B13" s="29" t="s">
        <v>6</v>
      </c>
      <c r="C13" s="366" t="str">
        <f>[3]Brewhouse!$A789</f>
        <v>CA739</v>
      </c>
      <c r="D13" s="279">
        <f>[3]Brewhouse!$AF789</f>
        <v>47.4</v>
      </c>
      <c r="E13" s="279">
        <f>[3]Brewhouse!$AI789</f>
        <v>47.9</v>
      </c>
      <c r="F13" s="278">
        <f>[3]Brewhouse!$V789</f>
        <v>55</v>
      </c>
      <c r="G13" s="279">
        <f>[3]Brewhouse!AG789</f>
        <v>11.8</v>
      </c>
      <c r="H13" s="490">
        <v>12.2</v>
      </c>
      <c r="I13" s="368">
        <f>[3]Brewhouse!$AU789</f>
        <v>94.056577044182816</v>
      </c>
      <c r="J13" s="368">
        <f>[3]Brewhouse!$AV789</f>
        <v>94.785536062602233</v>
      </c>
      <c r="K13" s="281">
        <f>[3]Brewhouse!$Q789</f>
        <v>15.037037037037033</v>
      </c>
      <c r="L13" s="276">
        <f>[3]Brewhouse!$P789</f>
        <v>63</v>
      </c>
      <c r="M13" s="374">
        <f>[3]Brewhouse!$U789-[3]Brewhouse!$T789</f>
        <v>0.1118055555555556</v>
      </c>
      <c r="N13" s="370">
        <f>[3]Brewhouse!$Z789</f>
        <v>0.24861111111111112</v>
      </c>
      <c r="O13" s="419" t="str">
        <f>[3]Brewhouse!$AX789</f>
        <v>R. Sookram</v>
      </c>
      <c r="P13" s="417"/>
      <c r="R13" s="277" t="str">
        <f t="shared" si="9"/>
        <v>CARIB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29" t="s">
        <v>6</v>
      </c>
      <c r="C14" s="366" t="str">
        <f>[3]Brewhouse!$A790</f>
        <v>CA740</v>
      </c>
      <c r="D14" s="279">
        <f>[3]Brewhouse!$AF790</f>
        <v>49.8</v>
      </c>
      <c r="E14" s="279">
        <f>[3]Brewhouse!$AI790</f>
        <v>50.3</v>
      </c>
      <c r="F14" s="278">
        <f>[3]Brewhouse!$V790</f>
        <v>55</v>
      </c>
      <c r="G14" s="279">
        <f>[3]Brewhouse!AG790</f>
        <v>11.9</v>
      </c>
      <c r="H14" s="490">
        <v>12.2</v>
      </c>
      <c r="I14" s="368">
        <f>[3]Brewhouse!$AU790</f>
        <v>99.034024996783444</v>
      </c>
      <c r="J14" s="368">
        <f>[3]Brewhouse!$AV790</f>
        <v>99.801812518911376</v>
      </c>
      <c r="K14" s="281">
        <f>[3]Brewhouse!$Q790</f>
        <v>12.074074074074066</v>
      </c>
      <c r="L14" s="276">
        <f>[3]Brewhouse!$P790</f>
        <v>61</v>
      </c>
      <c r="M14" s="374">
        <f>[3]Brewhouse!$U790-[3]Brewhouse!$T790</f>
        <v>0.10972222222222228</v>
      </c>
      <c r="N14" s="370">
        <f>[3]Brewhouse!$Z790</f>
        <v>0.24305555555555558</v>
      </c>
      <c r="O14" s="419" t="str">
        <f>[3]Brewhouse!$AX790</f>
        <v>K. Benjamin</v>
      </c>
      <c r="P14" s="417"/>
      <c r="R14" s="277" t="str">
        <f t="shared" si="9"/>
        <v>CARIB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29" t="s">
        <v>6</v>
      </c>
      <c r="C15" s="366" t="str">
        <f>[3]Brewhouse!$A791</f>
        <v>CA741</v>
      </c>
      <c r="D15" s="279">
        <f>[3]Brewhouse!$AF791</f>
        <v>48.5</v>
      </c>
      <c r="E15" s="279">
        <f>[3]Brewhouse!$AI791</f>
        <v>49.1</v>
      </c>
      <c r="F15" s="278">
        <f>[3]Brewhouse!$V791</f>
        <v>58</v>
      </c>
      <c r="G15" s="279">
        <f>[3]Brewhouse!AG791</f>
        <v>11.8</v>
      </c>
      <c r="H15" s="396">
        <v>11.9</v>
      </c>
      <c r="I15" s="368">
        <f>[3]Brewhouse!$AU791</f>
        <v>96.894771830654662</v>
      </c>
      <c r="J15" s="368">
        <f>[3]Brewhouse!$AV791</f>
        <v>97.645527862092081</v>
      </c>
      <c r="K15" s="281">
        <f>[3]Brewhouse!$Q791</f>
        <v>12.259259259259254</v>
      </c>
      <c r="L15" s="276">
        <f>[3]Brewhouse!$P791</f>
        <v>60</v>
      </c>
      <c r="M15" s="374">
        <f>[3]Brewhouse!$U791-[3]Brewhouse!$T791</f>
        <v>0.11250000000000004</v>
      </c>
      <c r="N15" s="370">
        <f>[3]Brewhouse!$Z791</f>
        <v>0.24513888888888891</v>
      </c>
      <c r="O15" s="419" t="str">
        <f>[3]Brewhouse!$AX791</f>
        <v>K. Benjamin</v>
      </c>
      <c r="P15" s="417"/>
      <c r="R15" s="277" t="str">
        <f t="shared" si="9"/>
        <v>CARIB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29" t="s">
        <v>6</v>
      </c>
      <c r="C16" s="366" t="str">
        <f>[3]Brewhouse!$A792</f>
        <v>CA742</v>
      </c>
      <c r="D16" s="279">
        <f>[3]Brewhouse!$AF792</f>
        <v>51.2</v>
      </c>
      <c r="E16" s="279">
        <f>[3]Brewhouse!$AI792</f>
        <v>51.7</v>
      </c>
      <c r="F16" s="278">
        <f>[3]Brewhouse!$V792</f>
        <v>64</v>
      </c>
      <c r="G16" s="279">
        <f>[3]Brewhouse!AG792</f>
        <v>11.6</v>
      </c>
      <c r="H16" s="396">
        <v>12</v>
      </c>
      <c r="I16" s="368">
        <f>[3]Brewhouse!$AU792</f>
        <v>99.461062893244474</v>
      </c>
      <c r="J16" s="368">
        <f>[3]Brewhouse!$AV792</f>
        <v>100.23200954727312</v>
      </c>
      <c r="K16" s="281">
        <f>[3]Brewhouse!$Q792</f>
        <v>10.573012939001845</v>
      </c>
      <c r="L16" s="276">
        <f>[3]Brewhouse!$P792</f>
        <v>60</v>
      </c>
      <c r="M16" s="374">
        <f>[3]Brewhouse!$U792-[3]Brewhouse!$T792</f>
        <v>0.11458333333333326</v>
      </c>
      <c r="N16" s="370">
        <f>[3]Brewhouse!$Z792</f>
        <v>0.24236111111111103</v>
      </c>
      <c r="O16" s="419" t="str">
        <f>[3]Brewhouse!$AX792</f>
        <v>K. Benjamin</v>
      </c>
      <c r="P16" s="417"/>
      <c r="R16" s="277" t="str">
        <f t="shared" si="9"/>
        <v>CARIB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6" ht="15" customHeight="1">
      <c r="B17" s="29" t="s">
        <v>6</v>
      </c>
      <c r="C17" s="366" t="str">
        <f>[3]Brewhouse!$A793</f>
        <v>CA743</v>
      </c>
      <c r="D17" s="279">
        <f>[3]Brewhouse!$AF793</f>
        <v>50.4</v>
      </c>
      <c r="E17" s="279">
        <f>[3]Brewhouse!$AI793</f>
        <v>50.3</v>
      </c>
      <c r="F17" s="278">
        <f>[3]Brewhouse!$V793</f>
        <v>59</v>
      </c>
      <c r="G17" s="279">
        <f>[3]Brewhouse!AG793</f>
        <v>11.7</v>
      </c>
      <c r="H17" s="396">
        <v>11.7</v>
      </c>
      <c r="I17" s="368">
        <f>[3]Brewhouse!$AU793</f>
        <v>98.010640304902878</v>
      </c>
      <c r="J17" s="368">
        <f>[3]Brewhouse!$AV793</f>
        <v>98.770193886926663</v>
      </c>
      <c r="K17" s="281">
        <f>[3]Brewhouse!$Q793</f>
        <v>10.388170055452859</v>
      </c>
      <c r="L17" s="276">
        <f>[3]Brewhouse!$P793</f>
        <v>60</v>
      </c>
      <c r="M17" s="492"/>
      <c r="N17" s="492"/>
      <c r="O17" s="419" t="str">
        <f>[3]Brewhouse!$AX793</f>
        <v>K. Benjamin</v>
      </c>
      <c r="P17" s="417"/>
      <c r="R17" s="277" t="str">
        <f t="shared" si="9"/>
        <v>CARIB</v>
      </c>
      <c r="S17" s="471">
        <f t="shared" si="1"/>
        <v>11.6</v>
      </c>
      <c r="T17" s="471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1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490"/>
      <c r="I18" s="368"/>
      <c r="J18" s="368"/>
      <c r="K18" s="281"/>
      <c r="L18" s="276"/>
      <c r="M18" s="374"/>
      <c r="N18" s="370"/>
      <c r="O18" s="419"/>
      <c r="P18" s="417"/>
      <c r="R18" s="277">
        <f t="shared" si="9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6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9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19"/>
      <c r="P20" s="417"/>
      <c r="R20" s="277">
        <f t="shared" si="9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19"/>
      <c r="P21" s="417"/>
      <c r="R21" s="277">
        <f t="shared" si="9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19"/>
      <c r="P22" s="417"/>
      <c r="R22" s="277">
        <f t="shared" si="9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19"/>
      <c r="P23" s="417"/>
      <c r="R23" s="277">
        <f t="shared" si="9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19"/>
      <c r="P24" s="417"/>
      <c r="R24" s="277">
        <f t="shared" si="9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6" ht="15" hidden="1" customHeight="1">
      <c r="B25" s="36"/>
      <c r="C25" s="366"/>
      <c r="D25" s="279"/>
      <c r="E25" s="279"/>
      <c r="F25" s="278"/>
      <c r="G25" s="279"/>
      <c r="H25" s="396"/>
      <c r="I25" s="487"/>
      <c r="J25" s="487"/>
      <c r="K25" s="488"/>
      <c r="L25" s="276"/>
      <c r="M25" s="374"/>
      <c r="N25" s="370"/>
      <c r="O25" s="419"/>
      <c r="P25" s="417"/>
      <c r="R25" s="277">
        <f t="shared" si="9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70"/>
      <c r="J26" s="570"/>
      <c r="K26" s="570"/>
      <c r="L26" s="570"/>
      <c r="M26" s="570"/>
      <c r="N26" s="570"/>
      <c r="O26" s="1"/>
      <c r="P26" s="12"/>
      <c r="R26" s="277">
        <f t="shared" si="9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6" ht="17.25" customHeight="1" thickBot="1">
      <c r="B27" s="482" t="s">
        <v>162</v>
      </c>
      <c r="C27" s="388"/>
      <c r="D27" s="540" t="s">
        <v>35</v>
      </c>
      <c r="E27" s="541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6" ht="17.25" customHeight="1">
      <c r="A28" s="28"/>
      <c r="B28" s="594"/>
      <c r="C28" s="483"/>
      <c r="D28" s="527"/>
      <c r="E28" s="528"/>
      <c r="F28" s="294"/>
      <c r="G28" s="294"/>
      <c r="H28" s="348"/>
      <c r="I28" s="29" t="s">
        <v>6</v>
      </c>
      <c r="J28" s="323">
        <f>AVERAGE(I13:I17)</f>
        <v>97.491415413953661</v>
      </c>
      <c r="K28" s="284">
        <f>COUNTA([3]Brewhouse!$A$789:$A$793)</f>
        <v>5</v>
      </c>
      <c r="L28" s="305">
        <f>AVERAGE([3]Brewhouse!$AU$789:$AU$793)</f>
        <v>97.491415413953661</v>
      </c>
      <c r="M28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$793)</f>
        <v>98.325659418051686</v>
      </c>
      <c r="N28" s="30">
        <v>98</v>
      </c>
      <c r="O28" s="11"/>
      <c r="P28" s="31"/>
      <c r="R28" s="277">
        <f t="shared" si="9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6" ht="15" customHeight="1">
      <c r="A29" s="28"/>
      <c r="B29" s="572"/>
      <c r="C29" s="362"/>
      <c r="D29" s="529"/>
      <c r="E29" s="530"/>
      <c r="F29" s="294"/>
      <c r="G29" s="294"/>
      <c r="H29" s="348"/>
      <c r="I29" s="33" t="s">
        <v>9</v>
      </c>
      <c r="J29" s="323">
        <f>AVERAGE(I10:I11)</f>
        <v>99.056946070238752</v>
      </c>
      <c r="K29" s="284">
        <f>COUNTA([4]Brewhouse!$A$390:$A$391)</f>
        <v>2</v>
      </c>
      <c r="L29" s="302">
        <f>AVERAGE([4]Brewhouse!$AS$390:$AS$391)</f>
        <v>99.056946070238752</v>
      </c>
      <c r="M29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$391)</f>
        <v>98.311229916038556</v>
      </c>
      <c r="N29" s="30">
        <v>98</v>
      </c>
      <c r="O29" s="11"/>
      <c r="P29" s="31"/>
      <c r="R29" s="277">
        <f t="shared" si="9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6" ht="14.65" customHeight="1">
      <c r="A30" s="28"/>
      <c r="B30" s="572"/>
      <c r="C30" s="362"/>
      <c r="D30" s="534"/>
      <c r="E30" s="535"/>
      <c r="F30" s="294"/>
      <c r="G30" s="294"/>
      <c r="H30" s="348"/>
      <c r="I30" s="34" t="s">
        <v>12</v>
      </c>
      <c r="J30" s="323"/>
      <c r="K30" s="284"/>
      <c r="L30" s="302"/>
      <c r="M30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30" s="30">
        <v>98</v>
      </c>
      <c r="O30" s="11"/>
      <c r="P30" s="31"/>
      <c r="R30" s="277">
        <f t="shared" si="9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6" ht="14.65" customHeight="1">
      <c r="A31" s="28"/>
      <c r="B31" s="572"/>
      <c r="C31" s="362"/>
      <c r="D31" s="536"/>
      <c r="E31" s="530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1" s="30">
        <v>98</v>
      </c>
      <c r="O31" s="11"/>
      <c r="P31" s="31"/>
      <c r="R31" s="277">
        <f t="shared" ref="R31:R39" si="10">B31</f>
        <v>0</v>
      </c>
      <c r="S31" s="471" t="e">
        <f t="shared" ref="S31:S39" si="11">VLOOKUP($B31,$R$3:$X$9,2,FALSE)</f>
        <v>#N/A</v>
      </c>
      <c r="T31" s="471" t="e">
        <f t="shared" ref="T31:T39" si="12">VLOOKUP($B31,$R$3:$X$9,3,FALSE)</f>
        <v>#N/A</v>
      </c>
      <c r="U31" s="297" t="e">
        <f t="shared" ref="U31:U39" si="13">VLOOKUP($B31,$R$3:$X$9,4,FALSE)</f>
        <v>#N/A</v>
      </c>
      <c r="V31" s="297" t="e">
        <f t="shared" ref="V31:V39" si="14">VLOOKUP($B31,$R$3:$X$9,5,FALSE)</f>
        <v>#N/A</v>
      </c>
      <c r="W31" s="297" t="e">
        <f t="shared" ref="W31:W39" si="15">VLOOKUP($B31,$R$3:$X$9,6,FALSE)</f>
        <v>#N/A</v>
      </c>
      <c r="X31" s="297" t="e">
        <f t="shared" ref="X31:X39" si="16">VLOOKUP($B31,$R$3:$X$9,7,FALSE)</f>
        <v>#N/A</v>
      </c>
      <c r="Y31" s="297" t="e">
        <f t="shared" ref="Y31:Y39" si="17">VLOOKUP($B31,$R$3:$Z$9,8,FALSE)</f>
        <v>#N/A</v>
      </c>
      <c r="Z31" s="471" t="e">
        <f t="shared" ref="Z31:Z39" si="18">VLOOKUP($B31,$R$3:$Z$9,9,FALSE)</f>
        <v>#N/A</v>
      </c>
    </row>
    <row r="32" spans="1:26" ht="14.65" customHeight="1">
      <c r="A32" s="28"/>
      <c r="B32" s="572"/>
      <c r="C32" s="362"/>
      <c r="D32" s="534"/>
      <c r="E32" s="535"/>
      <c r="F32" s="294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10"/>
        <v>0</v>
      </c>
      <c r="S32" s="471" t="e">
        <f t="shared" si="11"/>
        <v>#N/A</v>
      </c>
      <c r="T32" s="471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1" t="e">
        <f t="shared" si="18"/>
        <v>#N/A</v>
      </c>
    </row>
    <row r="33" spans="1:56" ht="14.65" customHeight="1">
      <c r="A33" s="28"/>
      <c r="B33" s="572"/>
      <c r="C33" s="362"/>
      <c r="D33" s="536"/>
      <c r="E33" s="530"/>
      <c r="F33" s="416"/>
      <c r="G33" s="294"/>
      <c r="H33" s="348"/>
      <c r="I33" s="36" t="s">
        <v>15</v>
      </c>
      <c r="J33" s="323"/>
      <c r="K33" s="284"/>
      <c r="L33" s="302"/>
      <c r="M33" s="302">
        <f>AVERAGE([7]Brewhouse!$AT$4:$AT$11,[7]Brewhouse!$AT$13:$AT$16,[7]Brewhouse!$AT$18:$AT$30)</f>
        <v>93.22262799886262</v>
      </c>
      <c r="N33" s="30">
        <v>98</v>
      </c>
      <c r="O33" s="11"/>
      <c r="P33" s="31"/>
      <c r="R33" s="277">
        <f t="shared" si="10"/>
        <v>0</v>
      </c>
      <c r="S33" s="471" t="e">
        <f t="shared" si="11"/>
        <v>#N/A</v>
      </c>
      <c r="T33" s="471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1" t="e">
        <f t="shared" si="18"/>
        <v>#N/A</v>
      </c>
    </row>
    <row r="34" spans="1:56" ht="14.65" customHeight="1">
      <c r="A34" s="28"/>
      <c r="B34" s="572"/>
      <c r="C34" s="362"/>
      <c r="D34" s="534"/>
      <c r="E34" s="535"/>
      <c r="F34" s="416"/>
      <c r="G34" s="294"/>
      <c r="H34" s="348"/>
      <c r="I34" s="37" t="s">
        <v>16</v>
      </c>
      <c r="J34" s="323"/>
      <c r="K34" s="284"/>
      <c r="L34" s="302"/>
      <c r="M34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34" s="30">
        <v>98</v>
      </c>
      <c r="O34" s="11"/>
      <c r="P34" s="31" t="s">
        <v>41</v>
      </c>
      <c r="R34" s="277">
        <f t="shared" si="10"/>
        <v>0</v>
      </c>
      <c r="S34" s="471" t="e">
        <f t="shared" si="11"/>
        <v>#N/A</v>
      </c>
      <c r="T34" s="471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1" t="e">
        <f t="shared" si="18"/>
        <v>#N/A</v>
      </c>
    </row>
    <row r="35" spans="1:56" ht="14.65" customHeight="1">
      <c r="A35" s="28"/>
      <c r="B35" s="572"/>
      <c r="C35" s="362"/>
      <c r="D35" s="536"/>
      <c r="E35" s="530"/>
      <c r="F35" s="294"/>
      <c r="G35" s="294"/>
      <c r="H35" s="348"/>
      <c r="I35" s="410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10"/>
        <v>0</v>
      </c>
      <c r="S35" s="471" t="e">
        <f t="shared" si="11"/>
        <v>#N/A</v>
      </c>
      <c r="T35" s="471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1" t="e">
        <f t="shared" si="18"/>
        <v>#N/A</v>
      </c>
    </row>
    <row r="36" spans="1:56" ht="14.65" customHeight="1">
      <c r="A36" s="28"/>
      <c r="B36" s="572"/>
      <c r="C36" s="362"/>
      <c r="D36" s="534"/>
      <c r="E36" s="535"/>
      <c r="F36" s="294"/>
      <c r="G36" s="294"/>
      <c r="H36" s="348"/>
      <c r="I36" s="409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10"/>
        <v>0</v>
      </c>
      <c r="S36" s="471" t="e">
        <f t="shared" si="11"/>
        <v>#N/A</v>
      </c>
      <c r="T36" s="471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1" t="e">
        <f t="shared" si="18"/>
        <v>#N/A</v>
      </c>
      <c r="AA36" s="471"/>
    </row>
    <row r="37" spans="1:56" ht="15" customHeight="1" thickBot="1">
      <c r="A37" s="28"/>
      <c r="B37" s="572"/>
      <c r="C37" s="362"/>
      <c r="D37" s="536"/>
      <c r="E37" s="530"/>
      <c r="F37" s="294"/>
      <c r="G37" s="294"/>
      <c r="H37" s="348"/>
      <c r="I37" s="405" t="s">
        <v>156</v>
      </c>
      <c r="J37" s="327"/>
      <c r="K37" s="406"/>
      <c r="L37" s="407"/>
      <c r="M37" s="407"/>
      <c r="N37" s="408">
        <v>98</v>
      </c>
      <c r="O37" s="11"/>
      <c r="P37" s="31"/>
      <c r="R37" s="277">
        <f t="shared" si="10"/>
        <v>0</v>
      </c>
      <c r="S37" s="471" t="e">
        <f t="shared" si="11"/>
        <v>#N/A</v>
      </c>
      <c r="T37" s="471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1" t="e">
        <f t="shared" si="18"/>
        <v>#N/A</v>
      </c>
      <c r="AA37" s="471"/>
    </row>
    <row r="38" spans="1:56" ht="15" customHeight="1" thickBot="1">
      <c r="A38" s="28"/>
      <c r="B38" s="572"/>
      <c r="C38" s="349"/>
      <c r="D38" s="527"/>
      <c r="E38" s="528"/>
      <c r="F38" s="294"/>
      <c r="G38" s="294"/>
      <c r="H38" s="348"/>
      <c r="I38" s="1"/>
      <c r="J38" s="39"/>
      <c r="K38" s="403">
        <f>SUM(K28:K37)</f>
        <v>7</v>
      </c>
      <c r="L38" s="404">
        <f>((L28*K28)+(L29*K29)+(L30*K30)+(L31*K31)+(L32*K32)+(K35*L35)+(L33*K33)+(L34*K34)+(L37*K37))/(K38)</f>
        <v>97.938709887177964</v>
      </c>
      <c r="M38" s="404">
        <f>AVERAGE('[9]Jan30th-31st'!$L$42,'[10]Feb 27th-28th'!$L$45,'[11]Mar 31st'!$L$42,'[12]Apr 30th'!$L$41,'[13]May 29th '!$L$35,'[14]June 30th'!$L$32,[15]July31st!$L$36,'[16]Aug 31st'!$L$32,L38)</f>
        <v>97.977815979789696</v>
      </c>
      <c r="N38" s="40">
        <v>98</v>
      </c>
      <c r="O38" s="11"/>
      <c r="P38" s="31"/>
      <c r="R38" s="277">
        <f t="shared" si="10"/>
        <v>0</v>
      </c>
      <c r="S38" s="471" t="e">
        <f t="shared" si="11"/>
        <v>#N/A</v>
      </c>
      <c r="T38" s="471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1" t="e">
        <f t="shared" si="18"/>
        <v>#N/A</v>
      </c>
      <c r="AA38" s="471"/>
    </row>
    <row r="39" spans="1:56" ht="15.75" thickBot="1">
      <c r="B39" s="595"/>
      <c r="C39" s="350"/>
      <c r="D39" s="529"/>
      <c r="E39" s="530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10"/>
        <v>0</v>
      </c>
      <c r="S39" s="471" t="e">
        <f t="shared" si="11"/>
        <v>#N/A</v>
      </c>
      <c r="T39" s="471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1" t="e">
        <f t="shared" si="18"/>
        <v>#N/A</v>
      </c>
      <c r="AA39" s="471"/>
    </row>
    <row r="40" spans="1:56" ht="15.75" thickBot="1">
      <c r="B40" s="524"/>
      <c r="C40" s="362"/>
      <c r="D40" s="527"/>
      <c r="E40" s="528"/>
      <c r="F40" s="294"/>
      <c r="G40" s="42"/>
      <c r="H40" s="41"/>
      <c r="I40" s="42"/>
      <c r="J40" s="531" t="s">
        <v>129</v>
      </c>
      <c r="K40" s="531"/>
      <c r="L40" s="294"/>
      <c r="M40" s="294"/>
      <c r="N40" s="294"/>
      <c r="O40" s="294"/>
      <c r="P40" s="12"/>
    </row>
    <row r="41" spans="1:56" ht="15.75" thickBot="1">
      <c r="B41" s="525"/>
      <c r="C41" s="362"/>
      <c r="D41" s="529"/>
      <c r="E41" s="530"/>
      <c r="F41" s="294"/>
      <c r="G41" s="42"/>
      <c r="H41" s="42"/>
      <c r="I41" s="42"/>
      <c r="J41" s="292" t="s">
        <v>17</v>
      </c>
      <c r="K41" s="293"/>
      <c r="L41" s="532" t="s">
        <v>136</v>
      </c>
      <c r="M41" s="532"/>
      <c r="N41" s="533"/>
      <c r="O41" s="294"/>
      <c r="P41" s="12"/>
    </row>
    <row r="42" spans="1:56" ht="15" customHeight="1" thickBot="1">
      <c r="B42" s="525"/>
      <c r="C42" s="349"/>
      <c r="D42" s="534"/>
      <c r="E42" s="535"/>
      <c r="F42" s="294"/>
      <c r="G42" s="42"/>
      <c r="H42" s="42"/>
      <c r="I42" s="42"/>
      <c r="J42" s="287" t="s">
        <v>6</v>
      </c>
      <c r="K42" s="324">
        <v>5</v>
      </c>
      <c r="L42" s="472" t="s">
        <v>37</v>
      </c>
      <c r="M42" s="473" t="s">
        <v>38</v>
      </c>
      <c r="N42" s="473" t="s">
        <v>84</v>
      </c>
      <c r="O42" s="294"/>
      <c r="P42" s="12"/>
    </row>
    <row r="43" spans="1:56" ht="15.75" customHeight="1" thickBot="1">
      <c r="B43" s="525"/>
      <c r="C43" s="349"/>
      <c r="D43" s="536"/>
      <c r="E43" s="530"/>
      <c r="F43" s="294"/>
      <c r="G43" s="42"/>
      <c r="H43" s="42"/>
      <c r="I43" s="42"/>
      <c r="J43" s="345" t="s">
        <v>9</v>
      </c>
      <c r="K43" s="324">
        <v>2</v>
      </c>
      <c r="L43" s="484">
        <f>AVERAGE(K52)</f>
        <v>7</v>
      </c>
      <c r="M43" s="485">
        <f>AVERAGE('[9]Jan30th-31st'!$L$47,L43,'[10]Feb 26th '!$L$39,'[11]Mar 31st'!$L$47,'[12]Apr 30th'!$L$46,'[13]May 29th '!$L$40,'[14]June 30th'!$L$39,[15]July31st!$L$41,'[16]Aug 31st'!$L$37,'[18]Sept 30th'!$L$37)</f>
        <v>6.5735341470124071</v>
      </c>
      <c r="N43" s="415">
        <v>9.1999999999999993</v>
      </c>
      <c r="O43" s="294"/>
      <c r="P43" s="12"/>
    </row>
    <row r="44" spans="1:56" ht="15" customHeight="1">
      <c r="B44" s="525"/>
      <c r="C44" s="349"/>
      <c r="D44" s="534"/>
      <c r="E44" s="535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5"/>
      <c r="C45" s="349"/>
      <c r="D45" s="536"/>
      <c r="E45" s="530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5"/>
      <c r="C46" s="349"/>
      <c r="D46" s="534"/>
      <c r="E46" s="535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5"/>
      <c r="C47" s="349"/>
      <c r="D47" s="536"/>
      <c r="E47" s="530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5"/>
      <c r="C48" s="349"/>
      <c r="D48" s="534"/>
      <c r="E48" s="535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526"/>
      <c r="C49" s="350"/>
      <c r="D49" s="537"/>
      <c r="E49" s="538"/>
      <c r="F49" s="294" t="s">
        <v>165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15"/>
      <c r="E50" s="516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7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09" t="s">
        <v>17</v>
      </c>
      <c r="C55" s="509" t="s">
        <v>44</v>
      </c>
      <c r="D55" s="518" t="s">
        <v>45</v>
      </c>
      <c r="E55" s="520" t="s">
        <v>46</v>
      </c>
      <c r="F55" s="522" t="s">
        <v>47</v>
      </c>
      <c r="G55" s="507" t="s">
        <v>48</v>
      </c>
      <c r="H55" s="509" t="s">
        <v>49</v>
      </c>
      <c r="I55" s="509" t="s">
        <v>50</v>
      </c>
      <c r="J55" s="501" t="s">
        <v>28</v>
      </c>
      <c r="K55" s="511" t="s">
        <v>51</v>
      </c>
      <c r="L55" s="513" t="s">
        <v>52</v>
      </c>
      <c r="M55" s="501" t="s">
        <v>53</v>
      </c>
      <c r="N55" s="13"/>
      <c r="O55" s="13"/>
      <c r="P55" s="50"/>
    </row>
    <row r="56" spans="2:57" ht="28.5" customHeight="1" thickTop="1" thickBot="1">
      <c r="B56" s="510"/>
      <c r="C56" s="517"/>
      <c r="D56" s="519"/>
      <c r="E56" s="521"/>
      <c r="F56" s="523"/>
      <c r="G56" s="508"/>
      <c r="H56" s="510"/>
      <c r="I56" s="510"/>
      <c r="J56" s="502"/>
      <c r="K56" s="512"/>
      <c r="L56" s="514"/>
      <c r="M56" s="502"/>
      <c r="N56" s="13"/>
      <c r="O56" s="13"/>
      <c r="P56" s="50"/>
      <c r="Q56" s="355"/>
      <c r="AB56" s="474">
        <v>43474</v>
      </c>
      <c r="AC56" s="474">
        <v>43475</v>
      </c>
      <c r="AD56" s="474">
        <v>43476</v>
      </c>
      <c r="AE56" s="474">
        <v>43477</v>
      </c>
      <c r="AF56" s="474">
        <v>43478</v>
      </c>
      <c r="AG56" s="474">
        <v>43479</v>
      </c>
      <c r="AH56" s="474">
        <v>43480</v>
      </c>
      <c r="AI56" s="474">
        <v>43481</v>
      </c>
      <c r="AJ56" s="474">
        <v>43482</v>
      </c>
      <c r="AK56" s="474">
        <v>43483</v>
      </c>
      <c r="AL56" s="474">
        <v>43484</v>
      </c>
      <c r="AM56" s="474">
        <v>43485</v>
      </c>
      <c r="AN56" s="474">
        <v>43486</v>
      </c>
      <c r="AO56" s="474">
        <v>43487</v>
      </c>
      <c r="AP56" s="474">
        <v>43488</v>
      </c>
      <c r="AQ56" s="474">
        <v>43489</v>
      </c>
      <c r="AR56" s="474">
        <v>43490</v>
      </c>
      <c r="AS56" s="474">
        <v>43491</v>
      </c>
      <c r="AT56" s="474">
        <v>43492</v>
      </c>
      <c r="AU56" s="474">
        <v>43493</v>
      </c>
      <c r="AV56" s="474">
        <v>43494</v>
      </c>
      <c r="AW56" s="474">
        <v>43495</v>
      </c>
      <c r="AX56" s="474">
        <v>43496</v>
      </c>
    </row>
    <row r="57" spans="2:57" s="54" customFormat="1" ht="36.75" customHeight="1" thickBot="1">
      <c r="B57" s="491" t="str">
        <f>J45</f>
        <v>VITAMALT</v>
      </c>
      <c r="C57" s="478">
        <v>46296</v>
      </c>
      <c r="D57" s="444">
        <f>[19]October_2026!$D$65</f>
        <v>383.05</v>
      </c>
      <c r="E57" s="442">
        <f>SUM([40]VITAMALT!$J$6:$J$13)</f>
        <v>16.399999999999999</v>
      </c>
      <c r="F57" s="443"/>
      <c r="G57" s="443">
        <f>[19]October_2026!$D$70</f>
        <v>389</v>
      </c>
      <c r="H57" s="457"/>
      <c r="I57" s="457"/>
      <c r="J57" s="447" t="s">
        <v>150</v>
      </c>
      <c r="K57" s="448">
        <f>[20]October_2026!$D$60</f>
        <v>1.3649122807017544</v>
      </c>
      <c r="L57" s="475">
        <f>(((D57+E57)-G57)/(D57+E57))*100</f>
        <v>2.6160971335586405</v>
      </c>
      <c r="M57" s="454" t="s">
        <v>171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[21]January_2019!L5</f>
        <v>0</v>
      </c>
      <c r="AC57" s="57">
        <f>[21]January_2019!M5</f>
        <v>0</v>
      </c>
      <c r="AD57" s="57">
        <f>[21]January_2019!N5</f>
        <v>0</v>
      </c>
      <c r="AE57" s="57">
        <f>[21]January_2019!O5</f>
        <v>0</v>
      </c>
      <c r="AF57" s="57">
        <f>[21]January_2019!P5</f>
        <v>0</v>
      </c>
      <c r="AG57" s="57">
        <f>[21]January_2019!Q5</f>
        <v>0</v>
      </c>
      <c r="AH57" s="57">
        <f>[21]January_2019!R5</f>
        <v>0</v>
      </c>
      <c r="AI57" s="57">
        <f>[21]January_2019!S5</f>
        <v>0</v>
      </c>
      <c r="AJ57" s="57">
        <f>[21]January_2019!T5</f>
        <v>0</v>
      </c>
      <c r="AK57" s="57">
        <f>[21]January_2019!U5</f>
        <v>0</v>
      </c>
      <c r="AL57" s="57">
        <f>[21]January_2019!V5</f>
        <v>0</v>
      </c>
      <c r="AM57" s="57">
        <f>[21]January_2019!W5</f>
        <v>0</v>
      </c>
      <c r="AN57" s="57">
        <f>[21]January_2019!X5</f>
        <v>0</v>
      </c>
      <c r="AO57" s="57">
        <f>[21]January_2019!Y5</f>
        <v>0</v>
      </c>
      <c r="AP57" s="57">
        <f>[21]January_2019!Z5</f>
        <v>0</v>
      </c>
      <c r="AQ57" s="57">
        <f>[21]January_2019!AA5</f>
        <v>0</v>
      </c>
      <c r="AR57" s="57">
        <f>[21]January_2019!AB5</f>
        <v>0</v>
      </c>
      <c r="AS57" s="57">
        <f>[21]January_2019!AC5</f>
        <v>0</v>
      </c>
      <c r="AT57" s="57">
        <f>[21]January_2019!AD5</f>
        <v>0</v>
      </c>
      <c r="AU57" s="57">
        <f>[21]January_2019!AE5</f>
        <v>0</v>
      </c>
      <c r="AV57" s="57">
        <f>[21]January_2019!AF5</f>
        <v>0</v>
      </c>
      <c r="AW57" s="57">
        <f>[21]January_2019!AG5</f>
        <v>0</v>
      </c>
      <c r="AX57" s="277">
        <f>[21]January_2019!AH5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hidden="1" customHeight="1" thickBot="1">
      <c r="B58" s="479"/>
      <c r="C58" s="478"/>
      <c r="D58" s="441"/>
      <c r="E58" s="442"/>
      <c r="F58" s="443"/>
      <c r="G58" s="444"/>
      <c r="H58" s="457"/>
      <c r="I58" s="457"/>
      <c r="J58" s="475"/>
      <c r="K58" s="448"/>
      <c r="L58" s="456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[21]January_2019!L6</f>
        <v>0</v>
      </c>
      <c r="AC58" s="57">
        <f>[21]January_2019!M6</f>
        <v>0</v>
      </c>
      <c r="AD58" s="57">
        <f>[21]January_2019!N6</f>
        <v>0</v>
      </c>
      <c r="AE58" s="57">
        <f>[21]January_2019!O6</f>
        <v>0</v>
      </c>
      <c r="AF58" s="57">
        <f>[21]January_2019!P6</f>
        <v>0</v>
      </c>
      <c r="AG58" s="57">
        <f>[21]January_2019!Q6</f>
        <v>0</v>
      </c>
      <c r="AH58" s="57">
        <f>[21]January_2019!R6</f>
        <v>0</v>
      </c>
      <c r="AI58" s="57">
        <f>[21]January_2019!S6</f>
        <v>0</v>
      </c>
      <c r="AJ58" s="57">
        <f>[21]January_2019!T6</f>
        <v>0</v>
      </c>
      <c r="AK58" s="57">
        <f>[21]January_2019!U6</f>
        <v>0</v>
      </c>
      <c r="AL58" s="57">
        <f>[21]January_2019!V6</f>
        <v>0</v>
      </c>
      <c r="AM58" s="57">
        <f>[21]January_2019!W6</f>
        <v>0</v>
      </c>
      <c r="AN58" s="57">
        <f>[21]January_2019!X6</f>
        <v>0</v>
      </c>
      <c r="AO58" s="57">
        <f>[21]January_2019!Y6</f>
        <v>0</v>
      </c>
      <c r="AP58" s="57">
        <f>[21]January_2019!Z6</f>
        <v>0</v>
      </c>
      <c r="AQ58" s="57">
        <f>[21]January_2019!AA6</f>
        <v>0</v>
      </c>
      <c r="AR58" s="57">
        <f>[21]January_2019!AB6</f>
        <v>0</v>
      </c>
      <c r="AS58" s="57">
        <f>[21]January_2019!AC6</f>
        <v>0</v>
      </c>
      <c r="AT58" s="57">
        <f>[21]January_2019!AD6</f>
        <v>0</v>
      </c>
      <c r="AU58" s="57">
        <f>[21]January_2019!AE6</f>
        <v>0</v>
      </c>
      <c r="AV58" s="57">
        <f>[21]January_2019!AF6</f>
        <v>0</v>
      </c>
      <c r="AW58" s="57">
        <f>[21]January_2019!AG6</f>
        <v>0</v>
      </c>
      <c r="AX58" s="277">
        <f>[21]January_2019!AH6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9" t="str">
        <f>J43</f>
        <v>STAG</v>
      </c>
      <c r="C59" s="478">
        <v>46287</v>
      </c>
      <c r="D59" s="441">
        <f>[19]September_2026!$Y$13</f>
        <v>190.70000000000002</v>
      </c>
      <c r="E59" s="442"/>
      <c r="F59" s="443"/>
      <c r="G59" s="443">
        <f>[19]September_2026!$Y$17</f>
        <v>184.3</v>
      </c>
      <c r="H59" s="445"/>
      <c r="I59" s="445"/>
      <c r="J59" s="447" t="s">
        <v>169</v>
      </c>
      <c r="K59" s="448">
        <f>[20]September_2026!$Y$25</f>
        <v>0.64666666666666672</v>
      </c>
      <c r="L59" s="456">
        <f>(((D59+E59)-G59)/(D59+E59))*100</f>
        <v>3.3560566334556925</v>
      </c>
      <c r="M59" s="454" t="s">
        <v>170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[21]January_2019!L7</f>
        <v>285.8</v>
      </c>
      <c r="AC59" s="57">
        <f>[21]January_2019!M7</f>
        <v>508.1</v>
      </c>
      <c r="AD59" s="57">
        <f>[21]January_2019!N7</f>
        <v>0</v>
      </c>
      <c r="AE59" s="57">
        <f>[21]January_2019!O7</f>
        <v>0</v>
      </c>
      <c r="AF59" s="57">
        <f>[21]January_2019!P7</f>
        <v>109.56666666666666</v>
      </c>
      <c r="AG59" s="57">
        <f>[21]January_2019!Q7</f>
        <v>297.64999999999998</v>
      </c>
      <c r="AH59" s="57">
        <f>[21]January_2019!R7</f>
        <v>122.3</v>
      </c>
      <c r="AI59" s="57">
        <f>[21]January_2019!S7</f>
        <v>0</v>
      </c>
      <c r="AJ59" s="57">
        <f>[21]January_2019!T7</f>
        <v>294.7</v>
      </c>
      <c r="AK59" s="57">
        <f>[21]January_2019!U7</f>
        <v>280.5</v>
      </c>
      <c r="AL59" s="57">
        <f>[21]January_2019!V7</f>
        <v>0</v>
      </c>
      <c r="AM59" s="57">
        <f>[21]January_2019!W7</f>
        <v>0</v>
      </c>
      <c r="AN59" s="57">
        <f>[21]January_2019!X7</f>
        <v>188.25</v>
      </c>
      <c r="AO59" s="57">
        <f>[21]January_2019!Y7</f>
        <v>295.7</v>
      </c>
      <c r="AP59" s="57">
        <f>[21]January_2019!Z7</f>
        <v>257.8</v>
      </c>
      <c r="AQ59" s="57">
        <f>[21]January_2019!AA7</f>
        <v>291.2</v>
      </c>
      <c r="AR59" s="57">
        <f>[21]January_2019!AB7</f>
        <v>187</v>
      </c>
      <c r="AS59" s="57">
        <f>[21]January_2019!AC7</f>
        <v>0</v>
      </c>
      <c r="AT59" s="57">
        <f>[21]January_2019!AD7</f>
        <v>0</v>
      </c>
      <c r="AU59" s="57">
        <f>[21]January_2019!AE7</f>
        <v>485.1</v>
      </c>
      <c r="AV59" s="57">
        <f>[21]January_2019!AF7</f>
        <v>171.55</v>
      </c>
      <c r="AW59" s="57">
        <f>[21]January_2019!AG7</f>
        <v>423.8</v>
      </c>
      <c r="AX59" s="277">
        <f>[21]January_2019!AH7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8.600000000000001" hidden="1" customHeight="1" thickBot="1">
      <c r="B60" s="477"/>
      <c r="C60" s="429"/>
      <c r="D60" s="430"/>
      <c r="E60" s="431"/>
      <c r="F60" s="432"/>
      <c r="G60" s="433"/>
      <c r="H60" s="457"/>
      <c r="I60" s="457"/>
      <c r="J60" s="450"/>
      <c r="K60" s="435"/>
      <c r="L60" s="451"/>
      <c r="M60" s="42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hidden="1" customHeight="1" thickBot="1">
      <c r="B61" s="486"/>
      <c r="C61" s="478"/>
      <c r="D61" s="441"/>
      <c r="E61" s="442"/>
      <c r="F61" s="443"/>
      <c r="G61" s="444"/>
      <c r="H61" s="457"/>
      <c r="I61" s="457"/>
      <c r="J61" s="447"/>
      <c r="K61" s="458"/>
      <c r="L61" s="456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" hidden="1">
      <c r="B62" s="452"/>
      <c r="C62" s="429"/>
      <c r="D62" s="430"/>
      <c r="E62" s="431"/>
      <c r="F62" s="432"/>
      <c r="G62" s="433"/>
      <c r="H62" s="434"/>
      <c r="I62" s="449"/>
      <c r="J62" s="450"/>
      <c r="K62" s="435"/>
      <c r="L62" s="451"/>
      <c r="M62" s="42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0"/>
      <c r="C63" s="478"/>
      <c r="D63" s="441"/>
      <c r="E63" s="442"/>
      <c r="F63" s="443"/>
      <c r="G63" s="444"/>
      <c r="H63" s="445"/>
      <c r="I63" s="446"/>
      <c r="J63" s="447"/>
      <c r="K63" s="448"/>
      <c r="L63" s="456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6"/>
      <c r="C64" s="422"/>
      <c r="D64" s="423"/>
      <c r="E64" s="424"/>
      <c r="F64" s="425"/>
      <c r="G64" s="426"/>
      <c r="H64" s="427"/>
      <c r="I64" s="437"/>
      <c r="J64" s="438"/>
      <c r="K64" s="428"/>
      <c r="L64" s="439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4"/>
      <c r="AC64" s="414"/>
      <c r="AD64" s="414"/>
      <c r="AE64" s="414"/>
      <c r="AF64" s="414"/>
      <c r="AG64" s="414"/>
      <c r="AH64" s="414"/>
      <c r="AI64" s="414"/>
      <c r="AJ64" s="414"/>
      <c r="AK64" s="414"/>
      <c r="AL64" s="414"/>
      <c r="AM64" s="414"/>
      <c r="AN64" s="414"/>
      <c r="AO64" s="414"/>
      <c r="AP64" s="414"/>
      <c r="AQ64" s="414"/>
      <c r="AR64" s="414"/>
      <c r="AS64" s="414"/>
      <c r="AT64" s="414"/>
      <c r="AU64" s="414"/>
      <c r="AV64" s="414"/>
      <c r="AW64" s="414"/>
    </row>
    <row r="65" spans="2:57" s="54" customFormat="1" ht="37.15" hidden="1" customHeight="1" thickBot="1">
      <c r="B65" s="455"/>
      <c r="C65" s="440"/>
      <c r="D65" s="441"/>
      <c r="E65" s="442"/>
      <c r="F65" s="443"/>
      <c r="G65" s="444"/>
      <c r="H65" s="445"/>
      <c r="I65" s="446"/>
      <c r="J65" s="447"/>
      <c r="K65" s="448"/>
      <c r="L65" s="456"/>
      <c r="M65" s="45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5"/>
      <c r="C66" s="429"/>
      <c r="D66" s="459"/>
      <c r="E66" s="460"/>
      <c r="F66" s="461"/>
      <c r="G66" s="459"/>
      <c r="H66" s="462"/>
      <c r="I66" s="462"/>
      <c r="J66" s="462"/>
      <c r="K66" s="463"/>
      <c r="L66" s="464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03" t="s">
        <v>55</v>
      </c>
      <c r="C68" s="504"/>
      <c r="D68" s="504"/>
      <c r="E68" s="504"/>
      <c r="F68" s="505"/>
      <c r="G68" s="503" t="s">
        <v>56</v>
      </c>
      <c r="H68" s="504"/>
      <c r="I68" s="504"/>
      <c r="J68" s="505"/>
      <c r="K68" s="503" t="s">
        <v>51</v>
      </c>
      <c r="L68" s="504"/>
      <c r="M68" s="504"/>
      <c r="N68" s="506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/>
      <c r="D70" s="76"/>
      <c r="E70" s="76">
        <v>6.4321307508289749</v>
      </c>
      <c r="F70" s="66">
        <v>4.8</v>
      </c>
      <c r="G70" s="65"/>
      <c r="H70" s="476"/>
      <c r="I70" s="476">
        <v>6.5257109935981328</v>
      </c>
      <c r="J70" s="66">
        <v>4.8</v>
      </c>
      <c r="K70" s="67"/>
      <c r="L70" s="194"/>
      <c r="M70" s="194">
        <v>0.53908627189124969</v>
      </c>
      <c r="N70" s="68">
        <v>1</v>
      </c>
      <c r="O70" s="56"/>
      <c r="P70" s="69"/>
    </row>
    <row r="71" spans="2:57" ht="15">
      <c r="B71" s="33" t="s">
        <v>9</v>
      </c>
      <c r="C71" s="65"/>
      <c r="D71" s="76"/>
      <c r="E71" s="76">
        <v>6.0345293824252026</v>
      </c>
      <c r="F71" s="66">
        <v>4.8</v>
      </c>
      <c r="G71" s="65"/>
      <c r="H71" s="76"/>
      <c r="I71" s="76">
        <v>5.9275658832823668</v>
      </c>
      <c r="J71" s="66">
        <v>4.8</v>
      </c>
      <c r="K71" s="67"/>
      <c r="L71" s="194"/>
      <c r="M71" s="194">
        <v>0.6824652535868081</v>
      </c>
      <c r="N71" s="68">
        <v>1</v>
      </c>
      <c r="P71" s="69"/>
    </row>
    <row r="72" spans="2:57" ht="15">
      <c r="B72" s="34" t="s">
        <v>40</v>
      </c>
      <c r="C72" s="65"/>
      <c r="D72" s="76"/>
      <c r="E72" s="76">
        <v>10.912862882586603</v>
      </c>
      <c r="F72" s="66">
        <v>5.5</v>
      </c>
      <c r="G72" s="65"/>
      <c r="H72" s="76"/>
      <c r="I72" s="76">
        <v>11.819732298933111</v>
      </c>
      <c r="J72" s="66">
        <v>5.5</v>
      </c>
      <c r="K72" s="67"/>
      <c r="L72" s="194"/>
      <c r="M72" s="194">
        <v>0.35370190356844494</v>
      </c>
      <c r="N72" s="68">
        <v>1</v>
      </c>
      <c r="P72" s="69"/>
    </row>
    <row r="73" spans="2:57" ht="15">
      <c r="B73" s="22" t="s">
        <v>33</v>
      </c>
      <c r="C73" s="65">
        <f>L57</f>
        <v>2.6160971335586405</v>
      </c>
      <c r="D73" s="76">
        <v>3.1167855801727349</v>
      </c>
      <c r="E73" s="76">
        <v>4.8433372666231218</v>
      </c>
      <c r="F73" s="66">
        <v>3.3</v>
      </c>
      <c r="G73" s="65">
        <f>[19]October_2026!$D$74</f>
        <v>4.0562064167659644</v>
      </c>
      <c r="H73" s="76">
        <v>4.5494907025409468</v>
      </c>
      <c r="I73" s="76">
        <v>4.8361029025922759</v>
      </c>
      <c r="J73" s="66">
        <v>3.3</v>
      </c>
      <c r="K73" s="67">
        <f>K57</f>
        <v>1.3649122807017544</v>
      </c>
      <c r="L73" s="194">
        <v>1.3578947368421053</v>
      </c>
      <c r="M73" s="194">
        <v>0.77919298245614044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6.3233965672990236</v>
      </c>
      <c r="F75" s="70">
        <v>5.5</v>
      </c>
      <c r="G75" s="65"/>
      <c r="H75" s="76"/>
      <c r="I75" s="76">
        <v>7.9667553186446929</v>
      </c>
      <c r="J75" s="66">
        <v>5.5</v>
      </c>
      <c r="K75" s="67"/>
      <c r="L75" s="194"/>
      <c r="M75" s="194">
        <v>0.5883625730994152</v>
      </c>
      <c r="N75" s="68">
        <v>1</v>
      </c>
      <c r="P75" s="69"/>
    </row>
    <row r="76" spans="2:57" ht="15">
      <c r="B76" s="37" t="s">
        <v>16</v>
      </c>
      <c r="C76" s="481"/>
      <c r="D76" s="76"/>
      <c r="E76" s="76">
        <v>3.9973372218347856</v>
      </c>
      <c r="F76" s="66">
        <v>3.3</v>
      </c>
      <c r="G76" s="282"/>
      <c r="H76" s="76"/>
      <c r="I76" s="76">
        <v>5.1096183510504902</v>
      </c>
      <c r="J76" s="66">
        <v>3.3</v>
      </c>
      <c r="K76" s="67"/>
      <c r="L76" s="194"/>
      <c r="M76" s="194">
        <v>0.89057130004498408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3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3.1167855801727349</v>
      </c>
      <c r="E79" s="76">
        <v>6.362317810863849</v>
      </c>
      <c r="F79" s="341">
        <v>5.5</v>
      </c>
      <c r="H79" s="76">
        <v>4.5494907025409468</v>
      </c>
      <c r="I79" s="76">
        <v>6.6372732540678161</v>
      </c>
      <c r="J79" s="341">
        <v>5.5</v>
      </c>
      <c r="L79" s="194">
        <v>1.3578947368421053</v>
      </c>
      <c r="M79" s="194">
        <v>0.59559710956710543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2884" priority="127" operator="notBetween">
      <formula>#REF!</formula>
      <formula>#REF!</formula>
    </cfRule>
  </conditionalFormatting>
  <conditionalFormatting sqref="C54">
    <cfRule type="cellIs" dxfId="2883" priority="209" stopIfTrue="1" operator="lessThan">
      <formula>96</formula>
    </cfRule>
    <cfRule type="cellIs" dxfId="2882" priority="210" stopIfTrue="1" operator="greaterThan">
      <formula>100</formula>
    </cfRule>
  </conditionalFormatting>
  <conditionalFormatting sqref="C70:C71">
    <cfRule type="cellIs" dxfId="2881" priority="93" stopIfTrue="1" operator="lessThanOrEqual">
      <formula>0</formula>
    </cfRule>
    <cfRule type="cellIs" dxfId="2880" priority="92" stopIfTrue="1" operator="greaterThan">
      <formula>$F70</formula>
    </cfRule>
    <cfRule type="cellIs" dxfId="2879" priority="91" stopIfTrue="1" operator="lessThanOrEqual">
      <formula>0</formula>
    </cfRule>
    <cfRule type="cellIs" dxfId="2878" priority="90" stopIfTrue="1" operator="greaterThan">
      <formula>$F70</formula>
    </cfRule>
  </conditionalFormatting>
  <conditionalFormatting sqref="C72:C74 C76:C78">
    <cfRule type="cellIs" dxfId="2877" priority="99" stopIfTrue="1" operator="greaterThan">
      <formula>$F75</formula>
    </cfRule>
  </conditionalFormatting>
  <conditionalFormatting sqref="C72:C74">
    <cfRule type="cellIs" dxfId="2876" priority="100" stopIfTrue="1" operator="lessThanOrEqual">
      <formula>0</formula>
    </cfRule>
  </conditionalFormatting>
  <conditionalFormatting sqref="C75">
    <cfRule type="cellIs" dxfId="2875" priority="214" stopIfTrue="1" operator="lessThanOrEqual">
      <formula>0</formula>
    </cfRule>
    <cfRule type="cellIs" dxfId="2874" priority="213" stopIfTrue="1" operator="greaterThan">
      <formula>$F70</formula>
    </cfRule>
    <cfRule type="cellIs" dxfId="2873" priority="212" stopIfTrue="1" operator="lessThanOrEqual">
      <formula>0</formula>
    </cfRule>
    <cfRule type="cellIs" dxfId="2872" priority="211" stopIfTrue="1" operator="greaterThan">
      <formula>$F70</formula>
    </cfRule>
  </conditionalFormatting>
  <conditionalFormatting sqref="C76:C78">
    <cfRule type="cellIs" dxfId="2871" priority="101" stopIfTrue="1" operator="lessThanOrEqual">
      <formula>0</formula>
    </cfRule>
  </conditionalFormatting>
  <conditionalFormatting sqref="C81:C85">
    <cfRule type="cellIs" dxfId="2870" priority="201" stopIfTrue="1" operator="lessThanOrEqual">
      <formula>0</formula>
    </cfRule>
  </conditionalFormatting>
  <conditionalFormatting sqref="C82:C85">
    <cfRule type="cellIs" dxfId="2869" priority="200" stopIfTrue="1" operator="greaterThan">
      <formula>$F$81</formula>
    </cfRule>
  </conditionalFormatting>
  <conditionalFormatting sqref="C87">
    <cfRule type="cellIs" dxfId="2868" priority="202" stopIfTrue="1" operator="greaterThan">
      <formula>$F$81</formula>
    </cfRule>
    <cfRule type="cellIs" dxfId="2867" priority="203" stopIfTrue="1" operator="lessThanOrEqual">
      <formula>0</formula>
    </cfRule>
  </conditionalFormatting>
  <conditionalFormatting sqref="C75:D75">
    <cfRule type="cellIs" dxfId="2866" priority="88" stopIfTrue="1" operator="greaterThan">
      <formula>$J75</formula>
    </cfRule>
    <cfRule type="cellIs" dxfId="2865" priority="89" stopIfTrue="1" operator="lessThanOrEqual">
      <formula>0</formula>
    </cfRule>
  </conditionalFormatting>
  <conditionalFormatting sqref="C81:D81 D83:D89">
    <cfRule type="cellIs" dxfId="2864" priority="195" stopIfTrue="1" operator="greaterThan">
      <formula>4.5</formula>
    </cfRule>
  </conditionalFormatting>
  <conditionalFormatting sqref="D50:D51">
    <cfRule type="cellIs" dxfId="2863" priority="128" operator="notBetween">
      <formula>#REF!</formula>
      <formula>#REF!</formula>
    </cfRule>
  </conditionalFormatting>
  <conditionalFormatting sqref="D70:D74 D76:D77">
    <cfRule type="cellIs" dxfId="2862" priority="98" stopIfTrue="1" operator="lessThanOrEqual">
      <formula>0</formula>
    </cfRule>
  </conditionalFormatting>
  <conditionalFormatting sqref="D70:D74 D76:D79">
    <cfRule type="cellIs" dxfId="2861" priority="95" stopIfTrue="1" operator="greaterThan">
      <formula>$F70</formula>
    </cfRule>
    <cfRule type="cellIs" dxfId="2860" priority="94" stopIfTrue="1" operator="lessThanOrEqual">
      <formula>0</formula>
    </cfRule>
  </conditionalFormatting>
  <conditionalFormatting sqref="D78:D79">
    <cfRule type="cellIs" dxfId="2859" priority="96" stopIfTrue="1" operator="lessThanOrEqual">
      <formula>0</formula>
    </cfRule>
  </conditionalFormatting>
  <conditionalFormatting sqref="D79">
    <cfRule type="cellIs" dxfId="2858" priority="97" stopIfTrue="1" operator="lessThanOrEqual">
      <formula>0</formula>
    </cfRule>
  </conditionalFormatting>
  <conditionalFormatting sqref="D81 D83:D89">
    <cfRule type="cellIs" dxfId="2857" priority="196" stopIfTrue="1" operator="lessThanOrEqual">
      <formula>0</formula>
    </cfRule>
  </conditionalFormatting>
  <conditionalFormatting sqref="D82">
    <cfRule type="cellIs" dxfId="2856" priority="187" stopIfTrue="1" operator="greaterThan">
      <formula>$F$81</formula>
    </cfRule>
    <cfRule type="cellIs" dxfId="2855" priority="188" stopIfTrue="1" operator="lessThanOrEqual">
      <formula>0</formula>
    </cfRule>
  </conditionalFormatting>
  <conditionalFormatting sqref="E10:E25">
    <cfRule type="cellIs" dxfId="2854" priority="7" operator="lessThan">
      <formula>48</formula>
    </cfRule>
  </conditionalFormatting>
  <conditionalFormatting sqref="E53 E54:F54">
    <cfRule type="cellIs" dxfId="2853" priority="192" stopIfTrue="1" operator="greaterThan">
      <formula>100</formula>
    </cfRule>
  </conditionalFormatting>
  <conditionalFormatting sqref="E54">
    <cfRule type="cellIs" dxfId="2852" priority="190" stopIfTrue="1" operator="greaterThan">
      <formula>100</formula>
    </cfRule>
    <cfRule type="cellIs" dxfId="2851" priority="189" stopIfTrue="1" operator="lessThan">
      <formula>96.8</formula>
    </cfRule>
  </conditionalFormatting>
  <conditionalFormatting sqref="E70:E78">
    <cfRule type="cellIs" dxfId="2850" priority="61" stopIfTrue="1" operator="lessThanOrEqual">
      <formula>0</formula>
    </cfRule>
  </conditionalFormatting>
  <conditionalFormatting sqref="E70:E79">
    <cfRule type="cellIs" dxfId="2849" priority="62" stopIfTrue="1" operator="greaterThan">
      <formula>$F70</formula>
    </cfRule>
    <cfRule type="cellIs" dxfId="2848" priority="63" stopIfTrue="1" operator="lessThanOrEqual">
      <formula>0</formula>
    </cfRule>
  </conditionalFormatting>
  <conditionalFormatting sqref="E79">
    <cfRule type="cellIs" dxfId="2847" priority="64" stopIfTrue="1" operator="lessThanOrEqual">
      <formula>0</formula>
    </cfRule>
  </conditionalFormatting>
  <conditionalFormatting sqref="E81:E89">
    <cfRule type="cellIs" dxfId="2846" priority="181" stopIfTrue="1" operator="greaterThan">
      <formula>4.5</formula>
    </cfRule>
    <cfRule type="cellIs" dxfId="2845" priority="182" stopIfTrue="1" operator="lessThanOrEqual">
      <formula>0</formula>
    </cfRule>
  </conditionalFormatting>
  <conditionalFormatting sqref="E54:F54 E53">
    <cfRule type="cellIs" dxfId="2844" priority="191" stopIfTrue="1" operator="lessThan">
      <formula>96.5</formula>
    </cfRule>
  </conditionalFormatting>
  <conditionalFormatting sqref="F10:F25">
    <cfRule type="cellIs" dxfId="2843" priority="8" operator="greaterThan">
      <formula>60</formula>
    </cfRule>
  </conditionalFormatting>
  <conditionalFormatting sqref="F54">
    <cfRule type="cellIs" dxfId="2842" priority="208" stopIfTrue="1" operator="greaterThan">
      <formula>100</formula>
    </cfRule>
    <cfRule type="cellIs" dxfId="2841" priority="207" stopIfTrue="1" operator="lessThan">
      <formula>96.8</formula>
    </cfRule>
  </conditionalFormatting>
  <conditionalFormatting sqref="G24">
    <cfRule type="expression" dxfId="2840" priority="36">
      <formula>IF(+(IF(G24&lt;#REF!,0,IF(G24&gt;#REF!,0,1)))=0,1)</formula>
    </cfRule>
  </conditionalFormatting>
  <conditionalFormatting sqref="G25">
    <cfRule type="expression" dxfId="2839" priority="35">
      <formula>IF(+(IF(G25&lt;S25,0,IF(G25&gt;T25,0,1)))=0,1)</formula>
    </cfRule>
  </conditionalFormatting>
  <conditionalFormatting sqref="G70:G73 F79">
    <cfRule type="cellIs" dxfId="2838" priority="70" stopIfTrue="1" operator="greaterThan">
      <formula>$F70</formula>
    </cfRule>
    <cfRule type="cellIs" dxfId="2837" priority="71" stopIfTrue="1" operator="lessThanOrEqual">
      <formula>0</formula>
    </cfRule>
  </conditionalFormatting>
  <conditionalFormatting sqref="G72:G73">
    <cfRule type="cellIs" dxfId="2836" priority="57" stopIfTrue="1" operator="lessThanOrEqual">
      <formula>0</formula>
    </cfRule>
    <cfRule type="cellIs" dxfId="2835" priority="56" stopIfTrue="1" operator="greaterThan">
      <formula>$F72</formula>
    </cfRule>
  </conditionalFormatting>
  <conditionalFormatting sqref="G74:G78">
    <cfRule type="cellIs" dxfId="2834" priority="73" stopIfTrue="1" operator="lessThanOrEqual">
      <formula>0</formula>
    </cfRule>
    <cfRule type="cellIs" dxfId="2833" priority="72" stopIfTrue="1" operator="greaterThan">
      <formula>$J74</formula>
    </cfRule>
  </conditionalFormatting>
  <conditionalFormatting sqref="G75">
    <cfRule type="cellIs" dxfId="2832" priority="215" stopIfTrue="1" operator="greaterThan">
      <formula>$F70</formula>
    </cfRule>
    <cfRule type="cellIs" dxfId="2831" priority="216" stopIfTrue="1" operator="lessThanOrEqual">
      <formula>0</formula>
    </cfRule>
  </conditionalFormatting>
  <conditionalFormatting sqref="G83:G88 C86 C88">
    <cfRule type="cellIs" dxfId="2830" priority="205" stopIfTrue="1" operator="lessThanOrEqual">
      <formula>0</formula>
    </cfRule>
    <cfRule type="cellIs" dxfId="2829" priority="204" stopIfTrue="1" operator="greaterThan">
      <formula>4.5</formula>
    </cfRule>
  </conditionalFormatting>
  <conditionalFormatting sqref="G82:H82">
    <cfRule type="cellIs" dxfId="2828" priority="186" stopIfTrue="1" operator="lessThanOrEqual">
      <formula>0</formula>
    </cfRule>
    <cfRule type="cellIs" dxfId="2827" priority="185" stopIfTrue="1" operator="greaterThan">
      <formula>$F$81</formula>
    </cfRule>
  </conditionalFormatting>
  <conditionalFormatting sqref="H10:H12 H19:H25">
    <cfRule type="expression" dxfId="2826" priority="30">
      <formula>IF(+(IF(H10&lt;#REF!,0,IF(H10&gt;#REF!,0,1)))=0,1)</formula>
    </cfRule>
  </conditionalFormatting>
  <conditionalFormatting sqref="H39:H40 H53">
    <cfRule type="cellIs" dxfId="2825" priority="183" stopIfTrue="1" operator="greaterThan">
      <formula>0</formula>
    </cfRule>
  </conditionalFormatting>
  <conditionalFormatting sqref="H57">
    <cfRule type="cellIs" dxfId="2824" priority="76" stopIfTrue="1" operator="greaterThan">
      <formula>$F$70</formula>
    </cfRule>
    <cfRule type="cellIs" dxfId="2823" priority="86" stopIfTrue="1" operator="greaterThan">
      <formula>$F$71</formula>
    </cfRule>
    <cfRule type="cellIs" dxfId="2822" priority="85" stopIfTrue="1" operator="lessThanOrEqual">
      <formula>0</formula>
    </cfRule>
    <cfRule type="cellIs" dxfId="2821" priority="84" stopIfTrue="1" operator="greaterThan">
      <formula>$F$73</formula>
    </cfRule>
    <cfRule type="cellIs" dxfId="2820" priority="75" stopIfTrue="1" operator="lessThanOrEqual">
      <formula>0</formula>
    </cfRule>
  </conditionalFormatting>
  <conditionalFormatting sqref="H57:H58">
    <cfRule type="cellIs" dxfId="2819" priority="87" stopIfTrue="1" operator="lessThanOrEqual">
      <formula>0</formula>
    </cfRule>
  </conditionalFormatting>
  <conditionalFormatting sqref="H58 H60:H61">
    <cfRule type="cellIs" dxfId="2818" priority="113" stopIfTrue="1" operator="lessThanOrEqual">
      <formula>0</formula>
    </cfRule>
  </conditionalFormatting>
  <conditionalFormatting sqref="H58">
    <cfRule type="cellIs" dxfId="2817" priority="102" stopIfTrue="1" operator="greaterThan">
      <formula>$F$70</formula>
    </cfRule>
    <cfRule type="cellIs" dxfId="2816" priority="110" stopIfTrue="1" operator="greaterThan">
      <formula>$F$73</formula>
    </cfRule>
    <cfRule type="cellIs" dxfId="2815" priority="111" stopIfTrue="1" operator="lessThanOrEqual">
      <formula>0</formula>
    </cfRule>
    <cfRule type="cellIs" dxfId="2814" priority="112" stopIfTrue="1" operator="greaterThan">
      <formula>$F$71</formula>
    </cfRule>
  </conditionalFormatting>
  <conditionalFormatting sqref="H59">
    <cfRule type="cellIs" dxfId="2813" priority="54" stopIfTrue="1" operator="lessThanOrEqual">
      <formula>0</formula>
    </cfRule>
    <cfRule type="cellIs" dxfId="2812" priority="51" stopIfTrue="1" operator="greaterThan">
      <formula>$F$75</formula>
    </cfRule>
    <cfRule type="cellIs" dxfId="2811" priority="52" stopIfTrue="1" operator="lessThanOrEqual">
      <formula>0</formula>
    </cfRule>
    <cfRule type="cellIs" dxfId="2810" priority="53" stopIfTrue="1" operator="greaterThan">
      <formula>$F$73</formula>
    </cfRule>
    <cfRule type="cellIs" dxfId="2809" priority="42" stopIfTrue="1" operator="lessThanOrEqual">
      <formula>0</formula>
    </cfRule>
    <cfRule type="cellIs" dxfId="2808" priority="43" stopIfTrue="1" operator="greaterThan">
      <formula>$F$72</formula>
    </cfRule>
  </conditionalFormatting>
  <conditionalFormatting sqref="H60:H61">
    <cfRule type="cellIs" dxfId="2807" priority="126" stopIfTrue="1" operator="lessThanOrEqual">
      <formula>0</formula>
    </cfRule>
    <cfRule type="cellIs" dxfId="2806" priority="124" stopIfTrue="1" operator="lessThanOrEqual">
      <formula>0</formula>
    </cfRule>
    <cfRule type="cellIs" dxfId="2805" priority="123" stopIfTrue="1" operator="greaterThan">
      <formula>$F$73</formula>
    </cfRule>
    <cfRule type="cellIs" dxfId="2804" priority="125" stopIfTrue="1" operator="greaterThan">
      <formula>$F$71</formula>
    </cfRule>
    <cfRule type="cellIs" dxfId="2803" priority="115" stopIfTrue="1" operator="greaterThan">
      <formula>$F$70</formula>
    </cfRule>
  </conditionalFormatting>
  <conditionalFormatting sqref="H62:H63">
    <cfRule type="cellIs" dxfId="2802" priority="159" stopIfTrue="1" operator="greaterThan">
      <formula>#REF!</formula>
    </cfRule>
    <cfRule type="cellIs" dxfId="2801" priority="160" stopIfTrue="1" operator="lessThanOrEqual">
      <formula>0</formula>
    </cfRule>
    <cfRule type="cellIs" dxfId="2800" priority="151" stopIfTrue="1" operator="greaterThan">
      <formula>#REF!</formula>
    </cfRule>
    <cfRule type="cellIs" dxfId="2799" priority="150" stopIfTrue="1" operator="lessThanOrEqual">
      <formula>0</formula>
    </cfRule>
  </conditionalFormatting>
  <conditionalFormatting sqref="H64">
    <cfRule type="cellIs" dxfId="2798" priority="163" stopIfTrue="1" operator="greaterThan">
      <formula>$F$38</formula>
    </cfRule>
    <cfRule type="cellIs" dxfId="2797" priority="162" stopIfTrue="1" operator="lessThanOrEqual">
      <formula>0</formula>
    </cfRule>
    <cfRule type="cellIs" dxfId="2796" priority="174" stopIfTrue="1" operator="lessThanOrEqual">
      <formula>0</formula>
    </cfRule>
    <cfRule type="cellIs" dxfId="2795" priority="171" stopIfTrue="1" operator="greaterThan">
      <formula>$F$41</formula>
    </cfRule>
    <cfRule type="cellIs" dxfId="2794" priority="172" stopIfTrue="1" operator="lessThanOrEqual">
      <formula>0</formula>
    </cfRule>
    <cfRule type="cellIs" dxfId="2793" priority="173" stopIfTrue="1" operator="greaterThan">
      <formula>$F$39</formula>
    </cfRule>
  </conditionalFormatting>
  <conditionalFormatting sqref="H65:H66">
    <cfRule type="cellIs" dxfId="2792" priority="139" stopIfTrue="1" operator="greaterThan">
      <formula>#REF!</formula>
    </cfRule>
    <cfRule type="cellIs" dxfId="2791" priority="148" stopIfTrue="1" operator="lessThanOrEqual">
      <formula>0</formula>
    </cfRule>
    <cfRule type="cellIs" dxfId="2790" priority="147" stopIfTrue="1" operator="greaterThan">
      <formula>#REF!</formula>
    </cfRule>
    <cfRule type="cellIs" dxfId="2789" priority="138" stopIfTrue="1" operator="lessThanOrEqual">
      <formula>0</formula>
    </cfRule>
  </conditionalFormatting>
  <conditionalFormatting sqref="H81 H83:H89">
    <cfRule type="cellIs" dxfId="2788" priority="197" stopIfTrue="1" operator="greaterThan">
      <formula>4.5</formula>
    </cfRule>
    <cfRule type="cellIs" dxfId="2787" priority="198" stopIfTrue="1" operator="lessThanOrEqual">
      <formula>0</formula>
    </cfRule>
  </conditionalFormatting>
  <conditionalFormatting sqref="H57:I57">
    <cfRule type="cellIs" dxfId="2786" priority="77" stopIfTrue="1" operator="lessThanOrEqual">
      <formula>0</formula>
    </cfRule>
  </conditionalFormatting>
  <conditionalFormatting sqref="H57:I58 H60:I61">
    <cfRule type="cellIs" dxfId="2785" priority="74" stopIfTrue="1" operator="greaterThan">
      <formula>$F$72</formula>
    </cfRule>
  </conditionalFormatting>
  <conditionalFormatting sqref="H58:I58">
    <cfRule type="cellIs" dxfId="2784" priority="103" stopIfTrue="1" operator="lessThanOrEqual">
      <formula>0</formula>
    </cfRule>
  </conditionalFormatting>
  <conditionalFormatting sqref="H59:I59">
    <cfRule type="cellIs" dxfId="2783" priority="41" stopIfTrue="1" operator="greaterThan">
      <formula>$F$74</formula>
    </cfRule>
    <cfRule type="cellIs" dxfId="2782" priority="44" stopIfTrue="1" operator="lessThanOrEqual">
      <formula>0</formula>
    </cfRule>
  </conditionalFormatting>
  <conditionalFormatting sqref="H60:I61">
    <cfRule type="cellIs" dxfId="2781" priority="116" stopIfTrue="1" operator="lessThanOrEqual">
      <formula>0</formula>
    </cfRule>
  </conditionalFormatting>
  <conditionalFormatting sqref="H62:I63">
    <cfRule type="cellIs" dxfId="2780" priority="157" stopIfTrue="1" operator="greaterThan">
      <formula>#REF!</formula>
    </cfRule>
    <cfRule type="cellIs" dxfId="2779" priority="152" stopIfTrue="1" operator="lessThanOrEqual">
      <formula>0</formula>
    </cfRule>
    <cfRule type="cellIs" dxfId="2778" priority="149" stopIfTrue="1" operator="greaterThan">
      <formula>#REF!</formula>
    </cfRule>
    <cfRule type="cellIs" dxfId="2777" priority="158" stopIfTrue="1" operator="lessThanOrEqual">
      <formula>0</formula>
    </cfRule>
  </conditionalFormatting>
  <conditionalFormatting sqref="H64:I64">
    <cfRule type="cellIs" dxfId="2776" priority="161" stopIfTrue="1" operator="greaterThan">
      <formula>$F$40</formula>
    </cfRule>
    <cfRule type="cellIs" dxfId="2775" priority="164" stopIfTrue="1" operator="lessThanOrEqual">
      <formula>0</formula>
    </cfRule>
  </conditionalFormatting>
  <conditionalFormatting sqref="H65:I66">
    <cfRule type="cellIs" dxfId="2774" priority="137" stopIfTrue="1" operator="greaterThan">
      <formula>#REF!</formula>
    </cfRule>
    <cfRule type="cellIs" dxfId="2773" priority="145" stopIfTrue="1" operator="greaterThan">
      <formula>#REF!</formula>
    </cfRule>
    <cfRule type="cellIs" dxfId="2772" priority="146" stopIfTrue="1" operator="lessThanOrEqual">
      <formula>0</formula>
    </cfRule>
    <cfRule type="cellIs" dxfId="2771" priority="140" stopIfTrue="1" operator="lessThanOrEqual">
      <formula>0</formula>
    </cfRule>
  </conditionalFormatting>
  <conditionalFormatting sqref="H70:I77">
    <cfRule type="cellIs" dxfId="2770" priority="59" stopIfTrue="1" operator="greaterThan">
      <formula>$J70</formula>
    </cfRule>
    <cfRule type="cellIs" dxfId="2769" priority="60" stopIfTrue="1" operator="lessThanOrEqual">
      <formula>0</formula>
    </cfRule>
  </conditionalFormatting>
  <conditionalFormatting sqref="H78:I78">
    <cfRule type="cellIs" dxfId="2768" priority="67" operator="greaterThan">
      <formula>5.3</formula>
    </cfRule>
  </conditionalFormatting>
  <conditionalFormatting sqref="H79:I79">
    <cfRule type="cellIs" dxfId="2767" priority="65" stopIfTrue="1" operator="greaterThan">
      <formula>$J79</formula>
    </cfRule>
    <cfRule type="cellIs" dxfId="2766" priority="66" stopIfTrue="1" operator="lessThanOrEqual">
      <formula>0</formula>
    </cfRule>
  </conditionalFormatting>
  <conditionalFormatting sqref="I57">
    <cfRule type="cellIs" dxfId="2765" priority="78" stopIfTrue="1" operator="greaterThan">
      <formula>$F$70</formula>
    </cfRule>
    <cfRule type="cellIs" dxfId="2764" priority="81" stopIfTrue="1" operator="lessThanOrEqual">
      <formula>0</formula>
    </cfRule>
    <cfRule type="cellIs" dxfId="2763" priority="83" stopIfTrue="1" operator="lessThanOrEqual">
      <formula>0</formula>
    </cfRule>
    <cfRule type="cellIs" dxfId="2762" priority="82" stopIfTrue="1" operator="greaterThan">
      <formula>$F$70</formula>
    </cfRule>
    <cfRule type="cellIs" dxfId="2761" priority="80" stopIfTrue="1" operator="greaterThan">
      <formula>$F$72</formula>
    </cfRule>
    <cfRule type="cellIs" dxfId="2760" priority="79" stopIfTrue="1" operator="lessThanOrEqual">
      <formula>0</formula>
    </cfRule>
  </conditionalFormatting>
  <conditionalFormatting sqref="I58">
    <cfRule type="cellIs" dxfId="2759" priority="105" stopIfTrue="1" operator="lessThanOrEqual">
      <formula>0</formula>
    </cfRule>
    <cfRule type="cellIs" dxfId="2758" priority="104" stopIfTrue="1" operator="greaterThan">
      <formula>$F$70</formula>
    </cfRule>
    <cfRule type="cellIs" dxfId="2757" priority="106" stopIfTrue="1" operator="greaterThan">
      <formula>$F$72</formula>
    </cfRule>
    <cfRule type="cellIs" dxfId="2756" priority="109" stopIfTrue="1" operator="lessThanOrEqual">
      <formula>0</formula>
    </cfRule>
    <cfRule type="cellIs" dxfId="2755" priority="108" stopIfTrue="1" operator="greaterThan">
      <formula>$F$70</formula>
    </cfRule>
    <cfRule type="cellIs" dxfId="2754" priority="107" stopIfTrue="1" operator="lessThanOrEqual">
      <formula>0</formula>
    </cfRule>
  </conditionalFormatting>
  <conditionalFormatting sqref="I59">
    <cfRule type="cellIs" dxfId="2753" priority="50" stopIfTrue="1" operator="lessThanOrEqual">
      <formula>0</formula>
    </cfRule>
    <cfRule type="cellIs" dxfId="2752" priority="48" stopIfTrue="1" operator="lessThanOrEqual">
      <formula>0</formula>
    </cfRule>
    <cfRule type="cellIs" dxfId="2751" priority="45" stopIfTrue="1" operator="greaterThan">
      <formula>$F$72</formula>
    </cfRule>
    <cfRule type="cellIs" dxfId="2750" priority="46" stopIfTrue="1" operator="lessThanOrEqual">
      <formula>0</formula>
    </cfRule>
    <cfRule type="cellIs" dxfId="2749" priority="47" stopIfTrue="1" operator="greaterThan">
      <formula>$F$74</formula>
    </cfRule>
    <cfRule type="cellIs" dxfId="2748" priority="49" stopIfTrue="1" operator="greaterThan">
      <formula>$F$72</formula>
    </cfRule>
  </conditionalFormatting>
  <conditionalFormatting sqref="I60:I61">
    <cfRule type="cellIs" dxfId="2747" priority="119" stopIfTrue="1" operator="greaterThan">
      <formula>$F$72</formula>
    </cfRule>
    <cfRule type="cellIs" dxfId="2746" priority="118" stopIfTrue="1" operator="lessThanOrEqual">
      <formula>0</formula>
    </cfRule>
    <cfRule type="cellIs" dxfId="2745" priority="117" stopIfTrue="1" operator="greaterThan">
      <formula>$F$70</formula>
    </cfRule>
    <cfRule type="cellIs" dxfId="2744" priority="120" stopIfTrue="1" operator="lessThanOrEqual">
      <formula>0</formula>
    </cfRule>
    <cfRule type="cellIs" dxfId="2743" priority="122" stopIfTrue="1" operator="lessThanOrEqual">
      <formula>0</formula>
    </cfRule>
    <cfRule type="cellIs" dxfId="2742" priority="121" stopIfTrue="1" operator="greaterThan">
      <formula>$F$70</formula>
    </cfRule>
  </conditionalFormatting>
  <conditionalFormatting sqref="I62:I63">
    <cfRule type="cellIs" dxfId="2741" priority="156" stopIfTrue="1" operator="lessThanOrEqual">
      <formula>0</formula>
    </cfRule>
    <cfRule type="cellIs" dxfId="2740" priority="155" stopIfTrue="1" operator="greaterThan">
      <formula>#REF!</formula>
    </cfRule>
    <cfRule type="cellIs" dxfId="2739" priority="153" stopIfTrue="1" operator="greaterThan">
      <formula>#REF!</formula>
    </cfRule>
    <cfRule type="cellIs" dxfId="2738" priority="154" stopIfTrue="1" operator="lessThanOrEqual">
      <formula>0</formula>
    </cfRule>
  </conditionalFormatting>
  <conditionalFormatting sqref="I64">
    <cfRule type="cellIs" dxfId="2737" priority="165" stopIfTrue="1" operator="greaterThan">
      <formula>$F$38</formula>
    </cfRule>
    <cfRule type="cellIs" dxfId="2736" priority="166" stopIfTrue="1" operator="lessThanOrEqual">
      <formula>0</formula>
    </cfRule>
    <cfRule type="cellIs" dxfId="2735" priority="167" stopIfTrue="1" operator="greaterThan">
      <formula>$F$40</formula>
    </cfRule>
    <cfRule type="cellIs" dxfId="2734" priority="168" stopIfTrue="1" operator="lessThanOrEqual">
      <formula>0</formula>
    </cfRule>
    <cfRule type="cellIs" dxfId="2733" priority="169" stopIfTrue="1" operator="greaterThan">
      <formula>$F$38</formula>
    </cfRule>
    <cfRule type="cellIs" dxfId="2732" priority="170" stopIfTrue="1" operator="lessThanOrEqual">
      <formula>0</formula>
    </cfRule>
  </conditionalFormatting>
  <conditionalFormatting sqref="I65:I66">
    <cfRule type="cellIs" dxfId="2731" priority="144" stopIfTrue="1" operator="lessThanOrEqual">
      <formula>0</formula>
    </cfRule>
    <cfRule type="cellIs" dxfId="2730" priority="142" stopIfTrue="1" operator="lessThanOrEqual">
      <formula>0</formula>
    </cfRule>
    <cfRule type="cellIs" dxfId="2729" priority="141" stopIfTrue="1" operator="greaterThan">
      <formula>#REF!</formula>
    </cfRule>
    <cfRule type="cellIs" dxfId="2728" priority="143" stopIfTrue="1" operator="greaterThan">
      <formula>#REF!</formula>
    </cfRule>
  </conditionalFormatting>
  <conditionalFormatting sqref="I81:I89">
    <cfRule type="cellIs" dxfId="2727" priority="194" stopIfTrue="1" operator="lessThanOrEqual">
      <formula>0</formula>
    </cfRule>
    <cfRule type="cellIs" dxfId="2726" priority="193" stopIfTrue="1" operator="greaterThan">
      <formula>4.5</formula>
    </cfRule>
  </conditionalFormatting>
  <conditionalFormatting sqref="I10:J25">
    <cfRule type="cellIs" dxfId="2725" priority="1" operator="lessThan">
      <formula>97.9</formula>
    </cfRule>
  </conditionalFormatting>
  <conditionalFormatting sqref="J28:J30">
    <cfRule type="cellIs" dxfId="2724" priority="40" operator="lessThan">
      <formula>97.95</formula>
    </cfRule>
  </conditionalFormatting>
  <conditionalFormatting sqref="J29:J32">
    <cfRule type="cellIs" dxfId="2723" priority="175" operator="lessThan">
      <formula>97.4</formula>
    </cfRule>
  </conditionalFormatting>
  <conditionalFormatting sqref="J33:J34">
    <cfRule type="cellIs" dxfId="2722" priority="176" operator="lessThan">
      <formula>98</formula>
    </cfRule>
  </conditionalFormatting>
  <conditionalFormatting sqref="J35:J36">
    <cfRule type="cellIs" dxfId="2721" priority="178" stopIfTrue="1" operator="greaterThan">
      <formula>100</formula>
    </cfRule>
    <cfRule type="cellIs" dxfId="2720" priority="177" stopIfTrue="1" operator="lessThan">
      <formula>96.8</formula>
    </cfRule>
  </conditionalFormatting>
  <conditionalFormatting sqref="J35:J37">
    <cfRule type="cellIs" dxfId="2719" priority="179" operator="lessThan">
      <formula>98</formula>
    </cfRule>
  </conditionalFormatting>
  <conditionalFormatting sqref="J66">
    <cfRule type="cellIs" dxfId="2718" priority="129" stopIfTrue="1" operator="greaterThan">
      <formula>#REF!</formula>
    </cfRule>
    <cfRule type="cellIs" dxfId="2717" priority="130" stopIfTrue="1" operator="lessThanOrEqual">
      <formula>0</formula>
    </cfRule>
    <cfRule type="cellIs" dxfId="2716" priority="131" stopIfTrue="1" operator="greaterThan">
      <formula>#REF!</formula>
    </cfRule>
    <cfRule type="cellIs" dxfId="2715" priority="136" stopIfTrue="1" operator="lessThanOrEqual">
      <formula>0</formula>
    </cfRule>
    <cfRule type="cellIs" dxfId="2714" priority="135" stopIfTrue="1" operator="greaterThan">
      <formula>#REF!</formula>
    </cfRule>
    <cfRule type="cellIs" dxfId="2713" priority="132" stopIfTrue="1" operator="lessThanOrEqual">
      <formula>0</formula>
    </cfRule>
    <cfRule type="cellIs" dxfId="2712" priority="134" stopIfTrue="1" operator="lessThanOrEqual">
      <formula>0</formula>
    </cfRule>
    <cfRule type="cellIs" dxfId="2711" priority="133" stopIfTrue="1" operator="greaterThan">
      <formula>#REF!</formula>
    </cfRule>
  </conditionalFormatting>
  <conditionalFormatting sqref="J79">
    <cfRule type="cellIs" dxfId="2710" priority="69" stopIfTrue="1" operator="lessThanOrEqual">
      <formula>0</formula>
    </cfRule>
    <cfRule type="cellIs" dxfId="2709" priority="68" stopIfTrue="1" operator="greaterThan">
      <formula>$F79</formula>
    </cfRule>
  </conditionalFormatting>
  <conditionalFormatting sqref="K10:K25">
    <cfRule type="cellIs" dxfId="2708" priority="4" operator="greaterThan">
      <formula>6.4</formula>
    </cfRule>
    <cfRule type="cellIs" dxfId="2707" priority="3" operator="lessThan">
      <formula>4</formula>
    </cfRule>
    <cfRule type="cellIs" dxfId="2706" priority="2" operator="greaterThan">
      <formula>6</formula>
    </cfRule>
  </conditionalFormatting>
  <conditionalFormatting sqref="K57:K66">
    <cfRule type="cellIs" dxfId="2705" priority="114" stopIfTrue="1" operator="lessThan">
      <formula>100%</formula>
    </cfRule>
  </conditionalFormatting>
  <conditionalFormatting sqref="K70:K78">
    <cfRule type="cellIs" dxfId="2704" priority="58" stopIfTrue="1" operator="lessThan">
      <formula>100%</formula>
    </cfRule>
  </conditionalFormatting>
  <conditionalFormatting sqref="K81:K86">
    <cfRule type="cellIs" dxfId="2703" priority="199" stopIfTrue="1" operator="lessThan">
      <formula>100%</formula>
    </cfRule>
  </conditionalFormatting>
  <conditionalFormatting sqref="K88:K89">
    <cfRule type="cellIs" dxfId="2702" priority="206" stopIfTrue="1" operator="lessThan">
      <formula>100%</formula>
    </cfRule>
  </conditionalFormatting>
  <conditionalFormatting sqref="L10:L25">
    <cfRule type="cellIs" dxfId="2701" priority="6" operator="greaterThan">
      <formula>65</formula>
    </cfRule>
    <cfRule type="cellIs" dxfId="2700" priority="5" operator="between">
      <formula>61</formula>
      <formula>65</formula>
    </cfRule>
  </conditionalFormatting>
  <conditionalFormatting sqref="L28:M39">
    <cfRule type="cellIs" dxfId="2699" priority="39" operator="lessThan">
      <formula>97.95</formula>
    </cfRule>
  </conditionalFormatting>
  <conditionalFormatting sqref="L43:N43">
    <cfRule type="cellIs" dxfId="2698" priority="37" operator="notEqual">
      <formula>#REF!</formula>
    </cfRule>
  </conditionalFormatting>
  <conditionalFormatting sqref="L70:N79">
    <cfRule type="cellIs" dxfId="2697" priority="55" stopIfTrue="1" operator="lessThan">
      <formula>100%</formula>
    </cfRule>
  </conditionalFormatting>
  <conditionalFormatting sqref="L81:N89">
    <cfRule type="cellIs" dxfId="2696" priority="184" stopIfTrue="1" operator="lessThan">
      <formula>100%</formula>
    </cfRule>
  </conditionalFormatting>
  <conditionalFormatting sqref="M25">
    <cfRule type="expression" dxfId="2695" priority="34">
      <formula>IF(+(IF(M25&lt;U25,0,IF(M25&gt;V25,0,1)))=0,1)</formula>
    </cfRule>
  </conditionalFormatting>
  <conditionalFormatting sqref="M10:N24 G13:H18">
    <cfRule type="expression" dxfId="2694" priority="9">
      <formula>IF(+(IF(G10&lt;#REF!,0,IF(G10&gt;#REF!,0,1)))=0,1)</formula>
    </cfRule>
  </conditionalFormatting>
  <conditionalFormatting sqref="N10:N25">
    <cfRule type="expression" dxfId="2693" priority="10">
      <formula>IF(+(IF(N10&lt;W10,0,IF(N10&gt;X10,0,1)))=0,1)</formula>
    </cfRule>
  </conditionalFormatting>
  <conditionalFormatting sqref="P6">
    <cfRule type="cellIs" dxfId="2692" priority="180" operator="greaterThanOrEqual">
      <formula>19</formula>
    </cfRule>
  </conditionalFormatting>
  <dataValidations disablePrompts="1" count="1">
    <dataValidation type="list" allowBlank="1" showInputMessage="1" showErrorMessage="1" sqref="R8" xr:uid="{2D16EE64-042A-42B1-AB2D-EC5A5589427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A88C-3B8C-4281-92DB-9434E86320FE}">
  <sheetPr>
    <pageSetUpPr fitToPage="1"/>
  </sheetPr>
  <dimension ref="A1:BE71"/>
  <sheetViews>
    <sheetView topLeftCell="A12" zoomScale="85" zoomScaleNormal="85" workbookViewId="0">
      <selection activeCell="J76" sqref="J7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46300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29" t="s">
        <v>6</v>
      </c>
      <c r="C10" s="366" t="str">
        <f>[3]Brewhouse!$A794</f>
        <v>CA744</v>
      </c>
      <c r="D10" s="279">
        <f>[3]Brewhouse!$AF794</f>
        <v>50.5</v>
      </c>
      <c r="E10" s="279">
        <f>[3]Brewhouse!$AI794</f>
        <v>51.1</v>
      </c>
      <c r="F10" s="278">
        <f>[3]Brewhouse!$V794</f>
        <v>64</v>
      </c>
      <c r="G10" s="279">
        <f>[3]Brewhouse!AG794</f>
        <v>11.7</v>
      </c>
      <c r="H10" s="396">
        <v>11.8</v>
      </c>
      <c r="I10" s="368">
        <f>[3]Brewhouse!$AU794</f>
        <v>99.322178612780704</v>
      </c>
      <c r="J10" s="368">
        <f>[3]Brewhouse!$AV794</f>
        <v>100.09199803047697</v>
      </c>
      <c r="K10" s="281">
        <f>[3]Brewhouse!$Q794</f>
        <v>10.203327171903888</v>
      </c>
      <c r="L10" s="276">
        <f>[3]Brewhouse!$P794</f>
        <v>59</v>
      </c>
      <c r="M10" s="374">
        <f>[3]Brewhouse!$U794-[3]Brewhouse!$T794</f>
        <v>0.1166666666666667</v>
      </c>
      <c r="N10" s="370">
        <f>[3]Brewhouse!$Z794</f>
        <v>0.24722222222222223</v>
      </c>
      <c r="O10" s="419" t="str">
        <f>[3]Brewhouse!$AX794</f>
        <v>R. Sookram</v>
      </c>
      <c r="P10" s="417"/>
      <c r="R10" s="277" t="str">
        <f t="shared" ref="R10:R31" si="0">B10</f>
        <v>CARIB</v>
      </c>
      <c r="S10" s="471">
        <f t="shared" ref="S10:S31" si="1">VLOOKUP($B10,$R$3:$X$9,2,FALSE)</f>
        <v>11.6</v>
      </c>
      <c r="T10" s="471">
        <f t="shared" ref="T10:T31" si="2">VLOOKUP($B10,$R$3:$X$9,3,FALSE)</f>
        <v>12</v>
      </c>
      <c r="U10" s="297">
        <f t="shared" ref="U10:U31" si="3">VLOOKUP($B10,$R$3:$X$9,4,FALSE)</f>
        <v>0</v>
      </c>
      <c r="V10" s="297">
        <f t="shared" ref="V10:V31" si="4">VLOOKUP($B10,$R$3:$X$9,5,FALSE)</f>
        <v>0.118055555555556</v>
      </c>
      <c r="W10" s="297">
        <f t="shared" ref="W10:W31" si="5">VLOOKUP($B10,$R$3:$X$9,6,FALSE)</f>
        <v>0.22569444444444445</v>
      </c>
      <c r="X10" s="297">
        <f t="shared" ref="X10:X31" si="6">VLOOKUP($B10,$R$3:$X$9,7,FALSE)</f>
        <v>0.2638888888888889</v>
      </c>
      <c r="Y10" s="297">
        <f t="shared" ref="Y10:Y31" si="7">VLOOKUP($B10,$R$3:$Z$9,8,FALSE)</f>
        <v>0</v>
      </c>
      <c r="Z10" s="471">
        <f t="shared" ref="Z10:Z31" si="8">VLOOKUP($B10,$R$3:$Z$9,9,FALSE)</f>
        <v>60</v>
      </c>
    </row>
    <row r="11" spans="2:29" ht="15" customHeight="1">
      <c r="B11" s="29" t="s">
        <v>6</v>
      </c>
      <c r="C11" s="366" t="str">
        <f>[3]Brewhouse!$A795</f>
        <v>CA745</v>
      </c>
      <c r="D11" s="279">
        <f>[3]Brewhouse!$AF795</f>
        <v>49.7</v>
      </c>
      <c r="E11" s="279">
        <f>[3]Brewhouse!$AI795</f>
        <v>50.3</v>
      </c>
      <c r="F11" s="278">
        <f>[3]Brewhouse!$V795</f>
        <v>59</v>
      </c>
      <c r="G11" s="279">
        <f>[3]Brewhouse!AG795</f>
        <v>11.6</v>
      </c>
      <c r="H11" s="490">
        <v>12.1</v>
      </c>
      <c r="I11" s="368">
        <f>[3]Brewhouse!$AU795</f>
        <v>96.647863753507224</v>
      </c>
      <c r="J11" s="368">
        <f>[3]Brewhouse!$AV795</f>
        <v>97.39705384664137</v>
      </c>
      <c r="K11" s="281">
        <f>[3]Brewhouse!$Q795</f>
        <v>10.203327171903888</v>
      </c>
      <c r="L11" s="276">
        <f>[3]Brewhouse!$P795</f>
        <v>59</v>
      </c>
      <c r="M11" s="374">
        <f>[3]Brewhouse!$U795-[3]Brewhouse!$T795</f>
        <v>0.11458333333333331</v>
      </c>
      <c r="N11" s="370">
        <f>[3]Brewhouse!$Z795</f>
        <v>0.25208333333333333</v>
      </c>
      <c r="O11" s="419" t="str">
        <f>[3]Brewhouse!$AX795</f>
        <v>D. Gomaz</v>
      </c>
      <c r="P11" s="417"/>
      <c r="R11" s="277" t="str">
        <f t="shared" si="0"/>
        <v>CARIB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29" t="s">
        <v>6</v>
      </c>
      <c r="C12" s="366" t="str">
        <f>[3]Brewhouse!$A796</f>
        <v>CA746</v>
      </c>
      <c r="D12" s="279">
        <f>[3]Brewhouse!$AF796</f>
        <v>49.4</v>
      </c>
      <c r="E12" s="279">
        <f>[3]Brewhouse!$AI796</f>
        <v>49.8</v>
      </c>
      <c r="F12" s="278">
        <f>[3]Brewhouse!$V796</f>
        <v>60</v>
      </c>
      <c r="G12" s="279">
        <f>[3]Brewhouse!AG796</f>
        <v>11.8</v>
      </c>
      <c r="H12" s="396">
        <v>11.8</v>
      </c>
      <c r="I12" s="368">
        <f>[3]Brewhouse!$AU796</f>
        <v>99.393897008473871</v>
      </c>
      <c r="J12" s="368">
        <f>[3]Brewhouse!$AV796</f>
        <v>100.16354837022554</v>
      </c>
      <c r="K12" s="281">
        <f>[3]Brewhouse!$Q796</f>
        <v>10.018484288354902</v>
      </c>
      <c r="L12" s="276">
        <f>[3]Brewhouse!$P796</f>
        <v>58</v>
      </c>
      <c r="M12" s="374">
        <f>[3]Brewhouse!$U796-[3]Brewhouse!$T796</f>
        <v>0.10972222222222222</v>
      </c>
      <c r="N12" s="370">
        <f>[3]Brewhouse!$Z796</f>
        <v>0.25694444444444442</v>
      </c>
      <c r="O12" s="419" t="str">
        <f>[3]Brewhouse!$AX796</f>
        <v>D. Gomaz</v>
      </c>
      <c r="P12" s="417"/>
      <c r="R12" s="277" t="str">
        <f t="shared" si="0"/>
        <v>CARIB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19"/>
      <c r="P13" s="417"/>
      <c r="R13" s="277">
        <f t="shared" si="0"/>
        <v>0</v>
      </c>
      <c r="S13" s="471" t="e">
        <f t="shared" si="1"/>
        <v>#N/A</v>
      </c>
      <c r="T13" s="471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1" t="e">
        <f t="shared" si="8"/>
        <v>#N/A</v>
      </c>
    </row>
    <row r="14" spans="2:29" ht="1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19"/>
      <c r="P14" s="417"/>
      <c r="R14" s="277">
        <f t="shared" si="0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customHeight="1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19"/>
      <c r="P15" s="417"/>
      <c r="R15" s="277">
        <f t="shared" si="0"/>
        <v>0</v>
      </c>
      <c r="S15" s="471" t="e">
        <f t="shared" si="1"/>
        <v>#N/A</v>
      </c>
      <c r="T15" s="471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1" t="e">
        <f t="shared" si="8"/>
        <v>#N/A</v>
      </c>
    </row>
    <row r="16" spans="2:29" ht="1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19"/>
      <c r="P16" s="417"/>
      <c r="R16" s="277">
        <f t="shared" si="0"/>
        <v>0</v>
      </c>
      <c r="S16" s="471" t="e">
        <f t="shared" si="1"/>
        <v>#N/A</v>
      </c>
      <c r="T16" s="471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1" t="e">
        <f t="shared" si="8"/>
        <v>#N/A</v>
      </c>
    </row>
    <row r="17" spans="1:27" ht="15" customHeight="1">
      <c r="B17" s="36"/>
      <c r="C17" s="366"/>
      <c r="D17" s="279"/>
      <c r="E17" s="279"/>
      <c r="F17" s="278"/>
      <c r="G17" s="279"/>
      <c r="H17" s="396"/>
      <c r="I17" s="487"/>
      <c r="J17" s="487"/>
      <c r="K17" s="488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1:27" ht="17.25" customHeight="1" thickBot="1">
      <c r="B18" s="358"/>
      <c r="C18" s="358"/>
      <c r="D18" s="358"/>
      <c r="E18" s="358"/>
      <c r="F18" s="294"/>
      <c r="G18" s="294"/>
      <c r="H18" s="348"/>
      <c r="I18" s="570"/>
      <c r="J18" s="570"/>
      <c r="K18" s="570"/>
      <c r="L18" s="570"/>
      <c r="M18" s="570"/>
      <c r="N18" s="570"/>
      <c r="O18" s="1"/>
      <c r="P18" s="12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7" ht="17.25" customHeight="1" thickBot="1">
      <c r="B19" s="482" t="s">
        <v>162</v>
      </c>
      <c r="C19" s="388"/>
      <c r="D19" s="540" t="s">
        <v>35</v>
      </c>
      <c r="E19" s="541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0"/>
        <v xml:space="preserve">BRAND 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7" ht="17.25" customHeight="1">
      <c r="A20" s="28"/>
      <c r="B20" s="594"/>
      <c r="C20" s="483"/>
      <c r="D20" s="527"/>
      <c r="E20" s="528"/>
      <c r="F20" s="294"/>
      <c r="G20" s="294"/>
      <c r="H20" s="348"/>
      <c r="I20" s="29" t="s">
        <v>6</v>
      </c>
      <c r="J20" s="323">
        <f>AVERAGE(I10:I12)</f>
        <v>98.454646458253933</v>
      </c>
      <c r="K20" s="284">
        <f>COUNTA([3]Brewhouse!$A$789:$A$796)</f>
        <v>8</v>
      </c>
      <c r="L20" s="305">
        <f>AVERAGE([3]Brewhouse!$AU$789:$AU$796)</f>
        <v>97.852627055566273</v>
      </c>
      <c r="M20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$796)</f>
        <v>98.326185180443801</v>
      </c>
      <c r="N20" s="30">
        <v>98</v>
      </c>
      <c r="O20" s="11"/>
      <c r="P20" s="31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7" ht="15" customHeight="1">
      <c r="A21" s="28"/>
      <c r="B21" s="572"/>
      <c r="C21" s="362"/>
      <c r="D21" s="529"/>
      <c r="E21" s="530"/>
      <c r="F21" s="294"/>
      <c r="G21" s="294"/>
      <c r="H21" s="348"/>
      <c r="I21" s="33" t="s">
        <v>9</v>
      </c>
      <c r="J21" s="323"/>
      <c r="K21" s="284">
        <f>COUNTA([4]Brewhouse!$A$390:$A$391)</f>
        <v>2</v>
      </c>
      <c r="L21" s="302">
        <f>AVERAGE([4]Brewhouse!$AS$390:$AS$391)</f>
        <v>99.056946070238752</v>
      </c>
      <c r="M21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$391)</f>
        <v>98.311229916038556</v>
      </c>
      <c r="N21" s="30">
        <v>98</v>
      </c>
      <c r="O21" s="11"/>
      <c r="P21" s="31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7" ht="14.65" customHeight="1">
      <c r="A22" s="28"/>
      <c r="B22" s="572"/>
      <c r="C22" s="362"/>
      <c r="D22" s="534"/>
      <c r="E22" s="535"/>
      <c r="F22" s="294"/>
      <c r="G22" s="294"/>
      <c r="H22" s="348"/>
      <c r="I22" s="34" t="s">
        <v>12</v>
      </c>
      <c r="J22" s="323"/>
      <c r="K22" s="284"/>
      <c r="L22" s="302"/>
      <c r="M22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2" s="30">
        <v>98</v>
      </c>
      <c r="O22" s="11"/>
      <c r="P22" s="31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7" ht="14.65" customHeight="1">
      <c r="A23" s="28"/>
      <c r="B23" s="572"/>
      <c r="C23" s="362"/>
      <c r="D23" s="536"/>
      <c r="E23" s="530"/>
      <c r="F23" s="294"/>
      <c r="G23" s="294"/>
      <c r="H23" s="348"/>
      <c r="I23" s="22" t="s">
        <v>33</v>
      </c>
      <c r="J23" s="280"/>
      <c r="K23" s="284"/>
      <c r="L23" s="302"/>
      <c r="M23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3" s="30">
        <v>98</v>
      </c>
      <c r="O23" s="11"/>
      <c r="P23" s="31"/>
      <c r="R23" s="277">
        <f t="shared" si="0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7" ht="14.65" customHeight="1">
      <c r="A24" s="28"/>
      <c r="B24" s="572"/>
      <c r="C24" s="362"/>
      <c r="D24" s="534"/>
      <c r="E24" s="535"/>
      <c r="F24" s="294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0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7" ht="14.65" customHeight="1">
      <c r="A25" s="28"/>
      <c r="B25" s="572"/>
      <c r="C25" s="362"/>
      <c r="D25" s="536"/>
      <c r="E25" s="530"/>
      <c r="F25" s="416"/>
      <c r="G25" s="294"/>
      <c r="H25" s="348"/>
      <c r="I25" s="36" t="s">
        <v>15</v>
      </c>
      <c r="J25" s="323"/>
      <c r="K25" s="284"/>
      <c r="L25" s="302"/>
      <c r="M25" s="302">
        <f>AVERAGE([7]Brewhouse!$AT$4:$AT$11,[7]Brewhouse!$AT$13:$AT$16,[7]Brewhouse!$AT$18:$AT$30)</f>
        <v>93.22262799886262</v>
      </c>
      <c r="N25" s="30">
        <v>98</v>
      </c>
      <c r="O25" s="11"/>
      <c r="P25" s="31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7" ht="14.65" customHeight="1">
      <c r="A26" s="28"/>
      <c r="B26" s="572"/>
      <c r="C26" s="362"/>
      <c r="D26" s="534"/>
      <c r="E26" s="535"/>
      <c r="F26" s="416"/>
      <c r="G26" s="294"/>
      <c r="H26" s="348"/>
      <c r="I26" s="37" t="s">
        <v>16</v>
      </c>
      <c r="J26" s="323"/>
      <c r="K26" s="284"/>
      <c r="L26" s="302"/>
      <c r="M26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26" s="30">
        <v>98</v>
      </c>
      <c r="O26" s="11"/>
      <c r="P26" s="31" t="s">
        <v>41</v>
      </c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7" ht="14.65" customHeight="1">
      <c r="A27" s="28"/>
      <c r="B27" s="572"/>
      <c r="C27" s="362"/>
      <c r="D27" s="536"/>
      <c r="E27" s="530"/>
      <c r="F27" s="294"/>
      <c r="G27" s="294"/>
      <c r="H27" s="348"/>
      <c r="I27" s="410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7" ht="14.65" customHeight="1">
      <c r="A28" s="28"/>
      <c r="B28" s="572"/>
      <c r="C28" s="362"/>
      <c r="D28" s="534"/>
      <c r="E28" s="535"/>
      <c r="F28" s="294"/>
      <c r="G28" s="294"/>
      <c r="H28" s="348"/>
      <c r="I28" s="409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  <c r="AA28" s="471"/>
    </row>
    <row r="29" spans="1:27" ht="15" customHeight="1" thickBot="1">
      <c r="A29" s="28"/>
      <c r="B29" s="572"/>
      <c r="C29" s="362"/>
      <c r="D29" s="536"/>
      <c r="E29" s="530"/>
      <c r="F29" s="294"/>
      <c r="G29" s="294"/>
      <c r="H29" s="348"/>
      <c r="I29" s="405" t="s">
        <v>156</v>
      </c>
      <c r="J29" s="327"/>
      <c r="K29" s="406"/>
      <c r="L29" s="407"/>
      <c r="M29" s="407"/>
      <c r="N29" s="408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  <c r="AA29" s="471"/>
    </row>
    <row r="30" spans="1:27" ht="15" customHeight="1" thickBot="1">
      <c r="A30" s="28"/>
      <c r="B30" s="572"/>
      <c r="C30" s="349"/>
      <c r="D30" s="527"/>
      <c r="E30" s="528"/>
      <c r="F30" s="294"/>
      <c r="G30" s="294"/>
      <c r="H30" s="348"/>
      <c r="I30" s="1"/>
      <c r="J30" s="39"/>
      <c r="K30" s="403">
        <f>SUM(K20:K29)</f>
        <v>10</v>
      </c>
      <c r="L30" s="404">
        <f>((L20*K20)+(L21*K21)+(L22*K22)+(L23*K23)+(L24*K24)+(K27*L27)+(L25*K25)+(L26*K26)+(L29*K29))/(K30)</f>
        <v>98.093490858500758</v>
      </c>
      <c r="M30" s="404">
        <f>AVERAGE('[9]Jan30th-31st'!$L$42,'[10]Feb 27th-28th'!$L$45,'[11]Mar 31st'!$L$42,'[12]Apr 30th'!$L$41,'[13]May 29th '!$L$35,'[14]June 30th'!$L$32,[15]July31st!$L$36,'[16]Aug 31st'!$L$32,L30)</f>
        <v>97.997163601205045</v>
      </c>
      <c r="N30" s="40">
        <v>98</v>
      </c>
      <c r="O30" s="11"/>
      <c r="P30" s="31"/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  <c r="AA30" s="471"/>
    </row>
    <row r="31" spans="1:27" ht="15.75" thickBot="1">
      <c r="B31" s="595"/>
      <c r="C31" s="350"/>
      <c r="D31" s="529"/>
      <c r="E31" s="530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  <c r="AA31" s="471"/>
    </row>
    <row r="32" spans="1:27" ht="15.75" thickBot="1">
      <c r="B32" s="524"/>
      <c r="C32" s="362"/>
      <c r="D32" s="527"/>
      <c r="E32" s="528"/>
      <c r="F32" s="294"/>
      <c r="G32" s="42"/>
      <c r="H32" s="41"/>
      <c r="I32" s="42"/>
      <c r="J32" s="531" t="s">
        <v>129</v>
      </c>
      <c r="K32" s="531"/>
      <c r="L32" s="294"/>
      <c r="M32" s="294"/>
      <c r="N32" s="294"/>
      <c r="O32" s="294"/>
      <c r="P32" s="12"/>
    </row>
    <row r="33" spans="2:56" ht="15.75" thickBot="1">
      <c r="B33" s="525"/>
      <c r="C33" s="362"/>
      <c r="D33" s="529"/>
      <c r="E33" s="530"/>
      <c r="F33" s="294"/>
      <c r="G33" s="42"/>
      <c r="H33" s="42"/>
      <c r="I33" s="42"/>
      <c r="J33" s="292" t="s">
        <v>17</v>
      </c>
      <c r="K33" s="293"/>
      <c r="L33" s="532" t="s">
        <v>136</v>
      </c>
      <c r="M33" s="532"/>
      <c r="N33" s="533"/>
      <c r="O33" s="294"/>
      <c r="P33" s="12"/>
    </row>
    <row r="34" spans="2:56" ht="15" customHeight="1" thickBot="1">
      <c r="B34" s="525"/>
      <c r="C34" s="349"/>
      <c r="D34" s="534"/>
      <c r="E34" s="535"/>
      <c r="F34" s="294"/>
      <c r="G34" s="42"/>
      <c r="H34" s="42"/>
      <c r="I34" s="42"/>
      <c r="J34" s="287" t="s">
        <v>6</v>
      </c>
      <c r="K34" s="324">
        <v>3</v>
      </c>
      <c r="L34" s="472" t="s">
        <v>37</v>
      </c>
      <c r="M34" s="473" t="s">
        <v>38</v>
      </c>
      <c r="N34" s="473" t="s">
        <v>84</v>
      </c>
      <c r="O34" s="294"/>
      <c r="P34" s="12"/>
    </row>
    <row r="35" spans="2:56" ht="15.75" customHeight="1" thickBot="1">
      <c r="B35" s="525"/>
      <c r="C35" s="349"/>
      <c r="D35" s="536"/>
      <c r="E35" s="530"/>
      <c r="F35" s="294"/>
      <c r="G35" s="42"/>
      <c r="H35" s="42"/>
      <c r="I35" s="42"/>
      <c r="J35" s="345" t="s">
        <v>9</v>
      </c>
      <c r="K35" s="324"/>
      <c r="L35" s="484">
        <f>AVERAGE('Oct 1st'!K52,K44)</f>
        <v>5</v>
      </c>
      <c r="M35" s="485">
        <f>AVERAGE('[9]Jan30th-31st'!$L$47,L35,'[10]Feb 26th '!$L$39,'[11]Mar 31st'!$L$47,'[12]Apr 30th'!$L$46,'[13]May 29th '!$L$40,'[14]June 30th'!$L$39,[15]July31st!$L$41,'[16]Aug 31st'!$L$37,'[18]Sept 30th'!$L$37)</f>
        <v>6.3735341470124078</v>
      </c>
      <c r="N35" s="415">
        <v>9.1999999999999993</v>
      </c>
      <c r="O35" s="294"/>
      <c r="P35" s="12"/>
    </row>
    <row r="36" spans="2:56" ht="15" customHeight="1">
      <c r="B36" s="525"/>
      <c r="C36" s="349"/>
      <c r="D36" s="534"/>
      <c r="E36" s="535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5"/>
      <c r="C37" s="349"/>
      <c r="D37" s="536"/>
      <c r="E37" s="530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5"/>
      <c r="C38" s="349"/>
      <c r="D38" s="534"/>
      <c r="E38" s="535"/>
      <c r="F38" s="294"/>
      <c r="G38" s="42"/>
      <c r="H38" s="42"/>
      <c r="I38" s="42"/>
      <c r="J38" s="290" t="s">
        <v>16</v>
      </c>
      <c r="K38" s="324"/>
      <c r="L38" s="294"/>
      <c r="M38" s="294"/>
      <c r="N38" s="294"/>
      <c r="O38" s="294"/>
      <c r="P38" s="12"/>
      <c r="BC38" s="44"/>
      <c r="BD38" s="44"/>
    </row>
    <row r="39" spans="2:56" ht="15">
      <c r="B39" s="525"/>
      <c r="C39" s="349"/>
      <c r="D39" s="536"/>
      <c r="E39" s="530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5"/>
      <c r="C40" s="349"/>
      <c r="D40" s="534"/>
      <c r="E40" s="535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26"/>
      <c r="C41" s="350"/>
      <c r="D41" s="537"/>
      <c r="E41" s="538"/>
      <c r="F41" s="294" t="s">
        <v>165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15"/>
      <c r="E42" s="516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3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L45" s="42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09" t="s">
        <v>17</v>
      </c>
      <c r="C47" s="509" t="s">
        <v>44</v>
      </c>
      <c r="D47" s="518" t="s">
        <v>45</v>
      </c>
      <c r="E47" s="520" t="s">
        <v>46</v>
      </c>
      <c r="F47" s="522" t="s">
        <v>47</v>
      </c>
      <c r="G47" s="507" t="s">
        <v>48</v>
      </c>
      <c r="H47" s="509" t="s">
        <v>49</v>
      </c>
      <c r="I47" s="509" t="s">
        <v>50</v>
      </c>
      <c r="J47" s="501" t="s">
        <v>28</v>
      </c>
      <c r="K47" s="511" t="s">
        <v>51</v>
      </c>
      <c r="L47" s="513" t="s">
        <v>52</v>
      </c>
      <c r="M47" s="501" t="s">
        <v>53</v>
      </c>
      <c r="N47" s="13"/>
      <c r="O47" s="13"/>
      <c r="P47" s="50"/>
    </row>
    <row r="48" spans="2:56" ht="28.5" customHeight="1" thickTop="1" thickBot="1">
      <c r="B48" s="510"/>
      <c r="C48" s="517"/>
      <c r="D48" s="519"/>
      <c r="E48" s="521"/>
      <c r="F48" s="523"/>
      <c r="G48" s="508"/>
      <c r="H48" s="510"/>
      <c r="I48" s="510"/>
      <c r="J48" s="502"/>
      <c r="K48" s="512"/>
      <c r="L48" s="514"/>
      <c r="M48" s="502"/>
      <c r="N48" s="13"/>
      <c r="O48" s="13"/>
      <c r="P48" s="50"/>
      <c r="Q48" s="355"/>
      <c r="AB48" s="474">
        <v>43474</v>
      </c>
      <c r="AC48" s="474">
        <v>43475</v>
      </c>
      <c r="AD48" s="474">
        <v>43476</v>
      </c>
      <c r="AE48" s="474">
        <v>43477</v>
      </c>
      <c r="AF48" s="474">
        <v>43478</v>
      </c>
      <c r="AG48" s="474">
        <v>43479</v>
      </c>
      <c r="AH48" s="474">
        <v>43480</v>
      </c>
      <c r="AI48" s="474">
        <v>43481</v>
      </c>
      <c r="AJ48" s="474">
        <v>43482</v>
      </c>
      <c r="AK48" s="474">
        <v>43483</v>
      </c>
      <c r="AL48" s="474">
        <v>43484</v>
      </c>
      <c r="AM48" s="474">
        <v>43485</v>
      </c>
      <c r="AN48" s="474">
        <v>43486</v>
      </c>
      <c r="AO48" s="474">
        <v>43487</v>
      </c>
      <c r="AP48" s="474">
        <v>43488</v>
      </c>
      <c r="AQ48" s="474">
        <v>43489</v>
      </c>
      <c r="AR48" s="474">
        <v>43490</v>
      </c>
      <c r="AS48" s="474">
        <v>43491</v>
      </c>
      <c r="AT48" s="474">
        <v>43492</v>
      </c>
      <c r="AU48" s="474">
        <v>43493</v>
      </c>
      <c r="AV48" s="474">
        <v>43494</v>
      </c>
      <c r="AW48" s="474">
        <v>43495</v>
      </c>
      <c r="AX48" s="474">
        <v>43496</v>
      </c>
    </row>
    <row r="49" spans="2:57" s="54" customFormat="1" ht="36.75" customHeight="1" thickBot="1">
      <c r="B49" s="455" t="str">
        <f>J34</f>
        <v>CARIB</v>
      </c>
      <c r="C49" s="478">
        <v>46297</v>
      </c>
      <c r="D49" s="444">
        <f>[19]October_2026!$E$3</f>
        <v>178.8</v>
      </c>
      <c r="E49" s="442"/>
      <c r="F49" s="443"/>
      <c r="G49" s="443">
        <f>[19]October_2026!$E$7</f>
        <v>172.9</v>
      </c>
      <c r="H49" s="457"/>
      <c r="I49" s="457"/>
      <c r="J49" s="447" t="s">
        <v>150</v>
      </c>
      <c r="K49" s="448">
        <f>[20]October_2026!$E$18</f>
        <v>0.60666666666666669</v>
      </c>
      <c r="L49" s="456">
        <f>(((D49+E49)-G49)/(D49+E49))*100</f>
        <v>3.2997762863534703</v>
      </c>
      <c r="M49" s="454" t="s">
        <v>172</v>
      </c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[21]January_2019!L5</f>
        <v>0</v>
      </c>
      <c r="AC49" s="57">
        <f>[21]January_2019!M5</f>
        <v>0</v>
      </c>
      <c r="AD49" s="57">
        <f>[21]January_2019!N5</f>
        <v>0</v>
      </c>
      <c r="AE49" s="57">
        <f>[21]January_2019!O5</f>
        <v>0</v>
      </c>
      <c r="AF49" s="57">
        <f>[21]January_2019!P5</f>
        <v>0</v>
      </c>
      <c r="AG49" s="57">
        <f>[21]January_2019!Q5</f>
        <v>0</v>
      </c>
      <c r="AH49" s="57">
        <f>[21]January_2019!R5</f>
        <v>0</v>
      </c>
      <c r="AI49" s="57">
        <f>[21]January_2019!S5</f>
        <v>0</v>
      </c>
      <c r="AJ49" s="57">
        <f>[21]January_2019!T5</f>
        <v>0</v>
      </c>
      <c r="AK49" s="57">
        <f>[21]January_2019!U5</f>
        <v>0</v>
      </c>
      <c r="AL49" s="57">
        <f>[21]January_2019!V5</f>
        <v>0</v>
      </c>
      <c r="AM49" s="57">
        <f>[21]January_2019!W5</f>
        <v>0</v>
      </c>
      <c r="AN49" s="57">
        <f>[21]January_2019!X5</f>
        <v>0</v>
      </c>
      <c r="AO49" s="57">
        <f>[21]January_2019!Y5</f>
        <v>0</v>
      </c>
      <c r="AP49" s="57">
        <f>[21]January_2019!Z5</f>
        <v>0</v>
      </c>
      <c r="AQ49" s="57">
        <f>[21]January_2019!AA5</f>
        <v>0</v>
      </c>
      <c r="AR49" s="57">
        <f>[21]January_2019!AB5</f>
        <v>0</v>
      </c>
      <c r="AS49" s="57">
        <f>[21]January_2019!AC5</f>
        <v>0</v>
      </c>
      <c r="AT49" s="57">
        <f>[21]January_2019!AD5</f>
        <v>0</v>
      </c>
      <c r="AU49" s="57">
        <f>[21]January_2019!AE5</f>
        <v>0</v>
      </c>
      <c r="AV49" s="57">
        <f>[21]January_2019!AF5</f>
        <v>0</v>
      </c>
      <c r="AW49" s="57">
        <f>[21]January_2019!AG5</f>
        <v>0</v>
      </c>
      <c r="AX49" s="277">
        <f>[21]January_2019!AH5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4.25" hidden="1" customHeight="1" thickBot="1">
      <c r="B50" s="479"/>
      <c r="C50" s="478"/>
      <c r="D50" s="441"/>
      <c r="E50" s="442"/>
      <c r="F50" s="443"/>
      <c r="G50" s="444"/>
      <c r="H50" s="457"/>
      <c r="I50" s="457"/>
      <c r="J50" s="475"/>
      <c r="K50" s="448"/>
      <c r="L50" s="456"/>
      <c r="M50" s="454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[21]January_2019!L6</f>
        <v>0</v>
      </c>
      <c r="AC50" s="57">
        <f>[21]January_2019!M6</f>
        <v>0</v>
      </c>
      <c r="AD50" s="57">
        <f>[21]January_2019!N6</f>
        <v>0</v>
      </c>
      <c r="AE50" s="57">
        <f>[21]January_2019!O6</f>
        <v>0</v>
      </c>
      <c r="AF50" s="57">
        <f>[21]January_2019!P6</f>
        <v>0</v>
      </c>
      <c r="AG50" s="57">
        <f>[21]January_2019!Q6</f>
        <v>0</v>
      </c>
      <c r="AH50" s="57">
        <f>[21]January_2019!R6</f>
        <v>0</v>
      </c>
      <c r="AI50" s="57">
        <f>[21]January_2019!S6</f>
        <v>0</v>
      </c>
      <c r="AJ50" s="57">
        <f>[21]January_2019!T6</f>
        <v>0</v>
      </c>
      <c r="AK50" s="57">
        <f>[21]January_2019!U6</f>
        <v>0</v>
      </c>
      <c r="AL50" s="57">
        <f>[21]January_2019!V6</f>
        <v>0</v>
      </c>
      <c r="AM50" s="57">
        <f>[21]January_2019!W6</f>
        <v>0</v>
      </c>
      <c r="AN50" s="57">
        <f>[21]January_2019!X6</f>
        <v>0</v>
      </c>
      <c r="AO50" s="57">
        <f>[21]January_2019!Y6</f>
        <v>0</v>
      </c>
      <c r="AP50" s="57">
        <f>[21]January_2019!Z6</f>
        <v>0</v>
      </c>
      <c r="AQ50" s="57">
        <f>[21]January_2019!AA6</f>
        <v>0</v>
      </c>
      <c r="AR50" s="57">
        <f>[21]January_2019!AB6</f>
        <v>0</v>
      </c>
      <c r="AS50" s="57">
        <f>[21]January_2019!AC6</f>
        <v>0</v>
      </c>
      <c r="AT50" s="57">
        <f>[21]January_2019!AD6</f>
        <v>0</v>
      </c>
      <c r="AU50" s="57">
        <f>[21]January_2019!AE6</f>
        <v>0</v>
      </c>
      <c r="AV50" s="57">
        <f>[21]January_2019!AF6</f>
        <v>0</v>
      </c>
      <c r="AW50" s="57">
        <f>[21]January_2019!AG6</f>
        <v>0</v>
      </c>
      <c r="AX50" s="277">
        <f>[21]January_2019!AH6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37.15" hidden="1" customHeight="1" thickBot="1">
      <c r="B51" s="489" t="str">
        <f>J35</f>
        <v>STAG</v>
      </c>
      <c r="C51" s="478">
        <v>46287</v>
      </c>
      <c r="D51" s="441">
        <f>[19]September_2026!$Y$13</f>
        <v>190.70000000000002</v>
      </c>
      <c r="E51" s="442"/>
      <c r="F51" s="443"/>
      <c r="G51" s="443">
        <f>[19]September_2026!$Y$17</f>
        <v>184.3</v>
      </c>
      <c r="H51" s="445"/>
      <c r="I51" s="445"/>
      <c r="J51" s="447" t="s">
        <v>169</v>
      </c>
      <c r="K51" s="448">
        <f>[20]September_2026!$Y$25</f>
        <v>0.64666666666666672</v>
      </c>
      <c r="L51" s="456">
        <f>(((D51+E51)-G51)/(D51+E51))*100</f>
        <v>3.3560566334556925</v>
      </c>
      <c r="M51" s="454" t="s">
        <v>170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[21]January_2019!L7</f>
        <v>285.8</v>
      </c>
      <c r="AC51" s="57">
        <f>[21]January_2019!M7</f>
        <v>508.1</v>
      </c>
      <c r="AD51" s="57">
        <f>[21]January_2019!N7</f>
        <v>0</v>
      </c>
      <c r="AE51" s="57">
        <f>[21]January_2019!O7</f>
        <v>0</v>
      </c>
      <c r="AF51" s="57">
        <f>[21]January_2019!P7</f>
        <v>109.56666666666666</v>
      </c>
      <c r="AG51" s="57">
        <f>[21]January_2019!Q7</f>
        <v>297.64999999999998</v>
      </c>
      <c r="AH51" s="57">
        <f>[21]January_2019!R7</f>
        <v>122.3</v>
      </c>
      <c r="AI51" s="57">
        <f>[21]January_2019!S7</f>
        <v>0</v>
      </c>
      <c r="AJ51" s="57">
        <f>[21]January_2019!T7</f>
        <v>294.7</v>
      </c>
      <c r="AK51" s="57">
        <f>[21]January_2019!U7</f>
        <v>280.5</v>
      </c>
      <c r="AL51" s="57">
        <f>[21]January_2019!V7</f>
        <v>0</v>
      </c>
      <c r="AM51" s="57">
        <f>[21]January_2019!W7</f>
        <v>0</v>
      </c>
      <c r="AN51" s="57">
        <f>[21]January_2019!X7</f>
        <v>188.25</v>
      </c>
      <c r="AO51" s="57">
        <f>[21]January_2019!Y7</f>
        <v>295.7</v>
      </c>
      <c r="AP51" s="57">
        <f>[21]January_2019!Z7</f>
        <v>257.8</v>
      </c>
      <c r="AQ51" s="57">
        <f>[21]January_2019!AA7</f>
        <v>291.2</v>
      </c>
      <c r="AR51" s="57">
        <f>[21]January_2019!AB7</f>
        <v>187</v>
      </c>
      <c r="AS51" s="57">
        <f>[21]January_2019!AC7</f>
        <v>0</v>
      </c>
      <c r="AT51" s="57">
        <f>[21]January_2019!AD7</f>
        <v>0</v>
      </c>
      <c r="AU51" s="57">
        <f>[21]January_2019!AE7</f>
        <v>485.1</v>
      </c>
      <c r="AV51" s="57">
        <f>[21]January_2019!AF7</f>
        <v>171.55</v>
      </c>
      <c r="AW51" s="57">
        <f>[21]January_2019!AG7</f>
        <v>423.8</v>
      </c>
      <c r="AX51" s="277">
        <f>[21]January_2019!AH7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8.600000000000001" hidden="1" customHeight="1" thickBot="1">
      <c r="B52" s="477"/>
      <c r="C52" s="429"/>
      <c r="D52" s="430"/>
      <c r="E52" s="431"/>
      <c r="F52" s="432"/>
      <c r="G52" s="433"/>
      <c r="H52" s="457"/>
      <c r="I52" s="457"/>
      <c r="J52" s="450"/>
      <c r="K52" s="435"/>
      <c r="L52" s="451"/>
      <c r="M52" s="420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8.65" hidden="1" customHeight="1" thickBot="1">
      <c r="B53" s="486"/>
      <c r="C53" s="478"/>
      <c r="D53" s="441"/>
      <c r="E53" s="442"/>
      <c r="F53" s="443"/>
      <c r="G53" s="444"/>
      <c r="H53" s="457"/>
      <c r="I53" s="457"/>
      <c r="J53" s="447"/>
      <c r="K53" s="458"/>
      <c r="L53" s="456"/>
      <c r="M53" s="454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5" hidden="1">
      <c r="B54" s="452"/>
      <c r="C54" s="429"/>
      <c r="D54" s="430"/>
      <c r="E54" s="431"/>
      <c r="F54" s="432"/>
      <c r="G54" s="433"/>
      <c r="H54" s="434"/>
      <c r="I54" s="449"/>
      <c r="J54" s="450"/>
      <c r="K54" s="435"/>
      <c r="L54" s="451"/>
      <c r="M54" s="420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0"/>
      <c r="C55" s="478"/>
      <c r="D55" s="441"/>
      <c r="E55" s="442"/>
      <c r="F55" s="443"/>
      <c r="G55" s="444"/>
      <c r="H55" s="445"/>
      <c r="I55" s="446"/>
      <c r="J55" s="447"/>
      <c r="K55" s="448"/>
      <c r="L55" s="456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6.5" hidden="1" customHeight="1" thickBot="1">
      <c r="B56" s="436"/>
      <c r="C56" s="422"/>
      <c r="D56" s="423"/>
      <c r="E56" s="424"/>
      <c r="F56" s="425"/>
      <c r="G56" s="426"/>
      <c r="H56" s="427"/>
      <c r="I56" s="437"/>
      <c r="J56" s="438"/>
      <c r="K56" s="428"/>
      <c r="L56" s="439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4"/>
      <c r="AC56" s="414"/>
      <c r="AD56" s="414"/>
      <c r="AE56" s="414"/>
      <c r="AF56" s="414"/>
      <c r="AG56" s="414"/>
      <c r="AH56" s="414"/>
      <c r="AI56" s="414"/>
      <c r="AJ56" s="414"/>
      <c r="AK56" s="414"/>
      <c r="AL56" s="414"/>
      <c r="AM56" s="414"/>
      <c r="AN56" s="414"/>
      <c r="AO56" s="414"/>
      <c r="AP56" s="414"/>
      <c r="AQ56" s="414"/>
      <c r="AR56" s="414"/>
      <c r="AS56" s="414"/>
      <c r="AT56" s="414"/>
      <c r="AU56" s="414"/>
      <c r="AV56" s="414"/>
      <c r="AW56" s="414"/>
    </row>
    <row r="57" spans="2:57" s="54" customFormat="1" ht="37.15" hidden="1" customHeight="1" thickBot="1">
      <c r="B57" s="455"/>
      <c r="C57" s="440"/>
      <c r="D57" s="441"/>
      <c r="E57" s="442"/>
      <c r="F57" s="443"/>
      <c r="G57" s="444"/>
      <c r="H57" s="445"/>
      <c r="I57" s="446"/>
      <c r="J57" s="447"/>
      <c r="K57" s="448"/>
      <c r="L57" s="456"/>
      <c r="M57" s="453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>
      <c r="B58" s="465"/>
      <c r="C58" s="429"/>
      <c r="D58" s="459"/>
      <c r="E58" s="460"/>
      <c r="F58" s="461"/>
      <c r="G58" s="459"/>
      <c r="H58" s="462"/>
      <c r="I58" s="462"/>
      <c r="J58" s="462"/>
      <c r="K58" s="463"/>
      <c r="L58" s="464"/>
      <c r="M58" s="5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ht="18" customHeight="1" thickBot="1">
      <c r="B59" s="59"/>
      <c r="C59" s="30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 t="s">
        <v>41</v>
      </c>
      <c r="O59" s="56"/>
      <c r="P59" s="60"/>
    </row>
    <row r="60" spans="2:57" ht="15.75" thickBot="1">
      <c r="B60" s="503" t="s">
        <v>55</v>
      </c>
      <c r="C60" s="504"/>
      <c r="D60" s="504"/>
      <c r="E60" s="504"/>
      <c r="F60" s="505"/>
      <c r="G60" s="503" t="s">
        <v>56</v>
      </c>
      <c r="H60" s="504"/>
      <c r="I60" s="504"/>
      <c r="J60" s="505"/>
      <c r="K60" s="503" t="s">
        <v>51</v>
      </c>
      <c r="L60" s="504"/>
      <c r="M60" s="504"/>
      <c r="N60" s="506"/>
      <c r="O60" s="56"/>
      <c r="P60" s="50"/>
    </row>
    <row r="61" spans="2:57" ht="15">
      <c r="B61" s="61" t="s">
        <v>17</v>
      </c>
      <c r="C61" s="62" t="s">
        <v>36</v>
      </c>
      <c r="D61" s="62" t="s">
        <v>37</v>
      </c>
      <c r="E61" s="62" t="s">
        <v>38</v>
      </c>
      <c r="F61" s="63" t="s">
        <v>39</v>
      </c>
      <c r="G61" s="62" t="s">
        <v>36</v>
      </c>
      <c r="H61" s="62" t="s">
        <v>37</v>
      </c>
      <c r="I61" s="62" t="s">
        <v>38</v>
      </c>
      <c r="J61" s="63" t="s">
        <v>39</v>
      </c>
      <c r="K61" s="62" t="s">
        <v>36</v>
      </c>
      <c r="L61" s="62" t="s">
        <v>37</v>
      </c>
      <c r="M61" s="62" t="s">
        <v>38</v>
      </c>
      <c r="N61" s="63" t="s">
        <v>39</v>
      </c>
      <c r="O61" s="56"/>
      <c r="P61" s="64"/>
    </row>
    <row r="62" spans="2:57" ht="15">
      <c r="B62" s="29" t="s">
        <v>6</v>
      </c>
      <c r="C62" s="65">
        <f>L49</f>
        <v>3.2997762863534703</v>
      </c>
      <c r="D62" s="76">
        <v>5.1948051948052019</v>
      </c>
      <c r="E62" s="76">
        <v>6.4282927289657135</v>
      </c>
      <c r="F62" s="66">
        <v>4.8</v>
      </c>
      <c r="G62" s="65">
        <f>[19]October_2026!$E$11</f>
        <v>4.7276713042744225</v>
      </c>
      <c r="H62" s="476">
        <v>6.5947178334381018</v>
      </c>
      <c r="I62" s="476">
        <v>6.5259220948122536</v>
      </c>
      <c r="J62" s="66">
        <v>4.8</v>
      </c>
      <c r="K62" s="67">
        <f>K49</f>
        <v>0.60666666666666669</v>
      </c>
      <c r="L62" s="194">
        <v>0.35859649122807019</v>
      </c>
      <c r="M62" s="194">
        <v>0.53908627189124969</v>
      </c>
      <c r="N62" s="68">
        <v>1</v>
      </c>
      <c r="O62" s="56"/>
      <c r="P62" s="69"/>
    </row>
    <row r="63" spans="2:57" ht="15">
      <c r="B63" s="33" t="s">
        <v>9</v>
      </c>
      <c r="C63" s="65"/>
      <c r="D63" s="76"/>
      <c r="E63" s="76">
        <v>6.0345293824252026</v>
      </c>
      <c r="F63" s="66">
        <v>4.8</v>
      </c>
      <c r="G63" s="65"/>
      <c r="H63" s="76"/>
      <c r="I63" s="76">
        <v>5.9275658832823668</v>
      </c>
      <c r="J63" s="66">
        <v>4.8</v>
      </c>
      <c r="K63" s="67"/>
      <c r="L63" s="194"/>
      <c r="M63" s="194">
        <v>0.6824652535868081</v>
      </c>
      <c r="N63" s="68">
        <v>1</v>
      </c>
      <c r="P63" s="69"/>
    </row>
    <row r="64" spans="2:57" ht="15">
      <c r="B64" s="34" t="s">
        <v>40</v>
      </c>
      <c r="C64" s="65"/>
      <c r="D64" s="76"/>
      <c r="E64" s="76">
        <v>10.912862882586603</v>
      </c>
      <c r="F64" s="66">
        <v>5.5</v>
      </c>
      <c r="G64" s="65"/>
      <c r="H64" s="76"/>
      <c r="I64" s="76">
        <v>11.819732298933111</v>
      </c>
      <c r="J64" s="66">
        <v>5.5</v>
      </c>
      <c r="K64" s="67"/>
      <c r="L64" s="194"/>
      <c r="M64" s="194">
        <v>0.35370190356844494</v>
      </c>
      <c r="N64" s="68">
        <v>1</v>
      </c>
      <c r="P64" s="69"/>
    </row>
    <row r="65" spans="2:16" ht="15">
      <c r="B65" s="22" t="s">
        <v>33</v>
      </c>
      <c r="C65" s="65"/>
      <c r="D65" s="76">
        <v>2.6160971335586405</v>
      </c>
      <c r="E65" s="76">
        <v>4.8433372666231218</v>
      </c>
      <c r="F65" s="66">
        <v>3.3</v>
      </c>
      <c r="G65" s="65"/>
      <c r="H65" s="76">
        <v>4.0562064167659644</v>
      </c>
      <c r="I65" s="76">
        <v>4.7835858167498584</v>
      </c>
      <c r="J65" s="66">
        <v>3.3</v>
      </c>
      <c r="K65" s="67"/>
      <c r="L65" s="194">
        <v>1.3649122807017544</v>
      </c>
      <c r="M65" s="194">
        <v>0.77919298245614044</v>
      </c>
      <c r="N65" s="68">
        <v>1</v>
      </c>
      <c r="P65" s="69"/>
    </row>
    <row r="66" spans="2:16" ht="15">
      <c r="B66" s="35" t="s">
        <v>164</v>
      </c>
      <c r="C66" s="65"/>
      <c r="D66" s="76"/>
      <c r="E66" s="76"/>
      <c r="F66" s="66">
        <v>3.3</v>
      </c>
      <c r="G66" s="282"/>
      <c r="H66" s="76"/>
      <c r="I66" s="76"/>
      <c r="J66" s="66">
        <v>3</v>
      </c>
      <c r="K66" s="67"/>
      <c r="L66" s="194"/>
      <c r="M66" s="194"/>
      <c r="N66" s="68">
        <v>1</v>
      </c>
      <c r="P66" s="69"/>
    </row>
    <row r="67" spans="2:16" ht="15">
      <c r="B67" s="36" t="s">
        <v>15</v>
      </c>
      <c r="C67" s="65"/>
      <c r="D67" s="76"/>
      <c r="E67" s="76">
        <v>6.3233965672990236</v>
      </c>
      <c r="F67" s="70">
        <v>5.5</v>
      </c>
      <c r="G67" s="65"/>
      <c r="H67" s="76"/>
      <c r="I67" s="76">
        <v>7.9667553186446929</v>
      </c>
      <c r="J67" s="66">
        <v>5.5</v>
      </c>
      <c r="K67" s="67"/>
      <c r="L67" s="194"/>
      <c r="M67" s="194">
        <v>0.5883625730994152</v>
      </c>
      <c r="N67" s="68">
        <v>1</v>
      </c>
      <c r="P67" s="69"/>
    </row>
    <row r="68" spans="2:16" ht="15">
      <c r="B68" s="37" t="s">
        <v>16</v>
      </c>
      <c r="C68" s="481"/>
      <c r="D68" s="76"/>
      <c r="E68" s="76">
        <v>3.9973372218347856</v>
      </c>
      <c r="F68" s="66">
        <v>3.3</v>
      </c>
      <c r="G68" s="282"/>
      <c r="H68" s="76"/>
      <c r="I68" s="76">
        <v>5.1096183510504902</v>
      </c>
      <c r="J68" s="66">
        <v>3.3</v>
      </c>
      <c r="K68" s="67"/>
      <c r="L68" s="194"/>
      <c r="M68" s="194">
        <v>0.89057130004498408</v>
      </c>
      <c r="N68" s="71">
        <v>1</v>
      </c>
      <c r="P68" s="69"/>
    </row>
    <row r="69" spans="2:16" ht="15.75" thickBot="1">
      <c r="B69" s="38" t="s">
        <v>163</v>
      </c>
      <c r="C69" s="65"/>
      <c r="D69" s="76"/>
      <c r="E69" s="76"/>
      <c r="F69" s="66">
        <v>7.5</v>
      </c>
      <c r="G69" s="282"/>
      <c r="H69" s="76"/>
      <c r="I69" s="76"/>
      <c r="J69" s="66">
        <v>7.5</v>
      </c>
      <c r="K69" s="67"/>
      <c r="L69" s="194"/>
      <c r="M69" s="194"/>
      <c r="N69" s="71">
        <v>1</v>
      </c>
      <c r="P69" s="69"/>
    </row>
    <row r="70" spans="2:16" ht="15.75" thickBot="1">
      <c r="B70" s="413" t="s">
        <v>161</v>
      </c>
      <c r="C70" s="65"/>
      <c r="D70" s="76"/>
      <c r="E70" s="76"/>
      <c r="F70" s="66">
        <v>4.8</v>
      </c>
      <c r="G70" s="282"/>
      <c r="H70" s="76"/>
      <c r="I70" s="76"/>
      <c r="J70" s="66">
        <v>4.8</v>
      </c>
      <c r="K70" s="67"/>
      <c r="L70" s="194"/>
      <c r="M70" s="194"/>
      <c r="N70" s="71">
        <v>1</v>
      </c>
      <c r="O70" s="74"/>
      <c r="P70" s="75"/>
    </row>
    <row r="71" spans="2:16" ht="15">
      <c r="D71" s="76">
        <v>3.1641202562838857</v>
      </c>
      <c r="E71" s="76">
        <v>6.362317810863849</v>
      </c>
      <c r="F71" s="341">
        <v>5.5</v>
      </c>
      <c r="H71" s="76">
        <v>4.4573319835868546</v>
      </c>
      <c r="I71" s="76">
        <v>6.6333558982033063</v>
      </c>
      <c r="J71" s="341">
        <v>5.5</v>
      </c>
      <c r="L71" s="194">
        <v>0.86175438596491227</v>
      </c>
      <c r="M71" s="194">
        <v>0.59559710956710543</v>
      </c>
      <c r="N71" s="386">
        <v>1</v>
      </c>
    </row>
  </sheetData>
  <mergeCells count="51">
    <mergeCell ref="M47:M48"/>
    <mergeCell ref="B60:F60"/>
    <mergeCell ref="G60:J60"/>
    <mergeCell ref="K60:N60"/>
    <mergeCell ref="G47:G48"/>
    <mergeCell ref="H47:H48"/>
    <mergeCell ref="I47:I48"/>
    <mergeCell ref="J47:J48"/>
    <mergeCell ref="K47:K48"/>
    <mergeCell ref="L47:L48"/>
    <mergeCell ref="F47:F48"/>
    <mergeCell ref="D42:E42"/>
    <mergeCell ref="B47:B48"/>
    <mergeCell ref="C47:C48"/>
    <mergeCell ref="D47:D48"/>
    <mergeCell ref="E47:E48"/>
    <mergeCell ref="B32:B41"/>
    <mergeCell ref="D32:E33"/>
    <mergeCell ref="J32:K32"/>
    <mergeCell ref="L33:N33"/>
    <mergeCell ref="D34:E35"/>
    <mergeCell ref="D36:E37"/>
    <mergeCell ref="D38:E39"/>
    <mergeCell ref="D40:E41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2:B43">
    <cfRule type="cellIs" dxfId="2691" priority="105" operator="notBetween">
      <formula>#REF!</formula>
      <formula>#REF!</formula>
    </cfRule>
  </conditionalFormatting>
  <conditionalFormatting sqref="C46">
    <cfRule type="cellIs" dxfId="2690" priority="188" stopIfTrue="1" operator="greaterThan">
      <formula>100</formula>
    </cfRule>
    <cfRule type="cellIs" dxfId="2689" priority="187" stopIfTrue="1" operator="lessThan">
      <formula>96</formula>
    </cfRule>
  </conditionalFormatting>
  <conditionalFormatting sqref="C62:C63">
    <cfRule type="cellIs" dxfId="2688" priority="69" stopIfTrue="1" operator="lessThanOrEqual">
      <formula>0</formula>
    </cfRule>
    <cfRule type="cellIs" dxfId="2687" priority="68" stopIfTrue="1" operator="greaterThan">
      <formula>$F62</formula>
    </cfRule>
    <cfRule type="cellIs" dxfId="2686" priority="70" stopIfTrue="1" operator="greaterThan">
      <formula>$F62</formula>
    </cfRule>
    <cfRule type="cellIs" dxfId="2685" priority="71" stopIfTrue="1" operator="lessThanOrEqual">
      <formula>0</formula>
    </cfRule>
  </conditionalFormatting>
  <conditionalFormatting sqref="C64:C66 C68:C70">
    <cfRule type="cellIs" dxfId="2684" priority="77" stopIfTrue="1" operator="greaterThan">
      <formula>$F67</formula>
    </cfRule>
  </conditionalFormatting>
  <conditionalFormatting sqref="C64:C66">
    <cfRule type="cellIs" dxfId="2683" priority="78" stopIfTrue="1" operator="lessThanOrEqual">
      <formula>0</formula>
    </cfRule>
  </conditionalFormatting>
  <conditionalFormatting sqref="C67">
    <cfRule type="cellIs" dxfId="2682" priority="191" stopIfTrue="1" operator="greaterThan">
      <formula>$F62</formula>
    </cfRule>
    <cfRule type="cellIs" dxfId="2681" priority="192" stopIfTrue="1" operator="lessThanOrEqual">
      <formula>0</formula>
    </cfRule>
    <cfRule type="cellIs" dxfId="2680" priority="189" stopIfTrue="1" operator="greaterThan">
      <formula>$F62</formula>
    </cfRule>
    <cfRule type="cellIs" dxfId="2679" priority="190" stopIfTrue="1" operator="lessThanOrEqual">
      <formula>0</formula>
    </cfRule>
  </conditionalFormatting>
  <conditionalFormatting sqref="C68:C70">
    <cfRule type="cellIs" dxfId="2678" priority="79" stopIfTrue="1" operator="lessThanOrEqual">
      <formula>0</formula>
    </cfRule>
  </conditionalFormatting>
  <conditionalFormatting sqref="C73:C77">
    <cfRule type="cellIs" dxfId="2677" priority="179" stopIfTrue="1" operator="lessThanOrEqual">
      <formula>0</formula>
    </cfRule>
  </conditionalFormatting>
  <conditionalFormatting sqref="C74:C77">
    <cfRule type="cellIs" dxfId="2676" priority="178" stopIfTrue="1" operator="greaterThan">
      <formula>$F$73</formula>
    </cfRule>
  </conditionalFormatting>
  <conditionalFormatting sqref="C79">
    <cfRule type="cellIs" dxfId="2675" priority="181" stopIfTrue="1" operator="lessThanOrEqual">
      <formula>0</formula>
    </cfRule>
    <cfRule type="cellIs" dxfId="2674" priority="180" stopIfTrue="1" operator="greaterThan">
      <formula>$F$73</formula>
    </cfRule>
  </conditionalFormatting>
  <conditionalFormatting sqref="C67:D67">
    <cfRule type="cellIs" dxfId="2673" priority="66" stopIfTrue="1" operator="greaterThan">
      <formula>$J67</formula>
    </cfRule>
    <cfRule type="cellIs" dxfId="2672" priority="67" stopIfTrue="1" operator="lessThanOrEqual">
      <formula>0</formula>
    </cfRule>
  </conditionalFormatting>
  <conditionalFormatting sqref="C73:D73 D75:D81">
    <cfRule type="cellIs" dxfId="2671" priority="173" stopIfTrue="1" operator="greaterThan">
      <formula>4.5</formula>
    </cfRule>
  </conditionalFormatting>
  <conditionalFormatting sqref="D42:D43">
    <cfRule type="cellIs" dxfId="2670" priority="106" operator="notBetween">
      <formula>#REF!</formula>
      <formula>#REF!</formula>
    </cfRule>
  </conditionalFormatting>
  <conditionalFormatting sqref="D62:D66 D68:D69">
    <cfRule type="cellIs" dxfId="2669" priority="76" stopIfTrue="1" operator="lessThanOrEqual">
      <formula>0</formula>
    </cfRule>
  </conditionalFormatting>
  <conditionalFormatting sqref="D62:D66 D68:D71">
    <cfRule type="cellIs" dxfId="2668" priority="72" stopIfTrue="1" operator="lessThanOrEqual">
      <formula>0</formula>
    </cfRule>
    <cfRule type="cellIs" dxfId="2667" priority="73" stopIfTrue="1" operator="greaterThan">
      <formula>$F62</formula>
    </cfRule>
  </conditionalFormatting>
  <conditionalFormatting sqref="D70:D71">
    <cfRule type="cellIs" dxfId="2666" priority="74" stopIfTrue="1" operator="lessThanOrEqual">
      <formula>0</formula>
    </cfRule>
  </conditionalFormatting>
  <conditionalFormatting sqref="D71">
    <cfRule type="cellIs" dxfId="2665" priority="75" stopIfTrue="1" operator="lessThanOrEqual">
      <formula>0</formula>
    </cfRule>
  </conditionalFormatting>
  <conditionalFormatting sqref="D73 D75:D81">
    <cfRule type="cellIs" dxfId="2664" priority="174" stopIfTrue="1" operator="lessThanOrEqual">
      <formula>0</formula>
    </cfRule>
  </conditionalFormatting>
  <conditionalFormatting sqref="D74">
    <cfRule type="cellIs" dxfId="2663" priority="165" stopIfTrue="1" operator="greaterThan">
      <formula>$F$73</formula>
    </cfRule>
    <cfRule type="cellIs" dxfId="2662" priority="166" stopIfTrue="1" operator="lessThanOrEqual">
      <formula>0</formula>
    </cfRule>
  </conditionalFormatting>
  <conditionalFormatting sqref="E10:E17">
    <cfRule type="cellIs" dxfId="2661" priority="8" operator="lessThan">
      <formula>48</formula>
    </cfRule>
  </conditionalFormatting>
  <conditionalFormatting sqref="E45 E46:F46">
    <cfRule type="cellIs" dxfId="2660" priority="170" stopIfTrue="1" operator="greaterThan">
      <formula>100</formula>
    </cfRule>
  </conditionalFormatting>
  <conditionalFormatting sqref="E46">
    <cfRule type="cellIs" dxfId="2659" priority="168" stopIfTrue="1" operator="greaterThan">
      <formula>100</formula>
    </cfRule>
    <cfRule type="cellIs" dxfId="2658" priority="167" stopIfTrue="1" operator="lessThan">
      <formula>96.8</formula>
    </cfRule>
  </conditionalFormatting>
  <conditionalFormatting sqref="E62:E70">
    <cfRule type="cellIs" dxfId="2657" priority="39" stopIfTrue="1" operator="lessThanOrEqual">
      <formula>0</formula>
    </cfRule>
  </conditionalFormatting>
  <conditionalFormatting sqref="E62:E71">
    <cfRule type="cellIs" dxfId="2656" priority="40" stopIfTrue="1" operator="greaterThan">
      <formula>$F62</formula>
    </cfRule>
    <cfRule type="cellIs" dxfId="2655" priority="41" stopIfTrue="1" operator="lessThanOrEqual">
      <formula>0</formula>
    </cfRule>
  </conditionalFormatting>
  <conditionalFormatting sqref="E71">
    <cfRule type="cellIs" dxfId="2654" priority="42" stopIfTrue="1" operator="lessThanOrEqual">
      <formula>0</formula>
    </cfRule>
  </conditionalFormatting>
  <conditionalFormatting sqref="E73:E81">
    <cfRule type="cellIs" dxfId="2653" priority="160" stopIfTrue="1" operator="lessThanOrEqual">
      <formula>0</formula>
    </cfRule>
    <cfRule type="cellIs" dxfId="2652" priority="159" stopIfTrue="1" operator="greaterThan">
      <formula>4.5</formula>
    </cfRule>
  </conditionalFormatting>
  <conditionalFormatting sqref="E46:F46 E45">
    <cfRule type="cellIs" dxfId="2651" priority="169" stopIfTrue="1" operator="lessThan">
      <formula>96.5</formula>
    </cfRule>
  </conditionalFormatting>
  <conditionalFormatting sqref="F10:F17">
    <cfRule type="cellIs" dxfId="2650" priority="9" operator="greaterThan">
      <formula>60</formula>
    </cfRule>
  </conditionalFormatting>
  <conditionalFormatting sqref="F46">
    <cfRule type="cellIs" dxfId="2649" priority="185" stopIfTrue="1" operator="lessThan">
      <formula>96.8</formula>
    </cfRule>
    <cfRule type="cellIs" dxfId="2648" priority="186" stopIfTrue="1" operator="greaterThan">
      <formula>100</formula>
    </cfRule>
  </conditionalFormatting>
  <conditionalFormatting sqref="G10:G12">
    <cfRule type="expression" dxfId="2647" priority="10">
      <formula>IF(+(IF(G10&lt;#REF!,0,IF(G10&gt;#REF!,0,1)))=0,1)</formula>
    </cfRule>
  </conditionalFormatting>
  <conditionalFormatting sqref="G17">
    <cfRule type="expression" dxfId="2646" priority="14">
      <formula>IF(+(IF(G17&lt;S17,0,IF(G17&gt;T17,0,1)))=0,1)</formula>
    </cfRule>
  </conditionalFormatting>
  <conditionalFormatting sqref="G62:G65 F71">
    <cfRule type="cellIs" dxfId="2645" priority="48" stopIfTrue="1" operator="greaterThan">
      <formula>$F62</formula>
    </cfRule>
    <cfRule type="cellIs" dxfId="2644" priority="49" stopIfTrue="1" operator="lessThanOrEqual">
      <formula>0</formula>
    </cfRule>
  </conditionalFormatting>
  <conditionalFormatting sqref="G64:G65">
    <cfRule type="cellIs" dxfId="2643" priority="34" stopIfTrue="1" operator="greaterThan">
      <formula>$F64</formula>
    </cfRule>
    <cfRule type="cellIs" dxfId="2642" priority="35" stopIfTrue="1" operator="lessThanOrEqual">
      <formula>0</formula>
    </cfRule>
  </conditionalFormatting>
  <conditionalFormatting sqref="G66:G70">
    <cfRule type="cellIs" dxfId="2641" priority="50" stopIfTrue="1" operator="greaterThan">
      <formula>$J66</formula>
    </cfRule>
    <cfRule type="cellIs" dxfId="2640" priority="51" stopIfTrue="1" operator="lessThanOrEqual">
      <formula>0</formula>
    </cfRule>
  </conditionalFormatting>
  <conditionalFormatting sqref="G67">
    <cfRule type="cellIs" dxfId="2639" priority="193" stopIfTrue="1" operator="greaterThan">
      <formula>$F62</formula>
    </cfRule>
    <cfRule type="cellIs" dxfId="2638" priority="194" stopIfTrue="1" operator="lessThanOrEqual">
      <formula>0</formula>
    </cfRule>
  </conditionalFormatting>
  <conditionalFormatting sqref="G75:G80 C78 C80">
    <cfRule type="cellIs" dxfId="2637" priority="182" stopIfTrue="1" operator="greaterThan">
      <formula>4.5</formula>
    </cfRule>
    <cfRule type="cellIs" dxfId="2636" priority="183" stopIfTrue="1" operator="lessThanOrEqual">
      <formula>0</formula>
    </cfRule>
  </conditionalFormatting>
  <conditionalFormatting sqref="G74:H74">
    <cfRule type="cellIs" dxfId="2635" priority="163" stopIfTrue="1" operator="greaterThan">
      <formula>$F$73</formula>
    </cfRule>
    <cfRule type="cellIs" dxfId="2634" priority="164" stopIfTrue="1" operator="lessThanOrEqual">
      <formula>0</formula>
    </cfRule>
  </conditionalFormatting>
  <conditionalFormatting sqref="H10:H17">
    <cfRule type="expression" dxfId="2633" priority="1">
      <formula>IF(+(IF(H10&lt;#REF!,0,IF(H10&gt;#REF!,0,1)))=0,1)</formula>
    </cfRule>
  </conditionalFormatting>
  <conditionalFormatting sqref="H31:H32 H45">
    <cfRule type="cellIs" dxfId="2632" priority="161" stopIfTrue="1" operator="greaterThan">
      <formula>0</formula>
    </cfRule>
  </conditionalFormatting>
  <conditionalFormatting sqref="H49">
    <cfRule type="cellIs" dxfId="2631" priority="54" stopIfTrue="1" operator="greaterThan">
      <formula>$F$62</formula>
    </cfRule>
    <cfRule type="cellIs" dxfId="2630" priority="62" stopIfTrue="1" operator="greaterThan">
      <formula>$F$65</formula>
    </cfRule>
    <cfRule type="cellIs" dxfId="2629" priority="53" stopIfTrue="1" operator="lessThanOrEqual">
      <formula>0</formula>
    </cfRule>
    <cfRule type="cellIs" dxfId="2628" priority="64" stopIfTrue="1" operator="greaterThan">
      <formula>$F$63</formula>
    </cfRule>
    <cfRule type="cellIs" dxfId="2627" priority="63" stopIfTrue="1" operator="lessThanOrEqual">
      <formula>0</formula>
    </cfRule>
  </conditionalFormatting>
  <conditionalFormatting sqref="H49:H50">
    <cfRule type="cellIs" dxfId="2626" priority="65" stopIfTrue="1" operator="lessThanOrEqual">
      <formula>0</formula>
    </cfRule>
  </conditionalFormatting>
  <conditionalFormatting sqref="H50 H52:H53">
    <cfRule type="cellIs" dxfId="2625" priority="91" stopIfTrue="1" operator="lessThanOrEqual">
      <formula>0</formula>
    </cfRule>
  </conditionalFormatting>
  <conditionalFormatting sqref="H50">
    <cfRule type="cellIs" dxfId="2624" priority="89" stopIfTrue="1" operator="lessThanOrEqual">
      <formula>0</formula>
    </cfRule>
    <cfRule type="cellIs" dxfId="2623" priority="90" stopIfTrue="1" operator="greaterThan">
      <formula>$F$63</formula>
    </cfRule>
    <cfRule type="cellIs" dxfId="2622" priority="80" stopIfTrue="1" operator="greaterThan">
      <formula>$F$62</formula>
    </cfRule>
    <cfRule type="cellIs" dxfId="2621" priority="88" stopIfTrue="1" operator="greaterThan">
      <formula>$F$65</formula>
    </cfRule>
  </conditionalFormatting>
  <conditionalFormatting sqref="H51">
    <cfRule type="cellIs" dxfId="2620" priority="31" stopIfTrue="1" operator="greaterThan">
      <formula>$F$65</formula>
    </cfRule>
    <cfRule type="cellIs" dxfId="2619" priority="32" stopIfTrue="1" operator="lessThanOrEqual">
      <formula>0</formula>
    </cfRule>
    <cfRule type="cellIs" dxfId="2618" priority="20" stopIfTrue="1" operator="lessThanOrEqual">
      <formula>0</formula>
    </cfRule>
    <cfRule type="cellIs" dxfId="2617" priority="21" stopIfTrue="1" operator="greaterThan">
      <formula>$F$64</formula>
    </cfRule>
    <cfRule type="cellIs" dxfId="2616" priority="30" stopIfTrue="1" operator="lessThanOrEqual">
      <formula>0</formula>
    </cfRule>
    <cfRule type="cellIs" dxfId="2615" priority="29" stopIfTrue="1" operator="greaterThan">
      <formula>$F$67</formula>
    </cfRule>
  </conditionalFormatting>
  <conditionalFormatting sqref="H52:H53">
    <cfRule type="cellIs" dxfId="2614" priority="93" stopIfTrue="1" operator="greaterThan">
      <formula>$F$62</formula>
    </cfRule>
    <cfRule type="cellIs" dxfId="2613" priority="102" stopIfTrue="1" operator="lessThanOrEqual">
      <formula>0</formula>
    </cfRule>
    <cfRule type="cellIs" dxfId="2612" priority="103" stopIfTrue="1" operator="greaterThan">
      <formula>$F$63</formula>
    </cfRule>
    <cfRule type="cellIs" dxfId="2611" priority="101" stopIfTrue="1" operator="greaterThan">
      <formula>$F$65</formula>
    </cfRule>
    <cfRule type="cellIs" dxfId="2610" priority="104" stopIfTrue="1" operator="lessThanOrEqual">
      <formula>0</formula>
    </cfRule>
  </conditionalFormatting>
  <conditionalFormatting sqref="H54:H55">
    <cfRule type="cellIs" dxfId="2609" priority="137" stopIfTrue="1" operator="greaterThan">
      <formula>#REF!</formula>
    </cfRule>
    <cfRule type="cellIs" dxfId="2608" priority="138" stopIfTrue="1" operator="lessThanOrEqual">
      <formula>0</formula>
    </cfRule>
    <cfRule type="cellIs" dxfId="2607" priority="128" stopIfTrue="1" operator="lessThanOrEqual">
      <formula>0</formula>
    </cfRule>
    <cfRule type="cellIs" dxfId="2606" priority="129" stopIfTrue="1" operator="greaterThan">
      <formula>#REF!</formula>
    </cfRule>
  </conditionalFormatting>
  <conditionalFormatting sqref="H56">
    <cfRule type="cellIs" dxfId="2605" priority="140" stopIfTrue="1" operator="lessThanOrEqual">
      <formula>0</formula>
    </cfRule>
    <cfRule type="cellIs" dxfId="2604" priority="149" stopIfTrue="1" operator="greaterThan">
      <formula>$F$33</formula>
    </cfRule>
    <cfRule type="cellIs" dxfId="2603" priority="150" stopIfTrue="1" operator="lessThanOrEqual">
      <formula>0</formula>
    </cfRule>
    <cfRule type="cellIs" dxfId="2602" priority="151" stopIfTrue="1" operator="greaterThan">
      <formula>$F$31</formula>
    </cfRule>
    <cfRule type="cellIs" dxfId="2601" priority="152" stopIfTrue="1" operator="lessThanOrEqual">
      <formula>0</formula>
    </cfRule>
    <cfRule type="cellIs" dxfId="2600" priority="141" stopIfTrue="1" operator="greaterThan">
      <formula>$F$30</formula>
    </cfRule>
  </conditionalFormatting>
  <conditionalFormatting sqref="H57:H58">
    <cfRule type="cellIs" dxfId="2599" priority="117" stopIfTrue="1" operator="greaterThan">
      <formula>#REF!</formula>
    </cfRule>
    <cfRule type="cellIs" dxfId="2598" priority="125" stopIfTrue="1" operator="greaterThan">
      <formula>#REF!</formula>
    </cfRule>
    <cfRule type="cellIs" dxfId="2597" priority="126" stopIfTrue="1" operator="lessThanOrEqual">
      <formula>0</formula>
    </cfRule>
    <cfRule type="cellIs" dxfId="2596" priority="116" stopIfTrue="1" operator="lessThanOrEqual">
      <formula>0</formula>
    </cfRule>
  </conditionalFormatting>
  <conditionalFormatting sqref="H73 H75:H81">
    <cfRule type="cellIs" dxfId="2595" priority="176" stopIfTrue="1" operator="lessThanOrEqual">
      <formula>0</formula>
    </cfRule>
    <cfRule type="cellIs" dxfId="2594" priority="175" stopIfTrue="1" operator="greaterThan">
      <formula>4.5</formula>
    </cfRule>
  </conditionalFormatting>
  <conditionalFormatting sqref="H49:I49">
    <cfRule type="cellIs" dxfId="2593" priority="55" stopIfTrue="1" operator="lessThanOrEqual">
      <formula>0</formula>
    </cfRule>
  </conditionalFormatting>
  <conditionalFormatting sqref="H49:I50 H52:I53">
    <cfRule type="cellIs" dxfId="2592" priority="52" stopIfTrue="1" operator="greaterThan">
      <formula>$F$64</formula>
    </cfRule>
  </conditionalFormatting>
  <conditionalFormatting sqref="H50:I50">
    <cfRule type="cellIs" dxfId="2591" priority="81" stopIfTrue="1" operator="lessThanOrEqual">
      <formula>0</formula>
    </cfRule>
  </conditionalFormatting>
  <conditionalFormatting sqref="H51:I51">
    <cfRule type="cellIs" dxfId="2590" priority="19" stopIfTrue="1" operator="greaterThan">
      <formula>$F$66</formula>
    </cfRule>
    <cfRule type="cellIs" dxfId="2589" priority="22" stopIfTrue="1" operator="lessThanOrEqual">
      <formula>0</formula>
    </cfRule>
  </conditionalFormatting>
  <conditionalFormatting sqref="H52:I53">
    <cfRule type="cellIs" dxfId="2588" priority="94" stopIfTrue="1" operator="lessThanOrEqual">
      <formula>0</formula>
    </cfRule>
  </conditionalFormatting>
  <conditionalFormatting sqref="H54:I55">
    <cfRule type="cellIs" dxfId="2587" priority="136" stopIfTrue="1" operator="lessThanOrEqual">
      <formula>0</formula>
    </cfRule>
    <cfRule type="cellIs" dxfId="2586" priority="127" stopIfTrue="1" operator="greaterThan">
      <formula>#REF!</formula>
    </cfRule>
    <cfRule type="cellIs" dxfId="2585" priority="135" stopIfTrue="1" operator="greaterThan">
      <formula>#REF!</formula>
    </cfRule>
    <cfRule type="cellIs" dxfId="2584" priority="130" stopIfTrue="1" operator="lessThanOrEqual">
      <formula>0</formula>
    </cfRule>
  </conditionalFormatting>
  <conditionalFormatting sqref="H56:I56">
    <cfRule type="cellIs" dxfId="2583" priority="142" stopIfTrue="1" operator="lessThanOrEqual">
      <formula>0</formula>
    </cfRule>
    <cfRule type="cellIs" dxfId="2582" priority="139" stopIfTrue="1" operator="greaterThan">
      <formula>$F$32</formula>
    </cfRule>
  </conditionalFormatting>
  <conditionalFormatting sqref="H57:I58">
    <cfRule type="cellIs" dxfId="2581" priority="115" stopIfTrue="1" operator="greaterThan">
      <formula>#REF!</formula>
    </cfRule>
    <cfRule type="cellIs" dxfId="2580" priority="123" stopIfTrue="1" operator="greaterThan">
      <formula>#REF!</formula>
    </cfRule>
    <cfRule type="cellIs" dxfId="2579" priority="118" stopIfTrue="1" operator="lessThanOrEqual">
      <formula>0</formula>
    </cfRule>
    <cfRule type="cellIs" dxfId="2578" priority="124" stopIfTrue="1" operator="lessThanOrEqual">
      <formula>0</formula>
    </cfRule>
  </conditionalFormatting>
  <conditionalFormatting sqref="H62:I69">
    <cfRule type="cellIs" dxfId="2577" priority="37" stopIfTrue="1" operator="greaterThan">
      <formula>$J62</formula>
    </cfRule>
    <cfRule type="cellIs" dxfId="2576" priority="38" stopIfTrue="1" operator="lessThanOrEqual">
      <formula>0</formula>
    </cfRule>
  </conditionalFormatting>
  <conditionalFormatting sqref="H70:I70">
    <cfRule type="cellIs" dxfId="2575" priority="45" operator="greaterThan">
      <formula>5.3</formula>
    </cfRule>
  </conditionalFormatting>
  <conditionalFormatting sqref="H71:I71">
    <cfRule type="cellIs" dxfId="2574" priority="43" stopIfTrue="1" operator="greaterThan">
      <formula>$J71</formula>
    </cfRule>
    <cfRule type="cellIs" dxfId="2573" priority="44" stopIfTrue="1" operator="lessThanOrEqual">
      <formula>0</formula>
    </cfRule>
  </conditionalFormatting>
  <conditionalFormatting sqref="I49">
    <cfRule type="cellIs" dxfId="2572" priority="59" stopIfTrue="1" operator="lessThanOrEqual">
      <formula>0</formula>
    </cfRule>
    <cfRule type="cellIs" dxfId="2571" priority="60" stopIfTrue="1" operator="greaterThan">
      <formula>$F$62</formula>
    </cfRule>
    <cfRule type="cellIs" dxfId="2570" priority="58" stopIfTrue="1" operator="greaterThan">
      <formula>$F$64</formula>
    </cfRule>
    <cfRule type="cellIs" dxfId="2569" priority="57" stopIfTrue="1" operator="lessThanOrEqual">
      <formula>0</formula>
    </cfRule>
    <cfRule type="cellIs" dxfId="2568" priority="56" stopIfTrue="1" operator="greaterThan">
      <formula>$F$62</formula>
    </cfRule>
    <cfRule type="cellIs" dxfId="2567" priority="61" stopIfTrue="1" operator="lessThanOrEqual">
      <formula>0</formula>
    </cfRule>
  </conditionalFormatting>
  <conditionalFormatting sqref="I50">
    <cfRule type="cellIs" dxfId="2566" priority="82" stopIfTrue="1" operator="greaterThan">
      <formula>$F$62</formula>
    </cfRule>
    <cfRule type="cellIs" dxfId="2565" priority="86" stopIfTrue="1" operator="greaterThan">
      <formula>$F$62</formula>
    </cfRule>
    <cfRule type="cellIs" dxfId="2564" priority="83" stopIfTrue="1" operator="lessThanOrEqual">
      <formula>0</formula>
    </cfRule>
    <cfRule type="cellIs" dxfId="2563" priority="87" stopIfTrue="1" operator="lessThanOrEqual">
      <formula>0</formula>
    </cfRule>
    <cfRule type="cellIs" dxfId="2562" priority="85" stopIfTrue="1" operator="lessThanOrEqual">
      <formula>0</formula>
    </cfRule>
    <cfRule type="cellIs" dxfId="2561" priority="84" stopIfTrue="1" operator="greaterThan">
      <formula>$F$64</formula>
    </cfRule>
  </conditionalFormatting>
  <conditionalFormatting sqref="I51">
    <cfRule type="cellIs" dxfId="2560" priority="25" stopIfTrue="1" operator="greaterThan">
      <formula>$F$66</formula>
    </cfRule>
    <cfRule type="cellIs" dxfId="2559" priority="23" stopIfTrue="1" operator="greaterThan">
      <formula>$F$64</formula>
    </cfRule>
    <cfRule type="cellIs" dxfId="2558" priority="28" stopIfTrue="1" operator="lessThanOrEqual">
      <formula>0</formula>
    </cfRule>
    <cfRule type="cellIs" dxfId="2557" priority="26" stopIfTrue="1" operator="lessThanOrEqual">
      <formula>0</formula>
    </cfRule>
    <cfRule type="cellIs" dxfId="2556" priority="27" stopIfTrue="1" operator="greaterThan">
      <formula>$F$64</formula>
    </cfRule>
    <cfRule type="cellIs" dxfId="2555" priority="24" stopIfTrue="1" operator="lessThanOrEqual">
      <formula>0</formula>
    </cfRule>
  </conditionalFormatting>
  <conditionalFormatting sqref="I52:I53">
    <cfRule type="cellIs" dxfId="2554" priority="97" stopIfTrue="1" operator="greaterThan">
      <formula>$F$64</formula>
    </cfRule>
    <cfRule type="cellIs" dxfId="2553" priority="100" stopIfTrue="1" operator="lessThanOrEqual">
      <formula>0</formula>
    </cfRule>
    <cfRule type="cellIs" dxfId="2552" priority="99" stopIfTrue="1" operator="greaterThan">
      <formula>$F$62</formula>
    </cfRule>
    <cfRule type="cellIs" dxfId="2551" priority="95" stopIfTrue="1" operator="greaterThan">
      <formula>$F$62</formula>
    </cfRule>
    <cfRule type="cellIs" dxfId="2550" priority="96" stopIfTrue="1" operator="lessThanOrEqual">
      <formula>0</formula>
    </cfRule>
    <cfRule type="cellIs" dxfId="2549" priority="98" stopIfTrue="1" operator="lessThanOrEqual">
      <formula>0</formula>
    </cfRule>
  </conditionalFormatting>
  <conditionalFormatting sqref="I54:I55">
    <cfRule type="cellIs" dxfId="2548" priority="133" stopIfTrue="1" operator="greaterThan">
      <formula>#REF!</formula>
    </cfRule>
    <cfRule type="cellIs" dxfId="2547" priority="134" stopIfTrue="1" operator="lessThanOrEqual">
      <formula>0</formula>
    </cfRule>
    <cfRule type="cellIs" dxfId="2546" priority="131" stopIfTrue="1" operator="greaterThan">
      <formula>#REF!</formula>
    </cfRule>
    <cfRule type="cellIs" dxfId="2545" priority="132" stopIfTrue="1" operator="lessThanOrEqual">
      <formula>0</formula>
    </cfRule>
  </conditionalFormatting>
  <conditionalFormatting sqref="I56">
    <cfRule type="cellIs" dxfId="2544" priority="147" stopIfTrue="1" operator="greaterThan">
      <formula>$F$30</formula>
    </cfRule>
    <cfRule type="cellIs" dxfId="2543" priority="148" stopIfTrue="1" operator="lessThanOrEqual">
      <formula>0</formula>
    </cfRule>
    <cfRule type="cellIs" dxfId="2542" priority="144" stopIfTrue="1" operator="lessThanOrEqual">
      <formula>0</formula>
    </cfRule>
    <cfRule type="cellIs" dxfId="2541" priority="146" stopIfTrue="1" operator="lessThanOrEqual">
      <formula>0</formula>
    </cfRule>
    <cfRule type="cellIs" dxfId="2540" priority="143" stopIfTrue="1" operator="greaterThan">
      <formula>$F$30</formula>
    </cfRule>
    <cfRule type="cellIs" dxfId="2539" priority="145" stopIfTrue="1" operator="greaterThan">
      <formula>$F$32</formula>
    </cfRule>
  </conditionalFormatting>
  <conditionalFormatting sqref="I57:I58">
    <cfRule type="cellIs" dxfId="2538" priority="119" stopIfTrue="1" operator="greaterThan">
      <formula>#REF!</formula>
    </cfRule>
    <cfRule type="cellIs" dxfId="2537" priority="120" stopIfTrue="1" operator="lessThanOrEqual">
      <formula>0</formula>
    </cfRule>
    <cfRule type="cellIs" dxfId="2536" priority="121" stopIfTrue="1" operator="greaterThan">
      <formula>#REF!</formula>
    </cfRule>
    <cfRule type="cellIs" dxfId="2535" priority="122" stopIfTrue="1" operator="lessThanOrEqual">
      <formula>0</formula>
    </cfRule>
  </conditionalFormatting>
  <conditionalFormatting sqref="I73:I81">
    <cfRule type="cellIs" dxfId="2534" priority="172" stopIfTrue="1" operator="lessThanOrEqual">
      <formula>0</formula>
    </cfRule>
    <cfRule type="cellIs" dxfId="2533" priority="171" stopIfTrue="1" operator="greaterThan">
      <formula>4.5</formula>
    </cfRule>
  </conditionalFormatting>
  <conditionalFormatting sqref="I10:J17">
    <cfRule type="cellIs" dxfId="2532" priority="2" operator="lessThan">
      <formula>97.9</formula>
    </cfRule>
  </conditionalFormatting>
  <conditionalFormatting sqref="J20:J22">
    <cfRule type="cellIs" dxfId="2531" priority="18" operator="lessThan">
      <formula>97.95</formula>
    </cfRule>
  </conditionalFormatting>
  <conditionalFormatting sqref="J21:J24">
    <cfRule type="cellIs" dxfId="2530" priority="153" operator="lessThan">
      <formula>97.4</formula>
    </cfRule>
  </conditionalFormatting>
  <conditionalFormatting sqref="J25:J26">
    <cfRule type="cellIs" dxfId="2529" priority="154" operator="lessThan">
      <formula>98</formula>
    </cfRule>
  </conditionalFormatting>
  <conditionalFormatting sqref="J27:J28">
    <cfRule type="cellIs" dxfId="2528" priority="155" stopIfTrue="1" operator="lessThan">
      <formula>96.8</formula>
    </cfRule>
    <cfRule type="cellIs" dxfId="2527" priority="156" stopIfTrue="1" operator="greaterThan">
      <formula>100</formula>
    </cfRule>
  </conditionalFormatting>
  <conditionalFormatting sqref="J27:J29">
    <cfRule type="cellIs" dxfId="2526" priority="157" operator="lessThan">
      <formula>98</formula>
    </cfRule>
  </conditionalFormatting>
  <conditionalFormatting sqref="J58">
    <cfRule type="cellIs" dxfId="2525" priority="112" stopIfTrue="1" operator="lessThanOrEqual">
      <formula>0</formula>
    </cfRule>
    <cfRule type="cellIs" dxfId="2524" priority="114" stopIfTrue="1" operator="lessThanOrEqual">
      <formula>0</formula>
    </cfRule>
    <cfRule type="cellIs" dxfId="2523" priority="113" stopIfTrue="1" operator="greaterThan">
      <formula>#REF!</formula>
    </cfRule>
    <cfRule type="cellIs" dxfId="2522" priority="111" stopIfTrue="1" operator="greaterThan">
      <formula>#REF!</formula>
    </cfRule>
    <cfRule type="cellIs" dxfId="2521" priority="110" stopIfTrue="1" operator="lessThanOrEqual">
      <formula>0</formula>
    </cfRule>
    <cfRule type="cellIs" dxfId="2520" priority="109" stopIfTrue="1" operator="greaterThan">
      <formula>#REF!</formula>
    </cfRule>
    <cfRule type="cellIs" dxfId="2519" priority="108" stopIfTrue="1" operator="lessThanOrEqual">
      <formula>0</formula>
    </cfRule>
    <cfRule type="cellIs" dxfId="2518" priority="107" stopIfTrue="1" operator="greaterThan">
      <formula>#REF!</formula>
    </cfRule>
  </conditionalFormatting>
  <conditionalFormatting sqref="J71">
    <cfRule type="cellIs" dxfId="2517" priority="46" stopIfTrue="1" operator="greaterThan">
      <formula>$F71</formula>
    </cfRule>
    <cfRule type="cellIs" dxfId="2516" priority="47" stopIfTrue="1" operator="lessThanOrEqual">
      <formula>0</formula>
    </cfRule>
  </conditionalFormatting>
  <conditionalFormatting sqref="K10:K17">
    <cfRule type="cellIs" dxfId="2515" priority="3" operator="greaterThan">
      <formula>6</formula>
    </cfRule>
    <cfRule type="cellIs" dxfId="2514" priority="4" operator="lessThan">
      <formula>4</formula>
    </cfRule>
    <cfRule type="cellIs" dxfId="2513" priority="5" operator="greaterThan">
      <formula>6.4</formula>
    </cfRule>
  </conditionalFormatting>
  <conditionalFormatting sqref="K49:K58">
    <cfRule type="cellIs" dxfId="2512" priority="92" stopIfTrue="1" operator="lessThan">
      <formula>100%</formula>
    </cfRule>
  </conditionalFormatting>
  <conditionalFormatting sqref="K62:K70">
    <cfRule type="cellIs" dxfId="2511" priority="36" stopIfTrue="1" operator="lessThan">
      <formula>100%</formula>
    </cfRule>
  </conditionalFormatting>
  <conditionalFormatting sqref="K73:K78">
    <cfRule type="cellIs" dxfId="2510" priority="177" stopIfTrue="1" operator="lessThan">
      <formula>100%</formula>
    </cfRule>
  </conditionalFormatting>
  <conditionalFormatting sqref="K80:K81">
    <cfRule type="cellIs" dxfId="2509" priority="184" stopIfTrue="1" operator="lessThan">
      <formula>100%</formula>
    </cfRule>
  </conditionalFormatting>
  <conditionalFormatting sqref="L10:L17">
    <cfRule type="cellIs" dxfId="2508" priority="6" operator="between">
      <formula>61</formula>
      <formula>65</formula>
    </cfRule>
    <cfRule type="cellIs" dxfId="2507" priority="7" operator="greaterThan">
      <formula>65</formula>
    </cfRule>
  </conditionalFormatting>
  <conditionalFormatting sqref="L20:M31">
    <cfRule type="cellIs" dxfId="2506" priority="17" operator="lessThan">
      <formula>97.95</formula>
    </cfRule>
  </conditionalFormatting>
  <conditionalFormatting sqref="L35:N35">
    <cfRule type="cellIs" dxfId="2505" priority="16" operator="notEqual">
      <formula>#REF!</formula>
    </cfRule>
  </conditionalFormatting>
  <conditionalFormatting sqref="L62:N71">
    <cfRule type="cellIs" dxfId="2504" priority="33" stopIfTrue="1" operator="lessThan">
      <formula>100%</formula>
    </cfRule>
  </conditionalFormatting>
  <conditionalFormatting sqref="L73:N81">
    <cfRule type="cellIs" dxfId="2503" priority="162" stopIfTrue="1" operator="lessThan">
      <formula>100%</formula>
    </cfRule>
  </conditionalFormatting>
  <conditionalFormatting sqref="M17">
    <cfRule type="expression" dxfId="2502" priority="13">
      <formula>IF(+(IF(M17&lt;U17,0,IF(M17&gt;V17,0,1)))=0,1)</formula>
    </cfRule>
  </conditionalFormatting>
  <conditionalFormatting sqref="M10:N16 G16">
    <cfRule type="expression" dxfId="2501" priority="15">
      <formula>IF(+(IF(G10&lt;#REF!,0,IF(G10&gt;#REF!,0,1)))=0,1)</formula>
    </cfRule>
  </conditionalFormatting>
  <conditionalFormatting sqref="N10:N17">
    <cfRule type="expression" dxfId="2500" priority="11">
      <formula>IF(+(IF(N10&lt;W10,0,IF(N10&gt;X10,0,1)))=0,1)</formula>
    </cfRule>
  </conditionalFormatting>
  <conditionalFormatting sqref="P6">
    <cfRule type="cellIs" dxfId="2499" priority="158" operator="greaterThanOrEqual">
      <formula>19</formula>
    </cfRule>
  </conditionalFormatting>
  <dataValidations count="1">
    <dataValidation type="list" allowBlank="1" showInputMessage="1" showErrorMessage="1" sqref="R8" xr:uid="{7EA32A39-B519-4BC5-87E0-8BA2B213EBB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5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E03-7479-43C5-91A0-28BA464CB902}">
  <sheetPr>
    <pageSetUpPr fitToPage="1"/>
  </sheetPr>
  <dimension ref="A1:BE78"/>
  <sheetViews>
    <sheetView topLeftCell="A4" zoomScale="85" zoomScaleNormal="85" workbookViewId="0">
      <selection activeCell="N10" sqref="N10:N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46301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29" t="s">
        <v>6</v>
      </c>
      <c r="C10" s="366" t="str">
        <f>[3]Brewhouse!$A797</f>
        <v>CA747</v>
      </c>
      <c r="D10" s="279">
        <f>[3]Brewhouse!$AF797</f>
        <v>48.9</v>
      </c>
      <c r="E10" s="279">
        <f>[3]Brewhouse!$AI797</f>
        <v>49.1</v>
      </c>
      <c r="F10" s="278">
        <f>[3]Brewhouse!$V797</f>
        <v>61</v>
      </c>
      <c r="G10" s="279">
        <f>[3]Brewhouse!AG797</f>
        <v>11.6</v>
      </c>
      <c r="H10" s="396">
        <v>11.8</v>
      </c>
      <c r="I10" s="368">
        <f>[3]Brewhouse!$AU797</f>
        <v>94.225435543653518</v>
      </c>
      <c r="J10" s="368">
        <f>[3]Brewhouse!$AV797</f>
        <v>94.955895449291049</v>
      </c>
      <c r="K10" s="281">
        <f>[3]Brewhouse!$Q797</f>
        <v>12.421441774491679</v>
      </c>
      <c r="L10" s="276">
        <f>[3]Brewhouse!$P797</f>
        <v>88</v>
      </c>
      <c r="M10" s="374">
        <f>[3]Brewhouse!$U797-[3]Brewhouse!$T797</f>
        <v>0.15277777777777773</v>
      </c>
      <c r="N10" s="370">
        <f>[3]Brewhouse!$Z797</f>
        <v>0.32777777777777778</v>
      </c>
      <c r="O10" s="419" t="str">
        <f>[3]Brewhouse!$AX797</f>
        <v>D. Gomaz</v>
      </c>
      <c r="P10" s="417"/>
      <c r="R10" s="277" t="str">
        <f t="shared" ref="R10:R19" si="0">B10</f>
        <v>CARIB</v>
      </c>
      <c r="S10" s="471">
        <f t="shared" ref="S10:S19" si="1">VLOOKUP($B10,$R$3:$X$9,2,FALSE)</f>
        <v>11.6</v>
      </c>
      <c r="T10" s="471">
        <f t="shared" ref="T10:T19" si="2">VLOOKUP($B10,$R$3:$X$9,3,FALSE)</f>
        <v>12</v>
      </c>
      <c r="U10" s="297">
        <f t="shared" ref="U10:U19" si="3">VLOOKUP($B10,$R$3:$X$9,4,FALSE)</f>
        <v>0</v>
      </c>
      <c r="V10" s="297">
        <f t="shared" ref="V10:V19" si="4">VLOOKUP($B10,$R$3:$X$9,5,FALSE)</f>
        <v>0.118055555555556</v>
      </c>
      <c r="W10" s="297">
        <f t="shared" ref="W10:W19" si="5">VLOOKUP($B10,$R$3:$X$9,6,FALSE)</f>
        <v>0.22569444444444445</v>
      </c>
      <c r="X10" s="297">
        <f t="shared" ref="X10:X19" si="6">VLOOKUP($B10,$R$3:$X$9,7,FALSE)</f>
        <v>0.2638888888888889</v>
      </c>
      <c r="Y10" s="297">
        <f t="shared" ref="Y10:Y19" si="7">VLOOKUP($B10,$R$3:$Z$9,8,FALSE)</f>
        <v>0</v>
      </c>
      <c r="Z10" s="471">
        <f t="shared" ref="Z10:Z19" si="8">VLOOKUP($B10,$R$3:$Z$9,9,FALSE)</f>
        <v>60</v>
      </c>
    </row>
    <row r="11" spans="2:29" ht="15" customHeight="1">
      <c r="B11" s="29" t="s">
        <v>6</v>
      </c>
      <c r="C11" s="366" t="str">
        <f>[3]Brewhouse!$A798</f>
        <v>CA748</v>
      </c>
      <c r="D11" s="279">
        <f>[3]Brewhouse!$AF798</f>
        <v>49.2</v>
      </c>
      <c r="E11" s="279">
        <f>[3]Brewhouse!$AI798</f>
        <v>49.6</v>
      </c>
      <c r="F11" s="278">
        <f>[3]Brewhouse!$V798</f>
        <v>62</v>
      </c>
      <c r="G11" s="279">
        <f>[3]Brewhouse!AG798</f>
        <v>11.6</v>
      </c>
      <c r="H11" s="490">
        <v>12.1</v>
      </c>
      <c r="I11" s="368">
        <f>[3]Brewhouse!$AU798</f>
        <v>96.984705758803429</v>
      </c>
      <c r="J11" s="368">
        <f>[3]Brewhouse!$AV798</f>
        <v>97.735804113121233</v>
      </c>
      <c r="K11" s="281">
        <f>[3]Brewhouse!$Q798</f>
        <v>10.388170055452859</v>
      </c>
      <c r="L11" s="276">
        <f>[3]Brewhouse!$P798</f>
        <v>60</v>
      </c>
      <c r="M11" s="374">
        <f>[3]Brewhouse!$U798-[3]Brewhouse!$T798</f>
        <v>0.1118055555555556</v>
      </c>
      <c r="N11" s="370">
        <f>[3]Brewhouse!$Z798</f>
        <v>0.29236111111111118</v>
      </c>
      <c r="O11" s="419" t="str">
        <f>[3]Brewhouse!$AX798</f>
        <v>D. Gomaz</v>
      </c>
      <c r="P11" s="417"/>
      <c r="R11" s="277" t="str">
        <f t="shared" si="0"/>
        <v>CARIB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29" t="s">
        <v>6</v>
      </c>
      <c r="C12" s="366" t="str">
        <f>[3]Brewhouse!$A799</f>
        <v>CA749</v>
      </c>
      <c r="D12" s="279">
        <f>[3]Brewhouse!$AF799</f>
        <v>50.8</v>
      </c>
      <c r="E12" s="279">
        <f>[3]Brewhouse!$AI799</f>
        <v>51.8</v>
      </c>
      <c r="F12" s="278">
        <f>[3]Brewhouse!$V799</f>
        <v>58</v>
      </c>
      <c r="G12" s="279">
        <f>[3]Brewhouse!AG799</f>
        <v>11.7</v>
      </c>
      <c r="H12" s="396">
        <v>11.8</v>
      </c>
      <c r="I12" s="368">
        <f>[3]Brewhouse!$AU799</f>
        <v>100.30908258387295</v>
      </c>
      <c r="J12" s="368">
        <f>[3]Brewhouse!$AV799</f>
        <v>101.086704492183</v>
      </c>
      <c r="K12" s="281">
        <f>[3]Brewhouse!$Q799</f>
        <v>10.018484288354902</v>
      </c>
      <c r="L12" s="276">
        <f>[3]Brewhouse!$P799</f>
        <v>60</v>
      </c>
      <c r="M12" s="374">
        <f>[3]Brewhouse!$U799-[3]Brewhouse!$T799</f>
        <v>0.11249999999999993</v>
      </c>
      <c r="N12" s="370">
        <f>[3]Brewhouse!$Z799</f>
        <v>0.28680555555555554</v>
      </c>
      <c r="O12" s="419" t="str">
        <f>[3]Brewhouse!$AX799</f>
        <v>D. Gomaz</v>
      </c>
      <c r="P12" s="417"/>
      <c r="R12" s="277" t="str">
        <f t="shared" si="0"/>
        <v>CARIB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29" t="s">
        <v>6</v>
      </c>
      <c r="C13" s="366" t="str">
        <f>[3]Brewhouse!$A800</f>
        <v>CA750</v>
      </c>
      <c r="D13" s="279">
        <f>[3]Brewhouse!$AF800</f>
        <v>49.5</v>
      </c>
      <c r="E13" s="279">
        <f>[3]Brewhouse!$AI800</f>
        <v>49.8</v>
      </c>
      <c r="F13" s="278">
        <f>[3]Brewhouse!$V800</f>
        <v>62</v>
      </c>
      <c r="G13" s="279">
        <f>[3]Brewhouse!AG800</f>
        <v>11.9</v>
      </c>
      <c r="H13" s="396">
        <v>11.9</v>
      </c>
      <c r="I13" s="368">
        <f>[3]Brewhouse!$AU800</f>
        <v>98.292492578870025</v>
      </c>
      <c r="J13" s="368">
        <f>[3]Brewhouse!$AV800</f>
        <v>99.05443142376123</v>
      </c>
      <c r="K13" s="281">
        <f>[3]Brewhouse!$Q800</f>
        <v>9.8336414048059151</v>
      </c>
      <c r="L13" s="276">
        <f>[3]Brewhouse!$P800</f>
        <v>60</v>
      </c>
      <c r="M13" s="374">
        <f>[3]Brewhouse!$U800-[3]Brewhouse!$T800</f>
        <v>0.10972222222222217</v>
      </c>
      <c r="N13" s="370">
        <f>[3]Brewhouse!$Z800</f>
        <v>0.26111111111111107</v>
      </c>
      <c r="O13" s="419" t="str">
        <f>[3]Brewhouse!$AX800</f>
        <v>D. Gomaz</v>
      </c>
      <c r="P13" s="417"/>
      <c r="R13" s="277" t="str">
        <f t="shared" si="0"/>
        <v>CARIB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29" t="s">
        <v>6</v>
      </c>
      <c r="C14" s="366" t="str">
        <f>[3]Brewhouse!$A801</f>
        <v>CA751</v>
      </c>
      <c r="D14" s="279">
        <f>[3]Brewhouse!$AF801</f>
        <v>49.2</v>
      </c>
      <c r="E14" s="279">
        <f>[3]Brewhouse!$AI801</f>
        <v>49.6</v>
      </c>
      <c r="F14" s="278">
        <f>[3]Brewhouse!$V801</f>
        <v>61</v>
      </c>
      <c r="G14" s="279">
        <f>[3]Brewhouse!AG801</f>
        <v>12</v>
      </c>
      <c r="H14" s="396">
        <v>12</v>
      </c>
      <c r="I14" s="368">
        <f>[3]Brewhouse!$AU801</f>
        <v>98.762703596416429</v>
      </c>
      <c r="J14" s="368">
        <f>[3]Brewhouse!$AV801</f>
        <v>99.52828739963725</v>
      </c>
      <c r="K14" s="281">
        <f>[3]Brewhouse!$Q801</f>
        <v>10.222222222222214</v>
      </c>
      <c r="L14" s="276">
        <f>[3]Brewhouse!$P801</f>
        <v>58</v>
      </c>
      <c r="M14" s="374">
        <f>[3]Brewhouse!$U801-[3]Brewhouse!$T801</f>
        <v>0.11111111111111105</v>
      </c>
      <c r="N14" s="370">
        <f>[3]Brewhouse!$Z801</f>
        <v>0.29999999999999993</v>
      </c>
      <c r="O14" s="419" t="str">
        <f>[3]Brewhouse!$AX801</f>
        <v>D. Gomaz</v>
      </c>
      <c r="P14" s="417"/>
      <c r="R14" s="277" t="str">
        <f t="shared" si="0"/>
        <v>CARIB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29" t="s">
        <v>6</v>
      </c>
      <c r="C15" s="366" t="str">
        <f>[3]Brewhouse!$A802</f>
        <v>CA752</v>
      </c>
      <c r="D15" s="279">
        <f>[3]Brewhouse!$AF802</f>
        <v>48.8</v>
      </c>
      <c r="E15" s="279">
        <f>[3]Brewhouse!$AI802</f>
        <v>49.3</v>
      </c>
      <c r="F15" s="278">
        <f>[3]Brewhouse!$V802</f>
        <v>58</v>
      </c>
      <c r="G15" s="279">
        <f>[3]Brewhouse!AG802</f>
        <v>12</v>
      </c>
      <c r="H15" s="490">
        <v>12.1</v>
      </c>
      <c r="I15" s="368">
        <f>[3]Brewhouse!$AU802</f>
        <v>98.40914048650491</v>
      </c>
      <c r="J15" s="368">
        <f>[3]Brewhouse!$AV802</f>
        <v>99.171883191944957</v>
      </c>
      <c r="K15" s="281">
        <f>[3]Brewhouse!$Q802</f>
        <v>11.127541589648803</v>
      </c>
      <c r="L15" s="276">
        <f>[3]Brewhouse!$P802</f>
        <v>58</v>
      </c>
      <c r="M15" s="374">
        <f>[3]Brewhouse!$U802-[3]Brewhouse!$T802</f>
        <v>0.10486111111111107</v>
      </c>
      <c r="N15" s="370">
        <f>[3]Brewhouse!$Z802</f>
        <v>0.24375000000000002</v>
      </c>
      <c r="O15" s="419" t="str">
        <f>[3]Brewhouse!$AX802</f>
        <v>R. Sookram</v>
      </c>
      <c r="P15" s="417"/>
      <c r="R15" s="277" t="str">
        <f t="shared" si="0"/>
        <v>CARIB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29" t="s">
        <v>6</v>
      </c>
      <c r="C16" s="366" t="str">
        <f>[3]Brewhouse!$A803</f>
        <v>CA753</v>
      </c>
      <c r="D16" s="279">
        <f>[3]Brewhouse!$AF803</f>
        <v>48.5</v>
      </c>
      <c r="E16" s="279">
        <f>[3]Brewhouse!$AI803</f>
        <v>49</v>
      </c>
      <c r="F16" s="278">
        <f>[3]Brewhouse!$V803</f>
        <v>62</v>
      </c>
      <c r="G16" s="279">
        <f>[3]Brewhouse!AG803</f>
        <v>11.8</v>
      </c>
      <c r="H16" s="490">
        <v>12.2</v>
      </c>
      <c r="I16" s="368">
        <f>[3]Brewhouse!$AU803</f>
        <v>95.977884419871557</v>
      </c>
      <c r="J16" s="368">
        <f>[3]Brewhouse!$AV803</f>
        <v>96.721832118617428</v>
      </c>
      <c r="K16" s="281">
        <f>[3]Brewhouse!$Q803</f>
        <v>11.682070240295749</v>
      </c>
      <c r="L16" s="276">
        <f>[3]Brewhouse!$P803</f>
        <v>60</v>
      </c>
      <c r="M16" s="374">
        <f>[3]Brewhouse!$U803-[3]Brewhouse!$T803</f>
        <v>0.11388888888888893</v>
      </c>
      <c r="N16" s="370">
        <f>[3]Brewhouse!$Z803</f>
        <v>0.27152777777777781</v>
      </c>
      <c r="O16" s="419" t="str">
        <f>[3]Brewhouse!$AX803</f>
        <v>R. Sookram</v>
      </c>
      <c r="P16" s="417"/>
      <c r="R16" s="277" t="str">
        <f t="shared" si="0"/>
        <v>CARIB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6" ht="15" customHeight="1">
      <c r="B17" s="29" t="s">
        <v>6</v>
      </c>
      <c r="C17" s="366" t="str">
        <f>[3]Brewhouse!$A804</f>
        <v>CA754</v>
      </c>
      <c r="D17" s="279">
        <f>[3]Brewhouse!$AF804</f>
        <v>49.1</v>
      </c>
      <c r="E17" s="279">
        <f>[3]Brewhouse!$AI804</f>
        <v>49.6</v>
      </c>
      <c r="F17" s="278">
        <f>[3]Brewhouse!$V804</f>
        <v>58</v>
      </c>
      <c r="G17" s="279">
        <f>[3]Brewhouse!AG804</f>
        <v>12</v>
      </c>
      <c r="H17" s="490">
        <v>12.3</v>
      </c>
      <c r="I17" s="368">
        <f>[3]Brewhouse!$AU804</f>
        <v>98.275780445846266</v>
      </c>
      <c r="J17" s="368">
        <f>[3]Brewhouse!$AV804</f>
        <v>99.037788718358144</v>
      </c>
      <c r="K17" s="281">
        <f>[3]Brewhouse!$Q804</f>
        <v>10.407407407407403</v>
      </c>
      <c r="L17" s="276">
        <f>[3]Brewhouse!$P804</f>
        <v>61</v>
      </c>
      <c r="M17" s="374">
        <f>[3]Brewhouse!$U804-[3]Brewhouse!$T804</f>
        <v>0.11736111111111103</v>
      </c>
      <c r="N17" s="370">
        <f>[3]Brewhouse!$Z804</f>
        <v>0.28611111111111109</v>
      </c>
      <c r="O17" s="419" t="str">
        <f>[3]Brewhouse!$AX804</f>
        <v>R. Sookram</v>
      </c>
      <c r="P17" s="417"/>
      <c r="R17" s="277" t="str">
        <f t="shared" si="0"/>
        <v>CARIB</v>
      </c>
      <c r="S17" s="471">
        <f t="shared" si="1"/>
        <v>11.6</v>
      </c>
      <c r="T17" s="471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1">
        <f t="shared" si="8"/>
        <v>60</v>
      </c>
    </row>
    <row r="18" spans="1:26" ht="1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6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19"/>
      <c r="P20" s="417"/>
      <c r="R20" s="277">
        <f t="shared" ref="R20:R38" si="9">B20</f>
        <v>0</v>
      </c>
      <c r="S20" s="471" t="e">
        <f t="shared" ref="S20:S38" si="10">VLOOKUP($B20,$R$3:$X$9,2,FALSE)</f>
        <v>#N/A</v>
      </c>
      <c r="T20" s="471" t="e">
        <f t="shared" ref="T20:T38" si="11">VLOOKUP($B20,$R$3:$X$9,3,FALSE)</f>
        <v>#N/A</v>
      </c>
      <c r="U20" s="297" t="e">
        <f t="shared" ref="U20:U38" si="12">VLOOKUP($B20,$R$3:$X$9,4,FALSE)</f>
        <v>#N/A</v>
      </c>
      <c r="V20" s="297" t="e">
        <f t="shared" ref="V20:V38" si="13">VLOOKUP($B20,$R$3:$X$9,5,FALSE)</f>
        <v>#N/A</v>
      </c>
      <c r="W20" s="297" t="e">
        <f t="shared" ref="W20:W38" si="14">VLOOKUP($B20,$R$3:$X$9,6,FALSE)</f>
        <v>#N/A</v>
      </c>
      <c r="X20" s="297" t="e">
        <f t="shared" ref="X20:X38" si="15">VLOOKUP($B20,$R$3:$X$9,7,FALSE)</f>
        <v>#N/A</v>
      </c>
      <c r="Y20" s="297" t="e">
        <f t="shared" ref="Y20:Y38" si="16">VLOOKUP($B20,$R$3:$Z$9,8,FALSE)</f>
        <v>#N/A</v>
      </c>
      <c r="Z20" s="471" t="e">
        <f t="shared" ref="Z20:Z38" si="17">VLOOKUP($B20,$R$3:$Z$9,9,FALSE)</f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19"/>
      <c r="P21" s="417"/>
      <c r="R21" s="277">
        <f t="shared" si="9"/>
        <v>0</v>
      </c>
      <c r="S21" s="471" t="e">
        <f t="shared" si="10"/>
        <v>#N/A</v>
      </c>
      <c r="T21" s="471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1" t="e">
        <f t="shared" si="17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19"/>
      <c r="P22" s="417"/>
      <c r="R22" s="277">
        <f t="shared" si="9"/>
        <v>0</v>
      </c>
      <c r="S22" s="471" t="e">
        <f t="shared" si="10"/>
        <v>#N/A</v>
      </c>
      <c r="T22" s="471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1" t="e">
        <f t="shared" si="17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19"/>
      <c r="P23" s="417"/>
      <c r="R23" s="277">
        <f t="shared" si="9"/>
        <v>0</v>
      </c>
      <c r="S23" s="471" t="e">
        <f t="shared" si="10"/>
        <v>#N/A</v>
      </c>
      <c r="T23" s="471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1" t="e">
        <f t="shared" si="17"/>
        <v>#N/A</v>
      </c>
    </row>
    <row r="24" spans="1:26" ht="15" hidden="1" customHeight="1">
      <c r="B24" s="36"/>
      <c r="C24" s="366"/>
      <c r="D24" s="279"/>
      <c r="E24" s="279"/>
      <c r="F24" s="278"/>
      <c r="G24" s="279"/>
      <c r="H24" s="396"/>
      <c r="I24" s="487"/>
      <c r="J24" s="487"/>
      <c r="K24" s="488"/>
      <c r="L24" s="276"/>
      <c r="M24" s="374"/>
      <c r="N24" s="370"/>
      <c r="O24" s="419"/>
      <c r="P24" s="417"/>
      <c r="R24" s="277">
        <f t="shared" si="9"/>
        <v>0</v>
      </c>
      <c r="S24" s="471" t="e">
        <f t="shared" si="10"/>
        <v>#N/A</v>
      </c>
      <c r="T24" s="471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1" t="e">
        <f t="shared" si="17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70"/>
      <c r="J25" s="570"/>
      <c r="K25" s="570"/>
      <c r="L25" s="570"/>
      <c r="M25" s="570"/>
      <c r="N25" s="570"/>
      <c r="O25" s="1"/>
      <c r="P25" s="12"/>
      <c r="R25" s="277">
        <f t="shared" si="9"/>
        <v>0</v>
      </c>
      <c r="S25" s="471" t="e">
        <f t="shared" si="10"/>
        <v>#N/A</v>
      </c>
      <c r="T25" s="471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1" t="e">
        <f t="shared" si="17"/>
        <v>#N/A</v>
      </c>
    </row>
    <row r="26" spans="1:26" ht="17.25" customHeight="1" thickBot="1">
      <c r="B26" s="482" t="s">
        <v>162</v>
      </c>
      <c r="C26" s="388"/>
      <c r="D26" s="540" t="s">
        <v>35</v>
      </c>
      <c r="E26" s="541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1" t="e">
        <f t="shared" si="10"/>
        <v>#N/A</v>
      </c>
      <c r="T26" s="471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1" t="e">
        <f t="shared" si="17"/>
        <v>#N/A</v>
      </c>
    </row>
    <row r="27" spans="1:26" ht="17.25" customHeight="1">
      <c r="A27" s="28"/>
      <c r="B27" s="594"/>
      <c r="C27" s="483"/>
      <c r="D27" s="527"/>
      <c r="E27" s="528"/>
      <c r="F27" s="294"/>
      <c r="G27" s="294"/>
      <c r="H27" s="348"/>
      <c r="I27" s="29" t="s">
        <v>6</v>
      </c>
      <c r="J27" s="323">
        <f>AVERAGE(I10:I17)</f>
        <v>97.65465317672988</v>
      </c>
      <c r="K27" s="284">
        <f>COUNTA([3]Brewhouse!$A$789:$A$804)</f>
        <v>16</v>
      </c>
      <c r="L27" s="305">
        <f>AVERAGE([3]Brewhouse!$AU$789:$AU$804)</f>
        <v>97.753640116148077</v>
      </c>
      <c r="M27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$804)</f>
        <v>98.318964406210327</v>
      </c>
      <c r="N27" s="30">
        <v>98</v>
      </c>
      <c r="O27" s="11"/>
      <c r="P27" s="31"/>
      <c r="R27" s="277">
        <f t="shared" si="9"/>
        <v>0</v>
      </c>
      <c r="S27" s="471" t="e">
        <f t="shared" si="10"/>
        <v>#N/A</v>
      </c>
      <c r="T27" s="471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1" t="e">
        <f t="shared" si="17"/>
        <v>#N/A</v>
      </c>
    </row>
    <row r="28" spans="1:26" ht="15" customHeight="1">
      <c r="A28" s="28"/>
      <c r="B28" s="572"/>
      <c r="C28" s="362"/>
      <c r="D28" s="529"/>
      <c r="E28" s="530"/>
      <c r="F28" s="294"/>
      <c r="G28" s="294"/>
      <c r="H28" s="348"/>
      <c r="I28" s="33" t="s">
        <v>9</v>
      </c>
      <c r="J28" s="323"/>
      <c r="K28" s="284">
        <f>COUNTA([4]Brewhouse!$A$390:$A$391)</f>
        <v>2</v>
      </c>
      <c r="L28" s="302">
        <f>AVERAGE([4]Brewhouse!$AS$390:$AS$391)</f>
        <v>99.056946070238752</v>
      </c>
      <c r="M28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$391)</f>
        <v>98.311229916038556</v>
      </c>
      <c r="N28" s="30">
        <v>98</v>
      </c>
      <c r="O28" s="11"/>
      <c r="P28" s="31"/>
      <c r="R28" s="277">
        <f t="shared" si="9"/>
        <v>0</v>
      </c>
      <c r="S28" s="471" t="e">
        <f t="shared" si="10"/>
        <v>#N/A</v>
      </c>
      <c r="T28" s="471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1" t="e">
        <f t="shared" si="17"/>
        <v>#N/A</v>
      </c>
    </row>
    <row r="29" spans="1:26" ht="14.65" customHeight="1">
      <c r="A29" s="28"/>
      <c r="B29" s="572"/>
      <c r="C29" s="362"/>
      <c r="D29" s="534"/>
      <c r="E29" s="535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9" s="30">
        <v>98</v>
      </c>
      <c r="O29" s="11"/>
      <c r="P29" s="31"/>
      <c r="R29" s="277">
        <f t="shared" si="9"/>
        <v>0</v>
      </c>
      <c r="S29" s="471" t="e">
        <f t="shared" si="10"/>
        <v>#N/A</v>
      </c>
      <c r="T29" s="471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1" t="e">
        <f t="shared" si="17"/>
        <v>#N/A</v>
      </c>
    </row>
    <row r="30" spans="1:26" ht="14.65" customHeight="1">
      <c r="A30" s="28"/>
      <c r="B30" s="572"/>
      <c r="C30" s="362"/>
      <c r="D30" s="536"/>
      <c r="E30" s="530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0" s="30">
        <v>98</v>
      </c>
      <c r="O30" s="11"/>
      <c r="P30" s="31"/>
      <c r="R30" s="277">
        <f t="shared" si="9"/>
        <v>0</v>
      </c>
      <c r="S30" s="471" t="e">
        <f t="shared" si="10"/>
        <v>#N/A</v>
      </c>
      <c r="T30" s="471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1" t="e">
        <f t="shared" si="17"/>
        <v>#N/A</v>
      </c>
    </row>
    <row r="31" spans="1:26" ht="14.65" customHeight="1">
      <c r="A31" s="28"/>
      <c r="B31" s="572"/>
      <c r="C31" s="362"/>
      <c r="D31" s="534"/>
      <c r="E31" s="535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1" t="e">
        <f t="shared" si="10"/>
        <v>#N/A</v>
      </c>
      <c r="T31" s="471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1" t="e">
        <f t="shared" si="17"/>
        <v>#N/A</v>
      </c>
    </row>
    <row r="32" spans="1:26" ht="14.65" customHeight="1">
      <c r="A32" s="28"/>
      <c r="B32" s="572"/>
      <c r="C32" s="362"/>
      <c r="D32" s="536"/>
      <c r="E32" s="530"/>
      <c r="F32" s="416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9"/>
        <v>0</v>
      </c>
      <c r="S32" s="471" t="e">
        <f t="shared" si="10"/>
        <v>#N/A</v>
      </c>
      <c r="T32" s="471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1" t="e">
        <f t="shared" si="17"/>
        <v>#N/A</v>
      </c>
    </row>
    <row r="33" spans="1:56" ht="14.65" customHeight="1">
      <c r="A33" s="28"/>
      <c r="B33" s="572"/>
      <c r="C33" s="362"/>
      <c r="D33" s="534"/>
      <c r="E33" s="535"/>
      <c r="F33" s="416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33" s="30">
        <v>98</v>
      </c>
      <c r="O33" s="11"/>
      <c r="P33" s="31" t="s">
        <v>41</v>
      </c>
      <c r="R33" s="277">
        <f t="shared" si="9"/>
        <v>0</v>
      </c>
      <c r="S33" s="471" t="e">
        <f t="shared" si="10"/>
        <v>#N/A</v>
      </c>
      <c r="T33" s="471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1" t="e">
        <f t="shared" si="17"/>
        <v>#N/A</v>
      </c>
    </row>
    <row r="34" spans="1:56" ht="14.65" customHeight="1">
      <c r="A34" s="28"/>
      <c r="B34" s="572"/>
      <c r="C34" s="362"/>
      <c r="D34" s="536"/>
      <c r="E34" s="530"/>
      <c r="F34" s="294"/>
      <c r="G34" s="294"/>
      <c r="H34" s="348"/>
      <c r="I34" s="410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1" t="e">
        <f t="shared" si="10"/>
        <v>#N/A</v>
      </c>
      <c r="T34" s="471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1" t="e">
        <f t="shared" si="17"/>
        <v>#N/A</v>
      </c>
    </row>
    <row r="35" spans="1:56" ht="14.65" customHeight="1">
      <c r="A35" s="28"/>
      <c r="B35" s="572"/>
      <c r="C35" s="362"/>
      <c r="D35" s="534"/>
      <c r="E35" s="535"/>
      <c r="F35" s="294"/>
      <c r="G35" s="294"/>
      <c r="H35" s="348"/>
      <c r="I35" s="409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1" t="e">
        <f t="shared" si="10"/>
        <v>#N/A</v>
      </c>
      <c r="T35" s="471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1" t="e">
        <f t="shared" si="17"/>
        <v>#N/A</v>
      </c>
      <c r="AA35" s="471"/>
    </row>
    <row r="36" spans="1:56" ht="15" customHeight="1" thickBot="1">
      <c r="A36" s="28"/>
      <c r="B36" s="572"/>
      <c r="C36" s="362"/>
      <c r="D36" s="536"/>
      <c r="E36" s="530"/>
      <c r="F36" s="294"/>
      <c r="G36" s="294"/>
      <c r="H36" s="348"/>
      <c r="I36" s="405" t="s">
        <v>156</v>
      </c>
      <c r="J36" s="327"/>
      <c r="K36" s="406"/>
      <c r="L36" s="407"/>
      <c r="M36" s="407"/>
      <c r="N36" s="408">
        <v>98</v>
      </c>
      <c r="O36" s="11"/>
      <c r="P36" s="31"/>
      <c r="R36" s="277">
        <f t="shared" si="9"/>
        <v>0</v>
      </c>
      <c r="S36" s="471" t="e">
        <f t="shared" si="10"/>
        <v>#N/A</v>
      </c>
      <c r="T36" s="471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1" t="e">
        <f t="shared" si="17"/>
        <v>#N/A</v>
      </c>
      <c r="AA36" s="471"/>
    </row>
    <row r="37" spans="1:56" ht="15" customHeight="1" thickBot="1">
      <c r="A37" s="28"/>
      <c r="B37" s="572"/>
      <c r="C37" s="349"/>
      <c r="D37" s="527"/>
      <c r="E37" s="528"/>
      <c r="F37" s="294"/>
      <c r="G37" s="294"/>
      <c r="H37" s="348"/>
      <c r="I37" s="1"/>
      <c r="J37" s="39"/>
      <c r="K37" s="403">
        <f>SUM(K27:K36)</f>
        <v>18</v>
      </c>
      <c r="L37" s="404">
        <f>((L27*K27)+(L28*K28)+(L29*K29)+(L30*K30)+(L31*K31)+(K34*L34)+(L32*K32)+(L33*K33)+(L36*K36))/(K37)</f>
        <v>97.898451888824809</v>
      </c>
      <c r="M37" s="404">
        <f>AVERAGE('[9]Jan30th-31st'!$L$42,'[10]Feb 27th-28th'!$L$45,'[11]Mar 31st'!$L$42,'[12]Apr 30th'!$L$41,'[13]May 29th '!$L$35,'[14]June 30th'!$L$32,[15]July31st!$L$36,'[16]Aug 31st'!$L$32,L37)</f>
        <v>97.972783729995541</v>
      </c>
      <c r="N37" s="40">
        <v>98</v>
      </c>
      <c r="O37" s="11"/>
      <c r="P37" s="31"/>
      <c r="R37" s="277">
        <f t="shared" si="9"/>
        <v>0</v>
      </c>
      <c r="S37" s="471" t="e">
        <f t="shared" si="10"/>
        <v>#N/A</v>
      </c>
      <c r="T37" s="471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1" t="e">
        <f t="shared" si="17"/>
        <v>#N/A</v>
      </c>
      <c r="AA37" s="471"/>
    </row>
    <row r="38" spans="1:56" ht="15.75" thickBot="1">
      <c r="B38" s="595"/>
      <c r="C38" s="350"/>
      <c r="D38" s="529"/>
      <c r="E38" s="530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1" t="e">
        <f t="shared" si="10"/>
        <v>#N/A</v>
      </c>
      <c r="T38" s="471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1" t="e">
        <f t="shared" si="17"/>
        <v>#N/A</v>
      </c>
      <c r="AA38" s="471"/>
    </row>
    <row r="39" spans="1:56" ht="15.75" thickBot="1">
      <c r="B39" s="524"/>
      <c r="C39" s="362"/>
      <c r="D39" s="527"/>
      <c r="E39" s="528"/>
      <c r="F39" s="294"/>
      <c r="G39" s="42"/>
      <c r="H39" s="41"/>
      <c r="I39" s="42"/>
      <c r="J39" s="531" t="s">
        <v>129</v>
      </c>
      <c r="K39" s="531"/>
      <c r="L39" s="294"/>
      <c r="M39" s="294"/>
      <c r="N39" s="294"/>
      <c r="O39" s="294"/>
      <c r="P39" s="12"/>
    </row>
    <row r="40" spans="1:56" ht="15.75" thickBot="1">
      <c r="B40" s="525"/>
      <c r="C40" s="362"/>
      <c r="D40" s="529"/>
      <c r="E40" s="530"/>
      <c r="F40" s="294"/>
      <c r="G40" s="42"/>
      <c r="H40" s="42"/>
      <c r="I40" s="42"/>
      <c r="J40" s="292" t="s">
        <v>17</v>
      </c>
      <c r="K40" s="293"/>
      <c r="L40" s="532" t="s">
        <v>136</v>
      </c>
      <c r="M40" s="532"/>
      <c r="N40" s="533"/>
      <c r="O40" s="294"/>
      <c r="P40" s="12"/>
    </row>
    <row r="41" spans="1:56" ht="15" customHeight="1" thickBot="1">
      <c r="B41" s="525"/>
      <c r="C41" s="349"/>
      <c r="D41" s="534"/>
      <c r="E41" s="535"/>
      <c r="F41" s="294"/>
      <c r="G41" s="42"/>
      <c r="H41" s="42"/>
      <c r="I41" s="42"/>
      <c r="J41" s="287" t="s">
        <v>6</v>
      </c>
      <c r="K41" s="324">
        <v>8</v>
      </c>
      <c r="L41" s="472" t="s">
        <v>37</v>
      </c>
      <c r="M41" s="473" t="s">
        <v>38</v>
      </c>
      <c r="N41" s="473" t="s">
        <v>84</v>
      </c>
      <c r="O41" s="294"/>
      <c r="P41" s="12"/>
    </row>
    <row r="42" spans="1:56" ht="15.75" customHeight="1" thickBot="1">
      <c r="B42" s="525"/>
      <c r="C42" s="349"/>
      <c r="D42" s="536"/>
      <c r="E42" s="530"/>
      <c r="F42" s="294"/>
      <c r="G42" s="42"/>
      <c r="H42" s="42"/>
      <c r="I42" s="42"/>
      <c r="J42" s="345" t="s">
        <v>9</v>
      </c>
      <c r="K42" s="324"/>
      <c r="L42" s="484">
        <f>AVERAGE('Oct 1st'!K52,'Oct 2nd'!K44,K51)</f>
        <v>6</v>
      </c>
      <c r="M42" s="485">
        <f>AVERAGE('[9]Jan30th-31st'!$L$47,L42,'[10]Feb 26th '!$L$39,'[11]Mar 31st'!$L$47,'[12]Apr 30th'!$L$46,'[13]May 29th '!$L$40,'[14]June 30th'!$L$39,[15]July31st!$L$41,'[16]Aug 31st'!$L$37,'[18]Sept 30th'!$L$37)</f>
        <v>6.4735341470124066</v>
      </c>
      <c r="N42" s="415">
        <v>9.1999999999999993</v>
      </c>
      <c r="O42" s="294"/>
      <c r="P42" s="12"/>
    </row>
    <row r="43" spans="1:56" ht="15" customHeight="1">
      <c r="B43" s="525"/>
      <c r="C43" s="349"/>
      <c r="D43" s="534"/>
      <c r="E43" s="535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5"/>
      <c r="C44" s="349"/>
      <c r="D44" s="536"/>
      <c r="E44" s="530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5"/>
      <c r="C45" s="349"/>
      <c r="D45" s="534"/>
      <c r="E45" s="535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5"/>
      <c r="C46" s="349"/>
      <c r="D46" s="536"/>
      <c r="E46" s="530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5"/>
      <c r="C47" s="349"/>
      <c r="D47" s="534"/>
      <c r="E47" s="535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6"/>
      <c r="C48" s="350"/>
      <c r="D48" s="537"/>
      <c r="E48" s="538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15"/>
      <c r="E49" s="516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09" t="s">
        <v>17</v>
      </c>
      <c r="C54" s="509" t="s">
        <v>44</v>
      </c>
      <c r="D54" s="518" t="s">
        <v>45</v>
      </c>
      <c r="E54" s="520" t="s">
        <v>46</v>
      </c>
      <c r="F54" s="522" t="s">
        <v>47</v>
      </c>
      <c r="G54" s="507" t="s">
        <v>48</v>
      </c>
      <c r="H54" s="509" t="s">
        <v>49</v>
      </c>
      <c r="I54" s="509" t="s">
        <v>50</v>
      </c>
      <c r="J54" s="501" t="s">
        <v>28</v>
      </c>
      <c r="K54" s="511" t="s">
        <v>51</v>
      </c>
      <c r="L54" s="513" t="s">
        <v>52</v>
      </c>
      <c r="M54" s="501" t="s">
        <v>53</v>
      </c>
      <c r="N54" s="13"/>
      <c r="O54" s="13"/>
      <c r="P54" s="50"/>
    </row>
    <row r="55" spans="2:57" ht="28.5" customHeight="1" thickTop="1" thickBot="1">
      <c r="B55" s="510"/>
      <c r="C55" s="517"/>
      <c r="D55" s="519"/>
      <c r="E55" s="521"/>
      <c r="F55" s="523"/>
      <c r="G55" s="508"/>
      <c r="H55" s="510"/>
      <c r="I55" s="510"/>
      <c r="J55" s="502"/>
      <c r="K55" s="512"/>
      <c r="L55" s="514"/>
      <c r="M55" s="502"/>
      <c r="N55" s="13"/>
      <c r="O55" s="13"/>
      <c r="P55" s="50"/>
      <c r="Q55" s="355"/>
      <c r="AB55" s="474">
        <v>43474</v>
      </c>
      <c r="AC55" s="474">
        <v>43475</v>
      </c>
      <c r="AD55" s="474">
        <v>43476</v>
      </c>
      <c r="AE55" s="474">
        <v>43477</v>
      </c>
      <c r="AF55" s="474">
        <v>43478</v>
      </c>
      <c r="AG55" s="474">
        <v>43479</v>
      </c>
      <c r="AH55" s="474">
        <v>43480</v>
      </c>
      <c r="AI55" s="474">
        <v>43481</v>
      </c>
      <c r="AJ55" s="474">
        <v>43482</v>
      </c>
      <c r="AK55" s="474">
        <v>43483</v>
      </c>
      <c r="AL55" s="474">
        <v>43484</v>
      </c>
      <c r="AM55" s="474">
        <v>43485</v>
      </c>
      <c r="AN55" s="474">
        <v>43486</v>
      </c>
      <c r="AO55" s="474">
        <v>43487</v>
      </c>
      <c r="AP55" s="474">
        <v>43488</v>
      </c>
      <c r="AQ55" s="474">
        <v>43489</v>
      </c>
      <c r="AR55" s="474">
        <v>43490</v>
      </c>
      <c r="AS55" s="474">
        <v>43491</v>
      </c>
      <c r="AT55" s="474">
        <v>43492</v>
      </c>
      <c r="AU55" s="474">
        <v>43493</v>
      </c>
      <c r="AV55" s="474">
        <v>43494</v>
      </c>
      <c r="AW55" s="474">
        <v>43495</v>
      </c>
      <c r="AX55" s="474">
        <v>43496</v>
      </c>
    </row>
    <row r="56" spans="2:57" s="54" customFormat="1" ht="36.75" customHeight="1" thickBot="1">
      <c r="B56" s="455" t="str">
        <f>J41</f>
        <v>CARIB</v>
      </c>
      <c r="C56" s="478">
        <v>46300</v>
      </c>
      <c r="D56" s="444">
        <f>[19]October_2026!$H$3</f>
        <v>324.89999999999998</v>
      </c>
      <c r="E56" s="442"/>
      <c r="F56" s="443"/>
      <c r="G56" s="443">
        <f>[19]October_2026!$H$7</f>
        <v>302.39999999999998</v>
      </c>
      <c r="H56" s="457"/>
      <c r="I56" s="457"/>
      <c r="J56" s="447" t="s">
        <v>150</v>
      </c>
      <c r="K56" s="448">
        <f>[20]October_2026!$H$18</f>
        <v>1.0610526315789472</v>
      </c>
      <c r="L56" s="456">
        <f>(((D56+E56)-G56)/(D56+E56))*100</f>
        <v>6.9252077562326875</v>
      </c>
      <c r="M56" s="454" t="s">
        <v>174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[21]January_2019!L5</f>
        <v>0</v>
      </c>
      <c r="AC56" s="57">
        <f>[21]January_2019!M5</f>
        <v>0</v>
      </c>
      <c r="AD56" s="57">
        <f>[21]January_2019!N5</f>
        <v>0</v>
      </c>
      <c r="AE56" s="57">
        <f>[21]January_2019!O5</f>
        <v>0</v>
      </c>
      <c r="AF56" s="57">
        <f>[21]January_2019!P5</f>
        <v>0</v>
      </c>
      <c r="AG56" s="57">
        <f>[21]January_2019!Q5</f>
        <v>0</v>
      </c>
      <c r="AH56" s="57">
        <f>[21]January_2019!R5</f>
        <v>0</v>
      </c>
      <c r="AI56" s="57">
        <f>[21]January_2019!S5</f>
        <v>0</v>
      </c>
      <c r="AJ56" s="57">
        <f>[21]January_2019!T5</f>
        <v>0</v>
      </c>
      <c r="AK56" s="57">
        <f>[21]January_2019!U5</f>
        <v>0</v>
      </c>
      <c r="AL56" s="57">
        <f>[21]January_2019!V5</f>
        <v>0</v>
      </c>
      <c r="AM56" s="57">
        <f>[21]January_2019!W5</f>
        <v>0</v>
      </c>
      <c r="AN56" s="57">
        <f>[21]January_2019!X5</f>
        <v>0</v>
      </c>
      <c r="AO56" s="57">
        <f>[21]January_2019!Y5</f>
        <v>0</v>
      </c>
      <c r="AP56" s="57">
        <f>[21]January_2019!Z5</f>
        <v>0</v>
      </c>
      <c r="AQ56" s="57">
        <f>[21]January_2019!AA5</f>
        <v>0</v>
      </c>
      <c r="AR56" s="57">
        <f>[21]January_2019!AB5</f>
        <v>0</v>
      </c>
      <c r="AS56" s="57">
        <f>[21]January_2019!AC5</f>
        <v>0</v>
      </c>
      <c r="AT56" s="57">
        <f>[21]January_2019!AD5</f>
        <v>0</v>
      </c>
      <c r="AU56" s="57">
        <f>[21]January_2019!AE5</f>
        <v>0</v>
      </c>
      <c r="AV56" s="57">
        <f>[21]January_2019!AF5</f>
        <v>0</v>
      </c>
      <c r="AW56" s="57">
        <f>[21]January_2019!AG5</f>
        <v>0</v>
      </c>
      <c r="AX56" s="277">
        <f>[21]January_2019!AH5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customHeight="1" thickBot="1">
      <c r="B57" s="479"/>
      <c r="C57" s="478"/>
      <c r="D57" s="441"/>
      <c r="E57" s="442"/>
      <c r="F57" s="443"/>
      <c r="G57" s="444"/>
      <c r="H57" s="457"/>
      <c r="I57" s="457"/>
      <c r="J57" s="475"/>
      <c r="K57" s="44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[21]January_2019!L6</f>
        <v>0</v>
      </c>
      <c r="AC57" s="57">
        <f>[21]January_2019!M6</f>
        <v>0</v>
      </c>
      <c r="AD57" s="57">
        <f>[21]January_2019!N6</f>
        <v>0</v>
      </c>
      <c r="AE57" s="57">
        <f>[21]January_2019!O6</f>
        <v>0</v>
      </c>
      <c r="AF57" s="57">
        <f>[21]January_2019!P6</f>
        <v>0</v>
      </c>
      <c r="AG57" s="57">
        <f>[21]January_2019!Q6</f>
        <v>0</v>
      </c>
      <c r="AH57" s="57">
        <f>[21]January_2019!R6</f>
        <v>0</v>
      </c>
      <c r="AI57" s="57">
        <f>[21]January_2019!S6</f>
        <v>0</v>
      </c>
      <c r="AJ57" s="57">
        <f>[21]January_2019!T6</f>
        <v>0</v>
      </c>
      <c r="AK57" s="57">
        <f>[21]January_2019!U6</f>
        <v>0</v>
      </c>
      <c r="AL57" s="57">
        <f>[21]January_2019!V6</f>
        <v>0</v>
      </c>
      <c r="AM57" s="57">
        <f>[21]January_2019!W6</f>
        <v>0</v>
      </c>
      <c r="AN57" s="57">
        <f>[21]January_2019!X6</f>
        <v>0</v>
      </c>
      <c r="AO57" s="57">
        <f>[21]January_2019!Y6</f>
        <v>0</v>
      </c>
      <c r="AP57" s="57">
        <f>[21]January_2019!Z6</f>
        <v>0</v>
      </c>
      <c r="AQ57" s="57">
        <f>[21]January_2019!AA6</f>
        <v>0</v>
      </c>
      <c r="AR57" s="57">
        <f>[21]January_2019!AB6</f>
        <v>0</v>
      </c>
      <c r="AS57" s="57">
        <f>[21]January_2019!AC6</f>
        <v>0</v>
      </c>
      <c r="AT57" s="57">
        <f>[21]January_2019!AD6</f>
        <v>0</v>
      </c>
      <c r="AU57" s="57">
        <f>[21]January_2019!AE6</f>
        <v>0</v>
      </c>
      <c r="AV57" s="57">
        <f>[21]January_2019!AF6</f>
        <v>0</v>
      </c>
      <c r="AW57" s="57">
        <f>[21]January_2019!AG6</f>
        <v>0</v>
      </c>
      <c r="AX57" s="277">
        <f>[21]January_2019!AH6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customHeight="1" thickBot="1">
      <c r="B58" s="455" t="str">
        <f>J41</f>
        <v>CARIB</v>
      </c>
      <c r="C58" s="478">
        <v>46300</v>
      </c>
      <c r="D58" s="441">
        <f>[19]October_2026!$G$3</f>
        <v>198.2</v>
      </c>
      <c r="E58" s="442"/>
      <c r="F58" s="443"/>
      <c r="G58" s="443">
        <f>[19]October_2026!$G$7</f>
        <v>189.1</v>
      </c>
      <c r="H58" s="445"/>
      <c r="I58" s="445"/>
      <c r="J58" s="447" t="s">
        <v>173</v>
      </c>
      <c r="K58" s="448">
        <f>[20]October_2026!$G$18</f>
        <v>0.33175438596491225</v>
      </c>
      <c r="L58" s="456">
        <f>(((D58+E58)-G58)/(D58+E58))*100</f>
        <v>4.5913218970736605</v>
      </c>
      <c r="M58" s="454" t="s">
        <v>175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[21]January_2019!L7</f>
        <v>285.8</v>
      </c>
      <c r="AC58" s="57">
        <f>[21]January_2019!M7</f>
        <v>508.1</v>
      </c>
      <c r="AD58" s="57">
        <f>[21]January_2019!N7</f>
        <v>0</v>
      </c>
      <c r="AE58" s="57">
        <f>[21]January_2019!O7</f>
        <v>0</v>
      </c>
      <c r="AF58" s="57">
        <f>[21]January_2019!P7</f>
        <v>109.56666666666666</v>
      </c>
      <c r="AG58" s="57">
        <f>[21]January_2019!Q7</f>
        <v>297.64999999999998</v>
      </c>
      <c r="AH58" s="57">
        <f>[21]January_2019!R7</f>
        <v>122.3</v>
      </c>
      <c r="AI58" s="57">
        <f>[21]January_2019!S7</f>
        <v>0</v>
      </c>
      <c r="AJ58" s="57">
        <f>[21]January_2019!T7</f>
        <v>294.7</v>
      </c>
      <c r="AK58" s="57">
        <f>[21]January_2019!U7</f>
        <v>280.5</v>
      </c>
      <c r="AL58" s="57">
        <f>[21]January_2019!V7</f>
        <v>0</v>
      </c>
      <c r="AM58" s="57">
        <f>[21]January_2019!W7</f>
        <v>0</v>
      </c>
      <c r="AN58" s="57">
        <f>[21]January_2019!X7</f>
        <v>188.25</v>
      </c>
      <c r="AO58" s="57">
        <f>[21]January_2019!Y7</f>
        <v>295.7</v>
      </c>
      <c r="AP58" s="57">
        <f>[21]January_2019!Z7</f>
        <v>257.8</v>
      </c>
      <c r="AQ58" s="57">
        <f>[21]January_2019!AA7</f>
        <v>291.2</v>
      </c>
      <c r="AR58" s="57">
        <f>[21]January_2019!AB7</f>
        <v>187</v>
      </c>
      <c r="AS58" s="57">
        <f>[21]January_2019!AC7</f>
        <v>0</v>
      </c>
      <c r="AT58" s="57">
        <f>[21]January_2019!AD7</f>
        <v>0</v>
      </c>
      <c r="AU58" s="57">
        <f>[21]January_2019!AE7</f>
        <v>485.1</v>
      </c>
      <c r="AV58" s="57">
        <f>[21]January_2019!AF7</f>
        <v>171.55</v>
      </c>
      <c r="AW58" s="57">
        <f>[21]January_2019!AG7</f>
        <v>423.8</v>
      </c>
      <c r="AX58" s="277">
        <f>[21]January_2019!AH7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7"/>
      <c r="C59" s="429"/>
      <c r="D59" s="430"/>
      <c r="E59" s="431"/>
      <c r="F59" s="432"/>
      <c r="G59" s="433"/>
      <c r="H59" s="457"/>
      <c r="I59" s="457"/>
      <c r="J59" s="450"/>
      <c r="K59" s="435"/>
      <c r="L59" s="451"/>
      <c r="M59" s="42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6"/>
      <c r="C60" s="478"/>
      <c r="D60" s="441"/>
      <c r="E60" s="442"/>
      <c r="F60" s="443"/>
      <c r="G60" s="444"/>
      <c r="H60" s="457"/>
      <c r="I60" s="457"/>
      <c r="J60" s="447"/>
      <c r="K60" s="458"/>
      <c r="L60" s="456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.75" hidden="1" thickBot="1">
      <c r="B61" s="452"/>
      <c r="C61" s="429"/>
      <c r="D61" s="430"/>
      <c r="E61" s="431"/>
      <c r="F61" s="432"/>
      <c r="G61" s="433"/>
      <c r="H61" s="434"/>
      <c r="I61" s="449"/>
      <c r="J61" s="450"/>
      <c r="K61" s="435"/>
      <c r="L61" s="451"/>
      <c r="M61" s="42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0"/>
      <c r="C62" s="478"/>
      <c r="D62" s="441"/>
      <c r="E62" s="442"/>
      <c r="F62" s="443"/>
      <c r="G62" s="444"/>
      <c r="H62" s="445"/>
      <c r="I62" s="446"/>
      <c r="J62" s="447"/>
      <c r="K62" s="448"/>
      <c r="L62" s="456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6"/>
      <c r="C63" s="422"/>
      <c r="D63" s="423"/>
      <c r="E63" s="424"/>
      <c r="F63" s="425"/>
      <c r="G63" s="426"/>
      <c r="H63" s="427"/>
      <c r="I63" s="437"/>
      <c r="J63" s="438"/>
      <c r="K63" s="428"/>
      <c r="L63" s="439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4"/>
      <c r="AC63" s="414"/>
      <c r="AD63" s="414"/>
      <c r="AE63" s="414"/>
      <c r="AF63" s="414"/>
      <c r="AG63" s="414"/>
      <c r="AH63" s="414"/>
      <c r="AI63" s="414"/>
      <c r="AJ63" s="414"/>
      <c r="AK63" s="414"/>
      <c r="AL63" s="414"/>
      <c r="AM63" s="414"/>
      <c r="AN63" s="414"/>
      <c r="AO63" s="414"/>
      <c r="AP63" s="414"/>
      <c r="AQ63" s="414"/>
      <c r="AR63" s="414"/>
      <c r="AS63" s="414"/>
      <c r="AT63" s="414"/>
      <c r="AU63" s="414"/>
      <c r="AV63" s="414"/>
      <c r="AW63" s="414"/>
    </row>
    <row r="64" spans="2:57" s="54" customFormat="1" ht="37.15" hidden="1" customHeight="1" thickBot="1">
      <c r="B64" s="455"/>
      <c r="C64" s="440"/>
      <c r="D64" s="441"/>
      <c r="E64" s="442"/>
      <c r="F64" s="443"/>
      <c r="G64" s="444"/>
      <c r="H64" s="445"/>
      <c r="I64" s="446"/>
      <c r="J64" s="447"/>
      <c r="K64" s="448"/>
      <c r="L64" s="456"/>
      <c r="M64" s="45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5"/>
      <c r="C65" s="429"/>
      <c r="D65" s="459"/>
      <c r="E65" s="460"/>
      <c r="F65" s="461"/>
      <c r="G65" s="459"/>
      <c r="H65" s="462"/>
      <c r="I65" s="462"/>
      <c r="J65" s="462"/>
      <c r="K65" s="463"/>
      <c r="L65" s="464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03" t="s">
        <v>55</v>
      </c>
      <c r="C67" s="504"/>
      <c r="D67" s="504"/>
      <c r="E67" s="504"/>
      <c r="F67" s="505"/>
      <c r="G67" s="503" t="s">
        <v>56</v>
      </c>
      <c r="H67" s="504"/>
      <c r="I67" s="504"/>
      <c r="J67" s="505"/>
      <c r="K67" s="503" t="s">
        <v>51</v>
      </c>
      <c r="L67" s="504"/>
      <c r="M67" s="504"/>
      <c r="N67" s="506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>
        <f>AVERAGE(L56,L58)</f>
        <v>5.758264826653174</v>
      </c>
      <c r="D69" s="76">
        <v>5.3426414019091037</v>
      </c>
      <c r="E69" s="76">
        <v>6.4104965182670099</v>
      </c>
      <c r="F69" s="66">
        <v>4.8</v>
      </c>
      <c r="G69" s="65">
        <f>AVERAGE([19]October_2026!$G$11:$H$11)</f>
        <v>6.2105686543831879</v>
      </c>
      <c r="H69" s="476">
        <v>6.1573549626417838</v>
      </c>
      <c r="I69" s="476">
        <v>6.5184572383851416</v>
      </c>
      <c r="J69" s="66">
        <v>4.8</v>
      </c>
      <c r="K69" s="67">
        <f>AVERAGE(K56,K58)</f>
        <v>0.6964035087719298</v>
      </c>
      <c r="L69" s="194">
        <v>0.66649122807017536</v>
      </c>
      <c r="M69" s="194">
        <v>0.53908627189124969</v>
      </c>
      <c r="N69" s="68">
        <v>1</v>
      </c>
      <c r="O69" s="56"/>
      <c r="P69" s="69"/>
    </row>
    <row r="70" spans="2:57" ht="15">
      <c r="B70" s="33" t="s">
        <v>9</v>
      </c>
      <c r="C70" s="65"/>
      <c r="D70" s="76"/>
      <c r="E70" s="76">
        <v>6.0345293824252026</v>
      </c>
      <c r="F70" s="66">
        <v>4.8</v>
      </c>
      <c r="G70" s="65"/>
      <c r="H70" s="76"/>
      <c r="I70" s="76">
        <v>5.9275658832823668</v>
      </c>
      <c r="J70" s="66">
        <v>4.8</v>
      </c>
      <c r="K70" s="67"/>
      <c r="L70" s="194"/>
      <c r="M70" s="194">
        <v>0.68249290906882254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10.912862882586603</v>
      </c>
      <c r="F71" s="66">
        <v>5.5</v>
      </c>
      <c r="G71" s="65"/>
      <c r="H71" s="76"/>
      <c r="I71" s="76">
        <v>11.797659278069149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>
        <v>2.6160971335586405</v>
      </c>
      <c r="E72" s="76">
        <v>4.8433372666231218</v>
      </c>
      <c r="F72" s="66">
        <v>3.3</v>
      </c>
      <c r="G72" s="65"/>
      <c r="H72" s="76">
        <v>4.0562064167659644</v>
      </c>
      <c r="I72" s="76">
        <v>4.7835858167498584</v>
      </c>
      <c r="J72" s="66">
        <v>3.3</v>
      </c>
      <c r="K72" s="67"/>
      <c r="L72" s="194">
        <v>1.3649122807017544</v>
      </c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6.3233965672990236</v>
      </c>
      <c r="F74" s="70">
        <v>5.5</v>
      </c>
      <c r="G74" s="65"/>
      <c r="H74" s="76"/>
      <c r="I74" s="76">
        <v>7.9667553186446929</v>
      </c>
      <c r="J74" s="66">
        <v>5.5</v>
      </c>
      <c r="K74" s="67"/>
      <c r="L74" s="194"/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1"/>
      <c r="D75" s="76"/>
      <c r="E75" s="76">
        <v>3.9973372218347856</v>
      </c>
      <c r="F75" s="66">
        <v>3.3</v>
      </c>
      <c r="G75" s="282"/>
      <c r="H75" s="76"/>
      <c r="I75" s="76">
        <v>5.1096183510504902</v>
      </c>
      <c r="J75" s="66">
        <v>3.3</v>
      </c>
      <c r="K75" s="67"/>
      <c r="L75" s="194"/>
      <c r="M75" s="194">
        <v>0.89057130004498408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3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4.3537476733100124</v>
      </c>
      <c r="E78" s="76">
        <v>6.362317810863849</v>
      </c>
      <c r="F78" s="341">
        <v>5.5</v>
      </c>
      <c r="H78" s="76">
        <v>5.2145324711715224</v>
      </c>
      <c r="I78" s="76">
        <v>6.626850683322365</v>
      </c>
      <c r="J78" s="341">
        <v>5.5</v>
      </c>
      <c r="L78" s="194">
        <v>0.84109649122807006</v>
      </c>
      <c r="M78" s="194">
        <v>0.59560326685792742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2498" priority="104" operator="notBetween">
      <formula>#REF!</formula>
      <formula>#REF!</formula>
    </cfRule>
  </conditionalFormatting>
  <conditionalFormatting sqref="C53">
    <cfRule type="cellIs" dxfId="2497" priority="187" stopIfTrue="1" operator="greaterThan">
      <formula>100</formula>
    </cfRule>
    <cfRule type="cellIs" dxfId="2496" priority="186" stopIfTrue="1" operator="lessThan">
      <formula>96</formula>
    </cfRule>
  </conditionalFormatting>
  <conditionalFormatting sqref="C69:C70">
    <cfRule type="cellIs" dxfId="2495" priority="70" stopIfTrue="1" operator="lessThanOrEqual">
      <formula>0</formula>
    </cfRule>
    <cfRule type="cellIs" dxfId="2494" priority="67" stopIfTrue="1" operator="greaterThan">
      <formula>$F69</formula>
    </cfRule>
    <cfRule type="cellIs" dxfId="2493" priority="69" stopIfTrue="1" operator="greaterThan">
      <formula>$F69</formula>
    </cfRule>
    <cfRule type="cellIs" dxfId="2492" priority="68" stopIfTrue="1" operator="lessThanOrEqual">
      <formula>0</formula>
    </cfRule>
  </conditionalFormatting>
  <conditionalFormatting sqref="C71:C73 C75:C77">
    <cfRule type="cellIs" dxfId="2491" priority="76" stopIfTrue="1" operator="greaterThan">
      <formula>$F74</formula>
    </cfRule>
  </conditionalFormatting>
  <conditionalFormatting sqref="C71:C73">
    <cfRule type="cellIs" dxfId="2490" priority="77" stopIfTrue="1" operator="lessThanOrEqual">
      <formula>0</formula>
    </cfRule>
  </conditionalFormatting>
  <conditionalFormatting sqref="C74">
    <cfRule type="cellIs" dxfId="2489" priority="191" stopIfTrue="1" operator="lessThanOrEqual">
      <formula>0</formula>
    </cfRule>
    <cfRule type="cellIs" dxfId="2488" priority="190" stopIfTrue="1" operator="greaterThan">
      <formula>$F69</formula>
    </cfRule>
    <cfRule type="cellIs" dxfId="2487" priority="189" stopIfTrue="1" operator="lessThanOrEqual">
      <formula>0</formula>
    </cfRule>
    <cfRule type="cellIs" dxfId="2486" priority="188" stopIfTrue="1" operator="greaterThan">
      <formula>$F69</formula>
    </cfRule>
  </conditionalFormatting>
  <conditionalFormatting sqref="C75:C77">
    <cfRule type="cellIs" dxfId="2485" priority="78" stopIfTrue="1" operator="lessThanOrEqual">
      <formula>0</formula>
    </cfRule>
  </conditionalFormatting>
  <conditionalFormatting sqref="C80:C84">
    <cfRule type="cellIs" dxfId="2484" priority="178" stopIfTrue="1" operator="lessThanOrEqual">
      <formula>0</formula>
    </cfRule>
  </conditionalFormatting>
  <conditionalFormatting sqref="C81:C84">
    <cfRule type="cellIs" dxfId="2483" priority="177" stopIfTrue="1" operator="greaterThan">
      <formula>$F$80</formula>
    </cfRule>
  </conditionalFormatting>
  <conditionalFormatting sqref="C86">
    <cfRule type="cellIs" dxfId="2482" priority="180" stopIfTrue="1" operator="lessThanOrEqual">
      <formula>0</formula>
    </cfRule>
    <cfRule type="cellIs" dxfId="2481" priority="179" stopIfTrue="1" operator="greaterThan">
      <formula>$F$80</formula>
    </cfRule>
  </conditionalFormatting>
  <conditionalFormatting sqref="C74:D74">
    <cfRule type="cellIs" dxfId="2480" priority="66" stopIfTrue="1" operator="lessThanOrEqual">
      <formula>0</formula>
    </cfRule>
    <cfRule type="cellIs" dxfId="2479" priority="65" stopIfTrue="1" operator="greaterThan">
      <formula>$J74</formula>
    </cfRule>
  </conditionalFormatting>
  <conditionalFormatting sqref="C80:D80 D82:D88">
    <cfRule type="cellIs" dxfId="2478" priority="172" stopIfTrue="1" operator="greaterThan">
      <formula>4.5</formula>
    </cfRule>
  </conditionalFormatting>
  <conditionalFormatting sqref="D49:D50">
    <cfRule type="cellIs" dxfId="2477" priority="105" operator="notBetween">
      <formula>#REF!</formula>
      <formula>#REF!</formula>
    </cfRule>
  </conditionalFormatting>
  <conditionalFormatting sqref="D69:D73 D75:D76">
    <cfRule type="cellIs" dxfId="2476" priority="75" stopIfTrue="1" operator="lessThanOrEqual">
      <formula>0</formula>
    </cfRule>
  </conditionalFormatting>
  <conditionalFormatting sqref="D69:D73 D75:D78">
    <cfRule type="cellIs" dxfId="2475" priority="72" stopIfTrue="1" operator="greaterThan">
      <formula>$F69</formula>
    </cfRule>
    <cfRule type="cellIs" dxfId="2474" priority="71" stopIfTrue="1" operator="lessThanOrEqual">
      <formula>0</formula>
    </cfRule>
  </conditionalFormatting>
  <conditionalFormatting sqref="D77:D78">
    <cfRule type="cellIs" dxfId="2473" priority="73" stopIfTrue="1" operator="lessThanOrEqual">
      <formula>0</formula>
    </cfRule>
  </conditionalFormatting>
  <conditionalFormatting sqref="D78">
    <cfRule type="cellIs" dxfId="2472" priority="74" stopIfTrue="1" operator="lessThanOrEqual">
      <formula>0</formula>
    </cfRule>
  </conditionalFormatting>
  <conditionalFormatting sqref="D80 D82:D88">
    <cfRule type="cellIs" dxfId="2471" priority="173" stopIfTrue="1" operator="lessThanOrEqual">
      <formula>0</formula>
    </cfRule>
  </conditionalFormatting>
  <conditionalFormatting sqref="D81">
    <cfRule type="cellIs" dxfId="2470" priority="165" stopIfTrue="1" operator="lessThanOrEqual">
      <formula>0</formula>
    </cfRule>
    <cfRule type="cellIs" dxfId="2469" priority="164" stopIfTrue="1" operator="greaterThan">
      <formula>$F$80</formula>
    </cfRule>
  </conditionalFormatting>
  <conditionalFormatting sqref="E10:E24">
    <cfRule type="cellIs" dxfId="2468" priority="8" operator="lessThan">
      <formula>48</formula>
    </cfRule>
  </conditionalFormatting>
  <conditionalFormatting sqref="E52 E53:F53">
    <cfRule type="cellIs" dxfId="2467" priority="169" stopIfTrue="1" operator="greaterThan">
      <formula>100</formula>
    </cfRule>
  </conditionalFormatting>
  <conditionalFormatting sqref="E53">
    <cfRule type="cellIs" dxfId="2466" priority="167" stopIfTrue="1" operator="greaterThan">
      <formula>100</formula>
    </cfRule>
    <cfRule type="cellIs" dxfId="2465" priority="166" stopIfTrue="1" operator="lessThan">
      <formula>96.8</formula>
    </cfRule>
  </conditionalFormatting>
  <conditionalFormatting sqref="E69:E77">
    <cfRule type="cellIs" dxfId="2464" priority="38" stopIfTrue="1" operator="lessThanOrEqual">
      <formula>0</formula>
    </cfRule>
  </conditionalFormatting>
  <conditionalFormatting sqref="E69:E78">
    <cfRule type="cellIs" dxfId="2463" priority="39" stopIfTrue="1" operator="greaterThan">
      <formula>$F69</formula>
    </cfRule>
    <cfRule type="cellIs" dxfId="2462" priority="40" stopIfTrue="1" operator="lessThanOrEqual">
      <formula>0</formula>
    </cfRule>
  </conditionalFormatting>
  <conditionalFormatting sqref="E78">
    <cfRule type="cellIs" dxfId="2461" priority="41" stopIfTrue="1" operator="lessThanOrEqual">
      <formula>0</formula>
    </cfRule>
  </conditionalFormatting>
  <conditionalFormatting sqref="E80:E88">
    <cfRule type="cellIs" dxfId="2460" priority="158" stopIfTrue="1" operator="greaterThan">
      <formula>4.5</formula>
    </cfRule>
    <cfRule type="cellIs" dxfId="2459" priority="159" stopIfTrue="1" operator="lessThanOrEqual">
      <formula>0</formula>
    </cfRule>
  </conditionalFormatting>
  <conditionalFormatting sqref="E53:F53 E52">
    <cfRule type="cellIs" dxfId="2458" priority="168" stopIfTrue="1" operator="lessThan">
      <formula>96.5</formula>
    </cfRule>
  </conditionalFormatting>
  <conditionalFormatting sqref="F10:F24">
    <cfRule type="cellIs" dxfId="2457" priority="9" operator="greaterThan">
      <formula>60</formula>
    </cfRule>
  </conditionalFormatting>
  <conditionalFormatting sqref="F53">
    <cfRule type="cellIs" dxfId="2456" priority="184" stopIfTrue="1" operator="lessThan">
      <formula>96.8</formula>
    </cfRule>
    <cfRule type="cellIs" dxfId="2455" priority="185" stopIfTrue="1" operator="greaterThan">
      <formula>100</formula>
    </cfRule>
  </conditionalFormatting>
  <conditionalFormatting sqref="G10:G19 M10:N23 H10:H24">
    <cfRule type="expression" dxfId="2454" priority="10">
      <formula>IF(+(IF(G10&lt;#REF!,0,IF(G10&gt;#REF!,0,1)))=0,1)</formula>
    </cfRule>
  </conditionalFormatting>
  <conditionalFormatting sqref="G23">
    <cfRule type="expression" dxfId="2453" priority="14">
      <formula>IF(+(IF(G23&lt;#REF!,0,IF(G23&gt;#REF!,0,1)))=0,1)</formula>
    </cfRule>
  </conditionalFormatting>
  <conditionalFormatting sqref="G24">
    <cfRule type="expression" dxfId="2452" priority="13">
      <formula>IF(+(IF(G24&lt;S24,0,IF(G24&gt;T24,0,1)))=0,1)</formula>
    </cfRule>
  </conditionalFormatting>
  <conditionalFormatting sqref="G69:G72 F78">
    <cfRule type="cellIs" dxfId="2451" priority="47" stopIfTrue="1" operator="greaterThan">
      <formula>$F69</formula>
    </cfRule>
    <cfRule type="cellIs" dxfId="2450" priority="48" stopIfTrue="1" operator="lessThanOrEqual">
      <formula>0</formula>
    </cfRule>
  </conditionalFormatting>
  <conditionalFormatting sqref="G71:G72">
    <cfRule type="cellIs" dxfId="2449" priority="34" stopIfTrue="1" operator="lessThanOrEqual">
      <formula>0</formula>
    </cfRule>
    <cfRule type="cellIs" dxfId="2448" priority="33" stopIfTrue="1" operator="greaterThan">
      <formula>$F71</formula>
    </cfRule>
  </conditionalFormatting>
  <conditionalFormatting sqref="G73:G77">
    <cfRule type="cellIs" dxfId="2447" priority="50" stopIfTrue="1" operator="lessThanOrEqual">
      <formula>0</formula>
    </cfRule>
    <cfRule type="cellIs" dxfId="2446" priority="49" stopIfTrue="1" operator="greaterThan">
      <formula>$J73</formula>
    </cfRule>
  </conditionalFormatting>
  <conditionalFormatting sqref="G74">
    <cfRule type="cellIs" dxfId="2445" priority="192" stopIfTrue="1" operator="greaterThan">
      <formula>$F69</formula>
    </cfRule>
    <cfRule type="cellIs" dxfId="2444" priority="193" stopIfTrue="1" operator="lessThanOrEqual">
      <formula>0</formula>
    </cfRule>
  </conditionalFormatting>
  <conditionalFormatting sqref="G82:G87 C85 C87">
    <cfRule type="cellIs" dxfId="2443" priority="182" stopIfTrue="1" operator="lessThanOrEqual">
      <formula>0</formula>
    </cfRule>
    <cfRule type="cellIs" dxfId="2442" priority="181" stopIfTrue="1" operator="greaterThan">
      <formula>4.5</formula>
    </cfRule>
  </conditionalFormatting>
  <conditionalFormatting sqref="G81:H81">
    <cfRule type="cellIs" dxfId="2441" priority="162" stopIfTrue="1" operator="greaterThan">
      <formula>$F$80</formula>
    </cfRule>
    <cfRule type="cellIs" dxfId="2440" priority="163" stopIfTrue="1" operator="lessThanOrEqual">
      <formula>0</formula>
    </cfRule>
  </conditionalFormatting>
  <conditionalFormatting sqref="H38:H39 H52">
    <cfRule type="cellIs" dxfId="2439" priority="160" stopIfTrue="1" operator="greaterThan">
      <formula>0</formula>
    </cfRule>
  </conditionalFormatting>
  <conditionalFormatting sqref="H56">
    <cfRule type="cellIs" dxfId="2438" priority="63" stopIfTrue="1" operator="greaterThan">
      <formula>$F$70</formula>
    </cfRule>
    <cfRule type="cellIs" dxfId="2437" priority="61" stopIfTrue="1" operator="greaterThan">
      <formula>$F$72</formula>
    </cfRule>
    <cfRule type="cellIs" dxfId="2436" priority="62" stopIfTrue="1" operator="lessThanOrEqual">
      <formula>0</formula>
    </cfRule>
    <cfRule type="cellIs" dxfId="2435" priority="52" stopIfTrue="1" operator="lessThanOrEqual">
      <formula>0</formula>
    </cfRule>
    <cfRule type="cellIs" dxfId="2434" priority="53" stopIfTrue="1" operator="greaterThan">
      <formula>$F$69</formula>
    </cfRule>
  </conditionalFormatting>
  <conditionalFormatting sqref="H56:H57">
    <cfRule type="cellIs" dxfId="2433" priority="64" stopIfTrue="1" operator="lessThanOrEqual">
      <formula>0</formula>
    </cfRule>
  </conditionalFormatting>
  <conditionalFormatting sqref="H57 H59:H60">
    <cfRule type="cellIs" dxfId="2432" priority="90" stopIfTrue="1" operator="lessThanOrEqual">
      <formula>0</formula>
    </cfRule>
  </conditionalFormatting>
  <conditionalFormatting sqref="H57">
    <cfRule type="cellIs" dxfId="2431" priority="87" stopIfTrue="1" operator="greaterThan">
      <formula>$F$72</formula>
    </cfRule>
    <cfRule type="cellIs" dxfId="2430" priority="79" stopIfTrue="1" operator="greaterThan">
      <formula>$F$69</formula>
    </cfRule>
    <cfRule type="cellIs" dxfId="2429" priority="89" stopIfTrue="1" operator="greaterThan">
      <formula>$F$70</formula>
    </cfRule>
    <cfRule type="cellIs" dxfId="2428" priority="88" stopIfTrue="1" operator="lessThanOrEqual">
      <formula>0</formula>
    </cfRule>
  </conditionalFormatting>
  <conditionalFormatting sqref="H58">
    <cfRule type="cellIs" dxfId="2427" priority="31" stopIfTrue="1" operator="lessThanOrEqual">
      <formula>0</formula>
    </cfRule>
    <cfRule type="cellIs" dxfId="2426" priority="30" stopIfTrue="1" operator="greaterThan">
      <formula>$F$72</formula>
    </cfRule>
    <cfRule type="cellIs" dxfId="2425" priority="28" stopIfTrue="1" operator="greaterThan">
      <formula>$F$74</formula>
    </cfRule>
    <cfRule type="cellIs" dxfId="2424" priority="20" stopIfTrue="1" operator="greaterThan">
      <formula>$F$71</formula>
    </cfRule>
    <cfRule type="cellIs" dxfId="2423" priority="19" stopIfTrue="1" operator="lessThanOrEqual">
      <formula>0</formula>
    </cfRule>
    <cfRule type="cellIs" dxfId="2422" priority="29" stopIfTrue="1" operator="lessThanOrEqual">
      <formula>0</formula>
    </cfRule>
  </conditionalFormatting>
  <conditionalFormatting sqref="H59:H60">
    <cfRule type="cellIs" dxfId="2421" priority="102" stopIfTrue="1" operator="greaterThan">
      <formula>$F$70</formula>
    </cfRule>
    <cfRule type="cellIs" dxfId="2420" priority="100" stopIfTrue="1" operator="greaterThan">
      <formula>$F$72</formula>
    </cfRule>
    <cfRule type="cellIs" dxfId="2419" priority="103" stopIfTrue="1" operator="lessThanOrEqual">
      <formula>0</formula>
    </cfRule>
    <cfRule type="cellIs" dxfId="2418" priority="92" stopIfTrue="1" operator="greaterThan">
      <formula>$F$69</formula>
    </cfRule>
    <cfRule type="cellIs" dxfId="2417" priority="101" stopIfTrue="1" operator="lessThanOrEqual">
      <formula>0</formula>
    </cfRule>
  </conditionalFormatting>
  <conditionalFormatting sqref="H61:H62">
    <cfRule type="cellIs" dxfId="2416" priority="128" stopIfTrue="1" operator="greaterThan">
      <formula>#REF!</formula>
    </cfRule>
    <cfRule type="cellIs" dxfId="2415" priority="127" stopIfTrue="1" operator="lessThanOrEqual">
      <formula>0</formula>
    </cfRule>
    <cfRule type="cellIs" dxfId="2414" priority="136" stopIfTrue="1" operator="greaterThan">
      <formula>#REF!</formula>
    </cfRule>
    <cfRule type="cellIs" dxfId="2413" priority="137" stopIfTrue="1" operator="lessThanOrEqual">
      <formula>0</formula>
    </cfRule>
  </conditionalFormatting>
  <conditionalFormatting sqref="H63">
    <cfRule type="cellIs" dxfId="2412" priority="150" stopIfTrue="1" operator="greaterThan">
      <formula>$F$38</formula>
    </cfRule>
    <cfRule type="cellIs" dxfId="2411" priority="139" stopIfTrue="1" operator="lessThanOrEqual">
      <formula>0</formula>
    </cfRule>
    <cfRule type="cellIs" dxfId="2410" priority="148" stopIfTrue="1" operator="greaterThan">
      <formula>$F$40</formula>
    </cfRule>
    <cfRule type="cellIs" dxfId="2409" priority="149" stopIfTrue="1" operator="lessThanOrEqual">
      <formula>0</formula>
    </cfRule>
    <cfRule type="cellIs" dxfId="2408" priority="140" stopIfTrue="1" operator="greaterThan">
      <formula>$F$37</formula>
    </cfRule>
    <cfRule type="cellIs" dxfId="2407" priority="151" stopIfTrue="1" operator="lessThanOrEqual">
      <formula>0</formula>
    </cfRule>
  </conditionalFormatting>
  <conditionalFormatting sqref="H64:H65">
    <cfRule type="cellIs" dxfId="2406" priority="116" stopIfTrue="1" operator="greaterThan">
      <formula>#REF!</formula>
    </cfRule>
    <cfRule type="cellIs" dxfId="2405" priority="115" stopIfTrue="1" operator="lessThanOrEqual">
      <formula>0</formula>
    </cfRule>
    <cfRule type="cellIs" dxfId="2404" priority="124" stopIfTrue="1" operator="greaterThan">
      <formula>#REF!</formula>
    </cfRule>
    <cfRule type="cellIs" dxfId="2403" priority="125" stopIfTrue="1" operator="lessThanOrEqual">
      <formula>0</formula>
    </cfRule>
  </conditionalFormatting>
  <conditionalFormatting sqref="H80 H82:H88">
    <cfRule type="cellIs" dxfId="2402" priority="175" stopIfTrue="1" operator="lessThanOrEqual">
      <formula>0</formula>
    </cfRule>
    <cfRule type="cellIs" dxfId="2401" priority="174" stopIfTrue="1" operator="greaterThan">
      <formula>4.5</formula>
    </cfRule>
  </conditionalFormatting>
  <conditionalFormatting sqref="H56:I56">
    <cfRule type="cellIs" dxfId="2400" priority="54" stopIfTrue="1" operator="lessThanOrEqual">
      <formula>0</formula>
    </cfRule>
  </conditionalFormatting>
  <conditionalFormatting sqref="H56:I57 H59:I60">
    <cfRule type="cellIs" dxfId="2399" priority="51" stopIfTrue="1" operator="greaterThan">
      <formula>$F$71</formula>
    </cfRule>
  </conditionalFormatting>
  <conditionalFormatting sqref="H57:I57">
    <cfRule type="cellIs" dxfId="2398" priority="80" stopIfTrue="1" operator="lessThanOrEqual">
      <formula>0</formula>
    </cfRule>
  </conditionalFormatting>
  <conditionalFormatting sqref="H58:I58">
    <cfRule type="cellIs" dxfId="2397" priority="21" stopIfTrue="1" operator="lessThanOrEqual">
      <formula>0</formula>
    </cfRule>
    <cfRule type="cellIs" dxfId="2396" priority="18" stopIfTrue="1" operator="greaterThan">
      <formula>$F$73</formula>
    </cfRule>
  </conditionalFormatting>
  <conditionalFormatting sqref="H59:I60">
    <cfRule type="cellIs" dxfId="2395" priority="93" stopIfTrue="1" operator="lessThanOrEqual">
      <formula>0</formula>
    </cfRule>
  </conditionalFormatting>
  <conditionalFormatting sqref="H61:I62">
    <cfRule type="cellIs" dxfId="2394" priority="134" stopIfTrue="1" operator="greaterThan">
      <formula>#REF!</formula>
    </cfRule>
    <cfRule type="cellIs" dxfId="2393" priority="135" stopIfTrue="1" operator="lessThanOrEqual">
      <formula>0</formula>
    </cfRule>
    <cfRule type="cellIs" dxfId="2392" priority="126" stopIfTrue="1" operator="greaterThan">
      <formula>#REF!</formula>
    </cfRule>
    <cfRule type="cellIs" dxfId="2391" priority="129" stopIfTrue="1" operator="lessThanOrEqual">
      <formula>0</formula>
    </cfRule>
  </conditionalFormatting>
  <conditionalFormatting sqref="H63:I63">
    <cfRule type="cellIs" dxfId="2390" priority="141" stopIfTrue="1" operator="lessThanOrEqual">
      <formula>0</formula>
    </cfRule>
    <cfRule type="cellIs" dxfId="2389" priority="138" stopIfTrue="1" operator="greaterThan">
      <formula>$F$39</formula>
    </cfRule>
  </conditionalFormatting>
  <conditionalFormatting sqref="H64:I65">
    <cfRule type="cellIs" dxfId="2388" priority="117" stopIfTrue="1" operator="lessThanOrEqual">
      <formula>0</formula>
    </cfRule>
    <cfRule type="cellIs" dxfId="2387" priority="123" stopIfTrue="1" operator="lessThanOrEqual">
      <formula>0</formula>
    </cfRule>
    <cfRule type="cellIs" dxfId="2386" priority="122" stopIfTrue="1" operator="greaterThan">
      <formula>#REF!</formula>
    </cfRule>
    <cfRule type="cellIs" dxfId="2385" priority="114" stopIfTrue="1" operator="greaterThan">
      <formula>#REF!</formula>
    </cfRule>
  </conditionalFormatting>
  <conditionalFormatting sqref="H69:I76">
    <cfRule type="cellIs" dxfId="2384" priority="36" stopIfTrue="1" operator="greaterThan">
      <formula>$J69</formula>
    </cfRule>
    <cfRule type="cellIs" dxfId="2383" priority="37" stopIfTrue="1" operator="lessThanOrEqual">
      <formula>0</formula>
    </cfRule>
  </conditionalFormatting>
  <conditionalFormatting sqref="H77:I77">
    <cfRule type="cellIs" dxfId="2382" priority="44" operator="greaterThan">
      <formula>5.3</formula>
    </cfRule>
  </conditionalFormatting>
  <conditionalFormatting sqref="H78:I78">
    <cfRule type="cellIs" dxfId="2381" priority="42" stopIfTrue="1" operator="greaterThan">
      <formula>$J78</formula>
    </cfRule>
    <cfRule type="cellIs" dxfId="2380" priority="43" stopIfTrue="1" operator="lessThanOrEqual">
      <formula>0</formula>
    </cfRule>
  </conditionalFormatting>
  <conditionalFormatting sqref="I56">
    <cfRule type="cellIs" dxfId="2379" priority="57" stopIfTrue="1" operator="greaterThan">
      <formula>$F$71</formula>
    </cfRule>
    <cfRule type="cellIs" dxfId="2378" priority="56" stopIfTrue="1" operator="lessThanOrEqual">
      <formula>0</formula>
    </cfRule>
    <cfRule type="cellIs" dxfId="2377" priority="55" stopIfTrue="1" operator="greaterThan">
      <formula>$F$69</formula>
    </cfRule>
    <cfRule type="cellIs" dxfId="2376" priority="60" stopIfTrue="1" operator="lessThanOrEqual">
      <formula>0</formula>
    </cfRule>
    <cfRule type="cellIs" dxfId="2375" priority="59" stopIfTrue="1" operator="greaterThan">
      <formula>$F$69</formula>
    </cfRule>
    <cfRule type="cellIs" dxfId="2374" priority="58" stopIfTrue="1" operator="lessThanOrEqual">
      <formula>0</formula>
    </cfRule>
  </conditionalFormatting>
  <conditionalFormatting sqref="I57">
    <cfRule type="cellIs" dxfId="2373" priority="82" stopIfTrue="1" operator="lessThanOrEqual">
      <formula>0</formula>
    </cfRule>
    <cfRule type="cellIs" dxfId="2372" priority="81" stopIfTrue="1" operator="greaterThan">
      <formula>$F$69</formula>
    </cfRule>
    <cfRule type="cellIs" dxfId="2371" priority="83" stopIfTrue="1" operator="greaterThan">
      <formula>$F$71</formula>
    </cfRule>
    <cfRule type="cellIs" dxfId="2370" priority="84" stopIfTrue="1" operator="lessThanOrEqual">
      <formula>0</formula>
    </cfRule>
    <cfRule type="cellIs" dxfId="2369" priority="86" stopIfTrue="1" operator="lessThanOrEqual">
      <formula>0</formula>
    </cfRule>
    <cfRule type="cellIs" dxfId="2368" priority="85" stopIfTrue="1" operator="greaterThan">
      <formula>$F$69</formula>
    </cfRule>
  </conditionalFormatting>
  <conditionalFormatting sqref="I58">
    <cfRule type="cellIs" dxfId="2367" priority="26" stopIfTrue="1" operator="greaterThan">
      <formula>$F$71</formula>
    </cfRule>
    <cfRule type="cellIs" dxfId="2366" priority="22" stopIfTrue="1" operator="greaterThan">
      <formula>$F$71</formula>
    </cfRule>
    <cfRule type="cellIs" dxfId="2365" priority="24" stopIfTrue="1" operator="greaterThan">
      <formula>$F$73</formula>
    </cfRule>
    <cfRule type="cellIs" dxfId="2364" priority="25" stopIfTrue="1" operator="lessThanOrEqual">
      <formula>0</formula>
    </cfRule>
    <cfRule type="cellIs" dxfId="2363" priority="27" stopIfTrue="1" operator="lessThanOrEqual">
      <formula>0</formula>
    </cfRule>
    <cfRule type="cellIs" dxfId="2362" priority="23" stopIfTrue="1" operator="lessThanOrEqual">
      <formula>0</formula>
    </cfRule>
  </conditionalFormatting>
  <conditionalFormatting sqref="I59:I60">
    <cfRule type="cellIs" dxfId="2361" priority="97" stopIfTrue="1" operator="lessThanOrEqual">
      <formula>0</formula>
    </cfRule>
    <cfRule type="cellIs" dxfId="2360" priority="98" stopIfTrue="1" operator="greaterThan">
      <formula>$F$69</formula>
    </cfRule>
    <cfRule type="cellIs" dxfId="2359" priority="96" stopIfTrue="1" operator="greaterThan">
      <formula>$F$71</formula>
    </cfRule>
    <cfRule type="cellIs" dxfId="2358" priority="95" stopIfTrue="1" operator="lessThanOrEqual">
      <formula>0</formula>
    </cfRule>
    <cfRule type="cellIs" dxfId="2357" priority="94" stopIfTrue="1" operator="greaterThan">
      <formula>$F$69</formula>
    </cfRule>
    <cfRule type="cellIs" dxfId="2356" priority="99" stopIfTrue="1" operator="lessThanOrEqual">
      <formula>0</formula>
    </cfRule>
  </conditionalFormatting>
  <conditionalFormatting sqref="I61:I62">
    <cfRule type="cellIs" dxfId="2355" priority="133" stopIfTrue="1" operator="lessThanOrEqual">
      <formula>0</formula>
    </cfRule>
    <cfRule type="cellIs" dxfId="2354" priority="132" stopIfTrue="1" operator="greaterThan">
      <formula>#REF!</formula>
    </cfRule>
    <cfRule type="cellIs" dxfId="2353" priority="131" stopIfTrue="1" operator="lessThanOrEqual">
      <formula>0</formula>
    </cfRule>
    <cfRule type="cellIs" dxfId="2352" priority="130" stopIfTrue="1" operator="greaterThan">
      <formula>#REF!</formula>
    </cfRule>
  </conditionalFormatting>
  <conditionalFormatting sqref="I63">
    <cfRule type="cellIs" dxfId="2351" priority="146" stopIfTrue="1" operator="greaterThan">
      <formula>$F$37</formula>
    </cfRule>
    <cfRule type="cellIs" dxfId="2350" priority="147" stopIfTrue="1" operator="lessThanOrEqual">
      <formula>0</formula>
    </cfRule>
    <cfRule type="cellIs" dxfId="2349" priority="142" stopIfTrue="1" operator="greaterThan">
      <formula>$F$37</formula>
    </cfRule>
    <cfRule type="cellIs" dxfId="2348" priority="143" stopIfTrue="1" operator="lessThanOrEqual">
      <formula>0</formula>
    </cfRule>
    <cfRule type="cellIs" dxfId="2347" priority="144" stopIfTrue="1" operator="greaterThan">
      <formula>$F$39</formula>
    </cfRule>
    <cfRule type="cellIs" dxfId="2346" priority="145" stopIfTrue="1" operator="lessThanOrEqual">
      <formula>0</formula>
    </cfRule>
  </conditionalFormatting>
  <conditionalFormatting sqref="I64:I65">
    <cfRule type="cellIs" dxfId="2345" priority="118" stopIfTrue="1" operator="greaterThan">
      <formula>#REF!</formula>
    </cfRule>
    <cfRule type="cellIs" dxfId="2344" priority="119" stopIfTrue="1" operator="lessThanOrEqual">
      <formula>0</formula>
    </cfRule>
    <cfRule type="cellIs" dxfId="2343" priority="120" stopIfTrue="1" operator="greaterThan">
      <formula>#REF!</formula>
    </cfRule>
    <cfRule type="cellIs" dxfId="2342" priority="121" stopIfTrue="1" operator="lessThanOrEqual">
      <formula>0</formula>
    </cfRule>
  </conditionalFormatting>
  <conditionalFormatting sqref="I80:I88">
    <cfRule type="cellIs" dxfId="2341" priority="170" stopIfTrue="1" operator="greaterThan">
      <formula>4.5</formula>
    </cfRule>
    <cfRule type="cellIs" dxfId="2340" priority="171" stopIfTrue="1" operator="lessThanOrEqual">
      <formula>0</formula>
    </cfRule>
  </conditionalFormatting>
  <conditionalFormatting sqref="I10:J24">
    <cfRule type="cellIs" dxfId="2339" priority="2" operator="lessThan">
      <formula>97.9</formula>
    </cfRule>
  </conditionalFormatting>
  <conditionalFormatting sqref="J27:J29">
    <cfRule type="cellIs" dxfId="2338" priority="17" operator="lessThan">
      <formula>97.95</formula>
    </cfRule>
  </conditionalFormatting>
  <conditionalFormatting sqref="J28:J31">
    <cfRule type="cellIs" dxfId="2337" priority="152" operator="lessThan">
      <formula>97.4</formula>
    </cfRule>
  </conditionalFormatting>
  <conditionalFormatting sqref="J32:J33">
    <cfRule type="cellIs" dxfId="2336" priority="153" operator="lessThan">
      <formula>98</formula>
    </cfRule>
  </conditionalFormatting>
  <conditionalFormatting sqref="J34:J35">
    <cfRule type="cellIs" dxfId="2335" priority="155" stopIfTrue="1" operator="greaterThan">
      <formula>100</formula>
    </cfRule>
    <cfRule type="cellIs" dxfId="2334" priority="154" stopIfTrue="1" operator="lessThan">
      <formula>96.8</formula>
    </cfRule>
  </conditionalFormatting>
  <conditionalFormatting sqref="J34:J36">
    <cfRule type="cellIs" dxfId="2333" priority="156" operator="lessThan">
      <formula>98</formula>
    </cfRule>
  </conditionalFormatting>
  <conditionalFormatting sqref="J65">
    <cfRule type="cellIs" dxfId="2332" priority="106" stopIfTrue="1" operator="greaterThan">
      <formula>#REF!</formula>
    </cfRule>
    <cfRule type="cellIs" dxfId="2331" priority="107" stopIfTrue="1" operator="lessThanOrEqual">
      <formula>0</formula>
    </cfRule>
    <cfRule type="cellIs" dxfId="2330" priority="108" stopIfTrue="1" operator="greaterThan">
      <formula>#REF!</formula>
    </cfRule>
    <cfRule type="cellIs" dxfId="2329" priority="109" stopIfTrue="1" operator="lessThanOrEqual">
      <formula>0</formula>
    </cfRule>
    <cfRule type="cellIs" dxfId="2328" priority="110" stopIfTrue="1" operator="greaterThan">
      <formula>#REF!</formula>
    </cfRule>
    <cfRule type="cellIs" dxfId="2327" priority="111" stopIfTrue="1" operator="lessThanOrEqual">
      <formula>0</formula>
    </cfRule>
    <cfRule type="cellIs" dxfId="2326" priority="112" stopIfTrue="1" operator="greaterThan">
      <formula>#REF!</formula>
    </cfRule>
    <cfRule type="cellIs" dxfId="2325" priority="113" stopIfTrue="1" operator="lessThanOrEqual">
      <formula>0</formula>
    </cfRule>
  </conditionalFormatting>
  <conditionalFormatting sqref="J78">
    <cfRule type="cellIs" dxfId="2324" priority="45" stopIfTrue="1" operator="greaterThan">
      <formula>$F78</formula>
    </cfRule>
    <cfRule type="cellIs" dxfId="2323" priority="46" stopIfTrue="1" operator="lessThanOrEqual">
      <formula>0</formula>
    </cfRule>
  </conditionalFormatting>
  <conditionalFormatting sqref="K10:K24">
    <cfRule type="cellIs" dxfId="2322" priority="5" operator="greaterThan">
      <formula>6.4</formula>
    </cfRule>
    <cfRule type="cellIs" dxfId="2321" priority="3" operator="greaterThan">
      <formula>6</formula>
    </cfRule>
    <cfRule type="cellIs" dxfId="2320" priority="4" operator="lessThan">
      <formula>4</formula>
    </cfRule>
  </conditionalFormatting>
  <conditionalFormatting sqref="K56:K65">
    <cfRule type="cellIs" dxfId="2319" priority="91" stopIfTrue="1" operator="lessThan">
      <formula>100%</formula>
    </cfRule>
  </conditionalFormatting>
  <conditionalFormatting sqref="K69:K77">
    <cfRule type="cellIs" dxfId="2318" priority="35" stopIfTrue="1" operator="lessThan">
      <formula>100%</formula>
    </cfRule>
  </conditionalFormatting>
  <conditionalFormatting sqref="K80:K85">
    <cfRule type="cellIs" dxfId="2317" priority="176" stopIfTrue="1" operator="lessThan">
      <formula>100%</formula>
    </cfRule>
  </conditionalFormatting>
  <conditionalFormatting sqref="K87:K88">
    <cfRule type="cellIs" dxfId="2316" priority="183" stopIfTrue="1" operator="lessThan">
      <formula>100%</formula>
    </cfRule>
  </conditionalFormatting>
  <conditionalFormatting sqref="L10:L24">
    <cfRule type="cellIs" dxfId="2315" priority="7" operator="greaterThan">
      <formula>65</formula>
    </cfRule>
    <cfRule type="cellIs" dxfId="2314" priority="6" operator="between">
      <formula>61</formula>
      <formula>65</formula>
    </cfRule>
  </conditionalFormatting>
  <conditionalFormatting sqref="L27:M38">
    <cfRule type="cellIs" dxfId="2313" priority="16" operator="lessThan">
      <formula>97.95</formula>
    </cfRule>
  </conditionalFormatting>
  <conditionalFormatting sqref="L42:N42">
    <cfRule type="cellIs" dxfId="2312" priority="15" operator="notEqual">
      <formula>#REF!</formula>
    </cfRule>
  </conditionalFormatting>
  <conditionalFormatting sqref="L69:N78">
    <cfRule type="cellIs" dxfId="2311" priority="32" stopIfTrue="1" operator="lessThan">
      <formula>100%</formula>
    </cfRule>
  </conditionalFormatting>
  <conditionalFormatting sqref="L80:N88">
    <cfRule type="cellIs" dxfId="2310" priority="161" stopIfTrue="1" operator="lessThan">
      <formula>100%</formula>
    </cfRule>
  </conditionalFormatting>
  <conditionalFormatting sqref="M24">
    <cfRule type="expression" dxfId="2309" priority="12">
      <formula>IF(+(IF(M24&lt;U24,0,IF(M24&gt;V24,0,1)))=0,1)</formula>
    </cfRule>
  </conditionalFormatting>
  <conditionalFormatting sqref="N10:N24">
    <cfRule type="expression" dxfId="2308" priority="11">
      <formula>IF(+(IF(N10&lt;W10,0,IF(N10&gt;X10,0,1)))=0,1)</formula>
    </cfRule>
  </conditionalFormatting>
  <conditionalFormatting sqref="P6">
    <cfRule type="cellIs" dxfId="2307" priority="157" operator="greaterThanOrEqual">
      <formula>19</formula>
    </cfRule>
  </conditionalFormatting>
  <dataValidations count="1">
    <dataValidation type="list" allowBlank="1" showInputMessage="1" showErrorMessage="1" sqref="R8" xr:uid="{5617642F-5465-4040-A6E8-0A559BC0D6F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D59C-9B94-4D63-B3A3-C4E1A66ED3E5}">
  <sheetPr>
    <pageSetUpPr fitToPage="1"/>
  </sheetPr>
  <dimension ref="A1:BE85"/>
  <sheetViews>
    <sheetView topLeftCell="A4" zoomScale="85" zoomScaleNormal="85" workbookViewId="0">
      <selection activeCell="B13" sqref="B13:O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46302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29" t="s">
        <v>6</v>
      </c>
      <c r="C10" s="366" t="str">
        <f>[3]Brewhouse!$A805</f>
        <v>CA755</v>
      </c>
      <c r="D10" s="279">
        <f>[3]Brewhouse!$AF805</f>
        <v>47</v>
      </c>
      <c r="E10" s="279">
        <f>[3]Brewhouse!$AI805</f>
        <v>48.3</v>
      </c>
      <c r="F10" s="278">
        <f>[3]Brewhouse!$V805</f>
        <v>60</v>
      </c>
      <c r="G10" s="279">
        <f>[3]Brewhouse!AG805</f>
        <v>11.9</v>
      </c>
      <c r="H10" s="396">
        <v>11.8</v>
      </c>
      <c r="I10" s="368">
        <f>[3]Brewhouse!$AU805</f>
        <v>95.339517540422776</v>
      </c>
      <c r="J10" s="368">
        <f>[3]Brewhouse!$AV805</f>
        <v>96.189962817201078</v>
      </c>
      <c r="K10" s="281">
        <f>[3]Brewhouse!$Q805</f>
        <v>14.296296296296292</v>
      </c>
      <c r="L10" s="276">
        <f>[3]Brewhouse!$P805</f>
        <v>60</v>
      </c>
      <c r="M10" s="374">
        <f>[3]Brewhouse!$U805-[3]Brewhouse!$T805</f>
        <v>0.11874999999999999</v>
      </c>
      <c r="N10" s="370">
        <f>[3]Brewhouse!$Z805</f>
        <v>0.26666666666666666</v>
      </c>
      <c r="O10" s="419" t="str">
        <f>[3]Brewhouse!$AX805</f>
        <v>K. Benjamin</v>
      </c>
      <c r="P10" s="417"/>
      <c r="R10" s="277" t="str">
        <f t="shared" ref="R10:R12" si="0">B10</f>
        <v>CARIB</v>
      </c>
      <c r="S10" s="471">
        <f t="shared" ref="S10:S45" si="1">VLOOKUP($B10,$R$3:$X$9,2,FALSE)</f>
        <v>11.6</v>
      </c>
      <c r="T10" s="471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471">
        <f t="shared" ref="Z10:Z45" si="8">VLOOKUP($B10,$R$3:$Z$9,9,FALSE)</f>
        <v>60</v>
      </c>
    </row>
    <row r="11" spans="2:29" ht="15" customHeight="1">
      <c r="B11" s="29" t="s">
        <v>6</v>
      </c>
      <c r="C11" s="366" t="str">
        <f>[3]Brewhouse!$A806</f>
        <v>CA756</v>
      </c>
      <c r="D11" s="279">
        <f>[3]Brewhouse!$AF806</f>
        <v>49.9</v>
      </c>
      <c r="E11" s="279">
        <f>[3]Brewhouse!$AI806</f>
        <v>50.4</v>
      </c>
      <c r="F11" s="278">
        <f>[3]Brewhouse!$V806</f>
        <v>63</v>
      </c>
      <c r="G11" s="279">
        <f>[3]Brewhouse!AG806</f>
        <v>11.6</v>
      </c>
      <c r="H11" s="396">
        <v>11.7</v>
      </c>
      <c r="I11" s="368">
        <f>[3]Brewhouse!$AU806</f>
        <v>96.968036957171023</v>
      </c>
      <c r="J11" s="368">
        <f>[3]Brewhouse!$AV806</f>
        <v>97.83295193865905</v>
      </c>
      <c r="K11" s="281">
        <f>[3]Brewhouse!$Q806</f>
        <v>9.0942698706099847</v>
      </c>
      <c r="L11" s="276">
        <f>[3]Brewhouse!$P806</f>
        <v>57</v>
      </c>
      <c r="M11" s="374">
        <f>[3]Brewhouse!$U806-[3]Brewhouse!$T806</f>
        <v>0.1111111111111111</v>
      </c>
      <c r="N11" s="370">
        <f>[3]Brewhouse!$Z806</f>
        <v>0.27499999999999997</v>
      </c>
      <c r="O11" s="419" t="str">
        <f>[3]Brewhouse!$AX806</f>
        <v>K. Benjamin</v>
      </c>
      <c r="P11" s="417"/>
      <c r="R11" s="277" t="str">
        <f t="shared" si="0"/>
        <v>CARIB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29" t="s">
        <v>6</v>
      </c>
      <c r="C12" s="366" t="str">
        <f>[3]Brewhouse!$A807</f>
        <v>CA757</v>
      </c>
      <c r="D12" s="279">
        <f>[3]Brewhouse!$AF807</f>
        <v>49.9</v>
      </c>
      <c r="E12" s="279">
        <f>[3]Brewhouse!$AI807</f>
        <v>50.4</v>
      </c>
      <c r="F12" s="278">
        <f>[3]Brewhouse!$V807</f>
        <v>61</v>
      </c>
      <c r="G12" s="279">
        <f>[3]Brewhouse!AG807</f>
        <v>11.8</v>
      </c>
      <c r="H12" s="493"/>
      <c r="I12" s="368">
        <f>[3]Brewhouse!$AU807</f>
        <v>98.118953814827094</v>
      </c>
      <c r="J12" s="368">
        <f>[3]Brewhouse!$AV807</f>
        <v>98.994421335445963</v>
      </c>
      <c r="K12" s="281">
        <f>[3]Brewhouse!$Q807</f>
        <v>9.0942698706099847</v>
      </c>
      <c r="L12" s="276">
        <f>[3]Brewhouse!$P807</f>
        <v>59</v>
      </c>
      <c r="M12" s="374">
        <f>[3]Brewhouse!$U807-[3]Brewhouse!$T807</f>
        <v>0.10625000000000001</v>
      </c>
      <c r="N12" s="370">
        <f>[3]Brewhouse!$Z807</f>
        <v>0.26388888888888895</v>
      </c>
      <c r="O12" s="419" t="str">
        <f>[3]Brewhouse!$AX807</f>
        <v>K. Benjamin</v>
      </c>
      <c r="P12" s="417"/>
      <c r="R12" s="277" t="str">
        <f t="shared" si="0"/>
        <v>CARIB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29" t="s">
        <v>6</v>
      </c>
      <c r="C13" s="366" t="str">
        <f>[3]Brewhouse!$A808</f>
        <v>CA758</v>
      </c>
      <c r="D13" s="279">
        <f>[3]Brewhouse!$AF808</f>
        <v>50.1</v>
      </c>
      <c r="E13" s="279">
        <f>[3]Brewhouse!$AI808</f>
        <v>50.7</v>
      </c>
      <c r="F13" s="278">
        <f>[3]Brewhouse!$V808</f>
        <v>61</v>
      </c>
      <c r="G13" s="279">
        <f>[3]Brewhouse!AG808</f>
        <v>11.6</v>
      </c>
      <c r="H13" s="396">
        <v>11.7</v>
      </c>
      <c r="I13" s="368">
        <f>[3]Brewhouse!$AU808</f>
        <v>97.30356117947872</v>
      </c>
      <c r="J13" s="368">
        <f>[3]Brewhouse!$AV808</f>
        <v>98.171583101883058</v>
      </c>
      <c r="K13" s="281">
        <f>[3]Brewhouse!$Q808</f>
        <v>8.7245841035120115</v>
      </c>
      <c r="L13" s="276">
        <f>[3]Brewhouse!$P808</f>
        <v>59</v>
      </c>
      <c r="M13" s="374">
        <f>[3]Brewhouse!$U808-[3]Brewhouse!$T808</f>
        <v>0.11736111111111114</v>
      </c>
      <c r="N13" s="370">
        <f>[3]Brewhouse!$Z808</f>
        <v>0.27847222222222223</v>
      </c>
      <c r="O13" s="419" t="str">
        <f>[3]Brewhouse!$AX808</f>
        <v>D. Gomaz</v>
      </c>
      <c r="P13" s="417"/>
      <c r="R13" s="277" t="str">
        <f t="shared" ref="R13:R30" si="9">B13</f>
        <v>CARIB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29"/>
      <c r="C14" s="366"/>
      <c r="D14" s="279"/>
      <c r="E14" s="279"/>
      <c r="F14" s="278"/>
      <c r="G14" s="279"/>
      <c r="H14" s="490"/>
      <c r="I14" s="368"/>
      <c r="J14" s="368"/>
      <c r="K14" s="281"/>
      <c r="L14" s="276"/>
      <c r="M14" s="374"/>
      <c r="N14" s="370"/>
      <c r="O14" s="419"/>
      <c r="P14" s="417"/>
      <c r="R14" s="277">
        <f t="shared" si="9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hidden="1" customHeight="1">
      <c r="B15" s="29"/>
      <c r="C15" s="366"/>
      <c r="D15" s="279"/>
      <c r="E15" s="279"/>
      <c r="F15" s="278"/>
      <c r="G15" s="279"/>
      <c r="H15" s="490"/>
      <c r="I15" s="368"/>
      <c r="J15" s="368"/>
      <c r="K15" s="281"/>
      <c r="L15" s="276"/>
      <c r="M15" s="374"/>
      <c r="N15" s="370"/>
      <c r="O15" s="419"/>
      <c r="P15" s="417"/>
      <c r="R15" s="277">
        <f t="shared" si="9"/>
        <v>0</v>
      </c>
      <c r="S15" s="471" t="e">
        <f t="shared" si="1"/>
        <v>#N/A</v>
      </c>
      <c r="T15" s="471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1" t="e">
        <f t="shared" si="8"/>
        <v>#N/A</v>
      </c>
    </row>
    <row r="16" spans="2:29" ht="15" customHeight="1">
      <c r="B16" s="33" t="s">
        <v>9</v>
      </c>
      <c r="C16" s="366" t="str">
        <f>[4]Brewhouse!$A392</f>
        <v>ST333</v>
      </c>
      <c r="D16" s="279">
        <f>[4]Brewhouse!$AB392</f>
        <v>53.2</v>
      </c>
      <c r="E16" s="279">
        <f>[4]Brewhouse!$AG392</f>
        <v>49.7</v>
      </c>
      <c r="F16" s="278">
        <f>[4]Brewhouse!$V392</f>
        <v>61</v>
      </c>
      <c r="G16" s="279">
        <f>[4]Brewhouse!$AE392</f>
        <v>11.6</v>
      </c>
      <c r="H16" s="396">
        <v>11.6</v>
      </c>
      <c r="I16" s="368">
        <f>[4]Brewhouse!$AS392</f>
        <v>96.764214336728287</v>
      </c>
      <c r="J16" s="368">
        <f>[4]Brewhouse!$AT392</f>
        <v>97.389696666641669</v>
      </c>
      <c r="K16" s="281">
        <f>[4]Brewhouse!$Q392</f>
        <v>11.983082706766917</v>
      </c>
      <c r="L16" s="276">
        <f>[4]Brewhouse!$P392</f>
        <v>58</v>
      </c>
      <c r="M16" s="374">
        <f>[4]Brewhouse!$U392-[4]Brewhouse!$T392</f>
        <v>0.11180555555555549</v>
      </c>
      <c r="N16" s="370">
        <f>[4]Brewhouse!$AW392</f>
        <v>0.27777777777777768</v>
      </c>
      <c r="O16" s="419" t="str">
        <f>[4]Brewhouse!$AV392</f>
        <v>R.Sookram</v>
      </c>
      <c r="P16" s="417"/>
      <c r="R16" s="277" t="str">
        <f t="shared" si="9"/>
        <v>STAG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2:26" ht="15" customHeight="1">
      <c r="B17" s="33" t="s">
        <v>9</v>
      </c>
      <c r="C17" s="366" t="str">
        <f>[4]Brewhouse!$A393</f>
        <v>ST334</v>
      </c>
      <c r="D17" s="279">
        <f>[4]Brewhouse!$AB393</f>
        <v>53</v>
      </c>
      <c r="E17" s="279">
        <f>[4]Brewhouse!$AG393</f>
        <v>49.7</v>
      </c>
      <c r="F17" s="278">
        <f>[4]Brewhouse!$V393</f>
        <v>61</v>
      </c>
      <c r="G17" s="279">
        <f>[4]Brewhouse!$AE393</f>
        <v>11.9</v>
      </c>
      <c r="H17" s="396">
        <v>11.9</v>
      </c>
      <c r="I17" s="368">
        <f>[4]Brewhouse!$AS393</f>
        <v>98.288600505062334</v>
      </c>
      <c r="J17" s="368">
        <f>[4]Brewhouse!$AT393</f>
        <v>98.925798193130305</v>
      </c>
      <c r="K17" s="281">
        <f>[4]Brewhouse!$Q393</f>
        <v>10.896226415094338</v>
      </c>
      <c r="L17" s="276">
        <f>[4]Brewhouse!$P393</f>
        <v>58</v>
      </c>
      <c r="M17" s="374">
        <f>[4]Brewhouse!$U393-[4]Brewhouse!$T393</f>
        <v>0.11388888888888882</v>
      </c>
      <c r="N17" s="370">
        <f>[4]Brewhouse!$AW393</f>
        <v>0.28263888888888888</v>
      </c>
      <c r="O17" s="419" t="str">
        <f>[4]Brewhouse!$AV393</f>
        <v>R.Sookram</v>
      </c>
      <c r="P17" s="417"/>
      <c r="R17" s="277" t="str">
        <f t="shared" si="9"/>
        <v>STAG</v>
      </c>
      <c r="S17" s="471">
        <f t="shared" si="1"/>
        <v>11.6</v>
      </c>
      <c r="T17" s="471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1">
        <f t="shared" si="8"/>
        <v>60</v>
      </c>
    </row>
    <row r="18" spans="2:26" ht="15" customHeight="1">
      <c r="B18" s="33" t="s">
        <v>9</v>
      </c>
      <c r="C18" s="366" t="str">
        <f>[4]Brewhouse!$A394</f>
        <v>ST335</v>
      </c>
      <c r="D18" s="279">
        <f>[4]Brewhouse!$AB394</f>
        <v>53.1</v>
      </c>
      <c r="E18" s="279">
        <f>[4]Brewhouse!$AG394</f>
        <v>48.7</v>
      </c>
      <c r="F18" s="278">
        <f>[4]Brewhouse!$V394</f>
        <v>55</v>
      </c>
      <c r="G18" s="279">
        <f>[4]Brewhouse!$AE394</f>
        <v>11.8</v>
      </c>
      <c r="H18" s="490">
        <v>12.1</v>
      </c>
      <c r="I18" s="368">
        <f>[4]Brewhouse!$AS394</f>
        <v>97.025470988738689</v>
      </c>
      <c r="J18" s="368">
        <f>[4]Brewhouse!$AT394</f>
        <v>97.651811894321455</v>
      </c>
      <c r="K18" s="281">
        <f>[4]Brewhouse!$Q394</f>
        <v>10.875706214689263</v>
      </c>
      <c r="L18" s="276">
        <f>[4]Brewhouse!$P394</f>
        <v>59</v>
      </c>
      <c r="M18" s="374">
        <f>[4]Brewhouse!$U394-[4]Brewhouse!$T394</f>
        <v>0.11736111111111114</v>
      </c>
      <c r="N18" s="370">
        <f>[4]Brewhouse!$AW394</f>
        <v>0.29236111111111118</v>
      </c>
      <c r="O18" s="419" t="str">
        <f>[4]Brewhouse!$AV394</f>
        <v>R.Sookram</v>
      </c>
      <c r="P18" s="417"/>
      <c r="R18" s="277" t="str">
        <f t="shared" si="9"/>
        <v>STAG</v>
      </c>
      <c r="S18" s="471">
        <f t="shared" si="1"/>
        <v>11.6</v>
      </c>
      <c r="T18" s="471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1">
        <f t="shared" si="8"/>
        <v>60</v>
      </c>
    </row>
    <row r="19" spans="2:26" ht="15" customHeight="1">
      <c r="B19" s="33" t="s">
        <v>9</v>
      </c>
      <c r="C19" s="366" t="str">
        <f>[4]Brewhouse!$A395</f>
        <v>ST336</v>
      </c>
      <c r="D19" s="279">
        <f>[4]Brewhouse!$AB395</f>
        <v>53</v>
      </c>
      <c r="E19" s="279">
        <f>[4]Brewhouse!$AG395</f>
        <v>49.2</v>
      </c>
      <c r="F19" s="278">
        <f>[4]Brewhouse!$V395</f>
        <v>59</v>
      </c>
      <c r="G19" s="279">
        <f>[4]Brewhouse!$AE395</f>
        <v>11.8</v>
      </c>
      <c r="H19" s="490">
        <v>12.1</v>
      </c>
      <c r="I19" s="368">
        <f>[4]Brewhouse!$AS395</f>
        <v>97.898131022692681</v>
      </c>
      <c r="J19" s="368">
        <f>[4]Brewhouse!$AT395</f>
        <v>98.530315524604035</v>
      </c>
      <c r="K19" s="281">
        <f>[4]Brewhouse!$Q395</f>
        <v>9.3867924528301909</v>
      </c>
      <c r="L19" s="276">
        <f>[4]Brewhouse!$P395</f>
        <v>60</v>
      </c>
      <c r="M19" s="374">
        <f>[4]Brewhouse!$U395-[4]Brewhouse!$T395</f>
        <v>0.11458333333333326</v>
      </c>
      <c r="N19" s="370">
        <f>[4]Brewhouse!$AW395</f>
        <v>0.28749999999999998</v>
      </c>
      <c r="O19" s="419" t="str">
        <f>[4]Brewhouse!$AV395</f>
        <v>R.Sookram</v>
      </c>
      <c r="P19" s="417"/>
      <c r="R19" s="277" t="str">
        <f t="shared" si="9"/>
        <v>STAG</v>
      </c>
      <c r="S19" s="471">
        <f t="shared" si="1"/>
        <v>11.6</v>
      </c>
      <c r="T19" s="471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1">
        <f t="shared" si="8"/>
        <v>60</v>
      </c>
    </row>
    <row r="20" spans="2:26" ht="15" customHeight="1">
      <c r="B20" s="33" t="s">
        <v>9</v>
      </c>
      <c r="C20" s="366" t="str">
        <f>[4]Brewhouse!$A396</f>
        <v>ST337</v>
      </c>
      <c r="D20" s="279">
        <f>[4]Brewhouse!$AB396</f>
        <v>53</v>
      </c>
      <c r="E20" s="279">
        <f>[4]Brewhouse!$AG396</f>
        <v>49.1</v>
      </c>
      <c r="F20" s="278">
        <f>[4]Brewhouse!$V396</f>
        <v>59</v>
      </c>
      <c r="G20" s="279">
        <f>[4]Brewhouse!$AE396</f>
        <v>11.7</v>
      </c>
      <c r="H20" s="490">
        <v>12.1</v>
      </c>
      <c r="I20" s="368">
        <f>[4]Brewhouse!$AS396</f>
        <v>96.950396118265601</v>
      </c>
      <c r="J20" s="368">
        <f>[4]Brewhouse!$AT396</f>
        <v>97.57625238345571</v>
      </c>
      <c r="K20" s="281">
        <f>[4]Brewhouse!$Q396</f>
        <v>9.3867924528301909</v>
      </c>
      <c r="L20" s="276">
        <f>[4]Brewhouse!$P396</f>
        <v>60</v>
      </c>
      <c r="M20" s="374">
        <f>[4]Brewhouse!$U396-[4]Brewhouse!$T396</f>
        <v>0.13750000000000018</v>
      </c>
      <c r="N20" s="370">
        <f>[4]Brewhouse!$AW396</f>
        <v>0.30208333333333348</v>
      </c>
      <c r="O20" s="419" t="str">
        <f>[4]Brewhouse!$AV396</f>
        <v>R.Sookram</v>
      </c>
      <c r="P20" s="417"/>
      <c r="R20" s="277" t="str">
        <f t="shared" si="9"/>
        <v>STAG</v>
      </c>
      <c r="S20" s="471">
        <f t="shared" si="1"/>
        <v>11.6</v>
      </c>
      <c r="T20" s="471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1">
        <f t="shared" si="8"/>
        <v>60</v>
      </c>
    </row>
    <row r="21" spans="2:26" ht="15" customHeight="1">
      <c r="B21" s="33"/>
      <c r="C21" s="366"/>
      <c r="D21" s="279"/>
      <c r="E21" s="279"/>
      <c r="F21" s="278"/>
      <c r="G21" s="279"/>
      <c r="H21" s="490"/>
      <c r="I21" s="368"/>
      <c r="J21" s="368"/>
      <c r="K21" s="281"/>
      <c r="L21" s="276"/>
      <c r="M21" s="374"/>
      <c r="N21" s="370"/>
      <c r="O21" s="419"/>
      <c r="P21" s="417"/>
      <c r="R21" s="277">
        <f t="shared" si="9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2:26" ht="15" hidden="1" customHeight="1">
      <c r="B22" s="29"/>
      <c r="C22" s="366"/>
      <c r="D22" s="279"/>
      <c r="E22" s="279"/>
      <c r="F22" s="278"/>
      <c r="G22" s="279"/>
      <c r="H22" s="490"/>
      <c r="I22" s="368"/>
      <c r="J22" s="368"/>
      <c r="K22" s="281"/>
      <c r="L22" s="276"/>
      <c r="M22" s="374"/>
      <c r="N22" s="370"/>
      <c r="O22" s="419"/>
      <c r="P22" s="417"/>
      <c r="R22" s="277">
        <f t="shared" si="9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2:26" ht="15" hidden="1" customHeight="1">
      <c r="B23" s="29"/>
      <c r="C23" s="366"/>
      <c r="D23" s="279"/>
      <c r="E23" s="279"/>
      <c r="F23" s="278"/>
      <c r="G23" s="279"/>
      <c r="H23" s="490"/>
      <c r="I23" s="368"/>
      <c r="J23" s="368"/>
      <c r="K23" s="281"/>
      <c r="L23" s="276"/>
      <c r="M23" s="374"/>
      <c r="N23" s="370"/>
      <c r="O23" s="419"/>
      <c r="P23" s="417"/>
      <c r="R23" s="277">
        <f t="shared" si="9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2:26" ht="15" hidden="1" customHeight="1">
      <c r="B24" s="29"/>
      <c r="C24" s="366"/>
      <c r="D24" s="279"/>
      <c r="E24" s="279"/>
      <c r="F24" s="278"/>
      <c r="G24" s="279"/>
      <c r="H24" s="490"/>
      <c r="I24" s="368"/>
      <c r="J24" s="368"/>
      <c r="K24" s="281"/>
      <c r="L24" s="276"/>
      <c r="M24" s="374"/>
      <c r="N24" s="370"/>
      <c r="O24" s="419"/>
      <c r="P24" s="417"/>
      <c r="R24" s="277">
        <f t="shared" si="9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2:26" ht="1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419"/>
      <c r="P25" s="417"/>
      <c r="R25" s="277">
        <f t="shared" si="9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2:26" ht="1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19"/>
      <c r="P26" s="417"/>
      <c r="R26" s="277">
        <f t="shared" si="9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2:26" ht="15" hidden="1" customHeight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19"/>
      <c r="P27" s="417"/>
      <c r="R27" s="277">
        <f t="shared" si="9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2:26" ht="15" hidden="1" customHeight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19"/>
      <c r="P28" s="417"/>
      <c r="R28" s="277">
        <f t="shared" si="9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2:26" ht="15" hidden="1" customHeight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19"/>
      <c r="P29" s="417"/>
      <c r="R29" s="277">
        <f t="shared" si="9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2:26" ht="1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419"/>
      <c r="P30" s="417"/>
      <c r="R30" s="277">
        <f t="shared" si="9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2:26" ht="15" hidden="1" customHeight="1">
      <c r="B31" s="36"/>
      <c r="C31" s="366"/>
      <c r="D31" s="279"/>
      <c r="E31" s="279"/>
      <c r="F31" s="278"/>
      <c r="G31" s="279"/>
      <c r="H31" s="396"/>
      <c r="I31" s="487"/>
      <c r="J31" s="487"/>
      <c r="K31" s="488"/>
      <c r="L31" s="276"/>
      <c r="M31" s="374"/>
      <c r="N31" s="370"/>
      <c r="O31" s="419"/>
      <c r="P31" s="417"/>
      <c r="R31" s="277">
        <f t="shared" ref="R31:R45" si="10">B31</f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2:26" ht="17.25" customHeight="1" thickBot="1">
      <c r="B32" s="358"/>
      <c r="C32" s="358"/>
      <c r="D32" s="358"/>
      <c r="E32" s="358"/>
      <c r="F32" s="294"/>
      <c r="G32" s="294"/>
      <c r="H32" s="348"/>
      <c r="I32" s="570"/>
      <c r="J32" s="570"/>
      <c r="K32" s="570"/>
      <c r="L32" s="570"/>
      <c r="M32" s="570"/>
      <c r="N32" s="570"/>
      <c r="O32" s="1"/>
      <c r="P32" s="12"/>
      <c r="R32" s="277">
        <f t="shared" si="1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</row>
    <row r="33" spans="1:27" ht="17.25" customHeight="1" thickBot="1">
      <c r="B33" s="482" t="s">
        <v>162</v>
      </c>
      <c r="C33" s="388"/>
      <c r="D33" s="540" t="s">
        <v>35</v>
      </c>
      <c r="E33" s="541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10"/>
        <v xml:space="preserve">BRAND 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</row>
    <row r="34" spans="1:27" ht="17.25" customHeight="1">
      <c r="A34" s="28"/>
      <c r="B34" s="594"/>
      <c r="C34" s="483"/>
      <c r="D34" s="527"/>
      <c r="E34" s="528"/>
      <c r="F34" s="294"/>
      <c r="G34" s="294"/>
      <c r="H34" s="348"/>
      <c r="I34" s="29" t="s">
        <v>6</v>
      </c>
      <c r="J34" s="323">
        <f>AVERAGE(I10:I13)</f>
        <v>96.9325173729749</v>
      </c>
      <c r="K34" s="284">
        <f>COUNTA([3]Brewhouse!$A$789:$A$808)</f>
        <v>20</v>
      </c>
      <c r="L34" s="305">
        <f>AVERAGE([3]Brewhouse!$AU$789:$AU$808)</f>
        <v>97.589415567513441</v>
      </c>
      <c r="M3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$808)</f>
        <v>98.311550250952394</v>
      </c>
      <c r="N34" s="30">
        <v>98</v>
      </c>
      <c r="O34" s="11"/>
      <c r="P34" s="31"/>
      <c r="R34" s="277">
        <f t="shared" si="1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</row>
    <row r="35" spans="1:27" ht="15" customHeight="1">
      <c r="A35" s="28"/>
      <c r="B35" s="572"/>
      <c r="C35" s="362"/>
      <c r="D35" s="529"/>
      <c r="E35" s="530"/>
      <c r="F35" s="294"/>
      <c r="G35" s="294"/>
      <c r="H35" s="348"/>
      <c r="I35" s="33" t="s">
        <v>9</v>
      </c>
      <c r="J35" s="323">
        <f>AVERAGE(I16:I20)</f>
        <v>97.385362594297504</v>
      </c>
      <c r="K35" s="284">
        <f>COUNTA([4]Brewhouse!$A$390:$A$396)</f>
        <v>7</v>
      </c>
      <c r="L35" s="302">
        <f>AVERAGE([4]Brewhouse!$AS$390:$AS$396)</f>
        <v>97.862957873137887</v>
      </c>
      <c r="M3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$396)</f>
        <v>98.300965311584662</v>
      </c>
      <c r="N35" s="30">
        <v>98</v>
      </c>
      <c r="O35" s="11"/>
      <c r="P35" s="31"/>
      <c r="R35" s="277">
        <f t="shared" si="1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</row>
    <row r="36" spans="1:27" ht="14.65" customHeight="1">
      <c r="A36" s="28"/>
      <c r="B36" s="572"/>
      <c r="C36" s="362"/>
      <c r="D36" s="534"/>
      <c r="E36" s="535"/>
      <c r="F36" s="294"/>
      <c r="G36" s="294"/>
      <c r="H36" s="348"/>
      <c r="I36" s="34" t="s">
        <v>12</v>
      </c>
      <c r="J36" s="323"/>
      <c r="K36" s="284"/>
      <c r="L36" s="302"/>
      <c r="M36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36" s="30">
        <v>98</v>
      </c>
      <c r="O36" s="11"/>
      <c r="P36" s="31"/>
      <c r="R36" s="277">
        <f t="shared" si="10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</row>
    <row r="37" spans="1:27" ht="14.65" customHeight="1">
      <c r="A37" s="28"/>
      <c r="B37" s="572"/>
      <c r="C37" s="362"/>
      <c r="D37" s="536"/>
      <c r="E37" s="530"/>
      <c r="F37" s="294"/>
      <c r="G37" s="294"/>
      <c r="H37" s="348"/>
      <c r="I37" s="22" t="s">
        <v>33</v>
      </c>
      <c r="J37" s="280"/>
      <c r="K37" s="284"/>
      <c r="L37" s="302"/>
      <c r="M37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7" s="30">
        <v>98</v>
      </c>
      <c r="O37" s="11"/>
      <c r="P37" s="31"/>
      <c r="R37" s="277">
        <f t="shared" si="10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</row>
    <row r="38" spans="1:27" ht="14.65" customHeight="1">
      <c r="A38" s="28"/>
      <c r="B38" s="572"/>
      <c r="C38" s="362"/>
      <c r="D38" s="534"/>
      <c r="E38" s="535"/>
      <c r="F38" s="294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10"/>
        <v>0</v>
      </c>
      <c r="S38" s="471" t="e">
        <f t="shared" si="1"/>
        <v>#N/A</v>
      </c>
      <c r="T38" s="471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1" t="e">
        <f t="shared" si="8"/>
        <v>#N/A</v>
      </c>
    </row>
    <row r="39" spans="1:27" ht="14.65" customHeight="1">
      <c r="A39" s="28"/>
      <c r="B39" s="572"/>
      <c r="C39" s="362"/>
      <c r="D39" s="536"/>
      <c r="E39" s="530"/>
      <c r="F39" s="416"/>
      <c r="G39" s="294"/>
      <c r="H39" s="348"/>
      <c r="I39" s="36" t="s">
        <v>15</v>
      </c>
      <c r="J39" s="323"/>
      <c r="K39" s="284"/>
      <c r="L39" s="302"/>
      <c r="M39" s="302">
        <f>AVERAGE([7]Brewhouse!$AT$4:$AT$11,[7]Brewhouse!$AT$13:$AT$16,[7]Brewhouse!$AT$18:$AT$30)</f>
        <v>93.22262799886262</v>
      </c>
      <c r="N39" s="30">
        <v>98</v>
      </c>
      <c r="O39" s="11"/>
      <c r="P39" s="31"/>
      <c r="R39" s="277">
        <f t="shared" si="10"/>
        <v>0</v>
      </c>
      <c r="S39" s="471" t="e">
        <f t="shared" si="1"/>
        <v>#N/A</v>
      </c>
      <c r="T39" s="471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1" t="e">
        <f t="shared" si="8"/>
        <v>#N/A</v>
      </c>
    </row>
    <row r="40" spans="1:27" ht="14.65" customHeight="1">
      <c r="A40" s="28"/>
      <c r="B40" s="572"/>
      <c r="C40" s="362"/>
      <c r="D40" s="534"/>
      <c r="E40" s="535"/>
      <c r="F40" s="416"/>
      <c r="G40" s="294"/>
      <c r="H40" s="348"/>
      <c r="I40" s="37" t="s">
        <v>16</v>
      </c>
      <c r="J40" s="323"/>
      <c r="K40" s="284"/>
      <c r="L40" s="302"/>
      <c r="M40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40" s="30">
        <v>98</v>
      </c>
      <c r="O40" s="11"/>
      <c r="P40" s="31" t="s">
        <v>41</v>
      </c>
      <c r="R40" s="277">
        <f t="shared" si="10"/>
        <v>0</v>
      </c>
      <c r="S40" s="471" t="e">
        <f t="shared" si="1"/>
        <v>#N/A</v>
      </c>
      <c r="T40" s="471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1" t="e">
        <f t="shared" si="8"/>
        <v>#N/A</v>
      </c>
    </row>
    <row r="41" spans="1:27" ht="14.65" customHeight="1">
      <c r="A41" s="28"/>
      <c r="B41" s="572"/>
      <c r="C41" s="362"/>
      <c r="D41" s="536"/>
      <c r="E41" s="530"/>
      <c r="F41" s="294"/>
      <c r="G41" s="294"/>
      <c r="H41" s="348"/>
      <c r="I41" s="410" t="s">
        <v>158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10"/>
        <v>0</v>
      </c>
      <c r="S41" s="471" t="e">
        <f t="shared" si="1"/>
        <v>#N/A</v>
      </c>
      <c r="T41" s="471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1" t="e">
        <f t="shared" si="8"/>
        <v>#N/A</v>
      </c>
    </row>
    <row r="42" spans="1:27" ht="14.65" customHeight="1">
      <c r="A42" s="28"/>
      <c r="B42" s="572"/>
      <c r="C42" s="362"/>
      <c r="D42" s="534"/>
      <c r="E42" s="535"/>
      <c r="F42" s="294"/>
      <c r="G42" s="294"/>
      <c r="H42" s="348"/>
      <c r="I42" s="409" t="s">
        <v>157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10"/>
        <v>0</v>
      </c>
      <c r="S42" s="471" t="e">
        <f t="shared" si="1"/>
        <v>#N/A</v>
      </c>
      <c r="T42" s="471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1" t="e">
        <f t="shared" si="8"/>
        <v>#N/A</v>
      </c>
      <c r="AA42" s="471"/>
    </row>
    <row r="43" spans="1:27" ht="15" customHeight="1" thickBot="1">
      <c r="A43" s="28"/>
      <c r="B43" s="572"/>
      <c r="C43" s="362"/>
      <c r="D43" s="536"/>
      <c r="E43" s="530"/>
      <c r="F43" s="294"/>
      <c r="G43" s="294"/>
      <c r="H43" s="348"/>
      <c r="I43" s="405" t="s">
        <v>156</v>
      </c>
      <c r="J43" s="327"/>
      <c r="K43" s="406"/>
      <c r="L43" s="407"/>
      <c r="M43" s="407"/>
      <c r="N43" s="408">
        <v>98</v>
      </c>
      <c r="O43" s="11"/>
      <c r="P43" s="31"/>
      <c r="R43" s="277">
        <f t="shared" si="10"/>
        <v>0</v>
      </c>
      <c r="S43" s="471" t="e">
        <f t="shared" si="1"/>
        <v>#N/A</v>
      </c>
      <c r="T43" s="471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1" t="e">
        <f t="shared" si="8"/>
        <v>#N/A</v>
      </c>
      <c r="AA43" s="471"/>
    </row>
    <row r="44" spans="1:27" ht="15" customHeight="1" thickBot="1">
      <c r="A44" s="28"/>
      <c r="B44" s="572"/>
      <c r="C44" s="349"/>
      <c r="D44" s="527"/>
      <c r="E44" s="528"/>
      <c r="F44" s="294"/>
      <c r="G44" s="294"/>
      <c r="H44" s="348"/>
      <c r="I44" s="1"/>
      <c r="J44" s="39"/>
      <c r="K44" s="403">
        <f>SUM(K34:K43)</f>
        <v>27</v>
      </c>
      <c r="L44" s="404">
        <f>((L34*K34)+(L35*K35)+(L36*K36)+(L37*K37)+(L38*K38)+(K41*L41)+(L39*K39)+(L40*K40)+(L43*K43))/(K44)</f>
        <v>97.6603339430457</v>
      </c>
      <c r="M44" s="404">
        <f>AVERAGE('[9]Jan30th-31st'!$L$42,'[10]Feb 27th-28th'!$L$45,'[11]Mar 31st'!$L$42,'[12]Apr 30th'!$L$41,'[13]May 29th '!$L$35,'[14]June 30th'!$L$32,[15]July31st!$L$36,'[16]Aug 31st'!$L$32,L44)</f>
        <v>97.943018986773154</v>
      </c>
      <c r="N44" s="40">
        <v>98</v>
      </c>
      <c r="O44" s="11"/>
      <c r="P44" s="31"/>
      <c r="R44" s="277">
        <f t="shared" si="10"/>
        <v>0</v>
      </c>
      <c r="S44" s="471" t="e">
        <f t="shared" si="1"/>
        <v>#N/A</v>
      </c>
      <c r="T44" s="471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1" t="e">
        <f t="shared" si="8"/>
        <v>#N/A</v>
      </c>
      <c r="AA44" s="471"/>
    </row>
    <row r="45" spans="1:27" ht="15.75" thickBot="1">
      <c r="B45" s="595"/>
      <c r="C45" s="350"/>
      <c r="D45" s="529"/>
      <c r="E45" s="530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10"/>
        <v>0</v>
      </c>
      <c r="S45" s="471" t="e">
        <f t="shared" si="1"/>
        <v>#N/A</v>
      </c>
      <c r="T45" s="471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1" t="e">
        <f t="shared" si="8"/>
        <v>#N/A</v>
      </c>
      <c r="AA45" s="471"/>
    </row>
    <row r="46" spans="1:27" ht="15.75" thickBot="1">
      <c r="B46" s="524"/>
      <c r="C46" s="362"/>
      <c r="D46" s="527"/>
      <c r="E46" s="528"/>
      <c r="F46" s="294"/>
      <c r="G46" s="42"/>
      <c r="H46" s="41"/>
      <c r="I46" s="42"/>
      <c r="J46" s="531" t="s">
        <v>129</v>
      </c>
      <c r="K46" s="531"/>
      <c r="L46" s="294"/>
      <c r="M46" s="294"/>
      <c r="N46" s="294"/>
      <c r="O46" s="294"/>
      <c r="P46" s="12"/>
    </row>
    <row r="47" spans="1:27" ht="15.75" thickBot="1">
      <c r="B47" s="525"/>
      <c r="C47" s="362"/>
      <c r="D47" s="529"/>
      <c r="E47" s="530"/>
      <c r="F47" s="294"/>
      <c r="G47" s="42"/>
      <c r="H47" s="42"/>
      <c r="I47" s="42"/>
      <c r="J47" s="292" t="s">
        <v>17</v>
      </c>
      <c r="K47" s="293"/>
      <c r="L47" s="532" t="s">
        <v>136</v>
      </c>
      <c r="M47" s="532"/>
      <c r="N47" s="533"/>
      <c r="O47" s="294"/>
      <c r="P47" s="12"/>
    </row>
    <row r="48" spans="1:27" ht="15" customHeight="1" thickBot="1">
      <c r="B48" s="525"/>
      <c r="C48" s="349"/>
      <c r="D48" s="534"/>
      <c r="E48" s="535"/>
      <c r="F48" s="294"/>
      <c r="G48" s="42"/>
      <c r="H48" s="42"/>
      <c r="I48" s="42"/>
      <c r="J48" s="287" t="s">
        <v>6</v>
      </c>
      <c r="K48" s="324">
        <v>4</v>
      </c>
      <c r="L48" s="472" t="s">
        <v>37</v>
      </c>
      <c r="M48" s="473" t="s">
        <v>38</v>
      </c>
      <c r="N48" s="473" t="s">
        <v>84</v>
      </c>
      <c r="O48" s="294"/>
      <c r="P48" s="12"/>
    </row>
    <row r="49" spans="2:57" ht="15.75" customHeight="1" thickBot="1">
      <c r="B49" s="525"/>
      <c r="C49" s="349"/>
      <c r="D49" s="536"/>
      <c r="E49" s="530"/>
      <c r="F49" s="294"/>
      <c r="G49" s="42"/>
      <c r="H49" s="42"/>
      <c r="I49" s="42"/>
      <c r="J49" s="345" t="s">
        <v>9</v>
      </c>
      <c r="K49" s="324">
        <v>5</v>
      </c>
      <c r="L49" s="484">
        <f>AVERAGE('Oct 1st'!K52,'Oct 2nd'!K44,'Oct 5th'!K51,K58)</f>
        <v>6.75</v>
      </c>
      <c r="M49" s="485">
        <f>AVERAGE('[9]Jan30th-31st'!$L$47,L49,'[10]Feb 26th '!$L$39,'[11]Mar 31st'!$L$47,'[12]Apr 30th'!$L$46,'[13]May 29th '!$L$40,'[14]June 30th'!$L$39,[15]July31st!$L$41,'[16]Aug 31st'!$L$37,'[18]Sept 30th'!$L$37)</f>
        <v>6.5485341470124068</v>
      </c>
      <c r="N49" s="415">
        <v>9.1999999999999993</v>
      </c>
      <c r="O49" s="294"/>
      <c r="P49" s="12"/>
    </row>
    <row r="50" spans="2:57" ht="15" customHeight="1">
      <c r="B50" s="525"/>
      <c r="C50" s="349"/>
      <c r="D50" s="534"/>
      <c r="E50" s="535"/>
      <c r="F50" s="294"/>
      <c r="G50" s="42"/>
      <c r="H50" s="42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25"/>
      <c r="C51" s="349"/>
      <c r="D51" s="536"/>
      <c r="E51" s="530"/>
      <c r="F51" s="294"/>
      <c r="G51" s="42"/>
      <c r="H51" s="42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25"/>
      <c r="C52" s="349"/>
      <c r="D52" s="534"/>
      <c r="E52" s="535"/>
      <c r="F52" s="294"/>
      <c r="G52" s="42"/>
      <c r="H52" s="42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5"/>
      <c r="C53" s="349"/>
      <c r="D53" s="536"/>
      <c r="E53" s="530"/>
      <c r="F53" s="294"/>
      <c r="G53" s="42"/>
      <c r="H53" s="42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25"/>
      <c r="C54" s="349"/>
      <c r="D54" s="534"/>
      <c r="E54" s="535"/>
      <c r="F54" s="294"/>
      <c r="G54" s="42"/>
      <c r="H54" s="42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26"/>
      <c r="C55" s="350"/>
      <c r="D55" s="537"/>
      <c r="E55" s="538"/>
      <c r="F55" s="294" t="s">
        <v>165</v>
      </c>
      <c r="G55" s="42"/>
      <c r="H55" s="42"/>
      <c r="I55" s="42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15"/>
      <c r="E56" s="516"/>
      <c r="F56" s="294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42"/>
      <c r="J58" s="346" t="s">
        <v>130</v>
      </c>
      <c r="K58" s="324">
        <f>SUM(K48:K57)</f>
        <v>9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42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09" t="s">
        <v>17</v>
      </c>
      <c r="C61" s="509" t="s">
        <v>44</v>
      </c>
      <c r="D61" s="518" t="s">
        <v>45</v>
      </c>
      <c r="E61" s="520" t="s">
        <v>46</v>
      </c>
      <c r="F61" s="522" t="s">
        <v>47</v>
      </c>
      <c r="G61" s="507" t="s">
        <v>48</v>
      </c>
      <c r="H61" s="509" t="s">
        <v>49</v>
      </c>
      <c r="I61" s="509" t="s">
        <v>50</v>
      </c>
      <c r="J61" s="501" t="s">
        <v>28</v>
      </c>
      <c r="K61" s="511" t="s">
        <v>51</v>
      </c>
      <c r="L61" s="513" t="s">
        <v>52</v>
      </c>
      <c r="M61" s="501" t="s">
        <v>53</v>
      </c>
      <c r="N61" s="13"/>
      <c r="O61" s="13"/>
      <c r="P61" s="50"/>
    </row>
    <row r="62" spans="2:57" ht="28.5" customHeight="1" thickTop="1" thickBot="1">
      <c r="B62" s="510"/>
      <c r="C62" s="517"/>
      <c r="D62" s="519"/>
      <c r="E62" s="521"/>
      <c r="F62" s="523"/>
      <c r="G62" s="508"/>
      <c r="H62" s="510"/>
      <c r="I62" s="510"/>
      <c r="J62" s="502"/>
      <c r="K62" s="512"/>
      <c r="L62" s="514"/>
      <c r="M62" s="502"/>
      <c r="N62" s="13"/>
      <c r="O62" s="13"/>
      <c r="P62" s="50"/>
      <c r="Q62" s="355"/>
      <c r="AB62" s="474">
        <v>43474</v>
      </c>
      <c r="AC62" s="474">
        <v>43475</v>
      </c>
      <c r="AD62" s="474">
        <v>43476</v>
      </c>
      <c r="AE62" s="474">
        <v>43477</v>
      </c>
      <c r="AF62" s="474">
        <v>43478</v>
      </c>
      <c r="AG62" s="474">
        <v>43479</v>
      </c>
      <c r="AH62" s="474">
        <v>43480</v>
      </c>
      <c r="AI62" s="474">
        <v>43481</v>
      </c>
      <c r="AJ62" s="474">
        <v>43482</v>
      </c>
      <c r="AK62" s="474">
        <v>43483</v>
      </c>
      <c r="AL62" s="474">
        <v>43484</v>
      </c>
      <c r="AM62" s="474">
        <v>43485</v>
      </c>
      <c r="AN62" s="474">
        <v>43486</v>
      </c>
      <c r="AO62" s="474">
        <v>43487</v>
      </c>
      <c r="AP62" s="474">
        <v>43488</v>
      </c>
      <c r="AQ62" s="474">
        <v>43489</v>
      </c>
      <c r="AR62" s="474">
        <v>43490</v>
      </c>
      <c r="AS62" s="474">
        <v>43491</v>
      </c>
      <c r="AT62" s="474">
        <v>43492</v>
      </c>
      <c r="AU62" s="474">
        <v>43493</v>
      </c>
      <c r="AV62" s="474">
        <v>43494</v>
      </c>
      <c r="AW62" s="474">
        <v>43495</v>
      </c>
      <c r="AX62" s="474">
        <v>43496</v>
      </c>
    </row>
    <row r="63" spans="2:57" s="54" customFormat="1" ht="36.75" customHeight="1" thickBot="1">
      <c r="B63" s="455" t="str">
        <f>J48</f>
        <v>CARIB</v>
      </c>
      <c r="C63" s="478">
        <v>46301</v>
      </c>
      <c r="D63" s="444">
        <f>[19]October_2026!$I$3</f>
        <v>399.7</v>
      </c>
      <c r="E63" s="442"/>
      <c r="F63" s="443"/>
      <c r="G63" s="443">
        <f>[19]October_2026!$I$7</f>
        <v>379.9</v>
      </c>
      <c r="H63" s="457"/>
      <c r="I63" s="457"/>
      <c r="J63" s="447" t="s">
        <v>150</v>
      </c>
      <c r="K63" s="448">
        <f>[20]October_2026!$I$18</f>
        <v>1.3329824561403507</v>
      </c>
      <c r="L63" s="456">
        <f>(((D63+E63)-G63)/(D63+E63))*100</f>
        <v>4.9537152864648517</v>
      </c>
      <c r="M63" s="49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[21]January_2019!L5</f>
        <v>0</v>
      </c>
      <c r="AC63" s="57">
        <f>[21]January_2019!M5</f>
        <v>0</v>
      </c>
      <c r="AD63" s="57">
        <f>[21]January_2019!N5</f>
        <v>0</v>
      </c>
      <c r="AE63" s="57">
        <f>[21]January_2019!O5</f>
        <v>0</v>
      </c>
      <c r="AF63" s="57">
        <f>[21]January_2019!P5</f>
        <v>0</v>
      </c>
      <c r="AG63" s="57">
        <f>[21]January_2019!Q5</f>
        <v>0</v>
      </c>
      <c r="AH63" s="57">
        <f>[21]January_2019!R5</f>
        <v>0</v>
      </c>
      <c r="AI63" s="57">
        <f>[21]January_2019!S5</f>
        <v>0</v>
      </c>
      <c r="AJ63" s="57">
        <f>[21]January_2019!T5</f>
        <v>0</v>
      </c>
      <c r="AK63" s="57">
        <f>[21]January_2019!U5</f>
        <v>0</v>
      </c>
      <c r="AL63" s="57">
        <f>[21]January_2019!V5</f>
        <v>0</v>
      </c>
      <c r="AM63" s="57">
        <f>[21]January_2019!W5</f>
        <v>0</v>
      </c>
      <c r="AN63" s="57">
        <f>[21]January_2019!X5</f>
        <v>0</v>
      </c>
      <c r="AO63" s="57">
        <f>[21]January_2019!Y5</f>
        <v>0</v>
      </c>
      <c r="AP63" s="57">
        <f>[21]January_2019!Z5</f>
        <v>0</v>
      </c>
      <c r="AQ63" s="57">
        <f>[21]January_2019!AA5</f>
        <v>0</v>
      </c>
      <c r="AR63" s="57">
        <f>[21]January_2019!AB5</f>
        <v>0</v>
      </c>
      <c r="AS63" s="57">
        <f>[21]January_2019!AC5</f>
        <v>0</v>
      </c>
      <c r="AT63" s="57">
        <f>[21]January_2019!AD5</f>
        <v>0</v>
      </c>
      <c r="AU63" s="57">
        <f>[21]January_2019!AE5</f>
        <v>0</v>
      </c>
      <c r="AV63" s="57">
        <f>[21]January_2019!AF5</f>
        <v>0</v>
      </c>
      <c r="AW63" s="57">
        <f>[21]January_2019!AG5</f>
        <v>0</v>
      </c>
      <c r="AX63" s="277">
        <f>[21]January_2019!AH5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4.25" customHeight="1" thickBot="1">
      <c r="B64" s="479"/>
      <c r="C64" s="478"/>
      <c r="D64" s="441"/>
      <c r="E64" s="442"/>
      <c r="F64" s="443"/>
      <c r="G64" s="444"/>
      <c r="H64" s="457"/>
      <c r="I64" s="457"/>
      <c r="J64" s="475"/>
      <c r="K64" s="448"/>
      <c r="L64" s="456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[21]January_2019!L6</f>
        <v>0</v>
      </c>
      <c r="AC64" s="57">
        <f>[21]January_2019!M6</f>
        <v>0</v>
      </c>
      <c r="AD64" s="57">
        <f>[21]January_2019!N6</f>
        <v>0</v>
      </c>
      <c r="AE64" s="57">
        <f>[21]January_2019!O6</f>
        <v>0</v>
      </c>
      <c r="AF64" s="57">
        <f>[21]January_2019!P6</f>
        <v>0</v>
      </c>
      <c r="AG64" s="57">
        <f>[21]January_2019!Q6</f>
        <v>0</v>
      </c>
      <c r="AH64" s="57">
        <f>[21]January_2019!R6</f>
        <v>0</v>
      </c>
      <c r="AI64" s="57">
        <f>[21]January_2019!S6</f>
        <v>0</v>
      </c>
      <c r="AJ64" s="57">
        <f>[21]January_2019!T6</f>
        <v>0</v>
      </c>
      <c r="AK64" s="57">
        <f>[21]January_2019!U6</f>
        <v>0</v>
      </c>
      <c r="AL64" s="57">
        <f>[21]January_2019!V6</f>
        <v>0</v>
      </c>
      <c r="AM64" s="57">
        <f>[21]January_2019!W6</f>
        <v>0</v>
      </c>
      <c r="AN64" s="57">
        <f>[21]January_2019!X6</f>
        <v>0</v>
      </c>
      <c r="AO64" s="57">
        <f>[21]January_2019!Y6</f>
        <v>0</v>
      </c>
      <c r="AP64" s="57">
        <f>[21]January_2019!Z6</f>
        <v>0</v>
      </c>
      <c r="AQ64" s="57">
        <f>[21]January_2019!AA6</f>
        <v>0</v>
      </c>
      <c r="AR64" s="57">
        <f>[21]January_2019!AB6</f>
        <v>0</v>
      </c>
      <c r="AS64" s="57">
        <f>[21]January_2019!AC6</f>
        <v>0</v>
      </c>
      <c r="AT64" s="57">
        <f>[21]January_2019!AD6</f>
        <v>0</v>
      </c>
      <c r="AU64" s="57">
        <f>[21]January_2019!AE6</f>
        <v>0</v>
      </c>
      <c r="AV64" s="57">
        <f>[21]January_2019!AF6</f>
        <v>0</v>
      </c>
      <c r="AW64" s="57">
        <f>[21]January_2019!AG6</f>
        <v>0</v>
      </c>
      <c r="AX64" s="277">
        <f>[21]January_2019!AH6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55" t="str">
        <f>J48</f>
        <v>CARIB</v>
      </c>
      <c r="C65" s="478">
        <v>46301</v>
      </c>
      <c r="D65" s="441"/>
      <c r="E65" s="442"/>
      <c r="F65" s="443"/>
      <c r="G65" s="443"/>
      <c r="H65" s="445"/>
      <c r="I65" s="445"/>
      <c r="J65" s="447" t="s">
        <v>150</v>
      </c>
      <c r="K65" s="448"/>
      <c r="L65" s="456" t="e">
        <f>(((D65+E65)-G65)/(D65+E65))*100</f>
        <v>#DIV/0!</v>
      </c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[21]January_2019!L7</f>
        <v>285.8</v>
      </c>
      <c r="AC65" s="57">
        <f>[21]January_2019!M7</f>
        <v>508.1</v>
      </c>
      <c r="AD65" s="57">
        <f>[21]January_2019!N7</f>
        <v>0</v>
      </c>
      <c r="AE65" s="57">
        <f>[21]January_2019!O7</f>
        <v>0</v>
      </c>
      <c r="AF65" s="57">
        <f>[21]January_2019!P7</f>
        <v>109.56666666666666</v>
      </c>
      <c r="AG65" s="57">
        <f>[21]January_2019!Q7</f>
        <v>297.64999999999998</v>
      </c>
      <c r="AH65" s="57">
        <f>[21]January_2019!R7</f>
        <v>122.3</v>
      </c>
      <c r="AI65" s="57">
        <f>[21]January_2019!S7</f>
        <v>0</v>
      </c>
      <c r="AJ65" s="57">
        <f>[21]January_2019!T7</f>
        <v>294.7</v>
      </c>
      <c r="AK65" s="57">
        <f>[21]January_2019!U7</f>
        <v>280.5</v>
      </c>
      <c r="AL65" s="57">
        <f>[21]January_2019!V7</f>
        <v>0</v>
      </c>
      <c r="AM65" s="57">
        <f>[21]January_2019!W7</f>
        <v>0</v>
      </c>
      <c r="AN65" s="57">
        <f>[21]January_2019!X7</f>
        <v>188.25</v>
      </c>
      <c r="AO65" s="57">
        <f>[21]January_2019!Y7</f>
        <v>295.7</v>
      </c>
      <c r="AP65" s="57">
        <f>[21]January_2019!Z7</f>
        <v>257.8</v>
      </c>
      <c r="AQ65" s="57">
        <f>[21]January_2019!AA7</f>
        <v>291.2</v>
      </c>
      <c r="AR65" s="57">
        <f>[21]January_2019!AB7</f>
        <v>187</v>
      </c>
      <c r="AS65" s="57">
        <f>[21]January_2019!AC7</f>
        <v>0</v>
      </c>
      <c r="AT65" s="57">
        <f>[21]January_2019!AD7</f>
        <v>0</v>
      </c>
      <c r="AU65" s="57">
        <f>[21]January_2019!AE7</f>
        <v>485.1</v>
      </c>
      <c r="AV65" s="57">
        <f>[21]January_2019!AF7</f>
        <v>171.55</v>
      </c>
      <c r="AW65" s="57">
        <f>[21]January_2019!AG7</f>
        <v>423.8</v>
      </c>
      <c r="AX65" s="277">
        <f>[21]January_2019!AH7</f>
        <v>0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18.600000000000001" hidden="1" customHeight="1" thickBot="1">
      <c r="B66" s="477"/>
      <c r="C66" s="429"/>
      <c r="D66" s="430"/>
      <c r="E66" s="431"/>
      <c r="F66" s="432"/>
      <c r="G66" s="433"/>
      <c r="H66" s="457"/>
      <c r="I66" s="457"/>
      <c r="J66" s="450"/>
      <c r="K66" s="435"/>
      <c r="L66" s="451"/>
      <c r="M66" s="42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8.65" hidden="1" customHeight="1" thickBot="1">
      <c r="B67" s="486"/>
      <c r="C67" s="478"/>
      <c r="D67" s="441"/>
      <c r="E67" s="442"/>
      <c r="F67" s="443"/>
      <c r="G67" s="444"/>
      <c r="H67" s="457"/>
      <c r="I67" s="457"/>
      <c r="J67" s="447"/>
      <c r="K67" s="458"/>
      <c r="L67" s="456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5" hidden="1">
      <c r="B68" s="452"/>
      <c r="C68" s="429"/>
      <c r="D68" s="430"/>
      <c r="E68" s="431"/>
      <c r="F68" s="432"/>
      <c r="G68" s="433"/>
      <c r="H68" s="434"/>
      <c r="I68" s="449"/>
      <c r="J68" s="450"/>
      <c r="K68" s="435"/>
      <c r="L68" s="451"/>
      <c r="M68" s="42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hidden="1" customHeight="1" thickBot="1">
      <c r="B69" s="480"/>
      <c r="C69" s="478"/>
      <c r="D69" s="441"/>
      <c r="E69" s="442"/>
      <c r="F69" s="443"/>
      <c r="G69" s="444"/>
      <c r="H69" s="445"/>
      <c r="I69" s="446"/>
      <c r="J69" s="447"/>
      <c r="K69" s="448"/>
      <c r="L69" s="456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16.5" hidden="1" customHeight="1" thickBot="1">
      <c r="B70" s="436"/>
      <c r="C70" s="422"/>
      <c r="D70" s="423"/>
      <c r="E70" s="424"/>
      <c r="F70" s="425"/>
      <c r="G70" s="426"/>
      <c r="H70" s="427"/>
      <c r="I70" s="437"/>
      <c r="J70" s="438"/>
      <c r="K70" s="428"/>
      <c r="L70" s="439"/>
      <c r="M70" s="421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414"/>
      <c r="AC70" s="414"/>
      <c r="AD70" s="414"/>
      <c r="AE70" s="414"/>
      <c r="AF70" s="414"/>
      <c r="AG70" s="414"/>
      <c r="AH70" s="414"/>
      <c r="AI70" s="414"/>
      <c r="AJ70" s="414"/>
      <c r="AK70" s="414"/>
      <c r="AL70" s="414"/>
      <c r="AM70" s="414"/>
      <c r="AN70" s="414"/>
      <c r="AO70" s="414"/>
      <c r="AP70" s="414"/>
      <c r="AQ70" s="414"/>
      <c r="AR70" s="414"/>
      <c r="AS70" s="414"/>
      <c r="AT70" s="414"/>
      <c r="AU70" s="414"/>
      <c r="AV70" s="414"/>
      <c r="AW70" s="414"/>
    </row>
    <row r="71" spans="2:57" s="54" customFormat="1" ht="37.15" hidden="1" customHeight="1" thickBot="1">
      <c r="B71" s="455"/>
      <c r="C71" s="440"/>
      <c r="D71" s="441"/>
      <c r="E71" s="442"/>
      <c r="F71" s="443"/>
      <c r="G71" s="444"/>
      <c r="H71" s="445"/>
      <c r="I71" s="446"/>
      <c r="J71" s="447"/>
      <c r="K71" s="448"/>
      <c r="L71" s="456"/>
      <c r="M71" s="453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s="54" customFormat="1" ht="37.15" customHeight="1">
      <c r="B72" s="465"/>
      <c r="C72" s="429"/>
      <c r="D72" s="459"/>
      <c r="E72" s="460"/>
      <c r="F72" s="461"/>
      <c r="G72" s="459"/>
      <c r="H72" s="462"/>
      <c r="I72" s="462"/>
      <c r="J72" s="462"/>
      <c r="K72" s="463"/>
      <c r="L72" s="464"/>
      <c r="M72" s="50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ht="18" customHeight="1" thickBot="1">
      <c r="B73" s="59"/>
      <c r="C73" s="30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 t="s">
        <v>41</v>
      </c>
      <c r="O73" s="56"/>
      <c r="P73" s="60"/>
    </row>
    <row r="74" spans="2:57" ht="15.75" thickBot="1">
      <c r="B74" s="503" t="s">
        <v>55</v>
      </c>
      <c r="C74" s="504"/>
      <c r="D74" s="504"/>
      <c r="E74" s="504"/>
      <c r="F74" s="505"/>
      <c r="G74" s="503" t="s">
        <v>56</v>
      </c>
      <c r="H74" s="504"/>
      <c r="I74" s="504"/>
      <c r="J74" s="505"/>
      <c r="K74" s="503" t="s">
        <v>51</v>
      </c>
      <c r="L74" s="504"/>
      <c r="M74" s="504"/>
      <c r="N74" s="506"/>
      <c r="O74" s="56"/>
      <c r="P74" s="50"/>
    </row>
    <row r="75" spans="2:57" ht="15">
      <c r="B75" s="61" t="s">
        <v>17</v>
      </c>
      <c r="C75" s="62" t="s">
        <v>36</v>
      </c>
      <c r="D75" s="62" t="s">
        <v>37</v>
      </c>
      <c r="E75" s="62" t="s">
        <v>38</v>
      </c>
      <c r="F75" s="63" t="s">
        <v>39</v>
      </c>
      <c r="G75" s="62" t="s">
        <v>36</v>
      </c>
      <c r="H75" s="62" t="s">
        <v>37</v>
      </c>
      <c r="I75" s="62" t="s">
        <v>38</v>
      </c>
      <c r="J75" s="63" t="s">
        <v>39</v>
      </c>
      <c r="K75" s="62" t="s">
        <v>36</v>
      </c>
      <c r="L75" s="62" t="s">
        <v>37</v>
      </c>
      <c r="M75" s="62" t="s">
        <v>38</v>
      </c>
      <c r="N75" s="63" t="s">
        <v>39</v>
      </c>
      <c r="O75" s="56"/>
      <c r="P75" s="64"/>
    </row>
    <row r="76" spans="2:57" ht="15">
      <c r="B76" s="29" t="s">
        <v>6</v>
      </c>
      <c r="C76" s="65">
        <f>L63</f>
        <v>4.9537152864648517</v>
      </c>
      <c r="D76" s="76">
        <v>5.2015250544662273</v>
      </c>
      <c r="E76" s="76">
        <v>6.3942077441936389</v>
      </c>
      <c r="F76" s="66">
        <v>4.8</v>
      </c>
      <c r="G76" s="65">
        <f>[19]October_2026!$I$11</f>
        <v>5.5779930185734461</v>
      </c>
      <c r="H76" s="476">
        <v>5.9479747077972824</v>
      </c>
      <c r="I76" s="476">
        <v>6.5080919887141917</v>
      </c>
      <c r="J76" s="66">
        <v>4.8</v>
      </c>
      <c r="K76" s="67">
        <f>AVERAGE(K63)</f>
        <v>1.3329824561403507</v>
      </c>
      <c r="L76" s="194">
        <v>0.8331140350877192</v>
      </c>
      <c r="M76" s="194">
        <v>0.54990997457943147</v>
      </c>
      <c r="N76" s="68">
        <v>1</v>
      </c>
      <c r="O76" s="56"/>
      <c r="P76" s="69"/>
    </row>
    <row r="77" spans="2:57" ht="15">
      <c r="B77" s="33" t="s">
        <v>9</v>
      </c>
      <c r="C77" s="65"/>
      <c r="D77" s="76"/>
      <c r="E77" s="76">
        <v>6.034529382425224</v>
      </c>
      <c r="F77" s="66">
        <v>4.8</v>
      </c>
      <c r="G77" s="65"/>
      <c r="H77" s="76"/>
      <c r="I77" s="76">
        <v>5.9275658832823668</v>
      </c>
      <c r="J77" s="66">
        <v>4.8</v>
      </c>
      <c r="K77" s="67"/>
      <c r="L77" s="194"/>
      <c r="M77" s="194">
        <v>0.68249290906882254</v>
      </c>
      <c r="N77" s="68">
        <v>1</v>
      </c>
      <c r="P77" s="69"/>
    </row>
    <row r="78" spans="2:57" ht="15">
      <c r="B78" s="34" t="s">
        <v>40</v>
      </c>
      <c r="C78" s="65"/>
      <c r="D78" s="76"/>
      <c r="E78" s="76">
        <v>10.890214570112384</v>
      </c>
      <c r="F78" s="66">
        <v>5.5</v>
      </c>
      <c r="G78" s="65"/>
      <c r="H78" s="76"/>
      <c r="I78" s="76">
        <v>11.797659278069149</v>
      </c>
      <c r="J78" s="66">
        <v>5.5</v>
      </c>
      <c r="K78" s="67"/>
      <c r="L78" s="194"/>
      <c r="M78" s="194">
        <v>0.35370190356844494</v>
      </c>
      <c r="N78" s="68">
        <v>1</v>
      </c>
      <c r="P78" s="69"/>
    </row>
    <row r="79" spans="2:57" ht="15">
      <c r="B79" s="22" t="s">
        <v>33</v>
      </c>
      <c r="C79" s="65"/>
      <c r="D79" s="76">
        <v>2.6160971335586405</v>
      </c>
      <c r="E79" s="76">
        <v>4.6053599467161712</v>
      </c>
      <c r="F79" s="66">
        <v>3.3</v>
      </c>
      <c r="G79" s="65"/>
      <c r="H79" s="76">
        <v>4.0562064167659644</v>
      </c>
      <c r="I79" s="76">
        <v>4.7835858167498584</v>
      </c>
      <c r="J79" s="66">
        <v>3.3</v>
      </c>
      <c r="K79" s="67"/>
      <c r="L79" s="194">
        <v>1.3649122807017544</v>
      </c>
      <c r="M79" s="194">
        <v>0.83244019138755987</v>
      </c>
      <c r="N79" s="68">
        <v>1</v>
      </c>
      <c r="P79" s="69"/>
    </row>
    <row r="80" spans="2:57" ht="15">
      <c r="B80" s="35" t="s">
        <v>164</v>
      </c>
      <c r="C80" s="65"/>
      <c r="D80" s="76"/>
      <c r="E80" s="76"/>
      <c r="F80" s="66">
        <v>3.3</v>
      </c>
      <c r="G80" s="282"/>
      <c r="H80" s="76"/>
      <c r="I80" s="76"/>
      <c r="J80" s="66">
        <v>3</v>
      </c>
      <c r="K80" s="67"/>
      <c r="L80" s="194"/>
      <c r="M80" s="194"/>
      <c r="N80" s="68">
        <v>1</v>
      </c>
      <c r="P80" s="69"/>
    </row>
    <row r="81" spans="2:16" ht="15">
      <c r="B81" s="36" t="s">
        <v>15</v>
      </c>
      <c r="C81" s="65"/>
      <c r="D81" s="76"/>
      <c r="E81" s="76">
        <v>6.3233965672990236</v>
      </c>
      <c r="F81" s="70">
        <v>5.5</v>
      </c>
      <c r="G81" s="65"/>
      <c r="H81" s="76"/>
      <c r="I81" s="76">
        <v>7.9667553186446929</v>
      </c>
      <c r="J81" s="66">
        <v>5.5</v>
      </c>
      <c r="K81" s="67"/>
      <c r="L81" s="194"/>
      <c r="M81" s="194">
        <v>0.5883625730994152</v>
      </c>
      <c r="N81" s="68">
        <v>1</v>
      </c>
      <c r="P81" s="69"/>
    </row>
    <row r="82" spans="2:16" ht="15">
      <c r="B82" s="37" t="s">
        <v>16</v>
      </c>
      <c r="C82" s="481"/>
      <c r="D82" s="76"/>
      <c r="E82" s="76">
        <v>3.9973372218347856</v>
      </c>
      <c r="F82" s="66">
        <v>3.3</v>
      </c>
      <c r="G82" s="282"/>
      <c r="H82" s="76"/>
      <c r="I82" s="76">
        <v>5.1096183510504902</v>
      </c>
      <c r="J82" s="66">
        <v>3.3</v>
      </c>
      <c r="K82" s="67"/>
      <c r="L82" s="194"/>
      <c r="M82" s="194">
        <v>0.89057130004498408</v>
      </c>
      <c r="N82" s="71">
        <v>1</v>
      </c>
      <c r="P82" s="69"/>
    </row>
    <row r="83" spans="2:16" ht="15.75" thickBot="1">
      <c r="B83" s="38" t="s">
        <v>163</v>
      </c>
      <c r="C83" s="65"/>
      <c r="D83" s="76"/>
      <c r="E83" s="76"/>
      <c r="F83" s="66">
        <v>7.5</v>
      </c>
      <c r="G83" s="282"/>
      <c r="H83" s="76"/>
      <c r="I83" s="76"/>
      <c r="J83" s="66">
        <v>7.5</v>
      </c>
      <c r="K83" s="67"/>
      <c r="L83" s="194"/>
      <c r="M83" s="194"/>
      <c r="N83" s="71">
        <v>1</v>
      </c>
      <c r="P83" s="69"/>
    </row>
    <row r="84" spans="2:16" ht="15.75" thickBot="1">
      <c r="B84" s="413" t="s">
        <v>161</v>
      </c>
      <c r="C84" s="65"/>
      <c r="D84" s="76"/>
      <c r="E84" s="76"/>
      <c r="F84" s="66">
        <v>4.8</v>
      </c>
      <c r="G84" s="282"/>
      <c r="H84" s="76"/>
      <c r="I84" s="76"/>
      <c r="J84" s="66">
        <v>4.8</v>
      </c>
      <c r="K84" s="67"/>
      <c r="L84" s="194"/>
      <c r="M84" s="194"/>
      <c r="N84" s="71">
        <v>1</v>
      </c>
      <c r="O84" s="74"/>
      <c r="P84" s="75"/>
    </row>
    <row r="85" spans="2:16" ht="15">
      <c r="D85" s="76">
        <v>4.513507211618534</v>
      </c>
      <c r="E85" s="76">
        <v>6.3192809236064278</v>
      </c>
      <c r="F85" s="341">
        <v>5.5</v>
      </c>
      <c r="H85" s="76">
        <v>5.3009613651321894</v>
      </c>
      <c r="I85" s="76">
        <v>6.621228037011492</v>
      </c>
      <c r="J85" s="341">
        <v>5.5</v>
      </c>
      <c r="L85" s="194">
        <v>0.93947368421052635</v>
      </c>
      <c r="M85" s="194">
        <v>0.60442262108138456</v>
      </c>
      <c r="N85" s="386">
        <v>1</v>
      </c>
    </row>
  </sheetData>
  <mergeCells count="51">
    <mergeCell ref="M61:M62"/>
    <mergeCell ref="B74:F74"/>
    <mergeCell ref="G74:J74"/>
    <mergeCell ref="K74:N74"/>
    <mergeCell ref="G61:G62"/>
    <mergeCell ref="H61:H62"/>
    <mergeCell ref="I61:I62"/>
    <mergeCell ref="J61:J62"/>
    <mergeCell ref="K61:K62"/>
    <mergeCell ref="L61:L62"/>
    <mergeCell ref="F61:F62"/>
    <mergeCell ref="D56:E56"/>
    <mergeCell ref="B61:B62"/>
    <mergeCell ref="C61:C62"/>
    <mergeCell ref="D61:D62"/>
    <mergeCell ref="E61:E62"/>
    <mergeCell ref="B46:B55"/>
    <mergeCell ref="D46:E47"/>
    <mergeCell ref="J46:K46"/>
    <mergeCell ref="L47:N47"/>
    <mergeCell ref="D48:E49"/>
    <mergeCell ref="D50:E51"/>
    <mergeCell ref="D52:E53"/>
    <mergeCell ref="D54:E55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6:B57">
    <cfRule type="cellIs" dxfId="2306" priority="114" operator="notBetween">
      <formula>#REF!</formula>
      <formula>#REF!</formula>
    </cfRule>
  </conditionalFormatting>
  <conditionalFormatting sqref="C60">
    <cfRule type="cellIs" dxfId="2305" priority="196" stopIfTrue="1" operator="lessThan">
      <formula>96</formula>
    </cfRule>
    <cfRule type="cellIs" dxfId="2304" priority="197" stopIfTrue="1" operator="greaterThan">
      <formula>100</formula>
    </cfRule>
  </conditionalFormatting>
  <conditionalFormatting sqref="C76:C77">
    <cfRule type="cellIs" dxfId="2303" priority="78" stopIfTrue="1" operator="lessThanOrEqual">
      <formula>0</formula>
    </cfRule>
    <cfRule type="cellIs" dxfId="2302" priority="77" stopIfTrue="1" operator="greaterThan">
      <formula>$F76</formula>
    </cfRule>
    <cfRule type="cellIs" dxfId="2301" priority="79" stopIfTrue="1" operator="greaterThan">
      <formula>$F76</formula>
    </cfRule>
    <cfRule type="cellIs" dxfId="2300" priority="80" stopIfTrue="1" operator="lessThanOrEqual">
      <formula>0</formula>
    </cfRule>
  </conditionalFormatting>
  <conditionalFormatting sqref="C78:C80 C82:C84">
    <cfRule type="cellIs" dxfId="2299" priority="86" stopIfTrue="1" operator="greaterThan">
      <formula>$F81</formula>
    </cfRule>
  </conditionalFormatting>
  <conditionalFormatting sqref="C78:C80">
    <cfRule type="cellIs" dxfId="2298" priority="87" stopIfTrue="1" operator="lessThanOrEqual">
      <formula>0</formula>
    </cfRule>
  </conditionalFormatting>
  <conditionalFormatting sqref="C81">
    <cfRule type="cellIs" dxfId="2297" priority="198" stopIfTrue="1" operator="greaterThan">
      <formula>$F76</formula>
    </cfRule>
    <cfRule type="cellIs" dxfId="2296" priority="199" stopIfTrue="1" operator="lessThanOrEqual">
      <formula>0</formula>
    </cfRule>
    <cfRule type="cellIs" dxfId="2295" priority="200" stopIfTrue="1" operator="greaterThan">
      <formula>$F76</formula>
    </cfRule>
    <cfRule type="cellIs" dxfId="2294" priority="201" stopIfTrue="1" operator="lessThanOrEqual">
      <formula>0</formula>
    </cfRule>
  </conditionalFormatting>
  <conditionalFormatting sqref="C82:C84">
    <cfRule type="cellIs" dxfId="2293" priority="88" stopIfTrue="1" operator="lessThanOrEqual">
      <formula>0</formula>
    </cfRule>
  </conditionalFormatting>
  <conditionalFormatting sqref="C87:C91">
    <cfRule type="cellIs" dxfId="2292" priority="188" stopIfTrue="1" operator="lessThanOrEqual">
      <formula>0</formula>
    </cfRule>
  </conditionalFormatting>
  <conditionalFormatting sqref="C88:C91">
    <cfRule type="cellIs" dxfId="2291" priority="187" stopIfTrue="1" operator="greaterThan">
      <formula>$F$87</formula>
    </cfRule>
  </conditionalFormatting>
  <conditionalFormatting sqref="C93">
    <cfRule type="cellIs" dxfId="2290" priority="190" stopIfTrue="1" operator="lessThanOrEqual">
      <formula>0</formula>
    </cfRule>
    <cfRule type="cellIs" dxfId="2289" priority="189" stopIfTrue="1" operator="greaterThan">
      <formula>$F$87</formula>
    </cfRule>
  </conditionalFormatting>
  <conditionalFormatting sqref="C81:D81">
    <cfRule type="cellIs" dxfId="2288" priority="75" stopIfTrue="1" operator="greaterThan">
      <formula>$J81</formula>
    </cfRule>
    <cfRule type="cellIs" dxfId="2287" priority="76" stopIfTrue="1" operator="lessThanOrEqual">
      <formula>0</formula>
    </cfRule>
  </conditionalFormatting>
  <conditionalFormatting sqref="C87:D87 D89:D95">
    <cfRule type="cellIs" dxfId="2286" priority="182" stopIfTrue="1" operator="greaterThan">
      <formula>4.5</formula>
    </cfRule>
  </conditionalFormatting>
  <conditionalFormatting sqref="D56:D57">
    <cfRule type="cellIs" dxfId="2285" priority="115" operator="notBetween">
      <formula>#REF!</formula>
      <formula>#REF!</formula>
    </cfRule>
  </conditionalFormatting>
  <conditionalFormatting sqref="D76:D80 D82:D83">
    <cfRule type="cellIs" dxfId="2284" priority="85" stopIfTrue="1" operator="lessThanOrEqual">
      <formula>0</formula>
    </cfRule>
  </conditionalFormatting>
  <conditionalFormatting sqref="D76:D80 D82:D85">
    <cfRule type="cellIs" dxfId="2283" priority="82" stopIfTrue="1" operator="greaterThan">
      <formula>$F76</formula>
    </cfRule>
    <cfRule type="cellIs" dxfId="2282" priority="81" stopIfTrue="1" operator="lessThanOrEqual">
      <formula>0</formula>
    </cfRule>
  </conditionalFormatting>
  <conditionalFormatting sqref="D84:D85">
    <cfRule type="cellIs" dxfId="2281" priority="83" stopIfTrue="1" operator="lessThanOrEqual">
      <formula>0</formula>
    </cfRule>
  </conditionalFormatting>
  <conditionalFormatting sqref="D85">
    <cfRule type="cellIs" dxfId="2280" priority="84" stopIfTrue="1" operator="lessThanOrEqual">
      <formula>0</formula>
    </cfRule>
  </conditionalFormatting>
  <conditionalFormatting sqref="D87 D89:D95">
    <cfRule type="cellIs" dxfId="2279" priority="183" stopIfTrue="1" operator="lessThanOrEqual">
      <formula>0</formula>
    </cfRule>
  </conditionalFormatting>
  <conditionalFormatting sqref="D88">
    <cfRule type="cellIs" dxfId="2278" priority="174" stopIfTrue="1" operator="greaterThan">
      <formula>$F$87</formula>
    </cfRule>
    <cfRule type="cellIs" dxfId="2277" priority="175" stopIfTrue="1" operator="lessThanOrEqual">
      <formula>0</formula>
    </cfRule>
  </conditionalFormatting>
  <conditionalFormatting sqref="E10:E31">
    <cfRule type="cellIs" dxfId="2276" priority="18" operator="lessThan">
      <formula>48</formula>
    </cfRule>
  </conditionalFormatting>
  <conditionalFormatting sqref="E59 E60:F60">
    <cfRule type="cellIs" dxfId="2275" priority="179" stopIfTrue="1" operator="greaterThan">
      <formula>100</formula>
    </cfRule>
  </conditionalFormatting>
  <conditionalFormatting sqref="E60">
    <cfRule type="cellIs" dxfId="2274" priority="177" stopIfTrue="1" operator="greaterThan">
      <formula>100</formula>
    </cfRule>
    <cfRule type="cellIs" dxfId="2273" priority="176" stopIfTrue="1" operator="lessThan">
      <formula>96.8</formula>
    </cfRule>
  </conditionalFormatting>
  <conditionalFormatting sqref="E76:E84">
    <cfRule type="cellIs" dxfId="2272" priority="48" stopIfTrue="1" operator="lessThanOrEqual">
      <formula>0</formula>
    </cfRule>
  </conditionalFormatting>
  <conditionalFormatting sqref="E76:E85">
    <cfRule type="cellIs" dxfId="2271" priority="50" stopIfTrue="1" operator="lessThanOrEqual">
      <formula>0</formula>
    </cfRule>
    <cfRule type="cellIs" dxfId="2270" priority="49" stopIfTrue="1" operator="greaterThan">
      <formula>$F76</formula>
    </cfRule>
  </conditionalFormatting>
  <conditionalFormatting sqref="E85">
    <cfRule type="cellIs" dxfId="2269" priority="51" stopIfTrue="1" operator="lessThanOrEqual">
      <formula>0</formula>
    </cfRule>
  </conditionalFormatting>
  <conditionalFormatting sqref="E87:E95">
    <cfRule type="cellIs" dxfId="2268" priority="168" stopIfTrue="1" operator="greaterThan">
      <formula>4.5</formula>
    </cfRule>
    <cfRule type="cellIs" dxfId="2267" priority="169" stopIfTrue="1" operator="lessThanOrEqual">
      <formula>0</formula>
    </cfRule>
  </conditionalFormatting>
  <conditionalFormatting sqref="E60:F60 E59">
    <cfRule type="cellIs" dxfId="2266" priority="178" stopIfTrue="1" operator="lessThan">
      <formula>96.5</formula>
    </cfRule>
  </conditionalFormatting>
  <conditionalFormatting sqref="F10:F31">
    <cfRule type="cellIs" dxfId="2265" priority="19" operator="greaterThan">
      <formula>60</formula>
    </cfRule>
  </conditionalFormatting>
  <conditionalFormatting sqref="F60">
    <cfRule type="cellIs" dxfId="2264" priority="195" stopIfTrue="1" operator="greaterThan">
      <formula>100</formula>
    </cfRule>
    <cfRule type="cellIs" dxfId="2263" priority="194" stopIfTrue="1" operator="lessThan">
      <formula>96.8</formula>
    </cfRule>
  </conditionalFormatting>
  <conditionalFormatting sqref="G22:G26">
    <cfRule type="expression" dxfId="2262" priority="20">
      <formula>IF(+(IF(G22&lt;#REF!,0,IF(G22&gt;#REF!,0,1)))=0,1)</formula>
    </cfRule>
  </conditionalFormatting>
  <conditionalFormatting sqref="G31">
    <cfRule type="expression" dxfId="2261" priority="23">
      <formula>IF(+(IF(G31&lt;S31,0,IF(G31&gt;T31,0,1)))=0,1)</formula>
    </cfRule>
  </conditionalFormatting>
  <conditionalFormatting sqref="G76:G79 F85">
    <cfRule type="cellIs" dxfId="2260" priority="57" stopIfTrue="1" operator="greaterThan">
      <formula>$F76</formula>
    </cfRule>
    <cfRule type="cellIs" dxfId="2259" priority="58" stopIfTrue="1" operator="lessThanOrEqual">
      <formula>0</formula>
    </cfRule>
  </conditionalFormatting>
  <conditionalFormatting sqref="G78:G79">
    <cfRule type="cellIs" dxfId="2258" priority="44" stopIfTrue="1" operator="lessThanOrEqual">
      <formula>0</formula>
    </cfRule>
    <cfRule type="cellIs" dxfId="2257" priority="43" stopIfTrue="1" operator="greaterThan">
      <formula>$F78</formula>
    </cfRule>
  </conditionalFormatting>
  <conditionalFormatting sqref="G80:G84">
    <cfRule type="cellIs" dxfId="2256" priority="60" stopIfTrue="1" operator="lessThanOrEqual">
      <formula>0</formula>
    </cfRule>
    <cfRule type="cellIs" dxfId="2255" priority="59" stopIfTrue="1" operator="greaterThan">
      <formula>$J80</formula>
    </cfRule>
  </conditionalFormatting>
  <conditionalFormatting sqref="G81">
    <cfRule type="cellIs" dxfId="2254" priority="203" stopIfTrue="1" operator="lessThanOrEqual">
      <formula>0</formula>
    </cfRule>
    <cfRule type="cellIs" dxfId="2253" priority="202" stopIfTrue="1" operator="greaterThan">
      <formula>$F76</formula>
    </cfRule>
  </conditionalFormatting>
  <conditionalFormatting sqref="G89:G94 C92 C94">
    <cfRule type="cellIs" dxfId="2252" priority="191" stopIfTrue="1" operator="greaterThan">
      <formula>4.5</formula>
    </cfRule>
    <cfRule type="cellIs" dxfId="2251" priority="192" stopIfTrue="1" operator="lessThanOrEqual">
      <formula>0</formula>
    </cfRule>
  </conditionalFormatting>
  <conditionalFormatting sqref="G10:H15 M10:N30 G30">
    <cfRule type="expression" dxfId="2250" priority="24">
      <formula>IF(+(IF(G10&lt;#REF!,0,IF(G10&gt;#REF!,0,1)))=0,1)</formula>
    </cfRule>
  </conditionalFormatting>
  <conditionalFormatting sqref="G88:H88">
    <cfRule type="cellIs" dxfId="2249" priority="173" stopIfTrue="1" operator="lessThanOrEqual">
      <formula>0</formula>
    </cfRule>
    <cfRule type="cellIs" dxfId="2248" priority="172" stopIfTrue="1" operator="greaterThan">
      <formula>$F$87</formula>
    </cfRule>
  </conditionalFormatting>
  <conditionalFormatting sqref="H16:H31">
    <cfRule type="expression" dxfId="2247" priority="11">
      <formula>IF(+(IF(H16&lt;#REF!,0,IF(H16&gt;#REF!,0,1)))=0,1)</formula>
    </cfRule>
  </conditionalFormatting>
  <conditionalFormatting sqref="H45:H46 H59">
    <cfRule type="cellIs" dxfId="2246" priority="170" stopIfTrue="1" operator="greaterThan">
      <formula>0</formula>
    </cfRule>
  </conditionalFormatting>
  <conditionalFormatting sqref="H63">
    <cfRule type="cellIs" dxfId="2245" priority="62" stopIfTrue="1" operator="lessThanOrEqual">
      <formula>0</formula>
    </cfRule>
    <cfRule type="cellIs" dxfId="2244" priority="63" stopIfTrue="1" operator="greaterThan">
      <formula>$F$76</formula>
    </cfRule>
    <cfRule type="cellIs" dxfId="2243" priority="71" stopIfTrue="1" operator="greaterThan">
      <formula>$F$79</formula>
    </cfRule>
    <cfRule type="cellIs" dxfId="2242" priority="72" stopIfTrue="1" operator="lessThanOrEqual">
      <formula>0</formula>
    </cfRule>
    <cfRule type="cellIs" dxfId="2241" priority="73" stopIfTrue="1" operator="greaterThan">
      <formula>$F$77</formula>
    </cfRule>
  </conditionalFormatting>
  <conditionalFormatting sqref="H63:H64">
    <cfRule type="cellIs" dxfId="2240" priority="74" stopIfTrue="1" operator="lessThanOrEqual">
      <formula>0</formula>
    </cfRule>
  </conditionalFormatting>
  <conditionalFormatting sqref="H64 H66:H67">
    <cfRule type="cellIs" dxfId="2239" priority="100" stopIfTrue="1" operator="lessThanOrEqual">
      <formula>0</formula>
    </cfRule>
  </conditionalFormatting>
  <conditionalFormatting sqref="H64">
    <cfRule type="cellIs" dxfId="2238" priority="99" stopIfTrue="1" operator="greaterThan">
      <formula>$F$77</formula>
    </cfRule>
    <cfRule type="cellIs" dxfId="2237" priority="98" stopIfTrue="1" operator="lessThanOrEqual">
      <formula>0</formula>
    </cfRule>
    <cfRule type="cellIs" dxfId="2236" priority="89" stopIfTrue="1" operator="greaterThan">
      <formula>$F$76</formula>
    </cfRule>
    <cfRule type="cellIs" dxfId="2235" priority="97" stopIfTrue="1" operator="greaterThan">
      <formula>$F$79</formula>
    </cfRule>
  </conditionalFormatting>
  <conditionalFormatting sqref="H65">
    <cfRule type="cellIs" dxfId="2234" priority="40" stopIfTrue="1" operator="greaterThan">
      <formula>$F$79</formula>
    </cfRule>
    <cfRule type="cellIs" dxfId="2233" priority="41" stopIfTrue="1" operator="lessThanOrEqual">
      <formula>0</formula>
    </cfRule>
    <cfRule type="cellIs" dxfId="2232" priority="38" stopIfTrue="1" operator="greaterThan">
      <formula>$F$81</formula>
    </cfRule>
    <cfRule type="cellIs" dxfId="2231" priority="39" stopIfTrue="1" operator="lessThanOrEqual">
      <formula>0</formula>
    </cfRule>
    <cfRule type="cellIs" dxfId="2230" priority="29" stopIfTrue="1" operator="lessThanOrEqual">
      <formula>0</formula>
    </cfRule>
    <cfRule type="cellIs" dxfId="2229" priority="30" stopIfTrue="1" operator="greaterThan">
      <formula>$F$78</formula>
    </cfRule>
  </conditionalFormatting>
  <conditionalFormatting sqref="H66:H67">
    <cfRule type="cellIs" dxfId="2228" priority="113" stopIfTrue="1" operator="lessThanOrEqual">
      <formula>0</formula>
    </cfRule>
    <cfRule type="cellIs" dxfId="2227" priority="110" stopIfTrue="1" operator="greaterThan">
      <formula>$F$79</formula>
    </cfRule>
    <cfRule type="cellIs" dxfId="2226" priority="111" stopIfTrue="1" operator="lessThanOrEqual">
      <formula>0</formula>
    </cfRule>
    <cfRule type="cellIs" dxfId="2225" priority="102" stopIfTrue="1" operator="greaterThan">
      <formula>$F$76</formula>
    </cfRule>
    <cfRule type="cellIs" dxfId="2224" priority="112" stopIfTrue="1" operator="greaterThan">
      <formula>$F$77</formula>
    </cfRule>
  </conditionalFormatting>
  <conditionalFormatting sqref="H68:H69">
    <cfRule type="cellIs" dxfId="2223" priority="147" stopIfTrue="1" operator="lessThanOrEqual">
      <formula>0</formula>
    </cfRule>
    <cfRule type="cellIs" dxfId="2222" priority="138" stopIfTrue="1" operator="greaterThan">
      <formula>#REF!</formula>
    </cfRule>
    <cfRule type="cellIs" dxfId="2221" priority="137" stopIfTrue="1" operator="lessThanOrEqual">
      <formula>0</formula>
    </cfRule>
    <cfRule type="cellIs" dxfId="2220" priority="146" stopIfTrue="1" operator="greaterThan">
      <formula>#REF!</formula>
    </cfRule>
  </conditionalFormatting>
  <conditionalFormatting sqref="H70">
    <cfRule type="cellIs" dxfId="2219" priority="161" stopIfTrue="1" operator="lessThanOrEqual">
      <formula>0</formula>
    </cfRule>
    <cfRule type="cellIs" dxfId="2218" priority="158" stopIfTrue="1" operator="greaterThan">
      <formula>$F$47</formula>
    </cfRule>
    <cfRule type="cellIs" dxfId="2217" priority="159" stopIfTrue="1" operator="lessThanOrEqual">
      <formula>0</formula>
    </cfRule>
    <cfRule type="cellIs" dxfId="2216" priority="149" stopIfTrue="1" operator="lessThanOrEqual">
      <formula>0</formula>
    </cfRule>
    <cfRule type="cellIs" dxfId="2215" priority="160" stopIfTrue="1" operator="greaterThan">
      <formula>$F$45</formula>
    </cfRule>
    <cfRule type="cellIs" dxfId="2214" priority="150" stopIfTrue="1" operator="greaterThan">
      <formula>$F$44</formula>
    </cfRule>
  </conditionalFormatting>
  <conditionalFormatting sqref="H71:H72">
    <cfRule type="cellIs" dxfId="2213" priority="135" stopIfTrue="1" operator="lessThanOrEqual">
      <formula>0</formula>
    </cfRule>
    <cfRule type="cellIs" dxfId="2212" priority="134" stopIfTrue="1" operator="greaterThan">
      <formula>#REF!</formula>
    </cfRule>
    <cfRule type="cellIs" dxfId="2211" priority="125" stopIfTrue="1" operator="lessThanOrEqual">
      <formula>0</formula>
    </cfRule>
    <cfRule type="cellIs" dxfId="2210" priority="126" stopIfTrue="1" operator="greaterThan">
      <formula>#REF!</formula>
    </cfRule>
  </conditionalFormatting>
  <conditionalFormatting sqref="H87 H89:H95">
    <cfRule type="cellIs" dxfId="2209" priority="185" stopIfTrue="1" operator="lessThanOrEqual">
      <formula>0</formula>
    </cfRule>
    <cfRule type="cellIs" dxfId="2208" priority="184" stopIfTrue="1" operator="greaterThan">
      <formula>4.5</formula>
    </cfRule>
  </conditionalFormatting>
  <conditionalFormatting sqref="H63:I63">
    <cfRule type="cellIs" dxfId="2207" priority="64" stopIfTrue="1" operator="lessThanOrEqual">
      <formula>0</formula>
    </cfRule>
  </conditionalFormatting>
  <conditionalFormatting sqref="H63:I64 H66:I67">
    <cfRule type="cellIs" dxfId="2206" priority="61" stopIfTrue="1" operator="greaterThan">
      <formula>$F$78</formula>
    </cfRule>
  </conditionalFormatting>
  <conditionalFormatting sqref="H64:I64">
    <cfRule type="cellIs" dxfId="2205" priority="90" stopIfTrue="1" operator="lessThanOrEqual">
      <formula>0</formula>
    </cfRule>
  </conditionalFormatting>
  <conditionalFormatting sqref="H65:I65">
    <cfRule type="cellIs" dxfId="2204" priority="28" stopIfTrue="1" operator="greaterThan">
      <formula>$F$80</formula>
    </cfRule>
    <cfRule type="cellIs" dxfId="2203" priority="31" stopIfTrue="1" operator="lessThanOrEqual">
      <formula>0</formula>
    </cfRule>
  </conditionalFormatting>
  <conditionalFormatting sqref="H66:I67">
    <cfRule type="cellIs" dxfId="2202" priority="103" stopIfTrue="1" operator="lessThanOrEqual">
      <formula>0</formula>
    </cfRule>
  </conditionalFormatting>
  <conditionalFormatting sqref="H68:I69">
    <cfRule type="cellIs" dxfId="2201" priority="144" stopIfTrue="1" operator="greaterThan">
      <formula>#REF!</formula>
    </cfRule>
    <cfRule type="cellIs" dxfId="2200" priority="145" stopIfTrue="1" operator="lessThanOrEqual">
      <formula>0</formula>
    </cfRule>
    <cfRule type="cellIs" dxfId="2199" priority="139" stopIfTrue="1" operator="lessThanOrEqual">
      <formula>0</formula>
    </cfRule>
    <cfRule type="cellIs" dxfId="2198" priority="136" stopIfTrue="1" operator="greaterThan">
      <formula>#REF!</formula>
    </cfRule>
  </conditionalFormatting>
  <conditionalFormatting sqref="H70:I70">
    <cfRule type="cellIs" dxfId="2197" priority="148" stopIfTrue="1" operator="greaterThan">
      <formula>$F$46</formula>
    </cfRule>
    <cfRule type="cellIs" dxfId="2196" priority="151" stopIfTrue="1" operator="lessThanOrEqual">
      <formula>0</formula>
    </cfRule>
  </conditionalFormatting>
  <conditionalFormatting sqref="H71:I72">
    <cfRule type="cellIs" dxfId="2195" priority="132" stopIfTrue="1" operator="greaterThan">
      <formula>#REF!</formula>
    </cfRule>
    <cfRule type="cellIs" dxfId="2194" priority="124" stopIfTrue="1" operator="greaterThan">
      <formula>#REF!</formula>
    </cfRule>
    <cfRule type="cellIs" dxfId="2193" priority="133" stopIfTrue="1" operator="lessThanOrEqual">
      <formula>0</formula>
    </cfRule>
    <cfRule type="cellIs" dxfId="2192" priority="127" stopIfTrue="1" operator="lessThanOrEqual">
      <formula>0</formula>
    </cfRule>
  </conditionalFormatting>
  <conditionalFormatting sqref="H76:I83">
    <cfRule type="cellIs" dxfId="2191" priority="47" stopIfTrue="1" operator="lessThanOrEqual">
      <formula>0</formula>
    </cfRule>
    <cfRule type="cellIs" dxfId="2190" priority="46" stopIfTrue="1" operator="greaterThan">
      <formula>$J76</formula>
    </cfRule>
  </conditionalFormatting>
  <conditionalFormatting sqref="H84:I84">
    <cfRule type="cellIs" dxfId="2189" priority="54" operator="greaterThan">
      <formula>5.3</formula>
    </cfRule>
  </conditionalFormatting>
  <conditionalFormatting sqref="H85:I85">
    <cfRule type="cellIs" dxfId="2188" priority="52" stopIfTrue="1" operator="greaterThan">
      <formula>$J85</formula>
    </cfRule>
    <cfRule type="cellIs" dxfId="2187" priority="53" stopIfTrue="1" operator="lessThanOrEqual">
      <formula>0</formula>
    </cfRule>
  </conditionalFormatting>
  <conditionalFormatting sqref="I63">
    <cfRule type="cellIs" dxfId="2186" priority="70" stopIfTrue="1" operator="lessThanOrEqual">
      <formula>0</formula>
    </cfRule>
    <cfRule type="cellIs" dxfId="2185" priority="69" stopIfTrue="1" operator="greaterThan">
      <formula>$F$76</formula>
    </cfRule>
    <cfRule type="cellIs" dxfId="2184" priority="68" stopIfTrue="1" operator="lessThanOrEqual">
      <formula>0</formula>
    </cfRule>
    <cfRule type="cellIs" dxfId="2183" priority="67" stopIfTrue="1" operator="greaterThan">
      <formula>$F$78</formula>
    </cfRule>
    <cfRule type="cellIs" dxfId="2182" priority="66" stopIfTrue="1" operator="lessThanOrEqual">
      <formula>0</formula>
    </cfRule>
    <cfRule type="cellIs" dxfId="2181" priority="65" stopIfTrue="1" operator="greaterThan">
      <formula>$F$76</formula>
    </cfRule>
  </conditionalFormatting>
  <conditionalFormatting sqref="I64">
    <cfRule type="cellIs" dxfId="2180" priority="92" stopIfTrue="1" operator="lessThanOrEqual">
      <formula>0</formula>
    </cfRule>
    <cfRule type="cellIs" dxfId="2179" priority="96" stopIfTrue="1" operator="lessThanOrEqual">
      <formula>0</formula>
    </cfRule>
    <cfRule type="cellIs" dxfId="2178" priority="95" stopIfTrue="1" operator="greaterThan">
      <formula>$F$76</formula>
    </cfRule>
    <cfRule type="cellIs" dxfId="2177" priority="94" stopIfTrue="1" operator="lessThanOrEqual">
      <formula>0</formula>
    </cfRule>
    <cfRule type="cellIs" dxfId="2176" priority="93" stopIfTrue="1" operator="greaterThan">
      <formula>$F$78</formula>
    </cfRule>
    <cfRule type="cellIs" dxfId="2175" priority="91" stopIfTrue="1" operator="greaterThan">
      <formula>$F$76</formula>
    </cfRule>
  </conditionalFormatting>
  <conditionalFormatting sqref="I65">
    <cfRule type="cellIs" dxfId="2174" priority="33" stopIfTrue="1" operator="lessThanOrEqual">
      <formula>0</formula>
    </cfRule>
    <cfRule type="cellIs" dxfId="2173" priority="37" stopIfTrue="1" operator="lessThanOrEqual">
      <formula>0</formula>
    </cfRule>
    <cfRule type="cellIs" dxfId="2172" priority="35" stopIfTrue="1" operator="lessThanOrEqual">
      <formula>0</formula>
    </cfRule>
    <cfRule type="cellIs" dxfId="2171" priority="34" stopIfTrue="1" operator="greaterThan">
      <formula>$F$80</formula>
    </cfRule>
    <cfRule type="cellIs" dxfId="2170" priority="32" stopIfTrue="1" operator="greaterThan">
      <formula>$F$78</formula>
    </cfRule>
    <cfRule type="cellIs" dxfId="2169" priority="36" stopIfTrue="1" operator="greaterThan">
      <formula>$F$78</formula>
    </cfRule>
  </conditionalFormatting>
  <conditionalFormatting sqref="I66:I67">
    <cfRule type="cellIs" dxfId="2168" priority="106" stopIfTrue="1" operator="greaterThan">
      <formula>$F$78</formula>
    </cfRule>
    <cfRule type="cellIs" dxfId="2167" priority="109" stopIfTrue="1" operator="lessThanOrEqual">
      <formula>0</formula>
    </cfRule>
    <cfRule type="cellIs" dxfId="2166" priority="108" stopIfTrue="1" operator="greaterThan">
      <formula>$F$76</formula>
    </cfRule>
    <cfRule type="cellIs" dxfId="2165" priority="105" stopIfTrue="1" operator="lessThanOrEqual">
      <formula>0</formula>
    </cfRule>
    <cfRule type="cellIs" dxfId="2164" priority="107" stopIfTrue="1" operator="lessThanOrEqual">
      <formula>0</formula>
    </cfRule>
    <cfRule type="cellIs" dxfId="2163" priority="104" stopIfTrue="1" operator="greaterThan">
      <formula>$F$76</formula>
    </cfRule>
  </conditionalFormatting>
  <conditionalFormatting sqref="I68:I69">
    <cfRule type="cellIs" dxfId="2162" priority="143" stopIfTrue="1" operator="lessThanOrEqual">
      <formula>0</formula>
    </cfRule>
    <cfRule type="cellIs" dxfId="2161" priority="142" stopIfTrue="1" operator="greaterThan">
      <formula>#REF!</formula>
    </cfRule>
    <cfRule type="cellIs" dxfId="2160" priority="141" stopIfTrue="1" operator="lessThanOrEqual">
      <formula>0</formula>
    </cfRule>
    <cfRule type="cellIs" dxfId="2159" priority="140" stopIfTrue="1" operator="greaterThan">
      <formula>#REF!</formula>
    </cfRule>
  </conditionalFormatting>
  <conditionalFormatting sqref="I70">
    <cfRule type="cellIs" dxfId="2158" priority="157" stopIfTrue="1" operator="lessThanOrEqual">
      <formula>0</formula>
    </cfRule>
    <cfRule type="cellIs" dxfId="2157" priority="153" stopIfTrue="1" operator="lessThanOrEqual">
      <formula>0</formula>
    </cfRule>
    <cfRule type="cellIs" dxfId="2156" priority="155" stopIfTrue="1" operator="lessThanOrEqual">
      <formula>0</formula>
    </cfRule>
    <cfRule type="cellIs" dxfId="2155" priority="152" stopIfTrue="1" operator="greaterThan">
      <formula>$F$44</formula>
    </cfRule>
    <cfRule type="cellIs" dxfId="2154" priority="154" stopIfTrue="1" operator="greaterThan">
      <formula>$F$46</formula>
    </cfRule>
    <cfRule type="cellIs" dxfId="2153" priority="156" stopIfTrue="1" operator="greaterThan">
      <formula>$F$44</formula>
    </cfRule>
  </conditionalFormatting>
  <conditionalFormatting sqref="I71:I72">
    <cfRule type="cellIs" dxfId="2152" priority="128" stopIfTrue="1" operator="greaterThan">
      <formula>#REF!</formula>
    </cfRule>
    <cfRule type="cellIs" dxfId="2151" priority="129" stopIfTrue="1" operator="lessThanOrEqual">
      <formula>0</formula>
    </cfRule>
    <cfRule type="cellIs" dxfId="2150" priority="130" stopIfTrue="1" operator="greaterThan">
      <formula>#REF!</formula>
    </cfRule>
    <cfRule type="cellIs" dxfId="2149" priority="131" stopIfTrue="1" operator="lessThanOrEqual">
      <formula>0</formula>
    </cfRule>
  </conditionalFormatting>
  <conditionalFormatting sqref="I87:I95">
    <cfRule type="cellIs" dxfId="2148" priority="180" stopIfTrue="1" operator="greaterThan">
      <formula>4.5</formula>
    </cfRule>
    <cfRule type="cellIs" dxfId="2147" priority="181" stopIfTrue="1" operator="lessThanOrEqual">
      <formula>0</formula>
    </cfRule>
  </conditionalFormatting>
  <conditionalFormatting sqref="I10:J31">
    <cfRule type="cellIs" dxfId="2146" priority="12" operator="lessThan">
      <formula>97.9</formula>
    </cfRule>
  </conditionalFormatting>
  <conditionalFormatting sqref="J34:J36">
    <cfRule type="cellIs" dxfId="2145" priority="27" operator="lessThan">
      <formula>97.95</formula>
    </cfRule>
  </conditionalFormatting>
  <conditionalFormatting sqref="J35:J38">
    <cfRule type="cellIs" dxfId="2144" priority="162" operator="lessThan">
      <formula>97.4</formula>
    </cfRule>
  </conditionalFormatting>
  <conditionalFormatting sqref="J39:J40">
    <cfRule type="cellIs" dxfId="2143" priority="163" operator="lessThan">
      <formula>98</formula>
    </cfRule>
  </conditionalFormatting>
  <conditionalFormatting sqref="J41:J42">
    <cfRule type="cellIs" dxfId="2142" priority="165" stopIfTrue="1" operator="greaterThan">
      <formula>100</formula>
    </cfRule>
    <cfRule type="cellIs" dxfId="2141" priority="164" stopIfTrue="1" operator="lessThan">
      <formula>96.8</formula>
    </cfRule>
  </conditionalFormatting>
  <conditionalFormatting sqref="J41:J43">
    <cfRule type="cellIs" dxfId="2140" priority="166" operator="lessThan">
      <formula>98</formula>
    </cfRule>
  </conditionalFormatting>
  <conditionalFormatting sqref="J72">
    <cfRule type="cellIs" dxfId="2139" priority="121" stopIfTrue="1" operator="lessThanOrEqual">
      <formula>0</formula>
    </cfRule>
    <cfRule type="cellIs" dxfId="2138" priority="123" stopIfTrue="1" operator="lessThanOrEqual">
      <formula>0</formula>
    </cfRule>
    <cfRule type="cellIs" dxfId="2137" priority="122" stopIfTrue="1" operator="greaterThan">
      <formula>#REF!</formula>
    </cfRule>
    <cfRule type="cellIs" dxfId="2136" priority="120" stopIfTrue="1" operator="greaterThan">
      <formula>#REF!</formula>
    </cfRule>
    <cfRule type="cellIs" dxfId="2135" priority="119" stopIfTrue="1" operator="lessThanOrEqual">
      <formula>0</formula>
    </cfRule>
    <cfRule type="cellIs" dxfId="2134" priority="118" stopIfTrue="1" operator="greaterThan">
      <formula>#REF!</formula>
    </cfRule>
    <cfRule type="cellIs" dxfId="2133" priority="117" stopIfTrue="1" operator="lessThanOrEqual">
      <formula>0</formula>
    </cfRule>
    <cfRule type="cellIs" dxfId="2132" priority="116" stopIfTrue="1" operator="greaterThan">
      <formula>#REF!</formula>
    </cfRule>
  </conditionalFormatting>
  <conditionalFormatting sqref="J85">
    <cfRule type="cellIs" dxfId="2131" priority="56" stopIfTrue="1" operator="lessThanOrEqual">
      <formula>0</formula>
    </cfRule>
    <cfRule type="cellIs" dxfId="2130" priority="55" stopIfTrue="1" operator="greaterThan">
      <formula>$F85</formula>
    </cfRule>
  </conditionalFormatting>
  <conditionalFormatting sqref="K10:K31">
    <cfRule type="cellIs" dxfId="2129" priority="14" operator="lessThan">
      <formula>4</formula>
    </cfRule>
    <cfRule type="cellIs" dxfId="2128" priority="15" operator="greaterThan">
      <formula>6.4</formula>
    </cfRule>
    <cfRule type="cellIs" dxfId="2127" priority="13" operator="greaterThan">
      <formula>6</formula>
    </cfRule>
  </conditionalFormatting>
  <conditionalFormatting sqref="K63:K72">
    <cfRule type="cellIs" dxfId="2126" priority="101" stopIfTrue="1" operator="lessThan">
      <formula>100%</formula>
    </cfRule>
  </conditionalFormatting>
  <conditionalFormatting sqref="K76:K84">
    <cfRule type="cellIs" dxfId="2125" priority="45" stopIfTrue="1" operator="lessThan">
      <formula>100%</formula>
    </cfRule>
  </conditionalFormatting>
  <conditionalFormatting sqref="K87:K92">
    <cfRule type="cellIs" dxfId="2124" priority="186" stopIfTrue="1" operator="lessThan">
      <formula>100%</formula>
    </cfRule>
  </conditionalFormatting>
  <conditionalFormatting sqref="K94:K95">
    <cfRule type="cellIs" dxfId="2123" priority="193" stopIfTrue="1" operator="lessThan">
      <formula>100%</formula>
    </cfRule>
  </conditionalFormatting>
  <conditionalFormatting sqref="L10:L31">
    <cfRule type="cellIs" dxfId="2122" priority="16" operator="between">
      <formula>61</formula>
      <formula>65</formula>
    </cfRule>
    <cfRule type="cellIs" dxfId="2121" priority="17" operator="greaterThan">
      <formula>65</formula>
    </cfRule>
  </conditionalFormatting>
  <conditionalFormatting sqref="L34:M45">
    <cfRule type="cellIs" dxfId="2120" priority="26" operator="lessThan">
      <formula>97.95</formula>
    </cfRule>
  </conditionalFormatting>
  <conditionalFormatting sqref="L49:N49">
    <cfRule type="cellIs" dxfId="2119" priority="25" operator="notEqual">
      <formula>#REF!</formula>
    </cfRule>
  </conditionalFormatting>
  <conditionalFormatting sqref="L76:N85">
    <cfRule type="cellIs" dxfId="2118" priority="42" stopIfTrue="1" operator="lessThan">
      <formula>100%</formula>
    </cfRule>
  </conditionalFormatting>
  <conditionalFormatting sqref="L87:N95">
    <cfRule type="cellIs" dxfId="2117" priority="171" stopIfTrue="1" operator="lessThan">
      <formula>100%</formula>
    </cfRule>
  </conditionalFormatting>
  <conditionalFormatting sqref="M31">
    <cfRule type="expression" dxfId="2116" priority="22">
      <formula>IF(+(IF(M31&lt;U31,0,IF(M31&gt;V31,0,1)))=0,1)</formula>
    </cfRule>
  </conditionalFormatting>
  <conditionalFormatting sqref="N10:N31">
    <cfRule type="expression" dxfId="2115" priority="21">
      <formula>IF(+(IF(N10&lt;W10,0,IF(N10&gt;X10,0,1)))=0,1)</formula>
    </cfRule>
  </conditionalFormatting>
  <conditionalFormatting sqref="P6">
    <cfRule type="cellIs" dxfId="2114" priority="167" operator="greaterThanOrEqual">
      <formula>19</formula>
    </cfRule>
  </conditionalFormatting>
  <dataValidations count="1">
    <dataValidation type="list" allowBlank="1" showInputMessage="1" showErrorMessage="1" sqref="R8" xr:uid="{FB0E0E22-6B01-4BB5-AC17-17F99003DE1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9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BCDA-1D1F-4DCC-A669-615EDF0ED5AB}">
  <sheetPr>
    <pageSetUpPr fitToPage="1"/>
  </sheetPr>
  <dimension ref="A1:BE74"/>
  <sheetViews>
    <sheetView zoomScale="85" zoomScaleNormal="85" workbookViewId="0">
      <selection activeCell="B16" sqref="B16:O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46303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[4]Brewhouse!$A397</f>
        <v>ST338</v>
      </c>
      <c r="D10" s="279">
        <f>[4]Brewhouse!$AB397</f>
        <v>53</v>
      </c>
      <c r="E10" s="279">
        <f>[4]Brewhouse!$AG397</f>
        <v>48.8</v>
      </c>
      <c r="F10" s="278">
        <f>[4]Brewhouse!$V397</f>
        <v>60</v>
      </c>
      <c r="G10" s="279">
        <f>[4]Brewhouse!$AE397</f>
        <v>11.6</v>
      </c>
      <c r="H10" s="396">
        <v>11.7</v>
      </c>
      <c r="I10" s="368">
        <f>[4]Brewhouse!$AS397</f>
        <v>95.039326872899267</v>
      </c>
      <c r="J10" s="368">
        <f>[4]Brewhouse!$AT397</f>
        <v>95.746071658420689</v>
      </c>
      <c r="K10" s="281">
        <f>[4]Brewhouse!$Q397</f>
        <v>10.518867924528294</v>
      </c>
      <c r="L10" s="276">
        <f>[4]Brewhouse!$P397</f>
        <v>60</v>
      </c>
      <c r="M10" s="374">
        <f>[4]Brewhouse!$U397-[4]Brewhouse!$T397</f>
        <v>0.1159722222222222</v>
      </c>
      <c r="N10" s="370">
        <f>[4]Brewhouse!$AW397</f>
        <v>0.30277777777777776</v>
      </c>
      <c r="O10" s="419" t="str">
        <f>[4]Brewhouse!$AV397</f>
        <v>K. Benjamin</v>
      </c>
      <c r="P10" s="417"/>
      <c r="R10" s="277" t="str">
        <f t="shared" ref="R10:R34" si="0">B10</f>
        <v>STAG</v>
      </c>
      <c r="S10" s="471">
        <f t="shared" ref="S10:S34" si="1">VLOOKUP($B10,$R$3:$X$9,2,FALSE)</f>
        <v>11.6</v>
      </c>
      <c r="T10" s="471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1">
        <f t="shared" ref="Z10:Z34" si="8">VLOOKUP($B10,$R$3:$Z$9,9,FALSE)</f>
        <v>60</v>
      </c>
    </row>
    <row r="11" spans="2:29" ht="15" customHeight="1">
      <c r="B11" s="33" t="s">
        <v>9</v>
      </c>
      <c r="C11" s="366" t="str">
        <f>[4]Brewhouse!$A398</f>
        <v>ST339</v>
      </c>
      <c r="D11" s="279">
        <f>[4]Brewhouse!$AB398</f>
        <v>53.1</v>
      </c>
      <c r="E11" s="279">
        <f>[4]Brewhouse!$AG398</f>
        <v>50.4</v>
      </c>
      <c r="F11" s="278">
        <f>[4]Brewhouse!$V398</f>
        <v>62</v>
      </c>
      <c r="G11" s="279">
        <f>[4]Brewhouse!$AE398</f>
        <v>12</v>
      </c>
      <c r="H11" s="396">
        <v>12</v>
      </c>
      <c r="I11" s="368">
        <f>[4]Brewhouse!$AS398</f>
        <v>101.84679039354425</v>
      </c>
      <c r="J11" s="368">
        <f>[4]Brewhouse!$AT398</f>
        <v>102.60390739766547</v>
      </c>
      <c r="K11" s="281">
        <f>[4]Brewhouse!$Q398</f>
        <v>10.499058380414318</v>
      </c>
      <c r="L11" s="276">
        <f>[4]Brewhouse!$P398</f>
        <v>61</v>
      </c>
      <c r="M11" s="374">
        <f>[4]Brewhouse!$U398-[4]Brewhouse!$T398</f>
        <v>0.1243055555555555</v>
      </c>
      <c r="N11" s="370">
        <f>[4]Brewhouse!$AW398</f>
        <v>0.29027777777777775</v>
      </c>
      <c r="O11" s="419" t="str">
        <f>[4]Brewhouse!$AV398</f>
        <v>K. Benjamin</v>
      </c>
      <c r="P11" s="417"/>
      <c r="R11" s="277" t="str">
        <f t="shared" si="0"/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 t="s">
        <v>9</v>
      </c>
      <c r="C12" s="366" t="str">
        <f>[4]Brewhouse!$A399</f>
        <v>ST340</v>
      </c>
      <c r="D12" s="279">
        <f>[4]Brewhouse!$AB399</f>
        <v>53.1</v>
      </c>
      <c r="E12" s="279">
        <f>[4]Brewhouse!$AG399</f>
        <v>48.6</v>
      </c>
      <c r="F12" s="278">
        <f>[4]Brewhouse!$V399</f>
        <v>69</v>
      </c>
      <c r="G12" s="279">
        <f>[4]Brewhouse!$AE399</f>
        <v>11.6</v>
      </c>
      <c r="H12" s="396">
        <v>12</v>
      </c>
      <c r="I12" s="368">
        <f>[4]Brewhouse!$AS399</f>
        <v>94.176294457189954</v>
      </c>
      <c r="J12" s="368">
        <f>[4]Brewhouse!$AT399</f>
        <v>94.877541814883955</v>
      </c>
      <c r="K12" s="281">
        <f>[4]Brewhouse!$Q399</f>
        <v>12.758945386064028</v>
      </c>
      <c r="L12" s="276">
        <f>[4]Brewhouse!$P399</f>
        <v>61</v>
      </c>
      <c r="M12" s="374">
        <f>[4]Brewhouse!$U399-[4]Brewhouse!$T399</f>
        <v>0.12361111111111112</v>
      </c>
      <c r="N12" s="370">
        <f>[4]Brewhouse!$AW399</f>
        <v>0.27569444444444446</v>
      </c>
      <c r="O12" s="419" t="str">
        <f>[4]Brewhouse!$AV399</f>
        <v>D.Gomaz</v>
      </c>
      <c r="P12" s="417"/>
      <c r="R12" s="277" t="str">
        <f t="shared" si="0"/>
        <v>STAG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33" t="s">
        <v>9</v>
      </c>
      <c r="C13" s="366" t="str">
        <f>[4]Brewhouse!$A400</f>
        <v>ST341</v>
      </c>
      <c r="D13" s="279">
        <f>[4]Brewhouse!$AB400</f>
        <v>53.1</v>
      </c>
      <c r="E13" s="279">
        <f>[4]Brewhouse!$AG400</f>
        <v>50.4</v>
      </c>
      <c r="F13" s="278">
        <f>[4]Brewhouse!$V400</f>
        <v>64</v>
      </c>
      <c r="G13" s="279">
        <f>[4]Brewhouse!$AE400</f>
        <v>11.8</v>
      </c>
      <c r="H13" s="396">
        <v>11.8</v>
      </c>
      <c r="I13" s="368">
        <f>[4]Brewhouse!$AS400</f>
        <v>99.686452242871411</v>
      </c>
      <c r="J13" s="368">
        <f>[4]Brewhouse!$AT400</f>
        <v>100.42824296627992</v>
      </c>
      <c r="K13" s="281">
        <f>[4]Brewhouse!$Q400</f>
        <v>9.7457627118644012</v>
      </c>
      <c r="L13" s="276">
        <f>[4]Brewhouse!$P400</f>
        <v>58</v>
      </c>
      <c r="M13" s="374">
        <f>[4]Brewhouse!$U400-[4]Brewhouse!$T400</f>
        <v>0.1166666666666667</v>
      </c>
      <c r="N13" s="370">
        <f>[4]Brewhouse!$AW400</f>
        <v>0.26527777777777778</v>
      </c>
      <c r="O13" s="419" t="str">
        <f>[4]Brewhouse!$AV400</f>
        <v>D.Gomaz</v>
      </c>
      <c r="P13" s="417"/>
      <c r="R13" s="277" t="str">
        <f t="shared" si="0"/>
        <v>STAG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33" t="s">
        <v>9</v>
      </c>
      <c r="C14" s="366" t="str">
        <f>[4]Brewhouse!$A401</f>
        <v>ST342</v>
      </c>
      <c r="D14" s="279">
        <f>[4]Brewhouse!$AB401</f>
        <v>53.1</v>
      </c>
      <c r="E14" s="279">
        <f>[4]Brewhouse!$AG401</f>
        <v>49.7</v>
      </c>
      <c r="F14" s="278">
        <f>[4]Brewhouse!$V401</f>
        <v>59</v>
      </c>
      <c r="G14" s="279">
        <f>[4]Brewhouse!$AE401</f>
        <v>12</v>
      </c>
      <c r="H14" s="396">
        <v>12</v>
      </c>
      <c r="I14" s="368">
        <f>[4]Brewhouse!$AS401</f>
        <v>100.05446453730306</v>
      </c>
      <c r="J14" s="368">
        <f>[4]Brewhouse!$AT401</f>
        <v>100.798993728176</v>
      </c>
      <c r="K14" s="281">
        <f>[4]Brewhouse!$Q401</f>
        <v>10.12241054613936</v>
      </c>
      <c r="L14" s="276">
        <f>[4]Brewhouse!$P401</f>
        <v>63</v>
      </c>
      <c r="M14" s="374">
        <f>[4]Brewhouse!$U401-[4]Brewhouse!$T401</f>
        <v>0.11458333333333337</v>
      </c>
      <c r="N14" s="370">
        <f>[4]Brewhouse!$AW401</f>
        <v>0.25902777777777775</v>
      </c>
      <c r="O14" s="419" t="str">
        <f>[4]Brewhouse!$AV401</f>
        <v>D.Gomaz</v>
      </c>
      <c r="P14" s="417"/>
      <c r="R14" s="277" t="str">
        <f t="shared" si="0"/>
        <v>STAG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33" t="s">
        <v>9</v>
      </c>
      <c r="C15" s="366" t="str">
        <f>[4]Brewhouse!$A402</f>
        <v>ST343</v>
      </c>
      <c r="D15" s="279">
        <f>[4]Brewhouse!$AB402</f>
        <v>53.1</v>
      </c>
      <c r="E15" s="279">
        <f>[4]Brewhouse!$AG402</f>
        <v>49.2</v>
      </c>
      <c r="F15" s="278">
        <f>[4]Brewhouse!$V402</f>
        <v>60</v>
      </c>
      <c r="G15" s="279">
        <f>[4]Brewhouse!$AE402</f>
        <v>11.7</v>
      </c>
      <c r="H15" s="396">
        <v>11.8</v>
      </c>
      <c r="I15" s="368">
        <f>[4]Brewhouse!$AS402</f>
        <v>97.299514644052692</v>
      </c>
      <c r="J15" s="368">
        <f>[4]Brewhouse!$AT402</f>
        <v>98.021864827060583</v>
      </c>
      <c r="K15" s="281">
        <f>[4]Brewhouse!$Q402</f>
        <v>9.5574387947269361</v>
      </c>
      <c r="L15" s="276">
        <f>[4]Brewhouse!$P402</f>
        <v>58</v>
      </c>
      <c r="M15" s="374">
        <f>[4]Brewhouse!$U402-[4]Brewhouse!$T402</f>
        <v>0.10972222222222217</v>
      </c>
      <c r="N15" s="370">
        <f>[4]Brewhouse!$AW402</f>
        <v>0.26111111111111107</v>
      </c>
      <c r="O15" s="419" t="str">
        <f>[4]Brewhouse!$AV402</f>
        <v>R.Sookram</v>
      </c>
      <c r="P15" s="417"/>
      <c r="R15" s="277" t="str">
        <f t="shared" si="0"/>
        <v>STAG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33" t="s">
        <v>9</v>
      </c>
      <c r="C16" s="366" t="str">
        <f>[4]Brewhouse!$A403</f>
        <v>ST344</v>
      </c>
      <c r="D16" s="279">
        <f>[4]Brewhouse!$AB403</f>
        <v>53.1</v>
      </c>
      <c r="E16" s="279">
        <f>[4]Brewhouse!$AG403</f>
        <v>49.1</v>
      </c>
      <c r="F16" s="278">
        <f>[4]Brewhouse!$V403</f>
        <v>57</v>
      </c>
      <c r="G16" s="279">
        <f>[4]Brewhouse!$AE403</f>
        <v>11.7</v>
      </c>
      <c r="H16" s="490">
        <v>12.1</v>
      </c>
      <c r="I16" s="368">
        <f>[4]Brewhouse!$AS403</f>
        <v>96.73465116514339</v>
      </c>
      <c r="J16" s="368">
        <f>[4]Brewhouse!$AT403</f>
        <v>97.453526703291658</v>
      </c>
      <c r="K16" s="281">
        <f>[4]Brewhouse!$Q403</f>
        <v>10.310734463276837</v>
      </c>
      <c r="L16" s="276">
        <f>[4]Brewhouse!$P403</f>
        <v>58</v>
      </c>
      <c r="M16" s="374">
        <f>[4]Brewhouse!$U403-[4]Brewhouse!$T403</f>
        <v>0.1215277777777779</v>
      </c>
      <c r="N16" s="370">
        <f>[4]Brewhouse!$AW403</f>
        <v>0.27847222222222234</v>
      </c>
      <c r="O16" s="419" t="str">
        <f>[4]Brewhouse!$AV403</f>
        <v>R.Sookram</v>
      </c>
      <c r="P16" s="417"/>
      <c r="R16" s="277" t="str">
        <f t="shared" si="0"/>
        <v>STAG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7" ht="1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1:27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7" ht="1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7" ht="15" customHeight="1">
      <c r="B20" s="36"/>
      <c r="C20" s="366"/>
      <c r="D20" s="279"/>
      <c r="E20" s="279"/>
      <c r="F20" s="278"/>
      <c r="G20" s="279"/>
      <c r="H20" s="396"/>
      <c r="I20" s="487"/>
      <c r="J20" s="487"/>
      <c r="K20" s="488"/>
      <c r="L20" s="276"/>
      <c r="M20" s="374"/>
      <c r="N20" s="370"/>
      <c r="O20" s="419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7" ht="17.25" customHeight="1" thickBot="1">
      <c r="B21" s="358"/>
      <c r="C21" s="358"/>
      <c r="D21" s="358"/>
      <c r="E21" s="358"/>
      <c r="F21" s="294"/>
      <c r="G21" s="294"/>
      <c r="H21" s="348"/>
      <c r="I21" s="570"/>
      <c r="J21" s="570"/>
      <c r="K21" s="570"/>
      <c r="L21" s="570"/>
      <c r="M21" s="570"/>
      <c r="N21" s="570"/>
      <c r="O21" s="1"/>
      <c r="P21" s="12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7" ht="17.25" customHeight="1" thickBot="1">
      <c r="B22" s="482" t="s">
        <v>162</v>
      </c>
      <c r="C22" s="388"/>
      <c r="D22" s="540" t="s">
        <v>35</v>
      </c>
      <c r="E22" s="541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7" ht="17.25" customHeight="1">
      <c r="A23" s="28"/>
      <c r="B23" s="594"/>
      <c r="C23" s="483"/>
      <c r="D23" s="527"/>
      <c r="E23" s="528"/>
      <c r="F23" s="294"/>
      <c r="G23" s="294"/>
      <c r="H23" s="348"/>
      <c r="I23" s="29" t="s">
        <v>6</v>
      </c>
      <c r="J23" s="323"/>
      <c r="K23" s="284">
        <f>COUNTA([3]Brewhouse!$A$789:$A$808)</f>
        <v>20</v>
      </c>
      <c r="L23" s="305">
        <f>AVERAGE([3]Brewhouse!$AU$789:$AU$808)</f>
        <v>97.589415567513441</v>
      </c>
      <c r="M2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$808)</f>
        <v>98.311550250952394</v>
      </c>
      <c r="N23" s="30">
        <v>98</v>
      </c>
      <c r="O23" s="11"/>
      <c r="P23" s="31"/>
      <c r="R23" s="277">
        <f t="shared" si="0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7" ht="15" customHeight="1">
      <c r="A24" s="28"/>
      <c r="B24" s="572"/>
      <c r="C24" s="362"/>
      <c r="D24" s="529"/>
      <c r="E24" s="530"/>
      <c r="F24" s="294"/>
      <c r="G24" s="294"/>
      <c r="H24" s="348"/>
      <c r="I24" s="33" t="s">
        <v>9</v>
      </c>
      <c r="J24" s="323">
        <f>AVERAGE(I10:I16)</f>
        <v>97.833927759000588</v>
      </c>
      <c r="K24" s="284">
        <f>COUNTA([4]Brewhouse!$A$390:$A$403)</f>
        <v>14</v>
      </c>
      <c r="L24" s="302">
        <f>AVERAGE([4]Brewhouse!$AS$390:$AS$403)</f>
        <v>97.848442816069223</v>
      </c>
      <c r="M24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$403)</f>
        <v>98.293827183051718</v>
      </c>
      <c r="N24" s="30">
        <v>98</v>
      </c>
      <c r="O24" s="11"/>
      <c r="P24" s="31"/>
      <c r="R24" s="277">
        <f t="shared" si="0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7" ht="14.65" customHeight="1">
      <c r="A25" s="28"/>
      <c r="B25" s="572"/>
      <c r="C25" s="362"/>
      <c r="D25" s="534"/>
      <c r="E25" s="535"/>
      <c r="F25" s="294"/>
      <c r="G25" s="294"/>
      <c r="H25" s="348"/>
      <c r="I25" s="34" t="s">
        <v>12</v>
      </c>
      <c r="J25" s="323"/>
      <c r="K25" s="284"/>
      <c r="L25" s="302"/>
      <c r="M25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5" s="30">
        <v>98</v>
      </c>
      <c r="O25" s="11"/>
      <c r="P25" s="31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7" ht="14.65" customHeight="1">
      <c r="A26" s="28"/>
      <c r="B26" s="572"/>
      <c r="C26" s="362"/>
      <c r="D26" s="536"/>
      <c r="E26" s="530"/>
      <c r="F26" s="294"/>
      <c r="G26" s="294"/>
      <c r="H26" s="348"/>
      <c r="I26" s="22" t="s">
        <v>33</v>
      </c>
      <c r="J26" s="280"/>
      <c r="K26" s="284"/>
      <c r="L26" s="302"/>
      <c r="M26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6" s="30">
        <v>98</v>
      </c>
      <c r="O26" s="11"/>
      <c r="P26" s="31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7" ht="14.65" customHeight="1">
      <c r="A27" s="28"/>
      <c r="B27" s="572"/>
      <c r="C27" s="362"/>
      <c r="D27" s="534"/>
      <c r="E27" s="535"/>
      <c r="F27" s="294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7" ht="14.65" customHeight="1">
      <c r="A28" s="28"/>
      <c r="B28" s="572"/>
      <c r="C28" s="362"/>
      <c r="D28" s="536"/>
      <c r="E28" s="530"/>
      <c r="F28" s="416"/>
      <c r="G28" s="294"/>
      <c r="H28" s="348"/>
      <c r="I28" s="36" t="s">
        <v>15</v>
      </c>
      <c r="J28" s="323"/>
      <c r="K28" s="284"/>
      <c r="L28" s="302"/>
      <c r="M28" s="302">
        <f>AVERAGE([7]Brewhouse!$AT$4:$AT$11,[7]Brewhouse!$AT$13:$AT$16,[7]Brewhouse!$AT$18:$AT$30)</f>
        <v>93.22262799886262</v>
      </c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7" ht="14.65" customHeight="1">
      <c r="A29" s="28"/>
      <c r="B29" s="572"/>
      <c r="C29" s="362"/>
      <c r="D29" s="534"/>
      <c r="E29" s="535"/>
      <c r="F29" s="416"/>
      <c r="G29" s="294"/>
      <c r="H29" s="348"/>
      <c r="I29" s="37" t="s">
        <v>16</v>
      </c>
      <c r="J29" s="323"/>
      <c r="K29" s="284"/>
      <c r="L29" s="302"/>
      <c r="M29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29" s="30">
        <v>98</v>
      </c>
      <c r="O29" s="11"/>
      <c r="P29" s="31" t="s">
        <v>41</v>
      </c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7" ht="14.65" customHeight="1">
      <c r="A30" s="28"/>
      <c r="B30" s="572"/>
      <c r="C30" s="362"/>
      <c r="D30" s="536"/>
      <c r="E30" s="530"/>
      <c r="F30" s="294"/>
      <c r="G30" s="294"/>
      <c r="H30" s="348"/>
      <c r="I30" s="410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7" ht="14.65" customHeight="1">
      <c r="A31" s="28"/>
      <c r="B31" s="572"/>
      <c r="C31" s="362"/>
      <c r="D31" s="534"/>
      <c r="E31" s="535"/>
      <c r="F31" s="294"/>
      <c r="G31" s="294"/>
      <c r="H31" s="348"/>
      <c r="I31" s="409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  <c r="AA31" s="471"/>
    </row>
    <row r="32" spans="1:27" ht="15" customHeight="1" thickBot="1">
      <c r="A32" s="28"/>
      <c r="B32" s="572"/>
      <c r="C32" s="362"/>
      <c r="D32" s="536"/>
      <c r="E32" s="530"/>
      <c r="F32" s="294"/>
      <c r="G32" s="294"/>
      <c r="H32" s="348"/>
      <c r="I32" s="405" t="s">
        <v>156</v>
      </c>
      <c r="J32" s="327"/>
      <c r="K32" s="406"/>
      <c r="L32" s="407"/>
      <c r="M32" s="407"/>
      <c r="N32" s="408">
        <v>98</v>
      </c>
      <c r="O32" s="11"/>
      <c r="P32" s="31"/>
      <c r="R32" s="277">
        <f t="shared" si="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  <c r="AA32" s="471"/>
    </row>
    <row r="33" spans="1:56" ht="15" customHeight="1" thickBot="1">
      <c r="A33" s="28"/>
      <c r="B33" s="572"/>
      <c r="C33" s="349"/>
      <c r="D33" s="527"/>
      <c r="E33" s="528"/>
      <c r="F33" s="294"/>
      <c r="G33" s="294"/>
      <c r="H33" s="348"/>
      <c r="I33" s="1"/>
      <c r="J33" s="39"/>
      <c r="K33" s="403">
        <f>SUM(K23:K32)</f>
        <v>34</v>
      </c>
      <c r="L33" s="404">
        <f>((L23*K23)+(L24*K24)+(L25*K25)+(L26*K26)+(L27*K27)+(K30*L30)+(L28*K28)+(L29*K29)+(L32*K32))/(K33)</f>
        <v>97.69607384633052</v>
      </c>
      <c r="M33" s="404">
        <f>AVERAGE('[9]Jan30th-31st'!$L$42,'[10]Feb 27th-28th'!$L$45,'[11]Mar 31st'!$L$42,'[12]Apr 30th'!$L$41,'[13]May 29th '!$L$35,'[14]June 30th'!$L$32,[15]July31st!$L$36,'[16]Aug 31st'!$L$32,L33)</f>
        <v>97.947486474683757</v>
      </c>
      <c r="N33" s="40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  <c r="AA33" s="471"/>
    </row>
    <row r="34" spans="1:56" ht="15.75" thickBot="1">
      <c r="B34" s="595"/>
      <c r="C34" s="350"/>
      <c r="D34" s="529"/>
      <c r="E34" s="530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  <c r="AA34" s="471"/>
    </row>
    <row r="35" spans="1:56" ht="15.75" thickBot="1">
      <c r="B35" s="524"/>
      <c r="C35" s="362"/>
      <c r="D35" s="527"/>
      <c r="E35" s="528"/>
      <c r="F35" s="294"/>
      <c r="G35" s="42"/>
      <c r="H35" s="41"/>
      <c r="I35" s="42"/>
      <c r="J35" s="531" t="s">
        <v>129</v>
      </c>
      <c r="K35" s="531"/>
      <c r="L35" s="294"/>
      <c r="M35" s="294"/>
      <c r="N35" s="294"/>
      <c r="O35" s="294"/>
      <c r="P35" s="12"/>
    </row>
    <row r="36" spans="1:56" ht="15.75" thickBot="1">
      <c r="B36" s="525"/>
      <c r="C36" s="362"/>
      <c r="D36" s="529"/>
      <c r="E36" s="530"/>
      <c r="F36" s="294"/>
      <c r="G36" s="42"/>
      <c r="H36" s="42"/>
      <c r="I36" s="42"/>
      <c r="J36" s="292" t="s">
        <v>17</v>
      </c>
      <c r="K36" s="293"/>
      <c r="L36" s="532" t="s">
        <v>136</v>
      </c>
      <c r="M36" s="532"/>
      <c r="N36" s="533"/>
      <c r="O36" s="294"/>
      <c r="P36" s="12"/>
    </row>
    <row r="37" spans="1:56" ht="15" customHeight="1" thickBot="1">
      <c r="B37" s="525"/>
      <c r="C37" s="349"/>
      <c r="D37" s="534"/>
      <c r="E37" s="535"/>
      <c r="F37" s="294"/>
      <c r="G37" s="42"/>
      <c r="H37" s="42"/>
      <c r="I37" s="42"/>
      <c r="J37" s="287" t="s">
        <v>6</v>
      </c>
      <c r="K37" s="324"/>
      <c r="L37" s="472" t="s">
        <v>37</v>
      </c>
      <c r="M37" s="473" t="s">
        <v>38</v>
      </c>
      <c r="N37" s="473" t="s">
        <v>84</v>
      </c>
      <c r="O37" s="294"/>
      <c r="P37" s="12"/>
    </row>
    <row r="38" spans="1:56" ht="15.75" customHeight="1" thickBot="1">
      <c r="B38" s="525"/>
      <c r="C38" s="349"/>
      <c r="D38" s="536"/>
      <c r="E38" s="530"/>
      <c r="F38" s="294"/>
      <c r="G38" s="42"/>
      <c r="H38" s="42"/>
      <c r="I38" s="42"/>
      <c r="J38" s="345" t="s">
        <v>9</v>
      </c>
      <c r="K38" s="324">
        <v>7</v>
      </c>
      <c r="L38" s="484">
        <f>AVERAGE('Oct 1st'!K52,'Oct 2nd'!K44,'Oct 5th'!K51,'Oct 6th'!K58,K47)</f>
        <v>6.8</v>
      </c>
      <c r="M38" s="485">
        <f>AVERAGE('[9]Jan30th-31st'!$L$47,L38,'[10]Feb 26th '!$L$39,'[11]Mar 31st'!$L$47,'[12]Apr 30th'!$L$46,'[13]May 29th '!$L$40,'[14]June 30th'!$L$39,[15]July31st!$L$41,'[16]Aug 31st'!$L$37,'[18]Sept 30th'!$L$37)</f>
        <v>6.5535341470124084</v>
      </c>
      <c r="N38" s="415">
        <v>9.1999999999999993</v>
      </c>
      <c r="O38" s="294"/>
      <c r="P38" s="12"/>
    </row>
    <row r="39" spans="1:56" ht="15" customHeight="1">
      <c r="B39" s="525"/>
      <c r="C39" s="349"/>
      <c r="D39" s="534"/>
      <c r="E39" s="535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5"/>
      <c r="C40" s="349"/>
      <c r="D40" s="536"/>
      <c r="E40" s="530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5"/>
      <c r="C41" s="349"/>
      <c r="D41" s="534"/>
      <c r="E41" s="535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5"/>
      <c r="C42" s="349"/>
      <c r="D42" s="536"/>
      <c r="E42" s="530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5"/>
      <c r="C43" s="349"/>
      <c r="D43" s="534"/>
      <c r="E43" s="535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6"/>
      <c r="C44" s="350"/>
      <c r="D44" s="537"/>
      <c r="E44" s="538"/>
      <c r="F44" s="294" t="s">
        <v>165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15"/>
      <c r="E45" s="516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7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I48" s="42"/>
      <c r="L48" s="42"/>
      <c r="N48" s="315"/>
      <c r="P48" s="334"/>
    </row>
    <row r="49" spans="2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2:57" ht="15" customHeight="1" thickBot="1">
      <c r="B50" s="509" t="s">
        <v>17</v>
      </c>
      <c r="C50" s="509" t="s">
        <v>44</v>
      </c>
      <c r="D50" s="518" t="s">
        <v>45</v>
      </c>
      <c r="E50" s="520" t="s">
        <v>46</v>
      </c>
      <c r="F50" s="522" t="s">
        <v>47</v>
      </c>
      <c r="G50" s="507" t="s">
        <v>48</v>
      </c>
      <c r="H50" s="509" t="s">
        <v>49</v>
      </c>
      <c r="I50" s="509" t="s">
        <v>50</v>
      </c>
      <c r="J50" s="501" t="s">
        <v>28</v>
      </c>
      <c r="K50" s="511" t="s">
        <v>51</v>
      </c>
      <c r="L50" s="513" t="s">
        <v>52</v>
      </c>
      <c r="M50" s="501" t="s">
        <v>53</v>
      </c>
      <c r="N50" s="13"/>
      <c r="O50" s="13"/>
      <c r="P50" s="50"/>
    </row>
    <row r="51" spans="2:57" ht="28.5" customHeight="1" thickTop="1" thickBot="1">
      <c r="B51" s="510"/>
      <c r="C51" s="517"/>
      <c r="D51" s="519"/>
      <c r="E51" s="521"/>
      <c r="F51" s="523"/>
      <c r="G51" s="508"/>
      <c r="H51" s="510"/>
      <c r="I51" s="510"/>
      <c r="J51" s="502"/>
      <c r="K51" s="512"/>
      <c r="L51" s="514"/>
      <c r="M51" s="502"/>
      <c r="N51" s="13"/>
      <c r="O51" s="13"/>
      <c r="P51" s="50"/>
      <c r="Q51" s="355"/>
      <c r="AB51" s="474">
        <v>43474</v>
      </c>
      <c r="AC51" s="474">
        <v>43475</v>
      </c>
      <c r="AD51" s="474">
        <v>43476</v>
      </c>
      <c r="AE51" s="474">
        <v>43477</v>
      </c>
      <c r="AF51" s="474">
        <v>43478</v>
      </c>
      <c r="AG51" s="474">
        <v>43479</v>
      </c>
      <c r="AH51" s="474">
        <v>43480</v>
      </c>
      <c r="AI51" s="474">
        <v>43481</v>
      </c>
      <c r="AJ51" s="474">
        <v>43482</v>
      </c>
      <c r="AK51" s="474">
        <v>43483</v>
      </c>
      <c r="AL51" s="474">
        <v>43484</v>
      </c>
      <c r="AM51" s="474">
        <v>43485</v>
      </c>
      <c r="AN51" s="474">
        <v>43486</v>
      </c>
      <c r="AO51" s="474">
        <v>43487</v>
      </c>
      <c r="AP51" s="474">
        <v>43488</v>
      </c>
      <c r="AQ51" s="474">
        <v>43489</v>
      </c>
      <c r="AR51" s="474">
        <v>43490</v>
      </c>
      <c r="AS51" s="474">
        <v>43491</v>
      </c>
      <c r="AT51" s="474">
        <v>43492</v>
      </c>
      <c r="AU51" s="474">
        <v>43493</v>
      </c>
      <c r="AV51" s="474">
        <v>43494</v>
      </c>
      <c r="AW51" s="474">
        <v>43495</v>
      </c>
      <c r="AX51" s="474">
        <v>43496</v>
      </c>
    </row>
    <row r="52" spans="2:57" s="54" customFormat="1" ht="36.75" customHeight="1" thickBot="1">
      <c r="B52" s="455" t="str">
        <f>J37</f>
        <v>CARIB</v>
      </c>
      <c r="C52" s="478">
        <v>46302</v>
      </c>
      <c r="D52" s="444">
        <f>[19]October_2026!$J$3</f>
        <v>102.69999999999999</v>
      </c>
      <c r="E52" s="442"/>
      <c r="F52" s="443"/>
      <c r="G52" s="443">
        <f>[19]October_2026!$J$7</f>
        <v>96.8</v>
      </c>
      <c r="H52" s="457"/>
      <c r="I52" s="457"/>
      <c r="J52" s="447" t="s">
        <v>150</v>
      </c>
      <c r="K52" s="448">
        <f>[20]October_2026!$J$18</f>
        <v>0.33964912280701753</v>
      </c>
      <c r="L52" s="456">
        <f>(((D52+E52)-G52)/(D52+E52))*100</f>
        <v>5.744888023369028</v>
      </c>
      <c r="M52" s="454" t="s">
        <v>172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[21]January_2019!L5</f>
        <v>0</v>
      </c>
      <c r="AC52" s="57">
        <f>[21]January_2019!M5</f>
        <v>0</v>
      </c>
      <c r="AD52" s="57">
        <f>[21]January_2019!N5</f>
        <v>0</v>
      </c>
      <c r="AE52" s="57">
        <f>[21]January_2019!O5</f>
        <v>0</v>
      </c>
      <c r="AF52" s="57">
        <f>[21]January_2019!P5</f>
        <v>0</v>
      </c>
      <c r="AG52" s="57">
        <f>[21]January_2019!Q5</f>
        <v>0</v>
      </c>
      <c r="AH52" s="57">
        <f>[21]January_2019!R5</f>
        <v>0</v>
      </c>
      <c r="AI52" s="57">
        <f>[21]January_2019!S5</f>
        <v>0</v>
      </c>
      <c r="AJ52" s="57">
        <f>[21]January_2019!T5</f>
        <v>0</v>
      </c>
      <c r="AK52" s="57">
        <f>[21]January_2019!U5</f>
        <v>0</v>
      </c>
      <c r="AL52" s="57">
        <f>[21]January_2019!V5</f>
        <v>0</v>
      </c>
      <c r="AM52" s="57">
        <f>[21]January_2019!W5</f>
        <v>0</v>
      </c>
      <c r="AN52" s="57">
        <f>[21]January_2019!X5</f>
        <v>0</v>
      </c>
      <c r="AO52" s="57">
        <f>[21]January_2019!Y5</f>
        <v>0</v>
      </c>
      <c r="AP52" s="57">
        <f>[21]January_2019!Z5</f>
        <v>0</v>
      </c>
      <c r="AQ52" s="57">
        <f>[21]January_2019!AA5</f>
        <v>0</v>
      </c>
      <c r="AR52" s="57">
        <f>[21]January_2019!AB5</f>
        <v>0</v>
      </c>
      <c r="AS52" s="57">
        <f>[21]January_2019!AC5</f>
        <v>0</v>
      </c>
      <c r="AT52" s="57">
        <f>[21]January_2019!AD5</f>
        <v>0</v>
      </c>
      <c r="AU52" s="57">
        <f>[21]January_2019!AE5</f>
        <v>0</v>
      </c>
      <c r="AV52" s="57">
        <f>[21]January_2019!AF5</f>
        <v>0</v>
      </c>
      <c r="AW52" s="57">
        <f>[21]January_2019!AG5</f>
        <v>0</v>
      </c>
      <c r="AX52" s="277">
        <f>[21]January_2019!AH5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4.25" customHeight="1" thickBot="1">
      <c r="B53" s="479"/>
      <c r="C53" s="478"/>
      <c r="D53" s="441"/>
      <c r="E53" s="442"/>
      <c r="F53" s="443"/>
      <c r="G53" s="444"/>
      <c r="H53" s="457"/>
      <c r="I53" s="457"/>
      <c r="J53" s="475"/>
      <c r="K53" s="448"/>
      <c r="L53" s="456"/>
      <c r="M53" s="454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[21]January_2019!L6</f>
        <v>0</v>
      </c>
      <c r="AC53" s="57">
        <f>[21]January_2019!M6</f>
        <v>0</v>
      </c>
      <c r="AD53" s="57">
        <f>[21]January_2019!N6</f>
        <v>0</v>
      </c>
      <c r="AE53" s="57">
        <f>[21]January_2019!O6</f>
        <v>0</v>
      </c>
      <c r="AF53" s="57">
        <f>[21]January_2019!P6</f>
        <v>0</v>
      </c>
      <c r="AG53" s="57">
        <f>[21]January_2019!Q6</f>
        <v>0</v>
      </c>
      <c r="AH53" s="57">
        <f>[21]January_2019!R6</f>
        <v>0</v>
      </c>
      <c r="AI53" s="57">
        <f>[21]January_2019!S6</f>
        <v>0</v>
      </c>
      <c r="AJ53" s="57">
        <f>[21]January_2019!T6</f>
        <v>0</v>
      </c>
      <c r="AK53" s="57">
        <f>[21]January_2019!U6</f>
        <v>0</v>
      </c>
      <c r="AL53" s="57">
        <f>[21]January_2019!V6</f>
        <v>0</v>
      </c>
      <c r="AM53" s="57">
        <f>[21]January_2019!W6</f>
        <v>0</v>
      </c>
      <c r="AN53" s="57">
        <f>[21]January_2019!X6</f>
        <v>0</v>
      </c>
      <c r="AO53" s="57">
        <f>[21]January_2019!Y6</f>
        <v>0</v>
      </c>
      <c r="AP53" s="57">
        <f>[21]January_2019!Z6</f>
        <v>0</v>
      </c>
      <c r="AQ53" s="57">
        <f>[21]January_2019!AA6</f>
        <v>0</v>
      </c>
      <c r="AR53" s="57">
        <f>[21]January_2019!AB6</f>
        <v>0</v>
      </c>
      <c r="AS53" s="57">
        <f>[21]January_2019!AC6</f>
        <v>0</v>
      </c>
      <c r="AT53" s="57">
        <f>[21]January_2019!AD6</f>
        <v>0</v>
      </c>
      <c r="AU53" s="57">
        <f>[21]January_2019!AE6</f>
        <v>0</v>
      </c>
      <c r="AV53" s="57">
        <f>[21]January_2019!AF6</f>
        <v>0</v>
      </c>
      <c r="AW53" s="57">
        <f>[21]January_2019!AG6</f>
        <v>0</v>
      </c>
      <c r="AX53" s="277">
        <f>[21]January_2019!AH6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55" t="str">
        <f>J37</f>
        <v>CARIB</v>
      </c>
      <c r="C54" s="478">
        <v>46301</v>
      </c>
      <c r="D54" s="441"/>
      <c r="E54" s="442"/>
      <c r="F54" s="443"/>
      <c r="G54" s="443"/>
      <c r="H54" s="445"/>
      <c r="I54" s="445"/>
      <c r="J54" s="447" t="s">
        <v>150</v>
      </c>
      <c r="K54" s="448"/>
      <c r="L54" s="456" t="e">
        <f>(((D54+E54)-G54)/(D54+E54))*100</f>
        <v>#DIV/0!</v>
      </c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[21]January_2019!L7</f>
        <v>285.8</v>
      </c>
      <c r="AC54" s="57">
        <f>[21]January_2019!M7</f>
        <v>508.1</v>
      </c>
      <c r="AD54" s="57">
        <f>[21]January_2019!N7</f>
        <v>0</v>
      </c>
      <c r="AE54" s="57">
        <f>[21]January_2019!O7</f>
        <v>0</v>
      </c>
      <c r="AF54" s="57">
        <f>[21]January_2019!P7</f>
        <v>109.56666666666666</v>
      </c>
      <c r="AG54" s="57">
        <f>[21]January_2019!Q7</f>
        <v>297.64999999999998</v>
      </c>
      <c r="AH54" s="57">
        <f>[21]January_2019!R7</f>
        <v>122.3</v>
      </c>
      <c r="AI54" s="57">
        <f>[21]January_2019!S7</f>
        <v>0</v>
      </c>
      <c r="AJ54" s="57">
        <f>[21]January_2019!T7</f>
        <v>294.7</v>
      </c>
      <c r="AK54" s="57">
        <f>[21]January_2019!U7</f>
        <v>280.5</v>
      </c>
      <c r="AL54" s="57">
        <f>[21]January_2019!V7</f>
        <v>0</v>
      </c>
      <c r="AM54" s="57">
        <f>[21]January_2019!W7</f>
        <v>0</v>
      </c>
      <c r="AN54" s="57">
        <f>[21]January_2019!X7</f>
        <v>188.25</v>
      </c>
      <c r="AO54" s="57">
        <f>[21]January_2019!Y7</f>
        <v>295.7</v>
      </c>
      <c r="AP54" s="57">
        <f>[21]January_2019!Z7</f>
        <v>257.8</v>
      </c>
      <c r="AQ54" s="57">
        <f>[21]January_2019!AA7</f>
        <v>291.2</v>
      </c>
      <c r="AR54" s="57">
        <f>[21]January_2019!AB7</f>
        <v>187</v>
      </c>
      <c r="AS54" s="57">
        <f>[21]January_2019!AC7</f>
        <v>0</v>
      </c>
      <c r="AT54" s="57">
        <f>[21]January_2019!AD7</f>
        <v>0</v>
      </c>
      <c r="AU54" s="57">
        <f>[21]January_2019!AE7</f>
        <v>485.1</v>
      </c>
      <c r="AV54" s="57">
        <f>[21]January_2019!AF7</f>
        <v>171.55</v>
      </c>
      <c r="AW54" s="57">
        <f>[21]January_2019!AG7</f>
        <v>423.8</v>
      </c>
      <c r="AX54" s="277">
        <f>[21]January_2019!AH7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8.600000000000001" hidden="1" customHeight="1" thickBot="1">
      <c r="B55" s="477"/>
      <c r="C55" s="429"/>
      <c r="D55" s="430"/>
      <c r="E55" s="431"/>
      <c r="F55" s="432"/>
      <c r="G55" s="433"/>
      <c r="H55" s="457"/>
      <c r="I55" s="457"/>
      <c r="J55" s="450"/>
      <c r="K55" s="435"/>
      <c r="L55" s="451"/>
      <c r="M55" s="420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65" hidden="1" customHeight="1" thickBot="1">
      <c r="B56" s="486"/>
      <c r="C56" s="478"/>
      <c r="D56" s="441"/>
      <c r="E56" s="442"/>
      <c r="F56" s="443"/>
      <c r="G56" s="444"/>
      <c r="H56" s="457"/>
      <c r="I56" s="457"/>
      <c r="J56" s="447"/>
      <c r="K56" s="458"/>
      <c r="L56" s="456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2"/>
      <c r="C57" s="429"/>
      <c r="D57" s="430"/>
      <c r="E57" s="431"/>
      <c r="F57" s="432"/>
      <c r="G57" s="433"/>
      <c r="H57" s="434"/>
      <c r="I57" s="449"/>
      <c r="J57" s="450"/>
      <c r="K57" s="435"/>
      <c r="L57" s="451"/>
      <c r="M57" s="42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0"/>
      <c r="C58" s="478"/>
      <c r="D58" s="441"/>
      <c r="E58" s="442"/>
      <c r="F58" s="443"/>
      <c r="G58" s="444"/>
      <c r="H58" s="445"/>
      <c r="I58" s="446"/>
      <c r="J58" s="447"/>
      <c r="K58" s="448"/>
      <c r="L58" s="456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6"/>
      <c r="C59" s="422"/>
      <c r="D59" s="423"/>
      <c r="E59" s="424"/>
      <c r="F59" s="425"/>
      <c r="G59" s="426"/>
      <c r="H59" s="427"/>
      <c r="I59" s="437"/>
      <c r="J59" s="438"/>
      <c r="K59" s="428"/>
      <c r="L59" s="439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4"/>
      <c r="AC59" s="414"/>
      <c r="AD59" s="414"/>
      <c r="AE59" s="414"/>
      <c r="AF59" s="414"/>
      <c r="AG59" s="414"/>
      <c r="AH59" s="414"/>
      <c r="AI59" s="414"/>
      <c r="AJ59" s="414"/>
      <c r="AK59" s="414"/>
      <c r="AL59" s="414"/>
      <c r="AM59" s="414"/>
      <c r="AN59" s="414"/>
      <c r="AO59" s="414"/>
      <c r="AP59" s="414"/>
      <c r="AQ59" s="414"/>
      <c r="AR59" s="414"/>
      <c r="AS59" s="414"/>
      <c r="AT59" s="414"/>
      <c r="AU59" s="414"/>
      <c r="AV59" s="414"/>
      <c r="AW59" s="414"/>
    </row>
    <row r="60" spans="2:57" s="54" customFormat="1" ht="37.15" hidden="1" customHeight="1" thickBot="1">
      <c r="B60" s="455"/>
      <c r="C60" s="440"/>
      <c r="D60" s="441"/>
      <c r="E60" s="442"/>
      <c r="F60" s="443"/>
      <c r="G60" s="444"/>
      <c r="H60" s="445"/>
      <c r="I60" s="446"/>
      <c r="J60" s="447"/>
      <c r="K60" s="448"/>
      <c r="L60" s="456"/>
      <c r="M60" s="453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5"/>
      <c r="C61" s="429"/>
      <c r="D61" s="459"/>
      <c r="E61" s="460"/>
      <c r="F61" s="461"/>
      <c r="G61" s="459"/>
      <c r="H61" s="462"/>
      <c r="I61" s="462"/>
      <c r="J61" s="462"/>
      <c r="K61" s="463"/>
      <c r="L61" s="464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03" t="s">
        <v>55</v>
      </c>
      <c r="C63" s="504"/>
      <c r="D63" s="504"/>
      <c r="E63" s="504"/>
      <c r="F63" s="505"/>
      <c r="G63" s="503" t="s">
        <v>56</v>
      </c>
      <c r="H63" s="504"/>
      <c r="I63" s="504"/>
      <c r="J63" s="505"/>
      <c r="K63" s="503" t="s">
        <v>51</v>
      </c>
      <c r="L63" s="504"/>
      <c r="M63" s="504"/>
      <c r="N63" s="506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65">
        <f>L52</f>
        <v>5.744888023369028</v>
      </c>
      <c r="D65" s="76">
        <v>5.2478618284480651</v>
      </c>
      <c r="E65" s="76">
        <v>6.3923476153523184</v>
      </c>
      <c r="F65" s="66">
        <v>4.8</v>
      </c>
      <c r="G65" s="65">
        <f>[19]October_2026!$J$11</f>
        <v>6.1252557068905515</v>
      </c>
      <c r="H65" s="476">
        <v>5.963275310235316</v>
      </c>
      <c r="I65" s="476">
        <v>6.5069923206308973</v>
      </c>
      <c r="J65" s="66">
        <v>4.8</v>
      </c>
      <c r="K65" s="67">
        <f>AVERAGE(K52)</f>
        <v>0.33964912280701753</v>
      </c>
      <c r="L65" s="194">
        <v>0.73442105263157886</v>
      </c>
      <c r="M65" s="194">
        <v>0.54799259796201205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>
        <v>6.034529382425224</v>
      </c>
      <c r="F66" s="66">
        <v>4.8</v>
      </c>
      <c r="G66" s="65"/>
      <c r="H66" s="76"/>
      <c r="I66" s="76">
        <v>5.9275658832823668</v>
      </c>
      <c r="J66" s="66">
        <v>4.8</v>
      </c>
      <c r="K66" s="67"/>
      <c r="L66" s="194"/>
      <c r="M66" s="194">
        <v>0.68249290906882254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>
        <v>10.890214570112384</v>
      </c>
      <c r="F67" s="66">
        <v>5.5</v>
      </c>
      <c r="G67" s="65"/>
      <c r="H67" s="76"/>
      <c r="I67" s="76">
        <v>11.797659278069149</v>
      </c>
      <c r="J67" s="66">
        <v>5.5</v>
      </c>
      <c r="K67" s="67"/>
      <c r="L67" s="194"/>
      <c r="M67" s="194">
        <v>0.35370190356844494</v>
      </c>
      <c r="N67" s="68">
        <v>1</v>
      </c>
      <c r="P67" s="69"/>
    </row>
    <row r="68" spans="2:16" ht="15">
      <c r="B68" s="22" t="s">
        <v>33</v>
      </c>
      <c r="C68" s="65"/>
      <c r="D68" s="76">
        <v>2.6160971335586405</v>
      </c>
      <c r="E68" s="76">
        <v>4.6053599467161712</v>
      </c>
      <c r="F68" s="66">
        <v>3.3</v>
      </c>
      <c r="G68" s="65"/>
      <c r="H68" s="76">
        <v>4.0562064167659644</v>
      </c>
      <c r="I68" s="76">
        <v>4.7835858167498584</v>
      </c>
      <c r="J68" s="66">
        <v>3.3</v>
      </c>
      <c r="K68" s="67"/>
      <c r="L68" s="194">
        <v>1.3649122807017544</v>
      </c>
      <c r="M68" s="194">
        <v>0.83244019138755987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>
        <v>6.3233965672990236</v>
      </c>
      <c r="F70" s="70">
        <v>5.5</v>
      </c>
      <c r="G70" s="65"/>
      <c r="H70" s="76"/>
      <c r="I70" s="76">
        <v>7.9667553186446929</v>
      </c>
      <c r="J70" s="66">
        <v>5.5</v>
      </c>
      <c r="K70" s="67"/>
      <c r="L70" s="194"/>
      <c r="M70" s="194">
        <v>0.5883625730994152</v>
      </c>
      <c r="N70" s="68">
        <v>1</v>
      </c>
      <c r="P70" s="69"/>
    </row>
    <row r="71" spans="2:16" ht="15">
      <c r="B71" s="37" t="s">
        <v>16</v>
      </c>
      <c r="C71" s="481"/>
      <c r="D71" s="76"/>
      <c r="E71" s="76">
        <v>3.9973372218347856</v>
      </c>
      <c r="F71" s="66">
        <v>3.3</v>
      </c>
      <c r="G71" s="282"/>
      <c r="H71" s="76"/>
      <c r="I71" s="76">
        <v>5.1096183510504902</v>
      </c>
      <c r="J71" s="66">
        <v>3.3</v>
      </c>
      <c r="K71" s="67"/>
      <c r="L71" s="194"/>
      <c r="M71" s="194">
        <v>0.89057130004498408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3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4.5923616523772459</v>
      </c>
      <c r="E74" s="76">
        <v>6.3183992828523285</v>
      </c>
      <c r="F74" s="341">
        <v>5.5</v>
      </c>
      <c r="H74" s="76">
        <v>5.3491958047256141</v>
      </c>
      <c r="I74" s="76">
        <v>6.620534077895524</v>
      </c>
      <c r="J74" s="341">
        <v>5.5</v>
      </c>
      <c r="L74" s="194">
        <v>0.8395029239766082</v>
      </c>
      <c r="M74" s="194">
        <v>0.60307140602546827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2113" priority="104" operator="notBetween">
      <formula>#REF!</formula>
      <formula>#REF!</formula>
    </cfRule>
  </conditionalFormatting>
  <conditionalFormatting sqref="C49">
    <cfRule type="cellIs" dxfId="2112" priority="187" stopIfTrue="1" operator="greaterThan">
      <formula>100</formula>
    </cfRule>
    <cfRule type="cellIs" dxfId="2111" priority="186" stopIfTrue="1" operator="lessThan">
      <formula>96</formula>
    </cfRule>
  </conditionalFormatting>
  <conditionalFormatting sqref="C65:C66">
    <cfRule type="cellIs" dxfId="2110" priority="68" stopIfTrue="1" operator="lessThanOrEqual">
      <formula>0</formula>
    </cfRule>
    <cfRule type="cellIs" dxfId="2109" priority="69" stopIfTrue="1" operator="greaterThan">
      <formula>$F65</formula>
    </cfRule>
    <cfRule type="cellIs" dxfId="2108" priority="70" stopIfTrue="1" operator="lessThanOrEqual">
      <formula>0</formula>
    </cfRule>
    <cfRule type="cellIs" dxfId="2107" priority="67" stopIfTrue="1" operator="greaterThan">
      <formula>$F65</formula>
    </cfRule>
  </conditionalFormatting>
  <conditionalFormatting sqref="C67:C69 C71:C73">
    <cfRule type="cellIs" dxfId="2106" priority="76" stopIfTrue="1" operator="greaterThan">
      <formula>$F70</formula>
    </cfRule>
  </conditionalFormatting>
  <conditionalFormatting sqref="C67:C69">
    <cfRule type="cellIs" dxfId="2105" priority="77" stopIfTrue="1" operator="lessThanOrEqual">
      <formula>0</formula>
    </cfRule>
  </conditionalFormatting>
  <conditionalFormatting sqref="C70">
    <cfRule type="cellIs" dxfId="2104" priority="189" stopIfTrue="1" operator="lessThanOrEqual">
      <formula>0</formula>
    </cfRule>
    <cfRule type="cellIs" dxfId="2103" priority="188" stopIfTrue="1" operator="greaterThan">
      <formula>$F65</formula>
    </cfRule>
    <cfRule type="cellIs" dxfId="2102" priority="190" stopIfTrue="1" operator="greaterThan">
      <formula>$F65</formula>
    </cfRule>
    <cfRule type="cellIs" dxfId="2101" priority="191" stopIfTrue="1" operator="lessThanOrEqual">
      <formula>0</formula>
    </cfRule>
  </conditionalFormatting>
  <conditionalFormatting sqref="C71:C73">
    <cfRule type="cellIs" dxfId="2100" priority="78" stopIfTrue="1" operator="lessThanOrEqual">
      <formula>0</formula>
    </cfRule>
  </conditionalFormatting>
  <conditionalFormatting sqref="C76:C80">
    <cfRule type="cellIs" dxfId="2099" priority="178" stopIfTrue="1" operator="lessThanOrEqual">
      <formula>0</formula>
    </cfRule>
  </conditionalFormatting>
  <conditionalFormatting sqref="C77:C80">
    <cfRule type="cellIs" dxfId="2098" priority="177" stopIfTrue="1" operator="greaterThan">
      <formula>$F$76</formula>
    </cfRule>
  </conditionalFormatting>
  <conditionalFormatting sqref="C82">
    <cfRule type="cellIs" dxfId="2097" priority="180" stopIfTrue="1" operator="lessThanOrEqual">
      <formula>0</formula>
    </cfRule>
    <cfRule type="cellIs" dxfId="2096" priority="179" stopIfTrue="1" operator="greaterThan">
      <formula>$F$76</formula>
    </cfRule>
  </conditionalFormatting>
  <conditionalFormatting sqref="C70:D70">
    <cfRule type="cellIs" dxfId="2095" priority="65" stopIfTrue="1" operator="greaterThan">
      <formula>$J70</formula>
    </cfRule>
    <cfRule type="cellIs" dxfId="2094" priority="66" stopIfTrue="1" operator="lessThanOrEqual">
      <formula>0</formula>
    </cfRule>
  </conditionalFormatting>
  <conditionalFormatting sqref="C76:D76 D78:D84">
    <cfRule type="cellIs" dxfId="2093" priority="172" stopIfTrue="1" operator="greaterThan">
      <formula>4.5</formula>
    </cfRule>
  </conditionalFormatting>
  <conditionalFormatting sqref="D45:D46">
    <cfRule type="cellIs" dxfId="2092" priority="105" operator="notBetween">
      <formula>#REF!</formula>
      <formula>#REF!</formula>
    </cfRule>
  </conditionalFormatting>
  <conditionalFormatting sqref="D65:D69 D71:D72">
    <cfRule type="cellIs" dxfId="2091" priority="75" stopIfTrue="1" operator="lessThanOrEqual">
      <formula>0</formula>
    </cfRule>
  </conditionalFormatting>
  <conditionalFormatting sqref="D65:D69 D71:D74">
    <cfRule type="cellIs" dxfId="2090" priority="71" stopIfTrue="1" operator="lessThanOrEqual">
      <formula>0</formula>
    </cfRule>
    <cfRule type="cellIs" dxfId="2089" priority="72" stopIfTrue="1" operator="greaterThan">
      <formula>$F65</formula>
    </cfRule>
  </conditionalFormatting>
  <conditionalFormatting sqref="D73:D74">
    <cfRule type="cellIs" dxfId="2088" priority="73" stopIfTrue="1" operator="lessThanOrEqual">
      <formula>0</formula>
    </cfRule>
  </conditionalFormatting>
  <conditionalFormatting sqref="D74">
    <cfRule type="cellIs" dxfId="2087" priority="74" stopIfTrue="1" operator="lessThanOrEqual">
      <formula>0</formula>
    </cfRule>
  </conditionalFormatting>
  <conditionalFormatting sqref="D76 D78:D84">
    <cfRule type="cellIs" dxfId="2086" priority="173" stopIfTrue="1" operator="lessThanOrEqual">
      <formula>0</formula>
    </cfRule>
  </conditionalFormatting>
  <conditionalFormatting sqref="D77">
    <cfRule type="cellIs" dxfId="2085" priority="164" stopIfTrue="1" operator="greaterThan">
      <formula>$F$76</formula>
    </cfRule>
    <cfRule type="cellIs" dxfId="2084" priority="165" stopIfTrue="1" operator="lessThanOrEqual">
      <formula>0</formula>
    </cfRule>
  </conditionalFormatting>
  <conditionalFormatting sqref="E10:E20">
    <cfRule type="cellIs" dxfId="2083" priority="8" operator="lessThan">
      <formula>48</formula>
    </cfRule>
  </conditionalFormatting>
  <conditionalFormatting sqref="E48 E49:F49">
    <cfRule type="cellIs" dxfId="2082" priority="169" stopIfTrue="1" operator="greaterThan">
      <formula>100</formula>
    </cfRule>
  </conditionalFormatting>
  <conditionalFormatting sqref="E49">
    <cfRule type="cellIs" dxfId="2081" priority="167" stopIfTrue="1" operator="greaterThan">
      <formula>100</formula>
    </cfRule>
    <cfRule type="cellIs" dxfId="2080" priority="166" stopIfTrue="1" operator="lessThan">
      <formula>96.8</formula>
    </cfRule>
  </conditionalFormatting>
  <conditionalFormatting sqref="E65:E73">
    <cfRule type="cellIs" dxfId="2079" priority="38" stopIfTrue="1" operator="lessThanOrEqual">
      <formula>0</formula>
    </cfRule>
  </conditionalFormatting>
  <conditionalFormatting sqref="E65:E74">
    <cfRule type="cellIs" dxfId="2078" priority="39" stopIfTrue="1" operator="greaterThan">
      <formula>$F65</formula>
    </cfRule>
    <cfRule type="cellIs" dxfId="2077" priority="40" stopIfTrue="1" operator="lessThanOrEqual">
      <formula>0</formula>
    </cfRule>
  </conditionalFormatting>
  <conditionalFormatting sqref="E74">
    <cfRule type="cellIs" dxfId="2076" priority="41" stopIfTrue="1" operator="lessThanOrEqual">
      <formula>0</formula>
    </cfRule>
  </conditionalFormatting>
  <conditionalFormatting sqref="E76:E84">
    <cfRule type="cellIs" dxfId="2075" priority="158" stopIfTrue="1" operator="greaterThan">
      <formula>4.5</formula>
    </cfRule>
    <cfRule type="cellIs" dxfId="2074" priority="159" stopIfTrue="1" operator="lessThanOrEqual">
      <formula>0</formula>
    </cfRule>
  </conditionalFormatting>
  <conditionalFormatting sqref="E49:F49 E48">
    <cfRule type="cellIs" dxfId="2073" priority="168" stopIfTrue="1" operator="lessThan">
      <formula>96.5</formula>
    </cfRule>
  </conditionalFormatting>
  <conditionalFormatting sqref="F10:F20">
    <cfRule type="cellIs" dxfId="2072" priority="9" operator="greaterThan">
      <formula>60</formula>
    </cfRule>
  </conditionalFormatting>
  <conditionalFormatting sqref="F49">
    <cfRule type="cellIs" dxfId="2071" priority="184" stopIfTrue="1" operator="lessThan">
      <formula>96.8</formula>
    </cfRule>
    <cfRule type="cellIs" dxfId="2070" priority="185" stopIfTrue="1" operator="greaterThan">
      <formula>100</formula>
    </cfRule>
  </conditionalFormatting>
  <conditionalFormatting sqref="G20">
    <cfRule type="expression" dxfId="2069" priority="13">
      <formula>IF(+(IF(G20&lt;S20,0,IF(G20&gt;T20,0,1)))=0,1)</formula>
    </cfRule>
  </conditionalFormatting>
  <conditionalFormatting sqref="G65:G68 F74">
    <cfRule type="cellIs" dxfId="2068" priority="48" stopIfTrue="1" operator="lessThanOrEqual">
      <formula>0</formula>
    </cfRule>
    <cfRule type="cellIs" dxfId="2067" priority="47" stopIfTrue="1" operator="greaterThan">
      <formula>$F65</formula>
    </cfRule>
  </conditionalFormatting>
  <conditionalFormatting sqref="G67:G68">
    <cfRule type="cellIs" dxfId="2066" priority="34" stopIfTrue="1" operator="lessThanOrEqual">
      <formula>0</formula>
    </cfRule>
    <cfRule type="cellIs" dxfId="2065" priority="33" stopIfTrue="1" operator="greaterThan">
      <formula>$F67</formula>
    </cfRule>
  </conditionalFormatting>
  <conditionalFormatting sqref="G69:G73">
    <cfRule type="cellIs" dxfId="2064" priority="50" stopIfTrue="1" operator="lessThanOrEqual">
      <formula>0</formula>
    </cfRule>
    <cfRule type="cellIs" dxfId="2063" priority="49" stopIfTrue="1" operator="greaterThan">
      <formula>$J69</formula>
    </cfRule>
  </conditionalFormatting>
  <conditionalFormatting sqref="G70">
    <cfRule type="cellIs" dxfId="2062" priority="193" stopIfTrue="1" operator="lessThanOrEqual">
      <formula>0</formula>
    </cfRule>
    <cfRule type="cellIs" dxfId="2061" priority="192" stopIfTrue="1" operator="greaterThan">
      <formula>$F65</formula>
    </cfRule>
  </conditionalFormatting>
  <conditionalFormatting sqref="G78:G83 C81 C83">
    <cfRule type="cellIs" dxfId="2060" priority="181" stopIfTrue="1" operator="greaterThan">
      <formula>4.5</formula>
    </cfRule>
    <cfRule type="cellIs" dxfId="2059" priority="182" stopIfTrue="1" operator="lessThanOrEqual">
      <formula>0</formula>
    </cfRule>
  </conditionalFormatting>
  <conditionalFormatting sqref="G77:H77">
    <cfRule type="cellIs" dxfId="2058" priority="162" stopIfTrue="1" operator="greaterThan">
      <formula>$F$76</formula>
    </cfRule>
    <cfRule type="cellIs" dxfId="2057" priority="163" stopIfTrue="1" operator="lessThanOrEqual">
      <formula>0</formula>
    </cfRule>
  </conditionalFormatting>
  <conditionalFormatting sqref="H34:H35 H48">
    <cfRule type="cellIs" dxfId="2056" priority="160" stopIfTrue="1" operator="greaterThan">
      <formula>0</formula>
    </cfRule>
  </conditionalFormatting>
  <conditionalFormatting sqref="H52">
    <cfRule type="cellIs" dxfId="2055" priority="52" stopIfTrue="1" operator="lessThanOrEqual">
      <formula>0</formula>
    </cfRule>
    <cfRule type="cellIs" dxfId="2054" priority="53" stopIfTrue="1" operator="greaterThan">
      <formula>$F$65</formula>
    </cfRule>
    <cfRule type="cellIs" dxfId="2053" priority="61" stopIfTrue="1" operator="greaterThan">
      <formula>$F$68</formula>
    </cfRule>
    <cfRule type="cellIs" dxfId="2052" priority="62" stopIfTrue="1" operator="lessThanOrEqual">
      <formula>0</formula>
    </cfRule>
    <cfRule type="cellIs" dxfId="2051" priority="63" stopIfTrue="1" operator="greaterThan">
      <formula>$F$66</formula>
    </cfRule>
  </conditionalFormatting>
  <conditionalFormatting sqref="H52:H53">
    <cfRule type="cellIs" dxfId="2050" priority="64" stopIfTrue="1" operator="lessThanOrEqual">
      <formula>0</formula>
    </cfRule>
  </conditionalFormatting>
  <conditionalFormatting sqref="H53 H55:H56">
    <cfRule type="cellIs" dxfId="2049" priority="90" stopIfTrue="1" operator="lessThanOrEqual">
      <formula>0</formula>
    </cfRule>
  </conditionalFormatting>
  <conditionalFormatting sqref="H53">
    <cfRule type="cellIs" dxfId="2048" priority="79" stopIfTrue="1" operator="greaterThan">
      <formula>$F$65</formula>
    </cfRule>
    <cfRule type="cellIs" dxfId="2047" priority="87" stopIfTrue="1" operator="greaterThan">
      <formula>$F$68</formula>
    </cfRule>
    <cfRule type="cellIs" dxfId="2046" priority="88" stopIfTrue="1" operator="lessThanOrEqual">
      <formula>0</formula>
    </cfRule>
    <cfRule type="cellIs" dxfId="2045" priority="89" stopIfTrue="1" operator="greaterThan">
      <formula>$F$66</formula>
    </cfRule>
  </conditionalFormatting>
  <conditionalFormatting sqref="H54">
    <cfRule type="cellIs" dxfId="2044" priority="30" stopIfTrue="1" operator="greaterThan">
      <formula>$F$68</formula>
    </cfRule>
    <cfRule type="cellIs" dxfId="2043" priority="29" stopIfTrue="1" operator="lessThanOrEqual">
      <formula>0</formula>
    </cfRule>
    <cfRule type="cellIs" dxfId="2042" priority="28" stopIfTrue="1" operator="greaterThan">
      <formula>$F$70</formula>
    </cfRule>
    <cfRule type="cellIs" dxfId="2041" priority="31" stopIfTrue="1" operator="lessThanOrEqual">
      <formula>0</formula>
    </cfRule>
    <cfRule type="cellIs" dxfId="2040" priority="20" stopIfTrue="1" operator="greaterThan">
      <formula>$F$67</formula>
    </cfRule>
    <cfRule type="cellIs" dxfId="2039" priority="19" stopIfTrue="1" operator="lessThanOrEqual">
      <formula>0</formula>
    </cfRule>
  </conditionalFormatting>
  <conditionalFormatting sqref="H55:H56">
    <cfRule type="cellIs" dxfId="2038" priority="103" stopIfTrue="1" operator="lessThanOrEqual">
      <formula>0</formula>
    </cfRule>
    <cfRule type="cellIs" dxfId="2037" priority="100" stopIfTrue="1" operator="greaterThan">
      <formula>$F$68</formula>
    </cfRule>
    <cfRule type="cellIs" dxfId="2036" priority="92" stopIfTrue="1" operator="greaterThan">
      <formula>$F$65</formula>
    </cfRule>
    <cfRule type="cellIs" dxfId="2035" priority="102" stopIfTrue="1" operator="greaterThan">
      <formula>$F$66</formula>
    </cfRule>
    <cfRule type="cellIs" dxfId="2034" priority="101" stopIfTrue="1" operator="lessThanOrEqual">
      <formula>0</formula>
    </cfRule>
  </conditionalFormatting>
  <conditionalFormatting sqref="H57:H58">
    <cfRule type="cellIs" dxfId="2033" priority="136" stopIfTrue="1" operator="greaterThan">
      <formula>#REF!</formula>
    </cfRule>
    <cfRule type="cellIs" dxfId="2032" priority="137" stopIfTrue="1" operator="lessThanOrEqual">
      <formula>0</formula>
    </cfRule>
    <cfRule type="cellIs" dxfId="2031" priority="127" stopIfTrue="1" operator="lessThanOrEqual">
      <formula>0</formula>
    </cfRule>
    <cfRule type="cellIs" dxfId="2030" priority="128" stopIfTrue="1" operator="greaterThan">
      <formula>#REF!</formula>
    </cfRule>
  </conditionalFormatting>
  <conditionalFormatting sqref="H59">
    <cfRule type="cellIs" dxfId="2029" priority="151" stopIfTrue="1" operator="lessThanOrEqual">
      <formula>0</formula>
    </cfRule>
    <cfRule type="cellIs" dxfId="2028" priority="149" stopIfTrue="1" operator="lessThanOrEqual">
      <formula>0</formula>
    </cfRule>
    <cfRule type="cellIs" dxfId="2027" priority="139" stopIfTrue="1" operator="lessThanOrEqual">
      <formula>0</formula>
    </cfRule>
    <cfRule type="cellIs" dxfId="2026" priority="140" stopIfTrue="1" operator="greaterThan">
      <formula>$F$33</formula>
    </cfRule>
    <cfRule type="cellIs" dxfId="2025" priority="148" stopIfTrue="1" operator="greaterThan">
      <formula>$F$36</formula>
    </cfRule>
    <cfRule type="cellIs" dxfId="2024" priority="150" stopIfTrue="1" operator="greaterThan">
      <formula>$F$34</formula>
    </cfRule>
  </conditionalFormatting>
  <conditionalFormatting sqref="H60:H61">
    <cfRule type="cellIs" dxfId="2023" priority="124" stopIfTrue="1" operator="greaterThan">
      <formula>#REF!</formula>
    </cfRule>
    <cfRule type="cellIs" dxfId="2022" priority="125" stopIfTrue="1" operator="lessThanOrEqual">
      <formula>0</formula>
    </cfRule>
    <cfRule type="cellIs" dxfId="2021" priority="115" stopIfTrue="1" operator="lessThanOrEqual">
      <formula>0</formula>
    </cfRule>
    <cfRule type="cellIs" dxfId="2020" priority="116" stopIfTrue="1" operator="greaterThan">
      <formula>#REF!</formula>
    </cfRule>
  </conditionalFormatting>
  <conditionalFormatting sqref="H76 H78:H84">
    <cfRule type="cellIs" dxfId="2019" priority="174" stopIfTrue="1" operator="greaterThan">
      <formula>4.5</formula>
    </cfRule>
    <cfRule type="cellIs" dxfId="2018" priority="175" stopIfTrue="1" operator="lessThanOrEqual">
      <formula>0</formula>
    </cfRule>
  </conditionalFormatting>
  <conditionalFormatting sqref="H52:I52">
    <cfRule type="cellIs" dxfId="2017" priority="54" stopIfTrue="1" operator="lessThanOrEqual">
      <formula>0</formula>
    </cfRule>
  </conditionalFormatting>
  <conditionalFormatting sqref="H52:I53 H55:I56">
    <cfRule type="cellIs" dxfId="2016" priority="51" stopIfTrue="1" operator="greaterThan">
      <formula>$F$67</formula>
    </cfRule>
  </conditionalFormatting>
  <conditionalFormatting sqref="H53:I53">
    <cfRule type="cellIs" dxfId="2015" priority="80" stopIfTrue="1" operator="lessThanOrEqual">
      <formula>0</formula>
    </cfRule>
  </conditionalFormatting>
  <conditionalFormatting sqref="H54:I54">
    <cfRule type="cellIs" dxfId="2014" priority="21" stopIfTrue="1" operator="lessThanOrEqual">
      <formula>0</formula>
    </cfRule>
    <cfRule type="cellIs" dxfId="2013" priority="18" stopIfTrue="1" operator="greaterThan">
      <formula>$F$69</formula>
    </cfRule>
  </conditionalFormatting>
  <conditionalFormatting sqref="H55:I56">
    <cfRule type="cellIs" dxfId="2012" priority="93" stopIfTrue="1" operator="lessThanOrEqual">
      <formula>0</formula>
    </cfRule>
  </conditionalFormatting>
  <conditionalFormatting sqref="H57:I58">
    <cfRule type="cellIs" dxfId="2011" priority="129" stopIfTrue="1" operator="lessThanOrEqual">
      <formula>0</formula>
    </cfRule>
    <cfRule type="cellIs" dxfId="2010" priority="134" stopIfTrue="1" operator="greaterThan">
      <formula>#REF!</formula>
    </cfRule>
    <cfRule type="cellIs" dxfId="2009" priority="135" stopIfTrue="1" operator="lessThanOrEqual">
      <formula>0</formula>
    </cfRule>
    <cfRule type="cellIs" dxfId="2008" priority="126" stopIfTrue="1" operator="greaterThan">
      <formula>#REF!</formula>
    </cfRule>
  </conditionalFormatting>
  <conditionalFormatting sqref="H59:I59">
    <cfRule type="cellIs" dxfId="2007" priority="138" stopIfTrue="1" operator="greaterThan">
      <formula>$F$35</formula>
    </cfRule>
    <cfRule type="cellIs" dxfId="2006" priority="141" stopIfTrue="1" operator="lessThanOrEqual">
      <formula>0</formula>
    </cfRule>
  </conditionalFormatting>
  <conditionalFormatting sqref="H60:I61">
    <cfRule type="cellIs" dxfId="2005" priority="114" stopIfTrue="1" operator="greaterThan">
      <formula>#REF!</formula>
    </cfRule>
    <cfRule type="cellIs" dxfId="2004" priority="117" stopIfTrue="1" operator="lessThanOrEqual">
      <formula>0</formula>
    </cfRule>
    <cfRule type="cellIs" dxfId="2003" priority="122" stopIfTrue="1" operator="greaterThan">
      <formula>#REF!</formula>
    </cfRule>
    <cfRule type="cellIs" dxfId="2002" priority="123" stopIfTrue="1" operator="lessThanOrEqual">
      <formula>0</formula>
    </cfRule>
  </conditionalFormatting>
  <conditionalFormatting sqref="H65:I72">
    <cfRule type="cellIs" dxfId="2001" priority="37" stopIfTrue="1" operator="lessThanOrEqual">
      <formula>0</formula>
    </cfRule>
    <cfRule type="cellIs" dxfId="2000" priority="36" stopIfTrue="1" operator="greaterThan">
      <formula>$J65</formula>
    </cfRule>
  </conditionalFormatting>
  <conditionalFormatting sqref="H73:I73">
    <cfRule type="cellIs" dxfId="1999" priority="44" operator="greaterThan">
      <formula>5.3</formula>
    </cfRule>
  </conditionalFormatting>
  <conditionalFormatting sqref="H74:I74">
    <cfRule type="cellIs" dxfId="1998" priority="43" stopIfTrue="1" operator="lessThanOrEqual">
      <formula>0</formula>
    </cfRule>
    <cfRule type="cellIs" dxfId="1997" priority="42" stopIfTrue="1" operator="greaterThan">
      <formula>$J74</formula>
    </cfRule>
  </conditionalFormatting>
  <conditionalFormatting sqref="I52">
    <cfRule type="cellIs" dxfId="1996" priority="57" stopIfTrue="1" operator="greaterThan">
      <formula>$F$67</formula>
    </cfRule>
    <cfRule type="cellIs" dxfId="1995" priority="55" stopIfTrue="1" operator="greaterThan">
      <formula>$F$65</formula>
    </cfRule>
    <cfRule type="cellIs" dxfId="1994" priority="58" stopIfTrue="1" operator="lessThanOrEqual">
      <formula>0</formula>
    </cfRule>
    <cfRule type="cellIs" dxfId="1993" priority="59" stopIfTrue="1" operator="greaterThan">
      <formula>$F$65</formula>
    </cfRule>
    <cfRule type="cellIs" dxfId="1992" priority="60" stopIfTrue="1" operator="lessThanOrEqual">
      <formula>0</formula>
    </cfRule>
    <cfRule type="cellIs" dxfId="1991" priority="56" stopIfTrue="1" operator="lessThanOrEqual">
      <formula>0</formula>
    </cfRule>
  </conditionalFormatting>
  <conditionalFormatting sqref="I53">
    <cfRule type="cellIs" dxfId="1990" priority="81" stopIfTrue="1" operator="greaterThan">
      <formula>$F$65</formula>
    </cfRule>
    <cfRule type="cellIs" dxfId="1989" priority="82" stopIfTrue="1" operator="lessThanOrEqual">
      <formula>0</formula>
    </cfRule>
    <cfRule type="cellIs" dxfId="1988" priority="84" stopIfTrue="1" operator="lessThanOrEqual">
      <formula>0</formula>
    </cfRule>
    <cfRule type="cellIs" dxfId="1987" priority="85" stopIfTrue="1" operator="greaterThan">
      <formula>$F$65</formula>
    </cfRule>
    <cfRule type="cellIs" dxfId="1986" priority="86" stopIfTrue="1" operator="lessThanOrEqual">
      <formula>0</formula>
    </cfRule>
    <cfRule type="cellIs" dxfId="1985" priority="83" stopIfTrue="1" operator="greaterThan">
      <formula>$F$67</formula>
    </cfRule>
  </conditionalFormatting>
  <conditionalFormatting sqref="I54">
    <cfRule type="cellIs" dxfId="1984" priority="22" stopIfTrue="1" operator="greaterThan">
      <formula>$F$67</formula>
    </cfRule>
    <cfRule type="cellIs" dxfId="1983" priority="24" stopIfTrue="1" operator="greaterThan">
      <formula>$F$69</formula>
    </cfRule>
    <cfRule type="cellIs" dxfId="1982" priority="23" stopIfTrue="1" operator="lessThanOrEqual">
      <formula>0</formula>
    </cfRule>
    <cfRule type="cellIs" dxfId="1981" priority="27" stopIfTrue="1" operator="lessThanOrEqual">
      <formula>0</formula>
    </cfRule>
    <cfRule type="cellIs" dxfId="1980" priority="26" stopIfTrue="1" operator="greaterThan">
      <formula>$F$67</formula>
    </cfRule>
    <cfRule type="cellIs" dxfId="1979" priority="25" stopIfTrue="1" operator="lessThanOrEqual">
      <formula>0</formula>
    </cfRule>
  </conditionalFormatting>
  <conditionalFormatting sqref="I55:I56">
    <cfRule type="cellIs" dxfId="1978" priority="96" stopIfTrue="1" operator="greaterThan">
      <formula>$F$67</formula>
    </cfRule>
    <cfRule type="cellIs" dxfId="1977" priority="97" stopIfTrue="1" operator="lessThanOrEqual">
      <formula>0</formula>
    </cfRule>
    <cfRule type="cellIs" dxfId="1976" priority="98" stopIfTrue="1" operator="greaterThan">
      <formula>$F$65</formula>
    </cfRule>
    <cfRule type="cellIs" dxfId="1975" priority="99" stopIfTrue="1" operator="lessThanOrEqual">
      <formula>0</formula>
    </cfRule>
    <cfRule type="cellIs" dxfId="1974" priority="94" stopIfTrue="1" operator="greaterThan">
      <formula>$F$65</formula>
    </cfRule>
    <cfRule type="cellIs" dxfId="1973" priority="95" stopIfTrue="1" operator="lessThanOrEqual">
      <formula>0</formula>
    </cfRule>
  </conditionalFormatting>
  <conditionalFormatting sqref="I57:I58">
    <cfRule type="cellIs" dxfId="1972" priority="133" stopIfTrue="1" operator="lessThanOrEqual">
      <formula>0</formula>
    </cfRule>
    <cfRule type="cellIs" dxfId="1971" priority="132" stopIfTrue="1" operator="greaterThan">
      <formula>#REF!</formula>
    </cfRule>
    <cfRule type="cellIs" dxfId="1970" priority="131" stopIfTrue="1" operator="lessThanOrEqual">
      <formula>0</formula>
    </cfRule>
    <cfRule type="cellIs" dxfId="1969" priority="130" stopIfTrue="1" operator="greaterThan">
      <formula>#REF!</formula>
    </cfRule>
  </conditionalFormatting>
  <conditionalFormatting sqref="I59">
    <cfRule type="cellIs" dxfId="1968" priority="144" stopIfTrue="1" operator="greaterThan">
      <formula>$F$35</formula>
    </cfRule>
    <cfRule type="cellIs" dxfId="1967" priority="145" stopIfTrue="1" operator="lessThanOrEqual">
      <formula>0</formula>
    </cfRule>
    <cfRule type="cellIs" dxfId="1966" priority="146" stopIfTrue="1" operator="greaterThan">
      <formula>$F$33</formula>
    </cfRule>
    <cfRule type="cellIs" dxfId="1965" priority="147" stopIfTrue="1" operator="lessThanOrEqual">
      <formula>0</formula>
    </cfRule>
    <cfRule type="cellIs" dxfId="1964" priority="143" stopIfTrue="1" operator="lessThanOrEqual">
      <formula>0</formula>
    </cfRule>
    <cfRule type="cellIs" dxfId="1963" priority="142" stopIfTrue="1" operator="greaterThan">
      <formula>$F$33</formula>
    </cfRule>
  </conditionalFormatting>
  <conditionalFormatting sqref="I60:I61">
    <cfRule type="cellIs" dxfId="1962" priority="121" stopIfTrue="1" operator="lessThanOrEqual">
      <formula>0</formula>
    </cfRule>
    <cfRule type="cellIs" dxfId="1961" priority="118" stopIfTrue="1" operator="greaterThan">
      <formula>#REF!</formula>
    </cfRule>
    <cfRule type="cellIs" dxfId="1960" priority="119" stopIfTrue="1" operator="lessThanOrEqual">
      <formula>0</formula>
    </cfRule>
    <cfRule type="cellIs" dxfId="1959" priority="120" stopIfTrue="1" operator="greaterThan">
      <formula>#REF!</formula>
    </cfRule>
  </conditionalFormatting>
  <conditionalFormatting sqref="I76:I84">
    <cfRule type="cellIs" dxfId="1958" priority="171" stopIfTrue="1" operator="lessThanOrEqual">
      <formula>0</formula>
    </cfRule>
    <cfRule type="cellIs" dxfId="1957" priority="170" stopIfTrue="1" operator="greaterThan">
      <formula>4.5</formula>
    </cfRule>
  </conditionalFormatting>
  <conditionalFormatting sqref="I10:J20">
    <cfRule type="cellIs" dxfId="1956" priority="2" operator="lessThan">
      <formula>97.9</formula>
    </cfRule>
  </conditionalFormatting>
  <conditionalFormatting sqref="J23:J25">
    <cfRule type="cellIs" dxfId="1955" priority="17" operator="lessThan">
      <formula>97.95</formula>
    </cfRule>
  </conditionalFormatting>
  <conditionalFormatting sqref="J24:J27">
    <cfRule type="cellIs" dxfId="1954" priority="152" operator="lessThan">
      <formula>97.4</formula>
    </cfRule>
  </conditionalFormatting>
  <conditionalFormatting sqref="J28:J29">
    <cfRule type="cellIs" dxfId="1953" priority="153" operator="lessThan">
      <formula>98</formula>
    </cfRule>
  </conditionalFormatting>
  <conditionalFormatting sqref="J30:J31">
    <cfRule type="cellIs" dxfId="1952" priority="154" stopIfTrue="1" operator="lessThan">
      <formula>96.8</formula>
    </cfRule>
    <cfRule type="cellIs" dxfId="1951" priority="155" stopIfTrue="1" operator="greaterThan">
      <formula>100</formula>
    </cfRule>
  </conditionalFormatting>
  <conditionalFormatting sqref="J30:J32">
    <cfRule type="cellIs" dxfId="1950" priority="156" operator="lessThan">
      <formula>98</formula>
    </cfRule>
  </conditionalFormatting>
  <conditionalFormatting sqref="J61">
    <cfRule type="cellIs" dxfId="1949" priority="109" stopIfTrue="1" operator="lessThanOrEqual">
      <formula>0</formula>
    </cfRule>
    <cfRule type="cellIs" dxfId="1948" priority="110" stopIfTrue="1" operator="greaterThan">
      <formula>#REF!</formula>
    </cfRule>
    <cfRule type="cellIs" dxfId="1947" priority="111" stopIfTrue="1" operator="lessThanOrEqual">
      <formula>0</formula>
    </cfRule>
    <cfRule type="cellIs" dxfId="1946" priority="106" stopIfTrue="1" operator="greaterThan">
      <formula>#REF!</formula>
    </cfRule>
    <cfRule type="cellIs" dxfId="1945" priority="107" stopIfTrue="1" operator="lessThanOrEqual">
      <formula>0</formula>
    </cfRule>
    <cfRule type="cellIs" dxfId="1944" priority="108" stopIfTrue="1" operator="greaterThan">
      <formula>#REF!</formula>
    </cfRule>
    <cfRule type="cellIs" dxfId="1943" priority="112" stopIfTrue="1" operator="greaterThan">
      <formula>#REF!</formula>
    </cfRule>
    <cfRule type="cellIs" dxfId="1942" priority="113" stopIfTrue="1" operator="lessThanOrEqual">
      <formula>0</formula>
    </cfRule>
  </conditionalFormatting>
  <conditionalFormatting sqref="J74">
    <cfRule type="cellIs" dxfId="1941" priority="46" stopIfTrue="1" operator="lessThanOrEqual">
      <formula>0</formula>
    </cfRule>
    <cfRule type="cellIs" dxfId="1940" priority="45" stopIfTrue="1" operator="greaterThan">
      <formula>$F74</formula>
    </cfRule>
  </conditionalFormatting>
  <conditionalFormatting sqref="K10:K20">
    <cfRule type="cellIs" dxfId="1939" priority="5" operator="greaterThan">
      <formula>6.4</formula>
    </cfRule>
    <cfRule type="cellIs" dxfId="1938" priority="4" operator="lessThan">
      <formula>4</formula>
    </cfRule>
    <cfRule type="cellIs" dxfId="1937" priority="3" operator="greaterThan">
      <formula>6</formula>
    </cfRule>
  </conditionalFormatting>
  <conditionalFormatting sqref="K52:K61">
    <cfRule type="cellIs" dxfId="1936" priority="91" stopIfTrue="1" operator="lessThan">
      <formula>100%</formula>
    </cfRule>
  </conditionalFormatting>
  <conditionalFormatting sqref="K65:K73">
    <cfRule type="cellIs" dxfId="1935" priority="35" stopIfTrue="1" operator="lessThan">
      <formula>100%</formula>
    </cfRule>
  </conditionalFormatting>
  <conditionalFormatting sqref="K76:K81">
    <cfRule type="cellIs" dxfId="1934" priority="176" stopIfTrue="1" operator="lessThan">
      <formula>100%</formula>
    </cfRule>
  </conditionalFormatting>
  <conditionalFormatting sqref="K83:K84">
    <cfRule type="cellIs" dxfId="1933" priority="183" stopIfTrue="1" operator="lessThan">
      <formula>100%</formula>
    </cfRule>
  </conditionalFormatting>
  <conditionalFormatting sqref="L10:L20">
    <cfRule type="cellIs" dxfId="1932" priority="6" operator="between">
      <formula>61</formula>
      <formula>65</formula>
    </cfRule>
    <cfRule type="cellIs" dxfId="1931" priority="7" operator="greaterThan">
      <formula>65</formula>
    </cfRule>
  </conditionalFormatting>
  <conditionalFormatting sqref="L23:M34">
    <cfRule type="cellIs" dxfId="1930" priority="16" operator="lessThan">
      <formula>97.95</formula>
    </cfRule>
  </conditionalFormatting>
  <conditionalFormatting sqref="L38:N38">
    <cfRule type="cellIs" dxfId="1929" priority="15" operator="notEqual">
      <formula>#REF!</formula>
    </cfRule>
  </conditionalFormatting>
  <conditionalFormatting sqref="L65:N74">
    <cfRule type="cellIs" dxfId="1928" priority="32" stopIfTrue="1" operator="lessThan">
      <formula>100%</formula>
    </cfRule>
  </conditionalFormatting>
  <conditionalFormatting sqref="L76:N84">
    <cfRule type="cellIs" dxfId="1927" priority="161" stopIfTrue="1" operator="lessThan">
      <formula>100%</formula>
    </cfRule>
  </conditionalFormatting>
  <conditionalFormatting sqref="M20">
    <cfRule type="expression" dxfId="1926" priority="12">
      <formula>IF(+(IF(M20&lt;U20,0,IF(M20&gt;V20,0,1)))=0,1)</formula>
    </cfRule>
  </conditionalFormatting>
  <conditionalFormatting sqref="M10:N19 H10:H20 G19">
    <cfRule type="expression" dxfId="1925" priority="14">
      <formula>IF(+(IF(G10&lt;#REF!,0,IF(G10&gt;#REF!,0,1)))=0,1)</formula>
    </cfRule>
  </conditionalFormatting>
  <conditionalFormatting sqref="N10:N20">
    <cfRule type="expression" dxfId="1924" priority="11">
      <formula>IF(+(IF(N10&lt;W10,0,IF(N10&gt;X10,0,1)))=0,1)</formula>
    </cfRule>
  </conditionalFormatting>
  <conditionalFormatting sqref="P6">
    <cfRule type="cellIs" dxfId="1923" priority="157" operator="greaterThanOrEqual">
      <formula>19</formula>
    </cfRule>
  </conditionalFormatting>
  <dataValidations count="1">
    <dataValidation type="list" allowBlank="1" showInputMessage="1" showErrorMessage="1" sqref="R8" xr:uid="{DA288607-6B2E-4158-AD0B-6AE9A5FDDE3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BF4CC-4023-4B43-805E-D7BC98BC290B}">
  <sheetPr>
    <pageSetUpPr fitToPage="1"/>
  </sheetPr>
  <dimension ref="A1:BE73"/>
  <sheetViews>
    <sheetView zoomScale="85" zoomScaleNormal="85" workbookViewId="0">
      <selection activeCell="C11" sqref="C11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46304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[4]Brewhouse!$A404</f>
        <v>ST345</v>
      </c>
      <c r="D10" s="279">
        <f>[4]Brewhouse!$AB404</f>
        <v>53.1</v>
      </c>
      <c r="E10" s="279">
        <f>[4]Brewhouse!$AG404</f>
        <v>49</v>
      </c>
      <c r="F10" s="278">
        <f>[4]Brewhouse!$V404</f>
        <v>59</v>
      </c>
      <c r="G10" s="279">
        <f>[4]Brewhouse!$AE404</f>
        <v>11.9</v>
      </c>
      <c r="H10" s="396">
        <v>11.9</v>
      </c>
      <c r="I10" s="368">
        <f>[4]Brewhouse!$AS404</f>
        <v>97.904074452866993</v>
      </c>
      <c r="J10" s="368">
        <f>[4]Brewhouse!$AT404</f>
        <v>98.632362577253517</v>
      </c>
      <c r="K10" s="281">
        <f>[4]Brewhouse!$Q404</f>
        <v>10.12241054613936</v>
      </c>
      <c r="L10" s="276">
        <f>[4]Brewhouse!$P404</f>
        <v>60</v>
      </c>
      <c r="M10" s="374">
        <f>[4]Brewhouse!$U404-[4]Brewhouse!$T404</f>
        <v>0.11458333333333331</v>
      </c>
      <c r="N10" s="370">
        <f>[4]Brewhouse!$AW404</f>
        <v>0.26041666666666663</v>
      </c>
      <c r="O10" s="419" t="str">
        <f>[4]Brewhouse!$AV404</f>
        <v>K. Benjamin</v>
      </c>
      <c r="P10" s="417"/>
      <c r="R10" s="277" t="str">
        <f t="shared" ref="R10:R16" si="0">B10</f>
        <v>STAG</v>
      </c>
      <c r="S10" s="471">
        <f t="shared" ref="S10:S16" si="1">VLOOKUP($B10,$R$3:$X$9,2,FALSE)</f>
        <v>11.6</v>
      </c>
      <c r="T10" s="471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1">
        <f t="shared" ref="Z10:Z16" si="8">VLOOKUP($B10,$R$3:$Z$9,9,FALSE)</f>
        <v>60</v>
      </c>
    </row>
    <row r="11" spans="2:29" ht="15" customHeight="1">
      <c r="B11" s="33" t="s">
        <v>9</v>
      </c>
      <c r="C11" s="366" t="str">
        <f>[4]Brewhouse!$A405</f>
        <v>ST346</v>
      </c>
      <c r="D11" s="279">
        <f>[4]Brewhouse!$AB405</f>
        <v>53.1</v>
      </c>
      <c r="E11" s="279">
        <f>[4]Brewhouse!$AG405</f>
        <v>50.1</v>
      </c>
      <c r="F11" s="278">
        <f>[4]Brewhouse!$V405</f>
        <v>59</v>
      </c>
      <c r="G11" s="279">
        <f>[4]Brewhouse!$AE405</f>
        <v>11.7</v>
      </c>
      <c r="H11" s="396">
        <v>11.8</v>
      </c>
      <c r="I11" s="368">
        <f>[4]Brewhouse!$AS405</f>
        <v>97.964086278322426</v>
      </c>
      <c r="J11" s="368">
        <f>[4]Brewhouse!$AT405</f>
        <v>98.693537963032824</v>
      </c>
      <c r="K11" s="281">
        <f>[4]Brewhouse!$Q405</f>
        <v>8.6158192090395538</v>
      </c>
      <c r="L11" s="276">
        <f>[4]Brewhouse!$P405</f>
        <v>60</v>
      </c>
      <c r="M11" s="374">
        <f>[4]Brewhouse!$U405-[4]Brewhouse!$T405</f>
        <v>0.11180555555555549</v>
      </c>
      <c r="N11" s="370">
        <f>[4]Brewhouse!$AW405</f>
        <v>0.25624999999999998</v>
      </c>
      <c r="O11" s="419" t="str">
        <f>[4]Brewhouse!$AV405</f>
        <v>D.Gomaz</v>
      </c>
      <c r="P11" s="417"/>
      <c r="R11" s="277" t="str">
        <f t="shared" si="0"/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/>
      <c r="C12" s="366"/>
      <c r="D12" s="279"/>
      <c r="E12" s="279"/>
      <c r="F12" s="278"/>
      <c r="G12" s="279"/>
      <c r="H12" s="490"/>
      <c r="I12" s="368"/>
      <c r="J12" s="368"/>
      <c r="K12" s="281"/>
      <c r="L12" s="276"/>
      <c r="M12" s="374"/>
      <c r="N12" s="370"/>
      <c r="O12" s="419"/>
      <c r="P12" s="417"/>
      <c r="R12" s="277">
        <f t="shared" si="0"/>
        <v>0</v>
      </c>
      <c r="S12" s="471" t="e">
        <f t="shared" si="1"/>
        <v>#N/A</v>
      </c>
      <c r="T12" s="471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1" t="e">
        <f t="shared" si="8"/>
        <v>#N/A</v>
      </c>
    </row>
    <row r="13" spans="2:29" ht="15" customHeight="1">
      <c r="B13" s="29" t="s">
        <v>6</v>
      </c>
      <c r="C13" s="366" t="str">
        <f>[3]Brewhouse!$A809</f>
        <v>CA759</v>
      </c>
      <c r="D13" s="279">
        <f>[3]Brewhouse!$AF809</f>
        <v>48.4</v>
      </c>
      <c r="E13" s="279">
        <f>[3]Brewhouse!$AI809</f>
        <v>48.6</v>
      </c>
      <c r="F13" s="278">
        <f>[3]Brewhouse!$V809</f>
        <v>59</v>
      </c>
      <c r="G13" s="279">
        <f>[3]Brewhouse!AG809</f>
        <v>11.7</v>
      </c>
      <c r="H13" s="396">
        <v>11.7</v>
      </c>
      <c r="I13" s="368">
        <f>[3]Brewhouse!$AU809</f>
        <v>94.236510026260618</v>
      </c>
      <c r="J13" s="368">
        <f>[3]Brewhouse!$AV809</f>
        <v>95.077116281876755</v>
      </c>
      <c r="K13" s="281">
        <f>[3]Brewhouse!$Q809</f>
        <v>13.16081330868761</v>
      </c>
      <c r="L13" s="276">
        <f>[3]Brewhouse!$P809</f>
        <v>60</v>
      </c>
      <c r="M13" s="374">
        <f>[3]Brewhouse!$U809-[3]Brewhouse!$T809</f>
        <v>0.11944444444444446</v>
      </c>
      <c r="N13" s="370">
        <f>[3]Brewhouse!$Z809</f>
        <v>0.25347222222222221</v>
      </c>
      <c r="O13" s="419" t="str">
        <f>[3]Brewhouse!$AX809</f>
        <v>D. Gomaz</v>
      </c>
      <c r="P13" s="417"/>
      <c r="R13" s="277" t="str">
        <f t="shared" si="0"/>
        <v>CARIB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29" t="s">
        <v>6</v>
      </c>
      <c r="C14" s="366" t="str">
        <f>[3]Brewhouse!$A810</f>
        <v>CA760</v>
      </c>
      <c r="D14" s="279">
        <f>[3]Brewhouse!$AF810</f>
        <v>48.3</v>
      </c>
      <c r="E14" s="279">
        <f>[3]Brewhouse!$AI810</f>
        <v>48.9</v>
      </c>
      <c r="F14" s="278">
        <f>[3]Brewhouse!$V810</f>
        <v>57</v>
      </c>
      <c r="G14" s="279">
        <f>[3]Brewhouse!AG810</f>
        <v>12</v>
      </c>
      <c r="H14" s="396">
        <v>12</v>
      </c>
      <c r="I14" s="368">
        <f>[3]Brewhouse!$AU810</f>
        <v>97.015701586864395</v>
      </c>
      <c r="J14" s="368">
        <f>[3]Brewhouse!$AV810</f>
        <v>97.881268884867609</v>
      </c>
      <c r="K14" s="281">
        <f>[3]Brewhouse!$Q810</f>
        <v>12.05175600739372</v>
      </c>
      <c r="L14" s="276">
        <f>[3]Brewhouse!$P810</f>
        <v>60</v>
      </c>
      <c r="M14" s="374">
        <f>[3]Brewhouse!$U810-[3]Brewhouse!$T810</f>
        <v>0.10624999999999996</v>
      </c>
      <c r="N14" s="370">
        <f>[3]Brewhouse!$Z810</f>
        <v>0.25694444444444442</v>
      </c>
      <c r="O14" s="419" t="str">
        <f>[3]Brewhouse!$AX810</f>
        <v>D. Gomaz</v>
      </c>
      <c r="P14" s="417"/>
      <c r="R14" s="277" t="str">
        <f t="shared" si="0"/>
        <v>CARIB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29" t="s">
        <v>6</v>
      </c>
      <c r="C15" s="366" t="str">
        <f>[3]Brewhouse!$A811</f>
        <v>CA761</v>
      </c>
      <c r="D15" s="279">
        <f>[3]Brewhouse!$AF811</f>
        <v>48.8</v>
      </c>
      <c r="E15" s="279">
        <f>[3]Brewhouse!$AI811</f>
        <v>49.5</v>
      </c>
      <c r="F15" s="278">
        <f>[3]Brewhouse!$V811</f>
        <v>62</v>
      </c>
      <c r="G15" s="279">
        <f>[3]Brewhouse!AG811</f>
        <v>12</v>
      </c>
      <c r="H15" s="396">
        <v>11.7</v>
      </c>
      <c r="I15" s="368">
        <f>[3]Brewhouse!$AU811</f>
        <v>97.963974191260846</v>
      </c>
      <c r="J15" s="368">
        <f>[3]Brewhouse!$AV811</f>
        <v>98.83811575723243</v>
      </c>
      <c r="K15" s="281">
        <f>[3]Brewhouse!$Q811</f>
        <v>11.127541589648803</v>
      </c>
      <c r="L15" s="276">
        <f>[3]Brewhouse!$P811</f>
        <v>60</v>
      </c>
      <c r="M15" s="374">
        <f>[3]Brewhouse!$U811-[3]Brewhouse!$T811</f>
        <v>0.11111111111111105</v>
      </c>
      <c r="N15" s="370">
        <f>[3]Brewhouse!$Z811</f>
        <v>0.2583333333333333</v>
      </c>
      <c r="O15" s="419" t="str">
        <f>[3]Brewhouse!$AX811</f>
        <v>R. Sookram</v>
      </c>
      <c r="P15" s="417"/>
      <c r="R15" s="277" t="str">
        <f t="shared" si="0"/>
        <v>CARIB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29" t="s">
        <v>6</v>
      </c>
      <c r="C16" s="366" t="str">
        <f>[3]Brewhouse!$A812</f>
        <v>CA762</v>
      </c>
      <c r="D16" s="279">
        <f>[3]Brewhouse!$AF812</f>
        <v>48.8</v>
      </c>
      <c r="E16" s="279">
        <f>[3]Brewhouse!$AI812</f>
        <v>49.3</v>
      </c>
      <c r="F16" s="278">
        <f>[3]Brewhouse!$V812</f>
        <v>59</v>
      </c>
      <c r="G16" s="279">
        <f>[3]Brewhouse!AG812</f>
        <v>11.8</v>
      </c>
      <c r="H16" s="490">
        <v>12.3</v>
      </c>
      <c r="I16" s="368">
        <f>[3]Brewhouse!$AU812</f>
        <v>96.693476697667123</v>
      </c>
      <c r="J16" s="368">
        <f>[3]Brewhouse!$AV812</f>
        <v>97.555885759630257</v>
      </c>
      <c r="K16" s="281">
        <f>[3]Brewhouse!$Q812</f>
        <v>11.127541589648803</v>
      </c>
      <c r="L16" s="276">
        <f>[3]Brewhouse!$P812</f>
        <v>60</v>
      </c>
      <c r="M16" s="374">
        <f>[3]Brewhouse!$U812-[3]Brewhouse!$T812</f>
        <v>0.10833333333333339</v>
      </c>
      <c r="N16" s="370">
        <f>[3]Brewhouse!$Z812</f>
        <v>0.25208333333333344</v>
      </c>
      <c r="O16" s="419" t="str">
        <f>[3]Brewhouse!$AX812</f>
        <v>R. Sookram</v>
      </c>
      <c r="P16" s="417"/>
      <c r="R16" s="277" t="str">
        <f t="shared" si="0"/>
        <v>CARIB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7" ht="15" customHeight="1">
      <c r="B17" s="29" t="s">
        <v>6</v>
      </c>
      <c r="C17" s="366" t="str">
        <f>[3]Brewhouse!$A813</f>
        <v>CA763</v>
      </c>
      <c r="D17" s="279">
        <f>[3]Brewhouse!$AF813</f>
        <v>49.7</v>
      </c>
      <c r="E17" s="279">
        <f>[3]Brewhouse!$AI813</f>
        <v>50.1</v>
      </c>
      <c r="F17" s="278">
        <f>[3]Brewhouse!$V813</f>
        <v>58</v>
      </c>
      <c r="G17" s="279">
        <f>[3]Brewhouse!AG813</f>
        <v>11.7</v>
      </c>
      <c r="H17" s="490">
        <v>12.3</v>
      </c>
      <c r="I17" s="368">
        <f>[3]Brewhouse!$AU813</f>
        <v>97.50785453814089</v>
      </c>
      <c r="J17" s="368">
        <f>[3]Brewhouse!$AV813</f>
        <v>98.377469457952813</v>
      </c>
      <c r="K17" s="281">
        <f>[3]Brewhouse!$Q813</f>
        <v>9.2962962962962887</v>
      </c>
      <c r="L17" s="276">
        <f>[3]Brewhouse!$P813</f>
        <v>61</v>
      </c>
      <c r="M17" s="374">
        <f>[3]Brewhouse!$U813-[3]Brewhouse!$T813</f>
        <v>0.12222222222222223</v>
      </c>
      <c r="N17" s="370">
        <f>[3]Brewhouse!$Z813</f>
        <v>0.26111111111111118</v>
      </c>
      <c r="O17" s="419" t="str">
        <f>[3]Brewhouse!$AX813</f>
        <v>R. Sookram</v>
      </c>
      <c r="P17" s="417"/>
      <c r="R17" s="277" t="str">
        <f t="shared" ref="R17:R33" si="9">B17</f>
        <v>CARIB</v>
      </c>
      <c r="S17" s="471">
        <f t="shared" ref="S17:S33" si="10">VLOOKUP($B17,$R$3:$X$9,2,FALSE)</f>
        <v>11.6</v>
      </c>
      <c r="T17" s="471">
        <f t="shared" ref="T17:T33" si="11">VLOOKUP($B17,$R$3:$X$9,3,FALSE)</f>
        <v>12</v>
      </c>
      <c r="U17" s="297">
        <f t="shared" ref="U17:U33" si="12">VLOOKUP($B17,$R$3:$X$9,4,FALSE)</f>
        <v>0</v>
      </c>
      <c r="V17" s="297">
        <f t="shared" ref="V17:V33" si="13">VLOOKUP($B17,$R$3:$X$9,5,FALSE)</f>
        <v>0.118055555555556</v>
      </c>
      <c r="W17" s="297">
        <f t="shared" ref="W17:W33" si="14">VLOOKUP($B17,$R$3:$X$9,6,FALSE)</f>
        <v>0.22569444444444445</v>
      </c>
      <c r="X17" s="297">
        <f t="shared" ref="X17:X33" si="15">VLOOKUP($B17,$R$3:$X$9,7,FALSE)</f>
        <v>0.2638888888888889</v>
      </c>
      <c r="Y17" s="297">
        <f t="shared" ref="Y17:Y33" si="16">VLOOKUP($B17,$R$3:$Z$9,8,FALSE)</f>
        <v>0</v>
      </c>
      <c r="Z17" s="471">
        <f t="shared" ref="Z17:Z33" si="17">VLOOKUP($B17,$R$3:$Z$9,9,FALSE)</f>
        <v>60</v>
      </c>
    </row>
    <row r="18" spans="1:27" ht="15" customHeight="1">
      <c r="B18" s="29"/>
      <c r="C18" s="366"/>
      <c r="D18" s="279"/>
      <c r="E18" s="279"/>
      <c r="F18" s="278"/>
      <c r="G18" s="279"/>
      <c r="H18" s="490"/>
      <c r="I18" s="368"/>
      <c r="J18" s="368"/>
      <c r="K18" s="281"/>
      <c r="L18" s="276"/>
      <c r="M18" s="374"/>
      <c r="N18" s="370"/>
      <c r="O18" s="419"/>
      <c r="P18" s="417"/>
      <c r="R18" s="277">
        <f t="shared" si="9"/>
        <v>0</v>
      </c>
      <c r="S18" s="471" t="e">
        <f t="shared" si="10"/>
        <v>#N/A</v>
      </c>
      <c r="T18" s="471" t="e">
        <f t="shared" si="11"/>
        <v>#N/A</v>
      </c>
      <c r="U18" s="297" t="e">
        <f t="shared" si="12"/>
        <v>#N/A</v>
      </c>
      <c r="V18" s="297" t="e">
        <f t="shared" si="13"/>
        <v>#N/A</v>
      </c>
      <c r="W18" s="297" t="e">
        <f t="shared" si="14"/>
        <v>#N/A</v>
      </c>
      <c r="X18" s="297" t="e">
        <f t="shared" si="15"/>
        <v>#N/A</v>
      </c>
      <c r="Y18" s="297" t="e">
        <f t="shared" si="16"/>
        <v>#N/A</v>
      </c>
      <c r="Z18" s="471" t="e">
        <f t="shared" si="17"/>
        <v>#N/A</v>
      </c>
    </row>
    <row r="19" spans="1:27" ht="15" customHeight="1">
      <c r="B19" s="36"/>
      <c r="C19" s="366"/>
      <c r="D19" s="279"/>
      <c r="E19" s="279"/>
      <c r="F19" s="278"/>
      <c r="G19" s="279"/>
      <c r="H19" s="396"/>
      <c r="I19" s="487"/>
      <c r="J19" s="487"/>
      <c r="K19" s="488"/>
      <c r="L19" s="276"/>
      <c r="M19" s="374"/>
      <c r="N19" s="370"/>
      <c r="O19" s="419"/>
      <c r="P19" s="417"/>
      <c r="R19" s="277">
        <f t="shared" si="9"/>
        <v>0</v>
      </c>
      <c r="S19" s="471" t="e">
        <f t="shared" si="10"/>
        <v>#N/A</v>
      </c>
      <c r="T19" s="471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1" t="e">
        <f t="shared" si="17"/>
        <v>#N/A</v>
      </c>
    </row>
    <row r="20" spans="1:27" ht="17.25" customHeight="1" thickBot="1">
      <c r="B20" s="358"/>
      <c r="C20" s="358"/>
      <c r="D20" s="358"/>
      <c r="E20" s="358"/>
      <c r="F20" s="294"/>
      <c r="G20" s="294"/>
      <c r="H20" s="348"/>
      <c r="I20" s="570"/>
      <c r="J20" s="570"/>
      <c r="K20" s="570"/>
      <c r="L20" s="570"/>
      <c r="M20" s="570"/>
      <c r="N20" s="570"/>
      <c r="O20" s="1"/>
      <c r="P20" s="12"/>
      <c r="R20" s="277">
        <f t="shared" si="9"/>
        <v>0</v>
      </c>
      <c r="S20" s="471" t="e">
        <f t="shared" si="10"/>
        <v>#N/A</v>
      </c>
      <c r="T20" s="471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1" t="e">
        <f t="shared" si="17"/>
        <v>#N/A</v>
      </c>
    </row>
    <row r="21" spans="1:27" ht="17.25" customHeight="1" thickBot="1">
      <c r="B21" s="482" t="s">
        <v>162</v>
      </c>
      <c r="C21" s="388"/>
      <c r="D21" s="540" t="s">
        <v>35</v>
      </c>
      <c r="E21" s="541"/>
      <c r="F21" s="294"/>
      <c r="G21" s="294"/>
      <c r="H21" s="348"/>
      <c r="I21" s="24" t="s">
        <v>17</v>
      </c>
      <c r="J21" s="25"/>
      <c r="K21" s="26" t="s">
        <v>138</v>
      </c>
      <c r="L21" s="25" t="s">
        <v>37</v>
      </c>
      <c r="M21" s="25" t="s">
        <v>38</v>
      </c>
      <c r="N21" s="27" t="s">
        <v>39</v>
      </c>
      <c r="O21" s="294"/>
      <c r="P21" s="12"/>
      <c r="R21" s="277" t="str">
        <f t="shared" si="9"/>
        <v xml:space="preserve">BRAND </v>
      </c>
      <c r="S21" s="471" t="e">
        <f t="shared" si="10"/>
        <v>#N/A</v>
      </c>
      <c r="T21" s="471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1" t="e">
        <f t="shared" si="17"/>
        <v>#N/A</v>
      </c>
    </row>
    <row r="22" spans="1:27" ht="17.25" customHeight="1">
      <c r="A22" s="28"/>
      <c r="B22" s="594"/>
      <c r="C22" s="483"/>
      <c r="D22" s="527"/>
      <c r="E22" s="528"/>
      <c r="F22" s="294"/>
      <c r="G22" s="294"/>
      <c r="H22" s="348"/>
      <c r="I22" s="29" t="s">
        <v>6</v>
      </c>
      <c r="J22" s="323">
        <f>AVERAGE(I13:I17)</f>
        <v>96.683503408038774</v>
      </c>
      <c r="K22" s="284">
        <f>COUNTA([3]Brewhouse!$A$789:$A$814)</f>
        <v>26</v>
      </c>
      <c r="L22" s="305">
        <f>AVERAGE([3]Brewhouse!$AU$789:$AU$814)</f>
        <v>97.457681641414865</v>
      </c>
      <c r="M22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$814)</f>
        <v>98.301261271934862</v>
      </c>
      <c r="N22" s="30">
        <v>98</v>
      </c>
      <c r="O22" s="11"/>
      <c r="P22" s="31"/>
      <c r="R22" s="277">
        <f t="shared" si="9"/>
        <v>0</v>
      </c>
      <c r="S22" s="471" t="e">
        <f t="shared" si="10"/>
        <v>#N/A</v>
      </c>
      <c r="T22" s="471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1" t="e">
        <f t="shared" si="17"/>
        <v>#N/A</v>
      </c>
    </row>
    <row r="23" spans="1:27" ht="15" customHeight="1">
      <c r="A23" s="28"/>
      <c r="B23" s="572"/>
      <c r="C23" s="362"/>
      <c r="D23" s="529"/>
      <c r="E23" s="530"/>
      <c r="F23" s="294"/>
      <c r="G23" s="294"/>
      <c r="H23" s="348"/>
      <c r="I23" s="33" t="s">
        <v>9</v>
      </c>
      <c r="J23" s="323">
        <f>AVERAGE(I10:I11)</f>
        <v>97.93408036559471</v>
      </c>
      <c r="K23" s="284">
        <f>COUNTA([4]Brewhouse!$A$390:$A$405)</f>
        <v>16</v>
      </c>
      <c r="L23" s="302">
        <f>AVERAGE([4]Brewhouse!$AS$390:$AS$405)</f>
        <v>97.859147509759907</v>
      </c>
      <c r="M23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$405)</f>
        <v>98.292263066454069</v>
      </c>
      <c r="N23" s="30">
        <v>98</v>
      </c>
      <c r="O23" s="11"/>
      <c r="P23" s="31"/>
      <c r="R23" s="277">
        <f t="shared" si="9"/>
        <v>0</v>
      </c>
      <c r="S23" s="471" t="e">
        <f t="shared" si="10"/>
        <v>#N/A</v>
      </c>
      <c r="T23" s="471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1" t="e">
        <f t="shared" si="17"/>
        <v>#N/A</v>
      </c>
    </row>
    <row r="24" spans="1:27" ht="14.65" customHeight="1">
      <c r="A24" s="28"/>
      <c r="B24" s="572"/>
      <c r="C24" s="362"/>
      <c r="D24" s="534"/>
      <c r="E24" s="535"/>
      <c r="F24" s="294"/>
      <c r="G24" s="294"/>
      <c r="H24" s="348"/>
      <c r="I24" s="34" t="s">
        <v>12</v>
      </c>
      <c r="J24" s="323"/>
      <c r="K24" s="284"/>
      <c r="L24" s="302"/>
      <c r="M24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4" s="30">
        <v>98</v>
      </c>
      <c r="O24" s="11"/>
      <c r="P24" s="31"/>
      <c r="R24" s="277">
        <f t="shared" si="9"/>
        <v>0</v>
      </c>
      <c r="S24" s="471" t="e">
        <f t="shared" si="10"/>
        <v>#N/A</v>
      </c>
      <c r="T24" s="471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1" t="e">
        <f t="shared" si="17"/>
        <v>#N/A</v>
      </c>
    </row>
    <row r="25" spans="1:27" ht="14.65" customHeight="1">
      <c r="A25" s="28"/>
      <c r="B25" s="572"/>
      <c r="C25" s="362"/>
      <c r="D25" s="536"/>
      <c r="E25" s="530"/>
      <c r="F25" s="294"/>
      <c r="G25" s="294"/>
      <c r="H25" s="348"/>
      <c r="I25" s="22" t="s">
        <v>33</v>
      </c>
      <c r="J25" s="280"/>
      <c r="K25" s="284"/>
      <c r="L25" s="302"/>
      <c r="M25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5" s="30">
        <v>98</v>
      </c>
      <c r="O25" s="11"/>
      <c r="P25" s="31"/>
      <c r="R25" s="277">
        <f t="shared" si="9"/>
        <v>0</v>
      </c>
      <c r="S25" s="471" t="e">
        <f t="shared" si="10"/>
        <v>#N/A</v>
      </c>
      <c r="T25" s="471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1" t="e">
        <f t="shared" si="17"/>
        <v>#N/A</v>
      </c>
    </row>
    <row r="26" spans="1:27" ht="14.65" customHeight="1">
      <c r="A26" s="28"/>
      <c r="B26" s="572"/>
      <c r="C26" s="362"/>
      <c r="D26" s="534"/>
      <c r="E26" s="535"/>
      <c r="F26" s="294"/>
      <c r="G26" s="294"/>
      <c r="H26" s="348"/>
      <c r="I26" s="35" t="s">
        <v>29</v>
      </c>
      <c r="J26" s="280"/>
      <c r="K26" s="284"/>
      <c r="L26" s="302"/>
      <c r="M26" s="302"/>
      <c r="N26" s="30">
        <v>98</v>
      </c>
      <c r="O26" s="11"/>
      <c r="P26" s="31"/>
      <c r="R26" s="277">
        <f t="shared" si="9"/>
        <v>0</v>
      </c>
      <c r="S26" s="471" t="e">
        <f t="shared" si="10"/>
        <v>#N/A</v>
      </c>
      <c r="T26" s="471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1" t="e">
        <f t="shared" si="17"/>
        <v>#N/A</v>
      </c>
    </row>
    <row r="27" spans="1:27" ht="14.65" customHeight="1">
      <c r="A27" s="28"/>
      <c r="B27" s="572"/>
      <c r="C27" s="362"/>
      <c r="D27" s="536"/>
      <c r="E27" s="530"/>
      <c r="F27" s="416"/>
      <c r="G27" s="294"/>
      <c r="H27" s="348"/>
      <c r="I27" s="36" t="s">
        <v>15</v>
      </c>
      <c r="J27" s="323"/>
      <c r="K27" s="284"/>
      <c r="L27" s="302"/>
      <c r="M27" s="302">
        <f>AVERAGE([7]Brewhouse!$AT$4:$AT$11,[7]Brewhouse!$AT$13:$AT$16,[7]Brewhouse!$AT$18:$AT$30)</f>
        <v>93.22262799886262</v>
      </c>
      <c r="N27" s="30">
        <v>98</v>
      </c>
      <c r="O27" s="11"/>
      <c r="P27" s="31"/>
      <c r="R27" s="277">
        <f t="shared" si="9"/>
        <v>0</v>
      </c>
      <c r="S27" s="471" t="e">
        <f t="shared" si="10"/>
        <v>#N/A</v>
      </c>
      <c r="T27" s="471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1" t="e">
        <f t="shared" si="17"/>
        <v>#N/A</v>
      </c>
    </row>
    <row r="28" spans="1:27" ht="14.65" customHeight="1">
      <c r="A28" s="28"/>
      <c r="B28" s="572"/>
      <c r="C28" s="362"/>
      <c r="D28" s="534"/>
      <c r="E28" s="535"/>
      <c r="F28" s="416"/>
      <c r="G28" s="294"/>
      <c r="H28" s="348"/>
      <c r="I28" s="37" t="s">
        <v>16</v>
      </c>
      <c r="J28" s="323"/>
      <c r="K28" s="284"/>
      <c r="L28" s="302"/>
      <c r="M28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28" s="30">
        <v>98</v>
      </c>
      <c r="O28" s="11"/>
      <c r="P28" s="31" t="s">
        <v>41</v>
      </c>
      <c r="R28" s="277">
        <f t="shared" si="9"/>
        <v>0</v>
      </c>
      <c r="S28" s="471" t="e">
        <f t="shared" si="10"/>
        <v>#N/A</v>
      </c>
      <c r="T28" s="471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1" t="e">
        <f t="shared" si="17"/>
        <v>#N/A</v>
      </c>
    </row>
    <row r="29" spans="1:27" ht="14.65" customHeight="1">
      <c r="A29" s="28"/>
      <c r="B29" s="572"/>
      <c r="C29" s="362"/>
      <c r="D29" s="536"/>
      <c r="E29" s="530"/>
      <c r="F29" s="294"/>
      <c r="G29" s="294"/>
      <c r="H29" s="348"/>
      <c r="I29" s="410" t="s">
        <v>158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9"/>
        <v>0</v>
      </c>
      <c r="S29" s="471" t="e">
        <f t="shared" si="10"/>
        <v>#N/A</v>
      </c>
      <c r="T29" s="471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1" t="e">
        <f t="shared" si="17"/>
        <v>#N/A</v>
      </c>
    </row>
    <row r="30" spans="1:27" ht="14.65" customHeight="1">
      <c r="A30" s="28"/>
      <c r="B30" s="572"/>
      <c r="C30" s="362"/>
      <c r="D30" s="534"/>
      <c r="E30" s="535"/>
      <c r="F30" s="294"/>
      <c r="G30" s="294"/>
      <c r="H30" s="348"/>
      <c r="I30" s="409" t="s">
        <v>157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9"/>
        <v>0</v>
      </c>
      <c r="S30" s="471" t="e">
        <f t="shared" si="10"/>
        <v>#N/A</v>
      </c>
      <c r="T30" s="471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1" t="e">
        <f t="shared" si="17"/>
        <v>#N/A</v>
      </c>
      <c r="AA30" s="471"/>
    </row>
    <row r="31" spans="1:27" ht="15" customHeight="1" thickBot="1">
      <c r="A31" s="28"/>
      <c r="B31" s="572"/>
      <c r="C31" s="362"/>
      <c r="D31" s="536"/>
      <c r="E31" s="530"/>
      <c r="F31" s="294"/>
      <c r="G31" s="294"/>
      <c r="H31" s="348"/>
      <c r="I31" s="405" t="s">
        <v>156</v>
      </c>
      <c r="J31" s="327"/>
      <c r="K31" s="406"/>
      <c r="L31" s="407"/>
      <c r="M31" s="407"/>
      <c r="N31" s="408">
        <v>98</v>
      </c>
      <c r="O31" s="11"/>
      <c r="P31" s="31"/>
      <c r="R31" s="277">
        <f t="shared" si="9"/>
        <v>0</v>
      </c>
      <c r="S31" s="471" t="e">
        <f t="shared" si="10"/>
        <v>#N/A</v>
      </c>
      <c r="T31" s="471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1" t="e">
        <f t="shared" si="17"/>
        <v>#N/A</v>
      </c>
      <c r="AA31" s="471"/>
    </row>
    <row r="32" spans="1:27" ht="15" customHeight="1" thickBot="1">
      <c r="A32" s="28"/>
      <c r="B32" s="572"/>
      <c r="C32" s="349"/>
      <c r="D32" s="527"/>
      <c r="E32" s="528"/>
      <c r="F32" s="294"/>
      <c r="G32" s="294"/>
      <c r="H32" s="348"/>
      <c r="I32" s="1"/>
      <c r="J32" s="39"/>
      <c r="K32" s="403">
        <f>SUM(K22:K31)</f>
        <v>42</v>
      </c>
      <c r="L32" s="404">
        <f>((L22*K22)+(L23*K23)+(L24*K24)+(L25*K25)+(L26*K26)+(K29*L29)+(L27*K27)+(L28*K28)+(L31*K31))/(K32)</f>
        <v>97.610621019832038</v>
      </c>
      <c r="M32" s="404">
        <f>AVERAGE('[9]Jan30th-31st'!$L$42,'[10]Feb 27th-28th'!$L$45,'[11]Mar 31st'!$L$42,'[12]Apr 30th'!$L$41,'[13]May 29th '!$L$35,'[14]June 30th'!$L$32,[15]July31st!$L$36,'[16]Aug 31st'!$L$32,L32)</f>
        <v>97.93680487137145</v>
      </c>
      <c r="N32" s="40">
        <v>98</v>
      </c>
      <c r="O32" s="11"/>
      <c r="P32" s="31"/>
      <c r="R32" s="277">
        <f t="shared" si="9"/>
        <v>0</v>
      </c>
      <c r="S32" s="471" t="e">
        <f t="shared" si="10"/>
        <v>#N/A</v>
      </c>
      <c r="T32" s="471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1" t="e">
        <f t="shared" si="17"/>
        <v>#N/A</v>
      </c>
      <c r="AA32" s="471"/>
    </row>
    <row r="33" spans="2:56" ht="15.75" thickBot="1">
      <c r="B33" s="595"/>
      <c r="C33" s="350"/>
      <c r="D33" s="529"/>
      <c r="E33" s="530"/>
      <c r="F33" s="294"/>
      <c r="G33" s="42"/>
      <c r="H33" s="41"/>
      <c r="I33" s="42"/>
      <c r="J33" s="42"/>
      <c r="K33" s="351"/>
      <c r="L33" s="348"/>
      <c r="M33" s="348"/>
      <c r="N33" s="11"/>
      <c r="O33" s="294"/>
      <c r="P33" s="12"/>
      <c r="R33" s="277">
        <f t="shared" si="9"/>
        <v>0</v>
      </c>
      <c r="S33" s="471" t="e">
        <f t="shared" si="10"/>
        <v>#N/A</v>
      </c>
      <c r="T33" s="471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1" t="e">
        <f t="shared" si="17"/>
        <v>#N/A</v>
      </c>
      <c r="AA33" s="471"/>
    </row>
    <row r="34" spans="2:56" ht="15.75" thickBot="1">
      <c r="B34" s="524"/>
      <c r="C34" s="362"/>
      <c r="D34" s="527"/>
      <c r="E34" s="528"/>
      <c r="F34" s="294"/>
      <c r="G34" s="42"/>
      <c r="H34" s="41"/>
      <c r="I34" s="42"/>
      <c r="J34" s="531" t="s">
        <v>129</v>
      </c>
      <c r="K34" s="531"/>
      <c r="L34" s="294"/>
      <c r="M34" s="294"/>
      <c r="N34" s="294"/>
      <c r="O34" s="294"/>
      <c r="P34" s="12"/>
    </row>
    <row r="35" spans="2:56" ht="15.75" thickBot="1">
      <c r="B35" s="525"/>
      <c r="C35" s="362"/>
      <c r="D35" s="529"/>
      <c r="E35" s="530"/>
      <c r="F35" s="294"/>
      <c r="G35" s="42"/>
      <c r="H35" s="42"/>
      <c r="I35" s="42"/>
      <c r="J35" s="292" t="s">
        <v>17</v>
      </c>
      <c r="K35" s="293"/>
      <c r="L35" s="532" t="s">
        <v>136</v>
      </c>
      <c r="M35" s="532"/>
      <c r="N35" s="533"/>
      <c r="O35" s="294"/>
      <c r="P35" s="12"/>
    </row>
    <row r="36" spans="2:56" ht="15" customHeight="1" thickBot="1">
      <c r="B36" s="525"/>
      <c r="C36" s="349"/>
      <c r="D36" s="534"/>
      <c r="E36" s="535"/>
      <c r="F36" s="294"/>
      <c r="G36" s="42"/>
      <c r="H36" s="42"/>
      <c r="I36" s="42"/>
      <c r="J36" s="287" t="s">
        <v>6</v>
      </c>
      <c r="K36" s="324">
        <v>5</v>
      </c>
      <c r="L36" s="472" t="s">
        <v>37</v>
      </c>
      <c r="M36" s="473" t="s">
        <v>38</v>
      </c>
      <c r="N36" s="473" t="s">
        <v>84</v>
      </c>
      <c r="O36" s="294"/>
      <c r="P36" s="12"/>
    </row>
    <row r="37" spans="2:56" ht="15.75" customHeight="1" thickBot="1">
      <c r="B37" s="525"/>
      <c r="C37" s="349"/>
      <c r="D37" s="536"/>
      <c r="E37" s="530"/>
      <c r="F37" s="294"/>
      <c r="G37" s="42"/>
      <c r="H37" s="42"/>
      <c r="I37" s="42"/>
      <c r="J37" s="345" t="s">
        <v>9</v>
      </c>
      <c r="K37" s="324">
        <v>2</v>
      </c>
      <c r="L37" s="484">
        <f>AVERAGE('Oct 1st'!K52,'Oct 2nd'!K44,'Oct 5th'!K51,'Oct 6th'!K58,'Oct 7th'!K47,K46)</f>
        <v>6.833333333333333</v>
      </c>
      <c r="M37" s="485">
        <f>AVERAGE('[9]Jan30th-31st'!$L$47,L37,'[10]Feb 26th '!$L$39,'[11]Mar 31st'!$L$47,'[12]Apr 30th'!$L$46,'[13]May 29th '!$L$40,'[14]June 30th'!$L$39,[15]July31st!$L$41,'[16]Aug 31st'!$L$37,'[18]Sept 30th'!$L$37)</f>
        <v>6.5568674803457414</v>
      </c>
      <c r="N37" s="415">
        <v>9.1999999999999993</v>
      </c>
      <c r="O37" s="294"/>
      <c r="P37" s="12"/>
    </row>
    <row r="38" spans="2:56" ht="15" customHeight="1">
      <c r="B38" s="525"/>
      <c r="C38" s="349"/>
      <c r="D38" s="534"/>
      <c r="E38" s="535"/>
      <c r="F38" s="294"/>
      <c r="G38" s="42"/>
      <c r="H38" s="42"/>
      <c r="I38" s="42"/>
      <c r="J38" s="288" t="s">
        <v>40</v>
      </c>
      <c r="K38" s="324"/>
      <c r="L38" s="294"/>
      <c r="M38" s="294"/>
      <c r="N38" s="294"/>
      <c r="O38" s="294"/>
      <c r="P38" s="12"/>
    </row>
    <row r="39" spans="2:56" ht="15" customHeight="1">
      <c r="B39" s="525"/>
      <c r="C39" s="349"/>
      <c r="D39" s="536"/>
      <c r="E39" s="530"/>
      <c r="F39" s="294"/>
      <c r="G39" s="42"/>
      <c r="H39" s="42"/>
      <c r="I39" s="42"/>
      <c r="J39" s="289" t="s">
        <v>33</v>
      </c>
      <c r="K39" s="324"/>
      <c r="L39" s="294"/>
      <c r="M39" s="294"/>
      <c r="N39" s="294"/>
      <c r="O39" s="294"/>
      <c r="P39" s="12"/>
    </row>
    <row r="40" spans="2:56" ht="15">
      <c r="B40" s="525"/>
      <c r="C40" s="349"/>
      <c r="D40" s="534"/>
      <c r="E40" s="535"/>
      <c r="F40" s="294"/>
      <c r="G40" s="42"/>
      <c r="H40" s="42"/>
      <c r="I40" s="42"/>
      <c r="J40" s="290" t="s">
        <v>16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5"/>
      <c r="C41" s="349"/>
      <c r="D41" s="536"/>
      <c r="E41" s="530"/>
      <c r="F41" s="294"/>
      <c r="G41" s="42"/>
      <c r="H41" s="42"/>
      <c r="I41" s="42"/>
      <c r="J41" s="291" t="s">
        <v>15</v>
      </c>
      <c r="K41" s="324"/>
      <c r="L41" s="294"/>
      <c r="M41" s="294"/>
      <c r="N41" s="294"/>
      <c r="O41" s="294"/>
      <c r="P41" s="12"/>
      <c r="BC41" s="44"/>
      <c r="BD41" s="44"/>
    </row>
    <row r="42" spans="2:56" ht="15">
      <c r="B42" s="525"/>
      <c r="C42" s="349"/>
      <c r="D42" s="534"/>
      <c r="E42" s="535"/>
      <c r="F42" s="294"/>
      <c r="G42" s="42"/>
      <c r="H42" s="42"/>
      <c r="I42" s="42"/>
      <c r="J42" s="291" t="s">
        <v>149</v>
      </c>
      <c r="K42" s="324"/>
      <c r="L42" s="294"/>
      <c r="M42" s="294"/>
      <c r="N42" s="294"/>
      <c r="O42" s="294"/>
      <c r="P42" s="12"/>
      <c r="BC42" s="44"/>
      <c r="BD42" s="44"/>
    </row>
    <row r="43" spans="2:56" ht="15.75" thickBot="1">
      <c r="B43" s="526"/>
      <c r="C43" s="350"/>
      <c r="D43" s="537"/>
      <c r="E43" s="538"/>
      <c r="F43" s="294" t="s">
        <v>165</v>
      </c>
      <c r="G43" s="42"/>
      <c r="H43" s="42"/>
      <c r="I43" s="42"/>
      <c r="J43" s="291" t="s">
        <v>148</v>
      </c>
      <c r="K43" s="324"/>
      <c r="L43" s="294"/>
      <c r="M43" s="294"/>
      <c r="N43" s="294" t="s">
        <v>41</v>
      </c>
      <c r="O43" s="294"/>
      <c r="P43" s="12"/>
      <c r="BC43" s="44"/>
      <c r="BD43" s="44"/>
    </row>
    <row r="44" spans="2:56" ht="17.649999999999999" customHeight="1" thickBot="1">
      <c r="B44" s="312" t="s">
        <v>139</v>
      </c>
      <c r="C44" s="313"/>
      <c r="D44" s="515"/>
      <c r="E44" s="516"/>
      <c r="F44" s="294"/>
      <c r="J44" s="295" t="s">
        <v>134</v>
      </c>
      <c r="K44" s="324"/>
      <c r="L44" s="294"/>
      <c r="M44" s="294"/>
      <c r="N44" s="294"/>
      <c r="O44" s="294"/>
      <c r="P44" s="12"/>
      <c r="BC44" s="44"/>
      <c r="BD44" s="44"/>
    </row>
    <row r="45" spans="2:56" ht="17.649999999999999" customHeight="1">
      <c r="B45" s="363"/>
      <c r="C45" s="364"/>
      <c r="D45" s="365"/>
      <c r="E45" s="365"/>
      <c r="F45" s="294"/>
      <c r="G45" s="42"/>
      <c r="H45" s="42"/>
      <c r="I45" s="42"/>
      <c r="J45" s="295" t="s">
        <v>131</v>
      </c>
      <c r="K45" s="324"/>
      <c r="L45" s="294"/>
      <c r="M45" s="294"/>
      <c r="N45" s="294"/>
      <c r="O45" s="294"/>
      <c r="P45" s="12"/>
      <c r="BC45" s="44"/>
      <c r="BD45" s="44"/>
    </row>
    <row r="46" spans="2:56" ht="15.6" customHeight="1">
      <c r="B46" s="45"/>
      <c r="C46" s="11"/>
      <c r="D46" s="11"/>
      <c r="E46" s="46"/>
      <c r="F46" s="294"/>
      <c r="G46" s="42"/>
      <c r="H46" s="42"/>
      <c r="I46" s="42"/>
      <c r="J46" s="346" t="s">
        <v>130</v>
      </c>
      <c r="K46" s="324">
        <f>SUM(K36:K45)</f>
        <v>7</v>
      </c>
      <c r="L46" s="294"/>
      <c r="M46" s="294"/>
      <c r="N46" s="294"/>
      <c r="O46" s="294"/>
      <c r="P46" s="12"/>
    </row>
    <row r="47" spans="2:56" ht="20.25" customHeight="1">
      <c r="B47" s="15" t="s">
        <v>42</v>
      </c>
      <c r="C47" s="1" t="s">
        <v>43</v>
      </c>
      <c r="D47" s="1"/>
      <c r="E47" s="1"/>
      <c r="F47" s="294"/>
      <c r="G47" s="42"/>
      <c r="H47" s="41"/>
      <c r="I47" s="42"/>
      <c r="L47" s="42"/>
      <c r="N47" s="315"/>
      <c r="P47" s="334"/>
    </row>
    <row r="48" spans="2:56" ht="15" customHeight="1" thickBot="1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1"/>
      <c r="O48" s="48"/>
      <c r="P48" s="49"/>
    </row>
    <row r="49" spans="2:57" ht="15" customHeight="1" thickBot="1">
      <c r="B49" s="509" t="s">
        <v>17</v>
      </c>
      <c r="C49" s="509" t="s">
        <v>44</v>
      </c>
      <c r="D49" s="518" t="s">
        <v>45</v>
      </c>
      <c r="E49" s="520" t="s">
        <v>46</v>
      </c>
      <c r="F49" s="522" t="s">
        <v>47</v>
      </c>
      <c r="G49" s="507" t="s">
        <v>48</v>
      </c>
      <c r="H49" s="509" t="s">
        <v>49</v>
      </c>
      <c r="I49" s="509" t="s">
        <v>50</v>
      </c>
      <c r="J49" s="501" t="s">
        <v>28</v>
      </c>
      <c r="K49" s="511" t="s">
        <v>51</v>
      </c>
      <c r="L49" s="513" t="s">
        <v>52</v>
      </c>
      <c r="M49" s="501" t="s">
        <v>53</v>
      </c>
      <c r="N49" s="13"/>
      <c r="O49" s="13"/>
      <c r="P49" s="50"/>
    </row>
    <row r="50" spans="2:57" ht="28.5" customHeight="1" thickTop="1" thickBot="1">
      <c r="B50" s="510"/>
      <c r="C50" s="517"/>
      <c r="D50" s="519"/>
      <c r="E50" s="521"/>
      <c r="F50" s="523"/>
      <c r="G50" s="508"/>
      <c r="H50" s="510"/>
      <c r="I50" s="510"/>
      <c r="J50" s="502"/>
      <c r="K50" s="512"/>
      <c r="L50" s="514"/>
      <c r="M50" s="502"/>
      <c r="N50" s="13"/>
      <c r="O50" s="13"/>
      <c r="P50" s="50"/>
      <c r="Q50" s="355"/>
      <c r="AB50" s="474">
        <v>43474</v>
      </c>
      <c r="AC50" s="474">
        <v>43475</v>
      </c>
      <c r="AD50" s="474">
        <v>43476</v>
      </c>
      <c r="AE50" s="474">
        <v>43477</v>
      </c>
      <c r="AF50" s="474">
        <v>43478</v>
      </c>
      <c r="AG50" s="474">
        <v>43479</v>
      </c>
      <c r="AH50" s="474">
        <v>43480</v>
      </c>
      <c r="AI50" s="474">
        <v>43481</v>
      </c>
      <c r="AJ50" s="474">
        <v>43482</v>
      </c>
      <c r="AK50" s="474">
        <v>43483</v>
      </c>
      <c r="AL50" s="474">
        <v>43484</v>
      </c>
      <c r="AM50" s="474">
        <v>43485</v>
      </c>
      <c r="AN50" s="474">
        <v>43486</v>
      </c>
      <c r="AO50" s="474">
        <v>43487</v>
      </c>
      <c r="AP50" s="474">
        <v>43488</v>
      </c>
      <c r="AQ50" s="474">
        <v>43489</v>
      </c>
      <c r="AR50" s="474">
        <v>43490</v>
      </c>
      <c r="AS50" s="474">
        <v>43491</v>
      </c>
      <c r="AT50" s="474">
        <v>43492</v>
      </c>
      <c r="AU50" s="474">
        <v>43493</v>
      </c>
      <c r="AV50" s="474">
        <v>43494</v>
      </c>
      <c r="AW50" s="474">
        <v>43495</v>
      </c>
      <c r="AX50" s="474">
        <v>43496</v>
      </c>
    </row>
    <row r="51" spans="2:57" s="54" customFormat="1" ht="36.75" customHeight="1" thickBot="1">
      <c r="B51" s="455" t="str">
        <f>J36</f>
        <v>CARIB</v>
      </c>
      <c r="C51" s="478">
        <v>46303</v>
      </c>
      <c r="D51" s="444">
        <f>[19]October_2026!$K$3</f>
        <v>302.39999999999998</v>
      </c>
      <c r="E51" s="442"/>
      <c r="F51" s="443"/>
      <c r="G51" s="443">
        <f>[19]October_2026!$K$7</f>
        <v>292.2</v>
      </c>
      <c r="H51" s="457"/>
      <c r="I51" s="457"/>
      <c r="J51" s="447" t="s">
        <v>150</v>
      </c>
      <c r="K51" s="448">
        <f>[20]October_2026!$K$18</f>
        <v>1.0252631578947369</v>
      </c>
      <c r="L51" s="475">
        <f>(((D51+E51)-G51)/(D51+E51))*100</f>
        <v>3.3730158730158695</v>
      </c>
      <c r="M51" s="454" t="s">
        <v>172</v>
      </c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>
        <f>[21]January_2019!L5</f>
        <v>0</v>
      </c>
      <c r="AC51" s="57">
        <f>[21]January_2019!M5</f>
        <v>0</v>
      </c>
      <c r="AD51" s="57">
        <f>[21]January_2019!N5</f>
        <v>0</v>
      </c>
      <c r="AE51" s="57">
        <f>[21]January_2019!O5</f>
        <v>0</v>
      </c>
      <c r="AF51" s="57">
        <f>[21]January_2019!P5</f>
        <v>0</v>
      </c>
      <c r="AG51" s="57">
        <f>[21]January_2019!Q5</f>
        <v>0</v>
      </c>
      <c r="AH51" s="57">
        <f>[21]January_2019!R5</f>
        <v>0</v>
      </c>
      <c r="AI51" s="57">
        <f>[21]January_2019!S5</f>
        <v>0</v>
      </c>
      <c r="AJ51" s="57">
        <f>[21]January_2019!T5</f>
        <v>0</v>
      </c>
      <c r="AK51" s="57">
        <f>[21]January_2019!U5</f>
        <v>0</v>
      </c>
      <c r="AL51" s="57">
        <f>[21]January_2019!V5</f>
        <v>0</v>
      </c>
      <c r="AM51" s="57">
        <f>[21]January_2019!W5</f>
        <v>0</v>
      </c>
      <c r="AN51" s="57">
        <f>[21]January_2019!X5</f>
        <v>0</v>
      </c>
      <c r="AO51" s="57">
        <f>[21]January_2019!Y5</f>
        <v>0</v>
      </c>
      <c r="AP51" s="57">
        <f>[21]January_2019!Z5</f>
        <v>0</v>
      </c>
      <c r="AQ51" s="57">
        <f>[21]January_2019!AA5</f>
        <v>0</v>
      </c>
      <c r="AR51" s="57">
        <f>[21]January_2019!AB5</f>
        <v>0</v>
      </c>
      <c r="AS51" s="57">
        <f>[21]January_2019!AC5</f>
        <v>0</v>
      </c>
      <c r="AT51" s="57">
        <f>[21]January_2019!AD5</f>
        <v>0</v>
      </c>
      <c r="AU51" s="57">
        <f>[21]January_2019!AE5</f>
        <v>0</v>
      </c>
      <c r="AV51" s="57">
        <f>[21]January_2019!AF5</f>
        <v>0</v>
      </c>
      <c r="AW51" s="57">
        <f>[21]January_2019!AG5</f>
        <v>0</v>
      </c>
      <c r="AX51" s="277">
        <f>[21]January_2019!AH5</f>
        <v>0</v>
      </c>
      <c r="AY51" s="277"/>
      <c r="AZ51" s="277"/>
      <c r="BA51" s="277"/>
      <c r="BB51" s="277"/>
      <c r="BC51" s="277"/>
      <c r="BD51" s="277"/>
      <c r="BE51" s="277"/>
    </row>
    <row r="52" spans="2:57" s="54" customFormat="1" ht="14.25" customHeight="1" thickBot="1">
      <c r="B52" s="479"/>
      <c r="C52" s="478"/>
      <c r="D52" s="441"/>
      <c r="E52" s="442"/>
      <c r="F52" s="443"/>
      <c r="G52" s="444"/>
      <c r="H52" s="457"/>
      <c r="I52" s="457"/>
      <c r="J52" s="475"/>
      <c r="K52" s="448"/>
      <c r="L52" s="456"/>
      <c r="M52" s="454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>
        <f>[21]January_2019!L6</f>
        <v>0</v>
      </c>
      <c r="AC52" s="57">
        <f>[21]January_2019!M6</f>
        <v>0</v>
      </c>
      <c r="AD52" s="57">
        <f>[21]January_2019!N6</f>
        <v>0</v>
      </c>
      <c r="AE52" s="57">
        <f>[21]January_2019!O6</f>
        <v>0</v>
      </c>
      <c r="AF52" s="57">
        <f>[21]January_2019!P6</f>
        <v>0</v>
      </c>
      <c r="AG52" s="57">
        <f>[21]January_2019!Q6</f>
        <v>0</v>
      </c>
      <c r="AH52" s="57">
        <f>[21]January_2019!R6</f>
        <v>0</v>
      </c>
      <c r="AI52" s="57">
        <f>[21]January_2019!S6</f>
        <v>0</v>
      </c>
      <c r="AJ52" s="57">
        <f>[21]January_2019!T6</f>
        <v>0</v>
      </c>
      <c r="AK52" s="57">
        <f>[21]January_2019!U6</f>
        <v>0</v>
      </c>
      <c r="AL52" s="57">
        <f>[21]January_2019!V6</f>
        <v>0</v>
      </c>
      <c r="AM52" s="57">
        <f>[21]January_2019!W6</f>
        <v>0</v>
      </c>
      <c r="AN52" s="57">
        <f>[21]January_2019!X6</f>
        <v>0</v>
      </c>
      <c r="AO52" s="57">
        <f>[21]January_2019!Y6</f>
        <v>0</v>
      </c>
      <c r="AP52" s="57">
        <f>[21]January_2019!Z6</f>
        <v>0</v>
      </c>
      <c r="AQ52" s="57">
        <f>[21]January_2019!AA6</f>
        <v>0</v>
      </c>
      <c r="AR52" s="57">
        <f>[21]January_2019!AB6</f>
        <v>0</v>
      </c>
      <c r="AS52" s="57">
        <f>[21]January_2019!AC6</f>
        <v>0</v>
      </c>
      <c r="AT52" s="57">
        <f>[21]January_2019!AD6</f>
        <v>0</v>
      </c>
      <c r="AU52" s="57">
        <f>[21]January_2019!AE6</f>
        <v>0</v>
      </c>
      <c r="AV52" s="57">
        <f>[21]January_2019!AF6</f>
        <v>0</v>
      </c>
      <c r="AW52" s="57">
        <f>[21]January_2019!AG6</f>
        <v>0</v>
      </c>
      <c r="AX52" s="277">
        <f>[21]January_2019!AH6</f>
        <v>0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37.15" customHeight="1" thickBot="1">
      <c r="B53" s="489" t="str">
        <f>J37</f>
        <v>STAG</v>
      </c>
      <c r="C53" s="478">
        <v>46303</v>
      </c>
      <c r="D53" s="441">
        <f>[19]October_2026!$K$13</f>
        <v>292</v>
      </c>
      <c r="E53" s="442"/>
      <c r="F53" s="443"/>
      <c r="G53" s="443">
        <f>[19]October_2026!$K$17</f>
        <v>278</v>
      </c>
      <c r="H53" s="445"/>
      <c r="I53" s="445"/>
      <c r="J53" s="447" t="s">
        <v>150</v>
      </c>
      <c r="K53" s="448">
        <f>[20]October_2026!$K$25</f>
        <v>0.9754385964912281</v>
      </c>
      <c r="L53" s="456">
        <f>(((D53+E53)-G53)/(D53+E53))*100</f>
        <v>4.7945205479452051</v>
      </c>
      <c r="M53" s="454" t="s">
        <v>176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[21]January_2019!L7</f>
        <v>285.8</v>
      </c>
      <c r="AC53" s="57">
        <f>[21]January_2019!M7</f>
        <v>508.1</v>
      </c>
      <c r="AD53" s="57">
        <f>[21]January_2019!N7</f>
        <v>0</v>
      </c>
      <c r="AE53" s="57">
        <f>[21]January_2019!O7</f>
        <v>0</v>
      </c>
      <c r="AF53" s="57">
        <f>[21]January_2019!P7</f>
        <v>109.56666666666666</v>
      </c>
      <c r="AG53" s="57">
        <f>[21]January_2019!Q7</f>
        <v>297.64999999999998</v>
      </c>
      <c r="AH53" s="57">
        <f>[21]January_2019!R7</f>
        <v>122.3</v>
      </c>
      <c r="AI53" s="57">
        <f>[21]January_2019!S7</f>
        <v>0</v>
      </c>
      <c r="AJ53" s="57">
        <f>[21]January_2019!T7</f>
        <v>294.7</v>
      </c>
      <c r="AK53" s="57">
        <f>[21]January_2019!U7</f>
        <v>280.5</v>
      </c>
      <c r="AL53" s="57">
        <f>[21]January_2019!V7</f>
        <v>0</v>
      </c>
      <c r="AM53" s="57">
        <f>[21]January_2019!W7</f>
        <v>0</v>
      </c>
      <c r="AN53" s="57">
        <f>[21]January_2019!X7</f>
        <v>188.25</v>
      </c>
      <c r="AO53" s="57">
        <f>[21]January_2019!Y7</f>
        <v>295.7</v>
      </c>
      <c r="AP53" s="57">
        <f>[21]January_2019!Z7</f>
        <v>257.8</v>
      </c>
      <c r="AQ53" s="57">
        <f>[21]January_2019!AA7</f>
        <v>291.2</v>
      </c>
      <c r="AR53" s="57">
        <f>[21]January_2019!AB7</f>
        <v>187</v>
      </c>
      <c r="AS53" s="57">
        <f>[21]January_2019!AC7</f>
        <v>0</v>
      </c>
      <c r="AT53" s="57">
        <f>[21]January_2019!AD7</f>
        <v>0</v>
      </c>
      <c r="AU53" s="57">
        <f>[21]January_2019!AE7</f>
        <v>485.1</v>
      </c>
      <c r="AV53" s="57">
        <f>[21]January_2019!AF7</f>
        <v>171.55</v>
      </c>
      <c r="AW53" s="57">
        <f>[21]January_2019!AG7</f>
        <v>423.8</v>
      </c>
      <c r="AX53" s="277">
        <f>[21]January_2019!AH7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8.600000000000001" hidden="1" customHeight="1" thickBot="1">
      <c r="B54" s="477"/>
      <c r="C54" s="429"/>
      <c r="D54" s="430"/>
      <c r="E54" s="431"/>
      <c r="F54" s="432"/>
      <c r="G54" s="433"/>
      <c r="H54" s="457"/>
      <c r="I54" s="457"/>
      <c r="J54" s="450"/>
      <c r="K54" s="435"/>
      <c r="L54" s="451"/>
      <c r="M54" s="420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38.65" hidden="1" customHeight="1" thickBot="1">
      <c r="B55" s="486"/>
      <c r="C55" s="478"/>
      <c r="D55" s="441"/>
      <c r="E55" s="442"/>
      <c r="F55" s="443"/>
      <c r="G55" s="444"/>
      <c r="H55" s="457"/>
      <c r="I55" s="457"/>
      <c r="J55" s="447"/>
      <c r="K55" s="458"/>
      <c r="L55" s="456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15.75" hidden="1" thickBot="1">
      <c r="B56" s="452"/>
      <c r="C56" s="429"/>
      <c r="D56" s="430"/>
      <c r="E56" s="431"/>
      <c r="F56" s="432"/>
      <c r="G56" s="433"/>
      <c r="H56" s="434"/>
      <c r="I56" s="449"/>
      <c r="J56" s="450"/>
      <c r="K56" s="435"/>
      <c r="L56" s="451"/>
      <c r="M56" s="42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0"/>
      <c r="C57" s="478"/>
      <c r="D57" s="441"/>
      <c r="E57" s="442"/>
      <c r="F57" s="443"/>
      <c r="G57" s="444"/>
      <c r="H57" s="445"/>
      <c r="I57" s="446"/>
      <c r="J57" s="447"/>
      <c r="K57" s="44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6.5" hidden="1" customHeight="1" thickBot="1">
      <c r="B58" s="436"/>
      <c r="C58" s="422"/>
      <c r="D58" s="423"/>
      <c r="E58" s="424"/>
      <c r="F58" s="425"/>
      <c r="G58" s="426"/>
      <c r="H58" s="427"/>
      <c r="I58" s="437"/>
      <c r="J58" s="438"/>
      <c r="K58" s="428"/>
      <c r="L58" s="439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4"/>
      <c r="AC58" s="414"/>
      <c r="AD58" s="414"/>
      <c r="AE58" s="414"/>
      <c r="AF58" s="414"/>
      <c r="AG58" s="414"/>
      <c r="AH58" s="414"/>
      <c r="AI58" s="414"/>
      <c r="AJ58" s="414"/>
      <c r="AK58" s="414"/>
      <c r="AL58" s="414"/>
      <c r="AM58" s="414"/>
      <c r="AN58" s="414"/>
      <c r="AO58" s="414"/>
      <c r="AP58" s="414"/>
      <c r="AQ58" s="414"/>
      <c r="AR58" s="414"/>
      <c r="AS58" s="414"/>
      <c r="AT58" s="414"/>
      <c r="AU58" s="414"/>
      <c r="AV58" s="414"/>
      <c r="AW58" s="414"/>
    </row>
    <row r="59" spans="2:57" s="54" customFormat="1" ht="37.15" hidden="1" customHeight="1" thickBot="1">
      <c r="B59" s="455"/>
      <c r="C59" s="440"/>
      <c r="D59" s="441"/>
      <c r="E59" s="442"/>
      <c r="F59" s="443"/>
      <c r="G59" s="444"/>
      <c r="H59" s="445"/>
      <c r="I59" s="446"/>
      <c r="J59" s="447"/>
      <c r="K59" s="448"/>
      <c r="L59" s="456"/>
      <c r="M59" s="453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7.15" hidden="1" customHeight="1">
      <c r="B60" s="465"/>
      <c r="C60" s="429"/>
      <c r="D60" s="459"/>
      <c r="E60" s="460"/>
      <c r="F60" s="461"/>
      <c r="G60" s="459"/>
      <c r="H60" s="462"/>
      <c r="I60" s="462"/>
      <c r="J60" s="462"/>
      <c r="K60" s="463"/>
      <c r="L60" s="464"/>
      <c r="M60" s="5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 t="s">
        <v>41</v>
      </c>
      <c r="O61" s="56"/>
      <c r="P61" s="60"/>
    </row>
    <row r="62" spans="2:57" ht="15.75" thickBot="1">
      <c r="B62" s="503" t="s">
        <v>55</v>
      </c>
      <c r="C62" s="504"/>
      <c r="D62" s="504"/>
      <c r="E62" s="504"/>
      <c r="F62" s="505"/>
      <c r="G62" s="503" t="s">
        <v>56</v>
      </c>
      <c r="H62" s="504"/>
      <c r="I62" s="504"/>
      <c r="J62" s="505"/>
      <c r="K62" s="503" t="s">
        <v>51</v>
      </c>
      <c r="L62" s="504"/>
      <c r="M62" s="504"/>
      <c r="N62" s="506"/>
      <c r="O62" s="56"/>
      <c r="P62" s="50"/>
    </row>
    <row r="63" spans="2:57" ht="15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 t="s">
        <v>36</v>
      </c>
      <c r="L63" s="62" t="s">
        <v>37</v>
      </c>
      <c r="M63" s="62" t="s">
        <v>38</v>
      </c>
      <c r="N63" s="63" t="s">
        <v>39</v>
      </c>
      <c r="O63" s="56"/>
      <c r="P63" s="64"/>
    </row>
    <row r="64" spans="2:57" ht="15">
      <c r="B64" s="29" t="s">
        <v>6</v>
      </c>
      <c r="C64" s="65">
        <f>L51</f>
        <v>3.3730158730158695</v>
      </c>
      <c r="D64" s="76">
        <v>4.8715736377513839</v>
      </c>
      <c r="E64" s="76">
        <v>6.3670919619142783</v>
      </c>
      <c r="F64" s="66">
        <v>4.8</v>
      </c>
      <c r="G64" s="65"/>
      <c r="H64" s="476">
        <v>5.963275310235316</v>
      </c>
      <c r="I64" s="476">
        <v>6.5069923206308973</v>
      </c>
      <c r="J64" s="66">
        <v>4.8</v>
      </c>
      <c r="K64" s="67">
        <f>AVERAGE(K51)</f>
        <v>1.0252631578947369</v>
      </c>
      <c r="L64" s="194">
        <v>0.78289473684210531</v>
      </c>
      <c r="M64" s="194">
        <v>0.55230551648688719</v>
      </c>
      <c r="N64" s="68">
        <v>1</v>
      </c>
      <c r="O64" s="56"/>
      <c r="P64" s="69"/>
    </row>
    <row r="65" spans="2:16" ht="15">
      <c r="B65" s="33" t="s">
        <v>9</v>
      </c>
      <c r="C65" s="65">
        <f>L53</f>
        <v>4.7945205479452051</v>
      </c>
      <c r="D65" s="76">
        <v>4.7945205479452051</v>
      </c>
      <c r="E65" s="76">
        <v>6.0131460057048649</v>
      </c>
      <c r="F65" s="66">
        <v>4.8</v>
      </c>
      <c r="G65" s="65"/>
      <c r="H65" s="76"/>
      <c r="I65" s="76">
        <v>5.9275658832823668</v>
      </c>
      <c r="J65" s="66">
        <v>4.8</v>
      </c>
      <c r="K65" s="67">
        <f>K53</f>
        <v>0.9754385964912281</v>
      </c>
      <c r="L65" s="194">
        <v>0.9754385964912281</v>
      </c>
      <c r="M65" s="194">
        <v>0.6892597333822218</v>
      </c>
      <c r="N65" s="68">
        <v>1</v>
      </c>
      <c r="P65" s="69"/>
    </row>
    <row r="66" spans="2:16" ht="15">
      <c r="B66" s="34" t="s">
        <v>40</v>
      </c>
      <c r="C66" s="65"/>
      <c r="D66" s="76"/>
      <c r="E66" s="76">
        <v>10.890214570112384</v>
      </c>
      <c r="F66" s="66">
        <v>5.5</v>
      </c>
      <c r="G66" s="65"/>
      <c r="H66" s="76"/>
      <c r="I66" s="76">
        <v>11.797659278069149</v>
      </c>
      <c r="J66" s="66">
        <v>5.5</v>
      </c>
      <c r="K66" s="67"/>
      <c r="L66" s="194"/>
      <c r="M66" s="194">
        <v>0.35370190356844494</v>
      </c>
      <c r="N66" s="68">
        <v>1</v>
      </c>
      <c r="P66" s="69"/>
    </row>
    <row r="67" spans="2:16" ht="15">
      <c r="B67" s="22" t="s">
        <v>33</v>
      </c>
      <c r="C67" s="65"/>
      <c r="D67" s="76">
        <v>2.6160971335586405</v>
      </c>
      <c r="E67" s="76">
        <v>4.6053599467161712</v>
      </c>
      <c r="F67" s="66">
        <v>3.3</v>
      </c>
      <c r="G67" s="65"/>
      <c r="H67" s="76">
        <v>4.0562064167659644</v>
      </c>
      <c r="I67" s="76">
        <v>4.7835858167498584</v>
      </c>
      <c r="J67" s="66">
        <v>3.3</v>
      </c>
      <c r="K67" s="67"/>
      <c r="L67" s="194">
        <v>1.3649122807017544</v>
      </c>
      <c r="M67" s="194">
        <v>0.83244019138755987</v>
      </c>
      <c r="N67" s="68">
        <v>1</v>
      </c>
      <c r="P67" s="69"/>
    </row>
    <row r="68" spans="2:16" ht="15">
      <c r="B68" s="35" t="s">
        <v>164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K68" s="67"/>
      <c r="L68" s="194"/>
      <c r="M68" s="194"/>
      <c r="N68" s="68">
        <v>1</v>
      </c>
      <c r="P68" s="69"/>
    </row>
    <row r="69" spans="2:16" ht="15">
      <c r="B69" s="36" t="s">
        <v>15</v>
      </c>
      <c r="C69" s="65"/>
      <c r="D69" s="76"/>
      <c r="E69" s="76">
        <v>6.3233965672990236</v>
      </c>
      <c r="F69" s="70">
        <v>5.5</v>
      </c>
      <c r="G69" s="65"/>
      <c r="H69" s="76"/>
      <c r="I69" s="76">
        <v>7.9667553186446929</v>
      </c>
      <c r="J69" s="66">
        <v>5.5</v>
      </c>
      <c r="K69" s="67"/>
      <c r="L69" s="194"/>
      <c r="M69" s="194">
        <v>0.5883625730994152</v>
      </c>
      <c r="N69" s="68">
        <v>1</v>
      </c>
      <c r="P69" s="69"/>
    </row>
    <row r="70" spans="2:16" ht="15">
      <c r="B70" s="37" t="s">
        <v>16</v>
      </c>
      <c r="C70" s="481"/>
      <c r="D70" s="76"/>
      <c r="E70" s="76">
        <v>3.9973372218347856</v>
      </c>
      <c r="F70" s="66">
        <v>3.3</v>
      </c>
      <c r="G70" s="282"/>
      <c r="H70" s="76"/>
      <c r="I70" s="76">
        <v>5.1096183510504902</v>
      </c>
      <c r="J70" s="66">
        <v>3.3</v>
      </c>
      <c r="K70" s="67"/>
      <c r="L70" s="194"/>
      <c r="M70" s="194">
        <v>0.89057130004498408</v>
      </c>
      <c r="N70" s="71">
        <v>1</v>
      </c>
      <c r="P70" s="69"/>
    </row>
    <row r="71" spans="2:16" ht="15.75" thickBot="1">
      <c r="B71" s="38" t="s">
        <v>163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5.75" thickBot="1">
      <c r="B72" s="413" t="s">
        <v>161</v>
      </c>
      <c r="C72" s="65"/>
      <c r="D72" s="76"/>
      <c r="E72" s="76"/>
      <c r="F72" s="66">
        <v>4.8</v>
      </c>
      <c r="G72" s="282"/>
      <c r="H72" s="76"/>
      <c r="I72" s="76"/>
      <c r="J72" s="66">
        <v>4.8</v>
      </c>
      <c r="K72" s="67"/>
      <c r="L72" s="194"/>
      <c r="M72" s="194"/>
      <c r="N72" s="71">
        <v>1</v>
      </c>
      <c r="O72" s="74"/>
      <c r="P72" s="75"/>
    </row>
    <row r="73" spans="2:16" ht="15">
      <c r="D73" s="76">
        <v>4.4514705547847022</v>
      </c>
      <c r="E73" s="76">
        <v>6.2986129247920557</v>
      </c>
      <c r="F73" s="341">
        <v>5.5</v>
      </c>
      <c r="H73" s="76">
        <v>5.3491958047256141</v>
      </c>
      <c r="I73" s="76">
        <v>6.620534077895524</v>
      </c>
      <c r="J73" s="341">
        <v>5.5</v>
      </c>
      <c r="L73" s="194">
        <v>0.87971491228070176</v>
      </c>
      <c r="M73" s="194">
        <v>0.60708529995668548</v>
      </c>
      <c r="N73" s="386">
        <v>1</v>
      </c>
    </row>
  </sheetData>
  <mergeCells count="51">
    <mergeCell ref="M49:M50"/>
    <mergeCell ref="B62:F62"/>
    <mergeCell ref="G62:J62"/>
    <mergeCell ref="K62:N62"/>
    <mergeCell ref="G49:G50"/>
    <mergeCell ref="H49:H50"/>
    <mergeCell ref="I49:I50"/>
    <mergeCell ref="J49:J50"/>
    <mergeCell ref="K49:K50"/>
    <mergeCell ref="L49:L50"/>
    <mergeCell ref="F49:F50"/>
    <mergeCell ref="D44:E44"/>
    <mergeCell ref="B49:B50"/>
    <mergeCell ref="C49:C50"/>
    <mergeCell ref="D49:D50"/>
    <mergeCell ref="E49:E50"/>
    <mergeCell ref="B34:B43"/>
    <mergeCell ref="D34:E35"/>
    <mergeCell ref="J34:K34"/>
    <mergeCell ref="L35:N35"/>
    <mergeCell ref="D36:E37"/>
    <mergeCell ref="D38:E39"/>
    <mergeCell ref="D40:E41"/>
    <mergeCell ref="D42:E43"/>
    <mergeCell ref="I20:N20"/>
    <mergeCell ref="D21:E21"/>
    <mergeCell ref="B22:B33"/>
    <mergeCell ref="D22:E23"/>
    <mergeCell ref="D24:E25"/>
    <mergeCell ref="D26:E27"/>
    <mergeCell ref="D28:E29"/>
    <mergeCell ref="D30:E31"/>
    <mergeCell ref="D32:E3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4:B45">
    <cfRule type="cellIs" dxfId="1922" priority="112" operator="notBetween">
      <formula>#REF!</formula>
      <formula>#REF!</formula>
    </cfRule>
  </conditionalFormatting>
  <conditionalFormatting sqref="C48">
    <cfRule type="cellIs" dxfId="1921" priority="195" stopIfTrue="1" operator="greaterThan">
      <formula>100</formula>
    </cfRule>
    <cfRule type="cellIs" dxfId="1920" priority="194" stopIfTrue="1" operator="lessThan">
      <formula>96</formula>
    </cfRule>
  </conditionalFormatting>
  <conditionalFormatting sqref="C64:C65">
    <cfRule type="cellIs" dxfId="1919" priority="77" stopIfTrue="1" operator="greaterThan">
      <formula>$F64</formula>
    </cfRule>
    <cfRule type="cellIs" dxfId="1918" priority="75" stopIfTrue="1" operator="greaterThan">
      <formula>$F64</formula>
    </cfRule>
    <cfRule type="cellIs" dxfId="1917" priority="76" stopIfTrue="1" operator="lessThanOrEqual">
      <formula>0</formula>
    </cfRule>
    <cfRule type="cellIs" dxfId="1916" priority="78" stopIfTrue="1" operator="lessThanOrEqual">
      <formula>0</formula>
    </cfRule>
  </conditionalFormatting>
  <conditionalFormatting sqref="C66:C68 C70:C72">
    <cfRule type="cellIs" dxfId="1915" priority="84" stopIfTrue="1" operator="greaterThan">
      <formula>$F69</formula>
    </cfRule>
  </conditionalFormatting>
  <conditionalFormatting sqref="C66:C68">
    <cfRule type="cellIs" dxfId="1914" priority="85" stopIfTrue="1" operator="lessThanOrEqual">
      <formula>0</formula>
    </cfRule>
  </conditionalFormatting>
  <conditionalFormatting sqref="C69">
    <cfRule type="cellIs" dxfId="1913" priority="196" stopIfTrue="1" operator="greaterThan">
      <formula>$F64</formula>
    </cfRule>
    <cfRule type="cellIs" dxfId="1912" priority="198" stopIfTrue="1" operator="greaterThan">
      <formula>$F64</formula>
    </cfRule>
    <cfRule type="cellIs" dxfId="1911" priority="199" stopIfTrue="1" operator="lessThanOrEqual">
      <formula>0</formula>
    </cfRule>
    <cfRule type="cellIs" dxfId="1910" priority="197" stopIfTrue="1" operator="lessThanOrEqual">
      <formula>0</formula>
    </cfRule>
  </conditionalFormatting>
  <conditionalFormatting sqref="C70:C72">
    <cfRule type="cellIs" dxfId="1909" priority="86" stopIfTrue="1" operator="lessThanOrEqual">
      <formula>0</formula>
    </cfRule>
  </conditionalFormatting>
  <conditionalFormatting sqref="C75:C79">
    <cfRule type="cellIs" dxfId="1908" priority="186" stopIfTrue="1" operator="lessThanOrEqual">
      <formula>0</formula>
    </cfRule>
  </conditionalFormatting>
  <conditionalFormatting sqref="C76:C79">
    <cfRule type="cellIs" dxfId="1907" priority="185" stopIfTrue="1" operator="greaterThan">
      <formula>$F$75</formula>
    </cfRule>
  </conditionalFormatting>
  <conditionalFormatting sqref="C81">
    <cfRule type="cellIs" dxfId="1906" priority="188" stopIfTrue="1" operator="lessThanOrEqual">
      <formula>0</formula>
    </cfRule>
    <cfRule type="cellIs" dxfId="1905" priority="187" stopIfTrue="1" operator="greaterThan">
      <formula>$F$75</formula>
    </cfRule>
  </conditionalFormatting>
  <conditionalFormatting sqref="C69:D69">
    <cfRule type="cellIs" dxfId="1904" priority="73" stopIfTrue="1" operator="greaterThan">
      <formula>$J69</formula>
    </cfRule>
    <cfRule type="cellIs" dxfId="1903" priority="74" stopIfTrue="1" operator="lessThanOrEqual">
      <formula>0</formula>
    </cfRule>
  </conditionalFormatting>
  <conditionalFormatting sqref="C75:D75 D77:D83">
    <cfRule type="cellIs" dxfId="1902" priority="180" stopIfTrue="1" operator="greaterThan">
      <formula>4.5</formula>
    </cfRule>
  </conditionalFormatting>
  <conditionalFormatting sqref="D44:D45">
    <cfRule type="cellIs" dxfId="1901" priority="113" operator="notBetween">
      <formula>#REF!</formula>
      <formula>#REF!</formula>
    </cfRule>
  </conditionalFormatting>
  <conditionalFormatting sqref="D64:D68 D70:D71">
    <cfRule type="cellIs" dxfId="1900" priority="83" stopIfTrue="1" operator="lessThanOrEqual">
      <formula>0</formula>
    </cfRule>
  </conditionalFormatting>
  <conditionalFormatting sqref="D64:D68 D70:D73">
    <cfRule type="cellIs" dxfId="1899" priority="79" stopIfTrue="1" operator="lessThanOrEqual">
      <formula>0</formula>
    </cfRule>
    <cfRule type="cellIs" dxfId="1898" priority="80" stopIfTrue="1" operator="greaterThan">
      <formula>$F64</formula>
    </cfRule>
  </conditionalFormatting>
  <conditionalFormatting sqref="D72:D73">
    <cfRule type="cellIs" dxfId="1897" priority="81" stopIfTrue="1" operator="lessThanOrEqual">
      <formula>0</formula>
    </cfRule>
  </conditionalFormatting>
  <conditionalFormatting sqref="D73">
    <cfRule type="cellIs" dxfId="1896" priority="82" stopIfTrue="1" operator="lessThanOrEqual">
      <formula>0</formula>
    </cfRule>
  </conditionalFormatting>
  <conditionalFormatting sqref="D75 D77:D83">
    <cfRule type="cellIs" dxfId="1895" priority="181" stopIfTrue="1" operator="lessThanOrEqual">
      <formula>0</formula>
    </cfRule>
  </conditionalFormatting>
  <conditionalFormatting sqref="D76">
    <cfRule type="cellIs" dxfId="1894" priority="172" stopIfTrue="1" operator="greaterThan">
      <formula>$F$75</formula>
    </cfRule>
    <cfRule type="cellIs" dxfId="1893" priority="173" stopIfTrue="1" operator="lessThanOrEqual">
      <formula>0</formula>
    </cfRule>
  </conditionalFormatting>
  <conditionalFormatting sqref="E10:E19">
    <cfRule type="cellIs" dxfId="1892" priority="17" operator="lessThan">
      <formula>48</formula>
    </cfRule>
  </conditionalFormatting>
  <conditionalFormatting sqref="E47 E48:F48">
    <cfRule type="cellIs" dxfId="1891" priority="177" stopIfTrue="1" operator="greaterThan">
      <formula>100</formula>
    </cfRule>
  </conditionalFormatting>
  <conditionalFormatting sqref="E48">
    <cfRule type="cellIs" dxfId="1890" priority="175" stopIfTrue="1" operator="greaterThan">
      <formula>100</formula>
    </cfRule>
    <cfRule type="cellIs" dxfId="1889" priority="174" stopIfTrue="1" operator="lessThan">
      <formula>96.8</formula>
    </cfRule>
  </conditionalFormatting>
  <conditionalFormatting sqref="E64:E72">
    <cfRule type="cellIs" dxfId="1888" priority="46" stopIfTrue="1" operator="lessThanOrEqual">
      <formula>0</formula>
    </cfRule>
  </conditionalFormatting>
  <conditionalFormatting sqref="E64:E73">
    <cfRule type="cellIs" dxfId="1887" priority="47" stopIfTrue="1" operator="greaterThan">
      <formula>$F64</formula>
    </cfRule>
    <cfRule type="cellIs" dxfId="1886" priority="48" stopIfTrue="1" operator="lessThanOrEqual">
      <formula>0</formula>
    </cfRule>
  </conditionalFormatting>
  <conditionalFormatting sqref="E73">
    <cfRule type="cellIs" dxfId="1885" priority="49" stopIfTrue="1" operator="lessThanOrEqual">
      <formula>0</formula>
    </cfRule>
  </conditionalFormatting>
  <conditionalFormatting sqref="E75:E83">
    <cfRule type="cellIs" dxfId="1884" priority="167" stopIfTrue="1" operator="lessThanOrEqual">
      <formula>0</formula>
    </cfRule>
    <cfRule type="cellIs" dxfId="1883" priority="166" stopIfTrue="1" operator="greaterThan">
      <formula>4.5</formula>
    </cfRule>
  </conditionalFormatting>
  <conditionalFormatting sqref="E48:F48 E47">
    <cfRule type="cellIs" dxfId="1882" priority="176" stopIfTrue="1" operator="lessThan">
      <formula>96.5</formula>
    </cfRule>
  </conditionalFormatting>
  <conditionalFormatting sqref="F10:F19">
    <cfRule type="cellIs" dxfId="1881" priority="18" operator="greaterThan">
      <formula>60</formula>
    </cfRule>
  </conditionalFormatting>
  <conditionalFormatting sqref="F48">
    <cfRule type="cellIs" dxfId="1880" priority="192" stopIfTrue="1" operator="lessThan">
      <formula>96.8</formula>
    </cfRule>
    <cfRule type="cellIs" dxfId="1879" priority="193" stopIfTrue="1" operator="greaterThan">
      <formula>100</formula>
    </cfRule>
  </conditionalFormatting>
  <conditionalFormatting sqref="G19">
    <cfRule type="expression" dxfId="1878" priority="21">
      <formula>IF(+(IF(G19&lt;S19,0,IF(G19&gt;T19,0,1)))=0,1)</formula>
    </cfRule>
  </conditionalFormatting>
  <conditionalFormatting sqref="G64:G67 F73">
    <cfRule type="cellIs" dxfId="1877" priority="55" stopIfTrue="1" operator="greaterThan">
      <formula>$F64</formula>
    </cfRule>
    <cfRule type="cellIs" dxfId="1876" priority="56" stopIfTrue="1" operator="lessThanOrEqual">
      <formula>0</formula>
    </cfRule>
  </conditionalFormatting>
  <conditionalFormatting sqref="G66:G67">
    <cfRule type="cellIs" dxfId="1875" priority="41" stopIfTrue="1" operator="greaterThan">
      <formula>$F66</formula>
    </cfRule>
    <cfRule type="cellIs" dxfId="1874" priority="42" stopIfTrue="1" operator="lessThanOrEqual">
      <formula>0</formula>
    </cfRule>
  </conditionalFormatting>
  <conditionalFormatting sqref="G68:G72">
    <cfRule type="cellIs" dxfId="1873" priority="58" stopIfTrue="1" operator="lessThanOrEqual">
      <formula>0</formula>
    </cfRule>
    <cfRule type="cellIs" dxfId="1872" priority="57" stopIfTrue="1" operator="greaterThan">
      <formula>$J68</formula>
    </cfRule>
  </conditionalFormatting>
  <conditionalFormatting sqref="G69">
    <cfRule type="cellIs" dxfId="1871" priority="201" stopIfTrue="1" operator="lessThanOrEqual">
      <formula>0</formula>
    </cfRule>
    <cfRule type="cellIs" dxfId="1870" priority="200" stopIfTrue="1" operator="greaterThan">
      <formula>$F64</formula>
    </cfRule>
  </conditionalFormatting>
  <conditionalFormatting sqref="G77:G82 C80 C82">
    <cfRule type="cellIs" dxfId="1869" priority="189" stopIfTrue="1" operator="greaterThan">
      <formula>4.5</formula>
    </cfRule>
    <cfRule type="cellIs" dxfId="1868" priority="190" stopIfTrue="1" operator="lessThanOrEqual">
      <formula>0</formula>
    </cfRule>
  </conditionalFormatting>
  <conditionalFormatting sqref="G76:H76">
    <cfRule type="cellIs" dxfId="1867" priority="171" stopIfTrue="1" operator="lessThanOrEqual">
      <formula>0</formula>
    </cfRule>
    <cfRule type="cellIs" dxfId="1866" priority="170" stopIfTrue="1" operator="greaterThan">
      <formula>$F$75</formula>
    </cfRule>
  </conditionalFormatting>
  <conditionalFormatting sqref="H10:H19">
    <cfRule type="expression" dxfId="1865" priority="10">
      <formula>IF(+(IF(H10&lt;#REF!,0,IF(H10&gt;#REF!,0,1)))=0,1)</formula>
    </cfRule>
  </conditionalFormatting>
  <conditionalFormatting sqref="H33:H34 H47">
    <cfRule type="cellIs" dxfId="1864" priority="168" stopIfTrue="1" operator="greaterThan">
      <formula>0</formula>
    </cfRule>
  </conditionalFormatting>
  <conditionalFormatting sqref="H51">
    <cfRule type="cellIs" dxfId="1863" priority="61" stopIfTrue="1" operator="greaterThan">
      <formula>$F$64</formula>
    </cfRule>
    <cfRule type="cellIs" dxfId="1862" priority="60" stopIfTrue="1" operator="lessThanOrEqual">
      <formula>0</formula>
    </cfRule>
    <cfRule type="cellIs" dxfId="1861" priority="69" stopIfTrue="1" operator="greaterThan">
      <formula>$F$67</formula>
    </cfRule>
    <cfRule type="cellIs" dxfId="1860" priority="70" stopIfTrue="1" operator="lessThanOrEqual">
      <formula>0</formula>
    </cfRule>
    <cfRule type="cellIs" dxfId="1859" priority="71" stopIfTrue="1" operator="greaterThan">
      <formula>$F$65</formula>
    </cfRule>
  </conditionalFormatting>
  <conditionalFormatting sqref="H51:H52">
    <cfRule type="cellIs" dxfId="1858" priority="72" stopIfTrue="1" operator="lessThanOrEqual">
      <formula>0</formula>
    </cfRule>
  </conditionalFormatting>
  <conditionalFormatting sqref="H52 H54:H55">
    <cfRule type="cellIs" dxfId="1857" priority="98" stopIfTrue="1" operator="lessThanOrEqual">
      <formula>0</formula>
    </cfRule>
  </conditionalFormatting>
  <conditionalFormatting sqref="H52">
    <cfRule type="cellIs" dxfId="1856" priority="97" stopIfTrue="1" operator="greaterThan">
      <formula>$F$65</formula>
    </cfRule>
    <cfRule type="cellIs" dxfId="1855" priority="87" stopIfTrue="1" operator="greaterThan">
      <formula>$F$64</formula>
    </cfRule>
    <cfRule type="cellIs" dxfId="1854" priority="95" stopIfTrue="1" operator="greaterThan">
      <formula>$F$67</formula>
    </cfRule>
    <cfRule type="cellIs" dxfId="1853" priority="96" stopIfTrue="1" operator="lessThanOrEqual">
      <formula>0</formula>
    </cfRule>
  </conditionalFormatting>
  <conditionalFormatting sqref="H53">
    <cfRule type="cellIs" dxfId="1852" priority="37" stopIfTrue="1" operator="lessThanOrEqual">
      <formula>0</formula>
    </cfRule>
    <cfRule type="cellIs" dxfId="1851" priority="28" stopIfTrue="1" operator="greaterThan">
      <formula>$F$66</formula>
    </cfRule>
    <cfRule type="cellIs" dxfId="1850" priority="36" stopIfTrue="1" operator="greaterThan">
      <formula>$F$69</formula>
    </cfRule>
    <cfRule type="cellIs" dxfId="1849" priority="27" stopIfTrue="1" operator="lessThanOrEqual">
      <formula>0</formula>
    </cfRule>
    <cfRule type="cellIs" dxfId="1848" priority="38" stopIfTrue="1" operator="greaterThan">
      <formula>$F$67</formula>
    </cfRule>
    <cfRule type="cellIs" dxfId="1847" priority="39" stopIfTrue="1" operator="lessThanOrEqual">
      <formula>0</formula>
    </cfRule>
  </conditionalFormatting>
  <conditionalFormatting sqref="H54:H55">
    <cfRule type="cellIs" dxfId="1846" priority="100" stopIfTrue="1" operator="greaterThan">
      <formula>$F$64</formula>
    </cfRule>
    <cfRule type="cellIs" dxfId="1845" priority="111" stopIfTrue="1" operator="lessThanOrEqual">
      <formula>0</formula>
    </cfRule>
    <cfRule type="cellIs" dxfId="1844" priority="110" stopIfTrue="1" operator="greaterThan">
      <formula>$F$65</formula>
    </cfRule>
    <cfRule type="cellIs" dxfId="1843" priority="109" stopIfTrue="1" operator="lessThanOrEqual">
      <formula>0</formula>
    </cfRule>
    <cfRule type="cellIs" dxfId="1842" priority="108" stopIfTrue="1" operator="greaterThan">
      <formula>$F$67</formula>
    </cfRule>
  </conditionalFormatting>
  <conditionalFormatting sqref="H56:H57">
    <cfRule type="cellIs" dxfId="1841" priority="135" stopIfTrue="1" operator="lessThanOrEqual">
      <formula>0</formula>
    </cfRule>
    <cfRule type="cellIs" dxfId="1840" priority="144" stopIfTrue="1" operator="greaterThan">
      <formula>#REF!</formula>
    </cfRule>
    <cfRule type="cellIs" dxfId="1839" priority="145" stopIfTrue="1" operator="lessThanOrEqual">
      <formula>0</formula>
    </cfRule>
    <cfRule type="cellIs" dxfId="1838" priority="136" stopIfTrue="1" operator="greaterThan">
      <formula>#REF!</formula>
    </cfRule>
  </conditionalFormatting>
  <conditionalFormatting sqref="H58">
    <cfRule type="cellIs" dxfId="1837" priority="147" stopIfTrue="1" operator="lessThanOrEqual">
      <formula>0</formula>
    </cfRule>
    <cfRule type="cellIs" dxfId="1836" priority="156" stopIfTrue="1" operator="greaterThan">
      <formula>$F$35</formula>
    </cfRule>
    <cfRule type="cellIs" dxfId="1835" priority="157" stopIfTrue="1" operator="lessThanOrEqual">
      <formula>0</formula>
    </cfRule>
    <cfRule type="cellIs" dxfId="1834" priority="158" stopIfTrue="1" operator="greaterThan">
      <formula>$F$33</formula>
    </cfRule>
    <cfRule type="cellIs" dxfId="1833" priority="159" stopIfTrue="1" operator="lessThanOrEqual">
      <formula>0</formula>
    </cfRule>
    <cfRule type="cellIs" dxfId="1832" priority="148" stopIfTrue="1" operator="greaterThan">
      <formula>$F$32</formula>
    </cfRule>
  </conditionalFormatting>
  <conditionalFormatting sqref="H59:H60">
    <cfRule type="cellIs" dxfId="1831" priority="124" stopIfTrue="1" operator="greaterThan">
      <formula>#REF!</formula>
    </cfRule>
    <cfRule type="cellIs" dxfId="1830" priority="132" stopIfTrue="1" operator="greaterThan">
      <formula>#REF!</formula>
    </cfRule>
    <cfRule type="cellIs" dxfId="1829" priority="133" stopIfTrue="1" operator="lessThanOrEqual">
      <formula>0</formula>
    </cfRule>
    <cfRule type="cellIs" dxfId="1828" priority="123" stopIfTrue="1" operator="lessThanOrEqual">
      <formula>0</formula>
    </cfRule>
  </conditionalFormatting>
  <conditionalFormatting sqref="H75 H77:H83">
    <cfRule type="cellIs" dxfId="1827" priority="183" stopIfTrue="1" operator="lessThanOrEqual">
      <formula>0</formula>
    </cfRule>
    <cfRule type="cellIs" dxfId="1826" priority="182" stopIfTrue="1" operator="greaterThan">
      <formula>4.5</formula>
    </cfRule>
  </conditionalFormatting>
  <conditionalFormatting sqref="H51:I51">
    <cfRule type="cellIs" dxfId="1825" priority="62" stopIfTrue="1" operator="lessThanOrEqual">
      <formula>0</formula>
    </cfRule>
  </conditionalFormatting>
  <conditionalFormatting sqref="H51:I52 H54:I55">
    <cfRule type="cellIs" dxfId="1824" priority="59" stopIfTrue="1" operator="greaterThan">
      <formula>$F$66</formula>
    </cfRule>
  </conditionalFormatting>
  <conditionalFormatting sqref="H52:I52">
    <cfRule type="cellIs" dxfId="1823" priority="88" stopIfTrue="1" operator="lessThanOrEqual">
      <formula>0</formula>
    </cfRule>
  </conditionalFormatting>
  <conditionalFormatting sqref="H53:I53">
    <cfRule type="cellIs" dxfId="1822" priority="26" stopIfTrue="1" operator="greaterThan">
      <formula>$F$68</formula>
    </cfRule>
    <cfRule type="cellIs" dxfId="1821" priority="29" stopIfTrue="1" operator="lessThanOrEqual">
      <formula>0</formula>
    </cfRule>
  </conditionalFormatting>
  <conditionalFormatting sqref="H54:I55">
    <cfRule type="cellIs" dxfId="1820" priority="101" stopIfTrue="1" operator="lessThanOrEqual">
      <formula>0</formula>
    </cfRule>
  </conditionalFormatting>
  <conditionalFormatting sqref="H56:I57">
    <cfRule type="cellIs" dxfId="1819" priority="143" stopIfTrue="1" operator="lessThanOrEqual">
      <formula>0</formula>
    </cfRule>
    <cfRule type="cellIs" dxfId="1818" priority="134" stopIfTrue="1" operator="greaterThan">
      <formula>#REF!</formula>
    </cfRule>
    <cfRule type="cellIs" dxfId="1817" priority="137" stopIfTrue="1" operator="lessThanOrEqual">
      <formula>0</formula>
    </cfRule>
    <cfRule type="cellIs" dxfId="1816" priority="142" stopIfTrue="1" operator="greaterThan">
      <formula>#REF!</formula>
    </cfRule>
  </conditionalFormatting>
  <conditionalFormatting sqref="H58:I58">
    <cfRule type="cellIs" dxfId="1815" priority="146" stopIfTrue="1" operator="greaterThan">
      <formula>$F$34</formula>
    </cfRule>
    <cfRule type="cellIs" dxfId="1814" priority="149" stopIfTrue="1" operator="lessThanOrEqual">
      <formula>0</formula>
    </cfRule>
  </conditionalFormatting>
  <conditionalFormatting sqref="H59:I60">
    <cfRule type="cellIs" dxfId="1813" priority="130" stopIfTrue="1" operator="greaterThan">
      <formula>#REF!</formula>
    </cfRule>
    <cfRule type="cellIs" dxfId="1812" priority="122" stopIfTrue="1" operator="greaterThan">
      <formula>#REF!</formula>
    </cfRule>
    <cfRule type="cellIs" dxfId="1811" priority="131" stopIfTrue="1" operator="lessThanOrEqual">
      <formula>0</formula>
    </cfRule>
    <cfRule type="cellIs" dxfId="1810" priority="125" stopIfTrue="1" operator="lessThanOrEqual">
      <formula>0</formula>
    </cfRule>
  </conditionalFormatting>
  <conditionalFormatting sqref="H64:I71">
    <cfRule type="cellIs" dxfId="1809" priority="44" stopIfTrue="1" operator="greaterThan">
      <formula>$J64</formula>
    </cfRule>
    <cfRule type="cellIs" dxfId="1808" priority="45" stopIfTrue="1" operator="lessThanOrEqual">
      <formula>0</formula>
    </cfRule>
  </conditionalFormatting>
  <conditionalFormatting sqref="H72:I72">
    <cfRule type="cellIs" dxfId="1807" priority="52" operator="greaterThan">
      <formula>5.3</formula>
    </cfRule>
  </conditionalFormatting>
  <conditionalFormatting sqref="H73:I73">
    <cfRule type="cellIs" dxfId="1806" priority="50" stopIfTrue="1" operator="greaterThan">
      <formula>$J73</formula>
    </cfRule>
    <cfRule type="cellIs" dxfId="1805" priority="51" stopIfTrue="1" operator="lessThanOrEqual">
      <formula>0</formula>
    </cfRule>
  </conditionalFormatting>
  <conditionalFormatting sqref="I51">
    <cfRule type="cellIs" dxfId="1804" priority="63" stopIfTrue="1" operator="greaterThan">
      <formula>$F$64</formula>
    </cfRule>
    <cfRule type="cellIs" dxfId="1803" priority="68" stopIfTrue="1" operator="lessThanOrEqual">
      <formula>0</formula>
    </cfRule>
    <cfRule type="cellIs" dxfId="1802" priority="67" stopIfTrue="1" operator="greaterThan">
      <formula>$F$64</formula>
    </cfRule>
    <cfRule type="cellIs" dxfId="1801" priority="66" stopIfTrue="1" operator="lessThanOrEqual">
      <formula>0</formula>
    </cfRule>
    <cfRule type="cellIs" dxfId="1800" priority="65" stopIfTrue="1" operator="greaterThan">
      <formula>$F$66</formula>
    </cfRule>
    <cfRule type="cellIs" dxfId="1799" priority="64" stopIfTrue="1" operator="lessThanOrEqual">
      <formula>0</formula>
    </cfRule>
  </conditionalFormatting>
  <conditionalFormatting sqref="I52">
    <cfRule type="cellIs" dxfId="1798" priority="91" stopIfTrue="1" operator="greaterThan">
      <formula>$F$66</formula>
    </cfRule>
    <cfRule type="cellIs" dxfId="1797" priority="94" stopIfTrue="1" operator="lessThanOrEqual">
      <formula>0</formula>
    </cfRule>
    <cfRule type="cellIs" dxfId="1796" priority="89" stopIfTrue="1" operator="greaterThan">
      <formula>$F$64</formula>
    </cfRule>
    <cfRule type="cellIs" dxfId="1795" priority="93" stopIfTrue="1" operator="greaterThan">
      <formula>$F$64</formula>
    </cfRule>
    <cfRule type="cellIs" dxfId="1794" priority="92" stopIfTrue="1" operator="lessThanOrEqual">
      <formula>0</formula>
    </cfRule>
    <cfRule type="cellIs" dxfId="1793" priority="90" stopIfTrue="1" operator="lessThanOrEqual">
      <formula>0</formula>
    </cfRule>
  </conditionalFormatting>
  <conditionalFormatting sqref="I53">
    <cfRule type="cellIs" dxfId="1792" priority="31" stopIfTrue="1" operator="lessThanOrEqual">
      <formula>0</formula>
    </cfRule>
    <cfRule type="cellIs" dxfId="1791" priority="30" stopIfTrue="1" operator="greaterThan">
      <formula>$F$66</formula>
    </cfRule>
    <cfRule type="cellIs" dxfId="1790" priority="35" stopIfTrue="1" operator="lessThanOrEqual">
      <formula>0</formula>
    </cfRule>
    <cfRule type="cellIs" dxfId="1789" priority="33" stopIfTrue="1" operator="lessThanOrEqual">
      <formula>0</formula>
    </cfRule>
    <cfRule type="cellIs" dxfId="1788" priority="32" stopIfTrue="1" operator="greaterThan">
      <formula>$F$68</formula>
    </cfRule>
    <cfRule type="cellIs" dxfId="1787" priority="34" stopIfTrue="1" operator="greaterThan">
      <formula>$F$66</formula>
    </cfRule>
  </conditionalFormatting>
  <conditionalFormatting sqref="I54:I55">
    <cfRule type="cellIs" dxfId="1786" priority="107" stopIfTrue="1" operator="lessThanOrEqual">
      <formula>0</formula>
    </cfRule>
    <cfRule type="cellIs" dxfId="1785" priority="102" stopIfTrue="1" operator="greaterThan">
      <formula>$F$64</formula>
    </cfRule>
    <cfRule type="cellIs" dxfId="1784" priority="104" stopIfTrue="1" operator="greaterThan">
      <formula>$F$66</formula>
    </cfRule>
    <cfRule type="cellIs" dxfId="1783" priority="105" stopIfTrue="1" operator="lessThanOrEqual">
      <formula>0</formula>
    </cfRule>
    <cfRule type="cellIs" dxfId="1782" priority="106" stopIfTrue="1" operator="greaterThan">
      <formula>$F$64</formula>
    </cfRule>
    <cfRule type="cellIs" dxfId="1781" priority="103" stopIfTrue="1" operator="lessThanOrEqual">
      <formula>0</formula>
    </cfRule>
  </conditionalFormatting>
  <conditionalFormatting sqref="I56:I57">
    <cfRule type="cellIs" dxfId="1780" priority="141" stopIfTrue="1" operator="lessThanOrEqual">
      <formula>0</formula>
    </cfRule>
    <cfRule type="cellIs" dxfId="1779" priority="139" stopIfTrue="1" operator="lessThanOrEqual">
      <formula>0</formula>
    </cfRule>
    <cfRule type="cellIs" dxfId="1778" priority="140" stopIfTrue="1" operator="greaterThan">
      <formula>#REF!</formula>
    </cfRule>
    <cfRule type="cellIs" dxfId="1777" priority="138" stopIfTrue="1" operator="greaterThan">
      <formula>#REF!</formula>
    </cfRule>
  </conditionalFormatting>
  <conditionalFormatting sqref="I58">
    <cfRule type="cellIs" dxfId="1776" priority="154" stopIfTrue="1" operator="greaterThan">
      <formula>$F$32</formula>
    </cfRule>
    <cfRule type="cellIs" dxfId="1775" priority="155" stopIfTrue="1" operator="lessThanOrEqual">
      <formula>0</formula>
    </cfRule>
    <cfRule type="cellIs" dxfId="1774" priority="151" stopIfTrue="1" operator="lessThanOrEqual">
      <formula>0</formula>
    </cfRule>
    <cfRule type="cellIs" dxfId="1773" priority="153" stopIfTrue="1" operator="lessThanOrEqual">
      <formula>0</formula>
    </cfRule>
    <cfRule type="cellIs" dxfId="1772" priority="150" stopIfTrue="1" operator="greaterThan">
      <formula>$F$32</formula>
    </cfRule>
    <cfRule type="cellIs" dxfId="1771" priority="152" stopIfTrue="1" operator="greaterThan">
      <formula>$F$34</formula>
    </cfRule>
  </conditionalFormatting>
  <conditionalFormatting sqref="I59:I60">
    <cfRule type="cellIs" dxfId="1770" priority="126" stopIfTrue="1" operator="greaterThan">
      <formula>#REF!</formula>
    </cfRule>
    <cfRule type="cellIs" dxfId="1769" priority="127" stopIfTrue="1" operator="lessThanOrEqual">
      <formula>0</formula>
    </cfRule>
    <cfRule type="cellIs" dxfId="1768" priority="128" stopIfTrue="1" operator="greaterThan">
      <formula>#REF!</formula>
    </cfRule>
    <cfRule type="cellIs" dxfId="1767" priority="129" stopIfTrue="1" operator="lessThanOrEqual">
      <formula>0</formula>
    </cfRule>
  </conditionalFormatting>
  <conditionalFormatting sqref="I75:I83">
    <cfRule type="cellIs" dxfId="1766" priority="179" stopIfTrue="1" operator="lessThanOrEqual">
      <formula>0</formula>
    </cfRule>
    <cfRule type="cellIs" dxfId="1765" priority="178" stopIfTrue="1" operator="greaterThan">
      <formula>4.5</formula>
    </cfRule>
  </conditionalFormatting>
  <conditionalFormatting sqref="I10:J19">
    <cfRule type="cellIs" dxfId="1764" priority="11" operator="lessThan">
      <formula>97.9</formula>
    </cfRule>
  </conditionalFormatting>
  <conditionalFormatting sqref="J22:J24">
    <cfRule type="cellIs" dxfId="1763" priority="25" operator="lessThan">
      <formula>97.95</formula>
    </cfRule>
  </conditionalFormatting>
  <conditionalFormatting sqref="J23:J26">
    <cfRule type="cellIs" dxfId="1762" priority="160" operator="lessThan">
      <formula>97.4</formula>
    </cfRule>
  </conditionalFormatting>
  <conditionalFormatting sqref="J27:J28">
    <cfRule type="cellIs" dxfId="1761" priority="161" operator="lessThan">
      <formula>98</formula>
    </cfRule>
  </conditionalFormatting>
  <conditionalFormatting sqref="J29:J30">
    <cfRule type="cellIs" dxfId="1760" priority="162" stopIfTrue="1" operator="lessThan">
      <formula>96.8</formula>
    </cfRule>
    <cfRule type="cellIs" dxfId="1759" priority="163" stopIfTrue="1" operator="greaterThan">
      <formula>100</formula>
    </cfRule>
  </conditionalFormatting>
  <conditionalFormatting sqref="J29:J31">
    <cfRule type="cellIs" dxfId="1758" priority="164" operator="lessThan">
      <formula>98</formula>
    </cfRule>
  </conditionalFormatting>
  <conditionalFormatting sqref="J60">
    <cfRule type="cellIs" dxfId="1757" priority="119" stopIfTrue="1" operator="lessThanOrEqual">
      <formula>0</formula>
    </cfRule>
    <cfRule type="cellIs" dxfId="1756" priority="121" stopIfTrue="1" operator="lessThanOrEqual">
      <formula>0</formula>
    </cfRule>
    <cfRule type="cellIs" dxfId="1755" priority="120" stopIfTrue="1" operator="greaterThan">
      <formula>#REF!</formula>
    </cfRule>
    <cfRule type="cellIs" dxfId="1754" priority="118" stopIfTrue="1" operator="greaterThan">
      <formula>#REF!</formula>
    </cfRule>
    <cfRule type="cellIs" dxfId="1753" priority="117" stopIfTrue="1" operator="lessThanOrEqual">
      <formula>0</formula>
    </cfRule>
    <cfRule type="cellIs" dxfId="1752" priority="116" stopIfTrue="1" operator="greaterThan">
      <formula>#REF!</formula>
    </cfRule>
    <cfRule type="cellIs" dxfId="1751" priority="115" stopIfTrue="1" operator="lessThanOrEqual">
      <formula>0</formula>
    </cfRule>
    <cfRule type="cellIs" dxfId="1750" priority="114" stopIfTrue="1" operator="greaterThan">
      <formula>#REF!</formula>
    </cfRule>
  </conditionalFormatting>
  <conditionalFormatting sqref="J73">
    <cfRule type="cellIs" dxfId="1749" priority="53" stopIfTrue="1" operator="greaterThan">
      <formula>$F73</formula>
    </cfRule>
    <cfRule type="cellIs" dxfId="1748" priority="54" stopIfTrue="1" operator="lessThanOrEqual">
      <formula>0</formula>
    </cfRule>
  </conditionalFormatting>
  <conditionalFormatting sqref="K10:K19">
    <cfRule type="cellIs" dxfId="1747" priority="12" operator="greaterThan">
      <formula>6</formula>
    </cfRule>
    <cfRule type="cellIs" dxfId="1746" priority="13" operator="lessThan">
      <formula>4</formula>
    </cfRule>
    <cfRule type="cellIs" dxfId="1745" priority="14" operator="greaterThan">
      <formula>6.4</formula>
    </cfRule>
  </conditionalFormatting>
  <conditionalFormatting sqref="K51:K60">
    <cfRule type="cellIs" dxfId="1744" priority="99" stopIfTrue="1" operator="lessThan">
      <formula>100%</formula>
    </cfRule>
  </conditionalFormatting>
  <conditionalFormatting sqref="K64:K72">
    <cfRule type="cellIs" dxfId="1743" priority="43" stopIfTrue="1" operator="lessThan">
      <formula>100%</formula>
    </cfRule>
  </conditionalFormatting>
  <conditionalFormatting sqref="K75:K80">
    <cfRule type="cellIs" dxfId="1742" priority="184" stopIfTrue="1" operator="lessThan">
      <formula>100%</formula>
    </cfRule>
  </conditionalFormatting>
  <conditionalFormatting sqref="K82:K83">
    <cfRule type="cellIs" dxfId="1741" priority="191" stopIfTrue="1" operator="lessThan">
      <formula>100%</formula>
    </cfRule>
  </conditionalFormatting>
  <conditionalFormatting sqref="L10:L19">
    <cfRule type="cellIs" dxfId="1740" priority="15" operator="between">
      <formula>61</formula>
      <formula>65</formula>
    </cfRule>
    <cfRule type="cellIs" dxfId="1739" priority="16" operator="greaterThan">
      <formula>65</formula>
    </cfRule>
  </conditionalFormatting>
  <conditionalFormatting sqref="L22:M33">
    <cfRule type="cellIs" dxfId="1738" priority="24" operator="lessThan">
      <formula>97.95</formula>
    </cfRule>
  </conditionalFormatting>
  <conditionalFormatting sqref="L37:N37">
    <cfRule type="cellIs" dxfId="1737" priority="23" operator="notEqual">
      <formula>#REF!</formula>
    </cfRule>
  </conditionalFormatting>
  <conditionalFormatting sqref="L64:N73">
    <cfRule type="cellIs" dxfId="1736" priority="40" stopIfTrue="1" operator="lessThan">
      <formula>100%</formula>
    </cfRule>
  </conditionalFormatting>
  <conditionalFormatting sqref="L75:N83">
    <cfRule type="cellIs" dxfId="1735" priority="169" stopIfTrue="1" operator="lessThan">
      <formula>100%</formula>
    </cfRule>
  </conditionalFormatting>
  <conditionalFormatting sqref="M19">
    <cfRule type="expression" dxfId="1734" priority="20">
      <formula>IF(+(IF(M19&lt;U19,0,IF(M19&gt;V19,0,1)))=0,1)</formula>
    </cfRule>
  </conditionalFormatting>
  <conditionalFormatting sqref="M10:N18 G13:H17 G18">
    <cfRule type="expression" dxfId="1733" priority="22">
      <formula>IF(+(IF(G10&lt;#REF!,0,IF(G10&gt;#REF!,0,1)))=0,1)</formula>
    </cfRule>
  </conditionalFormatting>
  <conditionalFormatting sqref="N10:N19">
    <cfRule type="expression" dxfId="1732" priority="19">
      <formula>IF(+(IF(N10&lt;W10,0,IF(N10&gt;X10,0,1)))=0,1)</formula>
    </cfRule>
  </conditionalFormatting>
  <conditionalFormatting sqref="P6">
    <cfRule type="cellIs" dxfId="1731" priority="165" operator="greaterThanOrEqual">
      <formula>19</formula>
    </cfRule>
  </conditionalFormatting>
  <dataValidations count="1">
    <dataValidation type="list" allowBlank="1" showInputMessage="1" showErrorMessage="1" sqref="R8" xr:uid="{0ED923DB-7F7C-463A-B0EA-BD9DF7DC6E6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3284-292E-4031-978C-5E67F7AE6BB8}">
  <sheetPr>
    <pageSetUpPr fitToPage="1"/>
  </sheetPr>
  <dimension ref="A1:BE84"/>
  <sheetViews>
    <sheetView zoomScale="85" zoomScaleNormal="85" workbookViewId="0">
      <selection activeCell="B16" sqref="B16:O1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46307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29" t="s">
        <v>6</v>
      </c>
      <c r="C10" s="366" t="str">
        <f>[3]Brewhouse!$A814</f>
        <v>CA764</v>
      </c>
      <c r="D10" s="279">
        <f>[3]Brewhouse!$AF814</f>
        <v>49.1</v>
      </c>
      <c r="E10" s="279">
        <f>[3]Brewhouse!$AI814</f>
        <v>49.5</v>
      </c>
      <c r="F10" s="278">
        <f>[3]Brewhouse!$V814</f>
        <v>60</v>
      </c>
      <c r="G10" s="279">
        <f>[3]Brewhouse!AG814</f>
        <v>12</v>
      </c>
      <c r="H10" s="490">
        <v>12.1</v>
      </c>
      <c r="I10" s="368">
        <f>[3]Brewhouse!$AU814</f>
        <v>98.693894286323896</v>
      </c>
      <c r="J10" s="368">
        <f>[3]Brewhouse!$AV814</f>
        <v>99.574203204894033</v>
      </c>
      <c r="K10" s="281">
        <f>[3]Brewhouse!$Q814</f>
        <v>10.407407407407403</v>
      </c>
      <c r="L10" s="276">
        <f>[3]Brewhouse!$P814</f>
        <v>62</v>
      </c>
      <c r="M10" s="374">
        <f>[3]Brewhouse!$U814-[3]Brewhouse!$T814</f>
        <v>0.11597222222222214</v>
      </c>
      <c r="N10" s="370">
        <f>[3]Brewhouse!$Z814</f>
        <v>0.27222222222222214</v>
      </c>
      <c r="O10" s="419" t="str">
        <f>[3]Brewhouse!$AX814</f>
        <v>K. Benjamin</v>
      </c>
      <c r="P10" s="417"/>
      <c r="R10" s="277" t="str">
        <f t="shared" ref="R10:R28" si="0">B10</f>
        <v>CARIB</v>
      </c>
      <c r="S10" s="471">
        <f t="shared" ref="S10:S28" si="1">VLOOKUP($B10,$R$3:$X$9,2,FALSE)</f>
        <v>11.6</v>
      </c>
      <c r="T10" s="471">
        <f t="shared" ref="T10:T28" si="2">VLOOKUP($B10,$R$3:$X$9,3,FALSE)</f>
        <v>12</v>
      </c>
      <c r="U10" s="297">
        <f t="shared" ref="U10:U28" si="3">VLOOKUP($B10,$R$3:$X$9,4,FALSE)</f>
        <v>0</v>
      </c>
      <c r="V10" s="297">
        <f t="shared" ref="V10:V28" si="4">VLOOKUP($B10,$R$3:$X$9,5,FALSE)</f>
        <v>0.118055555555556</v>
      </c>
      <c r="W10" s="297">
        <f t="shared" ref="W10:W28" si="5">VLOOKUP($B10,$R$3:$X$9,6,FALSE)</f>
        <v>0.22569444444444445</v>
      </c>
      <c r="X10" s="297">
        <f t="shared" ref="X10:X28" si="6">VLOOKUP($B10,$R$3:$X$9,7,FALSE)</f>
        <v>0.2638888888888889</v>
      </c>
      <c r="Y10" s="297">
        <f t="shared" ref="Y10:Y28" si="7">VLOOKUP($B10,$R$3:$Z$9,8,FALSE)</f>
        <v>0</v>
      </c>
      <c r="Z10" s="471">
        <f t="shared" ref="Z10:Z28" si="8">VLOOKUP($B10,$R$3:$Z$9,9,FALSE)</f>
        <v>60</v>
      </c>
    </row>
    <row r="11" spans="2:29" ht="15" customHeight="1">
      <c r="B11" s="29" t="s">
        <v>6</v>
      </c>
      <c r="C11" s="366" t="str">
        <f>[3]Brewhouse!$A815</f>
        <v>CA765</v>
      </c>
      <c r="D11" s="279">
        <f>[3]Brewhouse!$AF815</f>
        <v>49.8</v>
      </c>
      <c r="E11" s="279">
        <f>[3]Brewhouse!$AI815</f>
        <v>50.1</v>
      </c>
      <c r="F11" s="278">
        <f>[3]Brewhouse!$V815</f>
        <v>63</v>
      </c>
      <c r="G11" s="279">
        <f>[3]Brewhouse!AG815</f>
        <v>11.8</v>
      </c>
      <c r="H11" s="396">
        <v>11.8</v>
      </c>
      <c r="I11" s="368">
        <f>[3]Brewhouse!$AU815</f>
        <v>98.262539199860527</v>
      </c>
      <c r="J11" s="368">
        <f>[3]Brewhouse!$AV815</f>
        <v>99.138942729360579</v>
      </c>
      <c r="K11" s="281">
        <f>[3]Brewhouse!$Q815</f>
        <v>9.1111111111111143</v>
      </c>
      <c r="L11" s="276">
        <f>[3]Brewhouse!$P815</f>
        <v>59</v>
      </c>
      <c r="M11" s="374">
        <f>[3]Brewhouse!$U815-[3]Brewhouse!$T815</f>
        <v>0.12708333333333338</v>
      </c>
      <c r="N11" s="370">
        <f>[3]Brewhouse!$Z815</f>
        <v>0.29097222222222224</v>
      </c>
      <c r="O11" s="419" t="str">
        <f>[3]Brewhouse!$AX815</f>
        <v>K. Benjamin</v>
      </c>
      <c r="P11" s="417"/>
      <c r="R11" s="277" t="str">
        <f t="shared" si="0"/>
        <v>CARIB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29" t="s">
        <v>6</v>
      </c>
      <c r="C12" s="366" t="str">
        <f>[3]Brewhouse!$A816</f>
        <v>CA766</v>
      </c>
      <c r="D12" s="279">
        <f>[3]Brewhouse!$AF816</f>
        <v>48.2</v>
      </c>
      <c r="E12" s="279">
        <f>[3]Brewhouse!$AI816</f>
        <v>49.9</v>
      </c>
      <c r="F12" s="278">
        <f>[3]Brewhouse!$V816</f>
        <v>63</v>
      </c>
      <c r="G12" s="279">
        <f>[3]Brewhouse!AG816</f>
        <v>11.7</v>
      </c>
      <c r="H12" s="396">
        <v>11.7</v>
      </c>
      <c r="I12" s="368">
        <f>[3]Brewhouse!$AU816</f>
        <v>97.239656159599406</v>
      </c>
      <c r="J12" s="368">
        <f>[3]Brewhouse!$AV816</f>
        <v>98.106821614261435</v>
      </c>
      <c r="K12" s="281">
        <f>[3]Brewhouse!$Q816</f>
        <v>12.074074074074066</v>
      </c>
      <c r="L12" s="276">
        <f>[3]Brewhouse!$P816</f>
        <v>60</v>
      </c>
      <c r="M12" s="374">
        <f>[3]Brewhouse!$U816-[3]Brewhouse!$T816</f>
        <v>0.12291666666666667</v>
      </c>
      <c r="N12" s="370">
        <f>[3]Brewhouse!$Z816</f>
        <v>0.29583333333333334</v>
      </c>
      <c r="O12" s="419" t="str">
        <f>[3]Brewhouse!$AX816</f>
        <v>K. Benjamin</v>
      </c>
      <c r="P12" s="417"/>
      <c r="R12" s="277" t="str">
        <f t="shared" si="0"/>
        <v>CARIB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29" t="s">
        <v>6</v>
      </c>
      <c r="C13" s="366" t="str">
        <f>[3]Brewhouse!$A817</f>
        <v>CA767</v>
      </c>
      <c r="D13" s="279">
        <f>[3]Brewhouse!$AF817</f>
        <v>42.7</v>
      </c>
      <c r="E13" s="279">
        <f>[3]Brewhouse!$AI817</f>
        <v>43.2</v>
      </c>
      <c r="F13" s="278">
        <f>[3]Brewhouse!$V817</f>
        <v>56</v>
      </c>
      <c r="G13" s="279">
        <f>[3]Brewhouse!AG817</f>
        <v>11.7</v>
      </c>
      <c r="H13" s="396">
        <v>11.8</v>
      </c>
      <c r="I13" s="368">
        <f>[3]Brewhouse!$AU817</f>
        <v>83.765786690009421</v>
      </c>
      <c r="J13" s="368">
        <f>[3]Brewhouse!$AV817</f>
        <v>84.512992250557105</v>
      </c>
      <c r="K13" s="281">
        <f>[3]Brewhouse!$Q817</f>
        <v>22.402957486136778</v>
      </c>
      <c r="L13" s="276">
        <f>[3]Brewhouse!$P817</f>
        <v>60</v>
      </c>
      <c r="M13" s="374">
        <f>[3]Brewhouse!$U817-[3]Brewhouse!$T817</f>
        <v>0.11180555555555549</v>
      </c>
      <c r="N13" s="370">
        <f>[3]Brewhouse!$Z817</f>
        <v>0.25486111111111109</v>
      </c>
      <c r="O13" s="419" t="str">
        <f>[3]Brewhouse!$AX817</f>
        <v>D. Gomaz</v>
      </c>
      <c r="P13" s="417"/>
      <c r="R13" s="277" t="str">
        <f t="shared" si="0"/>
        <v>CARIB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29" t="s">
        <v>6</v>
      </c>
      <c r="C14" s="366" t="str">
        <f>[3]Brewhouse!$A818</f>
        <v>CA768</v>
      </c>
      <c r="D14" s="279">
        <f>[3]Brewhouse!$AF818</f>
        <v>45.4</v>
      </c>
      <c r="E14" s="279">
        <f>[3]Brewhouse!$AI818</f>
        <v>50.1</v>
      </c>
      <c r="F14" s="278">
        <f>[3]Brewhouse!$V818</f>
        <v>56</v>
      </c>
      <c r="G14" s="279">
        <f>[3]Brewhouse!AG818</f>
        <v>12</v>
      </c>
      <c r="H14" s="396">
        <v>12</v>
      </c>
      <c r="I14" s="368">
        <f>[3]Brewhouse!$AU818</f>
        <v>99.766292415070296</v>
      </c>
      <c r="J14" s="368">
        <f>[3]Brewhouse!$AV818</f>
        <v>100.65622530286895</v>
      </c>
      <c r="K14" s="281">
        <f>[3]Brewhouse!$Q818</f>
        <v>17.412199630314234</v>
      </c>
      <c r="L14" s="276">
        <f>[3]Brewhouse!$P818</f>
        <v>58</v>
      </c>
      <c r="M14" s="374">
        <f>[3]Brewhouse!$U818-[3]Brewhouse!$T818</f>
        <v>0.10763888888888895</v>
      </c>
      <c r="N14" s="370">
        <f>[3]Brewhouse!$Z818</f>
        <v>0.29166666666666674</v>
      </c>
      <c r="O14" s="419" t="str">
        <f>[3]Brewhouse!$AX818</f>
        <v>D. Gomaz</v>
      </c>
      <c r="P14" s="417"/>
      <c r="R14" s="277" t="str">
        <f t="shared" si="0"/>
        <v>CARIB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29" t="s">
        <v>6</v>
      </c>
      <c r="C15" s="366" t="str">
        <f>[3]Brewhouse!$A819</f>
        <v>CA769</v>
      </c>
      <c r="D15" s="279">
        <f>[3]Brewhouse!$AF819</f>
        <v>50.3</v>
      </c>
      <c r="E15" s="279">
        <f>[3]Brewhouse!$AI819</f>
        <v>50.8</v>
      </c>
      <c r="F15" s="278">
        <f>[3]Brewhouse!$V819</f>
        <v>63</v>
      </c>
      <c r="G15" s="279">
        <f>[3]Brewhouse!AG819</f>
        <v>11.8</v>
      </c>
      <c r="H15" s="396">
        <v>11.9</v>
      </c>
      <c r="I15" s="368">
        <f>[3]Brewhouse!$AU819</f>
        <v>99.511739849218969</v>
      </c>
      <c r="J15" s="368">
        <f>[3]Brewhouse!$AV819</f>
        <v>100.39934361361757</v>
      </c>
      <c r="K15" s="281">
        <f>[3]Brewhouse!$Q819</f>
        <v>11.312384473197778</v>
      </c>
      <c r="L15" s="276">
        <f>[3]Brewhouse!$P819</f>
        <v>58</v>
      </c>
      <c r="M15" s="374">
        <f>[3]Brewhouse!$U819-[3]Brewhouse!$T819</f>
        <v>0.11527777777777781</v>
      </c>
      <c r="N15" s="370">
        <f>[3]Brewhouse!$Z819</f>
        <v>0.29791666666666672</v>
      </c>
      <c r="O15" s="419" t="str">
        <f>[3]Brewhouse!$AX819</f>
        <v>R. Sookram</v>
      </c>
      <c r="P15" s="417"/>
      <c r="R15" s="277" t="str">
        <f t="shared" si="0"/>
        <v>CARIB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29" t="s">
        <v>6</v>
      </c>
      <c r="C16" s="366" t="str">
        <f>[3]Brewhouse!$A820</f>
        <v>CA770</v>
      </c>
      <c r="D16" s="279">
        <f>[3]Brewhouse!$AF820</f>
        <v>49.5</v>
      </c>
      <c r="E16" s="279">
        <f>[3]Brewhouse!$AI820</f>
        <v>50.3</v>
      </c>
      <c r="F16" s="278">
        <f>[3]Brewhouse!$V820</f>
        <v>59</v>
      </c>
      <c r="G16" s="279">
        <f>[3]Brewhouse!AG820</f>
        <v>11.7</v>
      </c>
      <c r="H16" s="396">
        <v>11.7</v>
      </c>
      <c r="I16" s="368">
        <f>[3]Brewhouse!$AU820</f>
        <v>97.807901274623262</v>
      </c>
      <c r="J16" s="368">
        <f>[3]Brewhouse!$AV820</f>
        <v>98.52500001825814</v>
      </c>
      <c r="K16" s="281">
        <f>[3]Brewhouse!$Q820</f>
        <v>9.8336414048059151</v>
      </c>
      <c r="L16" s="276">
        <f>[3]Brewhouse!$P820</f>
        <v>60</v>
      </c>
      <c r="M16" s="374">
        <f>[3]Brewhouse!$U820-[3]Brewhouse!$T820</f>
        <v>0.11180555555555549</v>
      </c>
      <c r="N16" s="370">
        <f>[3]Brewhouse!$Z820</f>
        <v>0.26597222222222217</v>
      </c>
      <c r="O16" s="419" t="str">
        <f>[3]Brewhouse!$AX820</f>
        <v>R. Sookram</v>
      </c>
      <c r="P16" s="417"/>
      <c r="R16" s="277" t="str">
        <f t="shared" si="0"/>
        <v>CARIB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2:26" ht="15" customHeight="1">
      <c r="B17" s="29"/>
      <c r="C17" s="366"/>
      <c r="D17" s="279"/>
      <c r="E17" s="279"/>
      <c r="F17" s="278"/>
      <c r="G17" s="279"/>
      <c r="H17" s="490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2:26" ht="15" customHeight="1">
      <c r="B18" s="29"/>
      <c r="C18" s="366"/>
      <c r="D18" s="279"/>
      <c r="E18" s="279"/>
      <c r="F18" s="278"/>
      <c r="G18" s="279"/>
      <c r="H18" s="490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2:26" ht="15" customHeight="1">
      <c r="B19" s="495">
        <v>46305</v>
      </c>
      <c r="C19" s="366"/>
      <c r="D19" s="279"/>
      <c r="E19" s="279"/>
      <c r="F19" s="278"/>
      <c r="G19" s="279"/>
      <c r="H19" s="490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46305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2:26" ht="15" customHeight="1">
      <c r="B20" s="34" t="s">
        <v>12</v>
      </c>
      <c r="C20" s="366" t="str">
        <f>[5]Brewhouse!$A108</f>
        <v>GU085</v>
      </c>
      <c r="D20" s="279">
        <f>[5]Brewhouse!$AF108</f>
        <v>51.5</v>
      </c>
      <c r="E20" s="279">
        <f>[5]Brewhouse!$AI108</f>
        <v>50.3</v>
      </c>
      <c r="F20" s="278">
        <f>[5]Brewhouse!$V108</f>
        <v>56</v>
      </c>
      <c r="G20" s="279">
        <f>[5]Brewhouse!$AG108</f>
        <v>16.7</v>
      </c>
      <c r="H20" s="490">
        <v>16.600000000000001</v>
      </c>
      <c r="I20" s="487">
        <f>[5]Brewhouse!$AU108</f>
        <v>91.975176313227053</v>
      </c>
      <c r="J20" s="487">
        <f>[5]Brewhouse!$AV108</f>
        <v>92.431180354931882</v>
      </c>
      <c r="K20" s="488">
        <f>[5]Brewhouse!$R108</f>
        <v>9.9642857142857117</v>
      </c>
      <c r="L20" s="276">
        <f>[5]Brewhouse!$O108</f>
        <v>58</v>
      </c>
      <c r="M20" s="374">
        <f>[5]Brewhouse!$U108-[5]Brewhouse!$T108</f>
        <v>0.11388888888888893</v>
      </c>
      <c r="N20" s="370">
        <f>[5]Brewhouse!$Z108</f>
        <v>0.27986111111111112</v>
      </c>
      <c r="O20" s="419" t="str">
        <f>[5]Brewhouse!$AW108</f>
        <v>R. Sookram</v>
      </c>
      <c r="P20" s="417"/>
      <c r="R20" s="277" t="str">
        <f t="shared" ref="R20" si="9">B20</f>
        <v>GUINNESS</v>
      </c>
      <c r="S20" s="471">
        <f t="shared" si="1"/>
        <v>17</v>
      </c>
      <c r="T20" s="471">
        <f t="shared" si="2"/>
        <v>17.5</v>
      </c>
      <c r="U20" s="297">
        <f t="shared" si="3"/>
        <v>0</v>
      </c>
      <c r="V20" s="297">
        <f t="shared" si="4"/>
        <v>0.1076388888888889</v>
      </c>
      <c r="W20" s="297">
        <f t="shared" si="5"/>
        <v>0.24652777777777779</v>
      </c>
      <c r="X20" s="297">
        <f t="shared" si="6"/>
        <v>0.28472222222222221</v>
      </c>
      <c r="Y20" s="297">
        <f t="shared" si="7"/>
        <v>0</v>
      </c>
      <c r="Z20" s="471">
        <f t="shared" si="8"/>
        <v>60</v>
      </c>
    </row>
    <row r="21" spans="2:26" ht="15" customHeight="1">
      <c r="B21" s="34" t="s">
        <v>12</v>
      </c>
      <c r="C21" s="366" t="str">
        <f>[5]Brewhouse!$A109</f>
        <v>GU086</v>
      </c>
      <c r="D21" s="279">
        <f>[5]Brewhouse!$AF109</f>
        <v>53</v>
      </c>
      <c r="E21" s="279">
        <f>[5]Brewhouse!$AI109</f>
        <v>51.6</v>
      </c>
      <c r="F21" s="278">
        <f>[5]Brewhouse!$V109</f>
        <v>79</v>
      </c>
      <c r="G21" s="279">
        <f>[5]Brewhouse!$AG109</f>
        <v>17</v>
      </c>
      <c r="H21" s="396">
        <v>17.5</v>
      </c>
      <c r="I21" s="487">
        <f>[5]Brewhouse!$AU109</f>
        <v>96.153490761650957</v>
      </c>
      <c r="J21" s="487">
        <f>[5]Brewhouse!$AV109</f>
        <v>96.630210482872457</v>
      </c>
      <c r="K21" s="488">
        <f>[5]Brewhouse!$R109</f>
        <v>7.2857142857142829</v>
      </c>
      <c r="L21" s="276">
        <f>[5]Brewhouse!$O109</f>
        <v>55</v>
      </c>
      <c r="M21" s="374">
        <f>[5]Brewhouse!$U109-[5]Brewhouse!$T109</f>
        <v>0.14513888888888887</v>
      </c>
      <c r="N21" s="370">
        <f>[5]Brewhouse!$Z109</f>
        <v>0.3208333333333333</v>
      </c>
      <c r="O21" s="419" t="str">
        <f>[5]Brewhouse!$AW109</f>
        <v>R. Sookram</v>
      </c>
      <c r="P21" s="417"/>
      <c r="R21" s="277" t="str">
        <f t="shared" si="0"/>
        <v>GUINNESS</v>
      </c>
      <c r="S21" s="471">
        <f t="shared" si="1"/>
        <v>17</v>
      </c>
      <c r="T21" s="471">
        <f t="shared" si="2"/>
        <v>17.5</v>
      </c>
      <c r="U21" s="297">
        <f t="shared" si="3"/>
        <v>0</v>
      </c>
      <c r="V21" s="297">
        <f t="shared" si="4"/>
        <v>0.1076388888888889</v>
      </c>
      <c r="W21" s="297">
        <f t="shared" si="5"/>
        <v>0.24652777777777779</v>
      </c>
      <c r="X21" s="297">
        <f t="shared" si="6"/>
        <v>0.28472222222222221</v>
      </c>
      <c r="Y21" s="297">
        <f t="shared" si="7"/>
        <v>0</v>
      </c>
      <c r="Z21" s="471">
        <f t="shared" si="8"/>
        <v>60</v>
      </c>
    </row>
    <row r="22" spans="2:26" ht="15" customHeight="1">
      <c r="B22" s="34" t="s">
        <v>12</v>
      </c>
      <c r="C22" s="366" t="str">
        <f>[5]Brewhouse!$A110</f>
        <v>GU087</v>
      </c>
      <c r="D22" s="279">
        <f>[5]Brewhouse!$AF110</f>
        <v>54.6</v>
      </c>
      <c r="E22" s="279">
        <f>[5]Brewhouse!$AI110</f>
        <v>53.1</v>
      </c>
      <c r="F22" s="278">
        <f>[5]Brewhouse!$V110</f>
        <v>72</v>
      </c>
      <c r="G22" s="279">
        <f>[5]Brewhouse!$AG110</f>
        <v>17.600000000000001</v>
      </c>
      <c r="H22" s="490">
        <v>17.600000000000001</v>
      </c>
      <c r="I22" s="487">
        <f>[5]Brewhouse!$AU110</f>
        <v>102.79261976436969</v>
      </c>
      <c r="J22" s="487">
        <f>[5]Brewhouse!$AV110</f>
        <v>103.30216588791079</v>
      </c>
      <c r="K22" s="488">
        <f>[5]Brewhouse!$R110</f>
        <v>7.4509803921568629</v>
      </c>
      <c r="L22" s="276">
        <f>[5]Brewhouse!$O110</f>
        <v>60</v>
      </c>
      <c r="M22" s="374">
        <f>[5]Brewhouse!$U110-[5]Brewhouse!$T110</f>
        <v>0.16319444444444448</v>
      </c>
      <c r="N22" s="370">
        <f>[5]Brewhouse!$Z110</f>
        <v>0.3305555555555556</v>
      </c>
      <c r="O22" s="419" t="str">
        <f>[5]Brewhouse!$AW110</f>
        <v>R. Sookram</v>
      </c>
      <c r="P22" s="417"/>
      <c r="R22" s="277" t="str">
        <f t="shared" si="0"/>
        <v>GUINNESS</v>
      </c>
      <c r="S22" s="471">
        <f t="shared" si="1"/>
        <v>17</v>
      </c>
      <c r="T22" s="471">
        <f t="shared" si="2"/>
        <v>17.5</v>
      </c>
      <c r="U22" s="297">
        <f t="shared" si="3"/>
        <v>0</v>
      </c>
      <c r="V22" s="297">
        <f t="shared" si="4"/>
        <v>0.1076388888888889</v>
      </c>
      <c r="W22" s="297">
        <f t="shared" si="5"/>
        <v>0.24652777777777779</v>
      </c>
      <c r="X22" s="297">
        <f t="shared" si="6"/>
        <v>0.28472222222222221</v>
      </c>
      <c r="Y22" s="297">
        <f t="shared" si="7"/>
        <v>0</v>
      </c>
      <c r="Z22" s="471">
        <f t="shared" si="8"/>
        <v>60</v>
      </c>
    </row>
    <row r="23" spans="2:26" ht="15" customHeight="1">
      <c r="B23" s="34" t="s">
        <v>12</v>
      </c>
      <c r="C23" s="366" t="str">
        <f>[5]Brewhouse!$A111</f>
        <v>GU088</v>
      </c>
      <c r="D23" s="279">
        <f>[5]Brewhouse!$AF111</f>
        <v>53.8</v>
      </c>
      <c r="E23" s="279">
        <f>[5]Brewhouse!$AI111</f>
        <v>52.2</v>
      </c>
      <c r="F23" s="278">
        <f>[5]Brewhouse!$V111</f>
        <v>81</v>
      </c>
      <c r="G23" s="279">
        <f>[5]Brewhouse!$AG111</f>
        <v>17.100000000000001</v>
      </c>
      <c r="H23" s="396">
        <v>17.399999999999999</v>
      </c>
      <c r="I23" s="487">
        <f>[5]Brewhouse!$AU111</f>
        <v>97.680094528624181</v>
      </c>
      <c r="J23" s="487">
        <f>[5]Brewhouse!$AV111</f>
        <v>98.164638069015211</v>
      </c>
      <c r="K23" s="488">
        <f>[5]Brewhouse!$R111</f>
        <v>5.8571428571428594</v>
      </c>
      <c r="L23" s="276">
        <f>[5]Brewhouse!$O111</f>
        <v>59</v>
      </c>
      <c r="M23" s="374">
        <f>[5]Brewhouse!$U111-[5]Brewhouse!$T111</f>
        <v>0.14722222222222225</v>
      </c>
      <c r="N23" s="370">
        <f>[5]Brewhouse!$Z111</f>
        <v>0.33055555555555555</v>
      </c>
      <c r="O23" s="419" t="str">
        <f>[5]Brewhouse!$AW111</f>
        <v>R. Sookram</v>
      </c>
      <c r="P23" s="417"/>
      <c r="R23" s="277" t="str">
        <f t="shared" si="0"/>
        <v>GUINNESS</v>
      </c>
      <c r="S23" s="471">
        <f t="shared" si="1"/>
        <v>17</v>
      </c>
      <c r="T23" s="471">
        <f t="shared" si="2"/>
        <v>17.5</v>
      </c>
      <c r="U23" s="297">
        <f t="shared" si="3"/>
        <v>0</v>
      </c>
      <c r="V23" s="297">
        <f t="shared" si="4"/>
        <v>0.1076388888888889</v>
      </c>
      <c r="W23" s="297">
        <f t="shared" si="5"/>
        <v>0.24652777777777779</v>
      </c>
      <c r="X23" s="297">
        <f t="shared" si="6"/>
        <v>0.28472222222222221</v>
      </c>
      <c r="Y23" s="297">
        <f t="shared" si="7"/>
        <v>0</v>
      </c>
      <c r="Z23" s="471">
        <f t="shared" si="8"/>
        <v>60</v>
      </c>
    </row>
    <row r="24" spans="2:26" ht="15" customHeight="1">
      <c r="B24" s="34" t="s">
        <v>12</v>
      </c>
      <c r="C24" s="366" t="str">
        <f>[5]Brewhouse!$A112</f>
        <v>GU089</v>
      </c>
      <c r="D24" s="279">
        <f>[5]Brewhouse!$AF112</f>
        <v>54.1</v>
      </c>
      <c r="E24" s="279">
        <f>[5]Brewhouse!$AI112</f>
        <v>52.4</v>
      </c>
      <c r="F24" s="278">
        <f>[5]Brewhouse!$V112</f>
        <v>81</v>
      </c>
      <c r="G24" s="279">
        <f>[5]Brewhouse!$AG112</f>
        <v>17.3</v>
      </c>
      <c r="H24" s="396">
        <v>17.3</v>
      </c>
      <c r="I24" s="487">
        <f>[5]Brewhouse!$AU112</f>
        <v>98.815277602756282</v>
      </c>
      <c r="J24" s="487">
        <f>[5]Brewhouse!$AV112</f>
        <v>99.305964606755964</v>
      </c>
      <c r="K24" s="488">
        <f>[5]Brewhouse!$R112</f>
        <v>5.4901960784313699</v>
      </c>
      <c r="L24" s="276">
        <f>[5]Brewhouse!$O112</f>
        <v>58</v>
      </c>
      <c r="M24" s="374">
        <f>[5]Brewhouse!$U112-[5]Brewhouse!$T112</f>
        <v>0.13263888888888886</v>
      </c>
      <c r="N24" s="370">
        <f>[5]Brewhouse!$Z112</f>
        <v>0.31736111111111104</v>
      </c>
      <c r="O24" s="419" t="str">
        <f>[5]Brewhouse!$AW112</f>
        <v>D. Gomaz</v>
      </c>
      <c r="P24" s="417"/>
      <c r="R24" s="277" t="str">
        <f t="shared" si="0"/>
        <v>GUINNESS</v>
      </c>
      <c r="S24" s="471">
        <f t="shared" si="1"/>
        <v>17</v>
      </c>
      <c r="T24" s="471">
        <f t="shared" si="2"/>
        <v>17.5</v>
      </c>
      <c r="U24" s="297">
        <f t="shared" si="3"/>
        <v>0</v>
      </c>
      <c r="V24" s="297">
        <f t="shared" si="4"/>
        <v>0.1076388888888889</v>
      </c>
      <c r="W24" s="297">
        <f t="shared" si="5"/>
        <v>0.24652777777777779</v>
      </c>
      <c r="X24" s="297">
        <f t="shared" si="6"/>
        <v>0.28472222222222221</v>
      </c>
      <c r="Y24" s="297">
        <f t="shared" si="7"/>
        <v>0</v>
      </c>
      <c r="Z24" s="471">
        <f t="shared" si="8"/>
        <v>60</v>
      </c>
    </row>
    <row r="25" spans="2:26" ht="15" customHeight="1">
      <c r="B25" s="34" t="s">
        <v>12</v>
      </c>
      <c r="C25" s="366" t="str">
        <f>[5]Brewhouse!$A113</f>
        <v>GU090</v>
      </c>
      <c r="D25" s="279">
        <f>[5]Brewhouse!$AF113</f>
        <v>53.5</v>
      </c>
      <c r="E25" s="279">
        <f>[5]Brewhouse!$AI113</f>
        <v>52</v>
      </c>
      <c r="F25" s="278">
        <f>[5]Brewhouse!$V113</f>
        <v>61</v>
      </c>
      <c r="G25" s="279">
        <f>[5]Brewhouse!$AG113</f>
        <v>17</v>
      </c>
      <c r="H25" s="396">
        <v>17</v>
      </c>
      <c r="I25" s="487">
        <f>[5]Brewhouse!$AU113</f>
        <v>96.743980175024319</v>
      </c>
      <c r="J25" s="487">
        <f>[5]Brewhouse!$AV113</f>
        <v>97.223796033994319</v>
      </c>
      <c r="K25" s="488">
        <f>[5]Brewhouse!$R113</f>
        <v>6.3928571428571406</v>
      </c>
      <c r="L25" s="276">
        <f>[5]Brewhouse!$O113</f>
        <v>60</v>
      </c>
      <c r="M25" s="374">
        <f>[5]Brewhouse!$U113-[5]Brewhouse!$T113</f>
        <v>0.12986111111111109</v>
      </c>
      <c r="N25" s="370">
        <f>[5]Brewhouse!$Z113</f>
        <v>0.30347222222222225</v>
      </c>
      <c r="O25" s="419" t="str">
        <f>[5]Brewhouse!$AW113</f>
        <v>D. Gomaz</v>
      </c>
      <c r="P25" s="417"/>
      <c r="R25" s="277" t="str">
        <f t="shared" si="0"/>
        <v>GUINNESS</v>
      </c>
      <c r="S25" s="471">
        <f t="shared" si="1"/>
        <v>17</v>
      </c>
      <c r="T25" s="471">
        <f t="shared" si="2"/>
        <v>17.5</v>
      </c>
      <c r="U25" s="297">
        <f t="shared" si="3"/>
        <v>0</v>
      </c>
      <c r="V25" s="297">
        <f t="shared" si="4"/>
        <v>0.1076388888888889</v>
      </c>
      <c r="W25" s="297">
        <f t="shared" si="5"/>
        <v>0.24652777777777779</v>
      </c>
      <c r="X25" s="297">
        <f t="shared" si="6"/>
        <v>0.28472222222222221</v>
      </c>
      <c r="Y25" s="297">
        <f t="shared" si="7"/>
        <v>0</v>
      </c>
      <c r="Z25" s="471">
        <f t="shared" si="8"/>
        <v>60</v>
      </c>
    </row>
    <row r="26" spans="2:26" ht="15" customHeight="1">
      <c r="B26" s="34" t="s">
        <v>12</v>
      </c>
      <c r="C26" s="366" t="str">
        <f>[5]Brewhouse!$A114</f>
        <v>GU091</v>
      </c>
      <c r="D26" s="279">
        <f>[5]Brewhouse!$AF114</f>
        <v>53.7</v>
      </c>
      <c r="E26" s="279">
        <f>[5]Brewhouse!$AI114</f>
        <v>52.4</v>
      </c>
      <c r="F26" s="278">
        <f>[5]Brewhouse!$V114</f>
        <v>63</v>
      </c>
      <c r="G26" s="279">
        <f>[5]Brewhouse!$AG114</f>
        <v>17</v>
      </c>
      <c r="H26" s="396">
        <v>17.100000000000001</v>
      </c>
      <c r="I26" s="487">
        <f>[5]Brewhouse!$AU114</f>
        <v>97.332584883765065</v>
      </c>
      <c r="J26" s="487">
        <f>[5]Brewhouse!$AV114</f>
        <v>97.815489046590557</v>
      </c>
      <c r="K26" s="488">
        <f>[5]Brewhouse!$R114</f>
        <v>6.0357142857142776</v>
      </c>
      <c r="L26" s="276">
        <f>[5]Brewhouse!$O114</f>
        <v>60</v>
      </c>
      <c r="M26" s="374">
        <f>[5]Brewhouse!$U114-[5]Brewhouse!$T114</f>
        <v>0.13819444444444451</v>
      </c>
      <c r="N26" s="370">
        <f>[5]Brewhouse!$Z114</f>
        <v>0.30555555555555558</v>
      </c>
      <c r="O26" s="419" t="str">
        <f>[5]Brewhouse!$AW114</f>
        <v>D. Gomaz</v>
      </c>
      <c r="P26" s="417"/>
      <c r="R26" s="277" t="str">
        <f t="shared" si="0"/>
        <v>GUINNESS</v>
      </c>
      <c r="S26" s="471">
        <f t="shared" si="1"/>
        <v>17</v>
      </c>
      <c r="T26" s="471">
        <f t="shared" si="2"/>
        <v>17.5</v>
      </c>
      <c r="U26" s="297">
        <f t="shared" si="3"/>
        <v>0</v>
      </c>
      <c r="V26" s="297">
        <f t="shared" si="4"/>
        <v>0.1076388888888889</v>
      </c>
      <c r="W26" s="297">
        <f t="shared" si="5"/>
        <v>0.24652777777777779</v>
      </c>
      <c r="X26" s="297">
        <f t="shared" si="6"/>
        <v>0.28472222222222221</v>
      </c>
      <c r="Y26" s="297">
        <f t="shared" si="7"/>
        <v>0</v>
      </c>
      <c r="Z26" s="471">
        <f t="shared" si="8"/>
        <v>60</v>
      </c>
    </row>
    <row r="27" spans="2:26" ht="15" customHeight="1">
      <c r="B27" s="34" t="s">
        <v>12</v>
      </c>
      <c r="C27" s="366" t="str">
        <f>[5]Brewhouse!$A115</f>
        <v>GU092</v>
      </c>
      <c r="D27" s="279">
        <f>[5]Brewhouse!$AF115</f>
        <v>53.7</v>
      </c>
      <c r="E27" s="279">
        <f>[5]Brewhouse!$AI115</f>
        <v>51.9</v>
      </c>
      <c r="F27" s="278">
        <f>[5]Brewhouse!$V115</f>
        <v>63</v>
      </c>
      <c r="G27" s="279">
        <f>[5]Brewhouse!$AG115</f>
        <v>17.100000000000001</v>
      </c>
      <c r="H27" s="396">
        <v>17.100000000000001</v>
      </c>
      <c r="I27" s="487">
        <f>[5]Brewhouse!$AU115</f>
        <v>97.429936670217501</v>
      </c>
      <c r="J27" s="487">
        <f>[5]Brewhouse!$AV115</f>
        <v>97.912899811549678</v>
      </c>
      <c r="K27" s="488">
        <f>[5]Brewhouse!$R115</f>
        <v>6.0357142857142776</v>
      </c>
      <c r="L27" s="276">
        <f>[5]Brewhouse!$O115</f>
        <v>62</v>
      </c>
      <c r="M27" s="374">
        <f>[5]Brewhouse!$U115-[5]Brewhouse!$T115</f>
        <v>0.16666666666666652</v>
      </c>
      <c r="N27" s="370">
        <f>[5]Brewhouse!$Z115</f>
        <v>0.32569444444444429</v>
      </c>
      <c r="O27" s="419" t="str">
        <f>[5]Brewhouse!$AW115</f>
        <v>K. Benjamin</v>
      </c>
      <c r="P27" s="417"/>
      <c r="R27" s="277" t="str">
        <f t="shared" si="0"/>
        <v>GUINNESS</v>
      </c>
      <c r="S27" s="471">
        <f t="shared" si="1"/>
        <v>17</v>
      </c>
      <c r="T27" s="471">
        <f t="shared" si="2"/>
        <v>17.5</v>
      </c>
      <c r="U27" s="297">
        <f t="shared" si="3"/>
        <v>0</v>
      </c>
      <c r="V27" s="297">
        <f t="shared" si="4"/>
        <v>0.1076388888888889</v>
      </c>
      <c r="W27" s="297">
        <f t="shared" si="5"/>
        <v>0.24652777777777779</v>
      </c>
      <c r="X27" s="297">
        <f t="shared" si="6"/>
        <v>0.28472222222222221</v>
      </c>
      <c r="Y27" s="297">
        <f t="shared" si="7"/>
        <v>0</v>
      </c>
      <c r="Z27" s="471">
        <f t="shared" si="8"/>
        <v>60</v>
      </c>
    </row>
    <row r="28" spans="2:26" ht="15" customHeight="1">
      <c r="B28" s="34"/>
      <c r="C28" s="366"/>
      <c r="D28" s="279"/>
      <c r="E28" s="279"/>
      <c r="F28" s="278"/>
      <c r="G28" s="279"/>
      <c r="H28" s="396"/>
      <c r="I28" s="487"/>
      <c r="J28" s="487"/>
      <c r="K28" s="488"/>
      <c r="L28" s="276"/>
      <c r="M28" s="374"/>
      <c r="N28" s="370"/>
      <c r="O28" s="419"/>
      <c r="P28" s="417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2:26" ht="15" customHeight="1">
      <c r="B29" s="34"/>
      <c r="C29" s="366"/>
      <c r="D29" s="279"/>
      <c r="E29" s="279"/>
      <c r="F29" s="278"/>
      <c r="G29" s="279"/>
      <c r="H29" s="396"/>
      <c r="I29" s="487"/>
      <c r="J29" s="487"/>
      <c r="K29" s="488"/>
      <c r="L29" s="276"/>
      <c r="M29" s="374"/>
      <c r="N29" s="370"/>
      <c r="O29" s="419"/>
      <c r="P29" s="417"/>
      <c r="R29" s="277">
        <f t="shared" ref="R29:R44" si="10">B29</f>
        <v>0</v>
      </c>
      <c r="S29" s="471" t="e">
        <f t="shared" ref="S29:S44" si="11">VLOOKUP($B29,$R$3:$X$9,2,FALSE)</f>
        <v>#N/A</v>
      </c>
      <c r="T29" s="471" t="e">
        <f t="shared" ref="T29:T44" si="12">VLOOKUP($B29,$R$3:$X$9,3,FALSE)</f>
        <v>#N/A</v>
      </c>
      <c r="U29" s="297" t="e">
        <f t="shared" ref="U29:U44" si="13">VLOOKUP($B29,$R$3:$X$9,4,FALSE)</f>
        <v>#N/A</v>
      </c>
      <c r="V29" s="297" t="e">
        <f t="shared" ref="V29:V44" si="14">VLOOKUP($B29,$R$3:$X$9,5,FALSE)</f>
        <v>#N/A</v>
      </c>
      <c r="W29" s="297" t="e">
        <f t="shared" ref="W29:W44" si="15">VLOOKUP($B29,$R$3:$X$9,6,FALSE)</f>
        <v>#N/A</v>
      </c>
      <c r="X29" s="297" t="e">
        <f t="shared" ref="X29:X44" si="16">VLOOKUP($B29,$R$3:$X$9,7,FALSE)</f>
        <v>#N/A</v>
      </c>
      <c r="Y29" s="297" t="e">
        <f t="shared" ref="Y29:Y44" si="17">VLOOKUP($B29,$R$3:$Z$9,8,FALSE)</f>
        <v>#N/A</v>
      </c>
      <c r="Z29" s="471" t="e">
        <f t="shared" ref="Z29:Z44" si="18">VLOOKUP($B29,$R$3:$Z$9,9,FALSE)</f>
        <v>#N/A</v>
      </c>
    </row>
    <row r="30" spans="2:26" ht="15" customHeight="1">
      <c r="B30" s="34"/>
      <c r="C30" s="366"/>
      <c r="D30" s="279"/>
      <c r="E30" s="279"/>
      <c r="F30" s="278"/>
      <c r="G30" s="279"/>
      <c r="H30" s="396"/>
      <c r="I30" s="487"/>
      <c r="J30" s="487"/>
      <c r="K30" s="488"/>
      <c r="L30" s="276"/>
      <c r="M30" s="374"/>
      <c r="N30" s="370"/>
      <c r="O30" s="419"/>
      <c r="P30" s="417"/>
      <c r="R30" s="277">
        <f t="shared" si="10"/>
        <v>0</v>
      </c>
      <c r="S30" s="471" t="e">
        <f t="shared" si="11"/>
        <v>#N/A</v>
      </c>
      <c r="T30" s="471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1" t="e">
        <f t="shared" si="18"/>
        <v>#N/A</v>
      </c>
    </row>
    <row r="31" spans="2:26" ht="17.25" customHeight="1" thickBot="1">
      <c r="B31" s="358"/>
      <c r="C31" s="358"/>
      <c r="D31" s="358"/>
      <c r="E31" s="358"/>
      <c r="F31" s="294"/>
      <c r="G31" s="294"/>
      <c r="H31" s="348"/>
      <c r="I31" s="539"/>
      <c r="J31" s="539"/>
      <c r="K31" s="539"/>
      <c r="L31" s="539"/>
      <c r="M31" s="539"/>
      <c r="N31" s="539"/>
      <c r="O31" s="1"/>
      <c r="P31" s="12"/>
      <c r="R31" s="277">
        <f t="shared" si="10"/>
        <v>0</v>
      </c>
      <c r="S31" s="471" t="e">
        <f t="shared" si="11"/>
        <v>#N/A</v>
      </c>
      <c r="T31" s="471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1" t="e">
        <f t="shared" si="18"/>
        <v>#N/A</v>
      </c>
    </row>
    <row r="32" spans="2:26" ht="17.25" customHeight="1" thickBot="1">
      <c r="B32" s="482" t="s">
        <v>162</v>
      </c>
      <c r="C32" s="388"/>
      <c r="D32" s="540" t="s">
        <v>35</v>
      </c>
      <c r="E32" s="541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10"/>
        <v xml:space="preserve">BRAND </v>
      </c>
      <c r="S32" s="471" t="e">
        <f t="shared" si="11"/>
        <v>#N/A</v>
      </c>
      <c r="T32" s="471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1" t="e">
        <f t="shared" si="18"/>
        <v>#N/A</v>
      </c>
    </row>
    <row r="33" spans="1:27" ht="17.25" customHeight="1">
      <c r="A33" s="28"/>
      <c r="B33" s="594"/>
      <c r="C33" s="483"/>
      <c r="D33" s="527"/>
      <c r="E33" s="528"/>
      <c r="F33" s="294"/>
      <c r="G33" s="294"/>
      <c r="H33" s="348"/>
      <c r="I33" s="29" t="s">
        <v>6</v>
      </c>
      <c r="J33" s="323">
        <f>AVERAGE(I10:I16)</f>
        <v>96.43540141067227</v>
      </c>
      <c r="K33" s="284">
        <f>COUNTA([3]Brewhouse!$A$789:$A$820)</f>
        <v>32</v>
      </c>
      <c r="L33" s="305">
        <f>AVERAGE([3]Brewhouse!$AU$789:$AU$820)</f>
        <v>97.19542619578651</v>
      </c>
      <c r="M3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$820)</f>
        <v>98.283559098193749</v>
      </c>
      <c r="N33" s="30">
        <v>98</v>
      </c>
      <c r="O33" s="11"/>
      <c r="P33" s="31"/>
      <c r="R33" s="277">
        <f t="shared" si="10"/>
        <v>0</v>
      </c>
      <c r="S33" s="471" t="e">
        <f t="shared" si="11"/>
        <v>#N/A</v>
      </c>
      <c r="T33" s="471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1" t="e">
        <f t="shared" si="18"/>
        <v>#N/A</v>
      </c>
    </row>
    <row r="34" spans="1:27" ht="15" customHeight="1">
      <c r="A34" s="28"/>
      <c r="B34" s="572"/>
      <c r="C34" s="362"/>
      <c r="D34" s="529"/>
      <c r="E34" s="530"/>
      <c r="F34" s="294"/>
      <c r="G34" s="294"/>
      <c r="H34" s="348"/>
      <c r="I34" s="33" t="s">
        <v>9</v>
      </c>
      <c r="J34" s="323"/>
      <c r="K34" s="284">
        <f>COUNTA([4]Brewhouse!$A$390:$A$405)</f>
        <v>16</v>
      </c>
      <c r="L34" s="302">
        <f>AVERAGE([4]Brewhouse!$AS$390:$AS$405)</f>
        <v>97.859147509759907</v>
      </c>
      <c r="M34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$405)</f>
        <v>98.292263066454069</v>
      </c>
      <c r="N34" s="30">
        <v>98</v>
      </c>
      <c r="O34" s="11"/>
      <c r="P34" s="31"/>
      <c r="R34" s="277">
        <f t="shared" si="10"/>
        <v>0</v>
      </c>
      <c r="S34" s="471" t="e">
        <f t="shared" si="11"/>
        <v>#N/A</v>
      </c>
      <c r="T34" s="471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1" t="e">
        <f t="shared" si="18"/>
        <v>#N/A</v>
      </c>
    </row>
    <row r="35" spans="1:27" ht="14.65" customHeight="1">
      <c r="A35" s="28"/>
      <c r="B35" s="572"/>
      <c r="C35" s="362"/>
      <c r="D35" s="534"/>
      <c r="E35" s="535"/>
      <c r="F35" s="294"/>
      <c r="G35" s="294"/>
      <c r="H35" s="348"/>
      <c r="I35" s="34" t="s">
        <v>12</v>
      </c>
      <c r="J35" s="323">
        <f>AVERAGE(I20:I27)</f>
        <v>97.365395087454402</v>
      </c>
      <c r="K35" s="284">
        <f>COUNTA([5]Brewhouse!$A$108:$A$115)</f>
        <v>8</v>
      </c>
      <c r="L35" s="302">
        <f>AVERAGE([5]Brewhouse!$AU$108:$AU$115)</f>
        <v>97.365395087454402</v>
      </c>
      <c r="M35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35" s="30">
        <v>98</v>
      </c>
      <c r="O35" s="11"/>
      <c r="P35" s="31"/>
      <c r="R35" s="277">
        <f t="shared" si="10"/>
        <v>0</v>
      </c>
      <c r="S35" s="471" t="e">
        <f t="shared" si="11"/>
        <v>#N/A</v>
      </c>
      <c r="T35" s="471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1" t="e">
        <f t="shared" si="18"/>
        <v>#N/A</v>
      </c>
    </row>
    <row r="36" spans="1:27" ht="14.65" customHeight="1">
      <c r="A36" s="28"/>
      <c r="B36" s="572"/>
      <c r="C36" s="362"/>
      <c r="D36" s="536"/>
      <c r="E36" s="530"/>
      <c r="F36" s="294"/>
      <c r="G36" s="294"/>
      <c r="H36" s="348"/>
      <c r="I36" s="22" t="s">
        <v>33</v>
      </c>
      <c r="J36" s="280"/>
      <c r="K36" s="284"/>
      <c r="L36" s="302"/>
      <c r="M36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6" s="30">
        <v>98</v>
      </c>
      <c r="O36" s="11"/>
      <c r="P36" s="31"/>
      <c r="R36" s="277">
        <f t="shared" si="10"/>
        <v>0</v>
      </c>
      <c r="S36" s="471" t="e">
        <f t="shared" si="11"/>
        <v>#N/A</v>
      </c>
      <c r="T36" s="471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1" t="e">
        <f t="shared" si="18"/>
        <v>#N/A</v>
      </c>
    </row>
    <row r="37" spans="1:27" ht="14.65" customHeight="1">
      <c r="A37" s="28"/>
      <c r="B37" s="572"/>
      <c r="C37" s="362"/>
      <c r="D37" s="534"/>
      <c r="E37" s="535"/>
      <c r="F37" s="294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10"/>
        <v>0</v>
      </c>
      <c r="S37" s="471" t="e">
        <f t="shared" si="11"/>
        <v>#N/A</v>
      </c>
      <c r="T37" s="471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1" t="e">
        <f t="shared" si="18"/>
        <v>#N/A</v>
      </c>
    </row>
    <row r="38" spans="1:27" ht="14.65" customHeight="1">
      <c r="A38" s="28"/>
      <c r="B38" s="572"/>
      <c r="C38" s="362"/>
      <c r="D38" s="536"/>
      <c r="E38" s="530"/>
      <c r="F38" s="416"/>
      <c r="G38" s="294"/>
      <c r="H38" s="348"/>
      <c r="I38" s="36" t="s">
        <v>15</v>
      </c>
      <c r="J38" s="323"/>
      <c r="K38" s="284"/>
      <c r="L38" s="302"/>
      <c r="M38" s="302">
        <f>AVERAGE([7]Brewhouse!$AT$4:$AT$11,[7]Brewhouse!$AT$13:$AT$16,[7]Brewhouse!$AT$18:$AT$30)</f>
        <v>93.22262799886262</v>
      </c>
      <c r="N38" s="30">
        <v>98</v>
      </c>
      <c r="O38" s="11"/>
      <c r="P38" s="31"/>
      <c r="R38" s="277">
        <f t="shared" si="10"/>
        <v>0</v>
      </c>
      <c r="S38" s="471" t="e">
        <f t="shared" si="11"/>
        <v>#N/A</v>
      </c>
      <c r="T38" s="471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1" t="e">
        <f t="shared" si="18"/>
        <v>#N/A</v>
      </c>
    </row>
    <row r="39" spans="1:27" ht="14.65" customHeight="1">
      <c r="A39" s="28"/>
      <c r="B39" s="572"/>
      <c r="C39" s="362"/>
      <c r="D39" s="534"/>
      <c r="E39" s="535"/>
      <c r="F39" s="416"/>
      <c r="G39" s="294"/>
      <c r="H39" s="348"/>
      <c r="I39" s="37" t="s">
        <v>16</v>
      </c>
      <c r="J39" s="323"/>
      <c r="K39" s="284"/>
      <c r="L39" s="302"/>
      <c r="M39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39" s="30">
        <v>98</v>
      </c>
      <c r="O39" s="11"/>
      <c r="P39" s="31" t="s">
        <v>41</v>
      </c>
      <c r="R39" s="277">
        <f t="shared" si="10"/>
        <v>0</v>
      </c>
      <c r="S39" s="471" t="e">
        <f t="shared" si="11"/>
        <v>#N/A</v>
      </c>
      <c r="T39" s="471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1" t="e">
        <f t="shared" si="18"/>
        <v>#N/A</v>
      </c>
    </row>
    <row r="40" spans="1:27" ht="14.65" customHeight="1">
      <c r="A40" s="28"/>
      <c r="B40" s="572"/>
      <c r="C40" s="362"/>
      <c r="D40" s="536"/>
      <c r="E40" s="530"/>
      <c r="F40" s="294"/>
      <c r="G40" s="294"/>
      <c r="H40" s="348"/>
      <c r="I40" s="410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10"/>
        <v>0</v>
      </c>
      <c r="S40" s="471" t="e">
        <f t="shared" si="11"/>
        <v>#N/A</v>
      </c>
      <c r="T40" s="471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471" t="e">
        <f t="shared" si="18"/>
        <v>#N/A</v>
      </c>
    </row>
    <row r="41" spans="1:27" ht="14.65" customHeight="1">
      <c r="A41" s="28"/>
      <c r="B41" s="572"/>
      <c r="C41" s="362"/>
      <c r="D41" s="534"/>
      <c r="E41" s="535"/>
      <c r="F41" s="294"/>
      <c r="G41" s="294"/>
      <c r="H41" s="348"/>
      <c r="I41" s="409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10"/>
        <v>0</v>
      </c>
      <c r="S41" s="471" t="e">
        <f t="shared" si="11"/>
        <v>#N/A</v>
      </c>
      <c r="T41" s="471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471" t="e">
        <f t="shared" si="18"/>
        <v>#N/A</v>
      </c>
      <c r="AA41" s="471"/>
    </row>
    <row r="42" spans="1:27" ht="15" customHeight="1" thickBot="1">
      <c r="A42" s="28"/>
      <c r="B42" s="572"/>
      <c r="C42" s="362"/>
      <c r="D42" s="536"/>
      <c r="E42" s="530"/>
      <c r="F42" s="294"/>
      <c r="G42" s="294"/>
      <c r="H42" s="348"/>
      <c r="I42" s="405" t="s">
        <v>156</v>
      </c>
      <c r="J42" s="327"/>
      <c r="K42" s="406"/>
      <c r="L42" s="407"/>
      <c r="M42" s="407"/>
      <c r="N42" s="408">
        <v>98</v>
      </c>
      <c r="O42" s="11"/>
      <c r="P42" s="31"/>
      <c r="R42" s="277">
        <f t="shared" si="10"/>
        <v>0</v>
      </c>
      <c r="S42" s="471" t="e">
        <f t="shared" si="11"/>
        <v>#N/A</v>
      </c>
      <c r="T42" s="471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471" t="e">
        <f t="shared" si="18"/>
        <v>#N/A</v>
      </c>
      <c r="AA42" s="471"/>
    </row>
    <row r="43" spans="1:27" ht="15" customHeight="1" thickBot="1">
      <c r="A43" s="28"/>
      <c r="B43" s="572"/>
      <c r="C43" s="349"/>
      <c r="D43" s="527"/>
      <c r="E43" s="528"/>
      <c r="F43" s="294"/>
      <c r="G43" s="294"/>
      <c r="H43" s="348"/>
      <c r="I43" s="1"/>
      <c r="J43" s="39"/>
      <c r="K43" s="403">
        <f>SUM(K33:K42)</f>
        <v>56</v>
      </c>
      <c r="L43" s="404">
        <f>((L33*K33)+(L34*K34)+(L35*K35)+(L36*K36)+(L37*K37)+(K40*L40)+(L38*K38)+(L39*K39)+(L42*K42))/(K43)</f>
        <v>97.409342127160031</v>
      </c>
      <c r="M43" s="404">
        <f>AVERAGE('[9]Jan30th-31st'!$L$42,'[10]Feb 27th-28th'!$L$45,'[11]Mar 31st'!$L$42,'[12]Apr 30th'!$L$41,'[13]May 29th '!$L$35,'[14]June 30th'!$L$32,[15]July31st!$L$36,'[16]Aug 31st'!$L$32,L43)</f>
        <v>97.911645009787449</v>
      </c>
      <c r="N43" s="40">
        <v>98</v>
      </c>
      <c r="O43" s="11"/>
      <c r="P43" s="31"/>
      <c r="R43" s="277">
        <f t="shared" si="10"/>
        <v>0</v>
      </c>
      <c r="S43" s="471" t="e">
        <f t="shared" si="11"/>
        <v>#N/A</v>
      </c>
      <c r="T43" s="471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471" t="e">
        <f t="shared" si="18"/>
        <v>#N/A</v>
      </c>
      <c r="AA43" s="471"/>
    </row>
    <row r="44" spans="1:27" ht="15.75" thickBot="1">
      <c r="B44" s="595"/>
      <c r="C44" s="350"/>
      <c r="D44" s="529"/>
      <c r="E44" s="530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10"/>
        <v>0</v>
      </c>
      <c r="S44" s="471" t="e">
        <f t="shared" si="11"/>
        <v>#N/A</v>
      </c>
      <c r="T44" s="471" t="e">
        <f t="shared" si="12"/>
        <v>#N/A</v>
      </c>
      <c r="U44" s="297" t="e">
        <f t="shared" si="13"/>
        <v>#N/A</v>
      </c>
      <c r="V44" s="297" t="e">
        <f t="shared" si="14"/>
        <v>#N/A</v>
      </c>
      <c r="W44" s="297" t="e">
        <f t="shared" si="15"/>
        <v>#N/A</v>
      </c>
      <c r="X44" s="297" t="e">
        <f t="shared" si="16"/>
        <v>#N/A</v>
      </c>
      <c r="Y44" s="297" t="e">
        <f t="shared" si="17"/>
        <v>#N/A</v>
      </c>
      <c r="Z44" s="471" t="e">
        <f t="shared" si="18"/>
        <v>#N/A</v>
      </c>
      <c r="AA44" s="471"/>
    </row>
    <row r="45" spans="1:27" ht="15.75" thickBot="1">
      <c r="B45" s="524"/>
      <c r="C45" s="362"/>
      <c r="D45" s="527"/>
      <c r="E45" s="528"/>
      <c r="F45" s="294"/>
      <c r="G45" s="42"/>
      <c r="H45" s="41"/>
      <c r="I45" s="42"/>
      <c r="J45" s="531" t="s">
        <v>129</v>
      </c>
      <c r="K45" s="531"/>
      <c r="L45" s="294"/>
      <c r="M45" s="294"/>
      <c r="N45" s="294"/>
      <c r="O45" s="294"/>
      <c r="P45" s="12"/>
    </row>
    <row r="46" spans="1:27" ht="15.75" thickBot="1">
      <c r="B46" s="525"/>
      <c r="C46" s="362"/>
      <c r="D46" s="529"/>
      <c r="E46" s="530"/>
      <c r="F46" s="294"/>
      <c r="G46" s="42"/>
      <c r="H46" s="42"/>
      <c r="I46" s="292" t="s">
        <v>17</v>
      </c>
      <c r="J46" s="293" t="s">
        <v>177</v>
      </c>
      <c r="K46" s="293" t="s">
        <v>178</v>
      </c>
      <c r="L46" s="532" t="s">
        <v>136</v>
      </c>
      <c r="M46" s="532"/>
      <c r="N46" s="533"/>
      <c r="O46" s="294"/>
      <c r="P46" s="12"/>
    </row>
    <row r="47" spans="1:27" ht="15" customHeight="1" thickBot="1">
      <c r="B47" s="525"/>
      <c r="C47" s="349"/>
      <c r="D47" s="534"/>
      <c r="E47" s="535"/>
      <c r="F47" s="294"/>
      <c r="G47" s="42"/>
      <c r="H47" s="42"/>
      <c r="I47" s="287" t="s">
        <v>6</v>
      </c>
      <c r="J47" s="324">
        <v>7</v>
      </c>
      <c r="K47" s="324"/>
      <c r="L47" s="472" t="s">
        <v>37</v>
      </c>
      <c r="M47" s="473" t="s">
        <v>38</v>
      </c>
      <c r="N47" s="473" t="s">
        <v>84</v>
      </c>
      <c r="O47" s="294"/>
      <c r="P47" s="12"/>
    </row>
    <row r="48" spans="1:27" ht="15.75" customHeight="1" thickBot="1">
      <c r="B48" s="525"/>
      <c r="C48" s="349"/>
      <c r="D48" s="536"/>
      <c r="E48" s="530"/>
      <c r="F48" s="294"/>
      <c r="G48" s="42"/>
      <c r="H48" s="42"/>
      <c r="I48" s="345" t="s">
        <v>9</v>
      </c>
      <c r="J48" s="324"/>
      <c r="K48" s="324"/>
      <c r="L48" s="484">
        <f>AVERAGE('Oct 1st'!K52,'Oct 2nd'!K44,'Oct 5th'!K51,'Oct 6th'!K58,'Oct 7th'!K47,'Oct 8th '!K46,'Oct 9th-10th'!J57,K57)</f>
        <v>7</v>
      </c>
      <c r="M48" s="485">
        <f>AVERAGE('[9]Jan30th-31st'!$L$47,L48,'[10]Feb 26th '!$L$39,'[11]Mar 31st'!$L$47,'[12]Apr 30th'!$L$46,'[13]May 29th '!$L$40,'[14]June 30th'!$L$39,[15]July31st!$L$41,'[16]Aug 31st'!$L$37,'[18]Sept 30th'!$L$37)</f>
        <v>6.5735341470124071</v>
      </c>
      <c r="N48" s="415">
        <v>9.1999999999999993</v>
      </c>
      <c r="O48" s="294"/>
      <c r="P48" s="12"/>
    </row>
    <row r="49" spans="2:57" ht="15" customHeight="1">
      <c r="B49" s="525"/>
      <c r="C49" s="349"/>
      <c r="D49" s="534"/>
      <c r="E49" s="535"/>
      <c r="F49" s="294"/>
      <c r="G49" s="42"/>
      <c r="H49" s="42"/>
      <c r="I49" s="288" t="s">
        <v>40</v>
      </c>
      <c r="J49" s="324"/>
      <c r="K49" s="324">
        <v>8</v>
      </c>
      <c r="L49" s="294"/>
      <c r="M49" s="294"/>
      <c r="N49" s="294"/>
      <c r="O49" s="294"/>
      <c r="P49" s="12"/>
    </row>
    <row r="50" spans="2:57" ht="15" customHeight="1">
      <c r="B50" s="525"/>
      <c r="C50" s="349"/>
      <c r="D50" s="536"/>
      <c r="E50" s="530"/>
      <c r="F50" s="294"/>
      <c r="G50" s="42"/>
      <c r="H50" s="42"/>
      <c r="I50" s="289" t="s">
        <v>33</v>
      </c>
      <c r="J50" s="324"/>
      <c r="K50" s="324"/>
      <c r="L50" s="294"/>
      <c r="M50" s="294"/>
      <c r="N50" s="294"/>
      <c r="O50" s="294"/>
      <c r="P50" s="12"/>
    </row>
    <row r="51" spans="2:57" ht="15">
      <c r="B51" s="525"/>
      <c r="C51" s="349"/>
      <c r="D51" s="534"/>
      <c r="E51" s="535"/>
      <c r="F51" s="294"/>
      <c r="G51" s="42"/>
      <c r="H51" s="42"/>
      <c r="I51" s="290" t="s">
        <v>16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25"/>
      <c r="C52" s="349"/>
      <c r="D52" s="536"/>
      <c r="E52" s="530"/>
      <c r="F52" s="294"/>
      <c r="G52" s="42"/>
      <c r="H52" s="42"/>
      <c r="I52" s="291" t="s">
        <v>15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5"/>
      <c r="C53" s="349"/>
      <c r="D53" s="534"/>
      <c r="E53" s="535"/>
      <c r="F53" s="294"/>
      <c r="G53" s="42"/>
      <c r="H53" s="42"/>
      <c r="I53" s="291" t="s">
        <v>149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26"/>
      <c r="C54" s="350"/>
      <c r="D54" s="537"/>
      <c r="E54" s="538"/>
      <c r="F54" s="294" t="s">
        <v>165</v>
      </c>
      <c r="G54" s="42"/>
      <c r="H54" s="42"/>
      <c r="I54" s="291" t="s">
        <v>148</v>
      </c>
      <c r="J54" s="324"/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15"/>
      <c r="E55" s="516"/>
      <c r="F55" s="294"/>
      <c r="I55" s="295" t="s">
        <v>134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2"/>
      <c r="I56" s="295" t="s">
        <v>131</v>
      </c>
      <c r="J56" s="324"/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2"/>
      <c r="I57" s="346" t="s">
        <v>130</v>
      </c>
      <c r="J57" s="324">
        <f>SUM(J47:J56)</f>
        <v>7</v>
      </c>
      <c r="K57" s="324">
        <f>SUM(K47:K56)</f>
        <v>8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42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509" t="s">
        <v>17</v>
      </c>
      <c r="C60" s="509" t="s">
        <v>44</v>
      </c>
      <c r="D60" s="518" t="s">
        <v>45</v>
      </c>
      <c r="E60" s="520" t="s">
        <v>46</v>
      </c>
      <c r="F60" s="522" t="s">
        <v>47</v>
      </c>
      <c r="G60" s="507" t="s">
        <v>48</v>
      </c>
      <c r="H60" s="509" t="s">
        <v>49</v>
      </c>
      <c r="I60" s="509" t="s">
        <v>50</v>
      </c>
      <c r="J60" s="501" t="s">
        <v>28</v>
      </c>
      <c r="K60" s="511" t="s">
        <v>51</v>
      </c>
      <c r="L60" s="513" t="s">
        <v>52</v>
      </c>
      <c r="M60" s="501" t="s">
        <v>53</v>
      </c>
      <c r="N60" s="13"/>
      <c r="O60" s="13"/>
      <c r="P60" s="50"/>
    </row>
    <row r="61" spans="2:57" ht="28.5" customHeight="1" thickTop="1" thickBot="1">
      <c r="B61" s="510"/>
      <c r="C61" s="517"/>
      <c r="D61" s="519"/>
      <c r="E61" s="521"/>
      <c r="F61" s="523"/>
      <c r="G61" s="508"/>
      <c r="H61" s="510"/>
      <c r="I61" s="510"/>
      <c r="J61" s="502"/>
      <c r="K61" s="512"/>
      <c r="L61" s="514"/>
      <c r="M61" s="502"/>
      <c r="N61" s="13"/>
      <c r="O61" s="13"/>
      <c r="P61" s="50"/>
      <c r="Q61" s="355"/>
      <c r="AB61" s="474">
        <v>43474</v>
      </c>
      <c r="AC61" s="474">
        <v>43475</v>
      </c>
      <c r="AD61" s="474">
        <v>43476</v>
      </c>
      <c r="AE61" s="474">
        <v>43477</v>
      </c>
      <c r="AF61" s="474">
        <v>43478</v>
      </c>
      <c r="AG61" s="474">
        <v>43479</v>
      </c>
      <c r="AH61" s="474">
        <v>43480</v>
      </c>
      <c r="AI61" s="474">
        <v>43481</v>
      </c>
      <c r="AJ61" s="474">
        <v>43482</v>
      </c>
      <c r="AK61" s="474">
        <v>43483</v>
      </c>
      <c r="AL61" s="474">
        <v>43484</v>
      </c>
      <c r="AM61" s="474">
        <v>43485</v>
      </c>
      <c r="AN61" s="474">
        <v>43486</v>
      </c>
      <c r="AO61" s="474">
        <v>43487</v>
      </c>
      <c r="AP61" s="474">
        <v>43488</v>
      </c>
      <c r="AQ61" s="474">
        <v>43489</v>
      </c>
      <c r="AR61" s="474">
        <v>43490</v>
      </c>
      <c r="AS61" s="474">
        <v>43491</v>
      </c>
      <c r="AT61" s="474">
        <v>43492</v>
      </c>
      <c r="AU61" s="474">
        <v>43493</v>
      </c>
      <c r="AV61" s="474">
        <v>43494</v>
      </c>
      <c r="AW61" s="474">
        <v>43495</v>
      </c>
      <c r="AX61" s="474">
        <v>43496</v>
      </c>
    </row>
    <row r="62" spans="2:57" s="54" customFormat="1" ht="36.75" customHeight="1" thickBot="1">
      <c r="B62" s="489" t="str">
        <f>I34</f>
        <v>STAG</v>
      </c>
      <c r="C62" s="478">
        <v>46304</v>
      </c>
      <c r="D62" s="444">
        <f>[19]October_2026!$L$13</f>
        <v>101.1</v>
      </c>
      <c r="E62" s="442"/>
      <c r="F62" s="443"/>
      <c r="G62" s="443">
        <f>[19]October_2026!$L$17</f>
        <v>95.2</v>
      </c>
      <c r="H62" s="457"/>
      <c r="I62" s="457"/>
      <c r="J62" s="447" t="s">
        <v>150</v>
      </c>
      <c r="K62" s="448">
        <f>[20]October_2026!$L$25</f>
        <v>0.33403508771929824</v>
      </c>
      <c r="L62" s="456">
        <f>(((D62+E62)-G62)/(D62+E62))*100</f>
        <v>5.8358061325420296</v>
      </c>
      <c r="M62" s="454" t="s">
        <v>172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[21]January_2019!L5</f>
        <v>0</v>
      </c>
      <c r="AC62" s="57">
        <f>[21]January_2019!M5</f>
        <v>0</v>
      </c>
      <c r="AD62" s="57">
        <f>[21]January_2019!N5</f>
        <v>0</v>
      </c>
      <c r="AE62" s="57">
        <f>[21]January_2019!O5</f>
        <v>0</v>
      </c>
      <c r="AF62" s="57">
        <f>[21]January_2019!P5</f>
        <v>0</v>
      </c>
      <c r="AG62" s="57">
        <f>[21]January_2019!Q5</f>
        <v>0</v>
      </c>
      <c r="AH62" s="57">
        <f>[21]January_2019!R5</f>
        <v>0</v>
      </c>
      <c r="AI62" s="57">
        <f>[21]January_2019!S5</f>
        <v>0</v>
      </c>
      <c r="AJ62" s="57">
        <f>[21]January_2019!T5</f>
        <v>0</v>
      </c>
      <c r="AK62" s="57">
        <f>[21]January_2019!U5</f>
        <v>0</v>
      </c>
      <c r="AL62" s="57">
        <f>[21]January_2019!V5</f>
        <v>0</v>
      </c>
      <c r="AM62" s="57">
        <f>[21]January_2019!W5</f>
        <v>0</v>
      </c>
      <c r="AN62" s="57">
        <f>[21]January_2019!X5</f>
        <v>0</v>
      </c>
      <c r="AO62" s="57">
        <f>[21]January_2019!Y5</f>
        <v>0</v>
      </c>
      <c r="AP62" s="57">
        <f>[21]January_2019!Z5</f>
        <v>0</v>
      </c>
      <c r="AQ62" s="57">
        <f>[21]January_2019!AA5</f>
        <v>0</v>
      </c>
      <c r="AR62" s="57">
        <f>[21]January_2019!AB5</f>
        <v>0</v>
      </c>
      <c r="AS62" s="57">
        <f>[21]January_2019!AC5</f>
        <v>0</v>
      </c>
      <c r="AT62" s="57">
        <f>[21]January_2019!AD5</f>
        <v>0</v>
      </c>
      <c r="AU62" s="57">
        <f>[21]January_2019!AE5</f>
        <v>0</v>
      </c>
      <c r="AV62" s="57">
        <f>[21]January_2019!AF5</f>
        <v>0</v>
      </c>
      <c r="AW62" s="57">
        <f>[21]January_2019!AG5</f>
        <v>0</v>
      </c>
      <c r="AX62" s="277">
        <f>[21]January_2019!AH5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hidden="1" customHeight="1" thickBot="1">
      <c r="B63" s="479"/>
      <c r="C63" s="478"/>
      <c r="D63" s="441"/>
      <c r="E63" s="442"/>
      <c r="F63" s="443"/>
      <c r="G63" s="444"/>
      <c r="H63" s="457"/>
      <c r="I63" s="457"/>
      <c r="J63" s="475"/>
      <c r="K63" s="448"/>
      <c r="L63" s="456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[21]January_2019!L6</f>
        <v>0</v>
      </c>
      <c r="AC63" s="57">
        <f>[21]January_2019!M6</f>
        <v>0</v>
      </c>
      <c r="AD63" s="57">
        <f>[21]January_2019!N6</f>
        <v>0</v>
      </c>
      <c r="AE63" s="57">
        <f>[21]January_2019!O6</f>
        <v>0</v>
      </c>
      <c r="AF63" s="57">
        <f>[21]January_2019!P6</f>
        <v>0</v>
      </c>
      <c r="AG63" s="57">
        <f>[21]January_2019!Q6</f>
        <v>0</v>
      </c>
      <c r="AH63" s="57">
        <f>[21]January_2019!R6</f>
        <v>0</v>
      </c>
      <c r="AI63" s="57">
        <f>[21]January_2019!S6</f>
        <v>0</v>
      </c>
      <c r="AJ63" s="57">
        <f>[21]January_2019!T6</f>
        <v>0</v>
      </c>
      <c r="AK63" s="57">
        <f>[21]January_2019!U6</f>
        <v>0</v>
      </c>
      <c r="AL63" s="57">
        <f>[21]January_2019!V6</f>
        <v>0</v>
      </c>
      <c r="AM63" s="57">
        <f>[21]January_2019!W6</f>
        <v>0</v>
      </c>
      <c r="AN63" s="57">
        <f>[21]January_2019!X6</f>
        <v>0</v>
      </c>
      <c r="AO63" s="57">
        <f>[21]January_2019!Y6</f>
        <v>0</v>
      </c>
      <c r="AP63" s="57">
        <f>[21]January_2019!Z6</f>
        <v>0</v>
      </c>
      <c r="AQ63" s="57">
        <f>[21]January_2019!AA6</f>
        <v>0</v>
      </c>
      <c r="AR63" s="57">
        <f>[21]January_2019!AB6</f>
        <v>0</v>
      </c>
      <c r="AS63" s="57">
        <f>[21]January_2019!AC6</f>
        <v>0</v>
      </c>
      <c r="AT63" s="57">
        <f>[21]January_2019!AD6</f>
        <v>0</v>
      </c>
      <c r="AU63" s="57">
        <f>[21]January_2019!AE6</f>
        <v>0</v>
      </c>
      <c r="AV63" s="57">
        <f>[21]January_2019!AF6</f>
        <v>0</v>
      </c>
      <c r="AW63" s="57">
        <f>[21]January_2019!AG6</f>
        <v>0</v>
      </c>
      <c r="AX63" s="277">
        <f>[21]January_2019!AH6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489">
        <f>J48</f>
        <v>0</v>
      </c>
      <c r="C64" s="478">
        <v>46303</v>
      </c>
      <c r="D64" s="441">
        <f>[19]October_2026!$K$13</f>
        <v>292</v>
      </c>
      <c r="E64" s="442"/>
      <c r="F64" s="443"/>
      <c r="G64" s="443">
        <f>[19]October_2026!$K$17</f>
        <v>278</v>
      </c>
      <c r="H64" s="445"/>
      <c r="I64" s="445"/>
      <c r="J64" s="447" t="s">
        <v>150</v>
      </c>
      <c r="K64" s="448">
        <f>[20]October_2026!$K$25</f>
        <v>0.9754385964912281</v>
      </c>
      <c r="L64" s="456">
        <f>(((D64+E64)-G64)/(D64+E64))*100</f>
        <v>4.7945205479452051</v>
      </c>
      <c r="M64" s="454" t="s">
        <v>176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[21]January_2019!L7</f>
        <v>285.8</v>
      </c>
      <c r="AC64" s="57">
        <f>[21]January_2019!M7</f>
        <v>508.1</v>
      </c>
      <c r="AD64" s="57">
        <f>[21]January_2019!N7</f>
        <v>0</v>
      </c>
      <c r="AE64" s="57">
        <f>[21]January_2019!O7</f>
        <v>0</v>
      </c>
      <c r="AF64" s="57">
        <f>[21]January_2019!P7</f>
        <v>109.56666666666666</v>
      </c>
      <c r="AG64" s="57">
        <f>[21]January_2019!Q7</f>
        <v>297.64999999999998</v>
      </c>
      <c r="AH64" s="57">
        <f>[21]January_2019!R7</f>
        <v>122.3</v>
      </c>
      <c r="AI64" s="57">
        <f>[21]January_2019!S7</f>
        <v>0</v>
      </c>
      <c r="AJ64" s="57">
        <f>[21]January_2019!T7</f>
        <v>294.7</v>
      </c>
      <c r="AK64" s="57">
        <f>[21]January_2019!U7</f>
        <v>280.5</v>
      </c>
      <c r="AL64" s="57">
        <f>[21]January_2019!V7</f>
        <v>0</v>
      </c>
      <c r="AM64" s="57">
        <f>[21]January_2019!W7</f>
        <v>0</v>
      </c>
      <c r="AN64" s="57">
        <f>[21]January_2019!X7</f>
        <v>188.25</v>
      </c>
      <c r="AO64" s="57">
        <f>[21]January_2019!Y7</f>
        <v>295.7</v>
      </c>
      <c r="AP64" s="57">
        <f>[21]January_2019!Z7</f>
        <v>257.8</v>
      </c>
      <c r="AQ64" s="57">
        <f>[21]January_2019!AA7</f>
        <v>291.2</v>
      </c>
      <c r="AR64" s="57">
        <f>[21]January_2019!AB7</f>
        <v>187</v>
      </c>
      <c r="AS64" s="57">
        <f>[21]January_2019!AC7</f>
        <v>0</v>
      </c>
      <c r="AT64" s="57">
        <f>[21]January_2019!AD7</f>
        <v>0</v>
      </c>
      <c r="AU64" s="57">
        <f>[21]January_2019!AE7</f>
        <v>485.1</v>
      </c>
      <c r="AV64" s="57">
        <f>[21]January_2019!AF7</f>
        <v>171.55</v>
      </c>
      <c r="AW64" s="57">
        <f>[21]January_2019!AG7</f>
        <v>423.8</v>
      </c>
      <c r="AX64" s="277">
        <f>[21]January_2019!AH7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8.600000000000001" hidden="1" customHeight="1" thickBot="1">
      <c r="B65" s="477"/>
      <c r="C65" s="429"/>
      <c r="D65" s="430"/>
      <c r="E65" s="431"/>
      <c r="F65" s="432"/>
      <c r="G65" s="433"/>
      <c r="H65" s="457"/>
      <c r="I65" s="457"/>
      <c r="J65" s="450"/>
      <c r="K65" s="435"/>
      <c r="L65" s="451"/>
      <c r="M65" s="42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65" hidden="1" customHeight="1" thickBot="1">
      <c r="B66" s="486"/>
      <c r="C66" s="478"/>
      <c r="D66" s="441"/>
      <c r="E66" s="442"/>
      <c r="F66" s="443"/>
      <c r="G66" s="444"/>
      <c r="H66" s="457"/>
      <c r="I66" s="457"/>
      <c r="J66" s="447"/>
      <c r="K66" s="458"/>
      <c r="L66" s="456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2"/>
      <c r="C67" s="429"/>
      <c r="D67" s="430"/>
      <c r="E67" s="431"/>
      <c r="F67" s="432"/>
      <c r="G67" s="433"/>
      <c r="H67" s="434"/>
      <c r="I67" s="449"/>
      <c r="J67" s="450"/>
      <c r="K67" s="435"/>
      <c r="L67" s="451"/>
      <c r="M67" s="42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0"/>
      <c r="C68" s="478"/>
      <c r="D68" s="441"/>
      <c r="E68" s="442"/>
      <c r="F68" s="443"/>
      <c r="G68" s="444"/>
      <c r="H68" s="445"/>
      <c r="I68" s="446"/>
      <c r="J68" s="447"/>
      <c r="K68" s="448"/>
      <c r="L68" s="456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6"/>
      <c r="C69" s="422"/>
      <c r="D69" s="423"/>
      <c r="E69" s="424"/>
      <c r="F69" s="425"/>
      <c r="G69" s="426"/>
      <c r="H69" s="427"/>
      <c r="I69" s="437"/>
      <c r="J69" s="438"/>
      <c r="K69" s="428"/>
      <c r="L69" s="439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4"/>
      <c r="AC69" s="414"/>
      <c r="AD69" s="414"/>
      <c r="AE69" s="414"/>
      <c r="AF69" s="414"/>
      <c r="AG69" s="414"/>
      <c r="AH69" s="414"/>
      <c r="AI69" s="414"/>
      <c r="AJ69" s="414"/>
      <c r="AK69" s="414"/>
      <c r="AL69" s="414"/>
      <c r="AM69" s="414"/>
      <c r="AN69" s="414"/>
      <c r="AO69" s="414"/>
      <c r="AP69" s="414"/>
      <c r="AQ69" s="414"/>
      <c r="AR69" s="414"/>
      <c r="AS69" s="414"/>
      <c r="AT69" s="414"/>
      <c r="AU69" s="414"/>
      <c r="AV69" s="414"/>
      <c r="AW69" s="414"/>
    </row>
    <row r="70" spans="2:57" s="54" customFormat="1" ht="37.15" hidden="1" customHeight="1" thickBot="1">
      <c r="B70" s="455"/>
      <c r="C70" s="440"/>
      <c r="D70" s="441"/>
      <c r="E70" s="442"/>
      <c r="F70" s="443"/>
      <c r="G70" s="444"/>
      <c r="H70" s="445"/>
      <c r="I70" s="446"/>
      <c r="J70" s="447"/>
      <c r="K70" s="448"/>
      <c r="L70" s="456"/>
      <c r="M70" s="453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hidden="1" customHeight="1">
      <c r="B71" s="465"/>
      <c r="C71" s="429"/>
      <c r="D71" s="459"/>
      <c r="E71" s="460"/>
      <c r="F71" s="461"/>
      <c r="G71" s="459"/>
      <c r="H71" s="462"/>
      <c r="I71" s="462"/>
      <c r="J71" s="462"/>
      <c r="K71" s="463"/>
      <c r="L71" s="464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03" t="s">
        <v>55</v>
      </c>
      <c r="C73" s="504"/>
      <c r="D73" s="504"/>
      <c r="E73" s="504"/>
      <c r="F73" s="505"/>
      <c r="G73" s="503" t="s">
        <v>56</v>
      </c>
      <c r="H73" s="504"/>
      <c r="I73" s="504"/>
      <c r="J73" s="505"/>
      <c r="K73" s="503" t="s">
        <v>51</v>
      </c>
      <c r="L73" s="504"/>
      <c r="M73" s="504"/>
      <c r="N73" s="506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/>
      <c r="D75" s="76">
        <v>4.8715736377513839</v>
      </c>
      <c r="E75" s="76">
        <v>6.3670919619142783</v>
      </c>
      <c r="F75" s="66">
        <v>4.8</v>
      </c>
      <c r="G75" s="65"/>
      <c r="H75" s="476">
        <v>5.5174131398167194</v>
      </c>
      <c r="I75" s="476">
        <v>6.4839783214202455</v>
      </c>
      <c r="J75" s="66">
        <v>4.8</v>
      </c>
      <c r="K75" s="67"/>
      <c r="L75" s="194">
        <v>0.78289473684210531</v>
      </c>
      <c r="M75" s="194">
        <v>0.55230551648688719</v>
      </c>
      <c r="N75" s="68">
        <v>1</v>
      </c>
      <c r="O75" s="56"/>
      <c r="P75" s="69"/>
    </row>
    <row r="76" spans="2:57" ht="15">
      <c r="B76" s="33" t="s">
        <v>9</v>
      </c>
      <c r="C76" s="65">
        <f>L62</f>
        <v>5.8358061325420296</v>
      </c>
      <c r="D76" s="76">
        <v>5.062325108114992</v>
      </c>
      <c r="E76" s="76">
        <v>6.0120934601385283</v>
      </c>
      <c r="F76" s="66">
        <v>4.8</v>
      </c>
      <c r="G76" s="65">
        <f>[19]October_2026!$L$21</f>
        <v>6.6677789297645509</v>
      </c>
      <c r="H76" s="76">
        <v>5.6760230336831157</v>
      </c>
      <c r="I76" s="76">
        <v>5.9217471497494181</v>
      </c>
      <c r="J76" s="66">
        <v>4.8</v>
      </c>
      <c r="K76" s="67">
        <f>K62</f>
        <v>0.33403508771929824</v>
      </c>
      <c r="L76" s="194">
        <v>0.65473684210526317</v>
      </c>
      <c r="M76" s="194">
        <v>0.68123957181115813</v>
      </c>
      <c r="N76" s="68">
        <v>1</v>
      </c>
      <c r="P76" s="69"/>
    </row>
    <row r="77" spans="2:57" ht="15">
      <c r="B77" s="34" t="s">
        <v>40</v>
      </c>
      <c r="C77" s="65"/>
      <c r="D77" s="76"/>
      <c r="E77" s="76">
        <v>10.890214570112384</v>
      </c>
      <c r="F77" s="66">
        <v>5.5</v>
      </c>
      <c r="G77" s="65"/>
      <c r="H77" s="76"/>
      <c r="I77" s="76">
        <v>11.797659278069149</v>
      </c>
      <c r="J77" s="66">
        <v>5.5</v>
      </c>
      <c r="K77" s="67"/>
      <c r="L77" s="194"/>
      <c r="M77" s="194">
        <v>0.35370190356844494</v>
      </c>
      <c r="N77" s="68">
        <v>1</v>
      </c>
      <c r="P77" s="69"/>
    </row>
    <row r="78" spans="2:57" ht="15">
      <c r="B78" s="22" t="s">
        <v>33</v>
      </c>
      <c r="C78" s="65"/>
      <c r="D78" s="76">
        <v>2.6160971335586405</v>
      </c>
      <c r="E78" s="76">
        <v>4.6053599467161712</v>
      </c>
      <c r="F78" s="66">
        <v>3.3</v>
      </c>
      <c r="G78" s="65"/>
      <c r="H78" s="76">
        <v>4.0562064167659644</v>
      </c>
      <c r="I78" s="76">
        <v>4.7835858167498584</v>
      </c>
      <c r="J78" s="66">
        <v>3.3</v>
      </c>
      <c r="K78" s="67"/>
      <c r="L78" s="194">
        <v>1.3649122807017544</v>
      </c>
      <c r="M78" s="194">
        <v>0.83244019138755987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>
        <v>6.3233965672990236</v>
      </c>
      <c r="F80" s="70">
        <v>5.5</v>
      </c>
      <c r="G80" s="65"/>
      <c r="H80" s="76"/>
      <c r="I80" s="76">
        <v>7.9667553186446929</v>
      </c>
      <c r="J80" s="66">
        <v>5.5</v>
      </c>
      <c r="K80" s="67"/>
      <c r="L80" s="194"/>
      <c r="M80" s="194">
        <v>0.5883625730994152</v>
      </c>
      <c r="N80" s="68">
        <v>1</v>
      </c>
      <c r="P80" s="69"/>
    </row>
    <row r="81" spans="2:16" ht="15">
      <c r="B81" s="37" t="s">
        <v>16</v>
      </c>
      <c r="C81" s="481"/>
      <c r="D81" s="76"/>
      <c r="E81" s="76">
        <v>3.9973372218347856</v>
      </c>
      <c r="F81" s="66">
        <v>3.3</v>
      </c>
      <c r="G81" s="282"/>
      <c r="H81" s="76"/>
      <c r="I81" s="76">
        <v>5.1096183510504902</v>
      </c>
      <c r="J81" s="66">
        <v>3.3</v>
      </c>
      <c r="K81" s="67"/>
      <c r="L81" s="194"/>
      <c r="M81" s="194">
        <v>0.89057130004498408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3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4.5123409807545745</v>
      </c>
      <c r="E84" s="76">
        <v>6.2979208197735534</v>
      </c>
      <c r="F84" s="341">
        <v>5.5</v>
      </c>
      <c r="H84" s="76">
        <v>5.2060653792993694</v>
      </c>
      <c r="I84" s="76">
        <v>6.6038486315151728</v>
      </c>
      <c r="J84" s="341">
        <v>5.5</v>
      </c>
      <c r="L84" s="194">
        <v>0.81908382066276797</v>
      </c>
      <c r="M84" s="194">
        <v>0.6057128583457968</v>
      </c>
      <c r="N84" s="386">
        <v>1</v>
      </c>
    </row>
  </sheetData>
  <mergeCells count="51"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  <mergeCell ref="D55:E55"/>
    <mergeCell ref="B60:B61"/>
    <mergeCell ref="C60:C61"/>
    <mergeCell ref="D60:D61"/>
    <mergeCell ref="E60:E61"/>
    <mergeCell ref="B45:B54"/>
    <mergeCell ref="D45:E46"/>
    <mergeCell ref="J45:K45"/>
    <mergeCell ref="L46:N46"/>
    <mergeCell ref="D47:E48"/>
    <mergeCell ref="D49:E50"/>
    <mergeCell ref="D51:E52"/>
    <mergeCell ref="D53:E54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5:B56">
    <cfRule type="cellIs" dxfId="1730" priority="115" operator="notBetween">
      <formula>#REF!</formula>
      <formula>#REF!</formula>
    </cfRule>
  </conditionalFormatting>
  <conditionalFormatting sqref="C59">
    <cfRule type="cellIs" dxfId="1729" priority="198" stopIfTrue="1" operator="greaterThan">
      <formula>100</formula>
    </cfRule>
    <cfRule type="cellIs" dxfId="1728" priority="197" stopIfTrue="1" operator="lessThan">
      <formula>96</formula>
    </cfRule>
  </conditionalFormatting>
  <conditionalFormatting sqref="C75:C76">
    <cfRule type="cellIs" dxfId="1727" priority="79" stopIfTrue="1" operator="lessThanOrEqual">
      <formula>0</formula>
    </cfRule>
    <cfRule type="cellIs" dxfId="1726" priority="78" stopIfTrue="1" operator="greaterThan">
      <formula>$F75</formula>
    </cfRule>
    <cfRule type="cellIs" dxfId="1725" priority="80" stopIfTrue="1" operator="greaterThan">
      <formula>$F75</formula>
    </cfRule>
    <cfRule type="cellIs" dxfId="1724" priority="81" stopIfTrue="1" operator="lessThanOrEqual">
      <formula>0</formula>
    </cfRule>
  </conditionalFormatting>
  <conditionalFormatting sqref="C77:C79 C81:C83">
    <cfRule type="cellIs" dxfId="1723" priority="87" stopIfTrue="1" operator="greaterThan">
      <formula>$F80</formula>
    </cfRule>
  </conditionalFormatting>
  <conditionalFormatting sqref="C77:C79">
    <cfRule type="cellIs" dxfId="1722" priority="88" stopIfTrue="1" operator="lessThanOrEqual">
      <formula>0</formula>
    </cfRule>
  </conditionalFormatting>
  <conditionalFormatting sqref="C80">
    <cfRule type="cellIs" dxfId="1721" priority="202" stopIfTrue="1" operator="lessThanOrEqual">
      <formula>0</formula>
    </cfRule>
    <cfRule type="cellIs" dxfId="1720" priority="201" stopIfTrue="1" operator="greaterThan">
      <formula>$F75</formula>
    </cfRule>
    <cfRule type="cellIs" dxfId="1719" priority="200" stopIfTrue="1" operator="lessThanOrEqual">
      <formula>0</formula>
    </cfRule>
    <cfRule type="cellIs" dxfId="1718" priority="199" stopIfTrue="1" operator="greaterThan">
      <formula>$F75</formula>
    </cfRule>
  </conditionalFormatting>
  <conditionalFormatting sqref="C81:C83">
    <cfRule type="cellIs" dxfId="1717" priority="89" stopIfTrue="1" operator="lessThanOrEqual">
      <formula>0</formula>
    </cfRule>
  </conditionalFormatting>
  <conditionalFormatting sqref="C86:C90">
    <cfRule type="cellIs" dxfId="1716" priority="189" stopIfTrue="1" operator="lessThanOrEqual">
      <formula>0</formula>
    </cfRule>
  </conditionalFormatting>
  <conditionalFormatting sqref="C87:C90">
    <cfRule type="cellIs" dxfId="1715" priority="188" stopIfTrue="1" operator="greaterThan">
      <formula>$F$86</formula>
    </cfRule>
  </conditionalFormatting>
  <conditionalFormatting sqref="C92">
    <cfRule type="cellIs" dxfId="1714" priority="190" stopIfTrue="1" operator="greaterThan">
      <formula>$F$86</formula>
    </cfRule>
    <cfRule type="cellIs" dxfId="1713" priority="191" stopIfTrue="1" operator="lessThanOrEqual">
      <formula>0</formula>
    </cfRule>
  </conditionalFormatting>
  <conditionalFormatting sqref="C80:D80">
    <cfRule type="cellIs" dxfId="1712" priority="77" stopIfTrue="1" operator="lessThanOrEqual">
      <formula>0</formula>
    </cfRule>
    <cfRule type="cellIs" dxfId="1711" priority="76" stopIfTrue="1" operator="greaterThan">
      <formula>$J80</formula>
    </cfRule>
  </conditionalFormatting>
  <conditionalFormatting sqref="C86:D86 D88:D94">
    <cfRule type="cellIs" dxfId="1710" priority="183" stopIfTrue="1" operator="greaterThan">
      <formula>4.5</formula>
    </cfRule>
  </conditionalFormatting>
  <conditionalFormatting sqref="D55:D56">
    <cfRule type="cellIs" dxfId="1709" priority="116" operator="notBetween">
      <formula>#REF!</formula>
      <formula>#REF!</formula>
    </cfRule>
  </conditionalFormatting>
  <conditionalFormatting sqref="D75:D79 D81:D82">
    <cfRule type="cellIs" dxfId="1708" priority="86" stopIfTrue="1" operator="lessThanOrEqual">
      <formula>0</formula>
    </cfRule>
  </conditionalFormatting>
  <conditionalFormatting sqref="D75:D79 D81:D84">
    <cfRule type="cellIs" dxfId="1707" priority="83" stopIfTrue="1" operator="greaterThan">
      <formula>$F75</formula>
    </cfRule>
    <cfRule type="cellIs" dxfId="1706" priority="82" stopIfTrue="1" operator="lessThanOrEqual">
      <formula>0</formula>
    </cfRule>
  </conditionalFormatting>
  <conditionalFormatting sqref="D83:D84">
    <cfRule type="cellIs" dxfId="1705" priority="84" stopIfTrue="1" operator="lessThanOrEqual">
      <formula>0</formula>
    </cfRule>
  </conditionalFormatting>
  <conditionalFormatting sqref="D84">
    <cfRule type="cellIs" dxfId="1704" priority="85" stopIfTrue="1" operator="lessThanOrEqual">
      <formula>0</formula>
    </cfRule>
  </conditionalFormatting>
  <conditionalFormatting sqref="D86 D88:D94">
    <cfRule type="cellIs" dxfId="1703" priority="184" stopIfTrue="1" operator="lessThanOrEqual">
      <formula>0</formula>
    </cfRule>
  </conditionalFormatting>
  <conditionalFormatting sqref="D87">
    <cfRule type="cellIs" dxfId="1702" priority="176" stopIfTrue="1" operator="lessThanOrEqual">
      <formula>0</formula>
    </cfRule>
    <cfRule type="cellIs" dxfId="1701" priority="175" stopIfTrue="1" operator="greaterThan">
      <formula>$F$86</formula>
    </cfRule>
  </conditionalFormatting>
  <conditionalFormatting sqref="E10:E30">
    <cfRule type="cellIs" dxfId="1700" priority="7" operator="lessThan">
      <formula>48</formula>
    </cfRule>
  </conditionalFormatting>
  <conditionalFormatting sqref="E58 E59:F59">
    <cfRule type="cellIs" dxfId="1699" priority="180" stopIfTrue="1" operator="greaterThan">
      <formula>100</formula>
    </cfRule>
  </conditionalFormatting>
  <conditionalFormatting sqref="E59">
    <cfRule type="cellIs" dxfId="1698" priority="178" stopIfTrue="1" operator="greaterThan">
      <formula>100</formula>
    </cfRule>
    <cfRule type="cellIs" dxfId="1697" priority="177" stopIfTrue="1" operator="lessThan">
      <formula>96.8</formula>
    </cfRule>
  </conditionalFormatting>
  <conditionalFormatting sqref="E75:E83">
    <cfRule type="cellIs" dxfId="1696" priority="49" stopIfTrue="1" operator="lessThanOrEqual">
      <formula>0</formula>
    </cfRule>
  </conditionalFormatting>
  <conditionalFormatting sqref="E75:E84">
    <cfRule type="cellIs" dxfId="1695" priority="50" stopIfTrue="1" operator="greaterThan">
      <formula>$F75</formula>
    </cfRule>
    <cfRule type="cellIs" dxfId="1694" priority="51" stopIfTrue="1" operator="lessThanOrEqual">
      <formula>0</formula>
    </cfRule>
  </conditionalFormatting>
  <conditionalFormatting sqref="E84">
    <cfRule type="cellIs" dxfId="1693" priority="52" stopIfTrue="1" operator="lessThanOrEqual">
      <formula>0</formula>
    </cfRule>
  </conditionalFormatting>
  <conditionalFormatting sqref="E86:E94">
    <cfRule type="cellIs" dxfId="1692" priority="170" stopIfTrue="1" operator="lessThanOrEqual">
      <formula>0</formula>
    </cfRule>
    <cfRule type="cellIs" dxfId="1691" priority="169" stopIfTrue="1" operator="greaterThan">
      <formula>4.5</formula>
    </cfRule>
  </conditionalFormatting>
  <conditionalFormatting sqref="E59:F59 E58">
    <cfRule type="cellIs" dxfId="1690" priority="179" stopIfTrue="1" operator="lessThan">
      <formula>96.5</formula>
    </cfRule>
  </conditionalFormatting>
  <conditionalFormatting sqref="F10:F30">
    <cfRule type="cellIs" dxfId="1689" priority="8" operator="greaterThan">
      <formula>60</formula>
    </cfRule>
  </conditionalFormatting>
  <conditionalFormatting sqref="F59">
    <cfRule type="cellIs" dxfId="1688" priority="195" stopIfTrue="1" operator="lessThan">
      <formula>96.8</formula>
    </cfRule>
    <cfRule type="cellIs" dxfId="1687" priority="196" stopIfTrue="1" operator="greaterThan">
      <formula>100</formula>
    </cfRule>
  </conditionalFormatting>
  <conditionalFormatting sqref="G20:G30">
    <cfRule type="expression" dxfId="1686" priority="10">
      <formula>IF(+(IF(G20&lt;S20,0,IF(G20&gt;T20,0,1)))=0,1)</formula>
    </cfRule>
  </conditionalFormatting>
  <conditionalFormatting sqref="G75:G78 F84">
    <cfRule type="cellIs" dxfId="1685" priority="58" stopIfTrue="1" operator="greaterThan">
      <formula>$F75</formula>
    </cfRule>
    <cfRule type="cellIs" dxfId="1684" priority="59" stopIfTrue="1" operator="lessThanOrEqual">
      <formula>0</formula>
    </cfRule>
  </conditionalFormatting>
  <conditionalFormatting sqref="G77:G78">
    <cfRule type="cellIs" dxfId="1683" priority="44" stopIfTrue="1" operator="greaterThan">
      <formula>$F77</formula>
    </cfRule>
    <cfRule type="cellIs" dxfId="1682" priority="45" stopIfTrue="1" operator="lessThanOrEqual">
      <formula>0</formula>
    </cfRule>
  </conditionalFormatting>
  <conditionalFormatting sqref="G79:G83">
    <cfRule type="cellIs" dxfId="1681" priority="60" stopIfTrue="1" operator="greaterThan">
      <formula>$J79</formula>
    </cfRule>
    <cfRule type="cellIs" dxfId="1680" priority="61" stopIfTrue="1" operator="lessThanOrEqual">
      <formula>0</formula>
    </cfRule>
  </conditionalFormatting>
  <conditionalFormatting sqref="G80">
    <cfRule type="cellIs" dxfId="1679" priority="203" stopIfTrue="1" operator="greaterThan">
      <formula>$F75</formula>
    </cfRule>
    <cfRule type="cellIs" dxfId="1678" priority="204" stopIfTrue="1" operator="lessThanOrEqual">
      <formula>0</formula>
    </cfRule>
  </conditionalFormatting>
  <conditionalFormatting sqref="G88:G93 C91 C93">
    <cfRule type="cellIs" dxfId="1677" priority="193" stopIfTrue="1" operator="lessThanOrEqual">
      <formula>0</formula>
    </cfRule>
    <cfRule type="cellIs" dxfId="1676" priority="192" stopIfTrue="1" operator="greaterThan">
      <formula>4.5</formula>
    </cfRule>
  </conditionalFormatting>
  <conditionalFormatting sqref="G10:H19 M10:N19">
    <cfRule type="expression" dxfId="1675" priority="13">
      <formula>IF(+(IF(G10&lt;#REF!,0,IF(G10&gt;#REF!,0,1)))=0,1)</formula>
    </cfRule>
  </conditionalFormatting>
  <conditionalFormatting sqref="G87:H87">
    <cfRule type="cellIs" dxfId="1674" priority="174" stopIfTrue="1" operator="lessThanOrEqual">
      <formula>0</formula>
    </cfRule>
    <cfRule type="cellIs" dxfId="1673" priority="173" stopIfTrue="1" operator="greaterThan">
      <formula>$F$86</formula>
    </cfRule>
  </conditionalFormatting>
  <conditionalFormatting sqref="H20:H30">
    <cfRule type="expression" dxfId="1672" priority="11">
      <formula>IF(+(IF(H20&lt;#REF!,0,IF(H20&gt;#REF!,0,1)))=0,1)</formula>
    </cfRule>
  </conditionalFormatting>
  <conditionalFormatting sqref="H44:H45 H58">
    <cfRule type="cellIs" dxfId="1671" priority="171" stopIfTrue="1" operator="greaterThan">
      <formula>0</formula>
    </cfRule>
  </conditionalFormatting>
  <conditionalFormatting sqref="H62">
    <cfRule type="cellIs" dxfId="1670" priority="73" stopIfTrue="1" operator="lessThanOrEqual">
      <formula>0</formula>
    </cfRule>
    <cfRule type="cellIs" dxfId="1669" priority="72" stopIfTrue="1" operator="greaterThan">
      <formula>$F$78</formula>
    </cfRule>
    <cfRule type="cellIs" dxfId="1668" priority="63" stopIfTrue="1" operator="lessThanOrEqual">
      <formula>0</formula>
    </cfRule>
    <cfRule type="cellIs" dxfId="1667" priority="74" stopIfTrue="1" operator="greaterThan">
      <formula>$F$76</formula>
    </cfRule>
    <cfRule type="cellIs" dxfId="1666" priority="64" stopIfTrue="1" operator="greaterThan">
      <formula>$F$75</formula>
    </cfRule>
  </conditionalFormatting>
  <conditionalFormatting sqref="H62:H63">
    <cfRule type="cellIs" dxfId="1665" priority="75" stopIfTrue="1" operator="lessThanOrEqual">
      <formula>0</formula>
    </cfRule>
  </conditionalFormatting>
  <conditionalFormatting sqref="H63 H65:H66">
    <cfRule type="cellIs" dxfId="1664" priority="101" stopIfTrue="1" operator="lessThanOrEqual">
      <formula>0</formula>
    </cfRule>
  </conditionalFormatting>
  <conditionalFormatting sqref="H63">
    <cfRule type="cellIs" dxfId="1663" priority="90" stopIfTrue="1" operator="greaterThan">
      <formula>$F$75</formula>
    </cfRule>
    <cfRule type="cellIs" dxfId="1662" priority="99" stopIfTrue="1" operator="lessThanOrEqual">
      <formula>0</formula>
    </cfRule>
    <cfRule type="cellIs" dxfId="1661" priority="98" stopIfTrue="1" operator="greaterThan">
      <formula>$F$78</formula>
    </cfRule>
    <cfRule type="cellIs" dxfId="1660" priority="100" stopIfTrue="1" operator="greaterThan">
      <formula>$F$76</formula>
    </cfRule>
  </conditionalFormatting>
  <conditionalFormatting sqref="H64">
    <cfRule type="cellIs" dxfId="1659" priority="42" stopIfTrue="1" operator="lessThanOrEqual">
      <formula>0</formula>
    </cfRule>
    <cfRule type="cellIs" dxfId="1658" priority="30" stopIfTrue="1" operator="lessThanOrEqual">
      <formula>0</formula>
    </cfRule>
    <cfRule type="cellIs" dxfId="1657" priority="31" stopIfTrue="1" operator="greaterThan">
      <formula>$F$77</formula>
    </cfRule>
    <cfRule type="cellIs" dxfId="1656" priority="39" stopIfTrue="1" operator="greaterThan">
      <formula>$F$80</formula>
    </cfRule>
    <cfRule type="cellIs" dxfId="1655" priority="40" stopIfTrue="1" operator="lessThanOrEqual">
      <formula>0</formula>
    </cfRule>
    <cfRule type="cellIs" dxfId="1654" priority="41" stopIfTrue="1" operator="greaterThan">
      <formula>$F$78</formula>
    </cfRule>
  </conditionalFormatting>
  <conditionalFormatting sqref="H65:H66">
    <cfRule type="cellIs" dxfId="1653" priority="103" stopIfTrue="1" operator="greaterThan">
      <formula>$F$75</formula>
    </cfRule>
    <cfRule type="cellIs" dxfId="1652" priority="114" stopIfTrue="1" operator="lessThanOrEqual">
      <formula>0</formula>
    </cfRule>
    <cfRule type="cellIs" dxfId="1651" priority="113" stopIfTrue="1" operator="greaterThan">
      <formula>$F$76</formula>
    </cfRule>
    <cfRule type="cellIs" dxfId="1650" priority="112" stopIfTrue="1" operator="lessThanOrEqual">
      <formula>0</formula>
    </cfRule>
    <cfRule type="cellIs" dxfId="1649" priority="111" stopIfTrue="1" operator="greaterThan">
      <formula>$F$78</formula>
    </cfRule>
  </conditionalFormatting>
  <conditionalFormatting sqref="H67:H68">
    <cfRule type="cellIs" dxfId="1648" priority="139" stopIfTrue="1" operator="greaterThan">
      <formula>#REF!</formula>
    </cfRule>
    <cfRule type="cellIs" dxfId="1647" priority="138" stopIfTrue="1" operator="lessThanOrEqual">
      <formula>0</formula>
    </cfRule>
    <cfRule type="cellIs" dxfId="1646" priority="148" stopIfTrue="1" operator="lessThanOrEqual">
      <formula>0</formula>
    </cfRule>
    <cfRule type="cellIs" dxfId="1645" priority="147" stopIfTrue="1" operator="greaterThan">
      <formula>#REF!</formula>
    </cfRule>
  </conditionalFormatting>
  <conditionalFormatting sqref="H69">
    <cfRule type="cellIs" dxfId="1644" priority="161" stopIfTrue="1" operator="greaterThan">
      <formula>$F$44</formula>
    </cfRule>
    <cfRule type="cellIs" dxfId="1643" priority="160" stopIfTrue="1" operator="lessThanOrEqual">
      <formula>0</formula>
    </cfRule>
    <cfRule type="cellIs" dxfId="1642" priority="162" stopIfTrue="1" operator="lessThanOrEqual">
      <formula>0</formula>
    </cfRule>
    <cfRule type="cellIs" dxfId="1641" priority="151" stopIfTrue="1" operator="greaterThan">
      <formula>$F$43</formula>
    </cfRule>
    <cfRule type="cellIs" dxfId="1640" priority="150" stopIfTrue="1" operator="lessThanOrEqual">
      <formula>0</formula>
    </cfRule>
    <cfRule type="cellIs" dxfId="1639" priority="159" stopIfTrue="1" operator="greaterThan">
      <formula>$F$46</formula>
    </cfRule>
  </conditionalFormatting>
  <conditionalFormatting sqref="H70:H71">
    <cfRule type="cellIs" dxfId="1638" priority="135" stopIfTrue="1" operator="greaterThan">
      <formula>#REF!</formula>
    </cfRule>
    <cfRule type="cellIs" dxfId="1637" priority="127" stopIfTrue="1" operator="greaterThan">
      <formula>#REF!</formula>
    </cfRule>
    <cfRule type="cellIs" dxfId="1636" priority="136" stopIfTrue="1" operator="lessThanOrEqual">
      <formula>0</formula>
    </cfRule>
    <cfRule type="cellIs" dxfId="1635" priority="126" stopIfTrue="1" operator="lessThanOrEqual">
      <formula>0</formula>
    </cfRule>
  </conditionalFormatting>
  <conditionalFormatting sqref="H86 H88:H94">
    <cfRule type="cellIs" dxfId="1634" priority="185" stopIfTrue="1" operator="greaterThan">
      <formula>4.5</formula>
    </cfRule>
    <cfRule type="cellIs" dxfId="1633" priority="186" stopIfTrue="1" operator="lessThanOrEqual">
      <formula>0</formula>
    </cfRule>
  </conditionalFormatting>
  <conditionalFormatting sqref="H62:I62">
    <cfRule type="cellIs" dxfId="1632" priority="65" stopIfTrue="1" operator="lessThanOrEqual">
      <formula>0</formula>
    </cfRule>
  </conditionalFormatting>
  <conditionalFormatting sqref="H62:I63 H65:I66">
    <cfRule type="cellIs" dxfId="1631" priority="62" stopIfTrue="1" operator="greaterThan">
      <formula>$F$77</formula>
    </cfRule>
  </conditionalFormatting>
  <conditionalFormatting sqref="H63:I63">
    <cfRule type="cellIs" dxfId="1630" priority="91" stopIfTrue="1" operator="lessThanOrEqual">
      <formula>0</formula>
    </cfRule>
  </conditionalFormatting>
  <conditionalFormatting sqref="H64:I64">
    <cfRule type="cellIs" dxfId="1629" priority="32" stopIfTrue="1" operator="lessThanOrEqual">
      <formula>0</formula>
    </cfRule>
    <cfRule type="cellIs" dxfId="1628" priority="29" stopIfTrue="1" operator="greaterThan">
      <formula>$F$79</formula>
    </cfRule>
  </conditionalFormatting>
  <conditionalFormatting sqref="H65:I66">
    <cfRule type="cellIs" dxfId="1627" priority="104" stopIfTrue="1" operator="lessThanOrEqual">
      <formula>0</formula>
    </cfRule>
  </conditionalFormatting>
  <conditionalFormatting sqref="H67:I68">
    <cfRule type="cellIs" dxfId="1626" priority="140" stopIfTrue="1" operator="lessThanOrEqual">
      <formula>0</formula>
    </cfRule>
    <cfRule type="cellIs" dxfId="1625" priority="137" stopIfTrue="1" operator="greaterThan">
      <formula>#REF!</formula>
    </cfRule>
    <cfRule type="cellIs" dxfId="1624" priority="145" stopIfTrue="1" operator="greaterThan">
      <formula>#REF!</formula>
    </cfRule>
    <cfRule type="cellIs" dxfId="1623" priority="146" stopIfTrue="1" operator="lessThanOrEqual">
      <formula>0</formula>
    </cfRule>
  </conditionalFormatting>
  <conditionalFormatting sqref="H69:I69">
    <cfRule type="cellIs" dxfId="1622" priority="152" stopIfTrue="1" operator="lessThanOrEqual">
      <formula>0</formula>
    </cfRule>
    <cfRule type="cellIs" dxfId="1621" priority="149" stopIfTrue="1" operator="greaterThan">
      <formula>$F$45</formula>
    </cfRule>
  </conditionalFormatting>
  <conditionalFormatting sqref="H70:I71">
    <cfRule type="cellIs" dxfId="1620" priority="128" stopIfTrue="1" operator="lessThanOrEqual">
      <formula>0</formula>
    </cfRule>
    <cfRule type="cellIs" dxfId="1619" priority="134" stopIfTrue="1" operator="lessThanOrEqual">
      <formula>0</formula>
    </cfRule>
    <cfRule type="cellIs" dxfId="1618" priority="133" stopIfTrue="1" operator="greaterThan">
      <formula>#REF!</formula>
    </cfRule>
    <cfRule type="cellIs" dxfId="1617" priority="125" stopIfTrue="1" operator="greaterThan">
      <formula>#REF!</formula>
    </cfRule>
  </conditionalFormatting>
  <conditionalFormatting sqref="H75:I82">
    <cfRule type="cellIs" dxfId="1616" priority="47" stopIfTrue="1" operator="greaterThan">
      <formula>$J75</formula>
    </cfRule>
    <cfRule type="cellIs" dxfId="1615" priority="48" stopIfTrue="1" operator="lessThanOrEqual">
      <formula>0</formula>
    </cfRule>
  </conditionalFormatting>
  <conditionalFormatting sqref="H83:I83">
    <cfRule type="cellIs" dxfId="1614" priority="55" operator="greaterThan">
      <formula>5.3</formula>
    </cfRule>
  </conditionalFormatting>
  <conditionalFormatting sqref="H84:I84">
    <cfRule type="cellIs" dxfId="1613" priority="53" stopIfTrue="1" operator="greaterThan">
      <formula>$J84</formula>
    </cfRule>
    <cfRule type="cellIs" dxfId="1612" priority="54" stopIfTrue="1" operator="lessThanOrEqual">
      <formula>0</formula>
    </cfRule>
  </conditionalFormatting>
  <conditionalFormatting sqref="I62">
    <cfRule type="cellIs" dxfId="1611" priority="68" stopIfTrue="1" operator="greaterThan">
      <formula>$F$77</formula>
    </cfRule>
    <cfRule type="cellIs" dxfId="1610" priority="67" stopIfTrue="1" operator="lessThanOrEqual">
      <formula>0</formula>
    </cfRule>
    <cfRule type="cellIs" dxfId="1609" priority="66" stopIfTrue="1" operator="greaterThan">
      <formula>$F$75</formula>
    </cfRule>
    <cfRule type="cellIs" dxfId="1608" priority="71" stopIfTrue="1" operator="lessThanOrEqual">
      <formula>0</formula>
    </cfRule>
    <cfRule type="cellIs" dxfId="1607" priority="70" stopIfTrue="1" operator="greaterThan">
      <formula>$F$75</formula>
    </cfRule>
    <cfRule type="cellIs" dxfId="1606" priority="69" stopIfTrue="1" operator="lessThanOrEqual">
      <formula>0</formula>
    </cfRule>
  </conditionalFormatting>
  <conditionalFormatting sqref="I63">
    <cfRule type="cellIs" dxfId="1605" priority="93" stopIfTrue="1" operator="lessThanOrEqual">
      <formula>0</formula>
    </cfRule>
    <cfRule type="cellIs" dxfId="1604" priority="92" stopIfTrue="1" operator="greaterThan">
      <formula>$F$75</formula>
    </cfRule>
    <cfRule type="cellIs" dxfId="1603" priority="94" stopIfTrue="1" operator="greaterThan">
      <formula>$F$77</formula>
    </cfRule>
    <cfRule type="cellIs" dxfId="1602" priority="95" stopIfTrue="1" operator="lessThanOrEqual">
      <formula>0</formula>
    </cfRule>
    <cfRule type="cellIs" dxfId="1601" priority="97" stopIfTrue="1" operator="lessThanOrEqual">
      <formula>0</formula>
    </cfRule>
    <cfRule type="cellIs" dxfId="1600" priority="96" stopIfTrue="1" operator="greaterThan">
      <formula>$F$75</formula>
    </cfRule>
  </conditionalFormatting>
  <conditionalFormatting sqref="I64">
    <cfRule type="cellIs" dxfId="1599" priority="37" stopIfTrue="1" operator="greaterThan">
      <formula>$F$77</formula>
    </cfRule>
    <cfRule type="cellIs" dxfId="1598" priority="33" stopIfTrue="1" operator="greaterThan">
      <formula>$F$77</formula>
    </cfRule>
    <cfRule type="cellIs" dxfId="1597" priority="35" stopIfTrue="1" operator="greaterThan">
      <formula>$F$79</formula>
    </cfRule>
    <cfRule type="cellIs" dxfId="1596" priority="36" stopIfTrue="1" operator="lessThanOrEqual">
      <formula>0</formula>
    </cfRule>
    <cfRule type="cellIs" dxfId="1595" priority="38" stopIfTrue="1" operator="lessThanOrEqual">
      <formula>0</formula>
    </cfRule>
    <cfRule type="cellIs" dxfId="1594" priority="34" stopIfTrue="1" operator="lessThanOrEqual">
      <formula>0</formula>
    </cfRule>
  </conditionalFormatting>
  <conditionalFormatting sqref="I65:I66">
    <cfRule type="cellIs" dxfId="1593" priority="108" stopIfTrue="1" operator="lessThanOrEqual">
      <formula>0</formula>
    </cfRule>
    <cfRule type="cellIs" dxfId="1592" priority="109" stopIfTrue="1" operator="greaterThan">
      <formula>$F$75</formula>
    </cfRule>
    <cfRule type="cellIs" dxfId="1591" priority="107" stopIfTrue="1" operator="greaterThan">
      <formula>$F$77</formula>
    </cfRule>
    <cfRule type="cellIs" dxfId="1590" priority="106" stopIfTrue="1" operator="lessThanOrEqual">
      <formula>0</formula>
    </cfRule>
    <cfRule type="cellIs" dxfId="1589" priority="105" stopIfTrue="1" operator="greaterThan">
      <formula>$F$75</formula>
    </cfRule>
    <cfRule type="cellIs" dxfId="1588" priority="110" stopIfTrue="1" operator="lessThanOrEqual">
      <formula>0</formula>
    </cfRule>
  </conditionalFormatting>
  <conditionalFormatting sqref="I67:I68">
    <cfRule type="cellIs" dxfId="1587" priority="144" stopIfTrue="1" operator="lessThanOrEqual">
      <formula>0</formula>
    </cfRule>
    <cfRule type="cellIs" dxfId="1586" priority="143" stopIfTrue="1" operator="greaterThan">
      <formula>#REF!</formula>
    </cfRule>
    <cfRule type="cellIs" dxfId="1585" priority="142" stopIfTrue="1" operator="lessThanOrEqual">
      <formula>0</formula>
    </cfRule>
    <cfRule type="cellIs" dxfId="1584" priority="141" stopIfTrue="1" operator="greaterThan">
      <formula>#REF!</formula>
    </cfRule>
  </conditionalFormatting>
  <conditionalFormatting sqref="I69">
    <cfRule type="cellIs" dxfId="1583" priority="157" stopIfTrue="1" operator="greaterThan">
      <formula>$F$43</formula>
    </cfRule>
    <cfRule type="cellIs" dxfId="1582" priority="158" stopIfTrue="1" operator="lessThanOrEqual">
      <formula>0</formula>
    </cfRule>
    <cfRule type="cellIs" dxfId="1581" priority="153" stopIfTrue="1" operator="greaterThan">
      <formula>$F$43</formula>
    </cfRule>
    <cfRule type="cellIs" dxfId="1580" priority="154" stopIfTrue="1" operator="lessThanOrEqual">
      <formula>0</formula>
    </cfRule>
    <cfRule type="cellIs" dxfId="1579" priority="155" stopIfTrue="1" operator="greaterThan">
      <formula>$F$45</formula>
    </cfRule>
    <cfRule type="cellIs" dxfId="1578" priority="156" stopIfTrue="1" operator="lessThanOrEqual">
      <formula>0</formula>
    </cfRule>
  </conditionalFormatting>
  <conditionalFormatting sqref="I70:I71">
    <cfRule type="cellIs" dxfId="1577" priority="129" stopIfTrue="1" operator="greaterThan">
      <formula>#REF!</formula>
    </cfRule>
    <cfRule type="cellIs" dxfId="1576" priority="130" stopIfTrue="1" operator="lessThanOrEqual">
      <formula>0</formula>
    </cfRule>
    <cfRule type="cellIs" dxfId="1575" priority="131" stopIfTrue="1" operator="greaterThan">
      <formula>#REF!</formula>
    </cfRule>
    <cfRule type="cellIs" dxfId="1574" priority="132" stopIfTrue="1" operator="lessThanOrEqual">
      <formula>0</formula>
    </cfRule>
  </conditionalFormatting>
  <conditionalFormatting sqref="I86:I94">
    <cfRule type="cellIs" dxfId="1573" priority="181" stopIfTrue="1" operator="greaterThan">
      <formula>4.5</formula>
    </cfRule>
    <cfRule type="cellIs" dxfId="1572" priority="182" stopIfTrue="1" operator="lessThanOrEqual">
      <formula>0</formula>
    </cfRule>
  </conditionalFormatting>
  <conditionalFormatting sqref="I10:J30">
    <cfRule type="cellIs" dxfId="1571" priority="1" operator="lessThan">
      <formula>97.9</formula>
    </cfRule>
  </conditionalFormatting>
  <conditionalFormatting sqref="J33:J35">
    <cfRule type="cellIs" dxfId="1570" priority="28" operator="lessThan">
      <formula>97.95</formula>
    </cfRule>
  </conditionalFormatting>
  <conditionalFormatting sqref="J34:J37">
    <cfRule type="cellIs" dxfId="1569" priority="163" operator="lessThan">
      <formula>97.4</formula>
    </cfRule>
  </conditionalFormatting>
  <conditionalFormatting sqref="J38:J39">
    <cfRule type="cellIs" dxfId="1568" priority="164" operator="lessThan">
      <formula>98</formula>
    </cfRule>
  </conditionalFormatting>
  <conditionalFormatting sqref="J40:J41">
    <cfRule type="cellIs" dxfId="1567" priority="166" stopIfTrue="1" operator="greaterThan">
      <formula>100</formula>
    </cfRule>
    <cfRule type="cellIs" dxfId="1566" priority="165" stopIfTrue="1" operator="lessThan">
      <formula>96.8</formula>
    </cfRule>
  </conditionalFormatting>
  <conditionalFormatting sqref="J40:J42">
    <cfRule type="cellIs" dxfId="1565" priority="167" operator="lessThan">
      <formula>98</formula>
    </cfRule>
  </conditionalFormatting>
  <conditionalFormatting sqref="J71">
    <cfRule type="cellIs" dxfId="1564" priority="117" stopIfTrue="1" operator="greaterThan">
      <formula>#REF!</formula>
    </cfRule>
    <cfRule type="cellIs" dxfId="1563" priority="118" stopIfTrue="1" operator="lessThanOrEqual">
      <formula>0</formula>
    </cfRule>
    <cfRule type="cellIs" dxfId="1562" priority="119" stopIfTrue="1" operator="greaterThan">
      <formula>#REF!</formula>
    </cfRule>
    <cfRule type="cellIs" dxfId="1561" priority="120" stopIfTrue="1" operator="lessThanOrEqual">
      <formula>0</formula>
    </cfRule>
    <cfRule type="cellIs" dxfId="1560" priority="121" stopIfTrue="1" operator="greaterThan">
      <formula>#REF!</formula>
    </cfRule>
    <cfRule type="cellIs" dxfId="1559" priority="122" stopIfTrue="1" operator="lessThanOrEqual">
      <formula>0</formula>
    </cfRule>
    <cfRule type="cellIs" dxfId="1558" priority="123" stopIfTrue="1" operator="greaterThan">
      <formula>#REF!</formula>
    </cfRule>
    <cfRule type="cellIs" dxfId="1557" priority="124" stopIfTrue="1" operator="lessThanOrEqual">
      <formula>0</formula>
    </cfRule>
  </conditionalFormatting>
  <conditionalFormatting sqref="J84">
    <cfRule type="cellIs" dxfId="1556" priority="56" stopIfTrue="1" operator="greaterThan">
      <formula>$F84</formula>
    </cfRule>
    <cfRule type="cellIs" dxfId="1555" priority="57" stopIfTrue="1" operator="lessThanOrEqual">
      <formula>0</formula>
    </cfRule>
  </conditionalFormatting>
  <conditionalFormatting sqref="K10:K30">
    <cfRule type="cellIs" dxfId="1554" priority="4" operator="greaterThan">
      <formula>6.4</formula>
    </cfRule>
    <cfRule type="cellIs" dxfId="1553" priority="2" operator="greaterThan">
      <formula>6</formula>
    </cfRule>
    <cfRule type="cellIs" dxfId="1552" priority="3" operator="lessThan">
      <formula>4</formula>
    </cfRule>
  </conditionalFormatting>
  <conditionalFormatting sqref="K62:K71">
    <cfRule type="cellIs" dxfId="1551" priority="102" stopIfTrue="1" operator="lessThan">
      <formula>100%</formula>
    </cfRule>
  </conditionalFormatting>
  <conditionalFormatting sqref="K75:K83">
    <cfRule type="cellIs" dxfId="1550" priority="46" stopIfTrue="1" operator="lessThan">
      <formula>100%</formula>
    </cfRule>
  </conditionalFormatting>
  <conditionalFormatting sqref="K86:K91">
    <cfRule type="cellIs" dxfId="1549" priority="187" stopIfTrue="1" operator="lessThan">
      <formula>100%</formula>
    </cfRule>
  </conditionalFormatting>
  <conditionalFormatting sqref="K93:K94">
    <cfRule type="cellIs" dxfId="1548" priority="194" stopIfTrue="1" operator="lessThan">
      <formula>100%</formula>
    </cfRule>
  </conditionalFormatting>
  <conditionalFormatting sqref="L10:L30">
    <cfRule type="cellIs" dxfId="1547" priority="6" operator="greaterThan">
      <formula>65</formula>
    </cfRule>
    <cfRule type="cellIs" dxfId="1546" priority="5" operator="between">
      <formula>61</formula>
      <formula>65</formula>
    </cfRule>
  </conditionalFormatting>
  <conditionalFormatting sqref="L33:M44">
    <cfRule type="cellIs" dxfId="1545" priority="27" operator="lessThan">
      <formula>97.95</formula>
    </cfRule>
  </conditionalFormatting>
  <conditionalFormatting sqref="L48:N48">
    <cfRule type="cellIs" dxfId="1544" priority="26" operator="notEqual">
      <formula>#REF!</formula>
    </cfRule>
  </conditionalFormatting>
  <conditionalFormatting sqref="L75:N84">
    <cfRule type="cellIs" dxfId="1543" priority="43" stopIfTrue="1" operator="lessThan">
      <formula>100%</formula>
    </cfRule>
  </conditionalFormatting>
  <conditionalFormatting sqref="L86:N94">
    <cfRule type="cellIs" dxfId="1542" priority="172" stopIfTrue="1" operator="lessThan">
      <formula>100%</formula>
    </cfRule>
  </conditionalFormatting>
  <conditionalFormatting sqref="M20:M30">
    <cfRule type="expression" dxfId="1541" priority="9">
      <formula>IF(+(IF(M20&lt;U20,0,IF(M20&gt;V20,0,1)))=0,1)</formula>
    </cfRule>
  </conditionalFormatting>
  <conditionalFormatting sqref="N10:N30">
    <cfRule type="expression" dxfId="1540" priority="12">
      <formula>IF(+(IF(N10&lt;W10,0,IF(N10&gt;X10,0,1)))=0,1)</formula>
    </cfRule>
  </conditionalFormatting>
  <conditionalFormatting sqref="P6">
    <cfRule type="cellIs" dxfId="1539" priority="168" operator="greaterThanOrEqual">
      <formula>19</formula>
    </cfRule>
  </conditionalFormatting>
  <dataValidations count="1">
    <dataValidation type="list" allowBlank="1" showInputMessage="1" showErrorMessage="1" sqref="R8" xr:uid="{33071A7C-A5F9-4311-A789-B78E1586139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2663-6423-45B0-B3C7-1E6918378728}">
  <sheetPr>
    <pageSetUpPr fitToPage="1"/>
  </sheetPr>
  <dimension ref="A1:BE77"/>
  <sheetViews>
    <sheetView topLeftCell="B1" zoomScale="85" zoomScaleNormal="85" workbookViewId="0">
      <selection activeCell="C22" sqref="C22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46307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[4]Brewhouse!$A406</f>
        <v>ST347</v>
      </c>
      <c r="D10" s="279">
        <f>[4]Brewhouse!$AB406</f>
        <v>49</v>
      </c>
      <c r="E10" s="279">
        <f>[4]Brewhouse!$AG406</f>
        <v>45.8</v>
      </c>
      <c r="F10" s="278">
        <f>[4]Brewhouse!$V406</f>
        <v>53</v>
      </c>
      <c r="G10" s="279">
        <f>[4]Brewhouse!$AE406</f>
        <v>11.6</v>
      </c>
      <c r="H10" s="396">
        <v>11.8</v>
      </c>
      <c r="I10" s="368">
        <f>[4]Brewhouse!$AS406</f>
        <v>95.286967895266628</v>
      </c>
      <c r="J10" s="368">
        <f>[4]Brewhouse!$AT406</f>
        <v>95.739220420834755</v>
      </c>
      <c r="K10" s="281">
        <f>[4]Brewhouse!$Q406</f>
        <v>10.357142857142849</v>
      </c>
      <c r="L10" s="276">
        <f>[4]Brewhouse!$P406</f>
        <v>59</v>
      </c>
      <c r="M10" s="374">
        <f>[4]Brewhouse!$U406-[4]Brewhouse!$T406</f>
        <v>0.13680555555555557</v>
      </c>
      <c r="N10" s="370">
        <f>[4]Brewhouse!$AW406</f>
        <v>0.28611111111111109</v>
      </c>
      <c r="O10" s="419" t="str">
        <f>[4]Brewhouse!$AV406</f>
        <v>R.Sookram</v>
      </c>
      <c r="P10" s="417"/>
      <c r="R10" s="277" t="str">
        <f t="shared" ref="R10:R37" si="0">B10</f>
        <v>STAG</v>
      </c>
      <c r="S10" s="471">
        <f t="shared" ref="S10:S37" si="1">VLOOKUP($B10,$R$3:$X$9,2,FALSE)</f>
        <v>11.6</v>
      </c>
      <c r="T10" s="471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1">
        <f t="shared" ref="Z10:Z37" si="8">VLOOKUP($B10,$R$3:$Z$9,9,FALSE)</f>
        <v>60</v>
      </c>
    </row>
    <row r="11" spans="2:29" ht="1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19"/>
      <c r="P11" s="417"/>
      <c r="R11" s="277">
        <f t="shared" si="0"/>
        <v>0</v>
      </c>
      <c r="S11" s="471" t="e">
        <f t="shared" si="1"/>
        <v>#N/A</v>
      </c>
      <c r="T11" s="471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1" t="e">
        <f t="shared" si="8"/>
        <v>#N/A</v>
      </c>
    </row>
    <row r="12" spans="2:29" ht="15" hidden="1" customHeight="1">
      <c r="B12" s="37" t="s">
        <v>16</v>
      </c>
      <c r="C12" s="366" t="str">
        <f>[8]Brewhouse!$A112</f>
        <v>SM099</v>
      </c>
      <c r="D12" s="279">
        <f>[8]Brewhouse!$AH112</f>
        <v>53</v>
      </c>
      <c r="E12" s="279">
        <f>[8]Brewhouse!$AM112</f>
        <v>51.1</v>
      </c>
      <c r="F12" s="278">
        <f>[8]Brewhouse!$Z112</f>
        <v>90</v>
      </c>
      <c r="G12" s="279">
        <f>[8]Brewhouse!$AK112</f>
        <v>17</v>
      </c>
      <c r="H12" s="396"/>
      <c r="I12" s="368">
        <f>[8]Brewhouse!$AY112</f>
        <v>97.214271955083348</v>
      </c>
      <c r="J12" s="368">
        <f>[8]Brewhouse!$AZ112</f>
        <v>97.481077972249778</v>
      </c>
      <c r="K12" s="281">
        <f>[8]Brewhouse!$U112</f>
        <v>6.754716981132086</v>
      </c>
      <c r="L12" s="276">
        <f>[8]Brewhouse!$T112</f>
        <v>60</v>
      </c>
      <c r="M12" s="374">
        <f>[8]Brewhouse!$Y112-[8]Brewhouse!$X112</f>
        <v>0.17291666666666661</v>
      </c>
      <c r="N12" s="370">
        <f>[8]Brewhouse!$AD112</f>
        <v>0.33958333333333335</v>
      </c>
      <c r="O12" s="371" t="str">
        <f>[8]Brewhouse!$BC112</f>
        <v>D. Gomaz</v>
      </c>
      <c r="P12" s="417"/>
      <c r="R12" s="277" t="str">
        <f t="shared" si="0"/>
        <v>STARMALT</v>
      </c>
      <c r="S12" s="471">
        <f t="shared" si="1"/>
        <v>17</v>
      </c>
      <c r="T12" s="471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1">
        <f t="shared" si="8"/>
        <v>85</v>
      </c>
    </row>
    <row r="13" spans="2:29" ht="15" hidden="1" customHeight="1">
      <c r="B13" s="37" t="s">
        <v>16</v>
      </c>
      <c r="C13" s="366" t="str">
        <f>[8]Brewhouse!$A113</f>
        <v>SM100</v>
      </c>
      <c r="D13" s="279">
        <f>[8]Brewhouse!$AH113</f>
        <v>53</v>
      </c>
      <c r="E13" s="279">
        <f>[8]Brewhouse!$AM113</f>
        <v>51.4</v>
      </c>
      <c r="F13" s="278">
        <f>[8]Brewhouse!$Z113</f>
        <v>69</v>
      </c>
      <c r="G13" s="279">
        <f>[8]Brewhouse!$AK113</f>
        <v>17.3</v>
      </c>
      <c r="H13" s="396"/>
      <c r="I13" s="368">
        <f>[8]Brewhouse!$AY113</f>
        <v>98.862710164301788</v>
      </c>
      <c r="J13" s="368">
        <f>[8]Brewhouse!$AZ113</f>
        <v>99.136679966905078</v>
      </c>
      <c r="K13" s="281">
        <f>[8]Brewhouse!$U113</f>
        <v>7.8867924528301883</v>
      </c>
      <c r="L13" s="276">
        <f>[8]Brewhouse!$T113</f>
        <v>61</v>
      </c>
      <c r="M13" s="374">
        <f>[8]Brewhouse!$Y113-[8]Brewhouse!$X113</f>
        <v>0.13819444444444451</v>
      </c>
      <c r="N13" s="370">
        <f>[8]Brewhouse!$AD113</f>
        <v>0.32152777777777786</v>
      </c>
      <c r="O13" s="371" t="str">
        <f>[8]Brewhouse!$BC113</f>
        <v>D. Gomaz</v>
      </c>
      <c r="P13" s="417"/>
      <c r="R13" s="277" t="str">
        <f t="shared" si="0"/>
        <v>STARMALT</v>
      </c>
      <c r="S13" s="471">
        <f t="shared" si="1"/>
        <v>17</v>
      </c>
      <c r="T13" s="471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1">
        <f t="shared" si="8"/>
        <v>85</v>
      </c>
    </row>
    <row r="14" spans="2:29" ht="15" hidden="1" customHeight="1">
      <c r="B14" s="37" t="s">
        <v>16</v>
      </c>
      <c r="C14" s="366" t="str">
        <f>[8]Brewhouse!$A114</f>
        <v>SM101</v>
      </c>
      <c r="D14" s="279">
        <f>[8]Brewhouse!$AH114</f>
        <v>53</v>
      </c>
      <c r="E14" s="279">
        <f>[8]Brewhouse!$AM114</f>
        <v>51.7</v>
      </c>
      <c r="F14" s="278">
        <f>[8]Brewhouse!$Z114</f>
        <v>70</v>
      </c>
      <c r="G14" s="279">
        <f>[8]Brewhouse!$AK114</f>
        <v>17.3</v>
      </c>
      <c r="H14" s="396"/>
      <c r="I14" s="368">
        <f>[8]Brewhouse!$AY114</f>
        <v>99.439729873431943</v>
      </c>
      <c r="J14" s="368">
        <f>[8]Brewhouse!$AZ114</f>
        <v>99.715298721575735</v>
      </c>
      <c r="K14" s="281">
        <f>[8]Brewhouse!$U114</f>
        <v>4.1132075471698109</v>
      </c>
      <c r="L14" s="276">
        <f>[8]Brewhouse!$T114</f>
        <v>57</v>
      </c>
      <c r="M14" s="374">
        <f>[8]Brewhouse!$Y114-[8]Brewhouse!$X114</f>
        <v>0.14861111111111125</v>
      </c>
      <c r="N14" s="370">
        <f>[8]Brewhouse!$AD114</f>
        <v>0.34444444444444444</v>
      </c>
      <c r="O14" s="371" t="str">
        <f>[8]Brewhouse!$BC114</f>
        <v>D. Gomaz</v>
      </c>
      <c r="P14" s="417"/>
      <c r="R14" s="277" t="str">
        <f t="shared" si="0"/>
        <v>STARMALT</v>
      </c>
      <c r="S14" s="471">
        <f t="shared" si="1"/>
        <v>17</v>
      </c>
      <c r="T14" s="471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1">
        <f t="shared" si="8"/>
        <v>85</v>
      </c>
    </row>
    <row r="15" spans="2:29" ht="15" hidden="1" customHeight="1">
      <c r="B15" s="37" t="s">
        <v>16</v>
      </c>
      <c r="C15" s="366" t="str">
        <f>[8]Brewhouse!$A115</f>
        <v>SM102</v>
      </c>
      <c r="D15" s="279">
        <f>[8]Brewhouse!$AH115</f>
        <v>53</v>
      </c>
      <c r="E15" s="279">
        <f>[8]Brewhouse!$AM115</f>
        <v>51</v>
      </c>
      <c r="F15" s="278">
        <f>[8]Brewhouse!$Z115</f>
        <v>67</v>
      </c>
      <c r="G15" s="279">
        <f>[8]Brewhouse!$AK115</f>
        <v>17.3</v>
      </c>
      <c r="H15" s="396"/>
      <c r="I15" s="368">
        <f>[8]Brewhouse!$AY115</f>
        <v>98.013898306372198</v>
      </c>
      <c r="J15" s="368">
        <f>[8]Brewhouse!$AZ115</f>
        <v>98.285775240901714</v>
      </c>
      <c r="K15" s="281">
        <f>[8]Brewhouse!$U115</f>
        <v>7.3207547169811367</v>
      </c>
      <c r="L15" s="276">
        <f>[8]Brewhouse!$T115</f>
        <v>60</v>
      </c>
      <c r="M15" s="374">
        <f>[8]Brewhouse!$Y115-[8]Brewhouse!$X115</f>
        <v>0.15625</v>
      </c>
      <c r="N15" s="370">
        <f>[8]Brewhouse!$AD115</f>
        <v>0.35694444444444429</v>
      </c>
      <c r="O15" s="371" t="str">
        <f>[8]Brewhouse!$BC115</f>
        <v>R.Sookram</v>
      </c>
      <c r="P15" s="417"/>
      <c r="R15" s="277" t="str">
        <f t="shared" si="0"/>
        <v>STARMALT</v>
      </c>
      <c r="S15" s="471">
        <f t="shared" si="1"/>
        <v>17</v>
      </c>
      <c r="T15" s="471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1">
        <f t="shared" si="8"/>
        <v>85</v>
      </c>
    </row>
    <row r="16" spans="2:29" ht="15" hidden="1" customHeight="1">
      <c r="B16" s="37" t="s">
        <v>16</v>
      </c>
      <c r="C16" s="366" t="str">
        <f>[8]Brewhouse!$A116</f>
        <v>SM103</v>
      </c>
      <c r="D16" s="279">
        <f>[8]Brewhouse!$AH116</f>
        <v>53</v>
      </c>
      <c r="E16" s="279">
        <f>[8]Brewhouse!$AM116</f>
        <v>51.9</v>
      </c>
      <c r="F16" s="278">
        <f>[8]Brewhouse!$Z116</f>
        <v>65</v>
      </c>
      <c r="G16" s="279">
        <f>[8]Brewhouse!$AK116</f>
        <v>17.36</v>
      </c>
      <c r="H16" s="396"/>
      <c r="I16" s="368">
        <f>[8]Brewhouse!$AY116</f>
        <v>95.022046186828362</v>
      </c>
      <c r="J16" s="368">
        <f>[8]Brewhouse!$AZ116</f>
        <v>95.285372684690913</v>
      </c>
      <c r="K16" s="281">
        <f>[8]Brewhouse!$U116</f>
        <v>5.0566037735849045</v>
      </c>
      <c r="L16" s="276">
        <f>[8]Brewhouse!$T116</f>
        <v>60</v>
      </c>
      <c r="M16" s="374">
        <f>[8]Brewhouse!$Y116-[8]Brewhouse!$X116</f>
        <v>0.14861111111111108</v>
      </c>
      <c r="N16" s="370">
        <f>[8]Brewhouse!$AD116</f>
        <v>0.39444444444444443</v>
      </c>
      <c r="O16" s="371" t="str">
        <f>[8]Brewhouse!$BC116</f>
        <v>R.Sookram</v>
      </c>
      <c r="P16" s="417"/>
      <c r="R16" s="277" t="str">
        <f t="shared" si="0"/>
        <v>STARMALT</v>
      </c>
      <c r="S16" s="471">
        <f t="shared" si="1"/>
        <v>17</v>
      </c>
      <c r="T16" s="471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1">
        <f t="shared" si="8"/>
        <v>85</v>
      </c>
    </row>
    <row r="17" spans="1:26" ht="15" hidden="1" customHeight="1">
      <c r="B17" s="37" t="s">
        <v>16</v>
      </c>
      <c r="C17" s="366" t="str">
        <f>[8]Brewhouse!$A117</f>
        <v>SM104</v>
      </c>
      <c r="D17" s="279">
        <f>[8]Brewhouse!$AH117</f>
        <v>53</v>
      </c>
      <c r="E17" s="279">
        <f>[8]Brewhouse!$AM117</f>
        <v>51.9</v>
      </c>
      <c r="F17" s="278">
        <f>[8]Brewhouse!$Z117</f>
        <v>73</v>
      </c>
      <c r="G17" s="279">
        <f>[8]Brewhouse!$AK117</f>
        <v>17.399999999999999</v>
      </c>
      <c r="H17" s="396"/>
      <c r="I17" s="368">
        <f>[8]Brewhouse!$AY117</f>
        <v>95.022046186828362</v>
      </c>
      <c r="J17" s="368">
        <f>[8]Brewhouse!$AZ117</f>
        <v>95.285372684690913</v>
      </c>
      <c r="K17" s="281">
        <f>[8]Brewhouse!$U117</f>
        <v>6.754716981132086</v>
      </c>
      <c r="L17" s="276">
        <f>[8]Brewhouse!$T117</f>
        <v>60</v>
      </c>
      <c r="M17" s="374">
        <f>[8]Brewhouse!$Y117-[8]Brewhouse!$X117</f>
        <v>0.26458333333333334</v>
      </c>
      <c r="N17" s="370">
        <f>[8]Brewhouse!$AD117</f>
        <v>0.42083333333333334</v>
      </c>
      <c r="O17" s="371" t="str">
        <f>[8]Brewhouse!$BC117</f>
        <v>R.Sookram</v>
      </c>
      <c r="P17" s="417"/>
      <c r="R17" s="277" t="str">
        <f t="shared" si="0"/>
        <v>STARMALT</v>
      </c>
      <c r="S17" s="471">
        <f t="shared" si="1"/>
        <v>17</v>
      </c>
      <c r="T17" s="471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1">
        <f t="shared" si="8"/>
        <v>85</v>
      </c>
    </row>
    <row r="18" spans="1:26" ht="15" hidden="1" customHeight="1">
      <c r="B18" s="37" t="s">
        <v>16</v>
      </c>
      <c r="C18" s="366" t="str">
        <f>[8]Brewhouse!$A118</f>
        <v>SM105</v>
      </c>
      <c r="D18" s="279">
        <f>[8]Brewhouse!$AH118</f>
        <v>50</v>
      </c>
      <c r="E18" s="279">
        <f>[8]Brewhouse!$AM118</f>
        <v>49.3</v>
      </c>
      <c r="F18" s="278">
        <f>[8]Brewhouse!$Z118</f>
        <v>70</v>
      </c>
      <c r="G18" s="279">
        <f>[8]Brewhouse!$AK118</f>
        <v>17.399999999999999</v>
      </c>
      <c r="H18" s="396"/>
      <c r="I18" s="368">
        <f>[8]Brewhouse!$AY118</f>
        <v>90.335017111661628</v>
      </c>
      <c r="J18" s="368">
        <f>[8]Brewhouse!$AZ118</f>
        <v>90.585115407273193</v>
      </c>
      <c r="K18" s="281">
        <f>[8]Brewhouse!$U118</f>
        <v>2.960000000000008</v>
      </c>
      <c r="L18" s="276">
        <f>[8]Brewhouse!$T118</f>
        <v>57</v>
      </c>
      <c r="M18" s="374">
        <f>[8]Brewhouse!$Y118-[8]Brewhouse!$X118</f>
        <v>0.15555555555555556</v>
      </c>
      <c r="N18" s="370">
        <f>[8]Brewhouse!$AD118</f>
        <v>0.36180555555555549</v>
      </c>
      <c r="O18" s="371" t="str">
        <f>[8]Brewhouse!$BC118</f>
        <v>K. Benjamin</v>
      </c>
      <c r="P18" s="417"/>
      <c r="R18" s="277" t="str">
        <f t="shared" si="0"/>
        <v>STARMALT</v>
      </c>
      <c r="S18" s="471">
        <f t="shared" si="1"/>
        <v>17</v>
      </c>
      <c r="T18" s="471">
        <f t="shared" si="2"/>
        <v>17.399999999999999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471">
        <f t="shared" si="8"/>
        <v>85</v>
      </c>
    </row>
    <row r="19" spans="1:26" ht="15" hidden="1" customHeight="1">
      <c r="B19" s="37" t="s">
        <v>16</v>
      </c>
      <c r="C19" s="366" t="str">
        <f>[8]Brewhouse!$A119</f>
        <v>SM106</v>
      </c>
      <c r="D19" s="279">
        <f>[8]Brewhouse!$AH119</f>
        <v>53</v>
      </c>
      <c r="E19" s="279">
        <f>[8]Brewhouse!$AM119</f>
        <v>55.3</v>
      </c>
      <c r="F19" s="278">
        <f>[8]Brewhouse!$Z119</f>
        <v>104</v>
      </c>
      <c r="G19" s="279">
        <f>[8]Brewhouse!$AK119</f>
        <v>17.399999999999999</v>
      </c>
      <c r="H19" s="396"/>
      <c r="I19" s="368">
        <f>[8]Brewhouse!$AY119</f>
        <v>100.75694228020136</v>
      </c>
      <c r="J19" s="368">
        <f>[8]Brewhouse!$AZ119</f>
        <v>101.03775475944533</v>
      </c>
      <c r="K19" s="281">
        <f>[8]Brewhouse!$U119</f>
        <v>-0.41509433962263936</v>
      </c>
      <c r="L19" s="276">
        <f>[8]Brewhouse!$T119</f>
        <v>60</v>
      </c>
      <c r="M19" s="374">
        <f>[8]Brewhouse!$Y119-[8]Brewhouse!$X119</f>
        <v>0.1777777777777777</v>
      </c>
      <c r="N19" s="370">
        <f>[8]Brewhouse!$AD119</f>
        <v>0.39027777777777772</v>
      </c>
      <c r="O19" s="371" t="str">
        <f>[8]Brewhouse!$BC119</f>
        <v>K. Benjamin</v>
      </c>
      <c r="P19" s="417"/>
      <c r="R19" s="277" t="str">
        <f t="shared" si="0"/>
        <v>STARMALT</v>
      </c>
      <c r="S19" s="471">
        <f t="shared" si="1"/>
        <v>17</v>
      </c>
      <c r="T19" s="471">
        <f t="shared" si="2"/>
        <v>17.399999999999999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471">
        <f t="shared" si="8"/>
        <v>85</v>
      </c>
    </row>
    <row r="20" spans="1:26" ht="15" customHeight="1">
      <c r="B20" s="37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6" ht="15" customHeight="1">
      <c r="B21" s="34"/>
      <c r="C21" s="366"/>
      <c r="D21" s="279"/>
      <c r="E21" s="279"/>
      <c r="F21" s="278"/>
      <c r="G21" s="279"/>
      <c r="H21" s="396"/>
      <c r="I21" s="487"/>
      <c r="J21" s="487"/>
      <c r="K21" s="488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6" ht="15" customHeight="1">
      <c r="B22" s="34"/>
      <c r="C22" s="366"/>
      <c r="D22" s="279"/>
      <c r="E22" s="279"/>
      <c r="F22" s="278"/>
      <c r="G22" s="279"/>
      <c r="H22" s="396"/>
      <c r="I22" s="487"/>
      <c r="J22" s="487"/>
      <c r="K22" s="488"/>
      <c r="L22" s="276"/>
      <c r="M22" s="374"/>
      <c r="N22" s="370"/>
      <c r="O22" s="419"/>
      <c r="P22" s="417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6" ht="15" customHeight="1">
      <c r="B23" s="34"/>
      <c r="C23" s="366"/>
      <c r="D23" s="279"/>
      <c r="E23" s="279"/>
      <c r="F23" s="278"/>
      <c r="G23" s="279"/>
      <c r="H23" s="396"/>
      <c r="I23" s="487"/>
      <c r="J23" s="487"/>
      <c r="K23" s="488"/>
      <c r="L23" s="276"/>
      <c r="M23" s="374"/>
      <c r="N23" s="370"/>
      <c r="O23" s="419"/>
      <c r="P23" s="417"/>
      <c r="R23" s="277">
        <f t="shared" si="0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6" ht="17.25" customHeight="1" thickBot="1">
      <c r="B24" s="358"/>
      <c r="C24" s="358"/>
      <c r="D24" s="358"/>
      <c r="E24" s="358"/>
      <c r="F24" s="294"/>
      <c r="G24" s="294"/>
      <c r="H24" s="348"/>
      <c r="I24" s="539"/>
      <c r="J24" s="539"/>
      <c r="K24" s="539"/>
      <c r="L24" s="539"/>
      <c r="M24" s="539"/>
      <c r="N24" s="539"/>
      <c r="O24" s="1"/>
      <c r="P24" s="12"/>
      <c r="R24" s="277">
        <f t="shared" si="0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6" ht="17.25" customHeight="1" thickBot="1">
      <c r="B25" s="482" t="s">
        <v>162</v>
      </c>
      <c r="C25" s="388"/>
      <c r="D25" s="540" t="s">
        <v>35</v>
      </c>
      <c r="E25" s="541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6" ht="17.25" customHeight="1">
      <c r="A26" s="28"/>
      <c r="B26" s="594"/>
      <c r="C26" s="483"/>
      <c r="D26" s="527"/>
      <c r="E26" s="528"/>
      <c r="F26" s="294"/>
      <c r="G26" s="294"/>
      <c r="H26" s="348"/>
      <c r="I26" s="29" t="s">
        <v>6</v>
      </c>
      <c r="J26" s="323"/>
      <c r="K26" s="284">
        <f>COUNTA([3]Brewhouse!$A$789:$A$820)</f>
        <v>32</v>
      </c>
      <c r="L26" s="305">
        <f>AVERAGE([3]Brewhouse!$AU$789:$AU$820)</f>
        <v>97.19542619578651</v>
      </c>
      <c r="M26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$820)</f>
        <v>98.283559098193749</v>
      </c>
      <c r="N26" s="30">
        <v>98</v>
      </c>
      <c r="O26" s="11"/>
      <c r="P26" s="31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6" ht="15" customHeight="1">
      <c r="A27" s="28"/>
      <c r="B27" s="572"/>
      <c r="C27" s="362"/>
      <c r="D27" s="529"/>
      <c r="E27" s="530"/>
      <c r="F27" s="294"/>
      <c r="G27" s="294"/>
      <c r="H27" s="348"/>
      <c r="I27" s="33" t="s">
        <v>9</v>
      </c>
      <c r="J27" s="323">
        <f>I10</f>
        <v>95.286967895266628</v>
      </c>
      <c r="K27" s="284">
        <f>COUNTA([4]Brewhouse!$A$390:$A$406)</f>
        <v>17</v>
      </c>
      <c r="L27" s="302">
        <f>AVERAGE([4]Brewhouse!$AS$390:$AS$406)</f>
        <v>97.707842826554412</v>
      </c>
      <c r="M27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$406)</f>
        <v>98.285743987991637</v>
      </c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6" ht="14.65" customHeight="1">
      <c r="A28" s="28"/>
      <c r="B28" s="572"/>
      <c r="C28" s="362"/>
      <c r="D28" s="534"/>
      <c r="E28" s="535"/>
      <c r="F28" s="294"/>
      <c r="G28" s="294"/>
      <c r="H28" s="348"/>
      <c r="I28" s="34" t="s">
        <v>12</v>
      </c>
      <c r="J28" s="323"/>
      <c r="K28" s="284">
        <f>COUNTA([5]Brewhouse!$A$108:$A$115)</f>
        <v>8</v>
      </c>
      <c r="L28" s="302">
        <f>AVERAGE([5]Brewhouse!$AU$108:$AU$115)</f>
        <v>97.365395087454402</v>
      </c>
      <c r="M28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6" ht="14.65" customHeight="1">
      <c r="A29" s="28"/>
      <c r="B29" s="572"/>
      <c r="C29" s="362"/>
      <c r="D29" s="536"/>
      <c r="E29" s="530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9" s="30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6" ht="14.65" customHeight="1">
      <c r="A30" s="28"/>
      <c r="B30" s="572"/>
      <c r="C30" s="362"/>
      <c r="D30" s="534"/>
      <c r="E30" s="535"/>
      <c r="F30" s="294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6" ht="14.65" customHeight="1">
      <c r="A31" s="28"/>
      <c r="B31" s="572"/>
      <c r="C31" s="362"/>
      <c r="D31" s="536"/>
      <c r="E31" s="530"/>
      <c r="F31" s="416"/>
      <c r="G31" s="294"/>
      <c r="H31" s="348"/>
      <c r="I31" s="36" t="s">
        <v>15</v>
      </c>
      <c r="J31" s="323"/>
      <c r="K31" s="284"/>
      <c r="L31" s="302"/>
      <c r="M31" s="302">
        <f>AVERAGE([7]Brewhouse!$AT$4:$AT$11,[7]Brewhouse!$AT$13:$AT$16,[7]Brewhouse!$AT$18:$AT$30)</f>
        <v>93.22262799886262</v>
      </c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1:26" ht="14.65" customHeight="1">
      <c r="A32" s="28"/>
      <c r="B32" s="572"/>
      <c r="C32" s="362"/>
      <c r="D32" s="534"/>
      <c r="E32" s="535"/>
      <c r="F32" s="416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97.792958274585203</v>
      </c>
      <c r="N32" s="30">
        <v>98</v>
      </c>
      <c r="O32" s="11"/>
      <c r="P32" s="31" t="s">
        <v>41</v>
      </c>
      <c r="R32" s="277">
        <f t="shared" si="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</row>
    <row r="33" spans="1:56" ht="14.65" customHeight="1">
      <c r="A33" s="28"/>
      <c r="B33" s="572"/>
      <c r="C33" s="362"/>
      <c r="D33" s="536"/>
      <c r="E33" s="530"/>
      <c r="F33" s="294"/>
      <c r="G33" s="294"/>
      <c r="H33" s="348"/>
      <c r="I33" s="410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</row>
    <row r="34" spans="1:56" ht="14.65" customHeight="1">
      <c r="A34" s="28"/>
      <c r="B34" s="572"/>
      <c r="C34" s="362"/>
      <c r="D34" s="534"/>
      <c r="E34" s="535"/>
      <c r="F34" s="294"/>
      <c r="G34" s="294"/>
      <c r="H34" s="348"/>
      <c r="I34" s="409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  <c r="AA34" s="471"/>
    </row>
    <row r="35" spans="1:56" ht="15" customHeight="1" thickBot="1">
      <c r="A35" s="28"/>
      <c r="B35" s="572"/>
      <c r="C35" s="362"/>
      <c r="D35" s="536"/>
      <c r="E35" s="530"/>
      <c r="F35" s="294"/>
      <c r="G35" s="294"/>
      <c r="H35" s="348"/>
      <c r="I35" s="405" t="s">
        <v>156</v>
      </c>
      <c r="J35" s="327"/>
      <c r="K35" s="406"/>
      <c r="L35" s="407"/>
      <c r="M35" s="407"/>
      <c r="N35" s="408">
        <v>98</v>
      </c>
      <c r="O35" s="11"/>
      <c r="P35" s="31"/>
      <c r="R35" s="277">
        <f t="shared" si="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  <c r="AA35" s="471"/>
    </row>
    <row r="36" spans="1:56" ht="15" customHeight="1" thickBot="1">
      <c r="A36" s="28"/>
      <c r="B36" s="572"/>
      <c r="C36" s="349"/>
      <c r="D36" s="527"/>
      <c r="E36" s="528"/>
      <c r="F36" s="294"/>
      <c r="G36" s="294"/>
      <c r="H36" s="348"/>
      <c r="I36" s="1"/>
      <c r="J36" s="39"/>
      <c r="K36" s="403">
        <f>SUM(K26:K35)</f>
        <v>57</v>
      </c>
      <c r="L36" s="404">
        <f>((L26*K26)+(L27*K27)+(L28*K28)+(L29*K29)+(L30*K30)+(K33*L33)+(L31*K31)+(L32*K32)+(L35*K35))/(K36)</f>
        <v>97.372107491512779</v>
      </c>
      <c r="M36" s="404">
        <f>AVERAGE('[9]Jan30th-31st'!$L$42,'[10]Feb 27th-28th'!$L$45,'[11]Mar 31st'!$L$42,'[12]Apr 30th'!$L$41,'[13]May 29th '!$L$35,'[14]June 30th'!$L$32,[15]July31st!$L$36,'[16]Aug 31st'!$L$32,L36)</f>
        <v>97.906990680331546</v>
      </c>
      <c r="N36" s="40">
        <v>98</v>
      </c>
      <c r="O36" s="11"/>
      <c r="P36" s="31"/>
      <c r="R36" s="277">
        <f t="shared" si="0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  <c r="AA36" s="471"/>
    </row>
    <row r="37" spans="1:56" ht="15.75" thickBot="1">
      <c r="B37" s="595"/>
      <c r="C37" s="350"/>
      <c r="D37" s="529"/>
      <c r="E37" s="530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  <c r="AA37" s="471"/>
    </row>
    <row r="38" spans="1:56" ht="15.75" thickBot="1">
      <c r="B38" s="524"/>
      <c r="C38" s="362"/>
      <c r="D38" s="527"/>
      <c r="E38" s="528"/>
      <c r="F38" s="294"/>
      <c r="G38" s="42"/>
      <c r="H38" s="41"/>
      <c r="I38" s="42"/>
      <c r="J38" s="531" t="s">
        <v>129</v>
      </c>
      <c r="K38" s="531"/>
      <c r="L38" s="294"/>
      <c r="M38" s="294"/>
      <c r="N38" s="294"/>
      <c r="O38" s="294"/>
      <c r="P38" s="12"/>
    </row>
    <row r="39" spans="1:56" ht="15.75" thickBot="1">
      <c r="B39" s="525"/>
      <c r="C39" s="362"/>
      <c r="D39" s="529"/>
      <c r="E39" s="530"/>
      <c r="F39" s="294"/>
      <c r="G39" s="42"/>
      <c r="H39" s="42"/>
      <c r="I39" s="42"/>
      <c r="J39" s="292" t="s">
        <v>17</v>
      </c>
      <c r="K39" s="293"/>
      <c r="L39" s="532" t="s">
        <v>136</v>
      </c>
      <c r="M39" s="532"/>
      <c r="N39" s="533"/>
      <c r="O39" s="294"/>
      <c r="P39" s="12"/>
    </row>
    <row r="40" spans="1:56" ht="15" customHeight="1" thickBot="1">
      <c r="B40" s="525"/>
      <c r="C40" s="349"/>
      <c r="D40" s="534"/>
      <c r="E40" s="535"/>
      <c r="F40" s="294"/>
      <c r="G40" s="42"/>
      <c r="H40" s="42"/>
      <c r="I40" s="42"/>
      <c r="J40" s="287" t="s">
        <v>6</v>
      </c>
      <c r="K40" s="324"/>
      <c r="L40" s="472" t="s">
        <v>37</v>
      </c>
      <c r="M40" s="473" t="s">
        <v>38</v>
      </c>
      <c r="N40" s="473" t="s">
        <v>84</v>
      </c>
      <c r="O40" s="294"/>
      <c r="P40" s="12"/>
    </row>
    <row r="41" spans="1:56" ht="15.75" customHeight="1" thickBot="1">
      <c r="B41" s="525"/>
      <c r="C41" s="349"/>
      <c r="D41" s="536"/>
      <c r="E41" s="530"/>
      <c r="F41" s="294"/>
      <c r="G41" s="42"/>
      <c r="H41" s="42"/>
      <c r="I41" s="42"/>
      <c r="J41" s="345" t="s">
        <v>9</v>
      </c>
      <c r="K41" s="324">
        <v>1</v>
      </c>
      <c r="L41" s="484">
        <f>AVERAGE('Oct 1st'!K52,'Oct 2nd'!K44,'Oct 5th'!K51,'Oct 6th'!K58,'Oct 7th'!K47,'Oct 8th '!K46,'Oct 9th-10th'!J57,'Oct 9th-10th'!K57,K50)</f>
        <v>6.333333333333333</v>
      </c>
      <c r="M41" s="485">
        <f>AVERAGE('[9]Jan30th-31st'!$L$47,L41,'[10]Feb 26th '!$L$39,'[11]Mar 31st'!$L$47,'[12]Apr 30th'!$L$46,'[13]May 29th '!$L$40,'[14]June 30th'!$L$39,[15]July31st!$L$41,'[16]Aug 31st'!$L$37,'[18]Sept 30th'!$L$37)</f>
        <v>6.5068674803457416</v>
      </c>
      <c r="N41" s="415">
        <v>9.1999999999999993</v>
      </c>
      <c r="O41" s="294"/>
      <c r="P41" s="12"/>
    </row>
    <row r="42" spans="1:56" ht="15" customHeight="1">
      <c r="B42" s="525"/>
      <c r="C42" s="349"/>
      <c r="D42" s="534"/>
      <c r="E42" s="535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5"/>
      <c r="C43" s="349"/>
      <c r="D43" s="536"/>
      <c r="E43" s="530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5"/>
      <c r="C44" s="349"/>
      <c r="D44" s="534"/>
      <c r="E44" s="535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5"/>
      <c r="C45" s="349"/>
      <c r="D45" s="536"/>
      <c r="E45" s="530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5"/>
      <c r="C46" s="349"/>
      <c r="D46" s="534"/>
      <c r="E46" s="535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6"/>
      <c r="C47" s="350"/>
      <c r="D47" s="537"/>
      <c r="E47" s="538"/>
      <c r="F47" s="294" t="s">
        <v>165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5"/>
      <c r="E48" s="516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1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42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09" t="s">
        <v>17</v>
      </c>
      <c r="C53" s="509" t="s">
        <v>44</v>
      </c>
      <c r="D53" s="518" t="s">
        <v>45</v>
      </c>
      <c r="E53" s="520" t="s">
        <v>46</v>
      </c>
      <c r="F53" s="522" t="s">
        <v>47</v>
      </c>
      <c r="G53" s="507" t="s">
        <v>48</v>
      </c>
      <c r="H53" s="509" t="s">
        <v>49</v>
      </c>
      <c r="I53" s="509" t="s">
        <v>50</v>
      </c>
      <c r="J53" s="501" t="s">
        <v>28</v>
      </c>
      <c r="K53" s="511" t="s">
        <v>51</v>
      </c>
      <c r="L53" s="513" t="s">
        <v>52</v>
      </c>
      <c r="M53" s="501" t="s">
        <v>53</v>
      </c>
      <c r="N53" s="13"/>
      <c r="O53" s="13"/>
      <c r="P53" s="50"/>
    </row>
    <row r="54" spans="2:57" ht="28.5" customHeight="1" thickTop="1" thickBot="1">
      <c r="B54" s="510"/>
      <c r="C54" s="517"/>
      <c r="D54" s="519"/>
      <c r="E54" s="521"/>
      <c r="F54" s="523"/>
      <c r="G54" s="508"/>
      <c r="H54" s="510"/>
      <c r="I54" s="510"/>
      <c r="J54" s="502"/>
      <c r="K54" s="512"/>
      <c r="L54" s="514"/>
      <c r="M54" s="502"/>
      <c r="N54" s="13"/>
      <c r="O54" s="13"/>
      <c r="P54" s="50"/>
      <c r="Q54" s="355"/>
      <c r="AB54" s="474">
        <v>43474</v>
      </c>
      <c r="AC54" s="474">
        <v>43475</v>
      </c>
      <c r="AD54" s="474">
        <v>43476</v>
      </c>
      <c r="AE54" s="474">
        <v>43477</v>
      </c>
      <c r="AF54" s="474">
        <v>43478</v>
      </c>
      <c r="AG54" s="474">
        <v>43479</v>
      </c>
      <c r="AH54" s="474">
        <v>43480</v>
      </c>
      <c r="AI54" s="474">
        <v>43481</v>
      </c>
      <c r="AJ54" s="474">
        <v>43482</v>
      </c>
      <c r="AK54" s="474">
        <v>43483</v>
      </c>
      <c r="AL54" s="474">
        <v>43484</v>
      </c>
      <c r="AM54" s="474">
        <v>43485</v>
      </c>
      <c r="AN54" s="474">
        <v>43486</v>
      </c>
      <c r="AO54" s="474">
        <v>43487</v>
      </c>
      <c r="AP54" s="474">
        <v>43488</v>
      </c>
      <c r="AQ54" s="474">
        <v>43489</v>
      </c>
      <c r="AR54" s="474">
        <v>43490</v>
      </c>
      <c r="AS54" s="474">
        <v>43491</v>
      </c>
      <c r="AT54" s="474">
        <v>43492</v>
      </c>
      <c r="AU54" s="474">
        <v>43493</v>
      </c>
      <c r="AV54" s="474">
        <v>43494</v>
      </c>
      <c r="AW54" s="474">
        <v>43495</v>
      </c>
      <c r="AX54" s="474">
        <v>43496</v>
      </c>
    </row>
    <row r="55" spans="2:57" s="54" customFormat="1" ht="36.75" customHeight="1" thickBot="1">
      <c r="B55" s="455" t="str">
        <f>I26</f>
        <v>CARIB</v>
      </c>
      <c r="C55" s="478">
        <v>46307</v>
      </c>
      <c r="D55" s="444">
        <f>[19]October_2026!$O$3</f>
        <v>405.7</v>
      </c>
      <c r="E55" s="442"/>
      <c r="F55" s="443"/>
      <c r="G55" s="443">
        <f>[19]October_2026!$O$7</f>
        <v>382.3</v>
      </c>
      <c r="H55" s="457"/>
      <c r="I55" s="457"/>
      <c r="J55" s="447" t="s">
        <v>173</v>
      </c>
      <c r="K55" s="448">
        <f>[20]October_2026!$O$18</f>
        <v>0.67070175438596491</v>
      </c>
      <c r="L55" s="456">
        <f>(((D55+E55)-G55)/(D55+E55))*100</f>
        <v>5.7678087256593482</v>
      </c>
      <c r="M55" s="454" t="s">
        <v>171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[21]January_2019!L5</f>
        <v>0</v>
      </c>
      <c r="AC55" s="57">
        <f>[21]January_2019!M5</f>
        <v>0</v>
      </c>
      <c r="AD55" s="57">
        <f>[21]January_2019!N5</f>
        <v>0</v>
      </c>
      <c r="AE55" s="57">
        <f>[21]January_2019!O5</f>
        <v>0</v>
      </c>
      <c r="AF55" s="57">
        <f>[21]January_2019!P5</f>
        <v>0</v>
      </c>
      <c r="AG55" s="57">
        <f>[21]January_2019!Q5</f>
        <v>0</v>
      </c>
      <c r="AH55" s="57">
        <f>[21]January_2019!R5</f>
        <v>0</v>
      </c>
      <c r="AI55" s="57">
        <f>[21]January_2019!S5</f>
        <v>0</v>
      </c>
      <c r="AJ55" s="57">
        <f>[21]January_2019!T5</f>
        <v>0</v>
      </c>
      <c r="AK55" s="57">
        <f>[21]January_2019!U5</f>
        <v>0</v>
      </c>
      <c r="AL55" s="57">
        <f>[21]January_2019!V5</f>
        <v>0</v>
      </c>
      <c r="AM55" s="57">
        <f>[21]January_2019!W5</f>
        <v>0</v>
      </c>
      <c r="AN55" s="57">
        <f>[21]January_2019!X5</f>
        <v>0</v>
      </c>
      <c r="AO55" s="57">
        <f>[21]January_2019!Y5</f>
        <v>0</v>
      </c>
      <c r="AP55" s="57">
        <f>[21]January_2019!Z5</f>
        <v>0</v>
      </c>
      <c r="AQ55" s="57">
        <f>[21]January_2019!AA5</f>
        <v>0</v>
      </c>
      <c r="AR55" s="57">
        <f>[21]January_2019!AB5</f>
        <v>0</v>
      </c>
      <c r="AS55" s="57">
        <f>[21]January_2019!AC5</f>
        <v>0</v>
      </c>
      <c r="AT55" s="57">
        <f>[21]January_2019!AD5</f>
        <v>0</v>
      </c>
      <c r="AU55" s="57">
        <f>[21]January_2019!AE5</f>
        <v>0</v>
      </c>
      <c r="AV55" s="57">
        <f>[21]January_2019!AF5</f>
        <v>0</v>
      </c>
      <c r="AW55" s="57">
        <f>[21]January_2019!AG5</f>
        <v>0</v>
      </c>
      <c r="AX55" s="277">
        <f>[21]January_2019!AH5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4.25" hidden="1" customHeight="1" thickBot="1">
      <c r="B56" s="479"/>
      <c r="C56" s="478"/>
      <c r="D56" s="441"/>
      <c r="E56" s="442"/>
      <c r="F56" s="443"/>
      <c r="G56" s="444"/>
      <c r="H56" s="457"/>
      <c r="I56" s="457"/>
      <c r="J56" s="475"/>
      <c r="K56" s="448"/>
      <c r="L56" s="456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[21]January_2019!L6</f>
        <v>0</v>
      </c>
      <c r="AC56" s="57">
        <f>[21]January_2019!M6</f>
        <v>0</v>
      </c>
      <c r="AD56" s="57">
        <f>[21]January_2019!N6</f>
        <v>0</v>
      </c>
      <c r="AE56" s="57">
        <f>[21]January_2019!O6</f>
        <v>0</v>
      </c>
      <c r="AF56" s="57">
        <f>[21]January_2019!P6</f>
        <v>0</v>
      </c>
      <c r="AG56" s="57">
        <f>[21]January_2019!Q6</f>
        <v>0</v>
      </c>
      <c r="AH56" s="57">
        <f>[21]January_2019!R6</f>
        <v>0</v>
      </c>
      <c r="AI56" s="57">
        <f>[21]January_2019!S6</f>
        <v>0</v>
      </c>
      <c r="AJ56" s="57">
        <f>[21]January_2019!T6</f>
        <v>0</v>
      </c>
      <c r="AK56" s="57">
        <f>[21]January_2019!U6</f>
        <v>0</v>
      </c>
      <c r="AL56" s="57">
        <f>[21]January_2019!V6</f>
        <v>0</v>
      </c>
      <c r="AM56" s="57">
        <f>[21]January_2019!W6</f>
        <v>0</v>
      </c>
      <c r="AN56" s="57">
        <f>[21]January_2019!X6</f>
        <v>0</v>
      </c>
      <c r="AO56" s="57">
        <f>[21]January_2019!Y6</f>
        <v>0</v>
      </c>
      <c r="AP56" s="57">
        <f>[21]January_2019!Z6</f>
        <v>0</v>
      </c>
      <c r="AQ56" s="57">
        <f>[21]January_2019!AA6</f>
        <v>0</v>
      </c>
      <c r="AR56" s="57">
        <f>[21]January_2019!AB6</f>
        <v>0</v>
      </c>
      <c r="AS56" s="57">
        <f>[21]January_2019!AC6</f>
        <v>0</v>
      </c>
      <c r="AT56" s="57">
        <f>[21]January_2019!AD6</f>
        <v>0</v>
      </c>
      <c r="AU56" s="57">
        <f>[21]January_2019!AE6</f>
        <v>0</v>
      </c>
      <c r="AV56" s="57">
        <f>[21]January_2019!AF6</f>
        <v>0</v>
      </c>
      <c r="AW56" s="57">
        <f>[21]January_2019!AG6</f>
        <v>0</v>
      </c>
      <c r="AX56" s="277">
        <f>[21]January_2019!AH6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37.15" hidden="1" customHeight="1" thickBot="1">
      <c r="B57" s="489" t="str">
        <f>J41</f>
        <v>STAG</v>
      </c>
      <c r="C57" s="478">
        <v>46303</v>
      </c>
      <c r="D57" s="441">
        <f>[19]October_2026!$K$13</f>
        <v>292</v>
      </c>
      <c r="E57" s="442"/>
      <c r="F57" s="443"/>
      <c r="G57" s="443">
        <f>[19]October_2026!$K$17</f>
        <v>278</v>
      </c>
      <c r="H57" s="445"/>
      <c r="I57" s="445"/>
      <c r="J57" s="447" t="s">
        <v>150</v>
      </c>
      <c r="K57" s="448">
        <f>[20]October_2026!$K$25</f>
        <v>0.9754385964912281</v>
      </c>
      <c r="L57" s="456">
        <f>(((D57+E57)-G57)/(D57+E57))*100</f>
        <v>4.7945205479452051</v>
      </c>
      <c r="M57" s="454" t="s">
        <v>176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[21]January_2019!L7</f>
        <v>285.8</v>
      </c>
      <c r="AC57" s="57">
        <f>[21]January_2019!M7</f>
        <v>508.1</v>
      </c>
      <c r="AD57" s="57">
        <f>[21]January_2019!N7</f>
        <v>0</v>
      </c>
      <c r="AE57" s="57">
        <f>[21]January_2019!O7</f>
        <v>0</v>
      </c>
      <c r="AF57" s="57">
        <f>[21]January_2019!P7</f>
        <v>109.56666666666666</v>
      </c>
      <c r="AG57" s="57">
        <f>[21]January_2019!Q7</f>
        <v>297.64999999999998</v>
      </c>
      <c r="AH57" s="57">
        <f>[21]January_2019!R7</f>
        <v>122.3</v>
      </c>
      <c r="AI57" s="57">
        <f>[21]January_2019!S7</f>
        <v>0</v>
      </c>
      <c r="AJ57" s="57">
        <f>[21]January_2019!T7</f>
        <v>294.7</v>
      </c>
      <c r="AK57" s="57">
        <f>[21]January_2019!U7</f>
        <v>280.5</v>
      </c>
      <c r="AL57" s="57">
        <f>[21]January_2019!V7</f>
        <v>0</v>
      </c>
      <c r="AM57" s="57">
        <f>[21]January_2019!W7</f>
        <v>0</v>
      </c>
      <c r="AN57" s="57">
        <f>[21]January_2019!X7</f>
        <v>188.25</v>
      </c>
      <c r="AO57" s="57">
        <f>[21]January_2019!Y7</f>
        <v>295.7</v>
      </c>
      <c r="AP57" s="57">
        <f>[21]January_2019!Z7</f>
        <v>257.8</v>
      </c>
      <c r="AQ57" s="57">
        <f>[21]January_2019!AA7</f>
        <v>291.2</v>
      </c>
      <c r="AR57" s="57">
        <f>[21]January_2019!AB7</f>
        <v>187</v>
      </c>
      <c r="AS57" s="57">
        <f>[21]January_2019!AC7</f>
        <v>0</v>
      </c>
      <c r="AT57" s="57">
        <f>[21]January_2019!AD7</f>
        <v>0</v>
      </c>
      <c r="AU57" s="57">
        <f>[21]January_2019!AE7</f>
        <v>485.1</v>
      </c>
      <c r="AV57" s="57">
        <f>[21]January_2019!AF7</f>
        <v>171.55</v>
      </c>
      <c r="AW57" s="57">
        <f>[21]January_2019!AG7</f>
        <v>423.8</v>
      </c>
      <c r="AX57" s="277">
        <f>[21]January_2019!AH7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8.600000000000001" hidden="1" customHeight="1" thickBot="1">
      <c r="B58" s="477"/>
      <c r="C58" s="429"/>
      <c r="D58" s="430"/>
      <c r="E58" s="431"/>
      <c r="F58" s="432"/>
      <c r="G58" s="433"/>
      <c r="H58" s="457"/>
      <c r="I58" s="457"/>
      <c r="J58" s="450"/>
      <c r="K58" s="435"/>
      <c r="L58" s="451"/>
      <c r="M58" s="42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8.65" hidden="1" customHeight="1" thickBot="1">
      <c r="B59" s="486"/>
      <c r="C59" s="478"/>
      <c r="D59" s="441"/>
      <c r="E59" s="442"/>
      <c r="F59" s="443"/>
      <c r="G59" s="444"/>
      <c r="H59" s="457"/>
      <c r="I59" s="457"/>
      <c r="J59" s="447"/>
      <c r="K59" s="458"/>
      <c r="L59" s="456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5" hidden="1">
      <c r="B60" s="452"/>
      <c r="C60" s="429"/>
      <c r="D60" s="430"/>
      <c r="E60" s="431"/>
      <c r="F60" s="432"/>
      <c r="G60" s="433"/>
      <c r="H60" s="434"/>
      <c r="I60" s="449"/>
      <c r="J60" s="450"/>
      <c r="K60" s="435"/>
      <c r="L60" s="451"/>
      <c r="M60" s="42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hidden="1" customHeight="1" thickBot="1">
      <c r="B61" s="480"/>
      <c r="C61" s="478"/>
      <c r="D61" s="441"/>
      <c r="E61" s="442"/>
      <c r="F61" s="443"/>
      <c r="G61" s="444"/>
      <c r="H61" s="445"/>
      <c r="I61" s="446"/>
      <c r="J61" s="447"/>
      <c r="K61" s="448"/>
      <c r="L61" s="456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6.5" hidden="1" customHeight="1" thickBot="1">
      <c r="B62" s="436"/>
      <c r="C62" s="422"/>
      <c r="D62" s="423"/>
      <c r="E62" s="424"/>
      <c r="F62" s="425"/>
      <c r="G62" s="426"/>
      <c r="H62" s="427"/>
      <c r="I62" s="437"/>
      <c r="J62" s="438"/>
      <c r="K62" s="428"/>
      <c r="L62" s="439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4"/>
      <c r="AC62" s="414"/>
      <c r="AD62" s="414"/>
      <c r="AE62" s="414"/>
      <c r="AF62" s="414"/>
      <c r="AG62" s="414"/>
      <c r="AH62" s="414"/>
      <c r="AI62" s="414"/>
      <c r="AJ62" s="414"/>
      <c r="AK62" s="414"/>
      <c r="AL62" s="414"/>
      <c r="AM62" s="414"/>
      <c r="AN62" s="414"/>
      <c r="AO62" s="414"/>
      <c r="AP62" s="414"/>
      <c r="AQ62" s="414"/>
      <c r="AR62" s="414"/>
      <c r="AS62" s="414"/>
      <c r="AT62" s="414"/>
      <c r="AU62" s="414"/>
      <c r="AV62" s="414"/>
      <c r="AW62" s="414"/>
    </row>
    <row r="63" spans="2:57" s="54" customFormat="1" ht="37.15" hidden="1" customHeight="1" thickBot="1">
      <c r="B63" s="455"/>
      <c r="C63" s="440"/>
      <c r="D63" s="441"/>
      <c r="E63" s="442"/>
      <c r="F63" s="443"/>
      <c r="G63" s="444"/>
      <c r="H63" s="445"/>
      <c r="I63" s="446"/>
      <c r="J63" s="447"/>
      <c r="K63" s="448"/>
      <c r="L63" s="456"/>
      <c r="M63" s="453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>
      <c r="B64" s="465"/>
      <c r="C64" s="429"/>
      <c r="D64" s="459"/>
      <c r="E64" s="460"/>
      <c r="F64" s="461"/>
      <c r="G64" s="459"/>
      <c r="H64" s="462"/>
      <c r="I64" s="462"/>
      <c r="J64" s="462"/>
      <c r="K64" s="463"/>
      <c r="L64" s="464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03" t="s">
        <v>55</v>
      </c>
      <c r="C66" s="504"/>
      <c r="D66" s="504"/>
      <c r="E66" s="504"/>
      <c r="F66" s="505"/>
      <c r="G66" s="503" t="s">
        <v>56</v>
      </c>
      <c r="H66" s="504"/>
      <c r="I66" s="504"/>
      <c r="J66" s="505"/>
      <c r="K66" s="503" t="s">
        <v>51</v>
      </c>
      <c r="L66" s="504"/>
      <c r="M66" s="504"/>
      <c r="N66" s="506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65">
        <f>L55</f>
        <v>5.7678087256593482</v>
      </c>
      <c r="D68" s="76">
        <v>5.0617025726835605</v>
      </c>
      <c r="E68" s="76">
        <v>6.3604414265175544</v>
      </c>
      <c r="F68" s="66">
        <v>4.8</v>
      </c>
      <c r="G68" s="65">
        <f>[19]October_2026!$O$11</f>
        <v>6.8300073390577118</v>
      </c>
      <c r="H68" s="476">
        <v>5.7985102036843639</v>
      </c>
      <c r="I68" s="476">
        <v>6.4878376975724041</v>
      </c>
      <c r="J68" s="66">
        <v>4.8</v>
      </c>
      <c r="K68" s="67">
        <f>K55</f>
        <v>0.67070175438596491</v>
      </c>
      <c r="L68" s="194">
        <v>0.76686716791979959</v>
      </c>
      <c r="M68" s="194">
        <v>0.55336583801067774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5.062325108114992</v>
      </c>
      <c r="E69" s="76">
        <v>6.0120934601385283</v>
      </c>
      <c r="F69" s="66">
        <v>4.8</v>
      </c>
      <c r="G69" s="65"/>
      <c r="H69" s="76">
        <v>5.6760230336831157</v>
      </c>
      <c r="I69" s="76">
        <v>5.9217471497494181</v>
      </c>
      <c r="J69" s="66">
        <v>4.8</v>
      </c>
      <c r="K69" s="67"/>
      <c r="L69" s="194">
        <v>0.65473684210526317</v>
      </c>
      <c r="M69" s="194">
        <v>0.68123957181115813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10.890214570112384</v>
      </c>
      <c r="F70" s="66">
        <v>5.5</v>
      </c>
      <c r="G70" s="65"/>
      <c r="H70" s="76"/>
      <c r="I70" s="76">
        <v>11.797659278069149</v>
      </c>
      <c r="J70" s="66">
        <v>5.5</v>
      </c>
      <c r="K70" s="67"/>
      <c r="L70" s="194"/>
      <c r="M70" s="194">
        <v>0.35370190356844494</v>
      </c>
      <c r="N70" s="68">
        <v>1</v>
      </c>
      <c r="P70" s="69"/>
    </row>
    <row r="71" spans="2:16" ht="15">
      <c r="B71" s="22" t="s">
        <v>33</v>
      </c>
      <c r="C71" s="65"/>
      <c r="D71" s="76">
        <v>2.6160971335586405</v>
      </c>
      <c r="E71" s="76">
        <v>4.6053599467161712</v>
      </c>
      <c r="F71" s="66">
        <v>3.3</v>
      </c>
      <c r="G71" s="65"/>
      <c r="H71" s="76">
        <v>4.0562064167659644</v>
      </c>
      <c r="I71" s="76">
        <v>4.7835858167498584</v>
      </c>
      <c r="J71" s="66">
        <v>3.3</v>
      </c>
      <c r="K71" s="67"/>
      <c r="L71" s="194">
        <v>1.3649122807017544</v>
      </c>
      <c r="M71" s="194">
        <v>0.83244019138755987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6.3233965672990236</v>
      </c>
      <c r="F73" s="70">
        <v>5.5</v>
      </c>
      <c r="G73" s="65"/>
      <c r="H73" s="76"/>
      <c r="I73" s="76">
        <v>7.9667553186446929</v>
      </c>
      <c r="J73" s="66">
        <v>5.5</v>
      </c>
      <c r="K73" s="67"/>
      <c r="L73" s="194"/>
      <c r="M73" s="194">
        <v>0.5883625730994152</v>
      </c>
      <c r="N73" s="68">
        <v>1</v>
      </c>
      <c r="P73" s="69"/>
    </row>
    <row r="74" spans="2:16" ht="15">
      <c r="B74" s="37" t="s">
        <v>16</v>
      </c>
      <c r="C74" s="481"/>
      <c r="D74" s="76"/>
      <c r="E74" s="76">
        <v>3.9973372218347856</v>
      </c>
      <c r="F74" s="66">
        <v>3.3</v>
      </c>
      <c r="G74" s="282"/>
      <c r="H74" s="76"/>
      <c r="I74" s="76">
        <v>5.1096183510504902</v>
      </c>
      <c r="J74" s="66">
        <v>3.3</v>
      </c>
      <c r="K74" s="67"/>
      <c r="L74" s="194"/>
      <c r="M74" s="194">
        <v>0.89057130004498408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3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4.7006414166620489</v>
      </c>
      <c r="E77" s="76">
        <v>6.2947585755243551</v>
      </c>
      <c r="F77" s="341">
        <v>5.5</v>
      </c>
      <c r="H77" s="76">
        <v>5.4371284316169559</v>
      </c>
      <c r="I77" s="76">
        <v>6.6050831455670282</v>
      </c>
      <c r="J77" s="341">
        <v>5.5</v>
      </c>
      <c r="L77" s="194">
        <v>0.80424561403508787</v>
      </c>
      <c r="M77" s="194">
        <v>0.60603788058401398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1538" priority="123" operator="notBetween">
      <formula>#REF!</formula>
      <formula>#REF!</formula>
    </cfRule>
  </conditionalFormatting>
  <conditionalFormatting sqref="C52">
    <cfRule type="cellIs" dxfId="1537" priority="206" stopIfTrue="1" operator="greaterThan">
      <formula>100</formula>
    </cfRule>
    <cfRule type="cellIs" dxfId="1536" priority="205" stopIfTrue="1" operator="lessThan">
      <formula>96</formula>
    </cfRule>
  </conditionalFormatting>
  <conditionalFormatting sqref="C68:C69">
    <cfRule type="cellIs" dxfId="1535" priority="88" stopIfTrue="1" operator="greaterThan">
      <formula>$F68</formula>
    </cfRule>
    <cfRule type="cellIs" dxfId="1534" priority="89" stopIfTrue="1" operator="lessThanOrEqual">
      <formula>0</formula>
    </cfRule>
    <cfRule type="cellIs" dxfId="1533" priority="86" stopIfTrue="1" operator="greaterThan">
      <formula>$F68</formula>
    </cfRule>
    <cfRule type="cellIs" dxfId="1532" priority="87" stopIfTrue="1" operator="lessThanOrEqual">
      <formula>0</formula>
    </cfRule>
  </conditionalFormatting>
  <conditionalFormatting sqref="C70:C72 C74:C76">
    <cfRule type="cellIs" dxfId="1531" priority="95" stopIfTrue="1" operator="greaterThan">
      <formula>$F73</formula>
    </cfRule>
  </conditionalFormatting>
  <conditionalFormatting sqref="C70:C72">
    <cfRule type="cellIs" dxfId="1530" priority="96" stopIfTrue="1" operator="lessThanOrEqual">
      <formula>0</formula>
    </cfRule>
  </conditionalFormatting>
  <conditionalFormatting sqref="C73">
    <cfRule type="cellIs" dxfId="1529" priority="209" stopIfTrue="1" operator="greaterThan">
      <formula>$F68</formula>
    </cfRule>
    <cfRule type="cellIs" dxfId="1528" priority="210" stopIfTrue="1" operator="lessThanOrEqual">
      <formula>0</formula>
    </cfRule>
    <cfRule type="cellIs" dxfId="1527" priority="208" stopIfTrue="1" operator="lessThanOrEqual">
      <formula>0</formula>
    </cfRule>
    <cfRule type="cellIs" dxfId="1526" priority="207" stopIfTrue="1" operator="greaterThan">
      <formula>$F68</formula>
    </cfRule>
  </conditionalFormatting>
  <conditionalFormatting sqref="C74:C76">
    <cfRule type="cellIs" dxfId="1525" priority="97" stopIfTrue="1" operator="lessThanOrEqual">
      <formula>0</formula>
    </cfRule>
  </conditionalFormatting>
  <conditionalFormatting sqref="C79:C83">
    <cfRule type="cellIs" dxfId="1524" priority="197" stopIfTrue="1" operator="lessThanOrEqual">
      <formula>0</formula>
    </cfRule>
  </conditionalFormatting>
  <conditionalFormatting sqref="C80:C83">
    <cfRule type="cellIs" dxfId="1523" priority="196" stopIfTrue="1" operator="greaterThan">
      <formula>$F$79</formula>
    </cfRule>
  </conditionalFormatting>
  <conditionalFormatting sqref="C85">
    <cfRule type="cellIs" dxfId="1522" priority="199" stopIfTrue="1" operator="lessThanOrEqual">
      <formula>0</formula>
    </cfRule>
    <cfRule type="cellIs" dxfId="1521" priority="198" stopIfTrue="1" operator="greaterThan">
      <formula>$F$79</formula>
    </cfRule>
  </conditionalFormatting>
  <conditionalFormatting sqref="C73:D73">
    <cfRule type="cellIs" dxfId="1520" priority="84" stopIfTrue="1" operator="greaterThan">
      <formula>$J73</formula>
    </cfRule>
    <cfRule type="cellIs" dxfId="1519" priority="85" stopIfTrue="1" operator="lessThanOrEqual">
      <formula>0</formula>
    </cfRule>
  </conditionalFormatting>
  <conditionalFormatting sqref="C79:D79 D81:D87">
    <cfRule type="cellIs" dxfId="1518" priority="191" stopIfTrue="1" operator="greaterThan">
      <formula>4.5</formula>
    </cfRule>
  </conditionalFormatting>
  <conditionalFormatting sqref="D48:D49">
    <cfRule type="cellIs" dxfId="1517" priority="124" operator="notBetween">
      <formula>#REF!</formula>
      <formula>#REF!</formula>
    </cfRule>
  </conditionalFormatting>
  <conditionalFormatting sqref="D68:D72 D74:D75">
    <cfRule type="cellIs" dxfId="1516" priority="94" stopIfTrue="1" operator="lessThanOrEqual">
      <formula>0</formula>
    </cfRule>
  </conditionalFormatting>
  <conditionalFormatting sqref="D68:D72 D74:D77">
    <cfRule type="cellIs" dxfId="1515" priority="91" stopIfTrue="1" operator="greaterThan">
      <formula>$F68</formula>
    </cfRule>
    <cfRule type="cellIs" dxfId="1514" priority="90" stopIfTrue="1" operator="lessThanOrEqual">
      <formula>0</formula>
    </cfRule>
  </conditionalFormatting>
  <conditionalFormatting sqref="D76:D77">
    <cfRule type="cellIs" dxfId="1513" priority="92" stopIfTrue="1" operator="lessThanOrEqual">
      <formula>0</formula>
    </cfRule>
  </conditionalFormatting>
  <conditionalFormatting sqref="D77">
    <cfRule type="cellIs" dxfId="1512" priority="93" stopIfTrue="1" operator="lessThanOrEqual">
      <formula>0</formula>
    </cfRule>
  </conditionalFormatting>
  <conditionalFormatting sqref="D79 D81:D87">
    <cfRule type="cellIs" dxfId="1511" priority="192" stopIfTrue="1" operator="lessThanOrEqual">
      <formula>0</formula>
    </cfRule>
  </conditionalFormatting>
  <conditionalFormatting sqref="D80">
    <cfRule type="cellIs" dxfId="1510" priority="183" stopIfTrue="1" operator="greaterThan">
      <formula>$F$79</formula>
    </cfRule>
    <cfRule type="cellIs" dxfId="1509" priority="184" stopIfTrue="1" operator="lessThanOrEqual">
      <formula>0</formula>
    </cfRule>
  </conditionalFormatting>
  <conditionalFormatting sqref="E10:E23">
    <cfRule type="cellIs" dxfId="1508" priority="17" operator="lessThan">
      <formula>48</formula>
    </cfRule>
  </conditionalFormatting>
  <conditionalFormatting sqref="E51 E52:F52">
    <cfRule type="cellIs" dxfId="1507" priority="188" stopIfTrue="1" operator="greaterThan">
      <formula>100</formula>
    </cfRule>
  </conditionalFormatting>
  <conditionalFormatting sqref="E52">
    <cfRule type="cellIs" dxfId="1506" priority="186" stopIfTrue="1" operator="greaterThan">
      <formula>100</formula>
    </cfRule>
    <cfRule type="cellIs" dxfId="1505" priority="185" stopIfTrue="1" operator="lessThan">
      <formula>96.8</formula>
    </cfRule>
  </conditionalFormatting>
  <conditionalFormatting sqref="E68:E76">
    <cfRule type="cellIs" dxfId="1504" priority="57" stopIfTrue="1" operator="lessThanOrEqual">
      <formula>0</formula>
    </cfRule>
  </conditionalFormatting>
  <conditionalFormatting sqref="E68:E77">
    <cfRule type="cellIs" dxfId="1503" priority="59" stopIfTrue="1" operator="lessThanOrEqual">
      <formula>0</formula>
    </cfRule>
    <cfRule type="cellIs" dxfId="1502" priority="58" stopIfTrue="1" operator="greaterThan">
      <formula>$F68</formula>
    </cfRule>
  </conditionalFormatting>
  <conditionalFormatting sqref="E77">
    <cfRule type="cellIs" dxfId="1501" priority="60" stopIfTrue="1" operator="lessThanOrEqual">
      <formula>0</formula>
    </cfRule>
  </conditionalFormatting>
  <conditionalFormatting sqref="E79:E87">
    <cfRule type="cellIs" dxfId="1500" priority="177" stopIfTrue="1" operator="greaterThan">
      <formula>4.5</formula>
    </cfRule>
    <cfRule type="cellIs" dxfId="1499" priority="178" stopIfTrue="1" operator="lessThanOrEqual">
      <formula>0</formula>
    </cfRule>
  </conditionalFormatting>
  <conditionalFormatting sqref="E52:F52 E51">
    <cfRule type="cellIs" dxfId="1498" priority="187" stopIfTrue="1" operator="lessThan">
      <formula>96.5</formula>
    </cfRule>
  </conditionalFormatting>
  <conditionalFormatting sqref="F10:F11">
    <cfRule type="cellIs" dxfId="1497" priority="18" operator="greaterThan">
      <formula>60</formula>
    </cfRule>
  </conditionalFormatting>
  <conditionalFormatting sqref="F21:F23">
    <cfRule type="cellIs" dxfId="1496" priority="28" operator="greaterThan">
      <formula>60</formula>
    </cfRule>
  </conditionalFormatting>
  <conditionalFormatting sqref="F52">
    <cfRule type="cellIs" dxfId="1495" priority="204" stopIfTrue="1" operator="greaterThan">
      <formula>100</formula>
    </cfRule>
    <cfRule type="cellIs" dxfId="1494" priority="203" stopIfTrue="1" operator="lessThan">
      <formula>96.8</formula>
    </cfRule>
  </conditionalFormatting>
  <conditionalFormatting sqref="G12:G23">
    <cfRule type="expression" dxfId="1493" priority="30">
      <formula>IF(+(IF(G12&lt;S12,0,IF(G12&gt;T12,0,1)))=0,1)</formula>
    </cfRule>
  </conditionalFormatting>
  <conditionalFormatting sqref="G68:G71 F77">
    <cfRule type="cellIs" dxfId="1492" priority="67" stopIfTrue="1" operator="lessThanOrEqual">
      <formula>0</formula>
    </cfRule>
    <cfRule type="cellIs" dxfId="1491" priority="66" stopIfTrue="1" operator="greaterThan">
      <formula>$F68</formula>
    </cfRule>
  </conditionalFormatting>
  <conditionalFormatting sqref="G70:G71">
    <cfRule type="cellIs" dxfId="1490" priority="52" stopIfTrue="1" operator="greaterThan">
      <formula>$F70</formula>
    </cfRule>
    <cfRule type="cellIs" dxfId="1489" priority="53" stopIfTrue="1" operator="lessThanOrEqual">
      <formula>0</formula>
    </cfRule>
  </conditionalFormatting>
  <conditionalFormatting sqref="G72:G76">
    <cfRule type="cellIs" dxfId="1488" priority="69" stopIfTrue="1" operator="lessThanOrEqual">
      <formula>0</formula>
    </cfRule>
    <cfRule type="cellIs" dxfId="1487" priority="68" stopIfTrue="1" operator="greaterThan">
      <formula>$J72</formula>
    </cfRule>
  </conditionalFormatting>
  <conditionalFormatting sqref="G73">
    <cfRule type="cellIs" dxfId="1486" priority="211" stopIfTrue="1" operator="greaterThan">
      <formula>$F68</formula>
    </cfRule>
    <cfRule type="cellIs" dxfId="1485" priority="212" stopIfTrue="1" operator="lessThanOrEqual">
      <formula>0</formula>
    </cfRule>
  </conditionalFormatting>
  <conditionalFormatting sqref="G81:G86 C84 C86">
    <cfRule type="cellIs" dxfId="1484" priority="201" stopIfTrue="1" operator="lessThanOrEqual">
      <formula>0</formula>
    </cfRule>
    <cfRule type="cellIs" dxfId="1483" priority="200" stopIfTrue="1" operator="greaterThan">
      <formula>4.5</formula>
    </cfRule>
  </conditionalFormatting>
  <conditionalFormatting sqref="G11:H11">
    <cfRule type="expression" dxfId="1482" priority="33">
      <formula>IF(+(IF(G11&lt;#REF!,0,IF(G11&gt;#REF!,0,1)))=0,1)</formula>
    </cfRule>
  </conditionalFormatting>
  <conditionalFormatting sqref="G80:H80">
    <cfRule type="cellIs" dxfId="1481" priority="181" stopIfTrue="1" operator="greaterThan">
      <formula>$F$79</formula>
    </cfRule>
    <cfRule type="cellIs" dxfId="1480" priority="182" stopIfTrue="1" operator="lessThanOrEqual">
      <formula>0</formula>
    </cfRule>
  </conditionalFormatting>
  <conditionalFormatting sqref="H10 M10:N11">
    <cfRule type="expression" dxfId="1479" priority="20">
      <formula>IF(+(IF(H10&lt;#REF!,0,IF(H10&gt;#REF!,0,1)))=0,1)</formula>
    </cfRule>
  </conditionalFormatting>
  <conditionalFormatting sqref="H12:H23">
    <cfRule type="expression" dxfId="1478" priority="31">
      <formula>IF(+(IF(H12&lt;#REF!,0,IF(H12&gt;#REF!,0,1)))=0,1)</formula>
    </cfRule>
  </conditionalFormatting>
  <conditionalFormatting sqref="H37:H38 H51">
    <cfRule type="cellIs" dxfId="1477" priority="179" stopIfTrue="1" operator="greaterThan">
      <formula>0</formula>
    </cfRule>
  </conditionalFormatting>
  <conditionalFormatting sqref="H55">
    <cfRule type="cellIs" dxfId="1476" priority="82" stopIfTrue="1" operator="greaterThan">
      <formula>$F$69</formula>
    </cfRule>
    <cfRule type="cellIs" dxfId="1475" priority="81" stopIfTrue="1" operator="lessThanOrEqual">
      <formula>0</formula>
    </cfRule>
    <cfRule type="cellIs" dxfId="1474" priority="80" stopIfTrue="1" operator="greaterThan">
      <formula>$F$71</formula>
    </cfRule>
    <cfRule type="cellIs" dxfId="1473" priority="71" stopIfTrue="1" operator="lessThanOrEqual">
      <formula>0</formula>
    </cfRule>
    <cfRule type="cellIs" dxfId="1472" priority="72" stopIfTrue="1" operator="greaterThan">
      <formula>$F$68</formula>
    </cfRule>
  </conditionalFormatting>
  <conditionalFormatting sqref="H55:H56">
    <cfRule type="cellIs" dxfId="1471" priority="83" stopIfTrue="1" operator="lessThanOrEqual">
      <formula>0</formula>
    </cfRule>
  </conditionalFormatting>
  <conditionalFormatting sqref="H56 H58:H59">
    <cfRule type="cellIs" dxfId="1470" priority="109" stopIfTrue="1" operator="lessThanOrEqual">
      <formula>0</formula>
    </cfRule>
  </conditionalFormatting>
  <conditionalFormatting sqref="H56">
    <cfRule type="cellIs" dxfId="1469" priority="106" stopIfTrue="1" operator="greaterThan">
      <formula>$F$71</formula>
    </cfRule>
    <cfRule type="cellIs" dxfId="1468" priority="98" stopIfTrue="1" operator="greaterThan">
      <formula>$F$68</formula>
    </cfRule>
    <cfRule type="cellIs" dxfId="1467" priority="107" stopIfTrue="1" operator="lessThanOrEqual">
      <formula>0</formula>
    </cfRule>
    <cfRule type="cellIs" dxfId="1466" priority="108" stopIfTrue="1" operator="greaterThan">
      <formula>$F$69</formula>
    </cfRule>
  </conditionalFormatting>
  <conditionalFormatting sqref="H57">
    <cfRule type="cellIs" dxfId="1465" priority="38" stopIfTrue="1" operator="lessThanOrEqual">
      <formula>0</formula>
    </cfRule>
    <cfRule type="cellIs" dxfId="1464" priority="39" stopIfTrue="1" operator="greaterThan">
      <formula>$F$70</formula>
    </cfRule>
    <cfRule type="cellIs" dxfId="1463" priority="47" stopIfTrue="1" operator="greaterThan">
      <formula>$F$73</formula>
    </cfRule>
    <cfRule type="cellIs" dxfId="1462" priority="48" stopIfTrue="1" operator="lessThanOrEqual">
      <formula>0</formula>
    </cfRule>
    <cfRule type="cellIs" dxfId="1461" priority="49" stopIfTrue="1" operator="greaterThan">
      <formula>$F$71</formula>
    </cfRule>
    <cfRule type="cellIs" dxfId="1460" priority="50" stopIfTrue="1" operator="lessThanOrEqual">
      <formula>0</formula>
    </cfRule>
  </conditionalFormatting>
  <conditionalFormatting sqref="H58:H59">
    <cfRule type="cellIs" dxfId="1459" priority="119" stopIfTrue="1" operator="greaterThan">
      <formula>$F$71</formula>
    </cfRule>
    <cfRule type="cellIs" dxfId="1458" priority="111" stopIfTrue="1" operator="greaterThan">
      <formula>$F$68</formula>
    </cfRule>
    <cfRule type="cellIs" dxfId="1457" priority="121" stopIfTrue="1" operator="greaterThan">
      <formula>$F$69</formula>
    </cfRule>
    <cfRule type="cellIs" dxfId="1456" priority="122" stopIfTrue="1" operator="lessThanOrEqual">
      <formula>0</formula>
    </cfRule>
    <cfRule type="cellIs" dxfId="1455" priority="120" stopIfTrue="1" operator="lessThanOrEqual">
      <formula>0</formula>
    </cfRule>
  </conditionalFormatting>
  <conditionalFormatting sqref="H60:H61">
    <cfRule type="cellIs" dxfId="1454" priority="147" stopIfTrue="1" operator="greaterThan">
      <formula>#REF!</formula>
    </cfRule>
    <cfRule type="cellIs" dxfId="1453" priority="146" stopIfTrue="1" operator="lessThanOrEqual">
      <formula>0</formula>
    </cfRule>
    <cfRule type="cellIs" dxfId="1452" priority="155" stopIfTrue="1" operator="greaterThan">
      <formula>#REF!</formula>
    </cfRule>
    <cfRule type="cellIs" dxfId="1451" priority="156" stopIfTrue="1" operator="lessThanOrEqual">
      <formula>0</formula>
    </cfRule>
  </conditionalFormatting>
  <conditionalFormatting sqref="H62">
    <cfRule type="cellIs" dxfId="1450" priority="170" stopIfTrue="1" operator="lessThanOrEqual">
      <formula>0</formula>
    </cfRule>
    <cfRule type="cellIs" dxfId="1449" priority="167" stopIfTrue="1" operator="greaterThan">
      <formula>$F$39</formula>
    </cfRule>
    <cfRule type="cellIs" dxfId="1448" priority="158" stopIfTrue="1" operator="lessThanOrEqual">
      <formula>0</formula>
    </cfRule>
    <cfRule type="cellIs" dxfId="1447" priority="159" stopIfTrue="1" operator="greaterThan">
      <formula>$F$36</formula>
    </cfRule>
    <cfRule type="cellIs" dxfId="1446" priority="168" stopIfTrue="1" operator="lessThanOrEqual">
      <formula>0</formula>
    </cfRule>
    <cfRule type="cellIs" dxfId="1445" priority="169" stopIfTrue="1" operator="greaterThan">
      <formula>$F$37</formula>
    </cfRule>
  </conditionalFormatting>
  <conditionalFormatting sqref="H63:H64">
    <cfRule type="cellIs" dxfId="1444" priority="134" stopIfTrue="1" operator="lessThanOrEqual">
      <formula>0</formula>
    </cfRule>
    <cfRule type="cellIs" dxfId="1443" priority="143" stopIfTrue="1" operator="greaterThan">
      <formula>#REF!</formula>
    </cfRule>
    <cfRule type="cellIs" dxfId="1442" priority="135" stopIfTrue="1" operator="greaterThan">
      <formula>#REF!</formula>
    </cfRule>
    <cfRule type="cellIs" dxfId="1441" priority="144" stopIfTrue="1" operator="lessThanOrEqual">
      <formula>0</formula>
    </cfRule>
  </conditionalFormatting>
  <conditionalFormatting sqref="H79 H81:H87">
    <cfRule type="cellIs" dxfId="1440" priority="193" stopIfTrue="1" operator="greaterThan">
      <formula>4.5</formula>
    </cfRule>
    <cfRule type="cellIs" dxfId="1439" priority="194" stopIfTrue="1" operator="lessThanOrEqual">
      <formula>0</formula>
    </cfRule>
  </conditionalFormatting>
  <conditionalFormatting sqref="H55:I55">
    <cfRule type="cellIs" dxfId="1438" priority="73" stopIfTrue="1" operator="lessThanOrEqual">
      <formula>0</formula>
    </cfRule>
  </conditionalFormatting>
  <conditionalFormatting sqref="H55:I56 H58:I59">
    <cfRule type="cellIs" dxfId="1437" priority="70" stopIfTrue="1" operator="greaterThan">
      <formula>$F$70</formula>
    </cfRule>
  </conditionalFormatting>
  <conditionalFormatting sqref="H56:I56">
    <cfRule type="cellIs" dxfId="1436" priority="99" stopIfTrue="1" operator="lessThanOrEqual">
      <formula>0</formula>
    </cfRule>
  </conditionalFormatting>
  <conditionalFormatting sqref="H57:I57">
    <cfRule type="cellIs" dxfId="1435" priority="37" stopIfTrue="1" operator="greaterThan">
      <formula>$F$72</formula>
    </cfRule>
    <cfRule type="cellIs" dxfId="1434" priority="40" stopIfTrue="1" operator="lessThanOrEqual">
      <formula>0</formula>
    </cfRule>
  </conditionalFormatting>
  <conditionalFormatting sqref="H58:I59">
    <cfRule type="cellIs" dxfId="1433" priority="112" stopIfTrue="1" operator="lessThanOrEqual">
      <formula>0</formula>
    </cfRule>
  </conditionalFormatting>
  <conditionalFormatting sqref="H60:I61">
    <cfRule type="cellIs" dxfId="1432" priority="145" stopIfTrue="1" operator="greaterThan">
      <formula>#REF!</formula>
    </cfRule>
    <cfRule type="cellIs" dxfId="1431" priority="154" stopIfTrue="1" operator="lessThanOrEqual">
      <formula>0</formula>
    </cfRule>
    <cfRule type="cellIs" dxfId="1430" priority="148" stopIfTrue="1" operator="lessThanOrEqual">
      <formula>0</formula>
    </cfRule>
    <cfRule type="cellIs" dxfId="1429" priority="153" stopIfTrue="1" operator="greaterThan">
      <formula>#REF!</formula>
    </cfRule>
  </conditionalFormatting>
  <conditionalFormatting sqref="H62:I62">
    <cfRule type="cellIs" dxfId="1428" priority="160" stopIfTrue="1" operator="lessThanOrEqual">
      <formula>0</formula>
    </cfRule>
    <cfRule type="cellIs" dxfId="1427" priority="157" stopIfTrue="1" operator="greaterThan">
      <formula>$F$38</formula>
    </cfRule>
  </conditionalFormatting>
  <conditionalFormatting sqref="H63:I64">
    <cfRule type="cellIs" dxfId="1426" priority="136" stopIfTrue="1" operator="lessThanOrEqual">
      <formula>0</formula>
    </cfRule>
    <cfRule type="cellIs" dxfId="1425" priority="142" stopIfTrue="1" operator="lessThanOrEqual">
      <formula>0</formula>
    </cfRule>
    <cfRule type="cellIs" dxfId="1424" priority="141" stopIfTrue="1" operator="greaterThan">
      <formula>#REF!</formula>
    </cfRule>
    <cfRule type="cellIs" dxfId="1423" priority="133" stopIfTrue="1" operator="greaterThan">
      <formula>#REF!</formula>
    </cfRule>
  </conditionalFormatting>
  <conditionalFormatting sqref="H68:I75">
    <cfRule type="cellIs" dxfId="1422" priority="55" stopIfTrue="1" operator="greaterThan">
      <formula>$J68</formula>
    </cfRule>
    <cfRule type="cellIs" dxfId="1421" priority="56" stopIfTrue="1" operator="lessThanOrEqual">
      <formula>0</formula>
    </cfRule>
  </conditionalFormatting>
  <conditionalFormatting sqref="H76:I76">
    <cfRule type="cellIs" dxfId="1420" priority="63" operator="greaterThan">
      <formula>5.3</formula>
    </cfRule>
  </conditionalFormatting>
  <conditionalFormatting sqref="H77:I77">
    <cfRule type="cellIs" dxfId="1419" priority="62" stopIfTrue="1" operator="lessThanOrEqual">
      <formula>0</formula>
    </cfRule>
    <cfRule type="cellIs" dxfId="1418" priority="61" stopIfTrue="1" operator="greaterThan">
      <formula>$J77</formula>
    </cfRule>
  </conditionalFormatting>
  <conditionalFormatting sqref="I55">
    <cfRule type="cellIs" dxfId="1417" priority="78" stopIfTrue="1" operator="greaterThan">
      <formula>$F$68</formula>
    </cfRule>
    <cfRule type="cellIs" dxfId="1416" priority="77" stopIfTrue="1" operator="lessThanOrEqual">
      <formula>0</formula>
    </cfRule>
    <cfRule type="cellIs" dxfId="1415" priority="76" stopIfTrue="1" operator="greaterThan">
      <formula>$F$70</formula>
    </cfRule>
    <cfRule type="cellIs" dxfId="1414" priority="75" stopIfTrue="1" operator="lessThanOrEqual">
      <formula>0</formula>
    </cfRule>
    <cfRule type="cellIs" dxfId="1413" priority="74" stopIfTrue="1" operator="greaterThan">
      <formula>$F$68</formula>
    </cfRule>
    <cfRule type="cellIs" dxfId="1412" priority="79" stopIfTrue="1" operator="lessThanOrEqual">
      <formula>0</formula>
    </cfRule>
  </conditionalFormatting>
  <conditionalFormatting sqref="I56">
    <cfRule type="cellIs" dxfId="1411" priority="100" stopIfTrue="1" operator="greaterThan">
      <formula>$F$68</formula>
    </cfRule>
    <cfRule type="cellIs" dxfId="1410" priority="101" stopIfTrue="1" operator="lessThanOrEqual">
      <formula>0</formula>
    </cfRule>
    <cfRule type="cellIs" dxfId="1409" priority="103" stopIfTrue="1" operator="lessThanOrEqual">
      <formula>0</formula>
    </cfRule>
    <cfRule type="cellIs" dxfId="1408" priority="105" stopIfTrue="1" operator="lessThanOrEqual">
      <formula>0</formula>
    </cfRule>
    <cfRule type="cellIs" dxfId="1407" priority="104" stopIfTrue="1" operator="greaterThan">
      <formula>$F$68</formula>
    </cfRule>
    <cfRule type="cellIs" dxfId="1406" priority="102" stopIfTrue="1" operator="greaterThan">
      <formula>$F$70</formula>
    </cfRule>
  </conditionalFormatting>
  <conditionalFormatting sqref="I57">
    <cfRule type="cellIs" dxfId="1405" priority="42" stopIfTrue="1" operator="lessThanOrEqual">
      <formula>0</formula>
    </cfRule>
    <cfRule type="cellIs" dxfId="1404" priority="41" stopIfTrue="1" operator="greaterThan">
      <formula>$F$70</formula>
    </cfRule>
    <cfRule type="cellIs" dxfId="1403" priority="43" stopIfTrue="1" operator="greaterThan">
      <formula>$F$72</formula>
    </cfRule>
    <cfRule type="cellIs" dxfId="1402" priority="44" stopIfTrue="1" operator="lessThanOrEqual">
      <formula>0</formula>
    </cfRule>
    <cfRule type="cellIs" dxfId="1401" priority="45" stopIfTrue="1" operator="greaterThan">
      <formula>$F$70</formula>
    </cfRule>
    <cfRule type="cellIs" dxfId="1400" priority="46" stopIfTrue="1" operator="lessThanOrEqual">
      <formula>0</formula>
    </cfRule>
  </conditionalFormatting>
  <conditionalFormatting sqref="I58:I59">
    <cfRule type="cellIs" dxfId="1399" priority="114" stopIfTrue="1" operator="lessThanOrEqual">
      <formula>0</formula>
    </cfRule>
    <cfRule type="cellIs" dxfId="1398" priority="113" stopIfTrue="1" operator="greaterThan">
      <formula>$F$68</formula>
    </cfRule>
    <cfRule type="cellIs" dxfId="1397" priority="115" stopIfTrue="1" operator="greaterThan">
      <formula>$F$70</formula>
    </cfRule>
    <cfRule type="cellIs" dxfId="1396" priority="118" stopIfTrue="1" operator="lessThanOrEqual">
      <formula>0</formula>
    </cfRule>
    <cfRule type="cellIs" dxfId="1395" priority="117" stopIfTrue="1" operator="greaterThan">
      <formula>$F$68</formula>
    </cfRule>
    <cfRule type="cellIs" dxfId="1394" priority="116" stopIfTrue="1" operator="lessThanOrEqual">
      <formula>0</formula>
    </cfRule>
  </conditionalFormatting>
  <conditionalFormatting sqref="I60:I61">
    <cfRule type="cellIs" dxfId="1393" priority="152" stopIfTrue="1" operator="lessThanOrEqual">
      <formula>0</formula>
    </cfRule>
    <cfRule type="cellIs" dxfId="1392" priority="151" stopIfTrue="1" operator="greaterThan">
      <formula>#REF!</formula>
    </cfRule>
    <cfRule type="cellIs" dxfId="1391" priority="149" stopIfTrue="1" operator="greaterThan">
      <formula>#REF!</formula>
    </cfRule>
    <cfRule type="cellIs" dxfId="1390" priority="150" stopIfTrue="1" operator="lessThanOrEqual">
      <formula>0</formula>
    </cfRule>
  </conditionalFormatting>
  <conditionalFormatting sqref="I62">
    <cfRule type="cellIs" dxfId="1389" priority="161" stopIfTrue="1" operator="greaterThan">
      <formula>$F$36</formula>
    </cfRule>
    <cfRule type="cellIs" dxfId="1388" priority="162" stopIfTrue="1" operator="lessThanOrEqual">
      <formula>0</formula>
    </cfRule>
    <cfRule type="cellIs" dxfId="1387" priority="163" stopIfTrue="1" operator="greaterThan">
      <formula>$F$38</formula>
    </cfRule>
    <cfRule type="cellIs" dxfId="1386" priority="164" stopIfTrue="1" operator="lessThanOrEqual">
      <formula>0</formula>
    </cfRule>
    <cfRule type="cellIs" dxfId="1385" priority="165" stopIfTrue="1" operator="greaterThan">
      <formula>$F$36</formula>
    </cfRule>
    <cfRule type="cellIs" dxfId="1384" priority="166" stopIfTrue="1" operator="lessThanOrEqual">
      <formula>0</formula>
    </cfRule>
  </conditionalFormatting>
  <conditionalFormatting sqref="I63:I64">
    <cfRule type="cellIs" dxfId="1383" priority="138" stopIfTrue="1" operator="lessThanOrEqual">
      <formula>0</formula>
    </cfRule>
    <cfRule type="cellIs" dxfId="1382" priority="137" stopIfTrue="1" operator="greaterThan">
      <formula>#REF!</formula>
    </cfRule>
    <cfRule type="cellIs" dxfId="1381" priority="139" stopIfTrue="1" operator="greaterThan">
      <formula>#REF!</formula>
    </cfRule>
    <cfRule type="cellIs" dxfId="1380" priority="140" stopIfTrue="1" operator="lessThanOrEqual">
      <formula>0</formula>
    </cfRule>
  </conditionalFormatting>
  <conditionalFormatting sqref="I79:I87">
    <cfRule type="cellIs" dxfId="1379" priority="190" stopIfTrue="1" operator="lessThanOrEqual">
      <formula>0</formula>
    </cfRule>
    <cfRule type="cellIs" dxfId="1378" priority="189" stopIfTrue="1" operator="greaterThan">
      <formula>4.5</formula>
    </cfRule>
  </conditionalFormatting>
  <conditionalFormatting sqref="I10:J23">
    <cfRule type="cellIs" dxfId="1377" priority="11" operator="lessThan">
      <formula>97.9</formula>
    </cfRule>
  </conditionalFormatting>
  <conditionalFormatting sqref="J26:J28">
    <cfRule type="cellIs" dxfId="1376" priority="36" operator="lessThan">
      <formula>97.95</formula>
    </cfRule>
  </conditionalFormatting>
  <conditionalFormatting sqref="J27:J30">
    <cfRule type="cellIs" dxfId="1375" priority="171" operator="lessThan">
      <formula>97.4</formula>
    </cfRule>
  </conditionalFormatting>
  <conditionalFormatting sqref="J31:J32">
    <cfRule type="cellIs" dxfId="1374" priority="172" operator="lessThan">
      <formula>98</formula>
    </cfRule>
  </conditionalFormatting>
  <conditionalFormatting sqref="J33:J34">
    <cfRule type="cellIs" dxfId="1373" priority="174" stopIfTrue="1" operator="greaterThan">
      <formula>100</formula>
    </cfRule>
    <cfRule type="cellIs" dxfId="1372" priority="173" stopIfTrue="1" operator="lessThan">
      <formula>96.8</formula>
    </cfRule>
  </conditionalFormatting>
  <conditionalFormatting sqref="J33:J35">
    <cfRule type="cellIs" dxfId="1371" priority="175" operator="lessThan">
      <formula>98</formula>
    </cfRule>
  </conditionalFormatting>
  <conditionalFormatting sqref="J64">
    <cfRule type="cellIs" dxfId="1370" priority="125" stopIfTrue="1" operator="greaterThan">
      <formula>#REF!</formula>
    </cfRule>
    <cfRule type="cellIs" dxfId="1369" priority="126" stopIfTrue="1" operator="lessThanOrEqual">
      <formula>0</formula>
    </cfRule>
    <cfRule type="cellIs" dxfId="1368" priority="127" stopIfTrue="1" operator="greaterThan">
      <formula>#REF!</formula>
    </cfRule>
    <cfRule type="cellIs" dxfId="1367" priority="132" stopIfTrue="1" operator="lessThanOrEqual">
      <formula>0</formula>
    </cfRule>
    <cfRule type="cellIs" dxfId="1366" priority="131" stopIfTrue="1" operator="greaterThan">
      <formula>#REF!</formula>
    </cfRule>
    <cfRule type="cellIs" dxfId="1365" priority="129" stopIfTrue="1" operator="greaterThan">
      <formula>#REF!</formula>
    </cfRule>
    <cfRule type="cellIs" dxfId="1364" priority="130" stopIfTrue="1" operator="lessThanOrEqual">
      <formula>0</formula>
    </cfRule>
    <cfRule type="cellIs" dxfId="1363" priority="128" stopIfTrue="1" operator="lessThanOrEqual">
      <formula>0</formula>
    </cfRule>
  </conditionalFormatting>
  <conditionalFormatting sqref="J77">
    <cfRule type="cellIs" dxfId="1362" priority="64" stopIfTrue="1" operator="greaterThan">
      <formula>$F77</formula>
    </cfRule>
    <cfRule type="cellIs" dxfId="1361" priority="65" stopIfTrue="1" operator="lessThanOrEqual">
      <formula>0</formula>
    </cfRule>
  </conditionalFormatting>
  <conditionalFormatting sqref="K10:K23">
    <cfRule type="cellIs" dxfId="1360" priority="14" operator="greaterThan">
      <formula>6.4</formula>
    </cfRule>
    <cfRule type="cellIs" dxfId="1359" priority="13" operator="lessThan">
      <formula>4</formula>
    </cfRule>
    <cfRule type="cellIs" dxfId="1358" priority="12" operator="greaterThan">
      <formula>6</formula>
    </cfRule>
  </conditionalFormatting>
  <conditionalFormatting sqref="K55:K64">
    <cfRule type="cellIs" dxfId="1357" priority="110" stopIfTrue="1" operator="lessThan">
      <formula>100%</formula>
    </cfRule>
  </conditionalFormatting>
  <conditionalFormatting sqref="K68:K76">
    <cfRule type="cellIs" dxfId="1356" priority="54" stopIfTrue="1" operator="lessThan">
      <formula>100%</formula>
    </cfRule>
  </conditionalFormatting>
  <conditionalFormatting sqref="K79:K84">
    <cfRule type="cellIs" dxfId="1355" priority="195" stopIfTrue="1" operator="lessThan">
      <formula>100%</formula>
    </cfRule>
  </conditionalFormatting>
  <conditionalFormatting sqref="K86:K87">
    <cfRule type="cellIs" dxfId="1354" priority="202" stopIfTrue="1" operator="lessThan">
      <formula>100%</formula>
    </cfRule>
  </conditionalFormatting>
  <conditionalFormatting sqref="L10:L23">
    <cfRule type="cellIs" dxfId="1353" priority="16" operator="greaterThan">
      <formula>65</formula>
    </cfRule>
    <cfRule type="cellIs" dxfId="1352" priority="15" operator="between">
      <formula>61</formula>
      <formula>65</formula>
    </cfRule>
  </conditionalFormatting>
  <conditionalFormatting sqref="L26:M37">
    <cfRule type="cellIs" dxfId="1351" priority="35" operator="lessThan">
      <formula>97.95</formula>
    </cfRule>
  </conditionalFormatting>
  <conditionalFormatting sqref="L41:N41">
    <cfRule type="cellIs" dxfId="1350" priority="34" operator="notEqual">
      <formula>#REF!</formula>
    </cfRule>
  </conditionalFormatting>
  <conditionalFormatting sqref="L68:N77">
    <cfRule type="cellIs" dxfId="1349" priority="51" stopIfTrue="1" operator="lessThan">
      <formula>100%</formula>
    </cfRule>
  </conditionalFormatting>
  <conditionalFormatting sqref="L79:N87">
    <cfRule type="cellIs" dxfId="1348" priority="180" stopIfTrue="1" operator="lessThan">
      <formula>100%</formula>
    </cfRule>
  </conditionalFormatting>
  <conditionalFormatting sqref="M21:M23">
    <cfRule type="expression" dxfId="1347" priority="29">
      <formula>IF(+(IF(M21&lt;U21,0,IF(M21&gt;V21,0,1)))=0,1)</formula>
    </cfRule>
  </conditionalFormatting>
  <conditionalFormatting sqref="M12:N20 N21:N23">
    <cfRule type="expression" dxfId="1346" priority="32">
      <formula>IF(+(IF(M12&lt;V12,0,IF(M12&gt;W12,0,1)))=0,1)</formula>
    </cfRule>
  </conditionalFormatting>
  <conditionalFormatting sqref="N10:N11">
    <cfRule type="expression" dxfId="1345" priority="19">
      <formula>IF(+(IF(N10&lt;W10,0,IF(N10&gt;X10,0,1)))=0,1)</formula>
    </cfRule>
  </conditionalFormatting>
  <conditionalFormatting sqref="P6">
    <cfRule type="cellIs" dxfId="1344" priority="176" operator="greaterThanOrEqual">
      <formula>19</formula>
    </cfRule>
  </conditionalFormatting>
  <dataValidations count="1">
    <dataValidation type="list" allowBlank="1" showInputMessage="1" showErrorMessage="1" sqref="R8" xr:uid="{C1202B3E-04B8-48FD-BB78-F3CBCF8929B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FB7A-93BE-4CFB-BA94-8FC0B2E87727}">
  <sheetPr>
    <pageSetUpPr fitToPage="1"/>
  </sheetPr>
  <dimension ref="A1:BE75"/>
  <sheetViews>
    <sheetView topLeftCell="A5" zoomScale="85" zoomScaleNormal="85" workbookViewId="0">
      <selection activeCell="M30" sqref="L30:M3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46309</v>
      </c>
      <c r="J4" s="397" t="s">
        <v>153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7" t="s">
        <v>16</v>
      </c>
      <c r="C10" s="366" t="str">
        <f>[8]Brewhouse!$A112</f>
        <v>SM099</v>
      </c>
      <c r="D10" s="279">
        <f>[8]Brewhouse!$AH112</f>
        <v>53</v>
      </c>
      <c r="E10" s="279">
        <f>[8]Brewhouse!$AM112</f>
        <v>51.1</v>
      </c>
      <c r="F10" s="278">
        <f>[8]Brewhouse!$Z112</f>
        <v>90</v>
      </c>
      <c r="G10" s="279">
        <f>[8]Brewhouse!$AK112</f>
        <v>17</v>
      </c>
      <c r="H10" s="396">
        <v>17</v>
      </c>
      <c r="I10" s="368">
        <f>[8]Brewhouse!$AY112</f>
        <v>97.214271955083348</v>
      </c>
      <c r="J10" s="368">
        <f>[8]Brewhouse!$AZ112</f>
        <v>97.481077972249778</v>
      </c>
      <c r="K10" s="281">
        <f>[8]Brewhouse!$U112</f>
        <v>6.754716981132086</v>
      </c>
      <c r="L10" s="276">
        <f>[8]Brewhouse!$T112</f>
        <v>60</v>
      </c>
      <c r="M10" s="374">
        <f>[8]Brewhouse!$Y112-[8]Brewhouse!$X112</f>
        <v>0.17291666666666661</v>
      </c>
      <c r="N10" s="370">
        <f>[8]Brewhouse!$AD112</f>
        <v>0.33958333333333335</v>
      </c>
      <c r="O10" s="371" t="str">
        <f>[8]Brewhouse!$BC112</f>
        <v>D. Gomaz</v>
      </c>
      <c r="P10" s="417"/>
      <c r="R10" s="277" t="str">
        <f t="shared" ref="R10:R35" si="0">B10</f>
        <v>STARMALT</v>
      </c>
      <c r="S10" s="471">
        <f t="shared" ref="S10:S35" si="1">VLOOKUP($B10,$R$3:$X$9,2,FALSE)</f>
        <v>17</v>
      </c>
      <c r="T10" s="471">
        <f t="shared" ref="T10:T35" si="2">VLOOKUP($B10,$R$3:$X$9,3,FALSE)</f>
        <v>17.399999999999999</v>
      </c>
      <c r="U10" s="297">
        <f t="shared" ref="U10:U35" si="3">VLOOKUP($B10,$R$3:$X$9,4,FALSE)</f>
        <v>0</v>
      </c>
      <c r="V10" s="297">
        <f t="shared" ref="V10:V35" si="4">VLOOKUP($B10,$R$3:$X$9,5,FALSE)</f>
        <v>0.13605324074074074</v>
      </c>
      <c r="W10" s="297">
        <f t="shared" ref="W10:W35" si="5">VLOOKUP($B10,$R$3:$X$9,6,FALSE)</f>
        <v>0.27430555555555552</v>
      </c>
      <c r="X10" s="297">
        <f t="shared" ref="X10:X35" si="6">VLOOKUP($B10,$R$3:$X$9,7,FALSE)</f>
        <v>0.30902777777777779</v>
      </c>
      <c r="Y10" s="297">
        <f t="shared" ref="Y10:Y35" si="7">VLOOKUP($B10,$R$3:$Z$9,8,FALSE)</f>
        <v>0</v>
      </c>
      <c r="Z10" s="471">
        <f t="shared" ref="Z10:Z35" si="8">VLOOKUP($B10,$R$3:$Z$9,9,FALSE)</f>
        <v>85</v>
      </c>
    </row>
    <row r="11" spans="2:29" ht="15" customHeight="1">
      <c r="B11" s="37" t="s">
        <v>16</v>
      </c>
      <c r="C11" s="366" t="str">
        <f>[8]Brewhouse!$A113</f>
        <v>SM100</v>
      </c>
      <c r="D11" s="279">
        <f>[8]Brewhouse!$AH113</f>
        <v>53</v>
      </c>
      <c r="E11" s="279">
        <f>[8]Brewhouse!$AM113</f>
        <v>51.4</v>
      </c>
      <c r="F11" s="278">
        <f>[8]Brewhouse!$Z113</f>
        <v>69</v>
      </c>
      <c r="G11" s="279">
        <f>[8]Brewhouse!$AK113</f>
        <v>17.3</v>
      </c>
      <c r="H11" s="396">
        <v>17.3</v>
      </c>
      <c r="I11" s="368">
        <f>[8]Brewhouse!$AY113</f>
        <v>98.862710164301788</v>
      </c>
      <c r="J11" s="368">
        <f>[8]Brewhouse!$AZ113</f>
        <v>99.136679966905078</v>
      </c>
      <c r="K11" s="281">
        <f>[8]Brewhouse!$U113</f>
        <v>7.8867924528301883</v>
      </c>
      <c r="L11" s="276">
        <f>[8]Brewhouse!$T113</f>
        <v>61</v>
      </c>
      <c r="M11" s="374">
        <f>[8]Brewhouse!$Y113-[8]Brewhouse!$X113</f>
        <v>0.13819444444444451</v>
      </c>
      <c r="N11" s="370">
        <f>[8]Brewhouse!$AD113</f>
        <v>0.32152777777777786</v>
      </c>
      <c r="O11" s="371" t="str">
        <f>[8]Brewhouse!$BC113</f>
        <v>D. Gomaz</v>
      </c>
      <c r="P11" s="417"/>
      <c r="R11" s="277" t="str">
        <f t="shared" si="0"/>
        <v>STARMALT</v>
      </c>
      <c r="S11" s="471">
        <f t="shared" si="1"/>
        <v>17</v>
      </c>
      <c r="T11" s="471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1">
        <f t="shared" si="8"/>
        <v>85</v>
      </c>
    </row>
    <row r="12" spans="2:29" ht="15" customHeight="1">
      <c r="B12" s="37" t="s">
        <v>16</v>
      </c>
      <c r="C12" s="366" t="str">
        <f>[8]Brewhouse!$A114</f>
        <v>SM101</v>
      </c>
      <c r="D12" s="279">
        <f>[8]Brewhouse!$AH114</f>
        <v>53</v>
      </c>
      <c r="E12" s="279">
        <f>[8]Brewhouse!$AM114</f>
        <v>51.7</v>
      </c>
      <c r="F12" s="278">
        <f>[8]Brewhouse!$Z114</f>
        <v>70</v>
      </c>
      <c r="G12" s="279">
        <f>[8]Brewhouse!$AK114</f>
        <v>17.3</v>
      </c>
      <c r="H12" s="396">
        <v>17.2</v>
      </c>
      <c r="I12" s="368">
        <f>[8]Brewhouse!$AY114</f>
        <v>99.439729873431943</v>
      </c>
      <c r="J12" s="368">
        <f>[8]Brewhouse!$AZ114</f>
        <v>99.715298721575735</v>
      </c>
      <c r="K12" s="281">
        <f>[8]Brewhouse!$U114</f>
        <v>4.1132075471698109</v>
      </c>
      <c r="L12" s="276">
        <f>[8]Brewhouse!$T114</f>
        <v>57</v>
      </c>
      <c r="M12" s="374">
        <f>[8]Brewhouse!$Y114-[8]Brewhouse!$X114</f>
        <v>0.14861111111111125</v>
      </c>
      <c r="N12" s="370">
        <f>[8]Brewhouse!$AD114</f>
        <v>0.34444444444444444</v>
      </c>
      <c r="O12" s="371" t="str">
        <f>[8]Brewhouse!$BC114</f>
        <v>D. Gomaz</v>
      </c>
      <c r="P12" s="417"/>
      <c r="R12" s="277" t="str">
        <f t="shared" si="0"/>
        <v>STARMALT</v>
      </c>
      <c r="S12" s="471">
        <f t="shared" si="1"/>
        <v>17</v>
      </c>
      <c r="T12" s="471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1">
        <f t="shared" si="8"/>
        <v>85</v>
      </c>
    </row>
    <row r="13" spans="2:29" ht="15" customHeight="1">
      <c r="B13" s="37" t="s">
        <v>16</v>
      </c>
      <c r="C13" s="366" t="str">
        <f>[8]Brewhouse!$A115</f>
        <v>SM102</v>
      </c>
      <c r="D13" s="279">
        <f>[8]Brewhouse!$AH115</f>
        <v>53</v>
      </c>
      <c r="E13" s="279">
        <f>[8]Brewhouse!$AM115</f>
        <v>51</v>
      </c>
      <c r="F13" s="278">
        <f>[8]Brewhouse!$Z115</f>
        <v>67</v>
      </c>
      <c r="G13" s="279">
        <f>[8]Brewhouse!$AK115</f>
        <v>17.3</v>
      </c>
      <c r="H13" s="396">
        <v>17.3</v>
      </c>
      <c r="I13" s="368">
        <f>[8]Brewhouse!$AY115</f>
        <v>98.013898306372198</v>
      </c>
      <c r="J13" s="368">
        <f>[8]Brewhouse!$AZ115</f>
        <v>98.285775240901714</v>
      </c>
      <c r="K13" s="281">
        <f>[8]Brewhouse!$U115</f>
        <v>7.3207547169811367</v>
      </c>
      <c r="L13" s="276">
        <f>[8]Brewhouse!$T115</f>
        <v>60</v>
      </c>
      <c r="M13" s="374">
        <f>[8]Brewhouse!$Y115-[8]Brewhouse!$X115</f>
        <v>0.15625</v>
      </c>
      <c r="N13" s="370">
        <f>[8]Brewhouse!$AD115</f>
        <v>0.35694444444444429</v>
      </c>
      <c r="O13" s="371" t="str">
        <f>[8]Brewhouse!$BC115</f>
        <v>R.Sookram</v>
      </c>
      <c r="P13" s="417"/>
      <c r="R13" s="277" t="str">
        <f t="shared" si="0"/>
        <v>STARMALT</v>
      </c>
      <c r="S13" s="471">
        <f t="shared" si="1"/>
        <v>17</v>
      </c>
      <c r="T13" s="471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1">
        <f t="shared" si="8"/>
        <v>85</v>
      </c>
    </row>
    <row r="14" spans="2:29" ht="15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7"/>
      <c r="R14" s="277">
        <f t="shared" si="0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7"/>
      <c r="R15" s="277">
        <f t="shared" si="0"/>
        <v>0</v>
      </c>
      <c r="S15" s="471" t="e">
        <f t="shared" si="1"/>
        <v>#N/A</v>
      </c>
      <c r="T15" s="471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1" t="e">
        <f t="shared" si="8"/>
        <v>#N/A</v>
      </c>
    </row>
    <row r="16" spans="2:29" ht="15" hidden="1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7"/>
      <c r="R16" s="277">
        <f t="shared" si="0"/>
        <v>0</v>
      </c>
      <c r="S16" s="471" t="e">
        <f t="shared" si="1"/>
        <v>#N/A</v>
      </c>
      <c r="T16" s="471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1" t="e">
        <f t="shared" si="8"/>
        <v>#N/A</v>
      </c>
    </row>
    <row r="17" spans="1:27" ht="15" hidden="1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1:27" ht="1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7" ht="15" hidden="1" customHeight="1">
      <c r="B19" s="34"/>
      <c r="C19" s="366"/>
      <c r="D19" s="279"/>
      <c r="E19" s="279"/>
      <c r="F19" s="278"/>
      <c r="G19" s="279"/>
      <c r="H19" s="396"/>
      <c r="I19" s="487"/>
      <c r="J19" s="487"/>
      <c r="K19" s="488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7" ht="15" hidden="1" customHeight="1">
      <c r="B20" s="34"/>
      <c r="C20" s="366"/>
      <c r="D20" s="279"/>
      <c r="E20" s="279"/>
      <c r="F20" s="278"/>
      <c r="G20" s="279"/>
      <c r="H20" s="396"/>
      <c r="I20" s="487"/>
      <c r="J20" s="487"/>
      <c r="K20" s="488"/>
      <c r="L20" s="276"/>
      <c r="M20" s="374"/>
      <c r="N20" s="370"/>
      <c r="O20" s="419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7" ht="15" hidden="1" customHeight="1">
      <c r="B21" s="34"/>
      <c r="C21" s="366"/>
      <c r="D21" s="279"/>
      <c r="E21" s="279"/>
      <c r="F21" s="278"/>
      <c r="G21" s="279"/>
      <c r="H21" s="396"/>
      <c r="I21" s="487"/>
      <c r="J21" s="487"/>
      <c r="K21" s="488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9"/>
      <c r="J22" s="539"/>
      <c r="K22" s="539"/>
      <c r="L22" s="539"/>
      <c r="M22" s="539"/>
      <c r="N22" s="539"/>
      <c r="O22" s="1"/>
      <c r="P22" s="12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7" ht="17.25" customHeight="1" thickBot="1">
      <c r="B23" s="482" t="s">
        <v>162</v>
      </c>
      <c r="C23" s="388"/>
      <c r="D23" s="540" t="s">
        <v>35</v>
      </c>
      <c r="E23" s="541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7" ht="17.25" customHeight="1">
      <c r="A24" s="28"/>
      <c r="B24" s="580" t="str">
        <f>I24</f>
        <v>CARIB</v>
      </c>
      <c r="C24" s="483">
        <f>[3]Process!D727</f>
        <v>11.6</v>
      </c>
      <c r="D24" s="527">
        <v>11.74</v>
      </c>
      <c r="E24" s="528"/>
      <c r="F24" s="294"/>
      <c r="G24" s="294"/>
      <c r="H24" s="348"/>
      <c r="I24" s="29" t="s">
        <v>6</v>
      </c>
      <c r="J24" s="323"/>
      <c r="K24" s="284">
        <f>COUNTA([3]Brewhouse!$A$789:$A$820)</f>
        <v>32</v>
      </c>
      <c r="L24" s="305">
        <f>AVERAGE([3]Brewhouse!$AU$789:$AU$820)</f>
        <v>97.19542619578651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$820)</f>
        <v>98.283559098193749</v>
      </c>
      <c r="N24" s="30">
        <v>98</v>
      </c>
      <c r="O24" s="11"/>
      <c r="P24" s="31"/>
      <c r="R24" s="277" t="str">
        <f t="shared" si="0"/>
        <v>CARIB</v>
      </c>
      <c r="S24" s="471">
        <f t="shared" si="1"/>
        <v>11.6</v>
      </c>
      <c r="T24" s="471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1">
        <f t="shared" si="8"/>
        <v>60</v>
      </c>
    </row>
    <row r="25" spans="1:27" ht="15" customHeight="1">
      <c r="A25" s="28"/>
      <c r="B25" s="581"/>
      <c r="C25" s="362">
        <f>[3]Process!D728</f>
        <v>11.6</v>
      </c>
      <c r="D25" s="529"/>
      <c r="E25" s="530"/>
      <c r="F25" s="294"/>
      <c r="G25" s="294"/>
      <c r="H25" s="348"/>
      <c r="I25" s="33" t="s">
        <v>9</v>
      </c>
      <c r="J25" s="323"/>
      <c r="K25" s="284">
        <f>COUNTA([4]Brewhouse!$A$390:$A$406)</f>
        <v>17</v>
      </c>
      <c r="L25" s="302">
        <f>AVERAGE([4]Brewhouse!$AS$390:$AS$406)</f>
        <v>97.707842826554412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$406)</f>
        <v>98.285743987991637</v>
      </c>
      <c r="N25" s="30">
        <v>98</v>
      </c>
      <c r="O25" s="11"/>
      <c r="P25" s="31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7" ht="14.65" customHeight="1">
      <c r="A26" s="28"/>
      <c r="B26" s="581"/>
      <c r="C26" s="362">
        <f>[3]Process!D729</f>
        <v>11.8</v>
      </c>
      <c r="D26" s="534">
        <v>11.63</v>
      </c>
      <c r="E26" s="535"/>
      <c r="F26" s="294"/>
      <c r="G26" s="294"/>
      <c r="H26" s="348"/>
      <c r="I26" s="34" t="s">
        <v>12</v>
      </c>
      <c r="J26" s="323"/>
      <c r="K26" s="284">
        <f>COUNTA([5]Brewhouse!$A$108:$A$115)</f>
        <v>8</v>
      </c>
      <c r="L26" s="302">
        <f>AVERAGE([5]Brewhouse!$AU$108:$AU$115)</f>
        <v>97.365395087454402</v>
      </c>
      <c r="M26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26" s="30">
        <v>98</v>
      </c>
      <c r="O26" s="11"/>
      <c r="P26" s="31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7" ht="14.65" customHeight="1">
      <c r="A27" s="28"/>
      <c r="B27" s="581"/>
      <c r="C27" s="362">
        <f>[3]Process!D730</f>
        <v>11.6</v>
      </c>
      <c r="D27" s="536"/>
      <c r="E27" s="530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7" ht="14.65" customHeight="1">
      <c r="A28" s="28"/>
      <c r="B28" s="581"/>
      <c r="C28" s="362">
        <f>[3]Process!D731</f>
        <v>11.7</v>
      </c>
      <c r="D28" s="534">
        <v>11.72</v>
      </c>
      <c r="E28" s="535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7" ht="14.65" customHeight="1">
      <c r="A29" s="28"/>
      <c r="B29" s="581"/>
      <c r="C29" s="362">
        <f>[3]Process!D732</f>
        <v>11.7</v>
      </c>
      <c r="D29" s="536"/>
      <c r="E29" s="530"/>
      <c r="F29" s="416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7" ht="14.65" customHeight="1">
      <c r="A30" s="28"/>
      <c r="B30" s="581"/>
      <c r="C30" s="362">
        <f>[3]Process!D733</f>
        <v>11.3</v>
      </c>
      <c r="D30" s="534">
        <v>11.68</v>
      </c>
      <c r="E30" s="535"/>
      <c r="F30" s="416"/>
      <c r="G30" s="294"/>
      <c r="H30" s="348"/>
      <c r="I30" s="37" t="s">
        <v>16</v>
      </c>
      <c r="J30" s="323">
        <f>AVERAGE(I10:I13)</f>
        <v>98.382652574797319</v>
      </c>
      <c r="K30" s="284">
        <f>COUNTA([8]Brewhouse!$A$112:$A$115)</f>
        <v>4</v>
      </c>
      <c r="L30" s="302">
        <f>AVERAGE([8]Brewhouse!$AY$112:$AY$115)</f>
        <v>98.382652574797319</v>
      </c>
      <c r="M30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AVERAGE([8]Brewhouse!$AY$5:$AY$14,[8]Brewhouse!$AY$16:$AY$23,[8]Brewhouse!$AY$42,[8]Brewhouse!$AY$44:$AY$51,[8]Brewhouse!$AY$53:$AY$64,[8]Brewhouse!$AY$66:$AY$73,[8]Brewhouse!$AY$75:$AY$82,[8]Brewhouse!$AY$84:$AY$101,[8]Brewhouse!$AY$103:$AY$110,[8]Brewhouse!$AY$112:$AY$115)</f>
        <v>97.82070859459516</v>
      </c>
      <c r="N30" s="30">
        <v>98</v>
      </c>
      <c r="O30" s="11"/>
      <c r="P30" s="31" t="s">
        <v>41</v>
      </c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7" ht="14.65" customHeight="1">
      <c r="A31" s="28"/>
      <c r="B31" s="581"/>
      <c r="C31" s="362">
        <f>[3]Process!D734</f>
        <v>12.5</v>
      </c>
      <c r="D31" s="536"/>
      <c r="E31" s="530"/>
      <c r="F31" s="294"/>
      <c r="G31" s="294"/>
      <c r="H31" s="348"/>
      <c r="I31" s="410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1:27" ht="14.65" customHeight="1">
      <c r="A32" s="28"/>
      <c r="B32" s="581"/>
      <c r="C32" s="362"/>
      <c r="D32" s="534"/>
      <c r="E32" s="535"/>
      <c r="F32" s="294"/>
      <c r="G32" s="294"/>
      <c r="H32" s="348"/>
      <c r="I32" s="409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  <c r="AA32" s="471"/>
    </row>
    <row r="33" spans="1:56" ht="15" customHeight="1" thickBot="1">
      <c r="A33" s="28"/>
      <c r="B33" s="581"/>
      <c r="C33" s="362"/>
      <c r="D33" s="536"/>
      <c r="E33" s="530"/>
      <c r="F33" s="294"/>
      <c r="G33" s="294"/>
      <c r="H33" s="348"/>
      <c r="I33" s="405" t="s">
        <v>156</v>
      </c>
      <c r="J33" s="327"/>
      <c r="K33" s="406"/>
      <c r="L33" s="407"/>
      <c r="M33" s="407"/>
      <c r="N33" s="408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  <c r="AA33" s="471"/>
    </row>
    <row r="34" spans="1:56" ht="15" customHeight="1" thickBot="1">
      <c r="A34" s="28"/>
      <c r="B34" s="581"/>
      <c r="C34" s="349"/>
      <c r="D34" s="527"/>
      <c r="E34" s="528"/>
      <c r="F34" s="294"/>
      <c r="G34" s="294"/>
      <c r="H34" s="348"/>
      <c r="I34" s="1"/>
      <c r="J34" s="39"/>
      <c r="K34" s="403">
        <f>SUM(K24:K33)</f>
        <v>61</v>
      </c>
      <c r="L34" s="404">
        <f>((L24*K24)+(L25*K25)+(L26*K26)+(L27*K27)+(L28*K28)+(K31*L31)+(L29*K29)+(L30*K30)+(L33*K33))/(K34)</f>
        <v>97.4383727428757</v>
      </c>
      <c r="M34" s="404">
        <f>AVERAGE('[9]Jan30th-31st'!$L$42,'[10]Feb 27th-28th'!$L$45,'[11]Mar 31st'!$L$42,'[12]Apr 30th'!$L$41,'[13]May 29th '!$L$35,'[14]June 30th'!$L$32,[15]July31st!$L$36,'[16]Aug 31st'!$L$32,L34)</f>
        <v>97.915273836751908</v>
      </c>
      <c r="N34" s="40">
        <v>98</v>
      </c>
      <c r="O34" s="11"/>
      <c r="P34" s="31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  <c r="AA34" s="471"/>
    </row>
    <row r="35" spans="1:56" ht="15.75" thickBot="1">
      <c r="B35" s="596"/>
      <c r="C35" s="350"/>
      <c r="D35" s="529"/>
      <c r="E35" s="53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  <c r="AA35" s="471"/>
    </row>
    <row r="36" spans="1:56" ht="15.75" thickBot="1">
      <c r="B36" s="524"/>
      <c r="C36" s="362"/>
      <c r="D36" s="527"/>
      <c r="E36" s="528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5"/>
      <c r="C37" s="362"/>
      <c r="D37" s="529"/>
      <c r="E37" s="530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5"/>
      <c r="C38" s="349"/>
      <c r="D38" s="534"/>
      <c r="E38" s="535"/>
      <c r="F38" s="294"/>
      <c r="G38" s="42"/>
      <c r="H38" s="42"/>
      <c r="I38" s="42"/>
      <c r="J38" s="287" t="s">
        <v>6</v>
      </c>
      <c r="K38" s="324"/>
      <c r="L38" s="472" t="s">
        <v>37</v>
      </c>
      <c r="M38" s="473" t="s">
        <v>38</v>
      </c>
      <c r="N38" s="473" t="s">
        <v>84</v>
      </c>
      <c r="O38" s="294"/>
      <c r="P38" s="12"/>
    </row>
    <row r="39" spans="1:56" ht="15.75" customHeight="1" thickBot="1">
      <c r="B39" s="525"/>
      <c r="C39" s="349"/>
      <c r="D39" s="536"/>
      <c r="E39" s="530"/>
      <c r="F39" s="294"/>
      <c r="G39" s="42"/>
      <c r="H39" s="42"/>
      <c r="I39" s="42"/>
      <c r="J39" s="345" t="s">
        <v>9</v>
      </c>
      <c r="K39" s="324"/>
      <c r="L39" s="484">
        <f>AVERAGE('Oct 1st'!K52,'Oct 2nd'!K44,'Oct 5th'!K51,'Oct 6th'!K58,'Oct 7th'!K47,'Oct 8th '!K46,'Oct 9th-10th'!J57,'Oct 9th-10th'!K57,'Oct 12th'!K50,K48)</f>
        <v>6.1</v>
      </c>
      <c r="M39" s="485">
        <f>AVERAGE('[9]Jan30th-31st'!$L$47,L39,'[10]Feb 26th '!$L$39,'[11]Mar 31st'!$L$47,'[12]Apr 30th'!$L$46,'[13]May 29th '!$L$40,'[14]June 30th'!$L$39,[15]July31st!$L$41,'[16]Aug 31st'!$L$37,'[18]Sept 30th'!$L$37)</f>
        <v>6.4835341470124082</v>
      </c>
      <c r="N39" s="415">
        <v>9.1999999999999993</v>
      </c>
      <c r="O39" s="294"/>
      <c r="P39" s="12"/>
    </row>
    <row r="40" spans="1:56" ht="15" customHeight="1">
      <c r="B40" s="525"/>
      <c r="C40" s="349"/>
      <c r="D40" s="534"/>
      <c r="E40" s="535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5"/>
      <c r="C41" s="349"/>
      <c r="D41" s="536"/>
      <c r="E41" s="530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5"/>
      <c r="C42" s="349"/>
      <c r="D42" s="534"/>
      <c r="E42" s="535"/>
      <c r="F42" s="294"/>
      <c r="G42" s="42"/>
      <c r="H42" s="42"/>
      <c r="I42" s="42"/>
      <c r="J42" s="290" t="s">
        <v>16</v>
      </c>
      <c r="K42" s="324">
        <v>4</v>
      </c>
      <c r="L42" s="294"/>
      <c r="M42" s="294"/>
      <c r="N42" s="294"/>
      <c r="O42" s="294"/>
      <c r="P42" s="12"/>
      <c r="BC42" s="44"/>
      <c r="BD42" s="44"/>
    </row>
    <row r="43" spans="1:56" ht="15">
      <c r="B43" s="525"/>
      <c r="C43" s="349"/>
      <c r="D43" s="536"/>
      <c r="E43" s="530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5"/>
      <c r="C44" s="349"/>
      <c r="D44" s="534"/>
      <c r="E44" s="535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6"/>
      <c r="C45" s="350"/>
      <c r="D45" s="537"/>
      <c r="E45" s="538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5"/>
      <c r="E46" s="516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4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9" t="s">
        <v>17</v>
      </c>
      <c r="C51" s="509" t="s">
        <v>44</v>
      </c>
      <c r="D51" s="518" t="s">
        <v>45</v>
      </c>
      <c r="E51" s="520" t="s">
        <v>46</v>
      </c>
      <c r="F51" s="522" t="s">
        <v>47</v>
      </c>
      <c r="G51" s="507" t="s">
        <v>48</v>
      </c>
      <c r="H51" s="509" t="s">
        <v>49</v>
      </c>
      <c r="I51" s="509" t="s">
        <v>50</v>
      </c>
      <c r="J51" s="501" t="s">
        <v>28</v>
      </c>
      <c r="K51" s="511" t="s">
        <v>51</v>
      </c>
      <c r="L51" s="513" t="s">
        <v>52</v>
      </c>
      <c r="M51" s="501" t="s">
        <v>53</v>
      </c>
      <c r="N51" s="13"/>
      <c r="O51" s="13"/>
      <c r="P51" s="50"/>
    </row>
    <row r="52" spans="2:57" ht="28.5" customHeight="1" thickTop="1" thickBot="1">
      <c r="B52" s="510"/>
      <c r="C52" s="517"/>
      <c r="D52" s="519"/>
      <c r="E52" s="521"/>
      <c r="F52" s="523"/>
      <c r="G52" s="508"/>
      <c r="H52" s="510"/>
      <c r="I52" s="510"/>
      <c r="J52" s="502"/>
      <c r="K52" s="512"/>
      <c r="L52" s="514"/>
      <c r="M52" s="502"/>
      <c r="N52" s="13"/>
      <c r="O52" s="13"/>
      <c r="P52" s="50"/>
      <c r="Q52" s="355"/>
      <c r="AB52" s="474">
        <v>43474</v>
      </c>
      <c r="AC52" s="474">
        <v>43475</v>
      </c>
      <c r="AD52" s="474">
        <v>43476</v>
      </c>
      <c r="AE52" s="474">
        <v>43477</v>
      </c>
      <c r="AF52" s="474">
        <v>43478</v>
      </c>
      <c r="AG52" s="474">
        <v>43479</v>
      </c>
      <c r="AH52" s="474">
        <v>43480</v>
      </c>
      <c r="AI52" s="474">
        <v>43481</v>
      </c>
      <c r="AJ52" s="474">
        <v>43482</v>
      </c>
      <c r="AK52" s="474">
        <v>43483</v>
      </c>
      <c r="AL52" s="474">
        <v>43484</v>
      </c>
      <c r="AM52" s="474">
        <v>43485</v>
      </c>
      <c r="AN52" s="474">
        <v>43486</v>
      </c>
      <c r="AO52" s="474">
        <v>43487</v>
      </c>
      <c r="AP52" s="474">
        <v>43488</v>
      </c>
      <c r="AQ52" s="474">
        <v>43489</v>
      </c>
      <c r="AR52" s="474">
        <v>43490</v>
      </c>
      <c r="AS52" s="474">
        <v>43491</v>
      </c>
      <c r="AT52" s="474">
        <v>43492</v>
      </c>
      <c r="AU52" s="474">
        <v>43493</v>
      </c>
      <c r="AV52" s="474">
        <v>43494</v>
      </c>
      <c r="AW52" s="474">
        <v>43495</v>
      </c>
      <c r="AX52" s="474">
        <v>43496</v>
      </c>
    </row>
    <row r="53" spans="2:57" s="54" customFormat="1" ht="36.75" customHeight="1" thickBot="1">
      <c r="B53" s="455" t="str">
        <f>I24</f>
        <v>CARIB</v>
      </c>
      <c r="C53" s="478">
        <v>46308</v>
      </c>
      <c r="D53" s="444">
        <f>[19]October_2026!$P$3</f>
        <v>403.29999999999995</v>
      </c>
      <c r="E53" s="442"/>
      <c r="F53" s="443"/>
      <c r="G53" s="443">
        <f>[19]October_2026!$P$7</f>
        <v>381.9</v>
      </c>
      <c r="H53" s="457"/>
      <c r="I53" s="457"/>
      <c r="J53" s="447" t="s">
        <v>150</v>
      </c>
      <c r="K53" s="448">
        <f>[20]October_2026!$P$18</f>
        <v>1.3399999999999999</v>
      </c>
      <c r="L53" s="456">
        <f>(((D53+E53)-G53)/(D53+E53))*100</f>
        <v>5.3062236548475026</v>
      </c>
      <c r="M53" s="454" t="s">
        <v>172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[21]January_2019!L5</f>
        <v>0</v>
      </c>
      <c r="AC53" s="57">
        <f>[21]January_2019!M5</f>
        <v>0</v>
      </c>
      <c r="AD53" s="57">
        <f>[21]January_2019!N5</f>
        <v>0</v>
      </c>
      <c r="AE53" s="57">
        <f>[21]January_2019!O5</f>
        <v>0</v>
      </c>
      <c r="AF53" s="57">
        <f>[21]January_2019!P5</f>
        <v>0</v>
      </c>
      <c r="AG53" s="57">
        <f>[21]January_2019!Q5</f>
        <v>0</v>
      </c>
      <c r="AH53" s="57">
        <f>[21]January_2019!R5</f>
        <v>0</v>
      </c>
      <c r="AI53" s="57">
        <f>[21]January_2019!S5</f>
        <v>0</v>
      </c>
      <c r="AJ53" s="57">
        <f>[21]January_2019!T5</f>
        <v>0</v>
      </c>
      <c r="AK53" s="57">
        <f>[21]January_2019!U5</f>
        <v>0</v>
      </c>
      <c r="AL53" s="57">
        <f>[21]January_2019!V5</f>
        <v>0</v>
      </c>
      <c r="AM53" s="57">
        <f>[21]January_2019!W5</f>
        <v>0</v>
      </c>
      <c r="AN53" s="57">
        <f>[21]January_2019!X5</f>
        <v>0</v>
      </c>
      <c r="AO53" s="57">
        <f>[21]January_2019!Y5</f>
        <v>0</v>
      </c>
      <c r="AP53" s="57">
        <f>[21]January_2019!Z5</f>
        <v>0</v>
      </c>
      <c r="AQ53" s="57">
        <f>[21]January_2019!AA5</f>
        <v>0</v>
      </c>
      <c r="AR53" s="57">
        <f>[21]January_2019!AB5</f>
        <v>0</v>
      </c>
      <c r="AS53" s="57">
        <f>[21]January_2019!AC5</f>
        <v>0</v>
      </c>
      <c r="AT53" s="57">
        <f>[21]January_2019!AD5</f>
        <v>0</v>
      </c>
      <c r="AU53" s="57">
        <f>[21]January_2019!AE5</f>
        <v>0</v>
      </c>
      <c r="AV53" s="57">
        <f>[21]January_2019!AF5</f>
        <v>0</v>
      </c>
      <c r="AW53" s="57">
        <f>[21]January_2019!AG5</f>
        <v>0</v>
      </c>
      <c r="AX53" s="277">
        <f>[21]January_2019!AH5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hidden="1" customHeight="1" thickBot="1">
      <c r="B54" s="479"/>
      <c r="C54" s="478"/>
      <c r="D54" s="441"/>
      <c r="E54" s="442"/>
      <c r="F54" s="443"/>
      <c r="G54" s="444"/>
      <c r="H54" s="457"/>
      <c r="I54" s="457"/>
      <c r="J54" s="475"/>
      <c r="K54" s="448"/>
      <c r="L54" s="456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[21]January_2019!L6</f>
        <v>0</v>
      </c>
      <c r="AC54" s="57">
        <f>[21]January_2019!M6</f>
        <v>0</v>
      </c>
      <c r="AD54" s="57">
        <f>[21]January_2019!N6</f>
        <v>0</v>
      </c>
      <c r="AE54" s="57">
        <f>[21]January_2019!O6</f>
        <v>0</v>
      </c>
      <c r="AF54" s="57">
        <f>[21]January_2019!P6</f>
        <v>0</v>
      </c>
      <c r="AG54" s="57">
        <f>[21]January_2019!Q6</f>
        <v>0</v>
      </c>
      <c r="AH54" s="57">
        <f>[21]January_2019!R6</f>
        <v>0</v>
      </c>
      <c r="AI54" s="57">
        <f>[21]January_2019!S6</f>
        <v>0</v>
      </c>
      <c r="AJ54" s="57">
        <f>[21]January_2019!T6</f>
        <v>0</v>
      </c>
      <c r="AK54" s="57">
        <f>[21]January_2019!U6</f>
        <v>0</v>
      </c>
      <c r="AL54" s="57">
        <f>[21]January_2019!V6</f>
        <v>0</v>
      </c>
      <c r="AM54" s="57">
        <f>[21]January_2019!W6</f>
        <v>0</v>
      </c>
      <c r="AN54" s="57">
        <f>[21]January_2019!X6</f>
        <v>0</v>
      </c>
      <c r="AO54" s="57">
        <f>[21]January_2019!Y6</f>
        <v>0</v>
      </c>
      <c r="AP54" s="57">
        <f>[21]January_2019!Z6</f>
        <v>0</v>
      </c>
      <c r="AQ54" s="57">
        <f>[21]January_2019!AA6</f>
        <v>0</v>
      </c>
      <c r="AR54" s="57">
        <f>[21]January_2019!AB6</f>
        <v>0</v>
      </c>
      <c r="AS54" s="57">
        <f>[21]January_2019!AC6</f>
        <v>0</v>
      </c>
      <c r="AT54" s="57">
        <f>[21]January_2019!AD6</f>
        <v>0</v>
      </c>
      <c r="AU54" s="57">
        <f>[21]January_2019!AE6</f>
        <v>0</v>
      </c>
      <c r="AV54" s="57">
        <f>[21]January_2019!AF6</f>
        <v>0</v>
      </c>
      <c r="AW54" s="57">
        <f>[21]January_2019!AG6</f>
        <v>0</v>
      </c>
      <c r="AX54" s="277">
        <f>[21]January_2019!AH6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9" t="str">
        <f>J39</f>
        <v>STAG</v>
      </c>
      <c r="C55" s="478">
        <v>46303</v>
      </c>
      <c r="D55" s="441">
        <f>[19]October_2026!$K$13</f>
        <v>292</v>
      </c>
      <c r="E55" s="442"/>
      <c r="F55" s="443"/>
      <c r="G55" s="443">
        <f>[19]October_2026!$K$17</f>
        <v>278</v>
      </c>
      <c r="H55" s="445"/>
      <c r="I55" s="445"/>
      <c r="J55" s="447" t="s">
        <v>150</v>
      </c>
      <c r="K55" s="448">
        <f>[20]October_2026!$K$25</f>
        <v>0.9754385964912281</v>
      </c>
      <c r="L55" s="456">
        <f>(((D55+E55)-G55)/(D55+E55))*100</f>
        <v>4.7945205479452051</v>
      </c>
      <c r="M55" s="454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[21]January_2019!L7</f>
        <v>285.8</v>
      </c>
      <c r="AC55" s="57">
        <f>[21]January_2019!M7</f>
        <v>508.1</v>
      </c>
      <c r="AD55" s="57">
        <f>[21]January_2019!N7</f>
        <v>0</v>
      </c>
      <c r="AE55" s="57">
        <f>[21]January_2019!O7</f>
        <v>0</v>
      </c>
      <c r="AF55" s="57">
        <f>[21]January_2019!P7</f>
        <v>109.56666666666666</v>
      </c>
      <c r="AG55" s="57">
        <f>[21]January_2019!Q7</f>
        <v>297.64999999999998</v>
      </c>
      <c r="AH55" s="57">
        <f>[21]January_2019!R7</f>
        <v>122.3</v>
      </c>
      <c r="AI55" s="57">
        <f>[21]January_2019!S7</f>
        <v>0</v>
      </c>
      <c r="AJ55" s="57">
        <f>[21]January_2019!T7</f>
        <v>294.7</v>
      </c>
      <c r="AK55" s="57">
        <f>[21]January_2019!U7</f>
        <v>280.5</v>
      </c>
      <c r="AL55" s="57">
        <f>[21]January_2019!V7</f>
        <v>0</v>
      </c>
      <c r="AM55" s="57">
        <f>[21]January_2019!W7</f>
        <v>0</v>
      </c>
      <c r="AN55" s="57">
        <f>[21]January_2019!X7</f>
        <v>188.25</v>
      </c>
      <c r="AO55" s="57">
        <f>[21]January_2019!Y7</f>
        <v>295.7</v>
      </c>
      <c r="AP55" s="57">
        <f>[21]January_2019!Z7</f>
        <v>257.8</v>
      </c>
      <c r="AQ55" s="57">
        <f>[21]January_2019!AA7</f>
        <v>291.2</v>
      </c>
      <c r="AR55" s="57">
        <f>[21]January_2019!AB7</f>
        <v>187</v>
      </c>
      <c r="AS55" s="57">
        <f>[21]January_2019!AC7</f>
        <v>0</v>
      </c>
      <c r="AT55" s="57">
        <f>[21]January_2019!AD7</f>
        <v>0</v>
      </c>
      <c r="AU55" s="57">
        <f>[21]January_2019!AE7</f>
        <v>485.1</v>
      </c>
      <c r="AV55" s="57">
        <f>[21]January_2019!AF7</f>
        <v>171.55</v>
      </c>
      <c r="AW55" s="57">
        <f>[21]January_2019!AG7</f>
        <v>423.8</v>
      </c>
      <c r="AX55" s="277">
        <f>[21]January_2019!AH7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7"/>
      <c r="C56" s="429"/>
      <c r="D56" s="430"/>
      <c r="E56" s="431"/>
      <c r="F56" s="432"/>
      <c r="G56" s="433"/>
      <c r="H56" s="457"/>
      <c r="I56" s="457"/>
      <c r="J56" s="450"/>
      <c r="K56" s="435"/>
      <c r="L56" s="451"/>
      <c r="M56" s="42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6"/>
      <c r="C57" s="478"/>
      <c r="D57" s="441"/>
      <c r="E57" s="442"/>
      <c r="F57" s="443"/>
      <c r="G57" s="444"/>
      <c r="H57" s="457"/>
      <c r="I57" s="457"/>
      <c r="J57" s="447"/>
      <c r="K57" s="45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2"/>
      <c r="C58" s="429"/>
      <c r="D58" s="430"/>
      <c r="E58" s="431"/>
      <c r="F58" s="432"/>
      <c r="G58" s="433"/>
      <c r="H58" s="434"/>
      <c r="I58" s="449"/>
      <c r="J58" s="450"/>
      <c r="K58" s="435"/>
      <c r="L58" s="451"/>
      <c r="M58" s="42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0"/>
      <c r="C59" s="478"/>
      <c r="D59" s="441"/>
      <c r="E59" s="442"/>
      <c r="F59" s="443"/>
      <c r="G59" s="444"/>
      <c r="H59" s="445"/>
      <c r="I59" s="446"/>
      <c r="J59" s="447"/>
      <c r="K59" s="448"/>
      <c r="L59" s="456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6"/>
      <c r="C60" s="422"/>
      <c r="D60" s="423"/>
      <c r="E60" s="424"/>
      <c r="F60" s="425"/>
      <c r="G60" s="426"/>
      <c r="H60" s="427"/>
      <c r="I60" s="437"/>
      <c r="J60" s="438"/>
      <c r="K60" s="428"/>
      <c r="L60" s="439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4"/>
      <c r="AC60" s="414"/>
      <c r="AD60" s="414"/>
      <c r="AE60" s="414"/>
      <c r="AF60" s="414"/>
      <c r="AG60" s="414"/>
      <c r="AH60" s="414"/>
      <c r="AI60" s="414"/>
      <c r="AJ60" s="414"/>
      <c r="AK60" s="414"/>
      <c r="AL60" s="414"/>
      <c r="AM60" s="414"/>
      <c r="AN60" s="414"/>
      <c r="AO60" s="414"/>
      <c r="AP60" s="414"/>
      <c r="AQ60" s="414"/>
      <c r="AR60" s="414"/>
      <c r="AS60" s="414"/>
      <c r="AT60" s="414"/>
      <c r="AU60" s="414"/>
      <c r="AV60" s="414"/>
      <c r="AW60" s="414"/>
    </row>
    <row r="61" spans="2:57" s="54" customFormat="1" ht="37.15" hidden="1" customHeight="1" thickBot="1">
      <c r="B61" s="455"/>
      <c r="C61" s="440"/>
      <c r="D61" s="441"/>
      <c r="E61" s="442"/>
      <c r="F61" s="443"/>
      <c r="G61" s="444"/>
      <c r="H61" s="445"/>
      <c r="I61" s="446"/>
      <c r="J61" s="447"/>
      <c r="K61" s="448"/>
      <c r="L61" s="456"/>
      <c r="M61" s="45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>
      <c r="B62" s="465"/>
      <c r="C62" s="429"/>
      <c r="D62" s="459"/>
      <c r="E62" s="460"/>
      <c r="F62" s="461"/>
      <c r="G62" s="459"/>
      <c r="H62" s="462"/>
      <c r="I62" s="462"/>
      <c r="J62" s="462"/>
      <c r="K62" s="463"/>
      <c r="L62" s="464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3" t="s">
        <v>55</v>
      </c>
      <c r="C64" s="504"/>
      <c r="D64" s="504"/>
      <c r="E64" s="504"/>
      <c r="F64" s="505"/>
      <c r="G64" s="503" t="s">
        <v>56</v>
      </c>
      <c r="H64" s="504"/>
      <c r="I64" s="504"/>
      <c r="J64" s="505"/>
      <c r="K64" s="503" t="s">
        <v>51</v>
      </c>
      <c r="L64" s="504"/>
      <c r="M64" s="504"/>
      <c r="N64" s="506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5.3062236548475026</v>
      </c>
      <c r="D66" s="76">
        <v>5.1042881202228392</v>
      </c>
      <c r="E66" s="76">
        <v>6.3489383714896226</v>
      </c>
      <c r="F66" s="66">
        <v>4.8</v>
      </c>
      <c r="G66" s="65">
        <f>[19]October_2026!$P$11</f>
        <v>5.6924136073155003</v>
      </c>
      <c r="H66" s="476">
        <v>5.7800862786879019</v>
      </c>
      <c r="I66" s="476">
        <v>6.4792264099398515</v>
      </c>
      <c r="J66" s="66">
        <v>4.8</v>
      </c>
      <c r="K66" s="67">
        <f>K53</f>
        <v>1.3399999999999999</v>
      </c>
      <c r="L66" s="194">
        <v>0.83850877192982465</v>
      </c>
      <c r="M66" s="194">
        <v>0.56034816813416244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5.062325108114992</v>
      </c>
      <c r="E67" s="76">
        <v>6.0120934601385283</v>
      </c>
      <c r="F67" s="66">
        <v>4.8</v>
      </c>
      <c r="G67" s="65"/>
      <c r="H67" s="76">
        <v>5.6760230336831157</v>
      </c>
      <c r="I67" s="76">
        <v>5.9217471497494181</v>
      </c>
      <c r="J67" s="66">
        <v>4.8</v>
      </c>
      <c r="K67" s="67"/>
      <c r="L67" s="194">
        <v>0.65473684210526317</v>
      </c>
      <c r="M67" s="194">
        <v>0.68123957181115813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10.890214570112384</v>
      </c>
      <c r="F68" s="66">
        <v>5.5</v>
      </c>
      <c r="G68" s="65"/>
      <c r="H68" s="76"/>
      <c r="I68" s="76">
        <v>11.797659278069149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>
        <v>2.6160971335586405</v>
      </c>
      <c r="E69" s="76">
        <v>4.6053599467161712</v>
      </c>
      <c r="F69" s="66">
        <v>3.3</v>
      </c>
      <c r="G69" s="65"/>
      <c r="H69" s="76">
        <v>4.0562064167659644</v>
      </c>
      <c r="I69" s="76">
        <v>4.7835858167498584</v>
      </c>
      <c r="J69" s="66">
        <v>3.3</v>
      </c>
      <c r="K69" s="67"/>
      <c r="L69" s="194">
        <v>1.3649122807017544</v>
      </c>
      <c r="M69" s="194">
        <v>0.83244019138755987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6.3233965672990236</v>
      </c>
      <c r="F71" s="70">
        <v>5.5</v>
      </c>
      <c r="G71" s="65"/>
      <c r="H71" s="76"/>
      <c r="I71" s="76">
        <v>7.9667553186446929</v>
      </c>
      <c r="J71" s="66">
        <v>5.5</v>
      </c>
      <c r="K71" s="67"/>
      <c r="L71" s="194"/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1"/>
      <c r="D72" s="76"/>
      <c r="E72" s="76">
        <v>3.9973372218347856</v>
      </c>
      <c r="F72" s="66">
        <v>3.3</v>
      </c>
      <c r="G72" s="282"/>
      <c r="H72" s="76"/>
      <c r="I72" s="76">
        <v>5.1096183510504902</v>
      </c>
      <c r="J72" s="66">
        <v>3.3</v>
      </c>
      <c r="K72" s="67"/>
      <c r="L72" s="194"/>
      <c r="M72" s="194">
        <v>0.89057130004498408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3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4.7792166009812664</v>
      </c>
      <c r="E75" s="76">
        <v>6.288931170676876</v>
      </c>
      <c r="F75" s="341">
        <v>5.5</v>
      </c>
      <c r="H75" s="76">
        <v>5.4684048546829418</v>
      </c>
      <c r="I75" s="76">
        <v>6.6002205481880569</v>
      </c>
      <c r="J75" s="341">
        <v>5.5</v>
      </c>
      <c r="L75" s="194">
        <v>0.85295055821371613</v>
      </c>
      <c r="M75" s="194">
        <v>0.60969030287174719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343" priority="106" operator="notBetween">
      <formula>#REF!</formula>
      <formula>#REF!</formula>
    </cfRule>
  </conditionalFormatting>
  <conditionalFormatting sqref="C50">
    <cfRule type="cellIs" dxfId="1342" priority="189" stopIfTrue="1" operator="greaterThan">
      <formula>100</formula>
    </cfRule>
    <cfRule type="cellIs" dxfId="1341" priority="188" stopIfTrue="1" operator="lessThan">
      <formula>96</formula>
    </cfRule>
  </conditionalFormatting>
  <conditionalFormatting sqref="C66:C67">
    <cfRule type="cellIs" dxfId="1340" priority="69" stopIfTrue="1" operator="greaterThan">
      <formula>$F66</formula>
    </cfRule>
    <cfRule type="cellIs" dxfId="1339" priority="71" stopIfTrue="1" operator="greaterThan">
      <formula>$F66</formula>
    </cfRule>
    <cfRule type="cellIs" dxfId="1338" priority="72" stopIfTrue="1" operator="lessThanOrEqual">
      <formula>0</formula>
    </cfRule>
    <cfRule type="cellIs" dxfId="1337" priority="70" stopIfTrue="1" operator="lessThanOrEqual">
      <formula>0</formula>
    </cfRule>
  </conditionalFormatting>
  <conditionalFormatting sqref="C68:C70 C72:C74">
    <cfRule type="cellIs" dxfId="1336" priority="78" stopIfTrue="1" operator="greaterThan">
      <formula>$F71</formula>
    </cfRule>
  </conditionalFormatting>
  <conditionalFormatting sqref="C68:C70">
    <cfRule type="cellIs" dxfId="1335" priority="79" stopIfTrue="1" operator="lessThanOrEqual">
      <formula>0</formula>
    </cfRule>
  </conditionalFormatting>
  <conditionalFormatting sqref="C71">
    <cfRule type="cellIs" dxfId="1334" priority="190" stopIfTrue="1" operator="greaterThan">
      <formula>$F66</formula>
    </cfRule>
    <cfRule type="cellIs" dxfId="1333" priority="193" stopIfTrue="1" operator="lessThanOrEqual">
      <formula>0</formula>
    </cfRule>
    <cfRule type="cellIs" dxfId="1332" priority="192" stopIfTrue="1" operator="greaterThan">
      <formula>$F66</formula>
    </cfRule>
    <cfRule type="cellIs" dxfId="1331" priority="191" stopIfTrue="1" operator="lessThanOrEqual">
      <formula>0</formula>
    </cfRule>
  </conditionalFormatting>
  <conditionalFormatting sqref="C72:C74">
    <cfRule type="cellIs" dxfId="1330" priority="80" stopIfTrue="1" operator="lessThanOrEqual">
      <formula>0</formula>
    </cfRule>
  </conditionalFormatting>
  <conditionalFormatting sqref="C77:C81">
    <cfRule type="cellIs" dxfId="1329" priority="180" stopIfTrue="1" operator="lessThanOrEqual">
      <formula>0</formula>
    </cfRule>
  </conditionalFormatting>
  <conditionalFormatting sqref="C78:C81">
    <cfRule type="cellIs" dxfId="1328" priority="179" stopIfTrue="1" operator="greaterThan">
      <formula>$F$77</formula>
    </cfRule>
  </conditionalFormatting>
  <conditionalFormatting sqref="C83">
    <cfRule type="cellIs" dxfId="1327" priority="181" stopIfTrue="1" operator="greaterThan">
      <formula>$F$77</formula>
    </cfRule>
    <cfRule type="cellIs" dxfId="1326" priority="182" stopIfTrue="1" operator="lessThanOrEqual">
      <formula>0</formula>
    </cfRule>
  </conditionalFormatting>
  <conditionalFormatting sqref="C71:D71">
    <cfRule type="cellIs" dxfId="1325" priority="67" stopIfTrue="1" operator="greaterThan">
      <formula>$J71</formula>
    </cfRule>
    <cfRule type="cellIs" dxfId="1324" priority="68" stopIfTrue="1" operator="lessThanOrEqual">
      <formula>0</formula>
    </cfRule>
  </conditionalFormatting>
  <conditionalFormatting sqref="C77:D77 D79:D85">
    <cfRule type="cellIs" dxfId="1323" priority="174" stopIfTrue="1" operator="greaterThan">
      <formula>4.5</formula>
    </cfRule>
  </conditionalFormatting>
  <conditionalFormatting sqref="D46:D47">
    <cfRule type="cellIs" dxfId="1322" priority="107" operator="notBetween">
      <formula>#REF!</formula>
      <formula>#REF!</formula>
    </cfRule>
  </conditionalFormatting>
  <conditionalFormatting sqref="D66:D70 D72:D73">
    <cfRule type="cellIs" dxfId="1321" priority="77" stopIfTrue="1" operator="lessThanOrEqual">
      <formula>0</formula>
    </cfRule>
  </conditionalFormatting>
  <conditionalFormatting sqref="D66:D70 D72:D75">
    <cfRule type="cellIs" dxfId="1320" priority="74" stopIfTrue="1" operator="greaterThan">
      <formula>$F66</formula>
    </cfRule>
    <cfRule type="cellIs" dxfId="1319" priority="73" stopIfTrue="1" operator="lessThanOrEqual">
      <formula>0</formula>
    </cfRule>
  </conditionalFormatting>
  <conditionalFormatting sqref="D74:D75">
    <cfRule type="cellIs" dxfId="1318" priority="75" stopIfTrue="1" operator="lessThanOrEqual">
      <formula>0</formula>
    </cfRule>
  </conditionalFormatting>
  <conditionalFormatting sqref="D75">
    <cfRule type="cellIs" dxfId="1317" priority="76" stopIfTrue="1" operator="lessThanOrEqual">
      <formula>0</formula>
    </cfRule>
  </conditionalFormatting>
  <conditionalFormatting sqref="D77 D79:D85">
    <cfRule type="cellIs" dxfId="1316" priority="175" stopIfTrue="1" operator="lessThanOrEqual">
      <formula>0</formula>
    </cfRule>
  </conditionalFormatting>
  <conditionalFormatting sqref="D78">
    <cfRule type="cellIs" dxfId="1315" priority="166" stopIfTrue="1" operator="greaterThan">
      <formula>$F$77</formula>
    </cfRule>
    <cfRule type="cellIs" dxfId="1314" priority="167" stopIfTrue="1" operator="lessThanOrEqual">
      <formula>0</formula>
    </cfRule>
  </conditionalFormatting>
  <conditionalFormatting sqref="E10:E21">
    <cfRule type="cellIs" dxfId="1313" priority="7" operator="lessThan">
      <formula>48</formula>
    </cfRule>
  </conditionalFormatting>
  <conditionalFormatting sqref="E49 E50:F50">
    <cfRule type="cellIs" dxfId="1312" priority="171" stopIfTrue="1" operator="greaterThan">
      <formula>100</formula>
    </cfRule>
  </conditionalFormatting>
  <conditionalFormatting sqref="E50">
    <cfRule type="cellIs" dxfId="1311" priority="169" stopIfTrue="1" operator="greaterThan">
      <formula>100</formula>
    </cfRule>
    <cfRule type="cellIs" dxfId="1310" priority="168" stopIfTrue="1" operator="lessThan">
      <formula>96.8</formula>
    </cfRule>
  </conditionalFormatting>
  <conditionalFormatting sqref="E66:E74">
    <cfRule type="cellIs" dxfId="1309" priority="40" stopIfTrue="1" operator="lessThanOrEqual">
      <formula>0</formula>
    </cfRule>
  </conditionalFormatting>
  <conditionalFormatting sqref="E66:E75">
    <cfRule type="cellIs" dxfId="1308" priority="41" stopIfTrue="1" operator="greaterThan">
      <formula>$F66</formula>
    </cfRule>
    <cfRule type="cellIs" dxfId="1307" priority="42" stopIfTrue="1" operator="lessThanOrEqual">
      <formula>0</formula>
    </cfRule>
  </conditionalFormatting>
  <conditionalFormatting sqref="E75">
    <cfRule type="cellIs" dxfId="1306" priority="43" stopIfTrue="1" operator="lessThanOrEqual">
      <formula>0</formula>
    </cfRule>
  </conditionalFormatting>
  <conditionalFormatting sqref="E77:E85">
    <cfRule type="cellIs" dxfId="1305" priority="160" stopIfTrue="1" operator="greaterThan">
      <formula>4.5</formula>
    </cfRule>
    <cfRule type="cellIs" dxfId="1304" priority="161" stopIfTrue="1" operator="lessThanOrEqual">
      <formula>0</formula>
    </cfRule>
  </conditionalFormatting>
  <conditionalFormatting sqref="E50:F50 E49">
    <cfRule type="cellIs" dxfId="1303" priority="170" stopIfTrue="1" operator="lessThan">
      <formula>96.5</formula>
    </cfRule>
  </conditionalFormatting>
  <conditionalFormatting sqref="F19:F21">
    <cfRule type="cellIs" dxfId="1302" priority="11" operator="greaterThan">
      <formula>60</formula>
    </cfRule>
  </conditionalFormatting>
  <conditionalFormatting sqref="F50">
    <cfRule type="cellIs" dxfId="1301" priority="186" stopIfTrue="1" operator="lessThan">
      <formula>96.8</formula>
    </cfRule>
    <cfRule type="cellIs" dxfId="1300" priority="187" stopIfTrue="1" operator="greaterThan">
      <formula>100</formula>
    </cfRule>
  </conditionalFormatting>
  <conditionalFormatting sqref="G10:G21">
    <cfRule type="expression" dxfId="1299" priority="13">
      <formula>IF(+(IF(G10&lt;S10,0,IF(G10&gt;T10,0,1)))=0,1)</formula>
    </cfRule>
  </conditionalFormatting>
  <conditionalFormatting sqref="G66:G69 F75">
    <cfRule type="cellIs" dxfId="1298" priority="49" stopIfTrue="1" operator="greaterThan">
      <formula>$F66</formula>
    </cfRule>
    <cfRule type="cellIs" dxfId="1297" priority="50" stopIfTrue="1" operator="lessThanOrEqual">
      <formula>0</formula>
    </cfRule>
  </conditionalFormatting>
  <conditionalFormatting sqref="G68:G69">
    <cfRule type="cellIs" dxfId="1296" priority="36" stopIfTrue="1" operator="lessThanOrEqual">
      <formula>0</formula>
    </cfRule>
    <cfRule type="cellIs" dxfId="1295" priority="35" stopIfTrue="1" operator="greaterThan">
      <formula>$F68</formula>
    </cfRule>
  </conditionalFormatting>
  <conditionalFormatting sqref="G70:G74">
    <cfRule type="cellIs" dxfId="1294" priority="52" stopIfTrue="1" operator="lessThanOrEqual">
      <formula>0</formula>
    </cfRule>
    <cfRule type="cellIs" dxfId="1293" priority="51" stopIfTrue="1" operator="greaterThan">
      <formula>$J70</formula>
    </cfRule>
  </conditionalFormatting>
  <conditionalFormatting sqref="G71">
    <cfRule type="cellIs" dxfId="1292" priority="194" stopIfTrue="1" operator="greaterThan">
      <formula>$F66</formula>
    </cfRule>
    <cfRule type="cellIs" dxfId="1291" priority="195" stopIfTrue="1" operator="lessThanOrEqual">
      <formula>0</formula>
    </cfRule>
  </conditionalFormatting>
  <conditionalFormatting sqref="G79:G84 C82 C84">
    <cfRule type="cellIs" dxfId="1290" priority="184" stopIfTrue="1" operator="lessThanOrEqual">
      <formula>0</formula>
    </cfRule>
    <cfRule type="cellIs" dxfId="1289" priority="183" stopIfTrue="1" operator="greaterThan">
      <formula>4.5</formula>
    </cfRule>
  </conditionalFormatting>
  <conditionalFormatting sqref="G78:H78">
    <cfRule type="cellIs" dxfId="1288" priority="165" stopIfTrue="1" operator="lessThanOrEqual">
      <formula>0</formula>
    </cfRule>
    <cfRule type="cellIs" dxfId="1287" priority="164" stopIfTrue="1" operator="greaterThan">
      <formula>$F$77</formula>
    </cfRule>
  </conditionalFormatting>
  <conditionalFormatting sqref="H10:H21">
    <cfRule type="expression" dxfId="1286" priority="14">
      <formula>IF(+(IF(H10&lt;#REF!,0,IF(H10&gt;#REF!,0,1)))=0,1)</formula>
    </cfRule>
  </conditionalFormatting>
  <conditionalFormatting sqref="H35:H36 H49">
    <cfRule type="cellIs" dxfId="1285" priority="162" stopIfTrue="1" operator="greaterThan">
      <formula>0</formula>
    </cfRule>
  </conditionalFormatting>
  <conditionalFormatting sqref="H53">
    <cfRule type="cellIs" dxfId="1284" priority="55" stopIfTrue="1" operator="greaterThan">
      <formula>$F$66</formula>
    </cfRule>
    <cfRule type="cellIs" dxfId="1283" priority="63" stopIfTrue="1" operator="greaterThan">
      <formula>$F$69</formula>
    </cfRule>
    <cfRule type="cellIs" dxfId="1282" priority="64" stopIfTrue="1" operator="lessThanOrEqual">
      <formula>0</formula>
    </cfRule>
    <cfRule type="cellIs" dxfId="1281" priority="65" stopIfTrue="1" operator="greaterThan">
      <formula>$F$67</formula>
    </cfRule>
    <cfRule type="cellIs" dxfId="1280" priority="54" stopIfTrue="1" operator="lessThanOrEqual">
      <formula>0</formula>
    </cfRule>
  </conditionalFormatting>
  <conditionalFormatting sqref="H53:H54">
    <cfRule type="cellIs" dxfId="1279" priority="66" stopIfTrue="1" operator="lessThanOrEqual">
      <formula>0</formula>
    </cfRule>
  </conditionalFormatting>
  <conditionalFormatting sqref="H54 H56:H57">
    <cfRule type="cellIs" dxfId="1278" priority="92" stopIfTrue="1" operator="lessThanOrEqual">
      <formula>0</formula>
    </cfRule>
  </conditionalFormatting>
  <conditionalFormatting sqref="H54">
    <cfRule type="cellIs" dxfId="1277" priority="89" stopIfTrue="1" operator="greaterThan">
      <formula>$F$69</formula>
    </cfRule>
    <cfRule type="cellIs" dxfId="1276" priority="91" stopIfTrue="1" operator="greaterThan">
      <formula>$F$67</formula>
    </cfRule>
    <cfRule type="cellIs" dxfId="1275" priority="90" stopIfTrue="1" operator="lessThanOrEqual">
      <formula>0</formula>
    </cfRule>
    <cfRule type="cellIs" dxfId="1274" priority="81" stopIfTrue="1" operator="greaterThan">
      <formula>$F$66</formula>
    </cfRule>
  </conditionalFormatting>
  <conditionalFormatting sqref="H55">
    <cfRule type="cellIs" dxfId="1273" priority="21" stopIfTrue="1" operator="lessThanOrEqual">
      <formula>0</formula>
    </cfRule>
    <cfRule type="cellIs" dxfId="1272" priority="22" stopIfTrue="1" operator="greaterThan">
      <formula>$F$68</formula>
    </cfRule>
    <cfRule type="cellIs" dxfId="1271" priority="30" stopIfTrue="1" operator="greaterThan">
      <formula>$F$71</formula>
    </cfRule>
    <cfRule type="cellIs" dxfId="1270" priority="31" stopIfTrue="1" operator="lessThanOrEqual">
      <formula>0</formula>
    </cfRule>
    <cfRule type="cellIs" dxfId="1269" priority="32" stopIfTrue="1" operator="greaterThan">
      <formula>$F$69</formula>
    </cfRule>
    <cfRule type="cellIs" dxfId="1268" priority="33" stopIfTrue="1" operator="lessThanOrEqual">
      <formula>0</formula>
    </cfRule>
  </conditionalFormatting>
  <conditionalFormatting sqref="H56:H57">
    <cfRule type="cellIs" dxfId="1267" priority="104" stopIfTrue="1" operator="greaterThan">
      <formula>$F$67</formula>
    </cfRule>
    <cfRule type="cellIs" dxfId="1266" priority="103" stopIfTrue="1" operator="lessThanOrEqual">
      <formula>0</formula>
    </cfRule>
    <cfRule type="cellIs" dxfId="1265" priority="102" stopIfTrue="1" operator="greaterThan">
      <formula>$F$69</formula>
    </cfRule>
    <cfRule type="cellIs" dxfId="1264" priority="94" stopIfTrue="1" operator="greaterThan">
      <formula>$F$66</formula>
    </cfRule>
    <cfRule type="cellIs" dxfId="1263" priority="105" stopIfTrue="1" operator="lessThanOrEqual">
      <formula>0</formula>
    </cfRule>
  </conditionalFormatting>
  <conditionalFormatting sqref="H58:H59">
    <cfRule type="cellIs" dxfId="1262" priority="129" stopIfTrue="1" operator="lessThanOrEqual">
      <formula>0</formula>
    </cfRule>
    <cfRule type="cellIs" dxfId="1261" priority="138" stopIfTrue="1" operator="greaterThan">
      <formula>#REF!</formula>
    </cfRule>
    <cfRule type="cellIs" dxfId="1260" priority="139" stopIfTrue="1" operator="lessThanOrEqual">
      <formula>0</formula>
    </cfRule>
    <cfRule type="cellIs" dxfId="1259" priority="130" stopIfTrue="1" operator="greaterThan">
      <formula>#REF!</formula>
    </cfRule>
  </conditionalFormatting>
  <conditionalFormatting sqref="H60">
    <cfRule type="cellIs" dxfId="1258" priority="153" stopIfTrue="1" operator="lessThanOrEqual">
      <formula>0</formula>
    </cfRule>
    <cfRule type="cellIs" dxfId="1257" priority="141" stopIfTrue="1" operator="lessThanOrEqual">
      <formula>0</formula>
    </cfRule>
    <cfRule type="cellIs" dxfId="1256" priority="142" stopIfTrue="1" operator="greaterThan">
      <formula>$F$34</formula>
    </cfRule>
    <cfRule type="cellIs" dxfId="1255" priority="152" stopIfTrue="1" operator="greaterThan">
      <formula>$F$35</formula>
    </cfRule>
    <cfRule type="cellIs" dxfId="1254" priority="151" stopIfTrue="1" operator="lessThanOrEqual">
      <formula>0</formula>
    </cfRule>
    <cfRule type="cellIs" dxfId="1253" priority="150" stopIfTrue="1" operator="greaterThan">
      <formula>$F$37</formula>
    </cfRule>
  </conditionalFormatting>
  <conditionalFormatting sqref="H61:H62">
    <cfRule type="cellIs" dxfId="1252" priority="126" stopIfTrue="1" operator="greaterThan">
      <formula>#REF!</formula>
    </cfRule>
    <cfRule type="cellIs" dxfId="1251" priority="118" stopIfTrue="1" operator="greaterThan">
      <formula>#REF!</formula>
    </cfRule>
    <cfRule type="cellIs" dxfId="1250" priority="117" stopIfTrue="1" operator="lessThanOrEqual">
      <formula>0</formula>
    </cfRule>
    <cfRule type="cellIs" dxfId="1249" priority="127" stopIfTrue="1" operator="lessThanOrEqual">
      <formula>0</formula>
    </cfRule>
  </conditionalFormatting>
  <conditionalFormatting sqref="H77 H79:H85">
    <cfRule type="cellIs" dxfId="1248" priority="176" stopIfTrue="1" operator="greaterThan">
      <formula>4.5</formula>
    </cfRule>
    <cfRule type="cellIs" dxfId="1247" priority="177" stopIfTrue="1" operator="lessThanOrEqual">
      <formula>0</formula>
    </cfRule>
  </conditionalFormatting>
  <conditionalFormatting sqref="H53:I53">
    <cfRule type="cellIs" dxfId="1246" priority="56" stopIfTrue="1" operator="lessThanOrEqual">
      <formula>0</formula>
    </cfRule>
  </conditionalFormatting>
  <conditionalFormatting sqref="H53:I54 H56:I57">
    <cfRule type="cellIs" dxfId="1245" priority="53" stopIfTrue="1" operator="greaterThan">
      <formula>$F$68</formula>
    </cfRule>
  </conditionalFormatting>
  <conditionalFormatting sqref="H54:I54">
    <cfRule type="cellIs" dxfId="1244" priority="82" stopIfTrue="1" operator="lessThanOrEqual">
      <formula>0</formula>
    </cfRule>
  </conditionalFormatting>
  <conditionalFormatting sqref="H55:I55">
    <cfRule type="cellIs" dxfId="1243" priority="20" stopIfTrue="1" operator="greaterThan">
      <formula>$F$70</formula>
    </cfRule>
    <cfRule type="cellIs" dxfId="1242" priority="23" stopIfTrue="1" operator="lessThanOrEqual">
      <formula>0</formula>
    </cfRule>
  </conditionalFormatting>
  <conditionalFormatting sqref="H56:I57">
    <cfRule type="cellIs" dxfId="1241" priority="95" stopIfTrue="1" operator="lessThanOrEqual">
      <formula>0</formula>
    </cfRule>
  </conditionalFormatting>
  <conditionalFormatting sqref="H58:I59">
    <cfRule type="cellIs" dxfId="1240" priority="136" stopIfTrue="1" operator="greaterThan">
      <formula>#REF!</formula>
    </cfRule>
    <cfRule type="cellIs" dxfId="1239" priority="131" stopIfTrue="1" operator="lessThanOrEqual">
      <formula>0</formula>
    </cfRule>
    <cfRule type="cellIs" dxfId="1238" priority="137" stopIfTrue="1" operator="lessThanOrEqual">
      <formula>0</formula>
    </cfRule>
    <cfRule type="cellIs" dxfId="1237" priority="128" stopIfTrue="1" operator="greaterThan">
      <formula>#REF!</formula>
    </cfRule>
  </conditionalFormatting>
  <conditionalFormatting sqref="H60:I60">
    <cfRule type="cellIs" dxfId="1236" priority="140" stopIfTrue="1" operator="greaterThan">
      <formula>$F$36</formula>
    </cfRule>
    <cfRule type="cellIs" dxfId="1235" priority="143" stopIfTrue="1" operator="lessThanOrEqual">
      <formula>0</formula>
    </cfRule>
  </conditionalFormatting>
  <conditionalFormatting sqref="H61:I62">
    <cfRule type="cellIs" dxfId="1234" priority="116" stopIfTrue="1" operator="greaterThan">
      <formula>#REF!</formula>
    </cfRule>
    <cfRule type="cellIs" dxfId="1233" priority="119" stopIfTrue="1" operator="lessThanOrEqual">
      <formula>0</formula>
    </cfRule>
    <cfRule type="cellIs" dxfId="1232" priority="124" stopIfTrue="1" operator="greaterThan">
      <formula>#REF!</formula>
    </cfRule>
    <cfRule type="cellIs" dxfId="1231" priority="125" stopIfTrue="1" operator="lessThanOrEqual">
      <formula>0</formula>
    </cfRule>
  </conditionalFormatting>
  <conditionalFormatting sqref="H66:I73">
    <cfRule type="cellIs" dxfId="1230" priority="39" stopIfTrue="1" operator="lessThanOrEqual">
      <formula>0</formula>
    </cfRule>
    <cfRule type="cellIs" dxfId="1229" priority="38" stopIfTrue="1" operator="greaterThan">
      <formula>$J66</formula>
    </cfRule>
  </conditionalFormatting>
  <conditionalFormatting sqref="H74:I74">
    <cfRule type="cellIs" dxfId="1228" priority="46" operator="greaterThan">
      <formula>5.3</formula>
    </cfRule>
  </conditionalFormatting>
  <conditionalFormatting sqref="H75:I75">
    <cfRule type="cellIs" dxfId="1227" priority="45" stopIfTrue="1" operator="lessThanOrEqual">
      <formula>0</formula>
    </cfRule>
    <cfRule type="cellIs" dxfId="1226" priority="44" stopIfTrue="1" operator="greaterThan">
      <formula>$J75</formula>
    </cfRule>
  </conditionalFormatting>
  <conditionalFormatting sqref="I53">
    <cfRule type="cellIs" dxfId="1225" priority="59" stopIfTrue="1" operator="greaterThan">
      <formula>$F$68</formula>
    </cfRule>
    <cfRule type="cellIs" dxfId="1224" priority="58" stopIfTrue="1" operator="lessThanOrEqual">
      <formula>0</formula>
    </cfRule>
    <cfRule type="cellIs" dxfId="1223" priority="57" stopIfTrue="1" operator="greaterThan">
      <formula>$F$66</formula>
    </cfRule>
    <cfRule type="cellIs" dxfId="1222" priority="62" stopIfTrue="1" operator="lessThanOrEqual">
      <formula>0</formula>
    </cfRule>
    <cfRule type="cellIs" dxfId="1221" priority="61" stopIfTrue="1" operator="greaterThan">
      <formula>$F$66</formula>
    </cfRule>
    <cfRule type="cellIs" dxfId="1220" priority="60" stopIfTrue="1" operator="lessThanOrEqual">
      <formula>0</formula>
    </cfRule>
  </conditionalFormatting>
  <conditionalFormatting sqref="I54">
    <cfRule type="cellIs" dxfId="1219" priority="84" stopIfTrue="1" operator="lessThanOrEqual">
      <formula>0</formula>
    </cfRule>
    <cfRule type="cellIs" dxfId="1218" priority="83" stopIfTrue="1" operator="greaterThan">
      <formula>$F$66</formula>
    </cfRule>
    <cfRule type="cellIs" dxfId="1217" priority="88" stopIfTrue="1" operator="lessThanOrEqual">
      <formula>0</formula>
    </cfRule>
    <cfRule type="cellIs" dxfId="1216" priority="87" stopIfTrue="1" operator="greaterThan">
      <formula>$F$66</formula>
    </cfRule>
    <cfRule type="cellIs" dxfId="1215" priority="86" stopIfTrue="1" operator="lessThanOrEqual">
      <formula>0</formula>
    </cfRule>
    <cfRule type="cellIs" dxfId="1214" priority="85" stopIfTrue="1" operator="greaterThan">
      <formula>$F$68</formula>
    </cfRule>
  </conditionalFormatting>
  <conditionalFormatting sqref="I55">
    <cfRule type="cellIs" dxfId="1213" priority="28" stopIfTrue="1" operator="greaterThan">
      <formula>$F$68</formula>
    </cfRule>
    <cfRule type="cellIs" dxfId="1212" priority="27" stopIfTrue="1" operator="lessThanOrEqual">
      <formula>0</formula>
    </cfRule>
    <cfRule type="cellIs" dxfId="1211" priority="26" stopIfTrue="1" operator="greaterThan">
      <formula>$F$70</formula>
    </cfRule>
    <cfRule type="cellIs" dxfId="1210" priority="25" stopIfTrue="1" operator="lessThanOrEqual">
      <formula>0</formula>
    </cfRule>
    <cfRule type="cellIs" dxfId="1209" priority="24" stopIfTrue="1" operator="greaterThan">
      <formula>$F$68</formula>
    </cfRule>
    <cfRule type="cellIs" dxfId="1208" priority="29" stopIfTrue="1" operator="lessThanOrEqual">
      <formula>0</formula>
    </cfRule>
  </conditionalFormatting>
  <conditionalFormatting sqref="I56:I57">
    <cfRule type="cellIs" dxfId="1207" priority="99" stopIfTrue="1" operator="lessThanOrEqual">
      <formula>0</formula>
    </cfRule>
    <cfRule type="cellIs" dxfId="1206" priority="100" stopIfTrue="1" operator="greaterThan">
      <formula>$F$66</formula>
    </cfRule>
    <cfRule type="cellIs" dxfId="1205" priority="101" stopIfTrue="1" operator="lessThanOrEqual">
      <formula>0</formula>
    </cfRule>
    <cfRule type="cellIs" dxfId="1204" priority="96" stopIfTrue="1" operator="greaterThan">
      <formula>$F$66</formula>
    </cfRule>
    <cfRule type="cellIs" dxfId="1203" priority="97" stopIfTrue="1" operator="lessThanOrEqual">
      <formula>0</formula>
    </cfRule>
    <cfRule type="cellIs" dxfId="1202" priority="98" stopIfTrue="1" operator="greaterThan">
      <formula>$F$68</formula>
    </cfRule>
  </conditionalFormatting>
  <conditionalFormatting sqref="I58:I59">
    <cfRule type="cellIs" dxfId="1201" priority="132" stopIfTrue="1" operator="greaterThan">
      <formula>#REF!</formula>
    </cfRule>
    <cfRule type="cellIs" dxfId="1200" priority="135" stopIfTrue="1" operator="lessThanOrEqual">
      <formula>0</formula>
    </cfRule>
    <cfRule type="cellIs" dxfId="1199" priority="134" stopIfTrue="1" operator="greaterThan">
      <formula>#REF!</formula>
    </cfRule>
    <cfRule type="cellIs" dxfId="1198" priority="133" stopIfTrue="1" operator="lessThanOrEqual">
      <formula>0</formula>
    </cfRule>
  </conditionalFormatting>
  <conditionalFormatting sqref="I60">
    <cfRule type="cellIs" dxfId="1197" priority="147" stopIfTrue="1" operator="lessThanOrEqual">
      <formula>0</formula>
    </cfRule>
    <cfRule type="cellIs" dxfId="1196" priority="148" stopIfTrue="1" operator="greaterThan">
      <formula>$F$34</formula>
    </cfRule>
    <cfRule type="cellIs" dxfId="1195" priority="149" stopIfTrue="1" operator="lessThanOrEqual">
      <formula>0</formula>
    </cfRule>
    <cfRule type="cellIs" dxfId="1194" priority="146" stopIfTrue="1" operator="greaterThan">
      <formula>$F$36</formula>
    </cfRule>
    <cfRule type="cellIs" dxfId="1193" priority="145" stopIfTrue="1" operator="lessThanOrEqual">
      <formula>0</formula>
    </cfRule>
    <cfRule type="cellIs" dxfId="1192" priority="144" stopIfTrue="1" operator="greaterThan">
      <formula>$F$34</formula>
    </cfRule>
  </conditionalFormatting>
  <conditionalFormatting sqref="I61:I62">
    <cfRule type="cellIs" dxfId="1191" priority="120" stopIfTrue="1" operator="greaterThan">
      <formula>#REF!</formula>
    </cfRule>
    <cfRule type="cellIs" dxfId="1190" priority="121" stopIfTrue="1" operator="lessThanOrEqual">
      <formula>0</formula>
    </cfRule>
    <cfRule type="cellIs" dxfId="1189" priority="122" stopIfTrue="1" operator="greaterThan">
      <formula>#REF!</formula>
    </cfRule>
    <cfRule type="cellIs" dxfId="1188" priority="123" stopIfTrue="1" operator="lessThanOrEqual">
      <formula>0</formula>
    </cfRule>
  </conditionalFormatting>
  <conditionalFormatting sqref="I77:I85">
    <cfRule type="cellIs" dxfId="1187" priority="173" stopIfTrue="1" operator="lessThanOrEqual">
      <formula>0</formula>
    </cfRule>
    <cfRule type="cellIs" dxfId="1186" priority="172" stopIfTrue="1" operator="greaterThan">
      <formula>4.5</formula>
    </cfRule>
  </conditionalFormatting>
  <conditionalFormatting sqref="I10:J21">
    <cfRule type="cellIs" dxfId="1185" priority="1" operator="lessThan">
      <formula>97.9</formula>
    </cfRule>
  </conditionalFormatting>
  <conditionalFormatting sqref="J24:J26">
    <cfRule type="cellIs" dxfId="1184" priority="19" operator="lessThan">
      <formula>97.95</formula>
    </cfRule>
  </conditionalFormatting>
  <conditionalFormatting sqref="J25:J28">
    <cfRule type="cellIs" dxfId="1183" priority="154" operator="lessThan">
      <formula>97.4</formula>
    </cfRule>
  </conditionalFormatting>
  <conditionalFormatting sqref="J29:J30">
    <cfRule type="cellIs" dxfId="1182" priority="155" operator="lessThan">
      <formula>98</formula>
    </cfRule>
  </conditionalFormatting>
  <conditionalFormatting sqref="J31:J32">
    <cfRule type="cellIs" dxfId="1181" priority="156" stopIfTrue="1" operator="lessThan">
      <formula>96.8</formula>
    </cfRule>
    <cfRule type="cellIs" dxfId="1180" priority="157" stopIfTrue="1" operator="greaterThan">
      <formula>100</formula>
    </cfRule>
  </conditionalFormatting>
  <conditionalFormatting sqref="J31:J33">
    <cfRule type="cellIs" dxfId="1179" priority="158" operator="lessThan">
      <formula>98</formula>
    </cfRule>
  </conditionalFormatting>
  <conditionalFormatting sqref="J62">
    <cfRule type="cellIs" dxfId="1178" priority="112" stopIfTrue="1" operator="greaterThan">
      <formula>#REF!</formula>
    </cfRule>
    <cfRule type="cellIs" dxfId="1177" priority="113" stopIfTrue="1" operator="lessThanOrEqual">
      <formula>0</formula>
    </cfRule>
    <cfRule type="cellIs" dxfId="1176" priority="114" stopIfTrue="1" operator="greaterThan">
      <formula>#REF!</formula>
    </cfRule>
    <cfRule type="cellIs" dxfId="1175" priority="115" stopIfTrue="1" operator="lessThanOrEqual">
      <formula>0</formula>
    </cfRule>
    <cfRule type="cellIs" dxfId="1174" priority="108" stopIfTrue="1" operator="greaterThan">
      <formula>#REF!</formula>
    </cfRule>
    <cfRule type="cellIs" dxfId="1173" priority="109" stopIfTrue="1" operator="lessThanOrEqual">
      <formula>0</formula>
    </cfRule>
    <cfRule type="cellIs" dxfId="1172" priority="110" stopIfTrue="1" operator="greaterThan">
      <formula>#REF!</formula>
    </cfRule>
    <cfRule type="cellIs" dxfId="1171" priority="111" stopIfTrue="1" operator="lessThanOrEqual">
      <formula>0</formula>
    </cfRule>
  </conditionalFormatting>
  <conditionalFormatting sqref="J75">
    <cfRule type="cellIs" dxfId="1170" priority="47" stopIfTrue="1" operator="greaterThan">
      <formula>$F75</formula>
    </cfRule>
    <cfRule type="cellIs" dxfId="1169" priority="48" stopIfTrue="1" operator="lessThanOrEqual">
      <formula>0</formula>
    </cfRule>
  </conditionalFormatting>
  <conditionalFormatting sqref="K10:K21">
    <cfRule type="cellIs" dxfId="1168" priority="3" operator="lessThan">
      <formula>4</formula>
    </cfRule>
    <cfRule type="cellIs" dxfId="1167" priority="2" operator="greaterThan">
      <formula>6</formula>
    </cfRule>
    <cfRule type="cellIs" dxfId="1166" priority="4" operator="greaterThan">
      <formula>6.4</formula>
    </cfRule>
  </conditionalFormatting>
  <conditionalFormatting sqref="K53:K62">
    <cfRule type="cellIs" dxfId="1165" priority="93" stopIfTrue="1" operator="lessThan">
      <formula>100%</formula>
    </cfRule>
  </conditionalFormatting>
  <conditionalFormatting sqref="K66:K74">
    <cfRule type="cellIs" dxfId="1164" priority="37" stopIfTrue="1" operator="lessThan">
      <formula>100%</formula>
    </cfRule>
  </conditionalFormatting>
  <conditionalFormatting sqref="K77:K82">
    <cfRule type="cellIs" dxfId="1163" priority="178" stopIfTrue="1" operator="lessThan">
      <formula>100%</formula>
    </cfRule>
  </conditionalFormatting>
  <conditionalFormatting sqref="K84:K85">
    <cfRule type="cellIs" dxfId="1162" priority="185" stopIfTrue="1" operator="lessThan">
      <formula>100%</formula>
    </cfRule>
  </conditionalFormatting>
  <conditionalFormatting sqref="L10:L21">
    <cfRule type="cellIs" dxfId="1161" priority="5" operator="between">
      <formula>61</formula>
      <formula>65</formula>
    </cfRule>
    <cfRule type="cellIs" dxfId="1160" priority="6" operator="greaterThan">
      <formula>65</formula>
    </cfRule>
  </conditionalFormatting>
  <conditionalFormatting sqref="L24:M35">
    <cfRule type="cellIs" dxfId="1159" priority="18" operator="lessThan">
      <formula>97.95</formula>
    </cfRule>
  </conditionalFormatting>
  <conditionalFormatting sqref="L39:N39">
    <cfRule type="cellIs" dxfId="1158" priority="17" operator="notEqual">
      <formula>#REF!</formula>
    </cfRule>
  </conditionalFormatting>
  <conditionalFormatting sqref="L66:N75">
    <cfRule type="cellIs" dxfId="1157" priority="34" stopIfTrue="1" operator="lessThan">
      <formula>100%</formula>
    </cfRule>
  </conditionalFormatting>
  <conditionalFormatting sqref="L77:N85">
    <cfRule type="cellIs" dxfId="1156" priority="163" stopIfTrue="1" operator="lessThan">
      <formula>100%</formula>
    </cfRule>
  </conditionalFormatting>
  <conditionalFormatting sqref="M19:M21">
    <cfRule type="expression" dxfId="1155" priority="12">
      <formula>IF(+(IF(M19&lt;U19,0,IF(M19&gt;V19,0,1)))=0,1)</formula>
    </cfRule>
  </conditionalFormatting>
  <conditionalFormatting sqref="M10:N18 N19:N21">
    <cfRule type="expression" dxfId="1154" priority="15">
      <formula>IF(+(IF(M10&lt;V10,0,IF(M10&gt;W10,0,1)))=0,1)</formula>
    </cfRule>
  </conditionalFormatting>
  <conditionalFormatting sqref="P6">
    <cfRule type="cellIs" dxfId="1153" priority="159" operator="greaterThanOrEqual">
      <formula>19</formula>
    </cfRule>
  </conditionalFormatting>
  <dataValidations count="1">
    <dataValidation type="list" allowBlank="1" showInputMessage="1" showErrorMessage="1" sqref="R8" xr:uid="{6D74642B-8D7A-4722-9E78-DF93675F8D4B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D4E9-E8ED-4EC0-93B9-81F35DB837D6}">
  <sheetPr>
    <pageSetUpPr fitToPage="1"/>
  </sheetPr>
  <dimension ref="A1:BE75"/>
  <sheetViews>
    <sheetView topLeftCell="B1" zoomScale="85" zoomScaleNormal="85" workbookViewId="0">
      <selection activeCell="C20" sqref="C20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46310</v>
      </c>
      <c r="J4" s="397" t="s">
        <v>180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179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hidden="1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17"/>
      <c r="R10" s="277">
        <f t="shared" ref="R10:R35" si="0">B10</f>
        <v>0</v>
      </c>
      <c r="S10" s="471" t="e">
        <f t="shared" ref="S10:S35" si="1">VLOOKUP($B10,$R$3:$X$9,2,FALSE)</f>
        <v>#N/A</v>
      </c>
      <c r="T10" s="471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471" t="e">
        <f t="shared" ref="Z10:Z35" si="8">VLOOKUP($B10,$R$3:$Z$9,9,FALSE)</f>
        <v>#N/A</v>
      </c>
    </row>
    <row r="11" spans="2:29" ht="15" hidden="1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17"/>
      <c r="R11" s="277">
        <f t="shared" si="0"/>
        <v>0</v>
      </c>
      <c r="S11" s="471" t="e">
        <f t="shared" si="1"/>
        <v>#N/A</v>
      </c>
      <c r="T11" s="471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1" t="e">
        <f t="shared" si="8"/>
        <v>#N/A</v>
      </c>
    </row>
    <row r="12" spans="2:29" ht="15" hidden="1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17"/>
      <c r="R12" s="277">
        <f t="shared" si="0"/>
        <v>0</v>
      </c>
      <c r="S12" s="471" t="e">
        <f t="shared" si="1"/>
        <v>#N/A</v>
      </c>
      <c r="T12" s="471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1" t="e">
        <f t="shared" si="8"/>
        <v>#N/A</v>
      </c>
    </row>
    <row r="13" spans="2:29" ht="15" hidden="1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7"/>
      <c r="R13" s="277">
        <f t="shared" si="0"/>
        <v>0</v>
      </c>
      <c r="S13" s="471" t="e">
        <f t="shared" si="1"/>
        <v>#N/A</v>
      </c>
      <c r="T13" s="471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1" t="e">
        <f t="shared" si="8"/>
        <v>#N/A</v>
      </c>
    </row>
    <row r="14" spans="2:29" ht="15" customHeight="1">
      <c r="B14" s="37" t="s">
        <v>16</v>
      </c>
      <c r="C14" s="366" t="str">
        <f>[8]Brewhouse!$A116</f>
        <v>SM103</v>
      </c>
      <c r="D14" s="279">
        <f>[8]Brewhouse!$AH116</f>
        <v>53</v>
      </c>
      <c r="E14" s="279">
        <f>[8]Brewhouse!$AM116</f>
        <v>51.9</v>
      </c>
      <c r="F14" s="278">
        <f>[8]Brewhouse!$Z116</f>
        <v>65</v>
      </c>
      <c r="G14" s="279">
        <f>[8]Brewhouse!$AK116</f>
        <v>17.36</v>
      </c>
      <c r="H14" s="396">
        <v>17.3</v>
      </c>
      <c r="I14" s="368">
        <f>[8]Brewhouse!$AY116</f>
        <v>95.022046186828362</v>
      </c>
      <c r="J14" s="368">
        <f>[8]Brewhouse!$AZ116</f>
        <v>95.285372684690913</v>
      </c>
      <c r="K14" s="281">
        <f>[8]Brewhouse!$U116</f>
        <v>5.0566037735849045</v>
      </c>
      <c r="L14" s="276">
        <f>[8]Brewhouse!$T116</f>
        <v>60</v>
      </c>
      <c r="M14" s="374">
        <f>[8]Brewhouse!$Y116-[8]Brewhouse!$X116</f>
        <v>0.14861111111111108</v>
      </c>
      <c r="N14" s="370">
        <f>[8]Brewhouse!$AD116</f>
        <v>0.39444444444444443</v>
      </c>
      <c r="O14" s="371" t="str">
        <f>[8]Brewhouse!$BC116</f>
        <v>R.Sookram</v>
      </c>
      <c r="P14" s="417"/>
      <c r="R14" s="277" t="str">
        <f t="shared" si="0"/>
        <v>STARMALT</v>
      </c>
      <c r="S14" s="471">
        <f t="shared" si="1"/>
        <v>17</v>
      </c>
      <c r="T14" s="471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1">
        <f t="shared" si="8"/>
        <v>85</v>
      </c>
    </row>
    <row r="15" spans="2:29" ht="15" customHeight="1">
      <c r="B15" s="37" t="s">
        <v>16</v>
      </c>
      <c r="C15" s="366" t="str">
        <f>[8]Brewhouse!$A117</f>
        <v>SM104</v>
      </c>
      <c r="D15" s="279">
        <f>[8]Brewhouse!$AH117</f>
        <v>53</v>
      </c>
      <c r="E15" s="279">
        <f>[8]Brewhouse!$AM117</f>
        <v>51.9</v>
      </c>
      <c r="F15" s="278">
        <f>[8]Brewhouse!$Z117</f>
        <v>73</v>
      </c>
      <c r="G15" s="279">
        <f>[8]Brewhouse!$AK117</f>
        <v>17.399999999999999</v>
      </c>
      <c r="H15" s="396">
        <v>17.2</v>
      </c>
      <c r="I15" s="368">
        <f>[8]Brewhouse!$AY117</f>
        <v>95.022046186828362</v>
      </c>
      <c r="J15" s="368">
        <f>[8]Brewhouse!$AZ117</f>
        <v>95.285372684690913</v>
      </c>
      <c r="K15" s="281">
        <f>[8]Brewhouse!$U117</f>
        <v>6.754716981132086</v>
      </c>
      <c r="L15" s="276">
        <f>[8]Brewhouse!$T117</f>
        <v>60</v>
      </c>
      <c r="M15" s="374">
        <f>[8]Brewhouse!$Y117-[8]Brewhouse!$X117</f>
        <v>0.26458333333333334</v>
      </c>
      <c r="N15" s="370">
        <f>[8]Brewhouse!$AD117</f>
        <v>0.42083333333333334</v>
      </c>
      <c r="O15" s="371" t="str">
        <f>[8]Brewhouse!$BC117</f>
        <v>R.Sookram</v>
      </c>
      <c r="P15" s="417"/>
      <c r="R15" s="277" t="str">
        <f t="shared" si="0"/>
        <v>STARMALT</v>
      </c>
      <c r="S15" s="471">
        <f t="shared" si="1"/>
        <v>17</v>
      </c>
      <c r="T15" s="471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1">
        <f t="shared" si="8"/>
        <v>85</v>
      </c>
    </row>
    <row r="16" spans="2:29" ht="15" customHeight="1">
      <c r="B16" s="37" t="s">
        <v>16</v>
      </c>
      <c r="C16" s="366" t="str">
        <f>[8]Brewhouse!$A118</f>
        <v>SM105</v>
      </c>
      <c r="D16" s="279">
        <f>[8]Brewhouse!$AH118</f>
        <v>50</v>
      </c>
      <c r="E16" s="279">
        <f>[8]Brewhouse!$AM118</f>
        <v>49.3</v>
      </c>
      <c r="F16" s="278">
        <f>[8]Brewhouse!$Z118</f>
        <v>70</v>
      </c>
      <c r="G16" s="279">
        <f>[8]Brewhouse!$AK118</f>
        <v>17.399999999999999</v>
      </c>
      <c r="H16" s="396">
        <v>17.3</v>
      </c>
      <c r="I16" s="368">
        <f>[8]Brewhouse!$AY118</f>
        <v>90.335017111661628</v>
      </c>
      <c r="J16" s="368">
        <f>[8]Brewhouse!$AZ118</f>
        <v>90.585115407273193</v>
      </c>
      <c r="K16" s="281">
        <f>[8]Brewhouse!$U118</f>
        <v>2.960000000000008</v>
      </c>
      <c r="L16" s="276">
        <f>[8]Brewhouse!$T118</f>
        <v>57</v>
      </c>
      <c r="M16" s="374">
        <f>[8]Brewhouse!$Y118-[8]Brewhouse!$X118</f>
        <v>0.15555555555555556</v>
      </c>
      <c r="N16" s="370">
        <f>[8]Brewhouse!$AD118</f>
        <v>0.36180555555555549</v>
      </c>
      <c r="O16" s="371" t="str">
        <f>[8]Brewhouse!$BC118</f>
        <v>K. Benjamin</v>
      </c>
      <c r="P16" s="417"/>
      <c r="R16" s="277" t="str">
        <f t="shared" si="0"/>
        <v>STARMALT</v>
      </c>
      <c r="S16" s="471">
        <f t="shared" si="1"/>
        <v>17</v>
      </c>
      <c r="T16" s="471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1">
        <f t="shared" si="8"/>
        <v>85</v>
      </c>
    </row>
    <row r="17" spans="1:27" ht="15" customHeight="1">
      <c r="B17" s="37" t="s">
        <v>16</v>
      </c>
      <c r="C17" s="366" t="str">
        <f>[8]Brewhouse!$A119</f>
        <v>SM106</v>
      </c>
      <c r="D17" s="279">
        <f>[8]Brewhouse!$AH119</f>
        <v>53</v>
      </c>
      <c r="E17" s="279">
        <f>[8]Brewhouse!$AM119</f>
        <v>55.3</v>
      </c>
      <c r="F17" s="278">
        <f>[8]Brewhouse!$Z119</f>
        <v>104</v>
      </c>
      <c r="G17" s="279">
        <f>[8]Brewhouse!$AK119</f>
        <v>17.399999999999999</v>
      </c>
      <c r="H17" s="396">
        <v>17.399999999999999</v>
      </c>
      <c r="I17" s="368">
        <f>[8]Brewhouse!$AY119</f>
        <v>100.75694228020136</v>
      </c>
      <c r="J17" s="368">
        <f>[8]Brewhouse!$AZ119</f>
        <v>101.03775475944533</v>
      </c>
      <c r="K17" s="281">
        <f>[8]Brewhouse!$U119</f>
        <v>-0.41509433962263936</v>
      </c>
      <c r="L17" s="276">
        <f>[8]Brewhouse!$T119</f>
        <v>60</v>
      </c>
      <c r="M17" s="374">
        <f>[8]Brewhouse!$Y119-[8]Brewhouse!$X119</f>
        <v>0.1777777777777777</v>
      </c>
      <c r="N17" s="370">
        <f>[8]Brewhouse!$AD119</f>
        <v>0.39027777777777772</v>
      </c>
      <c r="O17" s="371" t="str">
        <f>[8]Brewhouse!$BC119</f>
        <v>K. Benjamin</v>
      </c>
      <c r="P17" s="417"/>
      <c r="R17" s="277" t="str">
        <f t="shared" si="0"/>
        <v>STARMALT</v>
      </c>
      <c r="S17" s="471">
        <f t="shared" si="1"/>
        <v>17</v>
      </c>
      <c r="T17" s="471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1">
        <f t="shared" si="8"/>
        <v>85</v>
      </c>
    </row>
    <row r="18" spans="1:27" ht="15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7" ht="15" customHeight="1">
      <c r="B19" s="33" t="s">
        <v>9</v>
      </c>
      <c r="C19" s="366" t="str">
        <f>[4]Brewhouse!$A407</f>
        <v>ST348</v>
      </c>
      <c r="D19" s="279">
        <f>[4]Brewhouse!$AB407</f>
        <v>53.1</v>
      </c>
      <c r="E19" s="279">
        <f>[4]Brewhouse!$AG407</f>
        <v>47.3</v>
      </c>
      <c r="F19" s="278">
        <f>[4]Brewhouse!$V407</f>
        <v>59</v>
      </c>
      <c r="G19" s="279">
        <f>[4]Brewhouse!$AE407</f>
        <v>11.6</v>
      </c>
      <c r="H19" s="396"/>
      <c r="I19" s="368">
        <f>[4]Brewhouse!$AS407</f>
        <v>93.170349872577006</v>
      </c>
      <c r="J19" s="368">
        <f>[4]Brewhouse!$AT407</f>
        <v>93.619008736833493</v>
      </c>
      <c r="K19" s="281">
        <f>[4]Brewhouse!$Q407</f>
        <v>11.440677966101701</v>
      </c>
      <c r="L19" s="276">
        <f>[4]Brewhouse!$P407</f>
        <v>59</v>
      </c>
      <c r="M19" s="374">
        <f>[4]Brewhouse!$U407-[4]Brewhouse!$T407</f>
        <v>0.12222222222222234</v>
      </c>
      <c r="N19" s="370">
        <f>[4]Brewhouse!$AW407</f>
        <v>0.28055555555555567</v>
      </c>
      <c r="O19" s="419" t="str">
        <f>[4]Brewhouse!$AV407</f>
        <v>D.Gomaz</v>
      </c>
      <c r="P19" s="417"/>
      <c r="R19" s="277" t="str">
        <f t="shared" si="0"/>
        <v>STAG</v>
      </c>
      <c r="S19" s="471">
        <f t="shared" si="1"/>
        <v>11.6</v>
      </c>
      <c r="T19" s="471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1">
        <f t="shared" si="8"/>
        <v>60</v>
      </c>
    </row>
    <row r="20" spans="1:27" ht="15" customHeight="1">
      <c r="B20" s="33" t="s">
        <v>9</v>
      </c>
      <c r="C20" s="366" t="str">
        <f>[4]Brewhouse!$A408</f>
        <v>ST349</v>
      </c>
      <c r="D20" s="279">
        <f>[4]Brewhouse!$AB408</f>
        <v>53.1</v>
      </c>
      <c r="E20" s="279">
        <f>[4]Brewhouse!$AG408</f>
        <v>48.7</v>
      </c>
      <c r="F20" s="278">
        <f>[4]Brewhouse!$V408</f>
        <v>57</v>
      </c>
      <c r="G20" s="279">
        <f>[4]Brewhouse!$AE408</f>
        <v>11.8</v>
      </c>
      <c r="H20" s="396"/>
      <c r="I20" s="368">
        <f>[4]Brewhouse!$AS408</f>
        <v>96.447153396190089</v>
      </c>
      <c r="J20" s="368">
        <f>[4]Brewhouse!$AT408</f>
        <v>96.913078535720061</v>
      </c>
      <c r="K20" s="281">
        <f>[4]Brewhouse!$Q408</f>
        <v>10.499058380414318</v>
      </c>
      <c r="L20" s="276">
        <f>[4]Brewhouse!$P408</f>
        <v>60</v>
      </c>
      <c r="M20" s="374">
        <f>[4]Brewhouse!$U408-[4]Brewhouse!$T408</f>
        <v>0.11875000000000013</v>
      </c>
      <c r="N20" s="370">
        <f>[4]Brewhouse!$AW408</f>
        <v>0.28263888888888888</v>
      </c>
      <c r="O20" s="419" t="str">
        <f>[4]Brewhouse!$AV408</f>
        <v>D.Gomaz</v>
      </c>
      <c r="P20" s="417"/>
      <c r="R20" s="277" t="str">
        <f t="shared" si="0"/>
        <v>STAG</v>
      </c>
      <c r="S20" s="471">
        <f t="shared" si="1"/>
        <v>11.6</v>
      </c>
      <c r="T20" s="471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1">
        <f t="shared" si="8"/>
        <v>60</v>
      </c>
    </row>
    <row r="21" spans="1:27" ht="15" customHeight="1">
      <c r="B21" s="34"/>
      <c r="C21" s="366"/>
      <c r="D21" s="279"/>
      <c r="E21" s="279"/>
      <c r="F21" s="278"/>
      <c r="G21" s="279"/>
      <c r="H21" s="396"/>
      <c r="I21" s="487"/>
      <c r="J21" s="487"/>
      <c r="K21" s="488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7" ht="17.25" customHeight="1" thickBot="1">
      <c r="B22" s="358"/>
      <c r="C22" s="358"/>
      <c r="D22" s="358"/>
      <c r="E22" s="358"/>
      <c r="F22" s="294"/>
      <c r="G22" s="294"/>
      <c r="H22" s="348"/>
      <c r="I22" s="539"/>
      <c r="J22" s="539"/>
      <c r="K22" s="539"/>
      <c r="L22" s="539"/>
      <c r="M22" s="539"/>
      <c r="N22" s="539"/>
      <c r="O22" s="1"/>
      <c r="P22" s="12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7" ht="17.25" customHeight="1" thickBot="1">
      <c r="B23" s="482" t="s">
        <v>162</v>
      </c>
      <c r="C23" s="388"/>
      <c r="D23" s="540" t="s">
        <v>35</v>
      </c>
      <c r="E23" s="541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7" ht="17.25" customHeight="1">
      <c r="A24" s="28"/>
      <c r="B24" s="580" t="str">
        <f>I24</f>
        <v>CARIB</v>
      </c>
      <c r="C24" s="483">
        <f>[3]Process!D755</f>
        <v>11.9</v>
      </c>
      <c r="D24" s="527">
        <v>11.85</v>
      </c>
      <c r="E24" s="528"/>
      <c r="F24" s="294"/>
      <c r="G24" s="294"/>
      <c r="H24" s="348"/>
      <c r="I24" s="29" t="s">
        <v>6</v>
      </c>
      <c r="J24" s="323"/>
      <c r="K24" s="284">
        <f>COUNTA([3]Brewhouse!$A$789:$A$820)</f>
        <v>32</v>
      </c>
      <c r="L24" s="305">
        <f>AVERAGE([3]Brewhouse!$AU$789:$AU$820)</f>
        <v>97.19542619578651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$820)</f>
        <v>98.283559098193749</v>
      </c>
      <c r="N24" s="30">
        <v>98</v>
      </c>
      <c r="O24" s="11"/>
      <c r="P24" s="31"/>
      <c r="R24" s="277" t="str">
        <f t="shared" si="0"/>
        <v>CARIB</v>
      </c>
      <c r="S24" s="471">
        <f t="shared" si="1"/>
        <v>11.6</v>
      </c>
      <c r="T24" s="471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1">
        <f t="shared" si="8"/>
        <v>60</v>
      </c>
    </row>
    <row r="25" spans="1:27" ht="15" customHeight="1">
      <c r="A25" s="28"/>
      <c r="B25" s="581"/>
      <c r="C25" s="362">
        <f>[3]Process!D756</f>
        <v>11.7</v>
      </c>
      <c r="D25" s="529"/>
      <c r="E25" s="530"/>
      <c r="F25" s="294"/>
      <c r="G25" s="294"/>
      <c r="H25" s="348"/>
      <c r="I25" s="33" t="s">
        <v>9</v>
      </c>
      <c r="J25" s="323"/>
      <c r="K25" s="284">
        <f>COUNTA([4]Brewhouse!$A$390:$A$406)</f>
        <v>17</v>
      </c>
      <c r="L25" s="302">
        <f>AVERAGE([4]Brewhouse!$AS$390:$AS$406)</f>
        <v>97.707842826554412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$406)</f>
        <v>98.285743987991637</v>
      </c>
      <c r="N25" s="30">
        <v>98</v>
      </c>
      <c r="O25" s="11"/>
      <c r="P25" s="31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7" ht="14.65" customHeight="1">
      <c r="A26" s="28"/>
      <c r="B26" s="581"/>
      <c r="C26" s="362">
        <f>[3]Process!D757</f>
        <v>11.9</v>
      </c>
      <c r="D26" s="534">
        <v>11.79</v>
      </c>
      <c r="E26" s="535"/>
      <c r="F26" s="294"/>
      <c r="G26" s="294"/>
      <c r="H26" s="348"/>
      <c r="I26" s="34" t="s">
        <v>12</v>
      </c>
      <c r="J26" s="323"/>
      <c r="K26" s="284">
        <f>COUNTA([5]Brewhouse!$A$108:$A$115)</f>
        <v>8</v>
      </c>
      <c r="L26" s="302">
        <f>AVERAGE([5]Brewhouse!$AU$108:$AU$115)</f>
        <v>97.365395087454402</v>
      </c>
      <c r="M26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26" s="30">
        <v>98</v>
      </c>
      <c r="O26" s="11"/>
      <c r="P26" s="31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7" ht="14.65" customHeight="1">
      <c r="A27" s="28"/>
      <c r="B27" s="581"/>
      <c r="C27" s="362">
        <f>[3]Process!D758</f>
        <v>12</v>
      </c>
      <c r="D27" s="536"/>
      <c r="E27" s="530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7" ht="14.65" customHeight="1">
      <c r="A28" s="28"/>
      <c r="B28" s="581"/>
      <c r="C28" s="362">
        <f>[3]Process!D759</f>
        <v>11.9</v>
      </c>
      <c r="D28" s="534">
        <v>11.81</v>
      </c>
      <c r="E28" s="535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7" ht="14.65" customHeight="1">
      <c r="A29" s="28"/>
      <c r="B29" s="581"/>
      <c r="C29" s="362">
        <f>[3]Process!D760</f>
        <v>12</v>
      </c>
      <c r="D29" s="536"/>
      <c r="E29" s="530"/>
      <c r="F29" s="416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7" ht="14.65" customHeight="1">
      <c r="A30" s="28"/>
      <c r="B30" s="581"/>
      <c r="C30" s="362">
        <f>[3]Process!D761</f>
        <v>11.9</v>
      </c>
      <c r="D30" s="534">
        <v>11.7</v>
      </c>
      <c r="E30" s="535"/>
      <c r="F30" s="416"/>
      <c r="G30" s="294"/>
      <c r="H30" s="348"/>
      <c r="I30" s="37" t="s">
        <v>16</v>
      </c>
      <c r="J30" s="323">
        <f>AVERAGE(I14:I17)</f>
        <v>95.284012941379927</v>
      </c>
      <c r="K30" s="284">
        <f>COUNTA([8]Brewhouse!$A$112:$A$119)</f>
        <v>8</v>
      </c>
      <c r="L30" s="302">
        <f>AVERAGE([8]Brewhouse!$AY$112:$AY$119)</f>
        <v>96.833332758088616</v>
      </c>
      <c r="M30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30" s="30">
        <v>98</v>
      </c>
      <c r="O30" s="11"/>
      <c r="P30" s="31" t="s">
        <v>41</v>
      </c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7" ht="14.65" customHeight="1">
      <c r="A31" s="28"/>
      <c r="B31" s="581"/>
      <c r="C31" s="362">
        <f>[3]Process!D762</f>
        <v>12</v>
      </c>
      <c r="D31" s="536"/>
      <c r="E31" s="530"/>
      <c r="F31" s="294"/>
      <c r="G31" s="294"/>
      <c r="H31" s="348"/>
      <c r="I31" s="410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1:27" ht="14.65" customHeight="1">
      <c r="A32" s="28"/>
      <c r="B32" s="581"/>
      <c r="C32" s="362"/>
      <c r="D32" s="534"/>
      <c r="E32" s="535"/>
      <c r="F32" s="294"/>
      <c r="G32" s="294"/>
      <c r="H32" s="348"/>
      <c r="I32" s="409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  <c r="AA32" s="471"/>
    </row>
    <row r="33" spans="1:56" ht="15" customHeight="1" thickBot="1">
      <c r="A33" s="28"/>
      <c r="B33" s="581"/>
      <c r="C33" s="362"/>
      <c r="D33" s="536"/>
      <c r="E33" s="530"/>
      <c r="F33" s="294"/>
      <c r="G33" s="294"/>
      <c r="H33" s="348"/>
      <c r="I33" s="405" t="s">
        <v>156</v>
      </c>
      <c r="J33" s="327"/>
      <c r="K33" s="406"/>
      <c r="L33" s="407"/>
      <c r="M33" s="407"/>
      <c r="N33" s="408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  <c r="AA33" s="471"/>
    </row>
    <row r="34" spans="1:56" ht="15" customHeight="1" thickBot="1">
      <c r="A34" s="28"/>
      <c r="B34" s="581"/>
      <c r="C34" s="349"/>
      <c r="D34" s="527"/>
      <c r="E34" s="528"/>
      <c r="F34" s="294"/>
      <c r="G34" s="294"/>
      <c r="H34" s="348"/>
      <c r="I34" s="1"/>
      <c r="J34" s="39"/>
      <c r="K34" s="403">
        <f>SUM(K24:K33)</f>
        <v>65</v>
      </c>
      <c r="L34" s="404">
        <f>((L24*K24)+(L25*K25)+(L26*K26)+(L27*K27)+(L28*K28)+(K31*L31)+(L29*K29)+(L30*K30)+(L33*K33))/(K34)</f>
        <v>97.30579675509135</v>
      </c>
      <c r="M34" s="404">
        <f>AVERAGE('[9]Jan30th-31st'!$L$42,'[10]Feb 27th-28th'!$L$45,'[11]Mar 31st'!$L$42,'[12]Apr 30th'!$L$41,'[13]May 29th '!$L$35,'[14]June 30th'!$L$32,[15]July31st!$L$36,'[16]Aug 31st'!$L$32,L34)</f>
        <v>97.898701838278868</v>
      </c>
      <c r="N34" s="40">
        <v>98</v>
      </c>
      <c r="O34" s="11"/>
      <c r="P34" s="31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  <c r="AA34" s="471"/>
    </row>
    <row r="35" spans="1:56" ht="15.75" thickBot="1">
      <c r="B35" s="596"/>
      <c r="C35" s="350"/>
      <c r="D35" s="529"/>
      <c r="E35" s="53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  <c r="AA35" s="471"/>
    </row>
    <row r="36" spans="1:56" ht="15.75" thickBot="1">
      <c r="B36" s="524"/>
      <c r="C36" s="362"/>
      <c r="D36" s="527"/>
      <c r="E36" s="528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25"/>
      <c r="C37" s="362"/>
      <c r="D37" s="529"/>
      <c r="E37" s="530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25"/>
      <c r="C38" s="349"/>
      <c r="D38" s="534"/>
      <c r="E38" s="535"/>
      <c r="F38" s="294"/>
      <c r="G38" s="42"/>
      <c r="H38" s="42"/>
      <c r="I38" s="42"/>
      <c r="J38" s="287" t="s">
        <v>6</v>
      </c>
      <c r="K38" s="324"/>
      <c r="L38" s="472" t="s">
        <v>37</v>
      </c>
      <c r="M38" s="473" t="s">
        <v>38</v>
      </c>
      <c r="N38" s="473" t="s">
        <v>84</v>
      </c>
      <c r="O38" s="294"/>
      <c r="P38" s="12"/>
    </row>
    <row r="39" spans="1:56" ht="15.75" customHeight="1" thickBot="1">
      <c r="B39" s="525"/>
      <c r="C39" s="349"/>
      <c r="D39" s="536"/>
      <c r="E39" s="530"/>
      <c r="F39" s="294"/>
      <c r="G39" s="42"/>
      <c r="H39" s="42"/>
      <c r="I39" s="42"/>
      <c r="J39" s="345" t="s">
        <v>9</v>
      </c>
      <c r="K39" s="324">
        <v>2</v>
      </c>
      <c r="L39" s="484">
        <f>AVERAGE('Oct 1st'!K52,'Oct 2nd'!K44,'Oct 5th'!K51,'Oct 6th'!K58,'Oct 7th'!K47,'Oct 8th '!K46,'Oct 9th-10th'!J57,'Oct 9th-10th'!K57,K48)</f>
        <v>6.8888888888888893</v>
      </c>
      <c r="M39" s="485">
        <f>AVERAGE('[9]Jan30th-31st'!$L$47,L39,'[10]Feb 26th '!$L$39,'[11]Mar 31st'!$L$47,'[12]Apr 30th'!$L$46,'[13]May 29th '!$L$40,'[14]June 30th'!$L$39,[15]July31st!$L$41,'[16]Aug 31st'!$L$37,'[18]Sept 30th'!$L$37)</f>
        <v>6.5624230359012969</v>
      </c>
      <c r="N39" s="415">
        <v>9.1999999999999993</v>
      </c>
      <c r="O39" s="294"/>
      <c r="P39" s="12"/>
    </row>
    <row r="40" spans="1:56" ht="15" customHeight="1">
      <c r="B40" s="525"/>
      <c r="C40" s="349"/>
      <c r="D40" s="534"/>
      <c r="E40" s="535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5"/>
      <c r="C41" s="349"/>
      <c r="D41" s="536"/>
      <c r="E41" s="530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5"/>
      <c r="C42" s="349"/>
      <c r="D42" s="534"/>
      <c r="E42" s="535"/>
      <c r="F42" s="294"/>
      <c r="G42" s="42"/>
      <c r="H42" s="42"/>
      <c r="I42" s="42"/>
      <c r="J42" s="290" t="s">
        <v>16</v>
      </c>
      <c r="K42" s="324">
        <v>4</v>
      </c>
      <c r="L42" s="294"/>
      <c r="M42" s="294"/>
      <c r="N42" s="294"/>
      <c r="O42" s="294"/>
      <c r="P42" s="12"/>
      <c r="BC42" s="44"/>
      <c r="BD42" s="44"/>
    </row>
    <row r="43" spans="1:56" ht="15">
      <c r="B43" s="525"/>
      <c r="C43" s="349"/>
      <c r="D43" s="536"/>
      <c r="E43" s="530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5"/>
      <c r="C44" s="349"/>
      <c r="D44" s="534"/>
      <c r="E44" s="535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6"/>
      <c r="C45" s="350"/>
      <c r="D45" s="537"/>
      <c r="E45" s="538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5"/>
      <c r="E46" s="516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9" t="s">
        <v>17</v>
      </c>
      <c r="C51" s="509" t="s">
        <v>44</v>
      </c>
      <c r="D51" s="518" t="s">
        <v>45</v>
      </c>
      <c r="E51" s="520" t="s">
        <v>46</v>
      </c>
      <c r="F51" s="522" t="s">
        <v>47</v>
      </c>
      <c r="G51" s="507" t="s">
        <v>48</v>
      </c>
      <c r="H51" s="509" t="s">
        <v>49</v>
      </c>
      <c r="I51" s="509" t="s">
        <v>50</v>
      </c>
      <c r="J51" s="501" t="s">
        <v>28</v>
      </c>
      <c r="K51" s="511" t="s">
        <v>51</v>
      </c>
      <c r="L51" s="513" t="s">
        <v>52</v>
      </c>
      <c r="M51" s="501" t="s">
        <v>53</v>
      </c>
      <c r="N51" s="13"/>
      <c r="O51" s="13"/>
      <c r="P51" s="50"/>
    </row>
    <row r="52" spans="2:57" ht="28.5" customHeight="1" thickTop="1" thickBot="1">
      <c r="B52" s="510"/>
      <c r="C52" s="517"/>
      <c r="D52" s="519"/>
      <c r="E52" s="521"/>
      <c r="F52" s="523"/>
      <c r="G52" s="508"/>
      <c r="H52" s="510"/>
      <c r="I52" s="510"/>
      <c r="J52" s="502"/>
      <c r="K52" s="512"/>
      <c r="L52" s="514"/>
      <c r="M52" s="502"/>
      <c r="N52" s="13"/>
      <c r="O52" s="13"/>
      <c r="P52" s="50"/>
      <c r="Q52" s="355"/>
      <c r="AB52" s="474">
        <v>43474</v>
      </c>
      <c r="AC52" s="474">
        <v>43475</v>
      </c>
      <c r="AD52" s="474">
        <v>43476</v>
      </c>
      <c r="AE52" s="474">
        <v>43477</v>
      </c>
      <c r="AF52" s="474">
        <v>43478</v>
      </c>
      <c r="AG52" s="474">
        <v>43479</v>
      </c>
      <c r="AH52" s="474">
        <v>43480</v>
      </c>
      <c r="AI52" s="474">
        <v>43481</v>
      </c>
      <c r="AJ52" s="474">
        <v>43482</v>
      </c>
      <c r="AK52" s="474">
        <v>43483</v>
      </c>
      <c r="AL52" s="474">
        <v>43484</v>
      </c>
      <c r="AM52" s="474">
        <v>43485</v>
      </c>
      <c r="AN52" s="474">
        <v>43486</v>
      </c>
      <c r="AO52" s="474">
        <v>43487</v>
      </c>
      <c r="AP52" s="474">
        <v>43488</v>
      </c>
      <c r="AQ52" s="474">
        <v>43489</v>
      </c>
      <c r="AR52" s="474">
        <v>43490</v>
      </c>
      <c r="AS52" s="474">
        <v>43491</v>
      </c>
      <c r="AT52" s="474">
        <v>43492</v>
      </c>
      <c r="AU52" s="474">
        <v>43493</v>
      </c>
      <c r="AV52" s="474">
        <v>43494</v>
      </c>
      <c r="AW52" s="474">
        <v>43495</v>
      </c>
      <c r="AX52" s="474">
        <v>43496</v>
      </c>
    </row>
    <row r="53" spans="2:57" s="54" customFormat="1" ht="36.75" customHeight="1" thickBot="1">
      <c r="B53" s="455" t="str">
        <f>I24</f>
        <v>CARIB</v>
      </c>
      <c r="C53" s="478">
        <v>46309</v>
      </c>
      <c r="D53" s="444">
        <f>[19]October_2026!$Q$3</f>
        <v>399.1</v>
      </c>
      <c r="E53" s="442"/>
      <c r="F53" s="443"/>
      <c r="G53" s="443">
        <f>[19]October_2026!$Q$7</f>
        <v>384.7</v>
      </c>
      <c r="H53" s="457"/>
      <c r="I53" s="457"/>
      <c r="J53" s="447" t="s">
        <v>150</v>
      </c>
      <c r="K53" s="448">
        <f>[20]October_2026!$Q$18</f>
        <v>1.3498245614035087</v>
      </c>
      <c r="L53" s="456">
        <f>(((D53+E53)-G53)/(D53+E53))*100</f>
        <v>3.6081182660987303</v>
      </c>
      <c r="M53" s="454" t="s">
        <v>172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[21]January_2019!L5</f>
        <v>0</v>
      </c>
      <c r="AC53" s="57">
        <f>[21]January_2019!M5</f>
        <v>0</v>
      </c>
      <c r="AD53" s="57">
        <f>[21]January_2019!N5</f>
        <v>0</v>
      </c>
      <c r="AE53" s="57">
        <f>[21]January_2019!O5</f>
        <v>0</v>
      </c>
      <c r="AF53" s="57">
        <f>[21]January_2019!P5</f>
        <v>0</v>
      </c>
      <c r="AG53" s="57">
        <f>[21]January_2019!Q5</f>
        <v>0</v>
      </c>
      <c r="AH53" s="57">
        <f>[21]January_2019!R5</f>
        <v>0</v>
      </c>
      <c r="AI53" s="57">
        <f>[21]January_2019!S5</f>
        <v>0</v>
      </c>
      <c r="AJ53" s="57">
        <f>[21]January_2019!T5</f>
        <v>0</v>
      </c>
      <c r="AK53" s="57">
        <f>[21]January_2019!U5</f>
        <v>0</v>
      </c>
      <c r="AL53" s="57">
        <f>[21]January_2019!V5</f>
        <v>0</v>
      </c>
      <c r="AM53" s="57">
        <f>[21]January_2019!W5</f>
        <v>0</v>
      </c>
      <c r="AN53" s="57">
        <f>[21]January_2019!X5</f>
        <v>0</v>
      </c>
      <c r="AO53" s="57">
        <f>[21]January_2019!Y5</f>
        <v>0</v>
      </c>
      <c r="AP53" s="57">
        <f>[21]January_2019!Z5</f>
        <v>0</v>
      </c>
      <c r="AQ53" s="57">
        <f>[21]January_2019!AA5</f>
        <v>0</v>
      </c>
      <c r="AR53" s="57">
        <f>[21]January_2019!AB5</f>
        <v>0</v>
      </c>
      <c r="AS53" s="57">
        <f>[21]January_2019!AC5</f>
        <v>0</v>
      </c>
      <c r="AT53" s="57">
        <f>[21]January_2019!AD5</f>
        <v>0</v>
      </c>
      <c r="AU53" s="57">
        <f>[21]January_2019!AE5</f>
        <v>0</v>
      </c>
      <c r="AV53" s="57">
        <f>[21]January_2019!AF5</f>
        <v>0</v>
      </c>
      <c r="AW53" s="57">
        <f>[21]January_2019!AG5</f>
        <v>0</v>
      </c>
      <c r="AX53" s="277">
        <f>[21]January_2019!AH5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hidden="1" customHeight="1" thickBot="1">
      <c r="B54" s="479"/>
      <c r="C54" s="478"/>
      <c r="D54" s="441"/>
      <c r="E54" s="442"/>
      <c r="F54" s="443"/>
      <c r="G54" s="444"/>
      <c r="H54" s="457"/>
      <c r="I54" s="457"/>
      <c r="J54" s="475"/>
      <c r="K54" s="448"/>
      <c r="L54" s="456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[21]January_2019!L6</f>
        <v>0</v>
      </c>
      <c r="AC54" s="57">
        <f>[21]January_2019!M6</f>
        <v>0</v>
      </c>
      <c r="AD54" s="57">
        <f>[21]January_2019!N6</f>
        <v>0</v>
      </c>
      <c r="AE54" s="57">
        <f>[21]January_2019!O6</f>
        <v>0</v>
      </c>
      <c r="AF54" s="57">
        <f>[21]January_2019!P6</f>
        <v>0</v>
      </c>
      <c r="AG54" s="57">
        <f>[21]January_2019!Q6</f>
        <v>0</v>
      </c>
      <c r="AH54" s="57">
        <f>[21]January_2019!R6</f>
        <v>0</v>
      </c>
      <c r="AI54" s="57">
        <f>[21]January_2019!S6</f>
        <v>0</v>
      </c>
      <c r="AJ54" s="57">
        <f>[21]January_2019!T6</f>
        <v>0</v>
      </c>
      <c r="AK54" s="57">
        <f>[21]January_2019!U6</f>
        <v>0</v>
      </c>
      <c r="AL54" s="57">
        <f>[21]January_2019!V6</f>
        <v>0</v>
      </c>
      <c r="AM54" s="57">
        <f>[21]January_2019!W6</f>
        <v>0</v>
      </c>
      <c r="AN54" s="57">
        <f>[21]January_2019!X6</f>
        <v>0</v>
      </c>
      <c r="AO54" s="57">
        <f>[21]January_2019!Y6</f>
        <v>0</v>
      </c>
      <c r="AP54" s="57">
        <f>[21]January_2019!Z6</f>
        <v>0</v>
      </c>
      <c r="AQ54" s="57">
        <f>[21]January_2019!AA6</f>
        <v>0</v>
      </c>
      <c r="AR54" s="57">
        <f>[21]January_2019!AB6</f>
        <v>0</v>
      </c>
      <c r="AS54" s="57">
        <f>[21]January_2019!AC6</f>
        <v>0</v>
      </c>
      <c r="AT54" s="57">
        <f>[21]January_2019!AD6</f>
        <v>0</v>
      </c>
      <c r="AU54" s="57">
        <f>[21]January_2019!AE6</f>
        <v>0</v>
      </c>
      <c r="AV54" s="57">
        <f>[21]January_2019!AF6</f>
        <v>0</v>
      </c>
      <c r="AW54" s="57">
        <f>[21]January_2019!AG6</f>
        <v>0</v>
      </c>
      <c r="AX54" s="277">
        <f>[21]January_2019!AH6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hidden="1" customHeight="1" thickBot="1">
      <c r="B55" s="489" t="str">
        <f>J39</f>
        <v>STAG</v>
      </c>
      <c r="C55" s="478">
        <v>46303</v>
      </c>
      <c r="D55" s="441">
        <f>[19]October_2026!$K$13</f>
        <v>292</v>
      </c>
      <c r="E55" s="442"/>
      <c r="F55" s="443"/>
      <c r="G55" s="443">
        <f>[19]October_2026!$K$17</f>
        <v>278</v>
      </c>
      <c r="H55" s="445"/>
      <c r="I55" s="445"/>
      <c r="J55" s="447" t="s">
        <v>150</v>
      </c>
      <c r="K55" s="448">
        <f>[20]October_2026!$K$25</f>
        <v>0.9754385964912281</v>
      </c>
      <c r="L55" s="456">
        <f>(((D55+E55)-G55)/(D55+E55))*100</f>
        <v>4.7945205479452051</v>
      </c>
      <c r="M55" s="454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[21]January_2019!L7</f>
        <v>285.8</v>
      </c>
      <c r="AC55" s="57">
        <f>[21]January_2019!M7</f>
        <v>508.1</v>
      </c>
      <c r="AD55" s="57">
        <f>[21]January_2019!N7</f>
        <v>0</v>
      </c>
      <c r="AE55" s="57">
        <f>[21]January_2019!O7</f>
        <v>0</v>
      </c>
      <c r="AF55" s="57">
        <f>[21]January_2019!P7</f>
        <v>109.56666666666666</v>
      </c>
      <c r="AG55" s="57">
        <f>[21]January_2019!Q7</f>
        <v>297.64999999999998</v>
      </c>
      <c r="AH55" s="57">
        <f>[21]January_2019!R7</f>
        <v>122.3</v>
      </c>
      <c r="AI55" s="57">
        <f>[21]January_2019!S7</f>
        <v>0</v>
      </c>
      <c r="AJ55" s="57">
        <f>[21]January_2019!T7</f>
        <v>294.7</v>
      </c>
      <c r="AK55" s="57">
        <f>[21]January_2019!U7</f>
        <v>280.5</v>
      </c>
      <c r="AL55" s="57">
        <f>[21]January_2019!V7</f>
        <v>0</v>
      </c>
      <c r="AM55" s="57">
        <f>[21]January_2019!W7</f>
        <v>0</v>
      </c>
      <c r="AN55" s="57">
        <f>[21]January_2019!X7</f>
        <v>188.25</v>
      </c>
      <c r="AO55" s="57">
        <f>[21]January_2019!Y7</f>
        <v>295.7</v>
      </c>
      <c r="AP55" s="57">
        <f>[21]January_2019!Z7</f>
        <v>257.8</v>
      </c>
      <c r="AQ55" s="57">
        <f>[21]January_2019!AA7</f>
        <v>291.2</v>
      </c>
      <c r="AR55" s="57">
        <f>[21]January_2019!AB7</f>
        <v>187</v>
      </c>
      <c r="AS55" s="57">
        <f>[21]January_2019!AC7</f>
        <v>0</v>
      </c>
      <c r="AT55" s="57">
        <f>[21]January_2019!AD7</f>
        <v>0</v>
      </c>
      <c r="AU55" s="57">
        <f>[21]January_2019!AE7</f>
        <v>485.1</v>
      </c>
      <c r="AV55" s="57">
        <f>[21]January_2019!AF7</f>
        <v>171.55</v>
      </c>
      <c r="AW55" s="57">
        <f>[21]January_2019!AG7</f>
        <v>423.8</v>
      </c>
      <c r="AX55" s="277">
        <f>[21]January_2019!AH7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7"/>
      <c r="C56" s="429"/>
      <c r="D56" s="430"/>
      <c r="E56" s="431"/>
      <c r="F56" s="432"/>
      <c r="G56" s="433"/>
      <c r="H56" s="457"/>
      <c r="I56" s="457"/>
      <c r="J56" s="450"/>
      <c r="K56" s="435"/>
      <c r="L56" s="451"/>
      <c r="M56" s="42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6"/>
      <c r="C57" s="478"/>
      <c r="D57" s="441"/>
      <c r="E57" s="442"/>
      <c r="F57" s="443"/>
      <c r="G57" s="444"/>
      <c r="H57" s="457"/>
      <c r="I57" s="457"/>
      <c r="J57" s="447"/>
      <c r="K57" s="45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" hidden="1">
      <c r="B58" s="452"/>
      <c r="C58" s="429"/>
      <c r="D58" s="430"/>
      <c r="E58" s="431"/>
      <c r="F58" s="432"/>
      <c r="G58" s="433"/>
      <c r="H58" s="434"/>
      <c r="I58" s="449"/>
      <c r="J58" s="450"/>
      <c r="K58" s="435"/>
      <c r="L58" s="451"/>
      <c r="M58" s="42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0"/>
      <c r="C59" s="478"/>
      <c r="D59" s="441"/>
      <c r="E59" s="442"/>
      <c r="F59" s="443"/>
      <c r="G59" s="444"/>
      <c r="H59" s="445"/>
      <c r="I59" s="446"/>
      <c r="J59" s="447"/>
      <c r="K59" s="448"/>
      <c r="L59" s="456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6"/>
      <c r="C60" s="422"/>
      <c r="D60" s="423"/>
      <c r="E60" s="424"/>
      <c r="F60" s="425"/>
      <c r="G60" s="426"/>
      <c r="H60" s="427"/>
      <c r="I60" s="437"/>
      <c r="J60" s="438"/>
      <c r="K60" s="428"/>
      <c r="L60" s="439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4"/>
      <c r="AC60" s="414"/>
      <c r="AD60" s="414"/>
      <c r="AE60" s="414"/>
      <c r="AF60" s="414"/>
      <c r="AG60" s="414"/>
      <c r="AH60" s="414"/>
      <c r="AI60" s="414"/>
      <c r="AJ60" s="414"/>
      <c r="AK60" s="414"/>
      <c r="AL60" s="414"/>
      <c r="AM60" s="414"/>
      <c r="AN60" s="414"/>
      <c r="AO60" s="414"/>
      <c r="AP60" s="414"/>
      <c r="AQ60" s="414"/>
      <c r="AR60" s="414"/>
      <c r="AS60" s="414"/>
      <c r="AT60" s="414"/>
      <c r="AU60" s="414"/>
      <c r="AV60" s="414"/>
      <c r="AW60" s="414"/>
    </row>
    <row r="61" spans="2:57" s="54" customFormat="1" ht="37.15" hidden="1" customHeight="1" thickBot="1">
      <c r="B61" s="455"/>
      <c r="C61" s="440"/>
      <c r="D61" s="441"/>
      <c r="E61" s="442"/>
      <c r="F61" s="443"/>
      <c r="G61" s="444"/>
      <c r="H61" s="445"/>
      <c r="I61" s="446"/>
      <c r="J61" s="447"/>
      <c r="K61" s="448"/>
      <c r="L61" s="456"/>
      <c r="M61" s="45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>
      <c r="B62" s="465"/>
      <c r="C62" s="429"/>
      <c r="D62" s="459"/>
      <c r="E62" s="460"/>
      <c r="F62" s="461"/>
      <c r="G62" s="459"/>
      <c r="H62" s="462"/>
      <c r="I62" s="462"/>
      <c r="J62" s="462"/>
      <c r="K62" s="463"/>
      <c r="L62" s="464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3" t="s">
        <v>55</v>
      </c>
      <c r="C64" s="504"/>
      <c r="D64" s="504"/>
      <c r="E64" s="504"/>
      <c r="F64" s="505"/>
      <c r="G64" s="503" t="s">
        <v>56</v>
      </c>
      <c r="H64" s="504"/>
      <c r="I64" s="504"/>
      <c r="J64" s="505"/>
      <c r="K64" s="503" t="s">
        <v>51</v>
      </c>
      <c r="L64" s="504"/>
      <c r="M64" s="504"/>
      <c r="N64" s="506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3.6081182660987303</v>
      </c>
      <c r="D66" s="76">
        <v>4.8843377044349463</v>
      </c>
      <c r="E66" s="76">
        <v>6.3196596167476651</v>
      </c>
      <c r="F66" s="66">
        <v>4.8</v>
      </c>
      <c r="G66" s="65">
        <f>[19]October_2026!$Q$11</f>
        <v>6.0063111503290374</v>
      </c>
      <c r="H66" s="476">
        <v>5.8137215288910422</v>
      </c>
      <c r="I66" s="476">
        <v>6.4741327412302496</v>
      </c>
      <c r="J66" s="66">
        <v>4.8</v>
      </c>
      <c r="K66" s="67">
        <f>K53</f>
        <v>1.3498245614035087</v>
      </c>
      <c r="L66" s="194">
        <v>0.89532163742690063</v>
      </c>
      <c r="M66" s="194">
        <v>0.56729407318690295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5.062325108114992</v>
      </c>
      <c r="E67" s="76">
        <v>6.0120934601385283</v>
      </c>
      <c r="F67" s="66">
        <v>4.8</v>
      </c>
      <c r="G67" s="65"/>
      <c r="H67" s="76">
        <v>5.6760230336831157</v>
      </c>
      <c r="I67" s="76">
        <v>5.9217471497494181</v>
      </c>
      <c r="J67" s="66">
        <v>4.8</v>
      </c>
      <c r="K67" s="67"/>
      <c r="L67" s="194">
        <v>0.65473684210526317</v>
      </c>
      <c r="M67" s="194">
        <v>0.68123957181115813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10.890214570112384</v>
      </c>
      <c r="F68" s="66">
        <v>5.5</v>
      </c>
      <c r="G68" s="65"/>
      <c r="H68" s="76"/>
      <c r="I68" s="76">
        <v>11.797659278069149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>
        <v>2.6160971335586405</v>
      </c>
      <c r="E69" s="76">
        <v>4.6053599467161712</v>
      </c>
      <c r="F69" s="66">
        <v>3.3</v>
      </c>
      <c r="G69" s="65"/>
      <c r="H69" s="76">
        <v>4.0562064167659644</v>
      </c>
      <c r="I69" s="76">
        <v>4.7835858167498584</v>
      </c>
      <c r="J69" s="66">
        <v>3.3</v>
      </c>
      <c r="K69" s="67"/>
      <c r="L69" s="194">
        <v>1.3649122807017544</v>
      </c>
      <c r="M69" s="194">
        <v>0.83244019138755987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6.3233965672990236</v>
      </c>
      <c r="F71" s="70">
        <v>5.5</v>
      </c>
      <c r="G71" s="65"/>
      <c r="H71" s="76"/>
      <c r="I71" s="76">
        <v>7.9667553186446929</v>
      </c>
      <c r="J71" s="66">
        <v>5.5</v>
      </c>
      <c r="K71" s="67"/>
      <c r="L71" s="194"/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1"/>
      <c r="D72" s="76"/>
      <c r="E72" s="76">
        <v>3.9973372218347856</v>
      </c>
      <c r="F72" s="66">
        <v>3.3</v>
      </c>
      <c r="G72" s="282"/>
      <c r="H72" s="76"/>
      <c r="I72" s="76">
        <v>5.1096183510504902</v>
      </c>
      <c r="J72" s="66">
        <v>3.3</v>
      </c>
      <c r="K72" s="67"/>
      <c r="L72" s="194"/>
      <c r="M72" s="194">
        <v>0.89057130004498408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3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4.6459577743880658</v>
      </c>
      <c r="E75" s="76">
        <v>6.2733830806368092</v>
      </c>
      <c r="F75" s="341">
        <v>5.5</v>
      </c>
      <c r="H75" s="76">
        <v>5.5274134543295537</v>
      </c>
      <c r="I75" s="76">
        <v>6.5970551006743632</v>
      </c>
      <c r="J75" s="341">
        <v>5.5</v>
      </c>
      <c r="L75" s="194">
        <v>0.89435672514619879</v>
      </c>
      <c r="M75" s="194">
        <v>0.61335520196054827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1152" priority="113" operator="notBetween">
      <formula>#REF!</formula>
      <formula>#REF!</formula>
    </cfRule>
  </conditionalFormatting>
  <conditionalFormatting sqref="C50">
    <cfRule type="cellIs" dxfId="1151" priority="195" stopIfTrue="1" operator="lessThan">
      <formula>96</formula>
    </cfRule>
    <cfRule type="cellIs" dxfId="1150" priority="196" stopIfTrue="1" operator="greaterThan">
      <formula>100</formula>
    </cfRule>
  </conditionalFormatting>
  <conditionalFormatting sqref="C66:C67">
    <cfRule type="cellIs" dxfId="1149" priority="77" stopIfTrue="1" operator="lessThanOrEqual">
      <formula>0</formula>
    </cfRule>
    <cfRule type="cellIs" dxfId="1148" priority="78" stopIfTrue="1" operator="greaterThan">
      <formula>$F66</formula>
    </cfRule>
    <cfRule type="cellIs" dxfId="1147" priority="79" stopIfTrue="1" operator="lessThanOrEqual">
      <formula>0</formula>
    </cfRule>
    <cfRule type="cellIs" dxfId="1146" priority="76" stopIfTrue="1" operator="greaterThan">
      <formula>$F66</formula>
    </cfRule>
  </conditionalFormatting>
  <conditionalFormatting sqref="C68:C70 C72:C74">
    <cfRule type="cellIs" dxfId="1145" priority="85" stopIfTrue="1" operator="greaterThan">
      <formula>$F71</formula>
    </cfRule>
  </conditionalFormatting>
  <conditionalFormatting sqref="C68:C70">
    <cfRule type="cellIs" dxfId="1144" priority="86" stopIfTrue="1" operator="lessThanOrEqual">
      <formula>0</formula>
    </cfRule>
  </conditionalFormatting>
  <conditionalFormatting sqref="C71">
    <cfRule type="cellIs" dxfId="1143" priority="199" stopIfTrue="1" operator="greaterThan">
      <formula>$F66</formula>
    </cfRule>
    <cfRule type="cellIs" dxfId="1142" priority="200" stopIfTrue="1" operator="lessThanOrEqual">
      <formula>0</formula>
    </cfRule>
    <cfRule type="cellIs" dxfId="1141" priority="197" stopIfTrue="1" operator="greaterThan">
      <formula>$F66</formula>
    </cfRule>
    <cfRule type="cellIs" dxfId="1140" priority="198" stopIfTrue="1" operator="lessThanOrEqual">
      <formula>0</formula>
    </cfRule>
  </conditionalFormatting>
  <conditionalFormatting sqref="C72:C74">
    <cfRule type="cellIs" dxfId="1139" priority="87" stopIfTrue="1" operator="lessThanOrEqual">
      <formula>0</formula>
    </cfRule>
  </conditionalFormatting>
  <conditionalFormatting sqref="C77:C81">
    <cfRule type="cellIs" dxfId="1138" priority="187" stopIfTrue="1" operator="lessThanOrEqual">
      <formula>0</formula>
    </cfRule>
  </conditionalFormatting>
  <conditionalFormatting sqref="C78:C81">
    <cfRule type="cellIs" dxfId="1137" priority="186" stopIfTrue="1" operator="greaterThan">
      <formula>$F$77</formula>
    </cfRule>
  </conditionalFormatting>
  <conditionalFormatting sqref="C83">
    <cfRule type="cellIs" dxfId="1136" priority="188" stopIfTrue="1" operator="greaterThan">
      <formula>$F$77</formula>
    </cfRule>
    <cfRule type="cellIs" dxfId="1135" priority="189" stopIfTrue="1" operator="lessThanOrEqual">
      <formula>0</formula>
    </cfRule>
  </conditionalFormatting>
  <conditionalFormatting sqref="C71:D71">
    <cfRule type="cellIs" dxfId="1134" priority="74" stopIfTrue="1" operator="greaterThan">
      <formula>$J71</formula>
    </cfRule>
    <cfRule type="cellIs" dxfId="1133" priority="75" stopIfTrue="1" operator="lessThanOrEqual">
      <formula>0</formula>
    </cfRule>
  </conditionalFormatting>
  <conditionalFormatting sqref="C77:D77 D79:D85">
    <cfRule type="cellIs" dxfId="1132" priority="181" stopIfTrue="1" operator="greaterThan">
      <formula>4.5</formula>
    </cfRule>
  </conditionalFormatting>
  <conditionalFormatting sqref="D46:D47">
    <cfRule type="cellIs" dxfId="1131" priority="114" operator="notBetween">
      <formula>#REF!</formula>
      <formula>#REF!</formula>
    </cfRule>
  </conditionalFormatting>
  <conditionalFormatting sqref="D66:D70 D72:D73">
    <cfRule type="cellIs" dxfId="1130" priority="84" stopIfTrue="1" operator="lessThanOrEqual">
      <formula>0</formula>
    </cfRule>
  </conditionalFormatting>
  <conditionalFormatting sqref="D66:D70 D72:D75">
    <cfRule type="cellIs" dxfId="1129" priority="81" stopIfTrue="1" operator="greaterThan">
      <formula>$F66</formula>
    </cfRule>
    <cfRule type="cellIs" dxfId="1128" priority="80" stopIfTrue="1" operator="lessThanOrEqual">
      <formula>0</formula>
    </cfRule>
  </conditionalFormatting>
  <conditionalFormatting sqref="D74:D75">
    <cfRule type="cellIs" dxfId="1127" priority="82" stopIfTrue="1" operator="lessThanOrEqual">
      <formula>0</formula>
    </cfRule>
  </conditionalFormatting>
  <conditionalFormatting sqref="D75">
    <cfRule type="cellIs" dxfId="1126" priority="83" stopIfTrue="1" operator="lessThanOrEqual">
      <formula>0</formula>
    </cfRule>
  </conditionalFormatting>
  <conditionalFormatting sqref="D77 D79:D85">
    <cfRule type="cellIs" dxfId="1125" priority="182" stopIfTrue="1" operator="lessThanOrEqual">
      <formula>0</formula>
    </cfRule>
  </conditionalFormatting>
  <conditionalFormatting sqref="D78">
    <cfRule type="cellIs" dxfId="1124" priority="174" stopIfTrue="1" operator="lessThanOrEqual">
      <formula>0</formula>
    </cfRule>
    <cfRule type="cellIs" dxfId="1123" priority="173" stopIfTrue="1" operator="greaterThan">
      <formula>$F$77</formula>
    </cfRule>
  </conditionalFormatting>
  <conditionalFormatting sqref="E10:E21">
    <cfRule type="cellIs" dxfId="1122" priority="8" operator="lessThan">
      <formula>48</formula>
    </cfRule>
  </conditionalFormatting>
  <conditionalFormatting sqref="E49 E50:F50">
    <cfRule type="cellIs" dxfId="1121" priority="178" stopIfTrue="1" operator="greaterThan">
      <formula>100</formula>
    </cfRule>
  </conditionalFormatting>
  <conditionalFormatting sqref="E50">
    <cfRule type="cellIs" dxfId="1120" priority="175" stopIfTrue="1" operator="lessThan">
      <formula>96.8</formula>
    </cfRule>
    <cfRule type="cellIs" dxfId="1119" priority="176" stopIfTrue="1" operator="greaterThan">
      <formula>100</formula>
    </cfRule>
  </conditionalFormatting>
  <conditionalFormatting sqref="E66:E74">
    <cfRule type="cellIs" dxfId="1118" priority="47" stopIfTrue="1" operator="lessThanOrEqual">
      <formula>0</formula>
    </cfRule>
  </conditionalFormatting>
  <conditionalFormatting sqref="E66:E75">
    <cfRule type="cellIs" dxfId="1117" priority="49" stopIfTrue="1" operator="lessThanOrEqual">
      <formula>0</formula>
    </cfRule>
    <cfRule type="cellIs" dxfId="1116" priority="48" stopIfTrue="1" operator="greaterThan">
      <formula>$F66</formula>
    </cfRule>
  </conditionalFormatting>
  <conditionalFormatting sqref="E75">
    <cfRule type="cellIs" dxfId="1115" priority="50" stopIfTrue="1" operator="lessThanOrEqual">
      <formula>0</formula>
    </cfRule>
  </conditionalFormatting>
  <conditionalFormatting sqref="E77:E85">
    <cfRule type="cellIs" dxfId="1114" priority="167" stopIfTrue="1" operator="greaterThan">
      <formula>4.5</formula>
    </cfRule>
    <cfRule type="cellIs" dxfId="1113" priority="168" stopIfTrue="1" operator="lessThanOrEqual">
      <formula>0</formula>
    </cfRule>
  </conditionalFormatting>
  <conditionalFormatting sqref="E50:F50 E49">
    <cfRule type="cellIs" dxfId="1112" priority="177" stopIfTrue="1" operator="lessThan">
      <formula>96.5</formula>
    </cfRule>
  </conditionalFormatting>
  <conditionalFormatting sqref="F19:F21">
    <cfRule type="cellIs" dxfId="1111" priority="9" operator="greaterThan">
      <formula>60</formula>
    </cfRule>
  </conditionalFormatting>
  <conditionalFormatting sqref="F50">
    <cfRule type="cellIs" dxfId="1110" priority="194" stopIfTrue="1" operator="greaterThan">
      <formula>100</formula>
    </cfRule>
    <cfRule type="cellIs" dxfId="1109" priority="193" stopIfTrue="1" operator="lessThan">
      <formula>96.8</formula>
    </cfRule>
  </conditionalFormatting>
  <conditionalFormatting sqref="G10:G18 G21">
    <cfRule type="expression" dxfId="1108" priority="21">
      <formula>IF(+(IF(G10&lt;S10,0,IF(G10&gt;T10,0,1)))=0,1)</formula>
    </cfRule>
  </conditionalFormatting>
  <conditionalFormatting sqref="G66:G69 F75">
    <cfRule type="cellIs" dxfId="1107" priority="56" stopIfTrue="1" operator="greaterThan">
      <formula>$F66</formula>
    </cfRule>
    <cfRule type="cellIs" dxfId="1106" priority="57" stopIfTrue="1" operator="lessThanOrEqual">
      <formula>0</formula>
    </cfRule>
  </conditionalFormatting>
  <conditionalFormatting sqref="G68:G69">
    <cfRule type="cellIs" dxfId="1105" priority="42" stopIfTrue="1" operator="greaterThan">
      <formula>$F68</formula>
    </cfRule>
    <cfRule type="cellIs" dxfId="1104" priority="43" stopIfTrue="1" operator="lessThanOrEqual">
      <formula>0</formula>
    </cfRule>
  </conditionalFormatting>
  <conditionalFormatting sqref="G70:G74">
    <cfRule type="cellIs" dxfId="1103" priority="59" stopIfTrue="1" operator="lessThanOrEqual">
      <formula>0</formula>
    </cfRule>
    <cfRule type="cellIs" dxfId="1102" priority="58" stopIfTrue="1" operator="greaterThan">
      <formula>$J70</formula>
    </cfRule>
  </conditionalFormatting>
  <conditionalFormatting sqref="G71">
    <cfRule type="cellIs" dxfId="1101" priority="202" stopIfTrue="1" operator="lessThanOrEqual">
      <formula>0</formula>
    </cfRule>
    <cfRule type="cellIs" dxfId="1100" priority="201" stopIfTrue="1" operator="greaterThan">
      <formula>$F66</formula>
    </cfRule>
  </conditionalFormatting>
  <conditionalFormatting sqref="G79:G84 C82 C84">
    <cfRule type="cellIs" dxfId="1099" priority="191" stopIfTrue="1" operator="lessThanOrEqual">
      <formula>0</formula>
    </cfRule>
    <cfRule type="cellIs" dxfId="1098" priority="190" stopIfTrue="1" operator="greaterThan">
      <formula>4.5</formula>
    </cfRule>
  </conditionalFormatting>
  <conditionalFormatting sqref="G78:H78">
    <cfRule type="cellIs" dxfId="1097" priority="171" stopIfTrue="1" operator="greaterThan">
      <formula>$F$77</formula>
    </cfRule>
    <cfRule type="cellIs" dxfId="1096" priority="172" stopIfTrue="1" operator="lessThanOrEqual">
      <formula>0</formula>
    </cfRule>
  </conditionalFormatting>
  <conditionalFormatting sqref="H10:H21 M19:N20">
    <cfRule type="expression" dxfId="1095" priority="11">
      <formula>IF(+(IF(H10&lt;#REF!,0,IF(H10&gt;#REF!,0,1)))=0,1)</formula>
    </cfRule>
  </conditionalFormatting>
  <conditionalFormatting sqref="H35:H36 H49">
    <cfRule type="cellIs" dxfId="1094" priority="169" stopIfTrue="1" operator="greaterThan">
      <formula>0</formula>
    </cfRule>
  </conditionalFormatting>
  <conditionalFormatting sqref="H53">
    <cfRule type="cellIs" dxfId="1093" priority="62" stopIfTrue="1" operator="greaterThan">
      <formula>$F$66</formula>
    </cfRule>
    <cfRule type="cellIs" dxfId="1092" priority="71" stopIfTrue="1" operator="lessThanOrEqual">
      <formula>0</formula>
    </cfRule>
    <cfRule type="cellIs" dxfId="1091" priority="70" stopIfTrue="1" operator="greaterThan">
      <formula>$F$69</formula>
    </cfRule>
    <cfRule type="cellIs" dxfId="1090" priority="72" stopIfTrue="1" operator="greaterThan">
      <formula>$F$67</formula>
    </cfRule>
    <cfRule type="cellIs" dxfId="1089" priority="61" stopIfTrue="1" operator="lessThanOrEqual">
      <formula>0</formula>
    </cfRule>
  </conditionalFormatting>
  <conditionalFormatting sqref="H53:H54">
    <cfRule type="cellIs" dxfId="1088" priority="73" stopIfTrue="1" operator="lessThanOrEqual">
      <formula>0</formula>
    </cfRule>
  </conditionalFormatting>
  <conditionalFormatting sqref="H54 H56:H57">
    <cfRule type="cellIs" dxfId="1087" priority="99" stopIfTrue="1" operator="lessThanOrEqual">
      <formula>0</formula>
    </cfRule>
  </conditionalFormatting>
  <conditionalFormatting sqref="H54">
    <cfRule type="cellIs" dxfId="1086" priority="88" stopIfTrue="1" operator="greaterThan">
      <formula>$F$66</formula>
    </cfRule>
    <cfRule type="cellIs" dxfId="1085" priority="96" stopIfTrue="1" operator="greaterThan">
      <formula>$F$69</formula>
    </cfRule>
    <cfRule type="cellIs" dxfId="1084" priority="97" stopIfTrue="1" operator="lessThanOrEqual">
      <formula>0</formula>
    </cfRule>
    <cfRule type="cellIs" dxfId="1083" priority="98" stopIfTrue="1" operator="greaterThan">
      <formula>$F$67</formula>
    </cfRule>
  </conditionalFormatting>
  <conditionalFormatting sqref="H55">
    <cfRule type="cellIs" dxfId="1082" priority="28" stopIfTrue="1" operator="lessThanOrEqual">
      <formula>0</formula>
    </cfRule>
    <cfRule type="cellIs" dxfId="1081" priority="39" stopIfTrue="1" operator="greaterThan">
      <formula>$F$69</formula>
    </cfRule>
    <cfRule type="cellIs" dxfId="1080" priority="38" stopIfTrue="1" operator="lessThanOrEqual">
      <formula>0</formula>
    </cfRule>
    <cfRule type="cellIs" dxfId="1079" priority="37" stopIfTrue="1" operator="greaterThan">
      <formula>$F$71</formula>
    </cfRule>
    <cfRule type="cellIs" dxfId="1078" priority="29" stopIfTrue="1" operator="greaterThan">
      <formula>$F$68</formula>
    </cfRule>
    <cfRule type="cellIs" dxfId="1077" priority="40" stopIfTrue="1" operator="lessThanOrEqual">
      <formula>0</formula>
    </cfRule>
  </conditionalFormatting>
  <conditionalFormatting sqref="H56:H57">
    <cfRule type="cellIs" dxfId="1076" priority="112" stopIfTrue="1" operator="lessThanOrEqual">
      <formula>0</formula>
    </cfRule>
    <cfRule type="cellIs" dxfId="1075" priority="111" stopIfTrue="1" operator="greaterThan">
      <formula>$F$67</formula>
    </cfRule>
    <cfRule type="cellIs" dxfId="1074" priority="110" stopIfTrue="1" operator="lessThanOrEqual">
      <formula>0</formula>
    </cfRule>
    <cfRule type="cellIs" dxfId="1073" priority="109" stopIfTrue="1" operator="greaterThan">
      <formula>$F$69</formula>
    </cfRule>
    <cfRule type="cellIs" dxfId="1072" priority="101" stopIfTrue="1" operator="greaterThan">
      <formula>$F$66</formula>
    </cfRule>
  </conditionalFormatting>
  <conditionalFormatting sqref="H58:H59">
    <cfRule type="cellIs" dxfId="1071" priority="136" stopIfTrue="1" operator="lessThanOrEqual">
      <formula>0</formula>
    </cfRule>
    <cfRule type="cellIs" dxfId="1070" priority="145" stopIfTrue="1" operator="greaterThan">
      <formula>#REF!</formula>
    </cfRule>
    <cfRule type="cellIs" dxfId="1069" priority="146" stopIfTrue="1" operator="lessThanOrEqual">
      <formula>0</formula>
    </cfRule>
    <cfRule type="cellIs" dxfId="1068" priority="137" stopIfTrue="1" operator="greaterThan">
      <formula>#REF!</formula>
    </cfRule>
  </conditionalFormatting>
  <conditionalFormatting sqref="H60">
    <cfRule type="cellIs" dxfId="1067" priority="148" stopIfTrue="1" operator="lessThanOrEqual">
      <formula>0</formula>
    </cfRule>
    <cfRule type="cellIs" dxfId="1066" priority="149" stopIfTrue="1" operator="greaterThan">
      <formula>$F$34</formula>
    </cfRule>
    <cfRule type="cellIs" dxfId="1065" priority="157" stopIfTrue="1" operator="greaterThan">
      <formula>$F$37</formula>
    </cfRule>
    <cfRule type="cellIs" dxfId="1064" priority="158" stopIfTrue="1" operator="lessThanOrEqual">
      <formula>0</formula>
    </cfRule>
    <cfRule type="cellIs" dxfId="1063" priority="159" stopIfTrue="1" operator="greaterThan">
      <formula>$F$35</formula>
    </cfRule>
    <cfRule type="cellIs" dxfId="1062" priority="160" stopIfTrue="1" operator="lessThanOrEqual">
      <formula>0</formula>
    </cfRule>
  </conditionalFormatting>
  <conditionalFormatting sqref="H61:H62">
    <cfRule type="cellIs" dxfId="1061" priority="133" stopIfTrue="1" operator="greaterThan">
      <formula>#REF!</formula>
    </cfRule>
    <cfRule type="cellIs" dxfId="1060" priority="124" stopIfTrue="1" operator="lessThanOrEqual">
      <formula>0</formula>
    </cfRule>
    <cfRule type="cellIs" dxfId="1059" priority="134" stopIfTrue="1" operator="lessThanOrEqual">
      <formula>0</formula>
    </cfRule>
    <cfRule type="cellIs" dxfId="1058" priority="125" stopIfTrue="1" operator="greaterThan">
      <formula>#REF!</formula>
    </cfRule>
  </conditionalFormatting>
  <conditionalFormatting sqref="H77 H79:H85">
    <cfRule type="cellIs" dxfId="1057" priority="183" stopIfTrue="1" operator="greaterThan">
      <formula>4.5</formula>
    </cfRule>
    <cfRule type="cellIs" dxfId="1056" priority="184" stopIfTrue="1" operator="lessThanOrEqual">
      <formula>0</formula>
    </cfRule>
  </conditionalFormatting>
  <conditionalFormatting sqref="H53:I53">
    <cfRule type="cellIs" dxfId="1055" priority="63" stopIfTrue="1" operator="lessThanOrEqual">
      <formula>0</formula>
    </cfRule>
  </conditionalFormatting>
  <conditionalFormatting sqref="H53:I54 H56:I57">
    <cfRule type="cellIs" dxfId="1054" priority="60" stopIfTrue="1" operator="greaterThan">
      <formula>$F$68</formula>
    </cfRule>
  </conditionalFormatting>
  <conditionalFormatting sqref="H54:I54">
    <cfRule type="cellIs" dxfId="1053" priority="89" stopIfTrue="1" operator="lessThanOrEqual">
      <formula>0</formula>
    </cfRule>
  </conditionalFormatting>
  <conditionalFormatting sqref="H55:I55">
    <cfRule type="cellIs" dxfId="1052" priority="30" stopIfTrue="1" operator="lessThanOrEqual">
      <formula>0</formula>
    </cfRule>
    <cfRule type="cellIs" dxfId="1051" priority="27" stopIfTrue="1" operator="greaterThan">
      <formula>$F$70</formula>
    </cfRule>
  </conditionalFormatting>
  <conditionalFormatting sqref="H56:I57">
    <cfRule type="cellIs" dxfId="1050" priority="102" stopIfTrue="1" operator="lessThanOrEqual">
      <formula>0</formula>
    </cfRule>
  </conditionalFormatting>
  <conditionalFormatting sqref="H58:I59">
    <cfRule type="cellIs" dxfId="1049" priority="144" stopIfTrue="1" operator="lessThanOrEqual">
      <formula>0</formula>
    </cfRule>
    <cfRule type="cellIs" dxfId="1048" priority="143" stopIfTrue="1" operator="greaterThan">
      <formula>#REF!</formula>
    </cfRule>
    <cfRule type="cellIs" dxfId="1047" priority="138" stopIfTrue="1" operator="lessThanOrEqual">
      <formula>0</formula>
    </cfRule>
    <cfRule type="cellIs" dxfId="1046" priority="135" stopIfTrue="1" operator="greaterThan">
      <formula>#REF!</formula>
    </cfRule>
  </conditionalFormatting>
  <conditionalFormatting sqref="H60:I60">
    <cfRule type="cellIs" dxfId="1045" priority="147" stopIfTrue="1" operator="greaterThan">
      <formula>$F$36</formula>
    </cfRule>
    <cfRule type="cellIs" dxfId="1044" priority="150" stopIfTrue="1" operator="lessThanOrEqual">
      <formula>0</formula>
    </cfRule>
  </conditionalFormatting>
  <conditionalFormatting sqref="H61:I62">
    <cfRule type="cellIs" dxfId="1043" priority="123" stopIfTrue="1" operator="greaterThan">
      <formula>#REF!</formula>
    </cfRule>
    <cfRule type="cellIs" dxfId="1042" priority="126" stopIfTrue="1" operator="lessThanOrEqual">
      <formula>0</formula>
    </cfRule>
    <cfRule type="cellIs" dxfId="1041" priority="132" stopIfTrue="1" operator="lessThanOrEqual">
      <formula>0</formula>
    </cfRule>
    <cfRule type="cellIs" dxfId="1040" priority="131" stopIfTrue="1" operator="greaterThan">
      <formula>#REF!</formula>
    </cfRule>
  </conditionalFormatting>
  <conditionalFormatting sqref="H66:I73">
    <cfRule type="cellIs" dxfId="1039" priority="45" stopIfTrue="1" operator="greaterThan">
      <formula>$J66</formula>
    </cfRule>
    <cfRule type="cellIs" dxfId="1038" priority="46" stopIfTrue="1" operator="lessThanOrEqual">
      <formula>0</formula>
    </cfRule>
  </conditionalFormatting>
  <conditionalFormatting sqref="H74:I74">
    <cfRule type="cellIs" dxfId="1037" priority="53" operator="greaterThan">
      <formula>5.3</formula>
    </cfRule>
  </conditionalFormatting>
  <conditionalFormatting sqref="H75:I75">
    <cfRule type="cellIs" dxfId="1036" priority="52" stopIfTrue="1" operator="lessThanOrEqual">
      <formula>0</formula>
    </cfRule>
    <cfRule type="cellIs" dxfId="1035" priority="51" stopIfTrue="1" operator="greaterThan">
      <formula>$J75</formula>
    </cfRule>
  </conditionalFormatting>
  <conditionalFormatting sqref="I53">
    <cfRule type="cellIs" dxfId="1034" priority="66" stopIfTrue="1" operator="greaterThan">
      <formula>$F$68</formula>
    </cfRule>
    <cfRule type="cellIs" dxfId="1033" priority="65" stopIfTrue="1" operator="lessThanOrEqual">
      <formula>0</formula>
    </cfRule>
    <cfRule type="cellIs" dxfId="1032" priority="64" stopIfTrue="1" operator="greaterThan">
      <formula>$F$66</formula>
    </cfRule>
    <cfRule type="cellIs" dxfId="1031" priority="69" stopIfTrue="1" operator="lessThanOrEqual">
      <formula>0</formula>
    </cfRule>
    <cfRule type="cellIs" dxfId="1030" priority="68" stopIfTrue="1" operator="greaterThan">
      <formula>$F$66</formula>
    </cfRule>
    <cfRule type="cellIs" dxfId="1029" priority="67" stopIfTrue="1" operator="lessThanOrEqual">
      <formula>0</formula>
    </cfRule>
  </conditionalFormatting>
  <conditionalFormatting sqref="I54">
    <cfRule type="cellIs" dxfId="1028" priority="94" stopIfTrue="1" operator="greaterThan">
      <formula>$F$66</formula>
    </cfRule>
    <cfRule type="cellIs" dxfId="1027" priority="93" stopIfTrue="1" operator="lessThanOrEqual">
      <formula>0</formula>
    </cfRule>
    <cfRule type="cellIs" dxfId="1026" priority="95" stopIfTrue="1" operator="lessThanOrEqual">
      <formula>0</formula>
    </cfRule>
    <cfRule type="cellIs" dxfId="1025" priority="92" stopIfTrue="1" operator="greaterThan">
      <formula>$F$68</formula>
    </cfRule>
    <cfRule type="cellIs" dxfId="1024" priority="91" stopIfTrue="1" operator="lessThanOrEqual">
      <formula>0</formula>
    </cfRule>
    <cfRule type="cellIs" dxfId="1023" priority="90" stopIfTrue="1" operator="greaterThan">
      <formula>$F$66</formula>
    </cfRule>
  </conditionalFormatting>
  <conditionalFormatting sqref="I55">
    <cfRule type="cellIs" dxfId="1022" priority="34" stopIfTrue="1" operator="lessThanOrEqual">
      <formula>0</formula>
    </cfRule>
    <cfRule type="cellIs" dxfId="1021" priority="33" stopIfTrue="1" operator="greaterThan">
      <formula>$F$70</formula>
    </cfRule>
    <cfRule type="cellIs" dxfId="1020" priority="32" stopIfTrue="1" operator="lessThanOrEqual">
      <formula>0</formula>
    </cfRule>
    <cfRule type="cellIs" dxfId="1019" priority="35" stopIfTrue="1" operator="greaterThan">
      <formula>$F$68</formula>
    </cfRule>
    <cfRule type="cellIs" dxfId="1018" priority="31" stopIfTrue="1" operator="greaterThan">
      <formula>$F$68</formula>
    </cfRule>
    <cfRule type="cellIs" dxfId="1017" priority="36" stopIfTrue="1" operator="lessThanOrEqual">
      <formula>0</formula>
    </cfRule>
  </conditionalFormatting>
  <conditionalFormatting sqref="I56:I57">
    <cfRule type="cellIs" dxfId="1016" priority="106" stopIfTrue="1" operator="lessThanOrEqual">
      <formula>0</formula>
    </cfRule>
    <cfRule type="cellIs" dxfId="1015" priority="107" stopIfTrue="1" operator="greaterThan">
      <formula>$F$66</formula>
    </cfRule>
    <cfRule type="cellIs" dxfId="1014" priority="105" stopIfTrue="1" operator="greaterThan">
      <formula>$F$68</formula>
    </cfRule>
    <cfRule type="cellIs" dxfId="1013" priority="103" stopIfTrue="1" operator="greaterThan">
      <formula>$F$66</formula>
    </cfRule>
    <cfRule type="cellIs" dxfId="1012" priority="104" stopIfTrue="1" operator="lessThanOrEqual">
      <formula>0</formula>
    </cfRule>
    <cfRule type="cellIs" dxfId="1011" priority="108" stopIfTrue="1" operator="lessThanOrEqual">
      <formula>0</formula>
    </cfRule>
  </conditionalFormatting>
  <conditionalFormatting sqref="I58:I59">
    <cfRule type="cellIs" dxfId="1010" priority="139" stopIfTrue="1" operator="greaterThan">
      <formula>#REF!</formula>
    </cfRule>
    <cfRule type="cellIs" dxfId="1009" priority="140" stopIfTrue="1" operator="lessThanOrEqual">
      <formula>0</formula>
    </cfRule>
    <cfRule type="cellIs" dxfId="1008" priority="141" stopIfTrue="1" operator="greaterThan">
      <formula>#REF!</formula>
    </cfRule>
    <cfRule type="cellIs" dxfId="1007" priority="142" stopIfTrue="1" operator="lessThanOrEqual">
      <formula>0</formula>
    </cfRule>
  </conditionalFormatting>
  <conditionalFormatting sqref="I60">
    <cfRule type="cellIs" dxfId="1006" priority="151" stopIfTrue="1" operator="greaterThan">
      <formula>$F$34</formula>
    </cfRule>
    <cfRule type="cellIs" dxfId="1005" priority="152" stopIfTrue="1" operator="lessThanOrEqual">
      <formula>0</formula>
    </cfRule>
    <cfRule type="cellIs" dxfId="1004" priority="153" stopIfTrue="1" operator="greaterThan">
      <formula>$F$36</formula>
    </cfRule>
    <cfRule type="cellIs" dxfId="1003" priority="155" stopIfTrue="1" operator="greaterThan">
      <formula>$F$34</formula>
    </cfRule>
    <cfRule type="cellIs" dxfId="1002" priority="156" stopIfTrue="1" operator="lessThanOrEqual">
      <formula>0</formula>
    </cfRule>
    <cfRule type="cellIs" dxfId="1001" priority="154" stopIfTrue="1" operator="lessThanOrEqual">
      <formula>0</formula>
    </cfRule>
  </conditionalFormatting>
  <conditionalFormatting sqref="I61:I62">
    <cfRule type="cellIs" dxfId="1000" priority="127" stopIfTrue="1" operator="greaterThan">
      <formula>#REF!</formula>
    </cfRule>
    <cfRule type="cellIs" dxfId="999" priority="128" stopIfTrue="1" operator="lessThanOrEqual">
      <formula>0</formula>
    </cfRule>
    <cfRule type="cellIs" dxfId="998" priority="129" stopIfTrue="1" operator="greaterThan">
      <formula>#REF!</formula>
    </cfRule>
    <cfRule type="cellIs" dxfId="997" priority="130" stopIfTrue="1" operator="lessThanOrEqual">
      <formula>0</formula>
    </cfRule>
  </conditionalFormatting>
  <conditionalFormatting sqref="I77:I85">
    <cfRule type="cellIs" dxfId="996" priority="180" stopIfTrue="1" operator="lessThanOrEqual">
      <formula>0</formula>
    </cfRule>
    <cfRule type="cellIs" dxfId="995" priority="179" stopIfTrue="1" operator="greaterThan">
      <formula>4.5</formula>
    </cfRule>
  </conditionalFormatting>
  <conditionalFormatting sqref="I10:J21">
    <cfRule type="cellIs" dxfId="994" priority="2" operator="lessThan">
      <formula>97.9</formula>
    </cfRule>
  </conditionalFormatting>
  <conditionalFormatting sqref="J24:J26">
    <cfRule type="cellIs" dxfId="993" priority="26" operator="lessThan">
      <formula>97.95</formula>
    </cfRule>
  </conditionalFormatting>
  <conditionalFormatting sqref="J25:J28">
    <cfRule type="cellIs" dxfId="992" priority="161" operator="lessThan">
      <formula>97.4</formula>
    </cfRule>
  </conditionalFormatting>
  <conditionalFormatting sqref="J29:J30">
    <cfRule type="cellIs" dxfId="991" priority="162" operator="lessThan">
      <formula>98</formula>
    </cfRule>
  </conditionalFormatting>
  <conditionalFormatting sqref="J31:J32">
    <cfRule type="cellIs" dxfId="990" priority="164" stopIfTrue="1" operator="greaterThan">
      <formula>100</formula>
    </cfRule>
    <cfRule type="cellIs" dxfId="989" priority="163" stopIfTrue="1" operator="lessThan">
      <formula>96.8</formula>
    </cfRule>
  </conditionalFormatting>
  <conditionalFormatting sqref="J31:J33">
    <cfRule type="cellIs" dxfId="988" priority="165" operator="lessThan">
      <formula>98</formula>
    </cfRule>
  </conditionalFormatting>
  <conditionalFormatting sqref="J62">
    <cfRule type="cellIs" dxfId="987" priority="115" stopIfTrue="1" operator="greaterThan">
      <formula>#REF!</formula>
    </cfRule>
    <cfRule type="cellIs" dxfId="986" priority="116" stopIfTrue="1" operator="lessThanOrEqual">
      <formula>0</formula>
    </cfRule>
    <cfRule type="cellIs" dxfId="985" priority="118" stopIfTrue="1" operator="lessThanOrEqual">
      <formula>0</formula>
    </cfRule>
    <cfRule type="cellIs" dxfId="984" priority="119" stopIfTrue="1" operator="greaterThan">
      <formula>#REF!</formula>
    </cfRule>
    <cfRule type="cellIs" dxfId="983" priority="120" stopIfTrue="1" operator="lessThanOrEqual">
      <formula>0</formula>
    </cfRule>
    <cfRule type="cellIs" dxfId="982" priority="121" stopIfTrue="1" operator="greaterThan">
      <formula>#REF!</formula>
    </cfRule>
    <cfRule type="cellIs" dxfId="981" priority="122" stopIfTrue="1" operator="lessThanOrEqual">
      <formula>0</formula>
    </cfRule>
    <cfRule type="cellIs" dxfId="980" priority="117" stopIfTrue="1" operator="greaterThan">
      <formula>#REF!</formula>
    </cfRule>
  </conditionalFormatting>
  <conditionalFormatting sqref="J75">
    <cfRule type="cellIs" dxfId="979" priority="54" stopIfTrue="1" operator="greaterThan">
      <formula>$F75</formula>
    </cfRule>
    <cfRule type="cellIs" dxfId="978" priority="55" stopIfTrue="1" operator="lessThanOrEqual">
      <formula>0</formula>
    </cfRule>
  </conditionalFormatting>
  <conditionalFormatting sqref="K10:K21">
    <cfRule type="cellIs" dxfId="977" priority="3" operator="greaterThan">
      <formula>6</formula>
    </cfRule>
    <cfRule type="cellIs" dxfId="976" priority="5" operator="greaterThan">
      <formula>6.4</formula>
    </cfRule>
    <cfRule type="cellIs" dxfId="975" priority="4" operator="lessThan">
      <formula>4</formula>
    </cfRule>
  </conditionalFormatting>
  <conditionalFormatting sqref="K53:K62">
    <cfRule type="cellIs" dxfId="974" priority="100" stopIfTrue="1" operator="lessThan">
      <formula>100%</formula>
    </cfRule>
  </conditionalFormatting>
  <conditionalFormatting sqref="K66:K74">
    <cfRule type="cellIs" dxfId="973" priority="44" stopIfTrue="1" operator="lessThan">
      <formula>100%</formula>
    </cfRule>
  </conditionalFormatting>
  <conditionalFormatting sqref="K77:K82">
    <cfRule type="cellIs" dxfId="972" priority="185" stopIfTrue="1" operator="lessThan">
      <formula>100%</formula>
    </cfRule>
  </conditionalFormatting>
  <conditionalFormatting sqref="K84:K85">
    <cfRule type="cellIs" dxfId="971" priority="192" stopIfTrue="1" operator="lessThan">
      <formula>100%</formula>
    </cfRule>
  </conditionalFormatting>
  <conditionalFormatting sqref="L10:L21">
    <cfRule type="cellIs" dxfId="970" priority="6" operator="between">
      <formula>61</formula>
      <formula>65</formula>
    </cfRule>
    <cfRule type="cellIs" dxfId="969" priority="7" operator="greaterThan">
      <formula>65</formula>
    </cfRule>
  </conditionalFormatting>
  <conditionalFormatting sqref="L24:M35">
    <cfRule type="cellIs" dxfId="968" priority="1" operator="lessThan">
      <formula>97.95</formula>
    </cfRule>
  </conditionalFormatting>
  <conditionalFormatting sqref="L39:N39">
    <cfRule type="cellIs" dxfId="967" priority="24" operator="notEqual">
      <formula>#REF!</formula>
    </cfRule>
  </conditionalFormatting>
  <conditionalFormatting sqref="L66:N75">
    <cfRule type="cellIs" dxfId="966" priority="41" stopIfTrue="1" operator="lessThan">
      <formula>100%</formula>
    </cfRule>
  </conditionalFormatting>
  <conditionalFormatting sqref="L77:N85">
    <cfRule type="cellIs" dxfId="965" priority="170" stopIfTrue="1" operator="lessThan">
      <formula>100%</formula>
    </cfRule>
  </conditionalFormatting>
  <conditionalFormatting sqref="M21">
    <cfRule type="expression" dxfId="964" priority="20">
      <formula>IF(+(IF(M21&lt;U21,0,IF(M21&gt;V21,0,1)))=0,1)</formula>
    </cfRule>
  </conditionalFormatting>
  <conditionalFormatting sqref="M10:N18">
    <cfRule type="expression" dxfId="963" priority="23">
      <formula>IF(+(IF(M10&lt;V10,0,IF(M10&gt;W10,0,1)))=0,1)</formula>
    </cfRule>
  </conditionalFormatting>
  <conditionalFormatting sqref="N19:N21">
    <cfRule type="expression" dxfId="962" priority="10">
      <formula>IF(+(IF(N19&lt;W19,0,IF(N19&gt;X19,0,1)))=0,1)</formula>
    </cfRule>
  </conditionalFormatting>
  <conditionalFormatting sqref="P6">
    <cfRule type="cellIs" dxfId="961" priority="166" operator="greaterThanOrEqual">
      <formula>19</formula>
    </cfRule>
  </conditionalFormatting>
  <dataValidations disablePrompts="1" count="1">
    <dataValidation type="list" allowBlank="1" showInputMessage="1" showErrorMessage="1" sqref="R8" xr:uid="{09280AEC-5DAC-4D88-B1FB-35E2E0B0028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32D0-ABCE-4E2C-8268-2997A7A63B08}">
  <sheetPr>
    <pageSetUpPr fitToPage="1"/>
  </sheetPr>
  <dimension ref="A1:BE75"/>
  <sheetViews>
    <sheetView topLeftCell="B3" zoomScale="85" zoomScaleNormal="85" workbookViewId="0">
      <selection activeCell="I37" sqref="I3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49.57031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46311</v>
      </c>
      <c r="J4" s="397" t="s">
        <v>180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179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[4]Brewhouse!$A409</f>
        <v>ST350</v>
      </c>
      <c r="D10" s="279">
        <f>[4]Brewhouse!$AB409</f>
        <v>53.1</v>
      </c>
      <c r="E10" s="279">
        <f>[4]Brewhouse!$AG409</f>
        <v>47.6</v>
      </c>
      <c r="F10" s="278">
        <f>[4]Brewhouse!$V409</f>
        <v>55</v>
      </c>
      <c r="G10" s="279">
        <f>[4]Brewhouse!$AE409</f>
        <v>11.6</v>
      </c>
      <c r="H10" s="396">
        <v>11.9</v>
      </c>
      <c r="I10" s="368">
        <f>[4]Brewhouse!$AS409</f>
        <v>93.406197783718596</v>
      </c>
      <c r="J10" s="368">
        <f>[4]Brewhouse!$AT409</f>
        <v>93.856428193760948</v>
      </c>
      <c r="K10" s="281">
        <f>[4]Brewhouse!$Q409</f>
        <v>12.193973634651604</v>
      </c>
      <c r="L10" s="276">
        <f>[4]Brewhouse!$P409</f>
        <v>84</v>
      </c>
      <c r="M10" s="374">
        <f>[4]Brewhouse!$U409-[4]Brewhouse!$T409</f>
        <v>0.12430555555555567</v>
      </c>
      <c r="N10" s="370">
        <f>[4]Brewhouse!$AW409</f>
        <v>0.28819444444444464</v>
      </c>
      <c r="O10" s="419" t="str">
        <f>[4]Brewhouse!$AV409</f>
        <v>R.Sookram</v>
      </c>
      <c r="P10" s="417"/>
      <c r="R10" s="277" t="str">
        <f t="shared" ref="R10:R35" si="0">B10</f>
        <v>STAG</v>
      </c>
      <c r="S10" s="471">
        <f t="shared" ref="S10:S35" si="1">VLOOKUP($B10,$R$3:$X$9,2,FALSE)</f>
        <v>11.6</v>
      </c>
      <c r="T10" s="471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1">
        <f t="shared" ref="Z10:Z35" si="8">VLOOKUP($B10,$R$3:$Z$9,9,FALSE)</f>
        <v>60</v>
      </c>
    </row>
    <row r="11" spans="2:29" ht="15" customHeight="1">
      <c r="B11" s="33" t="s">
        <v>9</v>
      </c>
      <c r="C11" s="366" t="str">
        <f>[4]Brewhouse!$A410</f>
        <v>ST351</v>
      </c>
      <c r="D11" s="279">
        <f>[4]Brewhouse!$AB410</f>
        <v>53</v>
      </c>
      <c r="E11" s="279">
        <f>[4]Brewhouse!$AG410</f>
        <v>48.5</v>
      </c>
      <c r="F11" s="278">
        <f>[4]Brewhouse!$V410</f>
        <v>55</v>
      </c>
      <c r="G11" s="279">
        <f>[4]Brewhouse!$AE410</f>
        <v>12</v>
      </c>
      <c r="H11" s="396">
        <v>12.2</v>
      </c>
      <c r="I11" s="368">
        <f>[4]Brewhouse!$AS410</f>
        <v>98.877019621072932</v>
      </c>
      <c r="J11" s="368">
        <f>[4]Brewhouse!$AT410</f>
        <v>99.353312945973499</v>
      </c>
      <c r="K11" s="281">
        <f>[4]Brewhouse!$Q410</f>
        <v>10.518867924528294</v>
      </c>
      <c r="L11" s="276">
        <f>[4]Brewhouse!$P410</f>
        <v>62</v>
      </c>
      <c r="M11" s="374">
        <f>[4]Brewhouse!$U410-[4]Brewhouse!$T410</f>
        <v>0.11249999999999999</v>
      </c>
      <c r="N11" s="370">
        <f>[4]Brewhouse!$AW410</f>
        <v>0.26527777777777772</v>
      </c>
      <c r="O11" s="419" t="str">
        <f>[4]Brewhouse!$AV410</f>
        <v>K. Benjamin</v>
      </c>
      <c r="P11" s="417"/>
      <c r="R11" s="277" t="str">
        <f t="shared" si="0"/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 t="s">
        <v>9</v>
      </c>
      <c r="C12" s="366" t="str">
        <f>[4]Brewhouse!$A411</f>
        <v>ST352</v>
      </c>
      <c r="D12" s="279">
        <f>[4]Brewhouse!$AB411</f>
        <v>53</v>
      </c>
      <c r="E12" s="279">
        <f>[4]Brewhouse!$AG411</f>
        <v>48.7</v>
      </c>
      <c r="F12" s="278">
        <f>[4]Brewhouse!$V411</f>
        <v>60</v>
      </c>
      <c r="G12" s="279">
        <f>[4]Brewhouse!$AE411</f>
        <v>11.7</v>
      </c>
      <c r="H12" s="396">
        <v>12.1</v>
      </c>
      <c r="I12" s="368">
        <f>[4]Brewhouse!$AS411</f>
        <v>96.553968078702184</v>
      </c>
      <c r="J12" s="368">
        <f>[4]Brewhouse!$AT411</f>
        <v>97.019221371558871</v>
      </c>
      <c r="K12" s="281">
        <f>[4]Brewhouse!$Q411</f>
        <v>10.141509433962264</v>
      </c>
      <c r="L12" s="276">
        <f>[4]Brewhouse!$P411</f>
        <v>60</v>
      </c>
      <c r="M12" s="374">
        <f>[4]Brewhouse!$U411-[4]Brewhouse!$T411</f>
        <v>0.13194444444444442</v>
      </c>
      <c r="N12" s="370">
        <f>[4]Brewhouse!$AW411</f>
        <v>0.29236111111111107</v>
      </c>
      <c r="O12" s="419" t="str">
        <f>[4]Brewhouse!$AV411</f>
        <v>K. Benjamin</v>
      </c>
      <c r="P12" s="417"/>
      <c r="R12" s="277" t="str">
        <f t="shared" si="0"/>
        <v>STAG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33" t="s">
        <v>9</v>
      </c>
      <c r="C13" s="366" t="str">
        <f>[4]Brewhouse!$A412</f>
        <v>ST353</v>
      </c>
      <c r="D13" s="279">
        <f>[4]Brewhouse!$AB412</f>
        <v>53</v>
      </c>
      <c r="E13" s="279">
        <f>[4]Brewhouse!$AG412</f>
        <v>49.6</v>
      </c>
      <c r="F13" s="278">
        <f>[4]Brewhouse!$V412</f>
        <v>59</v>
      </c>
      <c r="G13" s="279">
        <f>[4]Brewhouse!$AE412</f>
        <v>11.6</v>
      </c>
      <c r="H13" s="396">
        <v>11.9</v>
      </c>
      <c r="I13" s="368">
        <f>[4]Brewhouse!$AS412</f>
        <v>97.57718513895729</v>
      </c>
      <c r="J13" s="368">
        <f>[4]Brewhouse!$AT412</f>
        <v>98.047217125382247</v>
      </c>
      <c r="K13" s="281">
        <f>[4]Brewhouse!$Q412</f>
        <v>8.2547169811320753</v>
      </c>
      <c r="L13" s="276">
        <f>[4]Brewhouse!$P412</f>
        <v>62</v>
      </c>
      <c r="M13" s="374">
        <f>[4]Brewhouse!$U412-[4]Brewhouse!$T412</f>
        <v>0.1166666666666667</v>
      </c>
      <c r="N13" s="370">
        <f>[4]Brewhouse!$AW412</f>
        <v>0.30069444444444449</v>
      </c>
      <c r="O13" s="419" t="str">
        <f>[4]Brewhouse!$AV412</f>
        <v>K. Benjamin</v>
      </c>
      <c r="P13" s="417"/>
      <c r="R13" s="277" t="str">
        <f t="shared" si="0"/>
        <v>STAG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33" t="s">
        <v>9</v>
      </c>
      <c r="C14" s="366" t="str">
        <f>[4]Brewhouse!$A413</f>
        <v>ST354</v>
      </c>
      <c r="D14" s="279">
        <f>[4]Brewhouse!$AB413</f>
        <v>53</v>
      </c>
      <c r="E14" s="279">
        <f>[4]Brewhouse!$AG413</f>
        <v>49.6</v>
      </c>
      <c r="F14" s="278">
        <f>[4]Brewhouse!$V413</f>
        <v>57</v>
      </c>
      <c r="G14" s="279">
        <f>[4]Brewhouse!$AE413</f>
        <v>11.7</v>
      </c>
      <c r="H14" s="396">
        <v>11.9</v>
      </c>
      <c r="I14" s="368">
        <f>[4]Brewhouse!$AS413</f>
        <v>98.214193542838373</v>
      </c>
      <c r="J14" s="368">
        <f>[4]Brewhouse!$AT413</f>
        <v>98.68759913775574</v>
      </c>
      <c r="K14" s="281">
        <f>[4]Brewhouse!$Q413</f>
        <v>8.4433962264150964</v>
      </c>
      <c r="L14" s="276">
        <f>[4]Brewhouse!$P413</f>
        <v>61</v>
      </c>
      <c r="M14" s="374">
        <f>[4]Brewhouse!$U413-[4]Brewhouse!$T413</f>
        <v>0.11597222222222225</v>
      </c>
      <c r="N14" s="370">
        <f>[4]Brewhouse!$AW413</f>
        <v>0.30902777777777779</v>
      </c>
      <c r="O14" s="419" t="str">
        <f>[4]Brewhouse!$AV413</f>
        <v>K. Benjamin</v>
      </c>
      <c r="P14" s="417"/>
      <c r="R14" s="277" t="str">
        <f t="shared" si="0"/>
        <v>STAG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33" t="s">
        <v>9</v>
      </c>
      <c r="C15" s="366" t="str">
        <f>[4]Brewhouse!$A414</f>
        <v>ST355</v>
      </c>
      <c r="D15" s="279">
        <f>[4]Brewhouse!$AB414</f>
        <v>53</v>
      </c>
      <c r="E15" s="279">
        <f>[4]Brewhouse!$AG414</f>
        <v>49.6</v>
      </c>
      <c r="F15" s="278">
        <f>[4]Brewhouse!$V414</f>
        <v>57</v>
      </c>
      <c r="G15" s="279">
        <f>[4]Brewhouse!$AE414</f>
        <v>11.6</v>
      </c>
      <c r="H15" s="396">
        <v>11.6</v>
      </c>
      <c r="I15" s="368">
        <f>[4]Brewhouse!$AS414</f>
        <v>97.208115247656366</v>
      </c>
      <c r="J15" s="368">
        <f>[4]Brewhouse!$AT414</f>
        <v>97.676821837679725</v>
      </c>
      <c r="K15" s="281">
        <f>[4]Brewhouse!$Q414</f>
        <v>8.4433962264150964</v>
      </c>
      <c r="L15" s="276">
        <f>[4]Brewhouse!$P414</f>
        <v>60</v>
      </c>
      <c r="M15" s="374">
        <f>[4]Brewhouse!$U414-[4]Brewhouse!$T414</f>
        <v>0.11249999999999993</v>
      </c>
      <c r="N15" s="370">
        <f>[4]Brewhouse!$AW414</f>
        <v>0.31458333333333333</v>
      </c>
      <c r="O15" s="419" t="str">
        <f>[4]Brewhouse!$AV414</f>
        <v>D.Gomaz</v>
      </c>
      <c r="P15" s="417"/>
      <c r="R15" s="277" t="str">
        <f t="shared" si="0"/>
        <v>STAG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33" t="s">
        <v>9</v>
      </c>
      <c r="C16" s="366" t="str">
        <f>[4]Brewhouse!$A415</f>
        <v>ST356</v>
      </c>
      <c r="D16" s="279">
        <f>[4]Brewhouse!$AB415</f>
        <v>53</v>
      </c>
      <c r="E16" s="279">
        <f>[4]Brewhouse!$AG415</f>
        <v>50.3</v>
      </c>
      <c r="F16" s="278">
        <f>[4]Brewhouse!$V415</f>
        <v>86</v>
      </c>
      <c r="G16" s="279">
        <f>[4]Brewhouse!$AE415</f>
        <v>11.7</v>
      </c>
      <c r="H16" s="396">
        <v>11.7</v>
      </c>
      <c r="I16" s="368">
        <f>[4]Brewhouse!$AS415</f>
        <v>101.39220490411473</v>
      </c>
      <c r="J16" s="368">
        <f>[4]Brewhouse!$AT415</f>
        <v>101.87869001780317</v>
      </c>
      <c r="K16" s="281">
        <f>[4]Brewhouse!$Q415</f>
        <v>8.2547169811320753</v>
      </c>
      <c r="L16" s="276">
        <f>[4]Brewhouse!$P415</f>
        <v>58</v>
      </c>
      <c r="M16" s="374">
        <f>[4]Brewhouse!$U415-[4]Brewhouse!$T415</f>
        <v>0.13472222222222219</v>
      </c>
      <c r="N16" s="370">
        <f>[4]Brewhouse!$AW415</f>
        <v>0.32013888888888897</v>
      </c>
      <c r="O16" s="419" t="str">
        <f>[4]Brewhouse!$AV415</f>
        <v>D.Gomaz</v>
      </c>
      <c r="P16" s="417"/>
      <c r="R16" s="277" t="str">
        <f t="shared" si="0"/>
        <v>STAG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7" ht="15" customHeight="1" thickBo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1:27" ht="15" hidden="1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7" ht="1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7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19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7" ht="15" hidden="1" customHeight="1">
      <c r="B21" s="34"/>
      <c r="C21" s="366"/>
      <c r="D21" s="279"/>
      <c r="E21" s="279"/>
      <c r="F21" s="278"/>
      <c r="G21" s="279"/>
      <c r="H21" s="396"/>
      <c r="I21" s="487"/>
      <c r="J21" s="487"/>
      <c r="K21" s="488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7" ht="17.25" hidden="1" customHeight="1" thickBot="1">
      <c r="B22" s="358"/>
      <c r="C22" s="358"/>
      <c r="D22" s="358"/>
      <c r="E22" s="358"/>
      <c r="F22" s="294"/>
      <c r="G22" s="294"/>
      <c r="H22" s="348"/>
      <c r="I22" s="539"/>
      <c r="J22" s="539"/>
      <c r="K22" s="539"/>
      <c r="L22" s="539"/>
      <c r="M22" s="539"/>
      <c r="N22" s="539"/>
      <c r="O22" s="1"/>
      <c r="P22" s="12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7" ht="17.25" customHeight="1" thickBot="1">
      <c r="B23" s="482" t="s">
        <v>162</v>
      </c>
      <c r="C23" s="388"/>
      <c r="D23" s="540" t="s">
        <v>35</v>
      </c>
      <c r="E23" s="541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7" ht="17.25" customHeight="1">
      <c r="A24" s="28"/>
      <c r="B24" s="580" t="str">
        <f>I24</f>
        <v>CARIB</v>
      </c>
      <c r="C24" s="483">
        <f>[3]Process!D767</f>
        <v>11.8</v>
      </c>
      <c r="D24" s="527">
        <v>11.54</v>
      </c>
      <c r="E24" s="528"/>
      <c r="F24" s="294"/>
      <c r="G24" s="294"/>
      <c r="H24" s="348"/>
      <c r="I24" s="29" t="s">
        <v>6</v>
      </c>
      <c r="J24" s="323"/>
      <c r="K24" s="284">
        <f>COUNTA([3]Brewhouse!$A$789:$A$820)</f>
        <v>32</v>
      </c>
      <c r="L24" s="305">
        <f>AVERAGE([3]Brewhouse!$AU$789:$AU$820)</f>
        <v>97.19542619578651</v>
      </c>
      <c r="M24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$820)</f>
        <v>98.283559098193749</v>
      </c>
      <c r="N24" s="30">
        <v>98</v>
      </c>
      <c r="O24" s="11"/>
      <c r="P24" s="31"/>
      <c r="R24" s="277" t="str">
        <f t="shared" si="0"/>
        <v>CARIB</v>
      </c>
      <c r="S24" s="471">
        <f t="shared" si="1"/>
        <v>11.6</v>
      </c>
      <c r="T24" s="471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1">
        <f t="shared" si="8"/>
        <v>60</v>
      </c>
    </row>
    <row r="25" spans="1:27" ht="15" customHeight="1">
      <c r="A25" s="28"/>
      <c r="B25" s="581"/>
      <c r="C25" s="362">
        <f>[3]Process!D768</f>
        <v>12</v>
      </c>
      <c r="D25" s="529"/>
      <c r="E25" s="530"/>
      <c r="F25" s="294"/>
      <c r="G25" s="294"/>
      <c r="H25" s="348"/>
      <c r="I25" s="33" t="s">
        <v>9</v>
      </c>
      <c r="J25" s="323">
        <f>AVERAGE(I10:I16)</f>
        <v>97.604126331008629</v>
      </c>
      <c r="K25" s="284">
        <f>COUNTA([4]Brewhouse!$A$390:$A$415)</f>
        <v>26</v>
      </c>
      <c r="L25" s="302">
        <f>AVERAGE([4]Brewhouse!$AS$390:$AS$415)</f>
        <v>97.456912139894342</v>
      </c>
      <c r="M25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$415)</f>
        <v>98.260796523510578</v>
      </c>
      <c r="N25" s="30">
        <v>98</v>
      </c>
      <c r="O25" s="11"/>
      <c r="P25" s="31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7" ht="14.65" customHeight="1">
      <c r="A26" s="28"/>
      <c r="B26" s="581"/>
      <c r="C26" s="362">
        <f>[3]Process!D769</f>
        <v>11.9</v>
      </c>
      <c r="D26" s="534">
        <v>11.51</v>
      </c>
      <c r="E26" s="535"/>
      <c r="F26" s="294"/>
      <c r="G26" s="294"/>
      <c r="H26" s="348"/>
      <c r="I26" s="34" t="s">
        <v>12</v>
      </c>
      <c r="J26" s="323"/>
      <c r="K26" s="284">
        <f>COUNTA([5]Brewhouse!$A$108:$A$115)</f>
        <v>8</v>
      </c>
      <c r="L26" s="302">
        <f>AVERAGE([5]Brewhouse!$AU$108:$AU$115)</f>
        <v>97.365395087454402</v>
      </c>
      <c r="M26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26" s="30">
        <v>98</v>
      </c>
      <c r="O26" s="11"/>
      <c r="P26" s="31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7" ht="14.65" customHeight="1">
      <c r="A27" s="28"/>
      <c r="B27" s="581"/>
      <c r="C27" s="362">
        <f>[3]Process!D770</f>
        <v>11.9</v>
      </c>
      <c r="D27" s="536"/>
      <c r="E27" s="530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27" s="30">
        <v>98</v>
      </c>
      <c r="O27" s="11"/>
      <c r="P27" s="31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7" ht="14.65" customHeight="1">
      <c r="A28" s="28"/>
      <c r="B28" s="581"/>
      <c r="C28" s="362">
        <f>[3]Process!D771</f>
        <v>11.9</v>
      </c>
      <c r="D28" s="534">
        <v>11.73</v>
      </c>
      <c r="E28" s="535"/>
      <c r="F28" s="294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1:27" ht="14.65" customHeight="1">
      <c r="A29" s="28"/>
      <c r="B29" s="581"/>
      <c r="C29" s="362">
        <f>[3]Process!D772</f>
        <v>11.9</v>
      </c>
      <c r="D29" s="536"/>
      <c r="E29" s="530"/>
      <c r="F29" s="416"/>
      <c r="G29" s="294"/>
      <c r="H29" s="348"/>
      <c r="I29" s="36" t="s">
        <v>15</v>
      </c>
      <c r="J29" s="323"/>
      <c r="K29" s="284"/>
      <c r="L29" s="302"/>
      <c r="M29" s="302">
        <f>AVERAGE([7]Brewhouse!$AT$4:$AT$11,[7]Brewhouse!$AT$13:$AT$16,[7]Brewhouse!$AT$18:$AT$30)</f>
        <v>93.22262799886262</v>
      </c>
      <c r="N29" s="30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7" ht="14.65" customHeight="1">
      <c r="A30" s="28"/>
      <c r="B30" s="581"/>
      <c r="C30" s="362">
        <f>[3]Process!D773</f>
        <v>11.9</v>
      </c>
      <c r="D30" s="534">
        <v>11.35</v>
      </c>
      <c r="E30" s="535"/>
      <c r="F30" s="416"/>
      <c r="G30" s="294"/>
      <c r="H30" s="348"/>
      <c r="I30" s="37" t="s">
        <v>16</v>
      </c>
      <c r="J30" s="323"/>
      <c r="K30" s="284">
        <f>COUNTA([8]Brewhouse!$A$112:$A$119)</f>
        <v>8</v>
      </c>
      <c r="L30" s="302">
        <f>AVERAGE([8]Brewhouse!$AY$112:$AY$119)</f>
        <v>96.833332758088616</v>
      </c>
      <c r="M30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30" s="30">
        <v>98</v>
      </c>
      <c r="O30" s="11"/>
      <c r="P30" s="31" t="s">
        <v>41</v>
      </c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7" ht="14.65" customHeight="1">
      <c r="A31" s="28"/>
      <c r="B31" s="581"/>
      <c r="C31" s="362">
        <f>[3]Process!D774</f>
        <v>11.9</v>
      </c>
      <c r="D31" s="536"/>
      <c r="E31" s="530"/>
      <c r="F31" s="294"/>
      <c r="G31" s="294"/>
      <c r="H31" s="348"/>
      <c r="I31" s="410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1:27" ht="14.65" customHeight="1">
      <c r="A32" s="28"/>
      <c r="B32" s="581"/>
      <c r="C32" s="362"/>
      <c r="D32" s="534">
        <v>11.46</v>
      </c>
      <c r="E32" s="535"/>
      <c r="F32" s="294"/>
      <c r="G32" s="294"/>
      <c r="H32" s="348"/>
      <c r="I32" s="409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  <c r="AA32" s="471"/>
    </row>
    <row r="33" spans="1:56" ht="15" customHeight="1" thickBot="1">
      <c r="A33" s="28"/>
      <c r="B33" s="581"/>
      <c r="C33" s="362"/>
      <c r="D33" s="536"/>
      <c r="E33" s="530"/>
      <c r="F33" s="294"/>
      <c r="G33" s="294"/>
      <c r="H33" s="348"/>
      <c r="I33" s="405" t="s">
        <v>156</v>
      </c>
      <c r="J33" s="327"/>
      <c r="K33" s="406"/>
      <c r="L33" s="407"/>
      <c r="M33" s="407"/>
      <c r="N33" s="408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  <c r="AA33" s="471"/>
    </row>
    <row r="34" spans="1:56" ht="15" customHeight="1" thickBot="1">
      <c r="A34" s="28"/>
      <c r="B34" s="581"/>
      <c r="C34" s="349"/>
      <c r="D34" s="527"/>
      <c r="E34" s="528"/>
      <c r="F34" s="294"/>
      <c r="G34" s="294"/>
      <c r="H34" s="348"/>
      <c r="I34" s="1"/>
      <c r="J34" s="39"/>
      <c r="K34" s="403">
        <f>SUM(K24:K33)</f>
        <v>74</v>
      </c>
      <c r="L34" s="404">
        <f>((L24*K24)+(L25*K25)+(L26*K26)+(L27*K27)+(L28*K28)+(K31*L31)+(L29*K29)+(L30*K30)+(L33*K33))/(K34)</f>
        <v>97.266529414415757</v>
      </c>
      <c r="M34" s="404">
        <f>AVERAGE('[9]Jan30th-31st'!$L$42,'[10]Feb 27th-28th'!$L$45,'[11]Mar 31st'!$L$42,'[12]Apr 30th'!$L$41,'[13]May 29th '!$L$35,'[14]June 30th'!$L$32,[15]July31st!$L$36,'[16]Aug 31st'!$L$32,L34)</f>
        <v>97.893793420694422</v>
      </c>
      <c r="N34" s="40">
        <v>98</v>
      </c>
      <c r="O34" s="11"/>
      <c r="P34" s="31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  <c r="AA34" s="471"/>
    </row>
    <row r="35" spans="1:56" ht="15.75" thickBot="1">
      <c r="B35" s="596"/>
      <c r="C35" s="350"/>
      <c r="D35" s="529"/>
      <c r="E35" s="530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  <c r="AA35" s="471"/>
    </row>
    <row r="36" spans="1:56" ht="15.75" thickBot="1">
      <c r="B36" s="597" t="str">
        <f>I30</f>
        <v>STARMALT</v>
      </c>
      <c r="C36" s="362">
        <f>[8]Process!D112</f>
        <v>17</v>
      </c>
      <c r="D36" s="527">
        <v>16.77</v>
      </c>
      <c r="E36" s="528"/>
      <c r="F36" s="294"/>
      <c r="G36" s="42"/>
      <c r="H36" s="41"/>
      <c r="I36" s="42"/>
      <c r="J36" s="531" t="s">
        <v>129</v>
      </c>
      <c r="K36" s="531"/>
      <c r="L36" s="294"/>
      <c r="M36" s="294"/>
      <c r="N36" s="294"/>
      <c r="O36" s="294"/>
      <c r="P36" s="12"/>
    </row>
    <row r="37" spans="1:56" ht="15.75" thickBot="1">
      <c r="B37" s="598"/>
      <c r="C37" s="362">
        <f>[8]Process!D113</f>
        <v>17.3</v>
      </c>
      <c r="D37" s="529"/>
      <c r="E37" s="530"/>
      <c r="F37" s="294"/>
      <c r="G37" s="42"/>
      <c r="H37" s="42"/>
      <c r="I37" s="42"/>
      <c r="J37" s="292" t="s">
        <v>17</v>
      </c>
      <c r="K37" s="293"/>
      <c r="L37" s="532" t="s">
        <v>136</v>
      </c>
      <c r="M37" s="532"/>
      <c r="N37" s="533"/>
      <c r="O37" s="294"/>
      <c r="P37" s="12"/>
    </row>
    <row r="38" spans="1:56" ht="15" customHeight="1" thickBot="1">
      <c r="B38" s="598"/>
      <c r="C38" s="349">
        <f>[8]Process!D114</f>
        <v>17.3</v>
      </c>
      <c r="D38" s="534">
        <v>16.82</v>
      </c>
      <c r="E38" s="535"/>
      <c r="F38" s="294"/>
      <c r="G38" s="42"/>
      <c r="H38" s="42"/>
      <c r="I38" s="42"/>
      <c r="J38" s="287" t="s">
        <v>6</v>
      </c>
      <c r="K38" s="324"/>
      <c r="L38" s="472" t="s">
        <v>37</v>
      </c>
      <c r="M38" s="473" t="s">
        <v>38</v>
      </c>
      <c r="N38" s="473" t="s">
        <v>84</v>
      </c>
      <c r="O38" s="294"/>
      <c r="P38" s="12"/>
    </row>
    <row r="39" spans="1:56" ht="15.75" customHeight="1" thickBot="1">
      <c r="B39" s="598"/>
      <c r="C39" s="349">
        <f>[8]Process!D115</f>
        <v>17.3</v>
      </c>
      <c r="D39" s="536"/>
      <c r="E39" s="530"/>
      <c r="F39" s="294"/>
      <c r="G39" s="42"/>
      <c r="H39" s="42"/>
      <c r="I39" s="42"/>
      <c r="J39" s="345" t="s">
        <v>9</v>
      </c>
      <c r="K39" s="324">
        <v>7</v>
      </c>
      <c r="L39" s="484">
        <f>AVERAGE('Oct 1st'!K52,'Oct 2nd'!K44,'Oct 5th'!K51,'Oct 6th'!K58,'Oct 7th'!K47,'Oct 8th '!K46,'Oct 9th-10th'!J57,'Oct 9th-10th'!K57,'Oct 12th'!K50,'Oct 13th '!K48,'Oct 14th'!K48,K48)</f>
        <v>6.166666666666667</v>
      </c>
      <c r="M39" s="485">
        <f>AVERAGE('[9]Jan30th-31st'!$L$47,L39,'[10]Feb 26th '!$L$39,'[11]Mar 31st'!$L$47,'[12]Apr 30th'!$L$46,'[13]May 29th '!$L$40,'[14]June 30th'!$L$39,[15]July31st!$L$41,'[16]Aug 31st'!$L$37,'[18]Sept 30th'!$L$37)</f>
        <v>6.4902008136790759</v>
      </c>
      <c r="N39" s="415">
        <v>9.1999999999999993</v>
      </c>
      <c r="O39" s="294"/>
      <c r="P39" s="12"/>
    </row>
    <row r="40" spans="1:56" ht="15" customHeight="1">
      <c r="B40" s="598"/>
      <c r="C40" s="349">
        <f>[8]Process!D116</f>
        <v>17.36</v>
      </c>
      <c r="D40" s="534">
        <v>16.8</v>
      </c>
      <c r="E40" s="535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98"/>
      <c r="C41" s="349">
        <f>[8]Process!D117</f>
        <v>17.399999999999999</v>
      </c>
      <c r="D41" s="536"/>
      <c r="E41" s="530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98"/>
      <c r="C42" s="349">
        <f>[8]Process!D118</f>
        <v>17.399999999999999</v>
      </c>
      <c r="D42" s="534">
        <v>16.8</v>
      </c>
      <c r="E42" s="535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98"/>
      <c r="C43" s="349">
        <f>[8]Process!D119</f>
        <v>17.399999999999999</v>
      </c>
      <c r="D43" s="536"/>
      <c r="E43" s="530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98"/>
      <c r="C44" s="349"/>
      <c r="D44" s="534"/>
      <c r="E44" s="535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99"/>
      <c r="C45" s="350"/>
      <c r="D45" s="537"/>
      <c r="E45" s="538"/>
      <c r="F45" s="294" t="s">
        <v>165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5"/>
      <c r="E46" s="516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7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42"/>
      <c r="N49" s="315"/>
      <c r="P49" s="334"/>
    </row>
    <row r="50" spans="2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2:57" ht="15" customHeight="1" thickBot="1">
      <c r="B51" s="509" t="s">
        <v>17</v>
      </c>
      <c r="C51" s="509" t="s">
        <v>44</v>
      </c>
      <c r="D51" s="518" t="s">
        <v>45</v>
      </c>
      <c r="E51" s="520" t="s">
        <v>46</v>
      </c>
      <c r="F51" s="522" t="s">
        <v>47</v>
      </c>
      <c r="G51" s="507" t="s">
        <v>48</v>
      </c>
      <c r="H51" s="509" t="s">
        <v>49</v>
      </c>
      <c r="I51" s="509" t="s">
        <v>50</v>
      </c>
      <c r="J51" s="501" t="s">
        <v>28</v>
      </c>
      <c r="K51" s="511" t="s">
        <v>51</v>
      </c>
      <c r="L51" s="513" t="s">
        <v>52</v>
      </c>
      <c r="M51" s="501" t="s">
        <v>53</v>
      </c>
      <c r="N51" s="13"/>
      <c r="O51" s="13"/>
      <c r="P51" s="50"/>
    </row>
    <row r="52" spans="2:57" ht="28.5" customHeight="1" thickTop="1" thickBot="1">
      <c r="B52" s="510"/>
      <c r="C52" s="517"/>
      <c r="D52" s="519"/>
      <c r="E52" s="521"/>
      <c r="F52" s="523"/>
      <c r="G52" s="508"/>
      <c r="H52" s="510"/>
      <c r="I52" s="510"/>
      <c r="J52" s="502"/>
      <c r="K52" s="512"/>
      <c r="L52" s="514"/>
      <c r="M52" s="502"/>
      <c r="N52" s="13"/>
      <c r="O52" s="13"/>
      <c r="P52" s="50"/>
      <c r="Q52" s="355"/>
      <c r="AB52" s="474">
        <v>43474</v>
      </c>
      <c r="AC52" s="474">
        <v>43475</v>
      </c>
      <c r="AD52" s="474">
        <v>43476</v>
      </c>
      <c r="AE52" s="474">
        <v>43477</v>
      </c>
      <c r="AF52" s="474">
        <v>43478</v>
      </c>
      <c r="AG52" s="474">
        <v>43479</v>
      </c>
      <c r="AH52" s="474">
        <v>43480</v>
      </c>
      <c r="AI52" s="474">
        <v>43481</v>
      </c>
      <c r="AJ52" s="474">
        <v>43482</v>
      </c>
      <c r="AK52" s="474">
        <v>43483</v>
      </c>
      <c r="AL52" s="474">
        <v>43484</v>
      </c>
      <c r="AM52" s="474">
        <v>43485</v>
      </c>
      <c r="AN52" s="474">
        <v>43486</v>
      </c>
      <c r="AO52" s="474">
        <v>43487</v>
      </c>
      <c r="AP52" s="474">
        <v>43488</v>
      </c>
      <c r="AQ52" s="474">
        <v>43489</v>
      </c>
      <c r="AR52" s="474">
        <v>43490</v>
      </c>
      <c r="AS52" s="474">
        <v>43491</v>
      </c>
      <c r="AT52" s="474">
        <v>43492</v>
      </c>
      <c r="AU52" s="474">
        <v>43493</v>
      </c>
      <c r="AV52" s="474">
        <v>43494</v>
      </c>
      <c r="AW52" s="474">
        <v>43495</v>
      </c>
      <c r="AX52" s="474">
        <v>43496</v>
      </c>
    </row>
    <row r="53" spans="2:57" s="54" customFormat="1" ht="36.75" customHeight="1" thickBot="1">
      <c r="B53" s="455" t="str">
        <f>I24</f>
        <v>CARIB</v>
      </c>
      <c r="C53" s="478">
        <v>46310</v>
      </c>
      <c r="D53" s="444">
        <f>[19]October_2026!$R$3</f>
        <v>402.4</v>
      </c>
      <c r="E53" s="442"/>
      <c r="F53" s="443"/>
      <c r="G53" s="443">
        <f>[19]October_2026!$R$7</f>
        <v>374.8</v>
      </c>
      <c r="H53" s="457"/>
      <c r="I53" s="457"/>
      <c r="J53" s="447" t="s">
        <v>181</v>
      </c>
      <c r="K53" s="448">
        <f>[20]October_2026!$R$18</f>
        <v>0.43836257309941523</v>
      </c>
      <c r="L53" s="456">
        <f>(((D53+E53)-G53)/(D53+E53))*100</f>
        <v>6.858846918489057</v>
      </c>
      <c r="M53" s="454" t="s">
        <v>182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[21]January_2019!L5</f>
        <v>0</v>
      </c>
      <c r="AC53" s="57">
        <f>[21]January_2019!M5</f>
        <v>0</v>
      </c>
      <c r="AD53" s="57">
        <f>[21]January_2019!N5</f>
        <v>0</v>
      </c>
      <c r="AE53" s="57">
        <f>[21]January_2019!O5</f>
        <v>0</v>
      </c>
      <c r="AF53" s="57">
        <f>[21]January_2019!P5</f>
        <v>0</v>
      </c>
      <c r="AG53" s="57">
        <f>[21]January_2019!Q5</f>
        <v>0</v>
      </c>
      <c r="AH53" s="57">
        <f>[21]January_2019!R5</f>
        <v>0</v>
      </c>
      <c r="AI53" s="57">
        <f>[21]January_2019!S5</f>
        <v>0</v>
      </c>
      <c r="AJ53" s="57">
        <f>[21]January_2019!T5</f>
        <v>0</v>
      </c>
      <c r="AK53" s="57">
        <f>[21]January_2019!U5</f>
        <v>0</v>
      </c>
      <c r="AL53" s="57">
        <f>[21]January_2019!V5</f>
        <v>0</v>
      </c>
      <c r="AM53" s="57">
        <f>[21]January_2019!W5</f>
        <v>0</v>
      </c>
      <c r="AN53" s="57">
        <f>[21]January_2019!X5</f>
        <v>0</v>
      </c>
      <c r="AO53" s="57">
        <f>[21]January_2019!Y5</f>
        <v>0</v>
      </c>
      <c r="AP53" s="57">
        <f>[21]January_2019!Z5</f>
        <v>0</v>
      </c>
      <c r="AQ53" s="57">
        <f>[21]January_2019!AA5</f>
        <v>0</v>
      </c>
      <c r="AR53" s="57">
        <f>[21]January_2019!AB5</f>
        <v>0</v>
      </c>
      <c r="AS53" s="57">
        <f>[21]January_2019!AC5</f>
        <v>0</v>
      </c>
      <c r="AT53" s="57">
        <f>[21]January_2019!AD5</f>
        <v>0</v>
      </c>
      <c r="AU53" s="57">
        <f>[21]January_2019!AE5</f>
        <v>0</v>
      </c>
      <c r="AV53" s="57">
        <f>[21]January_2019!AF5</f>
        <v>0</v>
      </c>
      <c r="AW53" s="57">
        <f>[21]January_2019!AG5</f>
        <v>0</v>
      </c>
      <c r="AX53" s="277">
        <f>[21]January_2019!AH5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4.25" customHeight="1" thickBot="1">
      <c r="B54" s="479"/>
      <c r="C54" s="478"/>
      <c r="D54" s="441"/>
      <c r="E54" s="442"/>
      <c r="F54" s="443"/>
      <c r="G54" s="444"/>
      <c r="H54" s="457"/>
      <c r="I54" s="457"/>
      <c r="J54" s="475"/>
      <c r="K54" s="448"/>
      <c r="L54" s="456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[21]January_2019!L6</f>
        <v>0</v>
      </c>
      <c r="AC54" s="57">
        <f>[21]January_2019!M6</f>
        <v>0</v>
      </c>
      <c r="AD54" s="57">
        <f>[21]January_2019!N6</f>
        <v>0</v>
      </c>
      <c r="AE54" s="57">
        <f>[21]January_2019!O6</f>
        <v>0</v>
      </c>
      <c r="AF54" s="57">
        <f>[21]January_2019!P6</f>
        <v>0</v>
      </c>
      <c r="AG54" s="57">
        <f>[21]January_2019!Q6</f>
        <v>0</v>
      </c>
      <c r="AH54" s="57">
        <f>[21]January_2019!R6</f>
        <v>0</v>
      </c>
      <c r="AI54" s="57">
        <f>[21]January_2019!S6</f>
        <v>0</v>
      </c>
      <c r="AJ54" s="57">
        <f>[21]January_2019!T6</f>
        <v>0</v>
      </c>
      <c r="AK54" s="57">
        <f>[21]January_2019!U6</f>
        <v>0</v>
      </c>
      <c r="AL54" s="57">
        <f>[21]January_2019!V6</f>
        <v>0</v>
      </c>
      <c r="AM54" s="57">
        <f>[21]January_2019!W6</f>
        <v>0</v>
      </c>
      <c r="AN54" s="57">
        <f>[21]January_2019!X6</f>
        <v>0</v>
      </c>
      <c r="AO54" s="57">
        <f>[21]January_2019!Y6</f>
        <v>0</v>
      </c>
      <c r="AP54" s="57">
        <f>[21]January_2019!Z6</f>
        <v>0</v>
      </c>
      <c r="AQ54" s="57">
        <f>[21]January_2019!AA6</f>
        <v>0</v>
      </c>
      <c r="AR54" s="57">
        <f>[21]January_2019!AB6</f>
        <v>0</v>
      </c>
      <c r="AS54" s="57">
        <f>[21]January_2019!AC6</f>
        <v>0</v>
      </c>
      <c r="AT54" s="57">
        <f>[21]January_2019!AD6</f>
        <v>0</v>
      </c>
      <c r="AU54" s="57">
        <f>[21]January_2019!AE6</f>
        <v>0</v>
      </c>
      <c r="AV54" s="57">
        <f>[21]January_2019!AF6</f>
        <v>0</v>
      </c>
      <c r="AW54" s="57">
        <f>[21]January_2019!AG6</f>
        <v>0</v>
      </c>
      <c r="AX54" s="277">
        <f>[21]January_2019!AH6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37.15" customHeight="1" thickBot="1">
      <c r="B55" s="496" t="str">
        <f>B72</f>
        <v>STARMALT</v>
      </c>
      <c r="C55" s="478">
        <v>46310</v>
      </c>
      <c r="D55" s="441">
        <f>[19]October_2026!$R$55</f>
        <v>413.59999999999997</v>
      </c>
      <c r="E55" s="442"/>
      <c r="F55" s="443"/>
      <c r="G55" s="443">
        <f>[19]October_2026!$R$59</f>
        <v>410.1</v>
      </c>
      <c r="H55" s="445"/>
      <c r="I55" s="445"/>
      <c r="J55" s="447" t="s">
        <v>173</v>
      </c>
      <c r="K55" s="448">
        <f>[20]October_2026!$R$53</f>
        <v>0.71947368421052638</v>
      </c>
      <c r="L55" s="497">
        <f>(((D55+E55)-G55)/(D55+E55))*100</f>
        <v>0.84622823984524742</v>
      </c>
      <c r="M55" s="454" t="s">
        <v>171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[21]January_2019!L7</f>
        <v>285.8</v>
      </c>
      <c r="AC55" s="57">
        <f>[21]January_2019!M7</f>
        <v>508.1</v>
      </c>
      <c r="AD55" s="57">
        <f>[21]January_2019!N7</f>
        <v>0</v>
      </c>
      <c r="AE55" s="57">
        <f>[21]January_2019!O7</f>
        <v>0</v>
      </c>
      <c r="AF55" s="57">
        <f>[21]January_2019!P7</f>
        <v>109.56666666666666</v>
      </c>
      <c r="AG55" s="57">
        <f>[21]January_2019!Q7</f>
        <v>297.64999999999998</v>
      </c>
      <c r="AH55" s="57">
        <f>[21]January_2019!R7</f>
        <v>122.3</v>
      </c>
      <c r="AI55" s="57">
        <f>[21]January_2019!S7</f>
        <v>0</v>
      </c>
      <c r="AJ55" s="57">
        <f>[21]January_2019!T7</f>
        <v>294.7</v>
      </c>
      <c r="AK55" s="57">
        <f>[21]January_2019!U7</f>
        <v>280.5</v>
      </c>
      <c r="AL55" s="57">
        <f>[21]January_2019!V7</f>
        <v>0</v>
      </c>
      <c r="AM55" s="57">
        <f>[21]January_2019!W7</f>
        <v>0</v>
      </c>
      <c r="AN55" s="57">
        <f>[21]January_2019!X7</f>
        <v>188.25</v>
      </c>
      <c r="AO55" s="57">
        <f>[21]January_2019!Y7</f>
        <v>295.7</v>
      </c>
      <c r="AP55" s="57">
        <f>[21]January_2019!Z7</f>
        <v>257.8</v>
      </c>
      <c r="AQ55" s="57">
        <f>[21]January_2019!AA7</f>
        <v>291.2</v>
      </c>
      <c r="AR55" s="57">
        <f>[21]January_2019!AB7</f>
        <v>187</v>
      </c>
      <c r="AS55" s="57">
        <f>[21]January_2019!AC7</f>
        <v>0</v>
      </c>
      <c r="AT55" s="57">
        <f>[21]January_2019!AD7</f>
        <v>0</v>
      </c>
      <c r="AU55" s="57">
        <f>[21]January_2019!AE7</f>
        <v>485.1</v>
      </c>
      <c r="AV55" s="57">
        <f>[21]January_2019!AF7</f>
        <v>171.55</v>
      </c>
      <c r="AW55" s="57">
        <f>[21]January_2019!AG7</f>
        <v>423.8</v>
      </c>
      <c r="AX55" s="277">
        <f>[21]January_2019!AH7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8.600000000000001" hidden="1" customHeight="1" thickBot="1">
      <c r="B56" s="477"/>
      <c r="C56" s="429"/>
      <c r="D56" s="430"/>
      <c r="E56" s="431"/>
      <c r="F56" s="432"/>
      <c r="G56" s="433"/>
      <c r="H56" s="457"/>
      <c r="I56" s="457"/>
      <c r="J56" s="450"/>
      <c r="K56" s="435"/>
      <c r="L56" s="451"/>
      <c r="M56" s="42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65" hidden="1" customHeight="1" thickBot="1">
      <c r="B57" s="486"/>
      <c r="C57" s="478"/>
      <c r="D57" s="441"/>
      <c r="E57" s="442"/>
      <c r="F57" s="443"/>
      <c r="G57" s="444"/>
      <c r="H57" s="457"/>
      <c r="I57" s="457"/>
      <c r="J57" s="447"/>
      <c r="K57" s="45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2"/>
      <c r="C58" s="429"/>
      <c r="D58" s="430"/>
      <c r="E58" s="431"/>
      <c r="F58" s="432"/>
      <c r="G58" s="433"/>
      <c r="H58" s="434"/>
      <c r="I58" s="449"/>
      <c r="J58" s="450"/>
      <c r="K58" s="435"/>
      <c r="L58" s="451"/>
      <c r="M58" s="420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80"/>
      <c r="C59" s="478"/>
      <c r="D59" s="441"/>
      <c r="E59" s="442"/>
      <c r="F59" s="443"/>
      <c r="G59" s="444"/>
      <c r="H59" s="445"/>
      <c r="I59" s="446"/>
      <c r="J59" s="447"/>
      <c r="K59" s="448"/>
      <c r="L59" s="456"/>
      <c r="M59" s="454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6"/>
      <c r="C60" s="422"/>
      <c r="D60" s="423"/>
      <c r="E60" s="424"/>
      <c r="F60" s="425"/>
      <c r="G60" s="426"/>
      <c r="H60" s="427"/>
      <c r="I60" s="437"/>
      <c r="J60" s="438"/>
      <c r="K60" s="428"/>
      <c r="L60" s="439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4"/>
      <c r="AC60" s="414"/>
      <c r="AD60" s="414"/>
      <c r="AE60" s="414"/>
      <c r="AF60" s="414"/>
      <c r="AG60" s="414"/>
      <c r="AH60" s="414"/>
      <c r="AI60" s="414"/>
      <c r="AJ60" s="414"/>
      <c r="AK60" s="414"/>
      <c r="AL60" s="414"/>
      <c r="AM60" s="414"/>
      <c r="AN60" s="414"/>
      <c r="AO60" s="414"/>
      <c r="AP60" s="414"/>
      <c r="AQ60" s="414"/>
      <c r="AR60" s="414"/>
      <c r="AS60" s="414"/>
      <c r="AT60" s="414"/>
      <c r="AU60" s="414"/>
      <c r="AV60" s="414"/>
      <c r="AW60" s="414"/>
    </row>
    <row r="61" spans="2:57" s="54" customFormat="1" ht="37.15" hidden="1" customHeight="1" thickBot="1">
      <c r="B61" s="455"/>
      <c r="C61" s="440"/>
      <c r="D61" s="441"/>
      <c r="E61" s="442"/>
      <c r="F61" s="443"/>
      <c r="G61" s="444"/>
      <c r="H61" s="445"/>
      <c r="I61" s="446"/>
      <c r="J61" s="447"/>
      <c r="K61" s="448"/>
      <c r="L61" s="456"/>
      <c r="M61" s="453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5"/>
      <c r="C62" s="429"/>
      <c r="D62" s="459"/>
      <c r="E62" s="460"/>
      <c r="F62" s="461"/>
      <c r="G62" s="459"/>
      <c r="H62" s="462"/>
      <c r="I62" s="462"/>
      <c r="J62" s="462"/>
      <c r="K62" s="463"/>
      <c r="L62" s="464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3" t="s">
        <v>55</v>
      </c>
      <c r="C64" s="504"/>
      <c r="D64" s="504"/>
      <c r="E64" s="504"/>
      <c r="F64" s="505"/>
      <c r="G64" s="503" t="s">
        <v>56</v>
      </c>
      <c r="H64" s="504"/>
      <c r="I64" s="504"/>
      <c r="J64" s="505"/>
      <c r="K64" s="503" t="s">
        <v>51</v>
      </c>
      <c r="L64" s="504"/>
      <c r="M64" s="504"/>
      <c r="N64" s="506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65">
        <f>L53</f>
        <v>6.858846918489057</v>
      </c>
      <c r="D66" s="76">
        <v>5.1392275118696222</v>
      </c>
      <c r="E66" s="76">
        <v>6.3254052153133342</v>
      </c>
      <c r="F66" s="66">
        <v>4.8</v>
      </c>
      <c r="G66" s="65">
        <f>[19]October_2026!$R$11</f>
        <v>10.000958106780985</v>
      </c>
      <c r="H66" s="476">
        <v>6.3592167646860949</v>
      </c>
      <c r="I66" s="476">
        <v>6.5119919624520195</v>
      </c>
      <c r="J66" s="66">
        <v>4.8</v>
      </c>
      <c r="K66" s="67">
        <f>K53</f>
        <v>0.43836257309941523</v>
      </c>
      <c r="L66" s="194">
        <v>0.84962573099415206</v>
      </c>
      <c r="M66" s="194">
        <v>0.56616961200619287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5.062325108114992</v>
      </c>
      <c r="E67" s="76">
        <v>6.0120934601385283</v>
      </c>
      <c r="F67" s="66">
        <v>4.8</v>
      </c>
      <c r="G67" s="65"/>
      <c r="H67" s="76">
        <v>5.6760230336831157</v>
      </c>
      <c r="I67" s="76">
        <v>5.9217471497494181</v>
      </c>
      <c r="J67" s="66">
        <v>4.8</v>
      </c>
      <c r="K67" s="67"/>
      <c r="L67" s="194">
        <v>0.65473684210526317</v>
      </c>
      <c r="M67" s="194">
        <v>0.68123957181115813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10.890214570112384</v>
      </c>
      <c r="F68" s="66">
        <v>5.5</v>
      </c>
      <c r="G68" s="65"/>
      <c r="H68" s="76"/>
      <c r="I68" s="76">
        <v>11.797659278069149</v>
      </c>
      <c r="J68" s="66">
        <v>5.5</v>
      </c>
      <c r="K68" s="67"/>
      <c r="L68" s="194"/>
      <c r="M68" s="194">
        <v>0.35370190356844494</v>
      </c>
      <c r="N68" s="68">
        <v>1</v>
      </c>
      <c r="P68" s="69"/>
    </row>
    <row r="69" spans="2:16" ht="15">
      <c r="B69" s="22" t="s">
        <v>33</v>
      </c>
      <c r="C69" s="65"/>
      <c r="D69" s="76">
        <v>2.6160971335586405</v>
      </c>
      <c r="E69" s="76">
        <v>4.6053599467161712</v>
      </c>
      <c r="F69" s="66">
        <v>3.3</v>
      </c>
      <c r="G69" s="65"/>
      <c r="H69" s="76">
        <v>4.0562064167659644</v>
      </c>
      <c r="I69" s="76">
        <v>4.7835858167498584</v>
      </c>
      <c r="J69" s="66">
        <v>3.3</v>
      </c>
      <c r="K69" s="67"/>
      <c r="L69" s="194">
        <v>1.3649122807017544</v>
      </c>
      <c r="M69" s="194">
        <v>0.83244019138755987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6.3233965672990236</v>
      </c>
      <c r="F71" s="70">
        <v>5.5</v>
      </c>
      <c r="G71" s="65"/>
      <c r="H71" s="76"/>
      <c r="I71" s="76">
        <v>7.9667553186446929</v>
      </c>
      <c r="J71" s="66">
        <v>5.5</v>
      </c>
      <c r="K71" s="67"/>
      <c r="L71" s="194"/>
      <c r="M71" s="194">
        <v>0.5883625730994152</v>
      </c>
      <c r="N71" s="68">
        <v>1</v>
      </c>
      <c r="P71" s="69"/>
    </row>
    <row r="72" spans="2:16" ht="15">
      <c r="B72" s="37" t="s">
        <v>16</v>
      </c>
      <c r="C72" s="481">
        <f>L55</f>
        <v>0.84622823984524742</v>
      </c>
      <c r="D72" s="76">
        <v>0.84622823984524742</v>
      </c>
      <c r="E72" s="76">
        <v>3.7586797925639486</v>
      </c>
      <c r="F72" s="66">
        <v>3.3</v>
      </c>
      <c r="G72" s="282">
        <f>[19]October_2026!$R$63</f>
        <v>4.0067212349015007</v>
      </c>
      <c r="H72" s="76">
        <v>4.0067212349015007</v>
      </c>
      <c r="I72" s="76">
        <v>5.0257518320273871</v>
      </c>
      <c r="J72" s="66">
        <v>3.3</v>
      </c>
      <c r="K72" s="67">
        <f>K55</f>
        <v>0.71947368421052638</v>
      </c>
      <c r="L72" s="194">
        <v>0.71947368421052638</v>
      </c>
      <c r="M72" s="194">
        <v>0.87835004177109433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3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4.4884175465784679</v>
      </c>
      <c r="E75" s="76">
        <v>6.2445290482673048</v>
      </c>
      <c r="F75" s="341">
        <v>5.5</v>
      </c>
      <c r="H75" s="76">
        <v>5.713113691210312</v>
      </c>
      <c r="I75" s="76">
        <v>6.5941177554311183</v>
      </c>
      <c r="J75" s="341">
        <v>5.5</v>
      </c>
      <c r="L75" s="194">
        <v>0.84929406850459488</v>
      </c>
      <c r="M75" s="194">
        <v>0.61301750438848246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960" priority="106" operator="notBetween">
      <formula>#REF!</formula>
      <formula>#REF!</formula>
    </cfRule>
  </conditionalFormatting>
  <conditionalFormatting sqref="C50">
    <cfRule type="cellIs" dxfId="959" priority="189" stopIfTrue="1" operator="greaterThan">
      <formula>100</formula>
    </cfRule>
    <cfRule type="cellIs" dxfId="958" priority="188" stopIfTrue="1" operator="lessThan">
      <formula>96</formula>
    </cfRule>
  </conditionalFormatting>
  <conditionalFormatting sqref="C66:C67">
    <cfRule type="cellIs" dxfId="957" priority="72" stopIfTrue="1" operator="lessThanOrEqual">
      <formula>0</formula>
    </cfRule>
    <cfRule type="cellIs" dxfId="956" priority="71" stopIfTrue="1" operator="greaterThan">
      <formula>$F66</formula>
    </cfRule>
    <cfRule type="cellIs" dxfId="955" priority="70" stopIfTrue="1" operator="lessThanOrEqual">
      <formula>0</formula>
    </cfRule>
    <cfRule type="cellIs" dxfId="954" priority="69" stopIfTrue="1" operator="greaterThan">
      <formula>$F66</formula>
    </cfRule>
  </conditionalFormatting>
  <conditionalFormatting sqref="C68:C70 C72:C74">
    <cfRule type="cellIs" dxfId="953" priority="78" stopIfTrue="1" operator="greaterThan">
      <formula>$F71</formula>
    </cfRule>
  </conditionalFormatting>
  <conditionalFormatting sqref="C68:C70">
    <cfRule type="cellIs" dxfId="952" priority="79" stopIfTrue="1" operator="lessThanOrEqual">
      <formula>0</formula>
    </cfRule>
  </conditionalFormatting>
  <conditionalFormatting sqref="C71">
    <cfRule type="cellIs" dxfId="951" priority="193" stopIfTrue="1" operator="lessThanOrEqual">
      <formula>0</formula>
    </cfRule>
    <cfRule type="cellIs" dxfId="950" priority="192" stopIfTrue="1" operator="greaterThan">
      <formula>$F66</formula>
    </cfRule>
    <cfRule type="cellIs" dxfId="949" priority="191" stopIfTrue="1" operator="lessThanOrEqual">
      <formula>0</formula>
    </cfRule>
    <cfRule type="cellIs" dxfId="948" priority="190" stopIfTrue="1" operator="greaterThan">
      <formula>$F66</formula>
    </cfRule>
  </conditionalFormatting>
  <conditionalFormatting sqref="C72:C74">
    <cfRule type="cellIs" dxfId="947" priority="80" stopIfTrue="1" operator="lessThanOrEqual">
      <formula>0</formula>
    </cfRule>
  </conditionalFormatting>
  <conditionalFormatting sqref="C77:C81">
    <cfRule type="cellIs" dxfId="946" priority="180" stopIfTrue="1" operator="lessThanOrEqual">
      <formula>0</formula>
    </cfRule>
  </conditionalFormatting>
  <conditionalFormatting sqref="C78:C81">
    <cfRule type="cellIs" dxfId="945" priority="179" stopIfTrue="1" operator="greaterThan">
      <formula>$F$77</formula>
    </cfRule>
  </conditionalFormatting>
  <conditionalFormatting sqref="C83">
    <cfRule type="cellIs" dxfId="944" priority="181" stopIfTrue="1" operator="greaterThan">
      <formula>$F$77</formula>
    </cfRule>
    <cfRule type="cellIs" dxfId="943" priority="182" stopIfTrue="1" operator="lessThanOrEqual">
      <formula>0</formula>
    </cfRule>
  </conditionalFormatting>
  <conditionalFormatting sqref="C71:D71">
    <cfRule type="cellIs" dxfId="942" priority="67" stopIfTrue="1" operator="greaterThan">
      <formula>$J71</formula>
    </cfRule>
    <cfRule type="cellIs" dxfId="941" priority="68" stopIfTrue="1" operator="lessThanOrEqual">
      <formula>0</formula>
    </cfRule>
  </conditionalFormatting>
  <conditionalFormatting sqref="C77:D77 D79:D85">
    <cfRule type="cellIs" dxfId="940" priority="174" stopIfTrue="1" operator="greaterThan">
      <formula>4.5</formula>
    </cfRule>
  </conditionalFormatting>
  <conditionalFormatting sqref="D46:D47">
    <cfRule type="cellIs" dxfId="939" priority="107" operator="notBetween">
      <formula>#REF!</formula>
      <formula>#REF!</formula>
    </cfRule>
  </conditionalFormatting>
  <conditionalFormatting sqref="D66:D70 D72:D73">
    <cfRule type="cellIs" dxfId="938" priority="77" stopIfTrue="1" operator="lessThanOrEqual">
      <formula>0</formula>
    </cfRule>
  </conditionalFormatting>
  <conditionalFormatting sqref="D66:D70 D72:D75">
    <cfRule type="cellIs" dxfId="937" priority="73" stopIfTrue="1" operator="lessThanOrEqual">
      <formula>0</formula>
    </cfRule>
    <cfRule type="cellIs" dxfId="936" priority="74" stopIfTrue="1" operator="greaterThan">
      <formula>$F66</formula>
    </cfRule>
  </conditionalFormatting>
  <conditionalFormatting sqref="D74:D75">
    <cfRule type="cellIs" dxfId="935" priority="75" stopIfTrue="1" operator="lessThanOrEqual">
      <formula>0</formula>
    </cfRule>
  </conditionalFormatting>
  <conditionalFormatting sqref="D75">
    <cfRule type="cellIs" dxfId="934" priority="76" stopIfTrue="1" operator="lessThanOrEqual">
      <formula>0</formula>
    </cfRule>
  </conditionalFormatting>
  <conditionalFormatting sqref="D77 D79:D85">
    <cfRule type="cellIs" dxfId="933" priority="175" stopIfTrue="1" operator="lessThanOrEqual">
      <formula>0</formula>
    </cfRule>
  </conditionalFormatting>
  <conditionalFormatting sqref="D78">
    <cfRule type="cellIs" dxfId="932" priority="167" stopIfTrue="1" operator="lessThanOrEqual">
      <formula>0</formula>
    </cfRule>
    <cfRule type="cellIs" dxfId="931" priority="166" stopIfTrue="1" operator="greaterThan">
      <formula>$F$77</formula>
    </cfRule>
  </conditionalFormatting>
  <conditionalFormatting sqref="E10:E21">
    <cfRule type="cellIs" dxfId="930" priority="10" operator="lessThan">
      <formula>48</formula>
    </cfRule>
  </conditionalFormatting>
  <conditionalFormatting sqref="E49 E50:F50">
    <cfRule type="cellIs" dxfId="929" priority="171" stopIfTrue="1" operator="greaterThan">
      <formula>100</formula>
    </cfRule>
  </conditionalFormatting>
  <conditionalFormatting sqref="E50">
    <cfRule type="cellIs" dxfId="928" priority="169" stopIfTrue="1" operator="greaterThan">
      <formula>100</formula>
    </cfRule>
    <cfRule type="cellIs" dxfId="927" priority="168" stopIfTrue="1" operator="lessThan">
      <formula>96.8</formula>
    </cfRule>
  </conditionalFormatting>
  <conditionalFormatting sqref="E66:E74">
    <cfRule type="cellIs" dxfId="926" priority="40" stopIfTrue="1" operator="lessThanOrEqual">
      <formula>0</formula>
    </cfRule>
  </conditionalFormatting>
  <conditionalFormatting sqref="E66:E75">
    <cfRule type="cellIs" dxfId="925" priority="42" stopIfTrue="1" operator="lessThanOrEqual">
      <formula>0</formula>
    </cfRule>
    <cfRule type="cellIs" dxfId="924" priority="41" stopIfTrue="1" operator="greaterThan">
      <formula>$F66</formula>
    </cfRule>
  </conditionalFormatting>
  <conditionalFormatting sqref="E75">
    <cfRule type="cellIs" dxfId="923" priority="43" stopIfTrue="1" operator="lessThanOrEqual">
      <formula>0</formula>
    </cfRule>
  </conditionalFormatting>
  <conditionalFormatting sqref="E77:E85">
    <cfRule type="cellIs" dxfId="922" priority="160" stopIfTrue="1" operator="greaterThan">
      <formula>4.5</formula>
    </cfRule>
    <cfRule type="cellIs" dxfId="921" priority="161" stopIfTrue="1" operator="lessThanOrEqual">
      <formula>0</formula>
    </cfRule>
  </conditionalFormatting>
  <conditionalFormatting sqref="E50:F50 E49">
    <cfRule type="cellIs" dxfId="920" priority="170" stopIfTrue="1" operator="lessThan">
      <formula>96.5</formula>
    </cfRule>
  </conditionalFormatting>
  <conditionalFormatting sqref="F10:F21">
    <cfRule type="cellIs" dxfId="919" priority="1" operator="greaterThan">
      <formula>60</formula>
    </cfRule>
  </conditionalFormatting>
  <conditionalFormatting sqref="F50">
    <cfRule type="cellIs" dxfId="918" priority="186" stopIfTrue="1" operator="lessThan">
      <formula>96.8</formula>
    </cfRule>
    <cfRule type="cellIs" dxfId="917" priority="187" stopIfTrue="1" operator="greaterThan">
      <formula>100</formula>
    </cfRule>
  </conditionalFormatting>
  <conditionalFormatting sqref="G21">
    <cfRule type="expression" dxfId="916" priority="15">
      <formula>IF(+(IF(G21&lt;S21,0,IF(G21&gt;T21,0,1)))=0,1)</formula>
    </cfRule>
  </conditionalFormatting>
  <conditionalFormatting sqref="G66:G69 F75">
    <cfRule type="cellIs" dxfId="915" priority="50" stopIfTrue="1" operator="lessThanOrEqual">
      <formula>0</formula>
    </cfRule>
    <cfRule type="cellIs" dxfId="914" priority="49" stopIfTrue="1" operator="greaterThan">
      <formula>$F66</formula>
    </cfRule>
  </conditionalFormatting>
  <conditionalFormatting sqref="G68:G69">
    <cfRule type="cellIs" dxfId="913" priority="36" stopIfTrue="1" operator="lessThanOrEqual">
      <formula>0</formula>
    </cfRule>
    <cfRule type="cellIs" dxfId="912" priority="35" stopIfTrue="1" operator="greaterThan">
      <formula>$F68</formula>
    </cfRule>
  </conditionalFormatting>
  <conditionalFormatting sqref="G70:G74">
    <cfRule type="cellIs" dxfId="911" priority="51" stopIfTrue="1" operator="greaterThan">
      <formula>$J70</formula>
    </cfRule>
    <cfRule type="cellIs" dxfId="910" priority="52" stopIfTrue="1" operator="lessThanOrEqual">
      <formula>0</formula>
    </cfRule>
  </conditionalFormatting>
  <conditionalFormatting sqref="G71">
    <cfRule type="cellIs" dxfId="909" priority="195" stopIfTrue="1" operator="lessThanOrEqual">
      <formula>0</formula>
    </cfRule>
    <cfRule type="cellIs" dxfId="908" priority="194" stopIfTrue="1" operator="greaterThan">
      <formula>$F66</formula>
    </cfRule>
  </conditionalFormatting>
  <conditionalFormatting sqref="G79:G84 C82 C84">
    <cfRule type="cellIs" dxfId="907" priority="183" stopIfTrue="1" operator="greaterThan">
      <formula>4.5</formula>
    </cfRule>
    <cfRule type="cellIs" dxfId="906" priority="184" stopIfTrue="1" operator="lessThanOrEqual">
      <formula>0</formula>
    </cfRule>
  </conditionalFormatting>
  <conditionalFormatting sqref="G78:H78">
    <cfRule type="cellIs" dxfId="905" priority="165" stopIfTrue="1" operator="lessThanOrEqual">
      <formula>0</formula>
    </cfRule>
    <cfRule type="cellIs" dxfId="904" priority="164" stopIfTrue="1" operator="greaterThan">
      <formula>$F$77</formula>
    </cfRule>
  </conditionalFormatting>
  <conditionalFormatting sqref="H35:H36 H49">
    <cfRule type="cellIs" dxfId="903" priority="162" stopIfTrue="1" operator="greaterThan">
      <formula>0</formula>
    </cfRule>
  </conditionalFormatting>
  <conditionalFormatting sqref="H53">
    <cfRule type="cellIs" dxfId="902" priority="63" stopIfTrue="1" operator="greaterThan">
      <formula>$F$69</formula>
    </cfRule>
    <cfRule type="cellIs" dxfId="901" priority="64" stopIfTrue="1" operator="lessThanOrEqual">
      <formula>0</formula>
    </cfRule>
    <cfRule type="cellIs" dxfId="900" priority="65" stopIfTrue="1" operator="greaterThan">
      <formula>$F$67</formula>
    </cfRule>
    <cfRule type="cellIs" dxfId="899" priority="54" stopIfTrue="1" operator="lessThanOrEqual">
      <formula>0</formula>
    </cfRule>
    <cfRule type="cellIs" dxfId="898" priority="55" stopIfTrue="1" operator="greaterThan">
      <formula>$F$66</formula>
    </cfRule>
  </conditionalFormatting>
  <conditionalFormatting sqref="H53:H54">
    <cfRule type="cellIs" dxfId="897" priority="66" stopIfTrue="1" operator="lessThanOrEqual">
      <formula>0</formula>
    </cfRule>
  </conditionalFormatting>
  <conditionalFormatting sqref="H54 H56:H57">
    <cfRule type="cellIs" dxfId="896" priority="92" stopIfTrue="1" operator="lessThanOrEqual">
      <formula>0</formula>
    </cfRule>
  </conditionalFormatting>
  <conditionalFormatting sqref="H54">
    <cfRule type="cellIs" dxfId="895" priority="81" stopIfTrue="1" operator="greaterThan">
      <formula>$F$66</formula>
    </cfRule>
    <cfRule type="cellIs" dxfId="894" priority="89" stopIfTrue="1" operator="greaterThan">
      <formula>$F$69</formula>
    </cfRule>
    <cfRule type="cellIs" dxfId="893" priority="90" stopIfTrue="1" operator="lessThanOrEqual">
      <formula>0</formula>
    </cfRule>
    <cfRule type="cellIs" dxfId="892" priority="91" stopIfTrue="1" operator="greaterThan">
      <formula>$F$67</formula>
    </cfRule>
  </conditionalFormatting>
  <conditionalFormatting sqref="H55">
    <cfRule type="cellIs" dxfId="891" priority="22" stopIfTrue="1" operator="greaterThan">
      <formula>$F$68</formula>
    </cfRule>
    <cfRule type="cellIs" dxfId="890" priority="21" stopIfTrue="1" operator="lessThanOrEqual">
      <formula>0</formula>
    </cfRule>
    <cfRule type="cellIs" dxfId="889" priority="33" stopIfTrue="1" operator="lessThanOrEqual">
      <formula>0</formula>
    </cfRule>
    <cfRule type="cellIs" dxfId="888" priority="32" stopIfTrue="1" operator="greaterThan">
      <formula>$F$69</formula>
    </cfRule>
    <cfRule type="cellIs" dxfId="887" priority="31" stopIfTrue="1" operator="lessThanOrEqual">
      <formula>0</formula>
    </cfRule>
    <cfRule type="cellIs" dxfId="886" priority="30" stopIfTrue="1" operator="greaterThan">
      <formula>$F$71</formula>
    </cfRule>
  </conditionalFormatting>
  <conditionalFormatting sqref="H56:H57">
    <cfRule type="cellIs" dxfId="885" priority="94" stopIfTrue="1" operator="greaterThan">
      <formula>$F$66</formula>
    </cfRule>
    <cfRule type="cellIs" dxfId="884" priority="103" stopIfTrue="1" operator="lessThanOrEqual">
      <formula>0</formula>
    </cfRule>
    <cfRule type="cellIs" dxfId="883" priority="105" stopIfTrue="1" operator="lessThanOrEqual">
      <formula>0</formula>
    </cfRule>
    <cfRule type="cellIs" dxfId="882" priority="104" stopIfTrue="1" operator="greaterThan">
      <formula>$F$67</formula>
    </cfRule>
    <cfRule type="cellIs" dxfId="881" priority="102" stopIfTrue="1" operator="greaterThan">
      <formula>$F$69</formula>
    </cfRule>
  </conditionalFormatting>
  <conditionalFormatting sqref="H58:H59">
    <cfRule type="cellIs" dxfId="880" priority="138" stopIfTrue="1" operator="greaterThan">
      <formula>#REF!</formula>
    </cfRule>
    <cfRule type="cellIs" dxfId="879" priority="139" stopIfTrue="1" operator="lessThanOrEqual">
      <formula>0</formula>
    </cfRule>
    <cfRule type="cellIs" dxfId="878" priority="129" stopIfTrue="1" operator="lessThanOrEqual">
      <formula>0</formula>
    </cfRule>
    <cfRule type="cellIs" dxfId="877" priority="130" stopIfTrue="1" operator="greaterThan">
      <formula>#REF!</formula>
    </cfRule>
  </conditionalFormatting>
  <conditionalFormatting sqref="H60">
    <cfRule type="cellIs" dxfId="876" priority="153" stopIfTrue="1" operator="lessThanOrEqual">
      <formula>0</formula>
    </cfRule>
    <cfRule type="cellIs" dxfId="875" priority="151" stopIfTrue="1" operator="lessThanOrEqual">
      <formula>0</formula>
    </cfRule>
    <cfRule type="cellIs" dxfId="874" priority="141" stopIfTrue="1" operator="lessThanOrEqual">
      <formula>0</formula>
    </cfRule>
    <cfRule type="cellIs" dxfId="873" priority="142" stopIfTrue="1" operator="greaterThan">
      <formula>$F$34</formula>
    </cfRule>
    <cfRule type="cellIs" dxfId="872" priority="150" stopIfTrue="1" operator="greaterThan">
      <formula>$F$37</formula>
    </cfRule>
    <cfRule type="cellIs" dxfId="871" priority="152" stopIfTrue="1" operator="greaterThan">
      <formula>$F$35</formula>
    </cfRule>
  </conditionalFormatting>
  <conditionalFormatting sqref="H61:H62">
    <cfRule type="cellIs" dxfId="870" priority="126" stopIfTrue="1" operator="greaterThan">
      <formula>#REF!</formula>
    </cfRule>
    <cfRule type="cellIs" dxfId="869" priority="127" stopIfTrue="1" operator="lessThanOrEqual">
      <formula>0</formula>
    </cfRule>
    <cfRule type="cellIs" dxfId="868" priority="117" stopIfTrue="1" operator="lessThanOrEqual">
      <formula>0</formula>
    </cfRule>
    <cfRule type="cellIs" dxfId="867" priority="118" stopIfTrue="1" operator="greaterThan">
      <formula>#REF!</formula>
    </cfRule>
  </conditionalFormatting>
  <conditionalFormatting sqref="H77 H79:H85">
    <cfRule type="cellIs" dxfId="866" priority="177" stopIfTrue="1" operator="lessThanOrEqual">
      <formula>0</formula>
    </cfRule>
    <cfRule type="cellIs" dxfId="865" priority="176" stopIfTrue="1" operator="greaterThan">
      <formula>4.5</formula>
    </cfRule>
  </conditionalFormatting>
  <conditionalFormatting sqref="H53:I53">
    <cfRule type="cellIs" dxfId="864" priority="56" stopIfTrue="1" operator="lessThanOrEqual">
      <formula>0</formula>
    </cfRule>
  </conditionalFormatting>
  <conditionalFormatting sqref="H53:I54 H56:I57">
    <cfRule type="cellIs" dxfId="863" priority="53" stopIfTrue="1" operator="greaterThan">
      <formula>$F$68</formula>
    </cfRule>
  </conditionalFormatting>
  <conditionalFormatting sqref="H54:I54">
    <cfRule type="cellIs" dxfId="862" priority="82" stopIfTrue="1" operator="lessThanOrEqual">
      <formula>0</formula>
    </cfRule>
  </conditionalFormatting>
  <conditionalFormatting sqref="H55:I55">
    <cfRule type="cellIs" dxfId="861" priority="23" stopIfTrue="1" operator="lessThanOrEqual">
      <formula>0</formula>
    </cfRule>
    <cfRule type="cellIs" dxfId="860" priority="20" stopIfTrue="1" operator="greaterThan">
      <formula>$F$70</formula>
    </cfRule>
  </conditionalFormatting>
  <conditionalFormatting sqref="H56:I57">
    <cfRule type="cellIs" dxfId="859" priority="95" stopIfTrue="1" operator="lessThanOrEqual">
      <formula>0</formula>
    </cfRule>
  </conditionalFormatting>
  <conditionalFormatting sqref="H58:I59">
    <cfRule type="cellIs" dxfId="858" priority="131" stopIfTrue="1" operator="lessThanOrEqual">
      <formula>0</formula>
    </cfRule>
    <cfRule type="cellIs" dxfId="857" priority="136" stopIfTrue="1" operator="greaterThan">
      <formula>#REF!</formula>
    </cfRule>
    <cfRule type="cellIs" dxfId="856" priority="137" stopIfTrue="1" operator="lessThanOrEqual">
      <formula>0</formula>
    </cfRule>
    <cfRule type="cellIs" dxfId="855" priority="128" stopIfTrue="1" operator="greaterThan">
      <formula>#REF!</formula>
    </cfRule>
  </conditionalFormatting>
  <conditionalFormatting sqref="H60:I60">
    <cfRule type="cellIs" dxfId="854" priority="140" stopIfTrue="1" operator="greaterThan">
      <formula>$F$36</formula>
    </cfRule>
    <cfRule type="cellIs" dxfId="853" priority="143" stopIfTrue="1" operator="lessThanOrEqual">
      <formula>0</formula>
    </cfRule>
  </conditionalFormatting>
  <conditionalFormatting sqref="H61:I62">
    <cfRule type="cellIs" dxfId="852" priority="116" stopIfTrue="1" operator="greaterThan">
      <formula>#REF!</formula>
    </cfRule>
    <cfRule type="cellIs" dxfId="851" priority="119" stopIfTrue="1" operator="lessThanOrEqual">
      <formula>0</formula>
    </cfRule>
    <cfRule type="cellIs" dxfId="850" priority="124" stopIfTrue="1" operator="greaterThan">
      <formula>#REF!</formula>
    </cfRule>
    <cfRule type="cellIs" dxfId="849" priority="125" stopIfTrue="1" operator="lessThanOrEqual">
      <formula>0</formula>
    </cfRule>
  </conditionalFormatting>
  <conditionalFormatting sqref="H66:I73">
    <cfRule type="cellIs" dxfId="848" priority="39" stopIfTrue="1" operator="lessThanOrEqual">
      <formula>0</formula>
    </cfRule>
    <cfRule type="cellIs" dxfId="847" priority="38" stopIfTrue="1" operator="greaterThan">
      <formula>$J66</formula>
    </cfRule>
  </conditionalFormatting>
  <conditionalFormatting sqref="H74:I74">
    <cfRule type="cellIs" dxfId="846" priority="46" operator="greaterThan">
      <formula>5.3</formula>
    </cfRule>
  </conditionalFormatting>
  <conditionalFormatting sqref="H75:I75">
    <cfRule type="cellIs" dxfId="845" priority="44" stopIfTrue="1" operator="greaterThan">
      <formula>$J75</formula>
    </cfRule>
    <cfRule type="cellIs" dxfId="844" priority="45" stopIfTrue="1" operator="lessThanOrEqual">
      <formula>0</formula>
    </cfRule>
  </conditionalFormatting>
  <conditionalFormatting sqref="I53">
    <cfRule type="cellIs" dxfId="843" priority="61" stopIfTrue="1" operator="greaterThan">
      <formula>$F$66</formula>
    </cfRule>
    <cfRule type="cellIs" dxfId="842" priority="62" stopIfTrue="1" operator="lessThanOrEqual">
      <formula>0</formula>
    </cfRule>
    <cfRule type="cellIs" dxfId="841" priority="58" stopIfTrue="1" operator="lessThanOrEqual">
      <formula>0</formula>
    </cfRule>
    <cfRule type="cellIs" dxfId="840" priority="59" stopIfTrue="1" operator="greaterThan">
      <formula>$F$68</formula>
    </cfRule>
    <cfRule type="cellIs" dxfId="839" priority="57" stopIfTrue="1" operator="greaterThan">
      <formula>$F$66</formula>
    </cfRule>
    <cfRule type="cellIs" dxfId="838" priority="60" stopIfTrue="1" operator="lessThanOrEqual">
      <formula>0</formula>
    </cfRule>
  </conditionalFormatting>
  <conditionalFormatting sqref="I54">
    <cfRule type="cellIs" dxfId="837" priority="83" stopIfTrue="1" operator="greaterThan">
      <formula>$F$66</formula>
    </cfRule>
    <cfRule type="cellIs" dxfId="836" priority="84" stopIfTrue="1" operator="lessThanOrEqual">
      <formula>0</formula>
    </cfRule>
    <cfRule type="cellIs" dxfId="835" priority="86" stopIfTrue="1" operator="lessThanOrEqual">
      <formula>0</formula>
    </cfRule>
    <cfRule type="cellIs" dxfId="834" priority="87" stopIfTrue="1" operator="greaterThan">
      <formula>$F$66</formula>
    </cfRule>
    <cfRule type="cellIs" dxfId="833" priority="88" stopIfTrue="1" operator="lessThanOrEqual">
      <formula>0</formula>
    </cfRule>
    <cfRule type="cellIs" dxfId="832" priority="85" stopIfTrue="1" operator="greaterThan">
      <formula>$F$68</formula>
    </cfRule>
  </conditionalFormatting>
  <conditionalFormatting sqref="I55">
    <cfRule type="cellIs" dxfId="831" priority="28" stopIfTrue="1" operator="greaterThan">
      <formula>$F$68</formula>
    </cfRule>
    <cfRule type="cellIs" dxfId="830" priority="24" stopIfTrue="1" operator="greaterThan">
      <formula>$F$68</formula>
    </cfRule>
    <cfRule type="cellIs" dxfId="829" priority="26" stopIfTrue="1" operator="greaterThan">
      <formula>$F$70</formula>
    </cfRule>
    <cfRule type="cellIs" dxfId="828" priority="25" stopIfTrue="1" operator="lessThanOrEqual">
      <formula>0</formula>
    </cfRule>
    <cfRule type="cellIs" dxfId="827" priority="29" stopIfTrue="1" operator="lessThanOrEqual">
      <formula>0</formula>
    </cfRule>
    <cfRule type="cellIs" dxfId="826" priority="27" stopIfTrue="1" operator="lessThanOrEqual">
      <formula>0</formula>
    </cfRule>
  </conditionalFormatting>
  <conditionalFormatting sqref="I56:I57">
    <cfRule type="cellIs" dxfId="825" priority="98" stopIfTrue="1" operator="greaterThan">
      <formula>$F$68</formula>
    </cfRule>
    <cfRule type="cellIs" dxfId="824" priority="99" stopIfTrue="1" operator="lessThanOrEqual">
      <formula>0</formula>
    </cfRule>
    <cfRule type="cellIs" dxfId="823" priority="100" stopIfTrue="1" operator="greaterThan">
      <formula>$F$66</formula>
    </cfRule>
    <cfRule type="cellIs" dxfId="822" priority="101" stopIfTrue="1" operator="lessThanOrEqual">
      <formula>0</formula>
    </cfRule>
    <cfRule type="cellIs" dxfId="821" priority="96" stopIfTrue="1" operator="greaterThan">
      <formula>$F$66</formula>
    </cfRule>
    <cfRule type="cellIs" dxfId="820" priority="97" stopIfTrue="1" operator="lessThanOrEqual">
      <formula>0</formula>
    </cfRule>
  </conditionalFormatting>
  <conditionalFormatting sqref="I58:I59">
    <cfRule type="cellIs" dxfId="819" priority="135" stopIfTrue="1" operator="lessThanOrEqual">
      <formula>0</formula>
    </cfRule>
    <cfRule type="cellIs" dxfId="818" priority="134" stopIfTrue="1" operator="greaterThan">
      <formula>#REF!</formula>
    </cfRule>
    <cfRule type="cellIs" dxfId="817" priority="133" stopIfTrue="1" operator="lessThanOrEqual">
      <formula>0</formula>
    </cfRule>
    <cfRule type="cellIs" dxfId="816" priority="132" stopIfTrue="1" operator="greaterThan">
      <formula>#REF!</formula>
    </cfRule>
  </conditionalFormatting>
  <conditionalFormatting sqref="I60">
    <cfRule type="cellIs" dxfId="815" priority="146" stopIfTrue="1" operator="greaterThan">
      <formula>$F$36</formula>
    </cfRule>
    <cfRule type="cellIs" dxfId="814" priority="147" stopIfTrue="1" operator="lessThanOrEqual">
      <formula>0</formula>
    </cfRule>
    <cfRule type="cellIs" dxfId="813" priority="148" stopIfTrue="1" operator="greaterThan">
      <formula>$F$34</formula>
    </cfRule>
    <cfRule type="cellIs" dxfId="812" priority="149" stopIfTrue="1" operator="lessThanOrEqual">
      <formula>0</formula>
    </cfRule>
    <cfRule type="cellIs" dxfId="811" priority="145" stopIfTrue="1" operator="lessThanOrEqual">
      <formula>0</formula>
    </cfRule>
    <cfRule type="cellIs" dxfId="810" priority="144" stopIfTrue="1" operator="greaterThan">
      <formula>$F$34</formula>
    </cfRule>
  </conditionalFormatting>
  <conditionalFormatting sqref="I61:I62">
    <cfRule type="cellIs" dxfId="809" priority="123" stopIfTrue="1" operator="lessThanOrEqual">
      <formula>0</formula>
    </cfRule>
    <cfRule type="cellIs" dxfId="808" priority="120" stopIfTrue="1" operator="greaterThan">
      <formula>#REF!</formula>
    </cfRule>
    <cfRule type="cellIs" dxfId="807" priority="121" stopIfTrue="1" operator="lessThanOrEqual">
      <formula>0</formula>
    </cfRule>
    <cfRule type="cellIs" dxfId="806" priority="122" stopIfTrue="1" operator="greaterThan">
      <formula>#REF!</formula>
    </cfRule>
  </conditionalFormatting>
  <conditionalFormatting sqref="I77:I85">
    <cfRule type="cellIs" dxfId="805" priority="173" stopIfTrue="1" operator="lessThanOrEqual">
      <formula>0</formula>
    </cfRule>
    <cfRule type="cellIs" dxfId="804" priority="172" stopIfTrue="1" operator="greaterThan">
      <formula>4.5</formula>
    </cfRule>
  </conditionalFormatting>
  <conditionalFormatting sqref="I10:J21">
    <cfRule type="cellIs" dxfId="803" priority="4" operator="lessThan">
      <formula>97.9</formula>
    </cfRule>
  </conditionalFormatting>
  <conditionalFormatting sqref="J24:J26">
    <cfRule type="cellIs" dxfId="802" priority="19" operator="lessThan">
      <formula>97.95</formula>
    </cfRule>
  </conditionalFormatting>
  <conditionalFormatting sqref="J25:J28">
    <cfRule type="cellIs" dxfId="801" priority="154" operator="lessThan">
      <formula>97.4</formula>
    </cfRule>
  </conditionalFormatting>
  <conditionalFormatting sqref="J29:J30">
    <cfRule type="cellIs" dxfId="800" priority="155" operator="lessThan">
      <formula>98</formula>
    </cfRule>
  </conditionalFormatting>
  <conditionalFormatting sqref="J31:J32">
    <cfRule type="cellIs" dxfId="799" priority="156" stopIfTrue="1" operator="lessThan">
      <formula>96.8</formula>
    </cfRule>
    <cfRule type="cellIs" dxfId="798" priority="157" stopIfTrue="1" operator="greaterThan">
      <formula>100</formula>
    </cfRule>
  </conditionalFormatting>
  <conditionalFormatting sqref="J31:J33">
    <cfRule type="cellIs" dxfId="797" priority="158" operator="lessThan">
      <formula>98</formula>
    </cfRule>
  </conditionalFormatting>
  <conditionalFormatting sqref="J62">
    <cfRule type="cellIs" dxfId="796" priority="111" stopIfTrue="1" operator="lessThanOrEqual">
      <formula>0</formula>
    </cfRule>
    <cfRule type="cellIs" dxfId="795" priority="112" stopIfTrue="1" operator="greaterThan">
      <formula>#REF!</formula>
    </cfRule>
    <cfRule type="cellIs" dxfId="794" priority="113" stopIfTrue="1" operator="lessThanOrEqual">
      <formula>0</formula>
    </cfRule>
    <cfRule type="cellIs" dxfId="793" priority="108" stopIfTrue="1" operator="greaterThan">
      <formula>#REF!</formula>
    </cfRule>
    <cfRule type="cellIs" dxfId="792" priority="109" stopIfTrue="1" operator="lessThanOrEqual">
      <formula>0</formula>
    </cfRule>
    <cfRule type="cellIs" dxfId="791" priority="110" stopIfTrue="1" operator="greaterThan">
      <formula>#REF!</formula>
    </cfRule>
    <cfRule type="cellIs" dxfId="790" priority="114" stopIfTrue="1" operator="greaterThan">
      <formula>#REF!</formula>
    </cfRule>
    <cfRule type="cellIs" dxfId="789" priority="115" stopIfTrue="1" operator="lessThanOrEqual">
      <formula>0</formula>
    </cfRule>
  </conditionalFormatting>
  <conditionalFormatting sqref="J75">
    <cfRule type="cellIs" dxfId="788" priority="48" stopIfTrue="1" operator="lessThanOrEqual">
      <formula>0</formula>
    </cfRule>
    <cfRule type="cellIs" dxfId="787" priority="47" stopIfTrue="1" operator="greaterThan">
      <formula>$F75</formula>
    </cfRule>
  </conditionalFormatting>
  <conditionalFormatting sqref="K10:K21">
    <cfRule type="cellIs" dxfId="786" priority="7" operator="greaterThan">
      <formula>6.4</formula>
    </cfRule>
    <cfRule type="cellIs" dxfId="785" priority="5" operator="greaterThan">
      <formula>6</formula>
    </cfRule>
    <cfRule type="cellIs" dxfId="784" priority="6" operator="lessThan">
      <formula>4</formula>
    </cfRule>
  </conditionalFormatting>
  <conditionalFormatting sqref="K53:K62">
    <cfRule type="cellIs" dxfId="783" priority="93" stopIfTrue="1" operator="lessThan">
      <formula>100%</formula>
    </cfRule>
  </conditionalFormatting>
  <conditionalFormatting sqref="K66:K74">
    <cfRule type="cellIs" dxfId="782" priority="37" stopIfTrue="1" operator="lessThan">
      <formula>100%</formula>
    </cfRule>
  </conditionalFormatting>
  <conditionalFormatting sqref="K77:K82">
    <cfRule type="cellIs" dxfId="781" priority="178" stopIfTrue="1" operator="lessThan">
      <formula>100%</formula>
    </cfRule>
  </conditionalFormatting>
  <conditionalFormatting sqref="K84:K85">
    <cfRule type="cellIs" dxfId="780" priority="185" stopIfTrue="1" operator="lessThan">
      <formula>100%</formula>
    </cfRule>
  </conditionalFormatting>
  <conditionalFormatting sqref="L10:L21">
    <cfRule type="cellIs" dxfId="779" priority="8" operator="between">
      <formula>61</formula>
      <formula>65</formula>
    </cfRule>
    <cfRule type="cellIs" dxfId="778" priority="9" operator="greaterThan">
      <formula>65</formula>
    </cfRule>
  </conditionalFormatting>
  <conditionalFormatting sqref="L24:M35">
    <cfRule type="cellIs" dxfId="777" priority="3" operator="lessThan">
      <formula>97.95</formula>
    </cfRule>
  </conditionalFormatting>
  <conditionalFormatting sqref="L39:N39">
    <cfRule type="cellIs" dxfId="776" priority="17" operator="notEqual">
      <formula>#REF!</formula>
    </cfRule>
  </conditionalFormatting>
  <conditionalFormatting sqref="L66:N75">
    <cfRule type="cellIs" dxfId="775" priority="34" stopIfTrue="1" operator="lessThan">
      <formula>100%</formula>
    </cfRule>
  </conditionalFormatting>
  <conditionalFormatting sqref="L77:N85">
    <cfRule type="cellIs" dxfId="774" priority="163" stopIfTrue="1" operator="lessThan">
      <formula>100%</formula>
    </cfRule>
  </conditionalFormatting>
  <conditionalFormatting sqref="M21">
    <cfRule type="expression" dxfId="773" priority="14">
      <formula>IF(+(IF(M21&lt;U21,0,IF(M21&gt;V21,0,1)))=0,1)</formula>
    </cfRule>
  </conditionalFormatting>
  <conditionalFormatting sqref="M10:N20 H10:H21">
    <cfRule type="expression" dxfId="772" priority="13">
      <formula>IF(+(IF(H10&lt;#REF!,0,IF(H10&gt;#REF!,0,1)))=0,1)</formula>
    </cfRule>
  </conditionalFormatting>
  <conditionalFormatting sqref="N10:N21">
    <cfRule type="expression" dxfId="771" priority="2">
      <formula>IF(+(IF(N10&lt;W10,0,IF(N10&gt;X10,0,1)))=0,1)</formula>
    </cfRule>
  </conditionalFormatting>
  <conditionalFormatting sqref="P6">
    <cfRule type="cellIs" dxfId="770" priority="159" operator="greaterThanOrEqual">
      <formula>19</formula>
    </cfRule>
  </conditionalFormatting>
  <dataValidations count="1">
    <dataValidation type="list" allowBlank="1" showInputMessage="1" showErrorMessage="1" sqref="R8" xr:uid="{889F9DFE-BD39-439C-BD21-4B9B6A04388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1D3A-627C-4217-9432-4B0F76F2D6F5}">
  <sheetPr>
    <pageSetUpPr fitToPage="1"/>
  </sheetPr>
  <dimension ref="A1:BE84"/>
  <sheetViews>
    <sheetView topLeftCell="A8" zoomScale="80" zoomScaleNormal="80" workbookViewId="0">
      <selection activeCell="G17" sqref="G1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49.57031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46322</v>
      </c>
      <c r="J4" s="397" t="s">
        <v>180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179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29" t="s">
        <v>6</v>
      </c>
      <c r="C10" s="366" t="str">
        <f>[3]Brewhouse!$A837</f>
        <v>CA787</v>
      </c>
      <c r="D10" s="279">
        <f>[3]Brewhouse!$AF837</f>
        <v>49.3</v>
      </c>
      <c r="E10" s="279">
        <f>[3]Brewhouse!$AI837</f>
        <v>49.3</v>
      </c>
      <c r="F10" s="278">
        <f>[3]Brewhouse!$V837</f>
        <v>56</v>
      </c>
      <c r="G10" s="279">
        <f>[3]Brewhouse!AG837</f>
        <v>11.68</v>
      </c>
      <c r="H10" s="396">
        <v>11.7</v>
      </c>
      <c r="I10" s="368">
        <f>[3]Brewhouse!$AU837</f>
        <v>95.654534858071727</v>
      </c>
      <c r="J10" s="368">
        <f>[3]Brewhouse!$AV837</f>
        <v>96.205482512126622</v>
      </c>
      <c r="K10" s="281">
        <f>[3]Brewhouse!$Q837</f>
        <v>8.3396226415094361</v>
      </c>
      <c r="L10" s="276">
        <f>[3]Brewhouse!$P837</f>
        <v>61</v>
      </c>
      <c r="M10" s="374">
        <f>[3]Brewhouse!$U837-[3]Brewhouse!$T837</f>
        <v>0.11944444444444446</v>
      </c>
      <c r="N10" s="370">
        <f>[3]Brewhouse!$Z837</f>
        <v>0.28472222222222221</v>
      </c>
      <c r="O10" s="419" t="str">
        <f>[3]Brewhouse!$AX837</f>
        <v>K. Benjamin</v>
      </c>
      <c r="P10" s="417"/>
      <c r="R10" s="277"/>
      <c r="S10" s="471"/>
      <c r="T10" s="471"/>
      <c r="U10" s="297"/>
      <c r="V10" s="297"/>
      <c r="W10" s="297"/>
      <c r="X10" s="297"/>
      <c r="Y10" s="297"/>
      <c r="Z10" s="471"/>
    </row>
    <row r="11" spans="2:29" ht="15" customHeight="1">
      <c r="B11" s="29" t="s">
        <v>6</v>
      </c>
      <c r="C11" s="366" t="str">
        <f>[3]Brewhouse!$A838</f>
        <v>CA788</v>
      </c>
      <c r="D11" s="279">
        <f>[3]Brewhouse!$AF838</f>
        <v>47.9</v>
      </c>
      <c r="E11" s="279">
        <f>[3]Brewhouse!$AI838</f>
        <v>48.4</v>
      </c>
      <c r="F11" s="278">
        <f>[3]Brewhouse!$V838</f>
        <v>52</v>
      </c>
      <c r="G11" s="279">
        <f>[3]Brewhouse!AG838</f>
        <v>12</v>
      </c>
      <c r="H11" s="396">
        <v>12.4</v>
      </c>
      <c r="I11" s="368">
        <f>[3]Brewhouse!$AU838</f>
        <v>96.442217800409722</v>
      </c>
      <c r="J11" s="368">
        <f>[3]Brewhouse!$AV838</f>
        <v>96.997702323206539</v>
      </c>
      <c r="K11" s="281">
        <f>[3]Brewhouse!$Q838</f>
        <v>12.62962962962963</v>
      </c>
      <c r="L11" s="276">
        <f>[3]Brewhouse!$P838</f>
        <v>60</v>
      </c>
      <c r="M11" s="374">
        <f>[3]Brewhouse!$U838-[3]Brewhouse!$T838</f>
        <v>0.12638888888888888</v>
      </c>
      <c r="N11" s="370">
        <f>[3]Brewhouse!$Z838</f>
        <v>0.29722222222222217</v>
      </c>
      <c r="O11" s="419" t="str">
        <f>[3]Brewhouse!$AX838</f>
        <v>K. Benjamin</v>
      </c>
      <c r="P11" s="417"/>
      <c r="R11" s="277"/>
      <c r="S11" s="471"/>
      <c r="T11" s="471"/>
      <c r="U11" s="297"/>
      <c r="V11" s="297"/>
      <c r="W11" s="297"/>
      <c r="X11" s="297"/>
      <c r="Y11" s="297"/>
      <c r="Z11" s="471"/>
    </row>
    <row r="12" spans="2:29" ht="15" customHeight="1">
      <c r="B12" s="29" t="s">
        <v>6</v>
      </c>
      <c r="C12" s="366" t="str">
        <f>[3]Brewhouse!$A839</f>
        <v>CA789</v>
      </c>
      <c r="D12" s="279">
        <f>[3]Brewhouse!$AF839</f>
        <v>48</v>
      </c>
      <c r="E12" s="279">
        <f>[3]Brewhouse!$AI839</f>
        <v>49.6</v>
      </c>
      <c r="F12" s="278">
        <f>[3]Brewhouse!$V839</f>
        <v>52</v>
      </c>
      <c r="G12" s="279">
        <f>[3]Brewhouse!AG839</f>
        <v>11.7</v>
      </c>
      <c r="H12" s="396">
        <v>12.4</v>
      </c>
      <c r="I12" s="368">
        <f>[3]Brewhouse!$AU839</f>
        <v>100.48581555152971</v>
      </c>
      <c r="J12" s="368">
        <f>[3]Brewhouse!$AV839</f>
        <v>101.06459024763849</v>
      </c>
      <c r="K12" s="281">
        <f>[3]Brewhouse!$Q839</f>
        <v>12.444444444444443</v>
      </c>
      <c r="L12" s="276">
        <f>[3]Brewhouse!$P839</f>
        <v>59</v>
      </c>
      <c r="M12" s="374">
        <f>[3]Brewhouse!$U839-[3]Brewhouse!$T839</f>
        <v>0.12777777777777777</v>
      </c>
      <c r="N12" s="370">
        <f>[3]Brewhouse!$Z839</f>
        <v>0.30972222222222223</v>
      </c>
      <c r="O12" s="419" t="str">
        <f>[3]Brewhouse!$AX839</f>
        <v>K. Benjamin</v>
      </c>
      <c r="P12" s="417"/>
      <c r="R12" s="277"/>
      <c r="S12" s="471"/>
      <c r="T12" s="471"/>
      <c r="U12" s="297"/>
      <c r="V12" s="297"/>
      <c r="W12" s="297"/>
      <c r="X12" s="297"/>
      <c r="Y12" s="297"/>
      <c r="Z12" s="471"/>
    </row>
    <row r="13" spans="2:29" ht="15" customHeight="1">
      <c r="B13" s="29" t="s">
        <v>6</v>
      </c>
      <c r="C13" s="366" t="str">
        <f>[3]Brewhouse!$A840</f>
        <v>CA790</v>
      </c>
      <c r="D13" s="279">
        <f>[3]Brewhouse!$AF840</f>
        <v>50.2</v>
      </c>
      <c r="E13" s="279">
        <f>[3]Brewhouse!$AI840</f>
        <v>51.6</v>
      </c>
      <c r="F13" s="278">
        <f>[3]Brewhouse!$V840</f>
        <v>54</v>
      </c>
      <c r="G13" s="279">
        <f>[3]Brewhouse!AG840</f>
        <v>11.8</v>
      </c>
      <c r="H13" s="396">
        <v>11.9</v>
      </c>
      <c r="I13" s="368">
        <f>[3]Brewhouse!$AU840</f>
        <v>101.0176006920568</v>
      </c>
      <c r="J13" s="368">
        <f>[3]Brewhouse!$AV840</f>
        <v>101.59943834567271</v>
      </c>
      <c r="K13" s="281">
        <f>[3]Brewhouse!$Q840</f>
        <v>8.3703703703703631</v>
      </c>
      <c r="L13" s="276">
        <f>[3]Brewhouse!$P840</f>
        <v>61</v>
      </c>
      <c r="M13" s="374">
        <f>[3]Brewhouse!$U840-[3]Brewhouse!$T840</f>
        <v>0.16180555555555554</v>
      </c>
      <c r="N13" s="370">
        <f>[3]Brewhouse!$Z840</f>
        <v>0.33263888888888893</v>
      </c>
      <c r="O13" s="419" t="str">
        <f>[3]Brewhouse!$AX840</f>
        <v>K. Benjamin</v>
      </c>
      <c r="P13" s="417"/>
      <c r="R13" s="277"/>
      <c r="S13" s="471"/>
      <c r="T13" s="471"/>
      <c r="U13" s="297"/>
      <c r="V13" s="297"/>
      <c r="W13" s="297"/>
      <c r="X13" s="297"/>
      <c r="Y13" s="297"/>
      <c r="Z13" s="471"/>
    </row>
    <row r="14" spans="2:29" ht="15" customHeight="1">
      <c r="B14" s="29" t="s">
        <v>6</v>
      </c>
      <c r="C14" s="366" t="str">
        <f>[3]Brewhouse!$A841</f>
        <v>CA791</v>
      </c>
      <c r="D14" s="279">
        <f>[3]Brewhouse!$AF841</f>
        <v>49.2</v>
      </c>
      <c r="E14" s="279">
        <f>[3]Brewhouse!$AI841</f>
        <v>49.6</v>
      </c>
      <c r="F14" s="278">
        <f>[3]Brewhouse!$V841</f>
        <v>59</v>
      </c>
      <c r="G14" s="279">
        <f>[3]Brewhouse!AG841</f>
        <v>11.8</v>
      </c>
      <c r="H14" s="396">
        <v>11.8</v>
      </c>
      <c r="I14" s="368">
        <f>[3]Brewhouse!$AU841</f>
        <v>97.102189812519697</v>
      </c>
      <c r="J14" s="368">
        <f>[3]Brewhouse!$AV841</f>
        <v>97.661475619096237</v>
      </c>
      <c r="K14" s="281">
        <f>[3]Brewhouse!$Q841</f>
        <v>7.538461538461541</v>
      </c>
      <c r="L14" s="276">
        <f>[3]Brewhouse!$P841</f>
        <v>61</v>
      </c>
      <c r="M14" s="374">
        <f>[3]Brewhouse!$U841-[3]Brewhouse!$T841</f>
        <v>0.11319444444444438</v>
      </c>
      <c r="N14" s="370">
        <f>[3]Brewhouse!$Z841</f>
        <v>0.27777777777777768</v>
      </c>
      <c r="O14" s="419" t="str">
        <f>[3]Brewhouse!$AX841</f>
        <v>K. Benjamin</v>
      </c>
      <c r="P14" s="417"/>
      <c r="R14" s="277"/>
      <c r="S14" s="471"/>
      <c r="T14" s="471"/>
      <c r="U14" s="297"/>
      <c r="V14" s="297"/>
      <c r="W14" s="297"/>
      <c r="X14" s="297"/>
      <c r="Y14" s="297"/>
      <c r="Z14" s="471"/>
    </row>
    <row r="15" spans="2:29" ht="15" customHeight="1">
      <c r="B15" s="29" t="s">
        <v>6</v>
      </c>
      <c r="C15" s="366" t="str">
        <f>[3]Brewhouse!$A842</f>
        <v>CA792</v>
      </c>
      <c r="D15" s="279">
        <f>[3]Brewhouse!$AF842</f>
        <v>50.7</v>
      </c>
      <c r="E15" s="279">
        <f>[3]Brewhouse!$AI842</f>
        <v>50.5</v>
      </c>
      <c r="F15" s="278">
        <f>[3]Brewhouse!$V842</f>
        <v>59</v>
      </c>
      <c r="G15" s="279">
        <f>[3]Brewhouse!AG842</f>
        <v>12</v>
      </c>
      <c r="H15" s="396">
        <v>12</v>
      </c>
      <c r="I15" s="368">
        <f>[3]Brewhouse!$AU842</f>
        <v>98.86412470831138</v>
      </c>
      <c r="J15" s="368">
        <f>[3]Brewhouse!$AV842</f>
        <v>99.433558846055647</v>
      </c>
      <c r="K15" s="281">
        <f>[3]Brewhouse!$Q842</f>
        <v>9.8336414048059151</v>
      </c>
      <c r="L15" s="276">
        <f>[3]Brewhouse!$P842</f>
        <v>6</v>
      </c>
      <c r="M15" s="374">
        <f>[3]Brewhouse!$U842-[3]Brewhouse!$T842</f>
        <v>1.1222222222222222</v>
      </c>
      <c r="N15" s="370">
        <f>[3]Brewhouse!$Z842</f>
        <v>0.26944444444444449</v>
      </c>
      <c r="O15" s="419" t="str">
        <f>[3]Brewhouse!$AX842</f>
        <v>K. Benjamin</v>
      </c>
      <c r="P15" s="417"/>
      <c r="R15" s="277"/>
      <c r="S15" s="471"/>
      <c r="T15" s="471"/>
      <c r="U15" s="297"/>
      <c r="V15" s="297"/>
      <c r="W15" s="297"/>
      <c r="X15" s="297"/>
      <c r="Y15" s="297"/>
      <c r="Z15" s="471"/>
    </row>
    <row r="16" spans="2:29" ht="15" customHeight="1">
      <c r="B16" s="29" t="s">
        <v>6</v>
      </c>
      <c r="C16" s="366" t="str">
        <f>[3]Brewhouse!$A843</f>
        <v>CA793</v>
      </c>
      <c r="D16" s="279">
        <f>[3]Brewhouse!$AF843</f>
        <v>49.6</v>
      </c>
      <c r="E16" s="279">
        <f>[3]Brewhouse!$AI843</f>
        <v>49.9</v>
      </c>
      <c r="F16" s="278">
        <f>[3]Brewhouse!$V843</f>
        <v>56</v>
      </c>
      <c r="G16" s="279">
        <f>[3]Brewhouse!AG843</f>
        <v>11.9</v>
      </c>
      <c r="H16" s="396">
        <v>11.8</v>
      </c>
      <c r="I16" s="368">
        <f>[3]Brewhouse!$AU843</f>
        <v>98.560315476775202</v>
      </c>
      <c r="J16" s="368">
        <f>[3]Brewhouse!$AV843</f>
        <v>99.127999744702578</v>
      </c>
      <c r="K16" s="281">
        <f>[3]Brewhouse!$Q843</f>
        <v>9.6487985212569285</v>
      </c>
      <c r="L16" s="276">
        <f>[3]Brewhouse!$P843</f>
        <v>45</v>
      </c>
      <c r="M16" s="374">
        <f>[3]Brewhouse!$U843-[3]Brewhouse!$T843</f>
        <v>1.1111111111111112</v>
      </c>
      <c r="N16" s="370">
        <f>[3]Brewhouse!$Z843</f>
        <v>0.26111111111111118</v>
      </c>
      <c r="O16" s="419" t="str">
        <f>[3]Brewhouse!$AX843</f>
        <v>K. Benjamin</v>
      </c>
      <c r="P16" s="417"/>
      <c r="R16" s="277"/>
      <c r="S16" s="471"/>
      <c r="T16" s="471"/>
      <c r="U16" s="297"/>
      <c r="V16" s="297"/>
      <c r="W16" s="297"/>
      <c r="X16" s="297"/>
      <c r="Y16" s="297"/>
      <c r="Z16" s="471"/>
    </row>
    <row r="17" spans="2:26" ht="15" customHeight="1">
      <c r="B17" s="29" t="s">
        <v>6</v>
      </c>
      <c r="C17" s="366" t="str">
        <f>[3]Brewhouse!$A844</f>
        <v>CA794</v>
      </c>
      <c r="D17" s="279">
        <f>[3]Brewhouse!$AF844</f>
        <v>49.5</v>
      </c>
      <c r="E17" s="279">
        <f>[3]Brewhouse!$AI844</f>
        <v>49.9</v>
      </c>
      <c r="F17" s="278">
        <f>[3]Brewhouse!$V844</f>
        <v>61</v>
      </c>
      <c r="G17" s="279">
        <f>[3]Brewhouse!AG844</f>
        <v>11.5</v>
      </c>
      <c r="H17" s="396">
        <v>11.6</v>
      </c>
      <c r="I17" s="368">
        <f>[3]Brewhouse!$AU844</f>
        <v>96.996745280353508</v>
      </c>
      <c r="J17" s="368">
        <f>[3]Brewhouse!$AV844</f>
        <v>97.554857403307722</v>
      </c>
      <c r="K17" s="281">
        <f>[3]Brewhouse!$Q844</f>
        <v>7.2623574144486698</v>
      </c>
      <c r="L17" s="276">
        <f>[3]Brewhouse!$P844</f>
        <v>60</v>
      </c>
      <c r="M17" s="374">
        <f>[3]Brewhouse!$U844-[3]Brewhouse!$T844</f>
        <v>0.12847222222222221</v>
      </c>
      <c r="N17" s="370">
        <f>[3]Brewhouse!$Z844</f>
        <v>0.26111111111111113</v>
      </c>
      <c r="O17" s="419" t="str">
        <f>[3]Brewhouse!$AX844</f>
        <v>D. Gomaz</v>
      </c>
      <c r="P17" s="417"/>
      <c r="R17" s="277"/>
      <c r="S17" s="471"/>
      <c r="T17" s="471"/>
      <c r="U17" s="297"/>
      <c r="V17" s="297"/>
      <c r="W17" s="297"/>
      <c r="X17" s="297"/>
      <c r="Y17" s="297"/>
      <c r="Z17" s="471"/>
    </row>
    <row r="18" spans="2:26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/>
      <c r="S18" s="471"/>
      <c r="T18" s="471"/>
      <c r="U18" s="297"/>
      <c r="V18" s="297"/>
      <c r="W18" s="297"/>
      <c r="X18" s="297"/>
      <c r="Y18" s="297"/>
      <c r="Z18" s="471"/>
    </row>
    <row r="19" spans="2:26" ht="15" customHeight="1">
      <c r="B19" s="33" t="s">
        <v>9</v>
      </c>
      <c r="C19" s="366" t="str">
        <f>[4]Brewhouse!$A416</f>
        <v>ST357</v>
      </c>
      <c r="D19" s="279">
        <f>[4]Brewhouse!$AB416</f>
        <v>53.1</v>
      </c>
      <c r="E19" s="279">
        <f>[4]Brewhouse!$AG416</f>
        <v>48.6</v>
      </c>
      <c r="F19" s="278">
        <f>[4]Brewhouse!$V416</f>
        <v>60</v>
      </c>
      <c r="G19" s="279">
        <f>[4]Brewhouse!$AE416</f>
        <v>11.8</v>
      </c>
      <c r="H19" s="396">
        <v>11.8</v>
      </c>
      <c r="I19" s="368">
        <f>[4]Brewhouse!$AS416</f>
        <v>96.234942891011144</v>
      </c>
      <c r="J19" s="368">
        <f>[4]Brewhouse!$AT416</f>
        <v>96.956430361328927</v>
      </c>
      <c r="K19" s="281">
        <f>[4]Brewhouse!$Q416</f>
        <v>11.252354048964222</v>
      </c>
      <c r="L19" s="276">
        <f>[4]Brewhouse!$P416</f>
        <v>58</v>
      </c>
      <c r="M19" s="374">
        <f>[4]Brewhouse!$U416-[4]Brewhouse!$T416</f>
        <v>0.12291666666666667</v>
      </c>
      <c r="N19" s="370">
        <f>[4]Brewhouse!$AW416</f>
        <v>0.27708333333333335</v>
      </c>
      <c r="O19" s="419" t="str">
        <f>[4]Brewhouse!$AV416</f>
        <v>D.Gomaz</v>
      </c>
      <c r="P19" s="417"/>
      <c r="R19" s="277" t="str">
        <f t="shared" ref="R19:R44" si="0">B19</f>
        <v>STAG</v>
      </c>
      <c r="S19" s="471">
        <f t="shared" ref="S19:S44" si="1">VLOOKUP($B19,$R$3:$X$9,2,FALSE)</f>
        <v>11.6</v>
      </c>
      <c r="T19" s="471">
        <f t="shared" ref="T19:T44" si="2">VLOOKUP($B19,$R$3:$X$9,3,FALSE)</f>
        <v>12</v>
      </c>
      <c r="U19" s="297">
        <f t="shared" ref="U19:U44" si="3">VLOOKUP($B19,$R$3:$X$9,4,FALSE)</f>
        <v>0</v>
      </c>
      <c r="V19" s="297">
        <f t="shared" ref="V19:V44" si="4">VLOOKUP($B19,$R$3:$X$9,5,FALSE)</f>
        <v>0.118055555555556</v>
      </c>
      <c r="W19" s="297">
        <f t="shared" ref="W19:W44" si="5">VLOOKUP($B19,$R$3:$X$9,6,FALSE)</f>
        <v>0.22569444444444445</v>
      </c>
      <c r="X19" s="297">
        <f t="shared" ref="X19:X44" si="6">VLOOKUP($B19,$R$3:$X$9,7,FALSE)</f>
        <v>0.2638888888888889</v>
      </c>
      <c r="Y19" s="297">
        <f t="shared" ref="Y19:Y44" si="7">VLOOKUP($B19,$R$3:$Z$9,8,FALSE)</f>
        <v>0</v>
      </c>
      <c r="Z19" s="471">
        <f t="shared" ref="Z19:Z44" si="8">VLOOKUP($B19,$R$3:$Z$9,9,FALSE)</f>
        <v>60</v>
      </c>
    </row>
    <row r="20" spans="2:26" ht="15" customHeight="1">
      <c r="B20" s="33" t="s">
        <v>9</v>
      </c>
      <c r="C20" s="366" t="str">
        <f>[4]Brewhouse!$A417</f>
        <v>ST358</v>
      </c>
      <c r="D20" s="279">
        <f>[4]Brewhouse!$AB417</f>
        <v>53.1</v>
      </c>
      <c r="E20" s="279">
        <f>[4]Brewhouse!$AG417</f>
        <v>48.3</v>
      </c>
      <c r="F20" s="278">
        <f>[4]Brewhouse!$V417</f>
        <v>51</v>
      </c>
      <c r="G20" s="279">
        <f>[4]Brewhouse!$AE417</f>
        <v>11.8</v>
      </c>
      <c r="H20" s="396">
        <v>12.1</v>
      </c>
      <c r="I20" s="368">
        <f>[4]Brewhouse!$AS417</f>
        <v>96.244976149243712</v>
      </c>
      <c r="J20" s="368">
        <f>[4]Brewhouse!$AT417</f>
        <v>96.965388213283447</v>
      </c>
      <c r="K20" s="281">
        <f>[4]Brewhouse!$Q417</f>
        <v>11.064030131826742</v>
      </c>
      <c r="L20" s="276">
        <f>[4]Brewhouse!$P417</f>
        <v>67</v>
      </c>
      <c r="M20" s="374">
        <f>[4]Brewhouse!$U417-[4]Brewhouse!$T417</f>
        <v>0.11458333333333337</v>
      </c>
      <c r="N20" s="370">
        <f>[4]Brewhouse!$AW417</f>
        <v>0.26458333333333334</v>
      </c>
      <c r="O20" s="419" t="str">
        <f>[4]Brewhouse!$AV417</f>
        <v>R.Sookram</v>
      </c>
      <c r="P20" s="417"/>
      <c r="R20" s="277" t="str">
        <f t="shared" si="0"/>
        <v>STAG</v>
      </c>
      <c r="S20" s="471">
        <f t="shared" si="1"/>
        <v>11.6</v>
      </c>
      <c r="T20" s="471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1">
        <f t="shared" si="8"/>
        <v>60</v>
      </c>
    </row>
    <row r="21" spans="2:26" ht="15" customHeight="1">
      <c r="B21" s="33" t="s">
        <v>9</v>
      </c>
      <c r="C21" s="366" t="str">
        <f>[4]Brewhouse!$A418</f>
        <v>ST359</v>
      </c>
      <c r="D21" s="279">
        <f>[4]Brewhouse!$AB418</f>
        <v>53</v>
      </c>
      <c r="E21" s="279">
        <f>[4]Brewhouse!$AG418</f>
        <v>49.2</v>
      </c>
      <c r="F21" s="278">
        <f>[4]Brewhouse!$V418</f>
        <v>54</v>
      </c>
      <c r="G21" s="279">
        <f>[4]Brewhouse!$AE418</f>
        <v>11.9</v>
      </c>
      <c r="H21" s="396">
        <v>11.4</v>
      </c>
      <c r="I21" s="368">
        <f>[4]Brewhouse!$AS418</f>
        <v>98.78749454244813</v>
      </c>
      <c r="J21" s="368">
        <f>[4]Brewhouse!$AT418</f>
        <v>99.527175237630999</v>
      </c>
      <c r="K21" s="281">
        <f>[4]Brewhouse!$Q418</f>
        <v>7.6886792452830104</v>
      </c>
      <c r="L21" s="276">
        <f>[4]Brewhouse!$P418</f>
        <v>61</v>
      </c>
      <c r="M21" s="374">
        <f>[4]Brewhouse!$U418-[4]Brewhouse!$T418</f>
        <v>0.14097222222222217</v>
      </c>
      <c r="N21" s="370">
        <f>[4]Brewhouse!$AW418</f>
        <v>0.33055555555555555</v>
      </c>
      <c r="O21" s="419" t="str">
        <f>[4]Brewhouse!$AV418</f>
        <v>R.Sookram</v>
      </c>
      <c r="P21" s="417"/>
      <c r="R21" s="277" t="str">
        <f t="shared" si="0"/>
        <v>STAG</v>
      </c>
      <c r="S21" s="471">
        <f t="shared" si="1"/>
        <v>11.6</v>
      </c>
      <c r="T21" s="471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1">
        <f t="shared" si="8"/>
        <v>60</v>
      </c>
    </row>
    <row r="22" spans="2:26" ht="15" customHeight="1">
      <c r="B22" s="33" t="s">
        <v>9</v>
      </c>
      <c r="C22" s="366" t="str">
        <f>[4]Brewhouse!$A419</f>
        <v>ST360</v>
      </c>
      <c r="D22" s="279">
        <f>[4]Brewhouse!$AB419</f>
        <v>53</v>
      </c>
      <c r="E22" s="279">
        <f>[4]Brewhouse!$AG419</f>
        <v>49.3</v>
      </c>
      <c r="F22" s="278">
        <f>[4]Brewhouse!$V419</f>
        <v>60</v>
      </c>
      <c r="G22" s="279">
        <f>[4]Brewhouse!$AE419</f>
        <v>11.7</v>
      </c>
      <c r="H22" s="396">
        <v>11.6</v>
      </c>
      <c r="I22" s="368">
        <f>[4]Brewhouse!$AS419</f>
        <v>97.239091605330472</v>
      </c>
      <c r="J22" s="368">
        <f>[4]Brewhouse!$AT419</f>
        <v>97.967178487285707</v>
      </c>
      <c r="K22" s="281">
        <f>[4]Brewhouse!$Q419</f>
        <v>10.330188679245285</v>
      </c>
      <c r="L22" s="276">
        <f>[4]Brewhouse!$P419</f>
        <v>61</v>
      </c>
      <c r="M22" s="374">
        <f>[4]Brewhouse!$U419-[4]Brewhouse!$T419</f>
        <v>0.12777777777777777</v>
      </c>
      <c r="N22" s="370">
        <f>[4]Brewhouse!$AW419</f>
        <v>0.28749999999999998</v>
      </c>
      <c r="O22" s="419" t="str">
        <f>[4]Brewhouse!$AV419</f>
        <v>K. Benjamin</v>
      </c>
      <c r="P22" s="417"/>
      <c r="R22" s="277" t="str">
        <f t="shared" si="0"/>
        <v>STAG</v>
      </c>
      <c r="S22" s="471">
        <f t="shared" si="1"/>
        <v>11.6</v>
      </c>
      <c r="T22" s="471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1">
        <f t="shared" si="8"/>
        <v>60</v>
      </c>
    </row>
    <row r="23" spans="2:26" ht="15" customHeight="1">
      <c r="B23" s="33" t="s">
        <v>9</v>
      </c>
      <c r="C23" s="366" t="str">
        <f>[4]Brewhouse!$A420</f>
        <v>ST361</v>
      </c>
      <c r="D23" s="279">
        <f>[4]Brewhouse!$AB420</f>
        <v>53</v>
      </c>
      <c r="E23" s="279">
        <f>[4]Brewhouse!$AG420</f>
        <v>50.6</v>
      </c>
      <c r="F23" s="278">
        <f>[4]Brewhouse!$V420</f>
        <v>54</v>
      </c>
      <c r="G23" s="279">
        <f>[4]Brewhouse!$AE420</f>
        <v>11.8</v>
      </c>
      <c r="H23" s="396">
        <v>11.8</v>
      </c>
      <c r="I23" s="368">
        <f>[4]Brewhouse!$AS420</f>
        <v>100.82807025158867</v>
      </c>
      <c r="J23" s="368">
        <f>[4]Brewhouse!$AT420</f>
        <v>101.58278765201123</v>
      </c>
      <c r="K23" s="281">
        <f>[4]Brewhouse!$Q420</f>
        <v>6.7452830188679158</v>
      </c>
      <c r="L23" s="276">
        <f>[4]Brewhouse!$P420</f>
        <v>60</v>
      </c>
      <c r="M23" s="374">
        <f>[4]Brewhouse!$U420-[4]Brewhouse!$T420</f>
        <v>0.1166666666666667</v>
      </c>
      <c r="N23" s="370">
        <f>[4]Brewhouse!$AW420</f>
        <v>0.26458333333333339</v>
      </c>
      <c r="O23" s="419" t="str">
        <f>[4]Brewhouse!$AV420</f>
        <v>K. Benjamin</v>
      </c>
      <c r="P23" s="417"/>
      <c r="R23" s="277" t="str">
        <f t="shared" si="0"/>
        <v>STAG</v>
      </c>
      <c r="S23" s="471">
        <f t="shared" si="1"/>
        <v>11.6</v>
      </c>
      <c r="T23" s="471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1">
        <f t="shared" si="8"/>
        <v>60</v>
      </c>
    </row>
    <row r="24" spans="2:26" ht="15" customHeight="1">
      <c r="B24" s="33" t="s">
        <v>9</v>
      </c>
      <c r="C24" s="366" t="str">
        <f>[4]Brewhouse!$A421</f>
        <v>ST362</v>
      </c>
      <c r="D24" s="279">
        <f>[4]Brewhouse!$AB421</f>
        <v>53</v>
      </c>
      <c r="E24" s="279">
        <f>[4]Brewhouse!$AG421</f>
        <v>50.1</v>
      </c>
      <c r="F24" s="278">
        <f>[4]Brewhouse!$V421</f>
        <v>52</v>
      </c>
      <c r="G24" s="279">
        <f>[4]Brewhouse!$AE421</f>
        <v>11.8</v>
      </c>
      <c r="H24" s="396">
        <v>12</v>
      </c>
      <c r="I24" s="368">
        <f>[4]Brewhouse!$AS421</f>
        <v>99.831745446731063</v>
      </c>
      <c r="J24" s="368">
        <f>[4]Brewhouse!$AT421</f>
        <v>100.5790051653313</v>
      </c>
      <c r="K24" s="281">
        <f>[4]Brewhouse!$Q421</f>
        <v>7.5000000000000027</v>
      </c>
      <c r="L24" s="276">
        <f>[4]Brewhouse!$P421</f>
        <v>58</v>
      </c>
      <c r="M24" s="374">
        <f>[4]Brewhouse!$U421-[4]Brewhouse!$T421</f>
        <v>0.11527777777777781</v>
      </c>
      <c r="N24" s="370">
        <f>[4]Brewhouse!$AW421</f>
        <v>0.25555555555555565</v>
      </c>
      <c r="O24" s="419" t="str">
        <f>[4]Brewhouse!$AV421</f>
        <v>K. Benjamin</v>
      </c>
      <c r="P24" s="417"/>
      <c r="R24" s="277" t="str">
        <f t="shared" si="0"/>
        <v>STAG</v>
      </c>
      <c r="S24" s="471">
        <f t="shared" si="1"/>
        <v>11.6</v>
      </c>
      <c r="T24" s="471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1">
        <f t="shared" si="8"/>
        <v>60</v>
      </c>
    </row>
    <row r="25" spans="2:26" ht="15" customHeight="1">
      <c r="B25" s="33" t="s">
        <v>9</v>
      </c>
      <c r="C25" s="366" t="str">
        <f>[4]Brewhouse!$A422</f>
        <v>ST363</v>
      </c>
      <c r="D25" s="279">
        <f>[4]Brewhouse!$AB422</f>
        <v>53</v>
      </c>
      <c r="E25" s="279">
        <f>[4]Brewhouse!$AG422</f>
        <v>48.4</v>
      </c>
      <c r="F25" s="278">
        <f>[4]Brewhouse!$V422</f>
        <v>52</v>
      </c>
      <c r="G25" s="279">
        <f>[4]Brewhouse!$AE422</f>
        <v>11.7</v>
      </c>
      <c r="H25" s="396">
        <v>11.8</v>
      </c>
      <c r="I25" s="368">
        <f>[4]Brewhouse!$AS422</f>
        <v>95.343647995140529</v>
      </c>
      <c r="J25" s="368">
        <f>[4]Brewhouse!$AT422</f>
        <v>96.057771106332908</v>
      </c>
      <c r="K25" s="281">
        <f>[4]Brewhouse!$Q422</f>
        <v>10.896226415094338</v>
      </c>
      <c r="L25" s="276">
        <f>[4]Brewhouse!$P422</f>
        <v>61</v>
      </c>
      <c r="M25" s="374">
        <f>[4]Brewhouse!$U422-[4]Brewhouse!$T422</f>
        <v>0.14305555555555549</v>
      </c>
      <c r="N25" s="370">
        <f>[4]Brewhouse!$AW422</f>
        <v>0.28472222222222221</v>
      </c>
      <c r="O25" s="419" t="str">
        <f>[4]Brewhouse!$AV422</f>
        <v>K. Benjamin</v>
      </c>
      <c r="P25" s="417"/>
      <c r="R25" s="277" t="str">
        <f t="shared" si="0"/>
        <v>STAG</v>
      </c>
      <c r="S25" s="471">
        <f t="shared" si="1"/>
        <v>11.6</v>
      </c>
      <c r="T25" s="471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1">
        <f t="shared" si="8"/>
        <v>60</v>
      </c>
    </row>
    <row r="26" spans="2:26" ht="15" customHeight="1">
      <c r="B26" s="33" t="s">
        <v>9</v>
      </c>
      <c r="C26" s="366" t="str">
        <f>[4]Brewhouse!$A423</f>
        <v>ST364</v>
      </c>
      <c r="D26" s="279">
        <f>[4]Brewhouse!$AB423</f>
        <v>53</v>
      </c>
      <c r="E26" s="279">
        <f>[4]Brewhouse!$AG423</f>
        <v>50.3</v>
      </c>
      <c r="F26" s="278">
        <f>[4]Brewhouse!$V423</f>
        <v>57</v>
      </c>
      <c r="G26" s="279">
        <f>[4]Brewhouse!$AE423</f>
        <v>11.8</v>
      </c>
      <c r="H26" s="396">
        <v>11.8</v>
      </c>
      <c r="I26" s="368">
        <f>[4]Brewhouse!$AS423</f>
        <v>95.602651708364647</v>
      </c>
      <c r="J26" s="368">
        <f>[4]Brewhouse!$AT423</f>
        <v>96.318714755162475</v>
      </c>
      <c r="K26" s="281">
        <f>[4]Brewhouse!$Q423</f>
        <v>6.9339622641509377</v>
      </c>
      <c r="L26" s="276">
        <f>[4]Brewhouse!$P423</f>
        <v>60</v>
      </c>
      <c r="M26" s="374">
        <f>[4]Brewhouse!$U423-[4]Brewhouse!$T423</f>
        <v>0.12361111111111112</v>
      </c>
      <c r="N26" s="370">
        <f>[4]Brewhouse!$AW423</f>
        <v>0.27916666666666679</v>
      </c>
      <c r="O26" s="419" t="str">
        <f>[4]Brewhouse!$AV423</f>
        <v>K. Benjamin</v>
      </c>
      <c r="P26" s="417"/>
      <c r="R26" s="277" t="str">
        <f t="shared" si="0"/>
        <v>STAG</v>
      </c>
      <c r="S26" s="471">
        <f t="shared" si="1"/>
        <v>11.6</v>
      </c>
      <c r="T26" s="471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1">
        <f t="shared" si="8"/>
        <v>60</v>
      </c>
    </row>
    <row r="27" spans="2:26" ht="15" customHeight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19"/>
      <c r="P27" s="417"/>
      <c r="R27" s="277">
        <f t="shared" si="0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2:26" ht="15" customHeight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19"/>
      <c r="P28" s="417"/>
      <c r="R28" s="277">
        <f t="shared" si="0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2:26" ht="15" customHeight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19"/>
      <c r="P29" s="417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2:26" ht="15" customHeight="1">
      <c r="B30" s="34"/>
      <c r="C30" s="366"/>
      <c r="D30" s="279"/>
      <c r="E30" s="279"/>
      <c r="F30" s="278"/>
      <c r="G30" s="279"/>
      <c r="H30" s="396"/>
      <c r="I30" s="487"/>
      <c r="J30" s="487"/>
      <c r="K30" s="488"/>
      <c r="L30" s="276"/>
      <c r="M30" s="374"/>
      <c r="N30" s="370"/>
      <c r="O30" s="419"/>
      <c r="P30" s="417"/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2:26" ht="17.25" customHeight="1" thickBot="1">
      <c r="B31" s="358"/>
      <c r="C31" s="358"/>
      <c r="D31" s="358"/>
      <c r="E31" s="358"/>
      <c r="F31" s="294"/>
      <c r="G31" s="294"/>
      <c r="H31" s="348"/>
      <c r="I31" s="539"/>
      <c r="J31" s="539"/>
      <c r="K31" s="539"/>
      <c r="L31" s="539"/>
      <c r="M31" s="539"/>
      <c r="N31" s="539"/>
      <c r="O31" s="1"/>
      <c r="P31" s="12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2:26" ht="17.25" customHeight="1" thickBot="1">
      <c r="B32" s="482" t="s">
        <v>162</v>
      </c>
      <c r="C32" s="388"/>
      <c r="D32" s="540" t="s">
        <v>35</v>
      </c>
      <c r="E32" s="541"/>
      <c r="F32" s="294"/>
      <c r="G32" s="294"/>
      <c r="H32" s="348"/>
      <c r="I32" s="24" t="s">
        <v>17</v>
      </c>
      <c r="J32" s="25"/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si="0"/>
        <v xml:space="preserve">BRAND 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</row>
    <row r="33" spans="1:27" ht="17.25" customHeight="1">
      <c r="A33" s="28"/>
      <c r="B33" s="580"/>
      <c r="C33" s="483"/>
      <c r="D33" s="527"/>
      <c r="E33" s="528"/>
      <c r="F33" s="294"/>
      <c r="G33" s="294"/>
      <c r="H33" s="348"/>
      <c r="I33" s="29" t="s">
        <v>6</v>
      </c>
      <c r="J33" s="323">
        <f>AVERAGE(I10:I17)</f>
        <v>98.140443022503462</v>
      </c>
      <c r="K33" s="284">
        <f>COUNTA([3]Brewhouse!$A$789:$A$844)</f>
        <v>56</v>
      </c>
      <c r="L33" s="305">
        <f>AVERAGE([3]Brewhouse!$AU$789:$AU$844)</f>
        <v>97.884131316095662</v>
      </c>
      <c r="M3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$844)</f>
        <v>98.299442130182939</v>
      </c>
      <c r="N33" s="30">
        <v>98</v>
      </c>
      <c r="O33" s="11"/>
      <c r="P33" s="31"/>
      <c r="R33" s="277">
        <f t="shared" si="0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</row>
    <row r="34" spans="1:27" ht="15" customHeight="1">
      <c r="A34" s="28"/>
      <c r="B34" s="581"/>
      <c r="C34" s="362"/>
      <c r="D34" s="529"/>
      <c r="E34" s="530"/>
      <c r="F34" s="294"/>
      <c r="G34" s="294"/>
      <c r="H34" s="348"/>
      <c r="I34" s="33" t="s">
        <v>9</v>
      </c>
      <c r="J34" s="323">
        <f>AVERAGE(I19:I26)</f>
        <v>97.514077573732294</v>
      </c>
      <c r="K34" s="284">
        <f>COUNTA([4]Brewhouse!$A$390:$A$423)</f>
        <v>34</v>
      </c>
      <c r="L34" s="302">
        <f>AVERAGE([4]Brewhouse!$AS$390:$AS$423)</f>
        <v>97.470362830209154</v>
      </c>
      <c r="M34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$423)</f>
        <v>98.2482991352298</v>
      </c>
      <c r="N34" s="30">
        <v>98</v>
      </c>
      <c r="O34" s="11"/>
      <c r="P34" s="31"/>
      <c r="R34" s="277">
        <f t="shared" si="0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</row>
    <row r="35" spans="1:27" ht="14.65" customHeight="1">
      <c r="A35" s="28"/>
      <c r="B35" s="581"/>
      <c r="C35" s="362"/>
      <c r="D35" s="534"/>
      <c r="E35" s="535"/>
      <c r="F35" s="294"/>
      <c r="G35" s="294"/>
      <c r="H35" s="348"/>
      <c r="I35" s="34" t="s">
        <v>12</v>
      </c>
      <c r="J35" s="323"/>
      <c r="K35" s="284">
        <f>COUNTA([5]Brewhouse!$A$108:$A$115)</f>
        <v>8</v>
      </c>
      <c r="L35" s="302">
        <f>AVERAGE([5]Brewhouse!$AU$108:$AU$115)</f>
        <v>97.365395087454402</v>
      </c>
      <c r="M35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35" s="30">
        <v>98</v>
      </c>
      <c r="O35" s="11"/>
      <c r="P35" s="31"/>
      <c r="R35" s="277">
        <f t="shared" si="0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</row>
    <row r="36" spans="1:27" ht="14.65" customHeight="1">
      <c r="A36" s="28"/>
      <c r="B36" s="581"/>
      <c r="C36" s="362"/>
      <c r="D36" s="536"/>
      <c r="E36" s="530"/>
      <c r="F36" s="294"/>
      <c r="G36" s="294"/>
      <c r="H36" s="348"/>
      <c r="I36" s="22" t="s">
        <v>33</v>
      </c>
      <c r="J36" s="280"/>
      <c r="K36" s="284"/>
      <c r="L36" s="302"/>
      <c r="M36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6" s="30">
        <v>98</v>
      </c>
      <c r="O36" s="11"/>
      <c r="P36" s="31"/>
      <c r="R36" s="277">
        <f t="shared" si="0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</row>
    <row r="37" spans="1:27" ht="14.65" customHeight="1">
      <c r="A37" s="28"/>
      <c r="B37" s="581"/>
      <c r="C37" s="362"/>
      <c r="D37" s="534"/>
      <c r="E37" s="535"/>
      <c r="F37" s="294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>
        <f t="shared" si="0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</row>
    <row r="38" spans="1:27" ht="14.65" customHeight="1">
      <c r="A38" s="28"/>
      <c r="B38" s="581"/>
      <c r="C38" s="362"/>
      <c r="D38" s="536"/>
      <c r="E38" s="530"/>
      <c r="F38" s="416"/>
      <c r="G38" s="294"/>
      <c r="H38" s="348"/>
      <c r="I38" s="36" t="s">
        <v>15</v>
      </c>
      <c r="J38" s="323"/>
      <c r="K38" s="284"/>
      <c r="L38" s="302"/>
      <c r="M38" s="302">
        <f>AVERAGE([7]Brewhouse!$AT$4:$AT$11,[7]Brewhouse!$AT$13:$AT$16,[7]Brewhouse!$AT$18:$AT$30)</f>
        <v>93.22262799886262</v>
      </c>
      <c r="N38" s="30">
        <v>98</v>
      </c>
      <c r="O38" s="11"/>
      <c r="P38" s="31"/>
      <c r="R38" s="277">
        <f t="shared" si="0"/>
        <v>0</v>
      </c>
      <c r="S38" s="471" t="e">
        <f t="shared" si="1"/>
        <v>#N/A</v>
      </c>
      <c r="T38" s="471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1" t="e">
        <f t="shared" si="8"/>
        <v>#N/A</v>
      </c>
    </row>
    <row r="39" spans="1:27" ht="14.65" customHeight="1">
      <c r="A39" s="28"/>
      <c r="B39" s="581"/>
      <c r="C39" s="362"/>
      <c r="D39" s="534"/>
      <c r="E39" s="535"/>
      <c r="F39" s="416"/>
      <c r="G39" s="294"/>
      <c r="H39" s="348"/>
      <c r="I39" s="37" t="s">
        <v>16</v>
      </c>
      <c r="J39" s="323"/>
      <c r="K39" s="284">
        <f>COUNTA([8]Brewhouse!$A$112:$A$119)</f>
        <v>8</v>
      </c>
      <c r="L39" s="302">
        <f>AVERAGE([8]Brewhouse!$AY$112:$AY$119)</f>
        <v>96.833332758088616</v>
      </c>
      <c r="M39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39" s="30">
        <v>98</v>
      </c>
      <c r="O39" s="11"/>
      <c r="P39" s="31" t="s">
        <v>41</v>
      </c>
      <c r="R39" s="277">
        <f t="shared" si="0"/>
        <v>0</v>
      </c>
      <c r="S39" s="471" t="e">
        <f t="shared" si="1"/>
        <v>#N/A</v>
      </c>
      <c r="T39" s="471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1" t="e">
        <f t="shared" si="8"/>
        <v>#N/A</v>
      </c>
    </row>
    <row r="40" spans="1:27" ht="14.65" customHeight="1">
      <c r="A40" s="28"/>
      <c r="B40" s="581"/>
      <c r="C40" s="362"/>
      <c r="D40" s="536"/>
      <c r="E40" s="530"/>
      <c r="F40" s="294"/>
      <c r="G40" s="294"/>
      <c r="H40" s="348"/>
      <c r="I40" s="410" t="s">
        <v>158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0"/>
        <v>0</v>
      </c>
      <c r="S40" s="471" t="e">
        <f t="shared" si="1"/>
        <v>#N/A</v>
      </c>
      <c r="T40" s="471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1" t="e">
        <f t="shared" si="8"/>
        <v>#N/A</v>
      </c>
    </row>
    <row r="41" spans="1:27" ht="14.65" customHeight="1">
      <c r="A41" s="28"/>
      <c r="B41" s="581"/>
      <c r="C41" s="362"/>
      <c r="D41" s="534"/>
      <c r="E41" s="535"/>
      <c r="F41" s="294"/>
      <c r="G41" s="294"/>
      <c r="H41" s="348"/>
      <c r="I41" s="409" t="s">
        <v>157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0"/>
        <v>0</v>
      </c>
      <c r="S41" s="471" t="e">
        <f t="shared" si="1"/>
        <v>#N/A</v>
      </c>
      <c r="T41" s="471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1" t="e">
        <f t="shared" si="8"/>
        <v>#N/A</v>
      </c>
      <c r="AA41" s="471"/>
    </row>
    <row r="42" spans="1:27" ht="15" customHeight="1" thickBot="1">
      <c r="A42" s="28"/>
      <c r="B42" s="581"/>
      <c r="C42" s="362"/>
      <c r="D42" s="536"/>
      <c r="E42" s="530"/>
      <c r="F42" s="294"/>
      <c r="G42" s="294"/>
      <c r="H42" s="348"/>
      <c r="I42" s="405" t="s">
        <v>156</v>
      </c>
      <c r="J42" s="327"/>
      <c r="K42" s="406"/>
      <c r="L42" s="407"/>
      <c r="M42" s="407"/>
      <c r="N42" s="408">
        <v>98</v>
      </c>
      <c r="O42" s="11"/>
      <c r="P42" s="31"/>
      <c r="R42" s="277">
        <f t="shared" si="0"/>
        <v>0</v>
      </c>
      <c r="S42" s="471" t="e">
        <f t="shared" si="1"/>
        <v>#N/A</v>
      </c>
      <c r="T42" s="471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1" t="e">
        <f t="shared" si="8"/>
        <v>#N/A</v>
      </c>
      <c r="AA42" s="471"/>
    </row>
    <row r="43" spans="1:27" ht="15" customHeight="1" thickBot="1">
      <c r="A43" s="28"/>
      <c r="B43" s="581"/>
      <c r="C43" s="349"/>
      <c r="D43" s="527"/>
      <c r="E43" s="528"/>
      <c r="F43" s="294"/>
      <c r="G43" s="294"/>
      <c r="H43" s="348"/>
      <c r="I43" s="1"/>
      <c r="J43" s="39"/>
      <c r="K43" s="403">
        <f>SUM(K33:K42)</f>
        <v>106</v>
      </c>
      <c r="L43" s="404">
        <f>((L33*K33)+(L34*K34)+(L35*K35)+(L36*K36)+(L37*K37)+(K40*L40)+(L38*K38)+(L39*K39)+(L42*K42))/(K43)</f>
        <v>97.632957666913313</v>
      </c>
      <c r="M43" s="404">
        <f>AVERAGE('[9]Jan30th-31st'!$L$42,'[10]Feb 27th-28th'!$L$45,'[11]Mar 31st'!$L$42,'[12]Apr 30th'!$L$41,'[13]May 29th '!$L$35,'[14]June 30th'!$L$32,[15]July31st!$L$36,'[16]Aug 31st'!$L$32,L43)</f>
        <v>97.939596952256608</v>
      </c>
      <c r="N43" s="40">
        <v>98</v>
      </c>
      <c r="O43" s="11"/>
      <c r="P43" s="31"/>
      <c r="R43" s="277">
        <f t="shared" si="0"/>
        <v>0</v>
      </c>
      <c r="S43" s="471" t="e">
        <f t="shared" si="1"/>
        <v>#N/A</v>
      </c>
      <c r="T43" s="471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1" t="e">
        <f t="shared" si="8"/>
        <v>#N/A</v>
      </c>
      <c r="AA43" s="471"/>
    </row>
    <row r="44" spans="1:27" ht="15.75" thickBot="1">
      <c r="B44" s="596"/>
      <c r="C44" s="350"/>
      <c r="D44" s="529"/>
      <c r="E44" s="530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>
        <f t="shared" si="0"/>
        <v>0</v>
      </c>
      <c r="S44" s="471" t="e">
        <f t="shared" si="1"/>
        <v>#N/A</v>
      </c>
      <c r="T44" s="471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1" t="e">
        <f t="shared" si="8"/>
        <v>#N/A</v>
      </c>
      <c r="AA44" s="471"/>
    </row>
    <row r="45" spans="1:27" ht="15.75" thickBot="1">
      <c r="B45" s="597"/>
      <c r="C45" s="362"/>
      <c r="D45" s="527"/>
      <c r="E45" s="528"/>
      <c r="F45" s="294"/>
      <c r="G45" s="42"/>
      <c r="H45" s="41"/>
      <c r="I45" s="42"/>
      <c r="J45" s="531" t="s">
        <v>129</v>
      </c>
      <c r="K45" s="531"/>
      <c r="L45" s="294"/>
      <c r="M45" s="294"/>
      <c r="N45" s="294"/>
      <c r="O45" s="294"/>
      <c r="P45" s="12"/>
    </row>
    <row r="46" spans="1:27" ht="15.75" thickBot="1">
      <c r="B46" s="598"/>
      <c r="C46" s="362"/>
      <c r="D46" s="529"/>
      <c r="E46" s="530"/>
      <c r="F46" s="294"/>
      <c r="G46" s="42"/>
      <c r="H46" s="42"/>
      <c r="I46" s="42"/>
      <c r="J46" s="292" t="s">
        <v>17</v>
      </c>
      <c r="K46" s="293"/>
      <c r="L46" s="532" t="s">
        <v>136</v>
      </c>
      <c r="M46" s="532"/>
      <c r="N46" s="533"/>
      <c r="O46" s="294"/>
      <c r="P46" s="12"/>
    </row>
    <row r="47" spans="1:27" ht="15" customHeight="1" thickBot="1">
      <c r="B47" s="598"/>
      <c r="C47" s="349"/>
      <c r="D47" s="534"/>
      <c r="E47" s="535"/>
      <c r="F47" s="294"/>
      <c r="G47" s="42"/>
      <c r="H47" s="42"/>
      <c r="I47" s="42"/>
      <c r="J47" s="287" t="s">
        <v>6</v>
      </c>
      <c r="K47" s="324"/>
      <c r="L47" s="472" t="s">
        <v>37</v>
      </c>
      <c r="M47" s="473" t="s">
        <v>38</v>
      </c>
      <c r="N47" s="473" t="s">
        <v>84</v>
      </c>
      <c r="O47" s="294"/>
      <c r="P47" s="12"/>
    </row>
    <row r="48" spans="1:27" ht="15.75" customHeight="1" thickBot="1">
      <c r="B48" s="598"/>
      <c r="C48" s="349"/>
      <c r="D48" s="536"/>
      <c r="E48" s="530"/>
      <c r="F48" s="294"/>
      <c r="G48" s="42"/>
      <c r="H48" s="42"/>
      <c r="I48" s="42"/>
      <c r="J48" s="345" t="s">
        <v>9</v>
      </c>
      <c r="K48" s="324"/>
      <c r="L48" s="484">
        <f>AVERAGE('Oct 1st'!K52,'Oct 2nd'!K44,'Oct 5th'!K51,'Oct 6th'!K58,'Oct 7th'!K47,'Oct 8th '!K46,'Oct 9th-10th'!J57,'Oct 9th-10th'!K57,'Oct 12th'!K50,'Oct 13th '!K48,'Oct 14th'!K48,'Oct 15th '!K48,[17]Draw!$BBB$134,[17]Draw!$BBF$134,[17]Draw!$BBG$134,[17]Draw!$BBH$134,[17]Draw!$BBI$134,[17]Draw!$BBJ$134)</f>
        <v>6.2222222222222223</v>
      </c>
      <c r="M48" s="485">
        <f>AVERAGE('[9]Jan30th-31st'!$L$47,L48,'[10]Feb 26th '!$L$39,'[11]Mar 31st'!$L$47,'[12]Apr 30th'!$L$46,'[13]May 29th '!$L$40,'[14]June 30th'!$L$39,[15]July31st!$L$41,'[16]Aug 31st'!$L$37,'[18]Sept 30th'!$L$37)</f>
        <v>6.4957563692346296</v>
      </c>
      <c r="N48" s="415">
        <v>9.1999999999999993</v>
      </c>
      <c r="O48" s="294"/>
      <c r="P48" s="12"/>
    </row>
    <row r="49" spans="2:57" ht="15" customHeight="1">
      <c r="B49" s="598"/>
      <c r="C49" s="349"/>
      <c r="D49" s="534"/>
      <c r="E49" s="535"/>
      <c r="F49" s="294"/>
      <c r="G49" s="42"/>
      <c r="H49" s="42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2:57" ht="15" customHeight="1">
      <c r="B50" s="598"/>
      <c r="C50" s="349"/>
      <c r="D50" s="536"/>
      <c r="E50" s="530"/>
      <c r="F50" s="294"/>
      <c r="G50" s="42"/>
      <c r="H50" s="42"/>
      <c r="I50" s="42"/>
      <c r="J50" s="289" t="s">
        <v>33</v>
      </c>
      <c r="K50" s="324"/>
      <c r="L50" s="294"/>
      <c r="M50" s="294"/>
      <c r="N50" s="294"/>
      <c r="O50" s="294"/>
      <c r="P50" s="12"/>
    </row>
    <row r="51" spans="2:57" ht="15">
      <c r="B51" s="598"/>
      <c r="C51" s="349"/>
      <c r="D51" s="534"/>
      <c r="E51" s="535"/>
      <c r="F51" s="294"/>
      <c r="G51" s="42"/>
      <c r="H51" s="42"/>
      <c r="I51" s="42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2:57" ht="15">
      <c r="B52" s="598"/>
      <c r="C52" s="349"/>
      <c r="D52" s="536"/>
      <c r="E52" s="530"/>
      <c r="F52" s="294"/>
      <c r="G52" s="42"/>
      <c r="H52" s="42"/>
      <c r="I52" s="42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98"/>
      <c r="C53" s="349"/>
      <c r="D53" s="534"/>
      <c r="E53" s="535"/>
      <c r="F53" s="294"/>
      <c r="G53" s="42"/>
      <c r="H53" s="42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.75" thickBot="1">
      <c r="B54" s="599"/>
      <c r="C54" s="350"/>
      <c r="D54" s="537"/>
      <c r="E54" s="538"/>
      <c r="F54" s="294" t="s">
        <v>165</v>
      </c>
      <c r="G54" s="42"/>
      <c r="H54" s="42"/>
      <c r="I54" s="42"/>
      <c r="J54" s="291" t="s">
        <v>148</v>
      </c>
      <c r="K54" s="324"/>
      <c r="L54" s="294"/>
      <c r="M54" s="294"/>
      <c r="N54" s="294" t="s">
        <v>41</v>
      </c>
      <c r="O54" s="294"/>
      <c r="P54" s="12"/>
      <c r="BC54" s="44"/>
      <c r="BD54" s="44"/>
    </row>
    <row r="55" spans="2:57" ht="17.649999999999999" customHeight="1" thickBot="1">
      <c r="B55" s="312" t="s">
        <v>139</v>
      </c>
      <c r="C55" s="313"/>
      <c r="D55" s="515"/>
      <c r="E55" s="516"/>
      <c r="F55" s="294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649999999999999" customHeight="1">
      <c r="B56" s="363"/>
      <c r="C56" s="364"/>
      <c r="D56" s="365"/>
      <c r="E56" s="365"/>
      <c r="F56" s="294"/>
      <c r="G56" s="42"/>
      <c r="H56" s="42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6" customHeight="1">
      <c r="B57" s="45"/>
      <c r="C57" s="11"/>
      <c r="D57" s="11"/>
      <c r="E57" s="46"/>
      <c r="F57" s="294"/>
      <c r="G57" s="42"/>
      <c r="H57" s="42"/>
      <c r="I57" s="42"/>
      <c r="J57" s="346" t="s">
        <v>130</v>
      </c>
      <c r="K57" s="324">
        <f>SUM(K47:K56)</f>
        <v>0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42"/>
      <c r="N58" s="315"/>
      <c r="P58" s="334"/>
    </row>
    <row r="59" spans="2:57" ht="15" customHeight="1" thickBot="1"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1"/>
      <c r="O59" s="48"/>
      <c r="P59" s="49"/>
    </row>
    <row r="60" spans="2:57" ht="15" customHeight="1" thickBot="1">
      <c r="B60" s="509" t="s">
        <v>17</v>
      </c>
      <c r="C60" s="509" t="s">
        <v>44</v>
      </c>
      <c r="D60" s="518" t="s">
        <v>45</v>
      </c>
      <c r="E60" s="520" t="s">
        <v>46</v>
      </c>
      <c r="F60" s="522" t="s">
        <v>47</v>
      </c>
      <c r="G60" s="507" t="s">
        <v>48</v>
      </c>
      <c r="H60" s="509" t="s">
        <v>49</v>
      </c>
      <c r="I60" s="509" t="s">
        <v>50</v>
      </c>
      <c r="J60" s="501" t="s">
        <v>28</v>
      </c>
      <c r="K60" s="511" t="s">
        <v>51</v>
      </c>
      <c r="L60" s="513" t="s">
        <v>52</v>
      </c>
      <c r="M60" s="501" t="s">
        <v>53</v>
      </c>
      <c r="N60" s="13"/>
      <c r="O60" s="13"/>
      <c r="P60" s="50"/>
    </row>
    <row r="61" spans="2:57" ht="28.5" customHeight="1" thickTop="1" thickBot="1">
      <c r="B61" s="510"/>
      <c r="C61" s="517"/>
      <c r="D61" s="519"/>
      <c r="E61" s="521"/>
      <c r="F61" s="523"/>
      <c r="G61" s="508"/>
      <c r="H61" s="510"/>
      <c r="I61" s="510"/>
      <c r="J61" s="502"/>
      <c r="K61" s="512"/>
      <c r="L61" s="514"/>
      <c r="M61" s="502"/>
      <c r="N61" s="13"/>
      <c r="O61" s="13"/>
      <c r="P61" s="50"/>
      <c r="Q61" s="355"/>
      <c r="AB61" s="474">
        <v>43474</v>
      </c>
      <c r="AC61" s="474">
        <v>43475</v>
      </c>
      <c r="AD61" s="474">
        <v>43476</v>
      </c>
      <c r="AE61" s="474">
        <v>43477</v>
      </c>
      <c r="AF61" s="474">
        <v>43478</v>
      </c>
      <c r="AG61" s="474">
        <v>43479</v>
      </c>
      <c r="AH61" s="474">
        <v>43480</v>
      </c>
      <c r="AI61" s="474">
        <v>43481</v>
      </c>
      <c r="AJ61" s="474">
        <v>43482</v>
      </c>
      <c r="AK61" s="474">
        <v>43483</v>
      </c>
      <c r="AL61" s="474">
        <v>43484</v>
      </c>
      <c r="AM61" s="474">
        <v>43485</v>
      </c>
      <c r="AN61" s="474">
        <v>43486</v>
      </c>
      <c r="AO61" s="474">
        <v>43487</v>
      </c>
      <c r="AP61" s="474">
        <v>43488</v>
      </c>
      <c r="AQ61" s="474">
        <v>43489</v>
      </c>
      <c r="AR61" s="474">
        <v>43490</v>
      </c>
      <c r="AS61" s="474">
        <v>43491</v>
      </c>
      <c r="AT61" s="474">
        <v>43492</v>
      </c>
      <c r="AU61" s="474">
        <v>43493</v>
      </c>
      <c r="AV61" s="474">
        <v>43494</v>
      </c>
      <c r="AW61" s="474">
        <v>43495</v>
      </c>
      <c r="AX61" s="474">
        <v>43496</v>
      </c>
    </row>
    <row r="62" spans="2:57" s="54" customFormat="1" ht="36.75" hidden="1" customHeight="1" thickBot="1">
      <c r="B62" s="455" t="str">
        <f>I33</f>
        <v>CARIB</v>
      </c>
      <c r="C62" s="478"/>
      <c r="D62" s="444"/>
      <c r="E62" s="442"/>
      <c r="F62" s="443"/>
      <c r="G62" s="443"/>
      <c r="H62" s="457"/>
      <c r="I62" s="457"/>
      <c r="J62" s="447" t="s">
        <v>181</v>
      </c>
      <c r="K62" s="448"/>
      <c r="L62" s="456" t="e">
        <f>(((D62+E62)-G62)/(D62+E62))*100</f>
        <v>#DIV/0!</v>
      </c>
      <c r="M62" s="454" t="s">
        <v>182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[21]January_2019!L5</f>
        <v>0</v>
      </c>
      <c r="AC62" s="57">
        <f>[21]January_2019!M5</f>
        <v>0</v>
      </c>
      <c r="AD62" s="57">
        <f>[21]January_2019!N5</f>
        <v>0</v>
      </c>
      <c r="AE62" s="57">
        <f>[21]January_2019!O5</f>
        <v>0</v>
      </c>
      <c r="AF62" s="57">
        <f>[21]January_2019!P5</f>
        <v>0</v>
      </c>
      <c r="AG62" s="57">
        <f>[21]January_2019!Q5</f>
        <v>0</v>
      </c>
      <c r="AH62" s="57">
        <f>[21]January_2019!R5</f>
        <v>0</v>
      </c>
      <c r="AI62" s="57">
        <f>[21]January_2019!S5</f>
        <v>0</v>
      </c>
      <c r="AJ62" s="57">
        <f>[21]January_2019!T5</f>
        <v>0</v>
      </c>
      <c r="AK62" s="57">
        <f>[21]January_2019!U5</f>
        <v>0</v>
      </c>
      <c r="AL62" s="57">
        <f>[21]January_2019!V5</f>
        <v>0</v>
      </c>
      <c r="AM62" s="57">
        <f>[21]January_2019!W5</f>
        <v>0</v>
      </c>
      <c r="AN62" s="57">
        <f>[21]January_2019!X5</f>
        <v>0</v>
      </c>
      <c r="AO62" s="57">
        <f>[21]January_2019!Y5</f>
        <v>0</v>
      </c>
      <c r="AP62" s="57">
        <f>[21]January_2019!Z5</f>
        <v>0</v>
      </c>
      <c r="AQ62" s="57">
        <f>[21]January_2019!AA5</f>
        <v>0</v>
      </c>
      <c r="AR62" s="57">
        <f>[21]January_2019!AB5</f>
        <v>0</v>
      </c>
      <c r="AS62" s="57">
        <f>[21]January_2019!AC5</f>
        <v>0</v>
      </c>
      <c r="AT62" s="57">
        <f>[21]January_2019!AD5</f>
        <v>0</v>
      </c>
      <c r="AU62" s="57">
        <f>[21]January_2019!AE5</f>
        <v>0</v>
      </c>
      <c r="AV62" s="57">
        <f>[21]January_2019!AF5</f>
        <v>0</v>
      </c>
      <c r="AW62" s="57">
        <f>[21]January_2019!AG5</f>
        <v>0</v>
      </c>
      <c r="AX62" s="277">
        <f>[21]January_2019!AH5</f>
        <v>0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4.25" hidden="1" customHeight="1" thickBot="1">
      <c r="B63" s="479"/>
      <c r="C63" s="478"/>
      <c r="D63" s="441"/>
      <c r="E63" s="442"/>
      <c r="F63" s="443"/>
      <c r="G63" s="444"/>
      <c r="H63" s="457"/>
      <c r="I63" s="457"/>
      <c r="J63" s="475"/>
      <c r="K63" s="448"/>
      <c r="L63" s="456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[21]January_2019!L6</f>
        <v>0</v>
      </c>
      <c r="AC63" s="57">
        <f>[21]January_2019!M6</f>
        <v>0</v>
      </c>
      <c r="AD63" s="57">
        <f>[21]January_2019!N6</f>
        <v>0</v>
      </c>
      <c r="AE63" s="57">
        <f>[21]January_2019!O6</f>
        <v>0</v>
      </c>
      <c r="AF63" s="57">
        <f>[21]January_2019!P6</f>
        <v>0</v>
      </c>
      <c r="AG63" s="57">
        <f>[21]January_2019!Q6</f>
        <v>0</v>
      </c>
      <c r="AH63" s="57">
        <f>[21]January_2019!R6</f>
        <v>0</v>
      </c>
      <c r="AI63" s="57">
        <f>[21]January_2019!S6</f>
        <v>0</v>
      </c>
      <c r="AJ63" s="57">
        <f>[21]January_2019!T6</f>
        <v>0</v>
      </c>
      <c r="AK63" s="57">
        <f>[21]January_2019!U6</f>
        <v>0</v>
      </c>
      <c r="AL63" s="57">
        <f>[21]January_2019!V6</f>
        <v>0</v>
      </c>
      <c r="AM63" s="57">
        <f>[21]January_2019!W6</f>
        <v>0</v>
      </c>
      <c r="AN63" s="57">
        <f>[21]January_2019!X6</f>
        <v>0</v>
      </c>
      <c r="AO63" s="57">
        <f>[21]January_2019!Y6</f>
        <v>0</v>
      </c>
      <c r="AP63" s="57">
        <f>[21]January_2019!Z6</f>
        <v>0</v>
      </c>
      <c r="AQ63" s="57">
        <f>[21]January_2019!AA6</f>
        <v>0</v>
      </c>
      <c r="AR63" s="57">
        <f>[21]January_2019!AB6</f>
        <v>0</v>
      </c>
      <c r="AS63" s="57">
        <f>[21]January_2019!AC6</f>
        <v>0</v>
      </c>
      <c r="AT63" s="57">
        <f>[21]January_2019!AD6</f>
        <v>0</v>
      </c>
      <c r="AU63" s="57">
        <f>[21]January_2019!AE6</f>
        <v>0</v>
      </c>
      <c r="AV63" s="57">
        <f>[21]January_2019!AF6</f>
        <v>0</v>
      </c>
      <c r="AW63" s="57">
        <f>[21]January_2019!AG6</f>
        <v>0</v>
      </c>
      <c r="AX63" s="277">
        <f>[21]January_2019!AH6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37.15" hidden="1" customHeight="1" thickBot="1">
      <c r="B64" s="496" t="str">
        <f>B81</f>
        <v>STARMALT</v>
      </c>
      <c r="C64" s="478"/>
      <c r="D64" s="441"/>
      <c r="E64" s="442"/>
      <c r="F64" s="443"/>
      <c r="G64" s="443"/>
      <c r="H64" s="445"/>
      <c r="I64" s="445"/>
      <c r="J64" s="447" t="s">
        <v>173</v>
      </c>
      <c r="K64" s="448"/>
      <c r="L64" s="497" t="e">
        <f>(((D64+E64)-G64)/(D64+E64))*100</f>
        <v>#DIV/0!</v>
      </c>
      <c r="M64" s="454" t="s">
        <v>171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[21]January_2019!L7</f>
        <v>285.8</v>
      </c>
      <c r="AC64" s="57">
        <f>[21]January_2019!M7</f>
        <v>508.1</v>
      </c>
      <c r="AD64" s="57">
        <f>[21]January_2019!N7</f>
        <v>0</v>
      </c>
      <c r="AE64" s="57">
        <f>[21]January_2019!O7</f>
        <v>0</v>
      </c>
      <c r="AF64" s="57">
        <f>[21]January_2019!P7</f>
        <v>109.56666666666666</v>
      </c>
      <c r="AG64" s="57">
        <f>[21]January_2019!Q7</f>
        <v>297.64999999999998</v>
      </c>
      <c r="AH64" s="57">
        <f>[21]January_2019!R7</f>
        <v>122.3</v>
      </c>
      <c r="AI64" s="57">
        <f>[21]January_2019!S7</f>
        <v>0</v>
      </c>
      <c r="AJ64" s="57">
        <f>[21]January_2019!T7</f>
        <v>294.7</v>
      </c>
      <c r="AK64" s="57">
        <f>[21]January_2019!U7</f>
        <v>280.5</v>
      </c>
      <c r="AL64" s="57">
        <f>[21]January_2019!V7</f>
        <v>0</v>
      </c>
      <c r="AM64" s="57">
        <f>[21]January_2019!W7</f>
        <v>0</v>
      </c>
      <c r="AN64" s="57">
        <f>[21]January_2019!X7</f>
        <v>188.25</v>
      </c>
      <c r="AO64" s="57">
        <f>[21]January_2019!Y7</f>
        <v>295.7</v>
      </c>
      <c r="AP64" s="57">
        <f>[21]January_2019!Z7</f>
        <v>257.8</v>
      </c>
      <c r="AQ64" s="57">
        <f>[21]January_2019!AA7</f>
        <v>291.2</v>
      </c>
      <c r="AR64" s="57">
        <f>[21]January_2019!AB7</f>
        <v>187</v>
      </c>
      <c r="AS64" s="57">
        <f>[21]January_2019!AC7</f>
        <v>0</v>
      </c>
      <c r="AT64" s="57">
        <f>[21]January_2019!AD7</f>
        <v>0</v>
      </c>
      <c r="AU64" s="57">
        <f>[21]January_2019!AE7</f>
        <v>485.1</v>
      </c>
      <c r="AV64" s="57">
        <f>[21]January_2019!AF7</f>
        <v>171.55</v>
      </c>
      <c r="AW64" s="57">
        <f>[21]January_2019!AG7</f>
        <v>423.8</v>
      </c>
      <c r="AX64" s="277">
        <f>[21]January_2019!AH7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8.600000000000001" hidden="1" customHeight="1" thickBot="1">
      <c r="B65" s="477"/>
      <c r="C65" s="429"/>
      <c r="D65" s="430"/>
      <c r="E65" s="431"/>
      <c r="F65" s="432"/>
      <c r="G65" s="433"/>
      <c r="H65" s="457"/>
      <c r="I65" s="457"/>
      <c r="J65" s="450"/>
      <c r="K65" s="435"/>
      <c r="L65" s="451"/>
      <c r="M65" s="42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8.65" hidden="1" customHeight="1" thickBot="1">
      <c r="B66" s="486"/>
      <c r="C66" s="478"/>
      <c r="D66" s="441"/>
      <c r="E66" s="442"/>
      <c r="F66" s="443"/>
      <c r="G66" s="444"/>
      <c r="H66" s="457"/>
      <c r="I66" s="457"/>
      <c r="J66" s="447"/>
      <c r="K66" s="458"/>
      <c r="L66" s="456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5" hidden="1">
      <c r="B67" s="452"/>
      <c r="C67" s="429"/>
      <c r="D67" s="430"/>
      <c r="E67" s="431"/>
      <c r="F67" s="432"/>
      <c r="G67" s="433"/>
      <c r="H67" s="434"/>
      <c r="I67" s="449"/>
      <c r="J67" s="450"/>
      <c r="K67" s="435"/>
      <c r="L67" s="451"/>
      <c r="M67" s="42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hidden="1" customHeight="1" thickBot="1">
      <c r="B68" s="480"/>
      <c r="C68" s="478"/>
      <c r="D68" s="441"/>
      <c r="E68" s="442"/>
      <c r="F68" s="443"/>
      <c r="G68" s="444"/>
      <c r="H68" s="445"/>
      <c r="I68" s="446"/>
      <c r="J68" s="447"/>
      <c r="K68" s="448"/>
      <c r="L68" s="456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6.5" hidden="1" customHeight="1" thickBot="1">
      <c r="B69" s="436"/>
      <c r="C69" s="422"/>
      <c r="D69" s="423"/>
      <c r="E69" s="424"/>
      <c r="F69" s="425"/>
      <c r="G69" s="426"/>
      <c r="H69" s="427"/>
      <c r="I69" s="437"/>
      <c r="J69" s="438"/>
      <c r="K69" s="428"/>
      <c r="L69" s="439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4"/>
      <c r="AC69" s="414"/>
      <c r="AD69" s="414"/>
      <c r="AE69" s="414"/>
      <c r="AF69" s="414"/>
      <c r="AG69" s="414"/>
      <c r="AH69" s="414"/>
      <c r="AI69" s="414"/>
      <c r="AJ69" s="414"/>
      <c r="AK69" s="414"/>
      <c r="AL69" s="414"/>
      <c r="AM69" s="414"/>
      <c r="AN69" s="414"/>
      <c r="AO69" s="414"/>
      <c r="AP69" s="414"/>
      <c r="AQ69" s="414"/>
      <c r="AR69" s="414"/>
      <c r="AS69" s="414"/>
      <c r="AT69" s="414"/>
      <c r="AU69" s="414"/>
      <c r="AV69" s="414"/>
      <c r="AW69" s="414"/>
    </row>
    <row r="70" spans="2:57" s="54" customFormat="1" ht="37.15" hidden="1" customHeight="1" thickBot="1">
      <c r="B70" s="455"/>
      <c r="C70" s="440"/>
      <c r="D70" s="441"/>
      <c r="E70" s="442"/>
      <c r="F70" s="443"/>
      <c r="G70" s="444"/>
      <c r="H70" s="445"/>
      <c r="I70" s="446"/>
      <c r="J70" s="447"/>
      <c r="K70" s="448"/>
      <c r="L70" s="456"/>
      <c r="M70" s="453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37.15" customHeight="1">
      <c r="B71" s="465"/>
      <c r="C71" s="429"/>
      <c r="D71" s="459"/>
      <c r="E71" s="460"/>
      <c r="F71" s="461"/>
      <c r="G71" s="459"/>
      <c r="H71" s="462"/>
      <c r="I71" s="462"/>
      <c r="J71" s="462"/>
      <c r="K71" s="463"/>
      <c r="L71" s="464"/>
      <c r="M71" s="50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5.75" thickBot="1">
      <c r="B73" s="503" t="s">
        <v>55</v>
      </c>
      <c r="C73" s="504"/>
      <c r="D73" s="504"/>
      <c r="E73" s="504"/>
      <c r="F73" s="505"/>
      <c r="G73" s="503" t="s">
        <v>56</v>
      </c>
      <c r="H73" s="504"/>
      <c r="I73" s="504"/>
      <c r="J73" s="505"/>
      <c r="K73" s="503" t="s">
        <v>51</v>
      </c>
      <c r="L73" s="504"/>
      <c r="M73" s="504"/>
      <c r="N73" s="506"/>
      <c r="O73" s="56"/>
      <c r="P73" s="50"/>
    </row>
    <row r="74" spans="2:57" ht="15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 ht="15">
      <c r="B75" s="29" t="s">
        <v>6</v>
      </c>
      <c r="C75" s="65"/>
      <c r="D75" s="76">
        <v>5.1380368098159286</v>
      </c>
      <c r="E75" s="76">
        <v>6.3127517932078288</v>
      </c>
      <c r="F75" s="66">
        <v>4.8</v>
      </c>
      <c r="G75" s="65"/>
      <c r="H75" s="476">
        <v>6.1912025202534187</v>
      </c>
      <c r="I75" s="476">
        <v>6.4948937016600619</v>
      </c>
      <c r="J75" s="66">
        <v>4.8</v>
      </c>
      <c r="K75" s="67"/>
      <c r="L75" s="194">
        <v>0.81309941520467832</v>
      </c>
      <c r="M75" s="194">
        <v>0.56514650424210722</v>
      </c>
      <c r="N75" s="68">
        <v>1</v>
      </c>
      <c r="O75" s="56"/>
      <c r="P75" s="69"/>
    </row>
    <row r="76" spans="2:57" ht="15">
      <c r="B76" s="33" t="s">
        <v>9</v>
      </c>
      <c r="C76" s="65"/>
      <c r="D76" s="76">
        <v>6.0660124888492515</v>
      </c>
      <c r="E76" s="76">
        <v>6.0361392885041862</v>
      </c>
      <c r="F76" s="66">
        <v>4.8</v>
      </c>
      <c r="G76" s="65"/>
      <c r="H76" s="76">
        <v>6.1640340624899466</v>
      </c>
      <c r="I76" s="76">
        <v>5.9396439464574318</v>
      </c>
      <c r="J76" s="66">
        <v>4.8</v>
      </c>
      <c r="K76" s="67"/>
      <c r="L76" s="194">
        <v>0.71087719298245611</v>
      </c>
      <c r="M76" s="194">
        <v>0.68437301751248969</v>
      </c>
      <c r="N76" s="68">
        <v>1</v>
      </c>
      <c r="P76" s="69"/>
    </row>
    <row r="77" spans="2:57" ht="15">
      <c r="B77" s="34" t="s">
        <v>40</v>
      </c>
      <c r="C77" s="65"/>
      <c r="D77" s="76">
        <v>7.2586328400281719</v>
      </c>
      <c r="E77" s="76">
        <v>10.57086906945613</v>
      </c>
      <c r="F77" s="66">
        <v>5.5</v>
      </c>
      <c r="G77" s="65"/>
      <c r="H77" s="76">
        <v>8.3572982592313725</v>
      </c>
      <c r="I77" s="76">
        <v>11.49802517103547</v>
      </c>
      <c r="J77" s="66">
        <v>5.5</v>
      </c>
      <c r="K77" s="67"/>
      <c r="L77" s="194">
        <v>1.385263157894737</v>
      </c>
      <c r="M77" s="194">
        <v>0.42247265385686439</v>
      </c>
      <c r="N77" s="68">
        <v>1</v>
      </c>
      <c r="P77" s="69"/>
    </row>
    <row r="78" spans="2:57" ht="15">
      <c r="B78" s="22" t="s">
        <v>33</v>
      </c>
      <c r="C78" s="65"/>
      <c r="D78" s="76">
        <v>2.6160971335586405</v>
      </c>
      <c r="E78" s="76">
        <v>4.6053599467161712</v>
      </c>
      <c r="F78" s="66">
        <v>3.3</v>
      </c>
      <c r="G78" s="65"/>
      <c r="H78" s="76">
        <v>4.6522194119603313</v>
      </c>
      <c r="I78" s="76">
        <v>4.8325383920386296</v>
      </c>
      <c r="J78" s="66">
        <v>3.3</v>
      </c>
      <c r="K78" s="67"/>
      <c r="L78" s="194">
        <v>1.1878947368421053</v>
      </c>
      <c r="M78" s="194">
        <v>0.8473099415204679</v>
      </c>
      <c r="N78" s="68">
        <v>1</v>
      </c>
      <c r="P78" s="69"/>
    </row>
    <row r="79" spans="2:57" ht="15">
      <c r="B79" s="35" t="s">
        <v>164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K79" s="67"/>
      <c r="L79" s="194"/>
      <c r="M79" s="194"/>
      <c r="N79" s="68">
        <v>1</v>
      </c>
      <c r="P79" s="69"/>
    </row>
    <row r="80" spans="2:57" ht="15">
      <c r="B80" s="36" t="s">
        <v>15</v>
      </c>
      <c r="C80" s="65"/>
      <c r="D80" s="76"/>
      <c r="E80" s="76">
        <v>6.3233965672990236</v>
      </c>
      <c r="F80" s="70">
        <v>5.5</v>
      </c>
      <c r="G80" s="65"/>
      <c r="H80" s="76"/>
      <c r="I80" s="76">
        <v>7.9667553186446929</v>
      </c>
      <c r="J80" s="66">
        <v>5.5</v>
      </c>
      <c r="K80" s="67"/>
      <c r="L80" s="194"/>
      <c r="M80" s="194">
        <v>0.5883625730994152</v>
      </c>
      <c r="N80" s="68">
        <v>1</v>
      </c>
      <c r="P80" s="69"/>
    </row>
    <row r="81" spans="2:16" ht="15">
      <c r="B81" s="37" t="s">
        <v>16</v>
      </c>
      <c r="C81" s="481"/>
      <c r="D81" s="76">
        <v>0.84622823984524742</v>
      </c>
      <c r="E81" s="76">
        <v>3.7586797925639486</v>
      </c>
      <c r="F81" s="66">
        <v>3.3</v>
      </c>
      <c r="G81" s="282"/>
      <c r="H81" s="76">
        <v>4.0067212349015007</v>
      </c>
      <c r="I81" s="76">
        <v>5.0257518320273871</v>
      </c>
      <c r="J81" s="66">
        <v>3.3</v>
      </c>
      <c r="K81" s="67"/>
      <c r="L81" s="194">
        <v>0.71947368421052638</v>
      </c>
      <c r="M81" s="194">
        <v>0.87835004177109433</v>
      </c>
      <c r="N81" s="71">
        <v>1</v>
      </c>
      <c r="P81" s="69"/>
    </row>
    <row r="82" spans="2:16" ht="15.75" thickBot="1">
      <c r="B82" s="38" t="s">
        <v>163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5.75" thickBot="1">
      <c r="B83" s="413" t="s">
        <v>161</v>
      </c>
      <c r="C83" s="65"/>
      <c r="D83" s="76"/>
      <c r="E83" s="76"/>
      <c r="F83" s="66">
        <v>4.8</v>
      </c>
      <c r="G83" s="282"/>
      <c r="H83" s="76"/>
      <c r="I83" s="76"/>
      <c r="J83" s="66">
        <v>4.8</v>
      </c>
      <c r="K83" s="67"/>
      <c r="L83" s="194"/>
      <c r="M83" s="194"/>
      <c r="N83" s="71">
        <v>1</v>
      </c>
      <c r="O83" s="74"/>
      <c r="P83" s="75"/>
    </row>
    <row r="84" spans="2:16" ht="15">
      <c r="D84" s="76">
        <v>4.9528406127626257</v>
      </c>
      <c r="E84" s="76">
        <v>6.248559970947877</v>
      </c>
      <c r="F84" s="341">
        <v>5.5</v>
      </c>
      <c r="H84" s="76">
        <v>5.963225048197593</v>
      </c>
      <c r="I84" s="76">
        <v>6.5931867160290176</v>
      </c>
      <c r="J84" s="341">
        <v>5.5</v>
      </c>
      <c r="L84" s="194">
        <v>0.86429174788823926</v>
      </c>
      <c r="M84" s="194">
        <v>0.61886050467768883</v>
      </c>
      <c r="N8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B45:B54"/>
    <mergeCell ref="D45:E46"/>
    <mergeCell ref="J45:K45"/>
    <mergeCell ref="L46:N46"/>
    <mergeCell ref="D47:E48"/>
    <mergeCell ref="D49:E50"/>
    <mergeCell ref="D51:E52"/>
    <mergeCell ref="D53:E54"/>
    <mergeCell ref="D55:E55"/>
    <mergeCell ref="B60:B61"/>
    <mergeCell ref="C60:C61"/>
    <mergeCell ref="D60:D61"/>
    <mergeCell ref="E60:E61"/>
    <mergeCell ref="M60:M61"/>
    <mergeCell ref="B73:F73"/>
    <mergeCell ref="G73:J73"/>
    <mergeCell ref="K73:N73"/>
    <mergeCell ref="G60:G61"/>
    <mergeCell ref="H60:H61"/>
    <mergeCell ref="I60:I61"/>
    <mergeCell ref="J60:J61"/>
    <mergeCell ref="K60:K61"/>
    <mergeCell ref="L60:L61"/>
    <mergeCell ref="F60:F61"/>
  </mergeCells>
  <conditionalFormatting sqref="B55:B56">
    <cfRule type="cellIs" dxfId="769" priority="114" operator="notBetween">
      <formula>#REF!</formula>
      <formula>#REF!</formula>
    </cfRule>
  </conditionalFormatting>
  <conditionalFormatting sqref="C59">
    <cfRule type="cellIs" dxfId="768" priority="197" stopIfTrue="1" operator="greaterThan">
      <formula>100</formula>
    </cfRule>
    <cfRule type="cellIs" dxfId="767" priority="196" stopIfTrue="1" operator="lessThan">
      <formula>96</formula>
    </cfRule>
  </conditionalFormatting>
  <conditionalFormatting sqref="C75:C76">
    <cfRule type="cellIs" dxfId="766" priority="78" stopIfTrue="1" operator="lessThanOrEqual">
      <formula>0</formula>
    </cfRule>
    <cfRule type="cellIs" dxfId="765" priority="77" stopIfTrue="1" operator="greaterThan">
      <formula>$F75</formula>
    </cfRule>
    <cfRule type="cellIs" dxfId="764" priority="79" stopIfTrue="1" operator="greaterThan">
      <formula>$F75</formula>
    </cfRule>
    <cfRule type="cellIs" dxfId="763" priority="80" stopIfTrue="1" operator="lessThanOrEqual">
      <formula>0</formula>
    </cfRule>
  </conditionalFormatting>
  <conditionalFormatting sqref="C77:C79 C81:C83">
    <cfRule type="cellIs" dxfId="762" priority="86" stopIfTrue="1" operator="greaterThan">
      <formula>$F80</formula>
    </cfRule>
  </conditionalFormatting>
  <conditionalFormatting sqref="C77:C79">
    <cfRule type="cellIs" dxfId="761" priority="87" stopIfTrue="1" operator="lessThanOrEqual">
      <formula>0</formula>
    </cfRule>
  </conditionalFormatting>
  <conditionalFormatting sqref="C80">
    <cfRule type="cellIs" dxfId="760" priority="201" stopIfTrue="1" operator="lessThanOrEqual">
      <formula>0</formula>
    </cfRule>
    <cfRule type="cellIs" dxfId="759" priority="200" stopIfTrue="1" operator="greaterThan">
      <formula>$F75</formula>
    </cfRule>
    <cfRule type="cellIs" dxfId="758" priority="199" stopIfTrue="1" operator="lessThanOrEqual">
      <formula>0</formula>
    </cfRule>
    <cfRule type="cellIs" dxfId="757" priority="198" stopIfTrue="1" operator="greaterThan">
      <formula>$F75</formula>
    </cfRule>
  </conditionalFormatting>
  <conditionalFormatting sqref="C81:C83">
    <cfRule type="cellIs" dxfId="756" priority="88" stopIfTrue="1" operator="lessThanOrEqual">
      <formula>0</formula>
    </cfRule>
  </conditionalFormatting>
  <conditionalFormatting sqref="C86:C90">
    <cfRule type="cellIs" dxfId="755" priority="188" stopIfTrue="1" operator="lessThanOrEqual">
      <formula>0</formula>
    </cfRule>
  </conditionalFormatting>
  <conditionalFormatting sqref="C87:C90">
    <cfRule type="cellIs" dxfId="754" priority="187" stopIfTrue="1" operator="greaterThan">
      <formula>$F$86</formula>
    </cfRule>
  </conditionalFormatting>
  <conditionalFormatting sqref="C92">
    <cfRule type="cellIs" dxfId="753" priority="189" stopIfTrue="1" operator="greaterThan">
      <formula>$F$86</formula>
    </cfRule>
    <cfRule type="cellIs" dxfId="752" priority="190" stopIfTrue="1" operator="lessThanOrEqual">
      <formula>0</formula>
    </cfRule>
  </conditionalFormatting>
  <conditionalFormatting sqref="C80:D80">
    <cfRule type="cellIs" dxfId="751" priority="76" stopIfTrue="1" operator="lessThanOrEqual">
      <formula>0</formula>
    </cfRule>
    <cfRule type="cellIs" dxfId="750" priority="75" stopIfTrue="1" operator="greaterThan">
      <formula>$J80</formula>
    </cfRule>
  </conditionalFormatting>
  <conditionalFormatting sqref="C86:D86 D88:D94">
    <cfRule type="cellIs" dxfId="749" priority="182" stopIfTrue="1" operator="greaterThan">
      <formula>4.5</formula>
    </cfRule>
  </conditionalFormatting>
  <conditionalFormatting sqref="D55:D56">
    <cfRule type="cellIs" dxfId="748" priority="115" operator="notBetween">
      <formula>#REF!</formula>
      <formula>#REF!</formula>
    </cfRule>
  </conditionalFormatting>
  <conditionalFormatting sqref="D75:D79 D81:D82">
    <cfRule type="cellIs" dxfId="747" priority="85" stopIfTrue="1" operator="lessThanOrEqual">
      <formula>0</formula>
    </cfRule>
  </conditionalFormatting>
  <conditionalFormatting sqref="D75:D79 D81:D84">
    <cfRule type="cellIs" dxfId="746" priority="82" stopIfTrue="1" operator="greaterThan">
      <formula>$F75</formula>
    </cfRule>
    <cfRule type="cellIs" dxfId="745" priority="81" stopIfTrue="1" operator="lessThanOrEqual">
      <formula>0</formula>
    </cfRule>
  </conditionalFormatting>
  <conditionalFormatting sqref="D83:D84">
    <cfRule type="cellIs" dxfId="744" priority="83" stopIfTrue="1" operator="lessThanOrEqual">
      <formula>0</formula>
    </cfRule>
  </conditionalFormatting>
  <conditionalFormatting sqref="D84">
    <cfRule type="cellIs" dxfId="743" priority="84" stopIfTrue="1" operator="lessThanOrEqual">
      <formula>0</formula>
    </cfRule>
  </conditionalFormatting>
  <conditionalFormatting sqref="D86 D88:D94">
    <cfRule type="cellIs" dxfId="742" priority="183" stopIfTrue="1" operator="lessThanOrEqual">
      <formula>0</formula>
    </cfRule>
  </conditionalFormatting>
  <conditionalFormatting sqref="D87">
    <cfRule type="cellIs" dxfId="741" priority="175" stopIfTrue="1" operator="lessThanOrEqual">
      <formula>0</formula>
    </cfRule>
    <cfRule type="cellIs" dxfId="740" priority="174" stopIfTrue="1" operator="greaterThan">
      <formula>$F$86</formula>
    </cfRule>
  </conditionalFormatting>
  <conditionalFormatting sqref="E10:E30">
    <cfRule type="cellIs" dxfId="739" priority="7" operator="lessThan">
      <formula>48</formula>
    </cfRule>
  </conditionalFormatting>
  <conditionalFormatting sqref="E58 E59:F59">
    <cfRule type="cellIs" dxfId="738" priority="179" stopIfTrue="1" operator="greaterThan">
      <formula>100</formula>
    </cfRule>
  </conditionalFormatting>
  <conditionalFormatting sqref="E59">
    <cfRule type="cellIs" dxfId="737" priority="177" stopIfTrue="1" operator="greaterThan">
      <formula>100</formula>
    </cfRule>
    <cfRule type="cellIs" dxfId="736" priority="176" stopIfTrue="1" operator="lessThan">
      <formula>96.8</formula>
    </cfRule>
  </conditionalFormatting>
  <conditionalFormatting sqref="E75:E83">
    <cfRule type="cellIs" dxfId="735" priority="48" stopIfTrue="1" operator="lessThanOrEqual">
      <formula>0</formula>
    </cfRule>
  </conditionalFormatting>
  <conditionalFormatting sqref="E75:E84">
    <cfRule type="cellIs" dxfId="734" priority="49" stopIfTrue="1" operator="greaterThan">
      <formula>$F75</formula>
    </cfRule>
    <cfRule type="cellIs" dxfId="733" priority="50" stopIfTrue="1" operator="lessThanOrEqual">
      <formula>0</formula>
    </cfRule>
  </conditionalFormatting>
  <conditionalFormatting sqref="E84">
    <cfRule type="cellIs" dxfId="732" priority="51" stopIfTrue="1" operator="lessThanOrEqual">
      <formula>0</formula>
    </cfRule>
  </conditionalFormatting>
  <conditionalFormatting sqref="E86:E94">
    <cfRule type="cellIs" dxfId="731" priority="169" stopIfTrue="1" operator="lessThanOrEqual">
      <formula>0</formula>
    </cfRule>
    <cfRule type="cellIs" dxfId="730" priority="168" stopIfTrue="1" operator="greaterThan">
      <formula>4.5</formula>
    </cfRule>
  </conditionalFormatting>
  <conditionalFormatting sqref="E59:F59 E58">
    <cfRule type="cellIs" dxfId="729" priority="178" stopIfTrue="1" operator="lessThan">
      <formula>96.5</formula>
    </cfRule>
  </conditionalFormatting>
  <conditionalFormatting sqref="F10:F30">
    <cfRule type="cellIs" dxfId="728" priority="8" operator="greaterThan">
      <formula>60</formula>
    </cfRule>
  </conditionalFormatting>
  <conditionalFormatting sqref="F59">
    <cfRule type="cellIs" dxfId="727" priority="194" stopIfTrue="1" operator="lessThan">
      <formula>96.8</formula>
    </cfRule>
    <cfRule type="cellIs" dxfId="726" priority="195" stopIfTrue="1" operator="greaterThan">
      <formula>100</formula>
    </cfRule>
  </conditionalFormatting>
  <conditionalFormatting sqref="G30">
    <cfRule type="expression" dxfId="725" priority="25">
      <formula>IF(+(IF(G30&lt;S30,0,IF(G30&gt;T30,0,1)))=0,1)</formula>
    </cfRule>
  </conditionalFormatting>
  <conditionalFormatting sqref="G75:G78 F84">
    <cfRule type="cellIs" dxfId="724" priority="57" stopIfTrue="1" operator="greaterThan">
      <formula>$F75</formula>
    </cfRule>
    <cfRule type="cellIs" dxfId="723" priority="58" stopIfTrue="1" operator="lessThanOrEqual">
      <formula>0</formula>
    </cfRule>
  </conditionalFormatting>
  <conditionalFormatting sqref="G77:G78">
    <cfRule type="cellIs" dxfId="722" priority="43" stopIfTrue="1" operator="greaterThan">
      <formula>$F77</formula>
    </cfRule>
    <cfRule type="cellIs" dxfId="721" priority="44" stopIfTrue="1" operator="lessThanOrEqual">
      <formula>0</formula>
    </cfRule>
  </conditionalFormatting>
  <conditionalFormatting sqref="G79:G83">
    <cfRule type="cellIs" dxfId="720" priority="60" stopIfTrue="1" operator="lessThanOrEqual">
      <formula>0</formula>
    </cfRule>
    <cfRule type="cellIs" dxfId="719" priority="59" stopIfTrue="1" operator="greaterThan">
      <formula>$J79</formula>
    </cfRule>
  </conditionalFormatting>
  <conditionalFormatting sqref="G80">
    <cfRule type="cellIs" dxfId="718" priority="202" stopIfTrue="1" operator="greaterThan">
      <formula>$F75</formula>
    </cfRule>
    <cfRule type="cellIs" dxfId="717" priority="203" stopIfTrue="1" operator="lessThanOrEqual">
      <formula>0</formula>
    </cfRule>
  </conditionalFormatting>
  <conditionalFormatting sqref="G88:G93 C91 C93">
    <cfRule type="cellIs" dxfId="716" priority="192" stopIfTrue="1" operator="lessThanOrEqual">
      <formula>0</formula>
    </cfRule>
    <cfRule type="cellIs" dxfId="715" priority="191" stopIfTrue="1" operator="greaterThan">
      <formula>4.5</formula>
    </cfRule>
  </conditionalFormatting>
  <conditionalFormatting sqref="G10:H17 M10:N29">
    <cfRule type="expression" dxfId="714" priority="10">
      <formula>IF(+(IF(G10&lt;#REF!,0,IF(G10&gt;#REF!,0,1)))=0,1)</formula>
    </cfRule>
  </conditionalFormatting>
  <conditionalFormatting sqref="G87:H87">
    <cfRule type="cellIs" dxfId="713" priority="173" stopIfTrue="1" operator="lessThanOrEqual">
      <formula>0</formula>
    </cfRule>
    <cfRule type="cellIs" dxfId="712" priority="172" stopIfTrue="1" operator="greaterThan">
      <formula>$F$86</formula>
    </cfRule>
  </conditionalFormatting>
  <conditionalFormatting sqref="H18:H30">
    <cfRule type="expression" dxfId="711" priority="23">
      <formula>IF(+(IF(H18&lt;#REF!,0,IF(H18&gt;#REF!,0,1)))=0,1)</formula>
    </cfRule>
  </conditionalFormatting>
  <conditionalFormatting sqref="H44:H45 H58">
    <cfRule type="cellIs" dxfId="710" priority="170" stopIfTrue="1" operator="greaterThan">
      <formula>0</formula>
    </cfRule>
  </conditionalFormatting>
  <conditionalFormatting sqref="H62">
    <cfRule type="cellIs" dxfId="709" priority="72" stopIfTrue="1" operator="lessThanOrEqual">
      <formula>0</formula>
    </cfRule>
    <cfRule type="cellIs" dxfId="708" priority="71" stopIfTrue="1" operator="greaterThan">
      <formula>$F$78</formula>
    </cfRule>
    <cfRule type="cellIs" dxfId="707" priority="62" stopIfTrue="1" operator="lessThanOrEqual">
      <formula>0</formula>
    </cfRule>
    <cfRule type="cellIs" dxfId="706" priority="73" stopIfTrue="1" operator="greaterThan">
      <formula>$F$76</formula>
    </cfRule>
    <cfRule type="cellIs" dxfId="705" priority="63" stopIfTrue="1" operator="greaterThan">
      <formula>$F$75</formula>
    </cfRule>
  </conditionalFormatting>
  <conditionalFormatting sqref="H62:H63">
    <cfRule type="cellIs" dxfId="704" priority="74" stopIfTrue="1" operator="lessThanOrEqual">
      <formula>0</formula>
    </cfRule>
  </conditionalFormatting>
  <conditionalFormatting sqref="H63 H65:H66">
    <cfRule type="cellIs" dxfId="703" priority="100" stopIfTrue="1" operator="lessThanOrEqual">
      <formula>0</formula>
    </cfRule>
  </conditionalFormatting>
  <conditionalFormatting sqref="H63">
    <cfRule type="cellIs" dxfId="702" priority="89" stopIfTrue="1" operator="greaterThan">
      <formula>$F$75</formula>
    </cfRule>
    <cfRule type="cellIs" dxfId="701" priority="98" stopIfTrue="1" operator="lessThanOrEqual">
      <formula>0</formula>
    </cfRule>
    <cfRule type="cellIs" dxfId="700" priority="97" stopIfTrue="1" operator="greaterThan">
      <formula>$F$78</formula>
    </cfRule>
    <cfRule type="cellIs" dxfId="699" priority="99" stopIfTrue="1" operator="greaterThan">
      <formula>$F$76</formula>
    </cfRule>
  </conditionalFormatting>
  <conditionalFormatting sqref="H64">
    <cfRule type="cellIs" dxfId="698" priority="41" stopIfTrue="1" operator="lessThanOrEqual">
      <formula>0</formula>
    </cfRule>
    <cfRule type="cellIs" dxfId="697" priority="29" stopIfTrue="1" operator="lessThanOrEqual">
      <formula>0</formula>
    </cfRule>
    <cfRule type="cellIs" dxfId="696" priority="30" stopIfTrue="1" operator="greaterThan">
      <formula>$F$77</formula>
    </cfRule>
    <cfRule type="cellIs" dxfId="695" priority="38" stopIfTrue="1" operator="greaterThan">
      <formula>$F$80</formula>
    </cfRule>
    <cfRule type="cellIs" dxfId="694" priority="39" stopIfTrue="1" operator="lessThanOrEqual">
      <formula>0</formula>
    </cfRule>
    <cfRule type="cellIs" dxfId="693" priority="40" stopIfTrue="1" operator="greaterThan">
      <formula>$F$78</formula>
    </cfRule>
  </conditionalFormatting>
  <conditionalFormatting sqref="H65:H66">
    <cfRule type="cellIs" dxfId="692" priority="102" stopIfTrue="1" operator="greaterThan">
      <formula>$F$75</formula>
    </cfRule>
    <cfRule type="cellIs" dxfId="691" priority="113" stopIfTrue="1" operator="lessThanOrEqual">
      <formula>0</formula>
    </cfRule>
    <cfRule type="cellIs" dxfId="690" priority="112" stopIfTrue="1" operator="greaterThan">
      <formula>$F$76</formula>
    </cfRule>
    <cfRule type="cellIs" dxfId="689" priority="111" stopIfTrue="1" operator="lessThanOrEqual">
      <formula>0</formula>
    </cfRule>
    <cfRule type="cellIs" dxfId="688" priority="110" stopIfTrue="1" operator="greaterThan">
      <formula>$F$78</formula>
    </cfRule>
  </conditionalFormatting>
  <conditionalFormatting sqref="H67:H68">
    <cfRule type="cellIs" dxfId="687" priority="138" stopIfTrue="1" operator="greaterThan">
      <formula>#REF!</formula>
    </cfRule>
    <cfRule type="cellIs" dxfId="686" priority="137" stopIfTrue="1" operator="lessThanOrEqual">
      <formula>0</formula>
    </cfRule>
    <cfRule type="cellIs" dxfId="685" priority="147" stopIfTrue="1" operator="lessThanOrEqual">
      <formula>0</formula>
    </cfRule>
    <cfRule type="cellIs" dxfId="684" priority="146" stopIfTrue="1" operator="greaterThan">
      <formula>#REF!</formula>
    </cfRule>
  </conditionalFormatting>
  <conditionalFormatting sqref="H69">
    <cfRule type="cellIs" dxfId="683" priority="160" stopIfTrue="1" operator="greaterThan">
      <formula>$F$44</formula>
    </cfRule>
    <cfRule type="cellIs" dxfId="682" priority="159" stopIfTrue="1" operator="lessThanOrEqual">
      <formula>0</formula>
    </cfRule>
    <cfRule type="cellIs" dxfId="681" priority="161" stopIfTrue="1" operator="lessThanOrEqual">
      <formula>0</formula>
    </cfRule>
    <cfRule type="cellIs" dxfId="680" priority="150" stopIfTrue="1" operator="greaterThan">
      <formula>$F$43</formula>
    </cfRule>
    <cfRule type="cellIs" dxfId="679" priority="149" stopIfTrue="1" operator="lessThanOrEqual">
      <formula>0</formula>
    </cfRule>
    <cfRule type="cellIs" dxfId="678" priority="158" stopIfTrue="1" operator="greaterThan">
      <formula>$F$46</formula>
    </cfRule>
  </conditionalFormatting>
  <conditionalFormatting sqref="H70:H71">
    <cfRule type="cellIs" dxfId="677" priority="134" stopIfTrue="1" operator="greaterThan">
      <formula>#REF!</formula>
    </cfRule>
    <cfRule type="cellIs" dxfId="676" priority="126" stopIfTrue="1" operator="greaterThan">
      <formula>#REF!</formula>
    </cfRule>
    <cfRule type="cellIs" dxfId="675" priority="135" stopIfTrue="1" operator="lessThanOrEqual">
      <formula>0</formula>
    </cfRule>
    <cfRule type="cellIs" dxfId="674" priority="125" stopIfTrue="1" operator="lessThanOrEqual">
      <formula>0</formula>
    </cfRule>
  </conditionalFormatting>
  <conditionalFormatting sqref="H86 H88:H94">
    <cfRule type="cellIs" dxfId="673" priority="184" stopIfTrue="1" operator="greaterThan">
      <formula>4.5</formula>
    </cfRule>
    <cfRule type="cellIs" dxfId="672" priority="185" stopIfTrue="1" operator="lessThanOrEqual">
      <formula>0</formula>
    </cfRule>
  </conditionalFormatting>
  <conditionalFormatting sqref="H62:I62">
    <cfRule type="cellIs" dxfId="671" priority="64" stopIfTrue="1" operator="lessThanOrEqual">
      <formula>0</formula>
    </cfRule>
  </conditionalFormatting>
  <conditionalFormatting sqref="H62:I63 H65:I66">
    <cfRule type="cellIs" dxfId="670" priority="61" stopIfTrue="1" operator="greaterThan">
      <formula>$F$77</formula>
    </cfRule>
  </conditionalFormatting>
  <conditionalFormatting sqref="H63:I63">
    <cfRule type="cellIs" dxfId="669" priority="90" stopIfTrue="1" operator="lessThanOrEqual">
      <formula>0</formula>
    </cfRule>
  </conditionalFormatting>
  <conditionalFormatting sqref="H64:I64">
    <cfRule type="cellIs" dxfId="668" priority="31" stopIfTrue="1" operator="lessThanOrEqual">
      <formula>0</formula>
    </cfRule>
    <cfRule type="cellIs" dxfId="667" priority="28" stopIfTrue="1" operator="greaterThan">
      <formula>$F$79</formula>
    </cfRule>
  </conditionalFormatting>
  <conditionalFormatting sqref="H65:I66">
    <cfRule type="cellIs" dxfId="666" priority="103" stopIfTrue="1" operator="lessThanOrEqual">
      <formula>0</formula>
    </cfRule>
  </conditionalFormatting>
  <conditionalFormatting sqref="H67:I68">
    <cfRule type="cellIs" dxfId="665" priority="139" stopIfTrue="1" operator="lessThanOrEqual">
      <formula>0</formula>
    </cfRule>
    <cfRule type="cellIs" dxfId="664" priority="136" stopIfTrue="1" operator="greaterThan">
      <formula>#REF!</formula>
    </cfRule>
    <cfRule type="cellIs" dxfId="663" priority="144" stopIfTrue="1" operator="greaterThan">
      <formula>#REF!</formula>
    </cfRule>
    <cfRule type="cellIs" dxfId="662" priority="145" stopIfTrue="1" operator="lessThanOrEqual">
      <formula>0</formula>
    </cfRule>
  </conditionalFormatting>
  <conditionalFormatting sqref="H69:I69">
    <cfRule type="cellIs" dxfId="661" priority="151" stopIfTrue="1" operator="lessThanOrEqual">
      <formula>0</formula>
    </cfRule>
    <cfRule type="cellIs" dxfId="660" priority="148" stopIfTrue="1" operator="greaterThan">
      <formula>$F$45</formula>
    </cfRule>
  </conditionalFormatting>
  <conditionalFormatting sqref="H70:I71">
    <cfRule type="cellIs" dxfId="659" priority="127" stopIfTrue="1" operator="lessThanOrEqual">
      <formula>0</formula>
    </cfRule>
    <cfRule type="cellIs" dxfId="658" priority="133" stopIfTrue="1" operator="lessThanOrEqual">
      <formula>0</formula>
    </cfRule>
    <cfRule type="cellIs" dxfId="657" priority="132" stopIfTrue="1" operator="greaterThan">
      <formula>#REF!</formula>
    </cfRule>
    <cfRule type="cellIs" dxfId="656" priority="124" stopIfTrue="1" operator="greaterThan">
      <formula>#REF!</formula>
    </cfRule>
  </conditionalFormatting>
  <conditionalFormatting sqref="H75:I82">
    <cfRule type="cellIs" dxfId="655" priority="46" stopIfTrue="1" operator="greaterThan">
      <formula>$J75</formula>
    </cfRule>
    <cfRule type="cellIs" dxfId="654" priority="47" stopIfTrue="1" operator="lessThanOrEqual">
      <formula>0</formula>
    </cfRule>
  </conditionalFormatting>
  <conditionalFormatting sqref="H83:I83">
    <cfRule type="cellIs" dxfId="653" priority="54" operator="greaterThan">
      <formula>5.3</formula>
    </cfRule>
  </conditionalFormatting>
  <conditionalFormatting sqref="H84:I84">
    <cfRule type="cellIs" dxfId="652" priority="52" stopIfTrue="1" operator="greaterThan">
      <formula>$J84</formula>
    </cfRule>
    <cfRule type="cellIs" dxfId="651" priority="53" stopIfTrue="1" operator="lessThanOrEqual">
      <formula>0</formula>
    </cfRule>
  </conditionalFormatting>
  <conditionalFormatting sqref="I62">
    <cfRule type="cellIs" dxfId="650" priority="67" stopIfTrue="1" operator="greaterThan">
      <formula>$F$77</formula>
    </cfRule>
    <cfRule type="cellIs" dxfId="649" priority="66" stopIfTrue="1" operator="lessThanOrEqual">
      <formula>0</formula>
    </cfRule>
    <cfRule type="cellIs" dxfId="648" priority="65" stopIfTrue="1" operator="greaterThan">
      <formula>$F$75</formula>
    </cfRule>
    <cfRule type="cellIs" dxfId="647" priority="70" stopIfTrue="1" operator="lessThanOrEqual">
      <formula>0</formula>
    </cfRule>
    <cfRule type="cellIs" dxfId="646" priority="69" stopIfTrue="1" operator="greaterThan">
      <formula>$F$75</formula>
    </cfRule>
    <cfRule type="cellIs" dxfId="645" priority="68" stopIfTrue="1" operator="lessThanOrEqual">
      <formula>0</formula>
    </cfRule>
  </conditionalFormatting>
  <conditionalFormatting sqref="I63">
    <cfRule type="cellIs" dxfId="644" priority="92" stopIfTrue="1" operator="lessThanOrEqual">
      <formula>0</formula>
    </cfRule>
    <cfRule type="cellIs" dxfId="643" priority="91" stopIfTrue="1" operator="greaterThan">
      <formula>$F$75</formula>
    </cfRule>
    <cfRule type="cellIs" dxfId="642" priority="93" stopIfTrue="1" operator="greaterThan">
      <formula>$F$77</formula>
    </cfRule>
    <cfRule type="cellIs" dxfId="641" priority="94" stopIfTrue="1" operator="lessThanOrEqual">
      <formula>0</formula>
    </cfRule>
    <cfRule type="cellIs" dxfId="640" priority="96" stopIfTrue="1" operator="lessThanOrEqual">
      <formula>0</formula>
    </cfRule>
    <cfRule type="cellIs" dxfId="639" priority="95" stopIfTrue="1" operator="greaterThan">
      <formula>$F$75</formula>
    </cfRule>
  </conditionalFormatting>
  <conditionalFormatting sqref="I64">
    <cfRule type="cellIs" dxfId="638" priority="36" stopIfTrue="1" operator="greaterThan">
      <formula>$F$77</formula>
    </cfRule>
    <cfRule type="cellIs" dxfId="637" priority="32" stopIfTrue="1" operator="greaterThan">
      <formula>$F$77</formula>
    </cfRule>
    <cfRule type="cellIs" dxfId="636" priority="34" stopIfTrue="1" operator="greaterThan">
      <formula>$F$79</formula>
    </cfRule>
    <cfRule type="cellIs" dxfId="635" priority="35" stopIfTrue="1" operator="lessThanOrEqual">
      <formula>0</formula>
    </cfRule>
    <cfRule type="cellIs" dxfId="634" priority="37" stopIfTrue="1" operator="lessThanOrEqual">
      <formula>0</formula>
    </cfRule>
    <cfRule type="cellIs" dxfId="633" priority="33" stopIfTrue="1" operator="lessThanOrEqual">
      <formula>0</formula>
    </cfRule>
  </conditionalFormatting>
  <conditionalFormatting sqref="I65:I66">
    <cfRule type="cellIs" dxfId="632" priority="107" stopIfTrue="1" operator="lessThanOrEqual">
      <formula>0</formula>
    </cfRule>
    <cfRule type="cellIs" dxfId="631" priority="108" stopIfTrue="1" operator="greaterThan">
      <formula>$F$75</formula>
    </cfRule>
    <cfRule type="cellIs" dxfId="630" priority="106" stopIfTrue="1" operator="greaterThan">
      <formula>$F$77</formula>
    </cfRule>
    <cfRule type="cellIs" dxfId="629" priority="105" stopIfTrue="1" operator="lessThanOrEqual">
      <formula>0</formula>
    </cfRule>
    <cfRule type="cellIs" dxfId="628" priority="104" stopIfTrue="1" operator="greaterThan">
      <formula>$F$75</formula>
    </cfRule>
    <cfRule type="cellIs" dxfId="627" priority="109" stopIfTrue="1" operator="lessThanOrEqual">
      <formula>0</formula>
    </cfRule>
  </conditionalFormatting>
  <conditionalFormatting sqref="I67:I68">
    <cfRule type="cellIs" dxfId="626" priority="143" stopIfTrue="1" operator="lessThanOrEqual">
      <formula>0</formula>
    </cfRule>
    <cfRule type="cellIs" dxfId="625" priority="142" stopIfTrue="1" operator="greaterThan">
      <formula>#REF!</formula>
    </cfRule>
    <cfRule type="cellIs" dxfId="624" priority="141" stopIfTrue="1" operator="lessThanOrEqual">
      <formula>0</formula>
    </cfRule>
    <cfRule type="cellIs" dxfId="623" priority="140" stopIfTrue="1" operator="greaterThan">
      <formula>#REF!</formula>
    </cfRule>
  </conditionalFormatting>
  <conditionalFormatting sqref="I69">
    <cfRule type="cellIs" dxfId="622" priority="156" stopIfTrue="1" operator="greaterThan">
      <formula>$F$43</formula>
    </cfRule>
    <cfRule type="cellIs" dxfId="621" priority="157" stopIfTrue="1" operator="lessThanOrEqual">
      <formula>0</formula>
    </cfRule>
    <cfRule type="cellIs" dxfId="620" priority="152" stopIfTrue="1" operator="greaterThan">
      <formula>$F$43</formula>
    </cfRule>
    <cfRule type="cellIs" dxfId="619" priority="153" stopIfTrue="1" operator="lessThanOrEqual">
      <formula>0</formula>
    </cfRule>
    <cfRule type="cellIs" dxfId="618" priority="154" stopIfTrue="1" operator="greaterThan">
      <formula>$F$45</formula>
    </cfRule>
    <cfRule type="cellIs" dxfId="617" priority="155" stopIfTrue="1" operator="lessThanOrEqual">
      <formula>0</formula>
    </cfRule>
  </conditionalFormatting>
  <conditionalFormatting sqref="I70:I71">
    <cfRule type="cellIs" dxfId="616" priority="128" stopIfTrue="1" operator="greaterThan">
      <formula>#REF!</formula>
    </cfRule>
    <cfRule type="cellIs" dxfId="615" priority="129" stopIfTrue="1" operator="lessThanOrEqual">
      <formula>0</formula>
    </cfRule>
    <cfRule type="cellIs" dxfId="614" priority="130" stopIfTrue="1" operator="greaterThan">
      <formula>#REF!</formula>
    </cfRule>
    <cfRule type="cellIs" dxfId="613" priority="131" stopIfTrue="1" operator="lessThanOrEqual">
      <formula>0</formula>
    </cfRule>
  </conditionalFormatting>
  <conditionalFormatting sqref="I86:I94">
    <cfRule type="cellIs" dxfId="612" priority="180" stopIfTrue="1" operator="greaterThan">
      <formula>4.5</formula>
    </cfRule>
    <cfRule type="cellIs" dxfId="611" priority="181" stopIfTrue="1" operator="lessThanOrEqual">
      <formula>0</formula>
    </cfRule>
  </conditionalFormatting>
  <conditionalFormatting sqref="I10:J30">
    <cfRule type="cellIs" dxfId="610" priority="1" operator="lessThan">
      <formula>97.9</formula>
    </cfRule>
  </conditionalFormatting>
  <conditionalFormatting sqref="J33:J35">
    <cfRule type="cellIs" dxfId="609" priority="27" operator="lessThan">
      <formula>97.95</formula>
    </cfRule>
  </conditionalFormatting>
  <conditionalFormatting sqref="J34:J37">
    <cfRule type="cellIs" dxfId="608" priority="162" operator="lessThan">
      <formula>97.4</formula>
    </cfRule>
  </conditionalFormatting>
  <conditionalFormatting sqref="J38:J39">
    <cfRule type="cellIs" dxfId="607" priority="163" operator="lessThan">
      <formula>98</formula>
    </cfRule>
  </conditionalFormatting>
  <conditionalFormatting sqref="J40:J41">
    <cfRule type="cellIs" dxfId="606" priority="165" stopIfTrue="1" operator="greaterThan">
      <formula>100</formula>
    </cfRule>
    <cfRule type="cellIs" dxfId="605" priority="164" stopIfTrue="1" operator="lessThan">
      <formula>96.8</formula>
    </cfRule>
  </conditionalFormatting>
  <conditionalFormatting sqref="J40:J42">
    <cfRule type="cellIs" dxfId="604" priority="166" operator="lessThan">
      <formula>98</formula>
    </cfRule>
  </conditionalFormatting>
  <conditionalFormatting sqref="J71">
    <cfRule type="cellIs" dxfId="603" priority="116" stopIfTrue="1" operator="greaterThan">
      <formula>#REF!</formula>
    </cfRule>
    <cfRule type="cellIs" dxfId="602" priority="117" stopIfTrue="1" operator="lessThanOrEqual">
      <formula>0</formula>
    </cfRule>
    <cfRule type="cellIs" dxfId="601" priority="118" stopIfTrue="1" operator="greaterThan">
      <formula>#REF!</formula>
    </cfRule>
    <cfRule type="cellIs" dxfId="600" priority="119" stopIfTrue="1" operator="lessThanOrEqual">
      <formula>0</formula>
    </cfRule>
    <cfRule type="cellIs" dxfId="599" priority="120" stopIfTrue="1" operator="greaterThan">
      <formula>#REF!</formula>
    </cfRule>
    <cfRule type="cellIs" dxfId="598" priority="121" stopIfTrue="1" operator="lessThanOrEqual">
      <formula>0</formula>
    </cfRule>
    <cfRule type="cellIs" dxfId="597" priority="122" stopIfTrue="1" operator="greaterThan">
      <formula>#REF!</formula>
    </cfRule>
    <cfRule type="cellIs" dxfId="596" priority="123" stopIfTrue="1" operator="lessThanOrEqual">
      <formula>0</formula>
    </cfRule>
  </conditionalFormatting>
  <conditionalFormatting sqref="J84">
    <cfRule type="cellIs" dxfId="595" priority="55" stopIfTrue="1" operator="greaterThan">
      <formula>$F84</formula>
    </cfRule>
    <cfRule type="cellIs" dxfId="594" priority="56" stopIfTrue="1" operator="lessThanOrEqual">
      <formula>0</formula>
    </cfRule>
  </conditionalFormatting>
  <conditionalFormatting sqref="K10:K30">
    <cfRule type="cellIs" dxfId="593" priority="4" operator="greaterThan">
      <formula>6.4</formula>
    </cfRule>
    <cfRule type="cellIs" dxfId="592" priority="2" operator="greaterThan">
      <formula>6</formula>
    </cfRule>
    <cfRule type="cellIs" dxfId="591" priority="3" operator="lessThan">
      <formula>4</formula>
    </cfRule>
  </conditionalFormatting>
  <conditionalFormatting sqref="K62:K71">
    <cfRule type="cellIs" dxfId="590" priority="101" stopIfTrue="1" operator="lessThan">
      <formula>100%</formula>
    </cfRule>
  </conditionalFormatting>
  <conditionalFormatting sqref="K75:K83">
    <cfRule type="cellIs" dxfId="589" priority="45" stopIfTrue="1" operator="lessThan">
      <formula>100%</formula>
    </cfRule>
  </conditionalFormatting>
  <conditionalFormatting sqref="K86:K91">
    <cfRule type="cellIs" dxfId="588" priority="186" stopIfTrue="1" operator="lessThan">
      <formula>100%</formula>
    </cfRule>
  </conditionalFormatting>
  <conditionalFormatting sqref="K93:K94">
    <cfRule type="cellIs" dxfId="587" priority="193" stopIfTrue="1" operator="lessThan">
      <formula>100%</formula>
    </cfRule>
  </conditionalFormatting>
  <conditionalFormatting sqref="L10:L30">
    <cfRule type="cellIs" dxfId="586" priority="6" operator="greaterThan">
      <formula>65</formula>
    </cfRule>
    <cfRule type="cellIs" dxfId="585" priority="5" operator="between">
      <formula>61</formula>
      <formula>65</formula>
    </cfRule>
  </conditionalFormatting>
  <conditionalFormatting sqref="L33:M44">
    <cfRule type="cellIs" dxfId="584" priority="15" operator="lessThan">
      <formula>97.95</formula>
    </cfRule>
  </conditionalFormatting>
  <conditionalFormatting sqref="L48:N48">
    <cfRule type="cellIs" dxfId="583" priority="26" operator="notEqual">
      <formula>#REF!</formula>
    </cfRule>
  </conditionalFormatting>
  <conditionalFormatting sqref="L75:N84">
    <cfRule type="cellIs" dxfId="582" priority="42" stopIfTrue="1" operator="lessThan">
      <formula>100%</formula>
    </cfRule>
  </conditionalFormatting>
  <conditionalFormatting sqref="L86:N94">
    <cfRule type="cellIs" dxfId="581" priority="171" stopIfTrue="1" operator="lessThan">
      <formula>100%</formula>
    </cfRule>
  </conditionalFormatting>
  <conditionalFormatting sqref="M30">
    <cfRule type="expression" dxfId="580" priority="24">
      <formula>IF(+(IF(M30&lt;U30,0,IF(M30&gt;V30,0,1)))=0,1)</formula>
    </cfRule>
  </conditionalFormatting>
  <conditionalFormatting sqref="N10:N30">
    <cfRule type="expression" dxfId="579" priority="9">
      <formula>IF(+(IF(N10&lt;W10,0,IF(N10&gt;X10,0,1)))=0,1)</formula>
    </cfRule>
  </conditionalFormatting>
  <conditionalFormatting sqref="P6">
    <cfRule type="cellIs" dxfId="578" priority="167" operator="greaterThanOrEqual">
      <formula>19</formula>
    </cfRule>
  </conditionalFormatting>
  <dataValidations disablePrompts="1" count="1">
    <dataValidation type="list" allowBlank="1" showInputMessage="1" showErrorMessage="1" sqref="R8" xr:uid="{FFF6AFF7-8FCC-4A75-9AD1-39120BA915F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B393-57DD-4A68-838F-E55A70FA6E66}">
  <sheetPr>
    <pageSetUpPr fitToPage="1"/>
  </sheetPr>
  <dimension ref="A1:BE79"/>
  <sheetViews>
    <sheetView zoomScale="80" zoomScaleNormal="80" workbookViewId="0">
      <selection activeCell="G13" sqref="G13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49.57031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46323</v>
      </c>
      <c r="J4" s="397" t="s">
        <v>186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185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 t="str">
        <f>[4]Brewhouse!$A424</f>
        <v>ST365</v>
      </c>
      <c r="D10" s="279">
        <f>[4]Brewhouse!$AB424</f>
        <v>53.1</v>
      </c>
      <c r="E10" s="279">
        <f>[4]Brewhouse!$AG424</f>
        <v>47.3</v>
      </c>
      <c r="F10" s="278">
        <f>[4]Brewhouse!$V424</f>
        <v>57</v>
      </c>
      <c r="G10" s="279">
        <f>[4]Brewhouse!$AE424</f>
        <v>11.9</v>
      </c>
      <c r="H10" s="396">
        <v>11.9</v>
      </c>
      <c r="I10" s="368">
        <f>[4]Brewhouse!$AS424</f>
        <v>94.49565857690051</v>
      </c>
      <c r="J10" s="368">
        <f>[4]Brewhouse!$AT424</f>
        <v>95.204106377819073</v>
      </c>
      <c r="K10" s="281">
        <f>[4]Brewhouse!$Q424</f>
        <v>15.395480225988695</v>
      </c>
      <c r="L10" s="276">
        <f>[4]Brewhouse!$P424</f>
        <v>60</v>
      </c>
      <c r="M10" s="374">
        <f>[4]Brewhouse!$U424-[4]Brewhouse!$T424</f>
        <v>0.11527777777777781</v>
      </c>
      <c r="N10" s="370">
        <f>[4]Brewhouse!$AW424</f>
        <v>0.34583333333333333</v>
      </c>
      <c r="O10" s="419" t="str">
        <f>[4]Brewhouse!$AV424</f>
        <v>D.Gomaz</v>
      </c>
      <c r="P10" s="417"/>
      <c r="R10" s="277" t="str">
        <f t="shared" ref="R10:R31" si="0">B10</f>
        <v>STAG</v>
      </c>
      <c r="S10" s="471">
        <f t="shared" ref="S10:S39" si="1">VLOOKUP($B10,$R$3:$X$9,2,FALSE)</f>
        <v>11.6</v>
      </c>
      <c r="T10" s="471">
        <f t="shared" ref="T10:T39" si="2">VLOOKUP($B10,$R$3:$X$9,3,FALSE)</f>
        <v>12</v>
      </c>
      <c r="U10" s="297">
        <f t="shared" ref="U10:U39" si="3">VLOOKUP($B10,$R$3:$X$9,4,FALSE)</f>
        <v>0</v>
      </c>
      <c r="V10" s="297">
        <f t="shared" ref="V10:V39" si="4">VLOOKUP($B10,$R$3:$X$9,5,FALSE)</f>
        <v>0.118055555555556</v>
      </c>
      <c r="W10" s="297">
        <f t="shared" ref="W10:W39" si="5">VLOOKUP($B10,$R$3:$X$9,6,FALSE)</f>
        <v>0.22569444444444445</v>
      </c>
      <c r="X10" s="297">
        <f t="shared" ref="X10:X39" si="6">VLOOKUP($B10,$R$3:$X$9,7,FALSE)</f>
        <v>0.2638888888888889</v>
      </c>
      <c r="Y10" s="297">
        <f t="shared" ref="Y10:Y39" si="7">VLOOKUP($B10,$R$3:$Z$9,8,FALSE)</f>
        <v>0</v>
      </c>
      <c r="Z10" s="471">
        <f t="shared" ref="Z10:Z39" si="8">VLOOKUP($B10,$R$3:$Z$9,9,FALSE)</f>
        <v>60</v>
      </c>
    </row>
    <row r="11" spans="2:29" ht="15" customHeight="1">
      <c r="B11" s="33" t="s">
        <v>9</v>
      </c>
      <c r="C11" s="366" t="str">
        <f>[4]Brewhouse!$A425</f>
        <v>ST366</v>
      </c>
      <c r="D11" s="279">
        <f>[4]Brewhouse!$AB425</f>
        <v>53.1</v>
      </c>
      <c r="E11" s="279">
        <f>[4]Brewhouse!$AG425</f>
        <v>48.1</v>
      </c>
      <c r="F11" s="278">
        <f>[4]Brewhouse!$V425</f>
        <v>55</v>
      </c>
      <c r="G11" s="279">
        <f>[4]Brewhouse!$AE425</f>
        <v>12</v>
      </c>
      <c r="H11" s="396">
        <v>12.2</v>
      </c>
      <c r="I11" s="368">
        <f>[4]Brewhouse!$AS425</f>
        <v>96.942916172112362</v>
      </c>
      <c r="J11" s="368">
        <f>[4]Brewhouse!$AT425</f>
        <v>97.669711421873757</v>
      </c>
      <c r="K11" s="281">
        <f>[4]Brewhouse!$Q425</f>
        <v>12.758945386064028</v>
      </c>
      <c r="L11" s="276">
        <f>[4]Brewhouse!$P425</f>
        <v>60</v>
      </c>
      <c r="M11" s="374">
        <f>[4]Brewhouse!$U425-[4]Brewhouse!$T425</f>
        <v>0.1645833333333333</v>
      </c>
      <c r="N11" s="370">
        <f>[4]Brewhouse!$AW425</f>
        <v>0.29722222222222222</v>
      </c>
      <c r="O11" s="419" t="str">
        <f>[4]Brewhouse!$AV425</f>
        <v>D.Gomaz</v>
      </c>
      <c r="P11" s="417"/>
      <c r="R11" s="277" t="str">
        <f t="shared" si="0"/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 t="s">
        <v>9</v>
      </c>
      <c r="C12" s="366" t="str">
        <f>[4]Brewhouse!$A426</f>
        <v>ST367</v>
      </c>
      <c r="D12" s="279">
        <f>[4]Brewhouse!$AB426</f>
        <v>53.1</v>
      </c>
      <c r="E12" s="279">
        <f>[4]Brewhouse!$AG426</f>
        <v>49</v>
      </c>
      <c r="F12" s="278">
        <f>[4]Brewhouse!$V426</f>
        <v>57</v>
      </c>
      <c r="G12" s="279">
        <f>[4]Brewhouse!$AE426</f>
        <v>12</v>
      </c>
      <c r="H12" s="396">
        <v>11.9</v>
      </c>
      <c r="I12" s="368">
        <f>[4]Brewhouse!$AS426</f>
        <v>98.756816890509469</v>
      </c>
      <c r="J12" s="368">
        <f>[4]Brewhouse!$AT426</f>
        <v>99.497211219788227</v>
      </c>
      <c r="K12" s="281">
        <f>[4]Brewhouse!$Q426</f>
        <v>11.817325800376645</v>
      </c>
      <c r="L12" s="276">
        <f>[4]Brewhouse!$P426</f>
        <v>59</v>
      </c>
      <c r="M12" s="374">
        <f>[4]Brewhouse!$U426-[4]Brewhouse!$T426</f>
        <v>0.11111111111111105</v>
      </c>
      <c r="N12" s="370">
        <f>[4]Brewhouse!$AW426</f>
        <v>0.30416666666666659</v>
      </c>
      <c r="O12" s="419" t="str">
        <f>[4]Brewhouse!$AV426</f>
        <v>D.Gomaz</v>
      </c>
      <c r="P12" s="417"/>
      <c r="R12" s="277" t="str">
        <f t="shared" si="0"/>
        <v>STAG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33" t="s">
        <v>9</v>
      </c>
      <c r="C13" s="366" t="str">
        <f>[4]Brewhouse!$A427</f>
        <v>ST368</v>
      </c>
      <c r="D13" s="279">
        <f>[4]Brewhouse!$AB427</f>
        <v>53.1</v>
      </c>
      <c r="E13" s="279">
        <f>[4]Brewhouse!$AG427</f>
        <v>49.7</v>
      </c>
      <c r="F13" s="278">
        <f>[4]Brewhouse!$V427</f>
        <v>53</v>
      </c>
      <c r="G13" s="279">
        <f>[4]Brewhouse!$AE427</f>
        <v>11.8</v>
      </c>
      <c r="H13" s="396">
        <v>11.8</v>
      </c>
      <c r="I13" s="368">
        <f>[4]Brewhouse!$AS427</f>
        <v>98.413100034634851</v>
      </c>
      <c r="J13" s="368">
        <f>[4]Brewhouse!$AT427</f>
        <v>99.150917468272581</v>
      </c>
      <c r="K13" s="281">
        <f>[4]Brewhouse!$Q427</f>
        <v>11.440677966101701</v>
      </c>
      <c r="L13" s="276">
        <f>[4]Brewhouse!$P427</f>
        <v>58</v>
      </c>
      <c r="M13" s="374">
        <f>[4]Brewhouse!$U427-[4]Brewhouse!$T427</f>
        <v>0.10833333333333339</v>
      </c>
      <c r="N13" s="370">
        <f>[4]Brewhouse!$AW427</f>
        <v>0.25069444444444444</v>
      </c>
      <c r="O13" s="419" t="str">
        <f>[4]Brewhouse!$AV427</f>
        <v>D.Gomaz</v>
      </c>
      <c r="P13" s="417"/>
      <c r="R13" s="277" t="str">
        <f t="shared" si="0"/>
        <v>STAG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19"/>
      <c r="P14" s="417"/>
      <c r="R14" s="277">
        <f t="shared" si="0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customHeight="1">
      <c r="B15" s="29" t="s">
        <v>6</v>
      </c>
      <c r="C15" s="366" t="str">
        <f>[3]Brewhouse!$A845</f>
        <v>CA795</v>
      </c>
      <c r="D15" s="279">
        <f>[3]Brewhouse!$AF845</f>
        <v>47.1</v>
      </c>
      <c r="E15" s="279">
        <f>[3]Brewhouse!$AI845</f>
        <v>48.4</v>
      </c>
      <c r="F15" s="278">
        <f>[3]Brewhouse!$V845</f>
        <v>50</v>
      </c>
      <c r="G15" s="279">
        <f>[3]Brewhouse!AG845</f>
        <v>11.6</v>
      </c>
      <c r="H15" s="396">
        <v>11.2</v>
      </c>
      <c r="I15" s="368">
        <f>[3]Brewhouse!$AU845</f>
        <v>92.769927391837356</v>
      </c>
      <c r="J15" s="368">
        <f>[3]Brewhouse!$AV845</f>
        <v>93.599693643094199</v>
      </c>
      <c r="K15" s="281">
        <f>[3]Brewhouse!$Q845</f>
        <v>14.111111111111107</v>
      </c>
      <c r="L15" s="276">
        <f>[3]Brewhouse!$P845</f>
        <v>60</v>
      </c>
      <c r="M15" s="374">
        <f>[3]Brewhouse!$U845-[3]Brewhouse!$T845</f>
        <v>7.3611111111111072E-2</v>
      </c>
      <c r="N15" s="370">
        <f>[3]Brewhouse!$Z845</f>
        <v>0.26527777777777772</v>
      </c>
      <c r="O15" s="419" t="str">
        <f>[3]Brewhouse!$AX845</f>
        <v>R. Sookram</v>
      </c>
      <c r="P15" s="417"/>
      <c r="R15" s="277" t="str">
        <f t="shared" si="0"/>
        <v>CARIB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29" t="s">
        <v>6</v>
      </c>
      <c r="C16" s="366" t="str">
        <f>[3]Brewhouse!$A846</f>
        <v>CA796</v>
      </c>
      <c r="D16" s="279">
        <f>[3]Brewhouse!$AF846</f>
        <v>50.8</v>
      </c>
      <c r="E16" s="279">
        <f>[3]Brewhouse!$AI846</f>
        <v>51.3</v>
      </c>
      <c r="F16" s="278">
        <f>[3]Brewhouse!$V846</f>
        <v>54</v>
      </c>
      <c r="G16" s="279">
        <f>[3]Brewhouse!AG846</f>
        <v>11.8</v>
      </c>
      <c r="H16" s="396">
        <v>11.4</v>
      </c>
      <c r="I16" s="368">
        <f>[3]Brewhouse!$AU846</f>
        <v>100.11329606139621</v>
      </c>
      <c r="J16" s="368">
        <f>[3]Brewhouse!$AV846</f>
        <v>101.00874393668622</v>
      </c>
      <c r="K16" s="281">
        <f>[3]Brewhouse!$Q846</f>
        <v>7.2592592592592622</v>
      </c>
      <c r="L16" s="276">
        <f>[3]Brewhouse!$P846</f>
        <v>62</v>
      </c>
      <c r="M16" s="374">
        <f>[3]Brewhouse!$U846-[3]Brewhouse!$T846</f>
        <v>6.3888888888888884E-2</v>
      </c>
      <c r="N16" s="370">
        <f>[3]Brewhouse!$Z846</f>
        <v>0.21944444444444455</v>
      </c>
      <c r="O16" s="419" t="str">
        <f>[3]Brewhouse!$AX846</f>
        <v>R. Sookram</v>
      </c>
      <c r="P16" s="417"/>
      <c r="R16" s="277" t="str">
        <f t="shared" si="0"/>
        <v>CARIB</v>
      </c>
      <c r="S16" s="471">
        <f t="shared" si="1"/>
        <v>11.6</v>
      </c>
      <c r="T16" s="471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1">
        <f t="shared" si="8"/>
        <v>60</v>
      </c>
    </row>
    <row r="17" spans="1:26" ht="15" customHeight="1">
      <c r="B17" s="29" t="s">
        <v>6</v>
      </c>
      <c r="C17" s="366" t="str">
        <f>[3]Brewhouse!$A847</f>
        <v>CA797</v>
      </c>
      <c r="D17" s="279">
        <f>[3]Brewhouse!$AF847</f>
        <v>50.5</v>
      </c>
      <c r="E17" s="279">
        <f>[3]Brewhouse!$AI847</f>
        <v>50.8</v>
      </c>
      <c r="F17" s="278">
        <f>[3]Brewhouse!$V847</f>
        <v>72</v>
      </c>
      <c r="G17" s="279">
        <f>[3]Brewhouse!AG847</f>
        <v>11.9</v>
      </c>
      <c r="H17" s="396">
        <v>11.5</v>
      </c>
      <c r="I17" s="368">
        <f>[3]Brewhouse!$AU847</f>
        <v>100.02125487248973</v>
      </c>
      <c r="J17" s="368">
        <f>[3]Brewhouse!$AV847</f>
        <v>100.91587949961705</v>
      </c>
      <c r="K17" s="281">
        <f>[3]Brewhouse!$Q847</f>
        <v>7.8148148148148131</v>
      </c>
      <c r="L17" s="276">
        <f>[3]Brewhouse!$P847</f>
        <v>60</v>
      </c>
      <c r="M17" s="374">
        <f>[3]Brewhouse!$U847-[3]Brewhouse!$T847</f>
        <v>0.12222222222222223</v>
      </c>
      <c r="N17" s="370">
        <f>[3]Brewhouse!$Z847</f>
        <v>0.28402777777777777</v>
      </c>
      <c r="O17" s="419" t="str">
        <f>[3]Brewhouse!$AX847</f>
        <v>K. Benjamin</v>
      </c>
      <c r="P17" s="417"/>
      <c r="R17" s="277" t="str">
        <f t="shared" si="0"/>
        <v>CARIB</v>
      </c>
      <c r="S17" s="471">
        <f t="shared" si="1"/>
        <v>11.6</v>
      </c>
      <c r="T17" s="471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1">
        <f t="shared" si="8"/>
        <v>60</v>
      </c>
    </row>
    <row r="18" spans="1:26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6" ht="1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6" ht="15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19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19"/>
      <c r="P22" s="417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6" ht="15" hidden="1" customHeight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19"/>
      <c r="P23" s="417"/>
      <c r="R23" s="277">
        <f t="shared" si="0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6" ht="15" hidden="1" customHeight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19"/>
      <c r="P24" s="417"/>
      <c r="R24" s="277">
        <f t="shared" si="0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6" ht="15" hidden="1" customHeight="1">
      <c r="B25" s="34"/>
      <c r="C25" s="366"/>
      <c r="D25" s="279"/>
      <c r="E25" s="279"/>
      <c r="F25" s="278"/>
      <c r="G25" s="279"/>
      <c r="H25" s="396"/>
      <c r="I25" s="487"/>
      <c r="J25" s="487"/>
      <c r="K25" s="488"/>
      <c r="L25" s="276"/>
      <c r="M25" s="374"/>
      <c r="N25" s="370"/>
      <c r="O25" s="419"/>
      <c r="P25" s="417"/>
      <c r="R25" s="277">
        <f t="shared" si="0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1:26" ht="17.25" customHeight="1" thickBot="1">
      <c r="B26" s="358"/>
      <c r="C26" s="358"/>
      <c r="D26" s="358"/>
      <c r="E26" s="358"/>
      <c r="F26" s="294"/>
      <c r="G26" s="294"/>
      <c r="H26" s="348"/>
      <c r="I26" s="539"/>
      <c r="J26" s="539"/>
      <c r="K26" s="539"/>
      <c r="L26" s="539"/>
      <c r="M26" s="539"/>
      <c r="N26" s="539"/>
      <c r="O26" s="1"/>
      <c r="P26" s="12"/>
      <c r="R26" s="277">
        <f t="shared" si="0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1:26" ht="17.25" customHeight="1" thickBot="1">
      <c r="B27" s="482" t="s">
        <v>162</v>
      </c>
      <c r="C27" s="388"/>
      <c r="D27" s="540" t="s">
        <v>35</v>
      </c>
      <c r="E27" s="541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0"/>
        <v xml:space="preserve">BRAND 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1:26" ht="17.25" customHeight="1">
      <c r="A28" s="28"/>
      <c r="B28" s="580" t="str">
        <f>I28</f>
        <v>CARIB</v>
      </c>
      <c r="C28" s="483">
        <f>[3]Process!D779</f>
        <v>11.8</v>
      </c>
      <c r="D28" s="527">
        <v>11.75</v>
      </c>
      <c r="E28" s="528"/>
      <c r="F28" s="294"/>
      <c r="G28" s="294"/>
      <c r="H28" s="348"/>
      <c r="I28" s="29" t="s">
        <v>6</v>
      </c>
      <c r="J28" s="323">
        <f>AVERAGE(I15:I17)</f>
        <v>97.63482610857443</v>
      </c>
      <c r="K28" s="284">
        <f>COUNTA([3]Brewhouse!$A$789:$A$847)</f>
        <v>59</v>
      </c>
      <c r="L28" s="305">
        <f>AVERAGE([3]Brewhouse!$AU$789:$AU$847)</f>
        <v>97.871454780119976</v>
      </c>
      <c r="M28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$847)</f>
        <v>98.296908651066275</v>
      </c>
      <c r="N28" s="30">
        <v>98</v>
      </c>
      <c r="O28" s="11"/>
      <c r="P28" s="31"/>
      <c r="R28" s="277" t="str">
        <f t="shared" si="0"/>
        <v>CARIB</v>
      </c>
      <c r="S28" s="471">
        <f t="shared" si="1"/>
        <v>11.6</v>
      </c>
      <c r="T28" s="471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1">
        <f t="shared" si="8"/>
        <v>60</v>
      </c>
    </row>
    <row r="29" spans="1:26" ht="15" customHeight="1">
      <c r="A29" s="28"/>
      <c r="B29" s="581"/>
      <c r="C29" s="362">
        <f>[3]Process!D780</f>
        <v>11.8</v>
      </c>
      <c r="D29" s="529"/>
      <c r="E29" s="530"/>
      <c r="F29" s="294"/>
      <c r="G29" s="294"/>
      <c r="H29" s="348"/>
      <c r="I29" s="33" t="s">
        <v>9</v>
      </c>
      <c r="J29" s="323">
        <f>AVERAGE(I10:I13)</f>
        <v>97.152122918539291</v>
      </c>
      <c r="K29" s="284">
        <f>COUNTA([4]Brewhouse!$A$390:$A$427)</f>
        <v>38</v>
      </c>
      <c r="L29" s="302">
        <f>AVERAGE([4]Brewhouse!$AS$390:$AS$427)</f>
        <v>97.436863892138632</v>
      </c>
      <c r="M29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$427)</f>
        <v>98.239202237165983</v>
      </c>
      <c r="N29" s="30">
        <v>98</v>
      </c>
      <c r="O29" s="11"/>
      <c r="P29" s="31"/>
      <c r="R29" s="277">
        <f t="shared" si="0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1:26" ht="14.65" customHeight="1">
      <c r="A30" s="28"/>
      <c r="B30" s="581"/>
      <c r="C30" s="362">
        <f>[3]Process!D781</f>
        <v>11.9</v>
      </c>
      <c r="D30" s="534">
        <v>11.6</v>
      </c>
      <c r="E30" s="535"/>
      <c r="F30" s="294"/>
      <c r="G30" s="294"/>
      <c r="H30" s="348"/>
      <c r="I30" s="34" t="s">
        <v>12</v>
      </c>
      <c r="J30" s="323"/>
      <c r="K30" s="284">
        <f>COUNTA([5]Brewhouse!$A$108:$A$115)</f>
        <v>8</v>
      </c>
      <c r="L30" s="302">
        <f>AVERAGE([5]Brewhouse!$AU$108:$AU$115)</f>
        <v>97.365395087454402</v>
      </c>
      <c r="M30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30" s="30">
        <v>98</v>
      </c>
      <c r="O30" s="11"/>
      <c r="P30" s="31"/>
      <c r="R30" s="277">
        <f t="shared" si="0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1:26" ht="14.65" customHeight="1">
      <c r="A31" s="28"/>
      <c r="B31" s="581"/>
      <c r="C31" s="362">
        <f>[3]Process!D782</f>
        <v>11.8</v>
      </c>
      <c r="D31" s="536"/>
      <c r="E31" s="530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1" s="30">
        <v>98</v>
      </c>
      <c r="O31" s="11"/>
      <c r="P31" s="31"/>
      <c r="R31" s="277">
        <f t="shared" si="0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1:26" ht="14.65" customHeight="1">
      <c r="A32" s="28"/>
      <c r="B32" s="581"/>
      <c r="C32" s="362">
        <f>[3]Process!D783</f>
        <v>11.8</v>
      </c>
      <c r="D32" s="534">
        <v>11.74</v>
      </c>
      <c r="E32" s="535"/>
      <c r="F32" s="294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ref="R32:R39" si="9">B32</f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</row>
    <row r="33" spans="1:56" ht="14.65" customHeight="1">
      <c r="A33" s="28"/>
      <c r="B33" s="581"/>
      <c r="C33" s="362">
        <f>[3]Process!D784</f>
        <v>11.9</v>
      </c>
      <c r="D33" s="536"/>
      <c r="E33" s="530"/>
      <c r="F33" s="416"/>
      <c r="G33" s="294"/>
      <c r="H33" s="348"/>
      <c r="I33" s="36" t="s">
        <v>15</v>
      </c>
      <c r="J33" s="323"/>
      <c r="K33" s="284"/>
      <c r="L33" s="302"/>
      <c r="M33" s="302">
        <f>AVERAGE([7]Brewhouse!$AT$4:$AT$11,[7]Brewhouse!$AT$13:$AT$16,[7]Brewhouse!$AT$18:$AT$30)</f>
        <v>93.22262799886262</v>
      </c>
      <c r="N33" s="30">
        <v>98</v>
      </c>
      <c r="O33" s="11"/>
      <c r="P33" s="31"/>
      <c r="R33" s="277">
        <f t="shared" si="9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</row>
    <row r="34" spans="1:56" ht="14.65" customHeight="1">
      <c r="A34" s="28"/>
      <c r="B34" s="581"/>
      <c r="C34" s="362">
        <f>[3]Process!D765</f>
        <v>11.9</v>
      </c>
      <c r="D34" s="534">
        <v>11.58</v>
      </c>
      <c r="E34" s="535"/>
      <c r="F34" s="416"/>
      <c r="G34" s="294"/>
      <c r="H34" s="348"/>
      <c r="I34" s="37" t="s">
        <v>16</v>
      </c>
      <c r="J34" s="323"/>
      <c r="K34" s="284">
        <f>COUNTA([8]Brewhouse!$A$112:$A$119)</f>
        <v>8</v>
      </c>
      <c r="L34" s="302">
        <f>AVERAGE([8]Brewhouse!$AY$112:$AY$119)</f>
        <v>96.833332758088616</v>
      </c>
      <c r="M34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34" s="30">
        <v>98</v>
      </c>
      <c r="O34" s="11"/>
      <c r="P34" s="31" t="s">
        <v>41</v>
      </c>
      <c r="R34" s="277">
        <f t="shared" si="9"/>
        <v>0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</row>
    <row r="35" spans="1:56" ht="14.65" customHeight="1">
      <c r="A35" s="28"/>
      <c r="B35" s="581"/>
      <c r="C35" s="362">
        <f>[3]Process!D766</f>
        <v>11.8</v>
      </c>
      <c r="D35" s="536"/>
      <c r="E35" s="530"/>
      <c r="F35" s="294"/>
      <c r="G35" s="294"/>
      <c r="H35" s="348"/>
      <c r="I35" s="410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</row>
    <row r="36" spans="1:56" ht="14.65" customHeight="1">
      <c r="A36" s="28"/>
      <c r="B36" s="581"/>
      <c r="C36" s="362"/>
      <c r="D36" s="534"/>
      <c r="E36" s="535"/>
      <c r="F36" s="294"/>
      <c r="G36" s="294"/>
      <c r="H36" s="348"/>
      <c r="I36" s="409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  <c r="AA36" s="471"/>
    </row>
    <row r="37" spans="1:56" ht="15" customHeight="1" thickBot="1">
      <c r="A37" s="28"/>
      <c r="B37" s="581"/>
      <c r="C37" s="362"/>
      <c r="D37" s="536"/>
      <c r="E37" s="530"/>
      <c r="F37" s="294"/>
      <c r="G37" s="294"/>
      <c r="H37" s="348"/>
      <c r="I37" s="405" t="s">
        <v>156</v>
      </c>
      <c r="J37" s="327"/>
      <c r="K37" s="406"/>
      <c r="L37" s="407"/>
      <c r="M37" s="407"/>
      <c r="N37" s="408">
        <v>98</v>
      </c>
      <c r="O37" s="11"/>
      <c r="P37" s="31"/>
      <c r="R37" s="277">
        <f t="shared" si="9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  <c r="AA37" s="471"/>
    </row>
    <row r="38" spans="1:56" ht="15" customHeight="1" thickBot="1">
      <c r="A38" s="28"/>
      <c r="B38" s="581"/>
      <c r="C38" s="349"/>
      <c r="D38" s="527"/>
      <c r="E38" s="528"/>
      <c r="F38" s="294"/>
      <c r="G38" s="294"/>
      <c r="H38" s="348"/>
      <c r="I38" s="1"/>
      <c r="J38" s="39"/>
      <c r="K38" s="403">
        <f>SUM(K28:K37)</f>
        <v>113</v>
      </c>
      <c r="L38" s="404">
        <f>((L28*K28)+(L29*K29)+(L30*K30)+(L31*K31)+(L32*K32)+(K35*L35)+(L33*K33)+(L34*K34)+(L37*K37))/(K38)</f>
        <v>97.615986572501683</v>
      </c>
      <c r="M38" s="404">
        <f>AVERAGE('[9]Jan30th-31st'!$L$42,'[10]Feb 27th-28th'!$L$45,'[11]Mar 31st'!$L$42,'[12]Apr 30th'!$L$41,'[13]May 29th '!$L$35,'[14]June 30th'!$L$32,[15]July31st!$L$36,'[16]Aug 31st'!$L$32,L38)</f>
        <v>97.937475565455159</v>
      </c>
      <c r="N38" s="40">
        <v>98</v>
      </c>
      <c r="O38" s="11"/>
      <c r="P38" s="31"/>
      <c r="R38" s="277">
        <f t="shared" si="9"/>
        <v>0</v>
      </c>
      <c r="S38" s="471" t="e">
        <f t="shared" si="1"/>
        <v>#N/A</v>
      </c>
      <c r="T38" s="471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1" t="e">
        <f t="shared" si="8"/>
        <v>#N/A</v>
      </c>
      <c r="AA38" s="471"/>
    </row>
    <row r="39" spans="1:56" ht="15.75" thickBot="1">
      <c r="B39" s="596"/>
      <c r="C39" s="350"/>
      <c r="D39" s="529"/>
      <c r="E39" s="530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1" t="e">
        <f t="shared" si="1"/>
        <v>#N/A</v>
      </c>
      <c r="T39" s="471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1" t="e">
        <f t="shared" si="8"/>
        <v>#N/A</v>
      </c>
      <c r="AA39" s="471"/>
    </row>
    <row r="40" spans="1:56" ht="15.75" thickBot="1">
      <c r="B40" s="600" t="str">
        <f>I29</f>
        <v>STAG</v>
      </c>
      <c r="C40" s="362">
        <f>[4]Process!D392</f>
        <v>11.6</v>
      </c>
      <c r="D40" s="527">
        <v>11.76</v>
      </c>
      <c r="E40" s="528"/>
      <c r="F40" s="294"/>
      <c r="G40" s="42"/>
      <c r="H40" s="41"/>
      <c r="I40" s="42"/>
      <c r="J40" s="531" t="s">
        <v>129</v>
      </c>
      <c r="K40" s="531"/>
      <c r="L40" s="294"/>
      <c r="M40" s="294"/>
      <c r="N40" s="294"/>
      <c r="O40" s="294"/>
      <c r="P40" s="12"/>
    </row>
    <row r="41" spans="1:56" ht="15.75" thickBot="1">
      <c r="B41" s="601"/>
      <c r="C41" s="362">
        <f>[4]Process!D393</f>
        <v>11.9</v>
      </c>
      <c r="D41" s="529"/>
      <c r="E41" s="530"/>
      <c r="F41" s="294"/>
      <c r="G41" s="42"/>
      <c r="H41" s="42"/>
      <c r="I41" s="42"/>
      <c r="J41" s="292" t="s">
        <v>17</v>
      </c>
      <c r="K41" s="293"/>
      <c r="L41" s="532" t="s">
        <v>136</v>
      </c>
      <c r="M41" s="532"/>
      <c r="N41" s="533"/>
      <c r="O41" s="294"/>
      <c r="P41" s="12"/>
    </row>
    <row r="42" spans="1:56" ht="15" customHeight="1" thickBot="1">
      <c r="B42" s="601"/>
      <c r="C42" s="349">
        <f>[4]Process!D394</f>
        <v>11.8</v>
      </c>
      <c r="D42" s="534">
        <v>11.69</v>
      </c>
      <c r="E42" s="535"/>
      <c r="F42" s="294"/>
      <c r="G42" s="42"/>
      <c r="H42" s="42"/>
      <c r="I42" s="42"/>
      <c r="J42" s="287" t="s">
        <v>6</v>
      </c>
      <c r="K42" s="324">
        <v>3</v>
      </c>
      <c r="L42" s="472" t="s">
        <v>37</v>
      </c>
      <c r="M42" s="473" t="s">
        <v>38</v>
      </c>
      <c r="N42" s="473" t="s">
        <v>84</v>
      </c>
      <c r="O42" s="294"/>
      <c r="P42" s="12"/>
    </row>
    <row r="43" spans="1:56" ht="15.75" customHeight="1" thickBot="1">
      <c r="B43" s="601"/>
      <c r="C43" s="349">
        <f>[4]Process!D395</f>
        <v>11.8</v>
      </c>
      <c r="D43" s="536"/>
      <c r="E43" s="530"/>
      <c r="F43" s="294"/>
      <c r="G43" s="42"/>
      <c r="H43" s="42"/>
      <c r="I43" s="42"/>
      <c r="J43" s="345" t="s">
        <v>9</v>
      </c>
      <c r="K43" s="324">
        <v>4</v>
      </c>
      <c r="L43" s="484">
        <f>AVERAGE('Oct 1st'!K52,'Oct 2nd'!K44,'Oct 5th'!K51,'Oct 6th'!K58,'Oct 7th'!K47,'Oct 8th '!K46,'Oct 9th-10th'!J57,'Oct 9th-10th'!K57,'Oct 12th'!K50,'Oct 13th '!K48,'Oct 14th'!K48,'Oct 15th '!K48,[17]Draw!$BBB$134,[17]Draw!$BBF$134,[17]Draw!$BBG$134,[17]Draw!$BBH$134,[17]Draw!$BBI$134,[17]Draw!$BBJ$134,K52)</f>
        <v>6.2631578947368425</v>
      </c>
      <c r="M43" s="485">
        <f>AVERAGE('[9]Jan30th-31st'!$L$47,L43,'[10]Feb 26th '!$L$39,'[11]Mar 31st'!$L$47,'[12]Apr 30th'!$L$46,'[13]May 29th '!$L$40,'[14]June 30th'!$L$39,[15]July31st!$L$41,'[16]Aug 31st'!$L$37,'[18]Sept 30th'!$L$37)</f>
        <v>6.4998499364860916</v>
      </c>
      <c r="N43" s="415">
        <v>9.1999999999999993</v>
      </c>
      <c r="O43" s="294"/>
      <c r="P43" s="12"/>
    </row>
    <row r="44" spans="1:56" ht="15" customHeight="1">
      <c r="B44" s="601"/>
      <c r="C44" s="349">
        <f>[4]Process!D396</f>
        <v>11.7</v>
      </c>
      <c r="D44" s="534">
        <v>11.88</v>
      </c>
      <c r="E44" s="535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601"/>
      <c r="C45" s="349">
        <f>[4]Process!D397</f>
        <v>11.6</v>
      </c>
      <c r="D45" s="536"/>
      <c r="E45" s="530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601"/>
      <c r="C46" s="349"/>
      <c r="D46" s="534"/>
      <c r="E46" s="535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601"/>
      <c r="C47" s="349"/>
      <c r="D47" s="536"/>
      <c r="E47" s="530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601"/>
      <c r="C48" s="349"/>
      <c r="D48" s="534"/>
      <c r="E48" s="535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thickBot="1">
      <c r="B49" s="602"/>
      <c r="C49" s="350"/>
      <c r="D49" s="537"/>
      <c r="E49" s="538"/>
      <c r="F49" s="294" t="s">
        <v>165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2:57" ht="17.649999999999999" customHeight="1" thickBot="1">
      <c r="B50" s="312" t="s">
        <v>139</v>
      </c>
      <c r="C50" s="313"/>
      <c r="D50" s="515"/>
      <c r="E50" s="516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7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42"/>
      <c r="N53" s="315"/>
      <c r="P53" s="334"/>
    </row>
    <row r="54" spans="2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2:57" ht="15" customHeight="1" thickBot="1">
      <c r="B55" s="509" t="s">
        <v>17</v>
      </c>
      <c r="C55" s="509" t="s">
        <v>44</v>
      </c>
      <c r="D55" s="518" t="s">
        <v>45</v>
      </c>
      <c r="E55" s="520" t="s">
        <v>46</v>
      </c>
      <c r="F55" s="522" t="s">
        <v>47</v>
      </c>
      <c r="G55" s="507" t="s">
        <v>48</v>
      </c>
      <c r="H55" s="509" t="s">
        <v>49</v>
      </c>
      <c r="I55" s="509" t="s">
        <v>50</v>
      </c>
      <c r="J55" s="501" t="s">
        <v>28</v>
      </c>
      <c r="K55" s="511" t="s">
        <v>51</v>
      </c>
      <c r="L55" s="513" t="s">
        <v>52</v>
      </c>
      <c r="M55" s="501" t="s">
        <v>53</v>
      </c>
      <c r="N55" s="13"/>
      <c r="O55" s="13"/>
      <c r="P55" s="50"/>
    </row>
    <row r="56" spans="2:57" ht="28.5" customHeight="1" thickTop="1" thickBot="1">
      <c r="B56" s="510"/>
      <c r="C56" s="517"/>
      <c r="D56" s="519"/>
      <c r="E56" s="521"/>
      <c r="F56" s="523"/>
      <c r="G56" s="508"/>
      <c r="H56" s="510"/>
      <c r="I56" s="510"/>
      <c r="J56" s="502"/>
      <c r="K56" s="512"/>
      <c r="L56" s="514"/>
      <c r="M56" s="502"/>
      <c r="N56" s="13"/>
      <c r="O56" s="13"/>
      <c r="P56" s="50"/>
      <c r="Q56" s="355"/>
      <c r="AB56" s="474">
        <v>43474</v>
      </c>
      <c r="AC56" s="474">
        <v>43475</v>
      </c>
      <c r="AD56" s="474">
        <v>43476</v>
      </c>
      <c r="AE56" s="474">
        <v>43477</v>
      </c>
      <c r="AF56" s="474">
        <v>43478</v>
      </c>
      <c r="AG56" s="474">
        <v>43479</v>
      </c>
      <c r="AH56" s="474">
        <v>43480</v>
      </c>
      <c r="AI56" s="474">
        <v>43481</v>
      </c>
      <c r="AJ56" s="474">
        <v>43482</v>
      </c>
      <c r="AK56" s="474">
        <v>43483</v>
      </c>
      <c r="AL56" s="474">
        <v>43484</v>
      </c>
      <c r="AM56" s="474">
        <v>43485</v>
      </c>
      <c r="AN56" s="474">
        <v>43486</v>
      </c>
      <c r="AO56" s="474">
        <v>43487</v>
      </c>
      <c r="AP56" s="474">
        <v>43488</v>
      </c>
      <c r="AQ56" s="474">
        <v>43489</v>
      </c>
      <c r="AR56" s="474">
        <v>43490</v>
      </c>
      <c r="AS56" s="474">
        <v>43491</v>
      </c>
      <c r="AT56" s="474">
        <v>43492</v>
      </c>
      <c r="AU56" s="474">
        <v>43493</v>
      </c>
      <c r="AV56" s="474">
        <v>43494</v>
      </c>
      <c r="AW56" s="474">
        <v>43495</v>
      </c>
      <c r="AX56" s="474">
        <v>43496</v>
      </c>
    </row>
    <row r="57" spans="2:57" s="54" customFormat="1" ht="36.75" customHeight="1" thickBot="1">
      <c r="B57" s="455" t="str">
        <f>I28</f>
        <v>CARIB</v>
      </c>
      <c r="C57" s="478">
        <v>46322</v>
      </c>
      <c r="D57" s="444">
        <f>[19]October_2026!$AD$3</f>
        <v>401.49999999999994</v>
      </c>
      <c r="E57" s="442"/>
      <c r="F57" s="443"/>
      <c r="G57" s="443">
        <f>[19]October_2026!$AD$7</f>
        <v>367.4</v>
      </c>
      <c r="H57" s="457"/>
      <c r="I57" s="457"/>
      <c r="J57" s="447" t="s">
        <v>183</v>
      </c>
      <c r="K57" s="448">
        <f>[20]October_2026!$AD$18</f>
        <v>0.64456140350877189</v>
      </c>
      <c r="L57" s="456">
        <f>(((D57+E57)-G57)/(D57+E57))*100</f>
        <v>8.4931506849314999</v>
      </c>
      <c r="M57" s="454" t="s">
        <v>184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[21]January_2019!L5</f>
        <v>0</v>
      </c>
      <c r="AC57" s="57">
        <f>[21]January_2019!M5</f>
        <v>0</v>
      </c>
      <c r="AD57" s="57">
        <f>[21]January_2019!N5</f>
        <v>0</v>
      </c>
      <c r="AE57" s="57">
        <f>[21]January_2019!O5</f>
        <v>0</v>
      </c>
      <c r="AF57" s="57">
        <f>[21]January_2019!P5</f>
        <v>0</v>
      </c>
      <c r="AG57" s="57">
        <f>[21]January_2019!Q5</f>
        <v>0</v>
      </c>
      <c r="AH57" s="57">
        <f>[21]January_2019!R5</f>
        <v>0</v>
      </c>
      <c r="AI57" s="57">
        <f>[21]January_2019!S5</f>
        <v>0</v>
      </c>
      <c r="AJ57" s="57">
        <f>[21]January_2019!T5</f>
        <v>0</v>
      </c>
      <c r="AK57" s="57">
        <f>[21]January_2019!U5</f>
        <v>0</v>
      </c>
      <c r="AL57" s="57">
        <f>[21]January_2019!V5</f>
        <v>0</v>
      </c>
      <c r="AM57" s="57">
        <f>[21]January_2019!W5</f>
        <v>0</v>
      </c>
      <c r="AN57" s="57">
        <f>[21]January_2019!X5</f>
        <v>0</v>
      </c>
      <c r="AO57" s="57">
        <f>[21]January_2019!Y5</f>
        <v>0</v>
      </c>
      <c r="AP57" s="57">
        <f>[21]January_2019!Z5</f>
        <v>0</v>
      </c>
      <c r="AQ57" s="57">
        <f>[21]January_2019!AA5</f>
        <v>0</v>
      </c>
      <c r="AR57" s="57">
        <f>[21]January_2019!AB5</f>
        <v>0</v>
      </c>
      <c r="AS57" s="57">
        <f>[21]January_2019!AC5</f>
        <v>0</v>
      </c>
      <c r="AT57" s="57">
        <f>[21]January_2019!AD5</f>
        <v>0</v>
      </c>
      <c r="AU57" s="57">
        <f>[21]January_2019!AE5</f>
        <v>0</v>
      </c>
      <c r="AV57" s="57">
        <f>[21]January_2019!AF5</f>
        <v>0</v>
      </c>
      <c r="AW57" s="57">
        <f>[21]January_2019!AG5</f>
        <v>0</v>
      </c>
      <c r="AX57" s="277">
        <f>[21]January_2019!AH5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4.25" customHeight="1" thickBot="1">
      <c r="B58" s="479"/>
      <c r="C58" s="478"/>
      <c r="D58" s="441"/>
      <c r="E58" s="442"/>
      <c r="F58" s="443"/>
      <c r="G58" s="444"/>
      <c r="H58" s="457"/>
      <c r="I58" s="457"/>
      <c r="J58" s="475"/>
      <c r="K58" s="448"/>
      <c r="L58" s="456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[21]January_2019!L6</f>
        <v>0</v>
      </c>
      <c r="AC58" s="57">
        <f>[21]January_2019!M6</f>
        <v>0</v>
      </c>
      <c r="AD58" s="57">
        <f>[21]January_2019!N6</f>
        <v>0</v>
      </c>
      <c r="AE58" s="57">
        <f>[21]January_2019!O6</f>
        <v>0</v>
      </c>
      <c r="AF58" s="57">
        <f>[21]January_2019!P6</f>
        <v>0</v>
      </c>
      <c r="AG58" s="57">
        <f>[21]January_2019!Q6</f>
        <v>0</v>
      </c>
      <c r="AH58" s="57">
        <f>[21]January_2019!R6</f>
        <v>0</v>
      </c>
      <c r="AI58" s="57">
        <f>[21]January_2019!S6</f>
        <v>0</v>
      </c>
      <c r="AJ58" s="57">
        <f>[21]January_2019!T6</f>
        <v>0</v>
      </c>
      <c r="AK58" s="57">
        <f>[21]January_2019!U6</f>
        <v>0</v>
      </c>
      <c r="AL58" s="57">
        <f>[21]January_2019!V6</f>
        <v>0</v>
      </c>
      <c r="AM58" s="57">
        <f>[21]January_2019!W6</f>
        <v>0</v>
      </c>
      <c r="AN58" s="57">
        <f>[21]January_2019!X6</f>
        <v>0</v>
      </c>
      <c r="AO58" s="57">
        <f>[21]January_2019!Y6</f>
        <v>0</v>
      </c>
      <c r="AP58" s="57">
        <f>[21]January_2019!Z6</f>
        <v>0</v>
      </c>
      <c r="AQ58" s="57">
        <f>[21]January_2019!AA6</f>
        <v>0</v>
      </c>
      <c r="AR58" s="57">
        <f>[21]January_2019!AB6</f>
        <v>0</v>
      </c>
      <c r="AS58" s="57">
        <f>[21]January_2019!AC6</f>
        <v>0</v>
      </c>
      <c r="AT58" s="57">
        <f>[21]January_2019!AD6</f>
        <v>0</v>
      </c>
      <c r="AU58" s="57">
        <f>[21]January_2019!AE6</f>
        <v>0</v>
      </c>
      <c r="AV58" s="57">
        <f>[21]January_2019!AF6</f>
        <v>0</v>
      </c>
      <c r="AW58" s="57">
        <f>[21]January_2019!AG6</f>
        <v>0</v>
      </c>
      <c r="AX58" s="277">
        <f>[21]January_2019!AH6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37.15" customHeight="1" thickBot="1">
      <c r="B59" s="498" t="str">
        <f>B71</f>
        <v>STAG</v>
      </c>
      <c r="C59" s="478">
        <v>46322</v>
      </c>
      <c r="D59" s="441">
        <f>[19]October_2026!$AD$13</f>
        <v>295.2</v>
      </c>
      <c r="E59" s="442"/>
      <c r="F59" s="443"/>
      <c r="G59" s="443">
        <f>[19]October_2026!$AD$17</f>
        <v>277.8</v>
      </c>
      <c r="H59" s="445"/>
      <c r="I59" s="445"/>
      <c r="J59" s="447" t="s">
        <v>173</v>
      </c>
      <c r="K59" s="448">
        <f>[20]October_2026!$AD$25</f>
        <v>0.97473684210526323</v>
      </c>
      <c r="L59" s="497">
        <f>(((D59+E59)-G59)/(D59+E59))*100</f>
        <v>5.8943089430894231</v>
      </c>
      <c r="M59" s="454" t="s">
        <v>182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[21]January_2019!L7</f>
        <v>285.8</v>
      </c>
      <c r="AC59" s="57">
        <f>[21]January_2019!M7</f>
        <v>508.1</v>
      </c>
      <c r="AD59" s="57">
        <f>[21]January_2019!N7</f>
        <v>0</v>
      </c>
      <c r="AE59" s="57">
        <f>[21]January_2019!O7</f>
        <v>0</v>
      </c>
      <c r="AF59" s="57">
        <f>[21]January_2019!P7</f>
        <v>109.56666666666666</v>
      </c>
      <c r="AG59" s="57">
        <f>[21]January_2019!Q7</f>
        <v>297.64999999999998</v>
      </c>
      <c r="AH59" s="57">
        <f>[21]January_2019!R7</f>
        <v>122.3</v>
      </c>
      <c r="AI59" s="57">
        <f>[21]January_2019!S7</f>
        <v>0</v>
      </c>
      <c r="AJ59" s="57">
        <f>[21]January_2019!T7</f>
        <v>294.7</v>
      </c>
      <c r="AK59" s="57">
        <f>[21]January_2019!U7</f>
        <v>280.5</v>
      </c>
      <c r="AL59" s="57">
        <f>[21]January_2019!V7</f>
        <v>0</v>
      </c>
      <c r="AM59" s="57">
        <f>[21]January_2019!W7</f>
        <v>0</v>
      </c>
      <c r="AN59" s="57">
        <f>[21]January_2019!X7</f>
        <v>188.25</v>
      </c>
      <c r="AO59" s="57">
        <f>[21]January_2019!Y7</f>
        <v>295.7</v>
      </c>
      <c r="AP59" s="57">
        <f>[21]January_2019!Z7</f>
        <v>257.8</v>
      </c>
      <c r="AQ59" s="57">
        <f>[21]January_2019!AA7</f>
        <v>291.2</v>
      </c>
      <c r="AR59" s="57">
        <f>[21]January_2019!AB7</f>
        <v>187</v>
      </c>
      <c r="AS59" s="57">
        <f>[21]January_2019!AC7</f>
        <v>0</v>
      </c>
      <c r="AT59" s="57">
        <f>[21]January_2019!AD7</f>
        <v>0</v>
      </c>
      <c r="AU59" s="57">
        <f>[21]January_2019!AE7</f>
        <v>485.1</v>
      </c>
      <c r="AV59" s="57">
        <f>[21]January_2019!AF7</f>
        <v>171.55</v>
      </c>
      <c r="AW59" s="57">
        <f>[21]January_2019!AG7</f>
        <v>423.8</v>
      </c>
      <c r="AX59" s="277">
        <f>[21]January_2019!AH7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2:57" s="54" customFormat="1" ht="18.600000000000001" hidden="1" customHeight="1" thickBot="1">
      <c r="B60" s="477"/>
      <c r="C60" s="429"/>
      <c r="D60" s="430"/>
      <c r="E60" s="431"/>
      <c r="F60" s="432"/>
      <c r="G60" s="433"/>
      <c r="H60" s="457"/>
      <c r="I60" s="457"/>
      <c r="J60" s="450"/>
      <c r="K60" s="435"/>
      <c r="L60" s="451"/>
      <c r="M60" s="420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8.65" hidden="1" customHeight="1" thickBot="1">
      <c r="B61" s="486"/>
      <c r="C61" s="478"/>
      <c r="D61" s="441"/>
      <c r="E61" s="442"/>
      <c r="F61" s="443"/>
      <c r="G61" s="444"/>
      <c r="H61" s="457"/>
      <c r="I61" s="457"/>
      <c r="J61" s="447"/>
      <c r="K61" s="458"/>
      <c r="L61" s="456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15.75" hidden="1" thickBot="1">
      <c r="B62" s="452"/>
      <c r="C62" s="429"/>
      <c r="D62" s="430"/>
      <c r="E62" s="431"/>
      <c r="F62" s="432"/>
      <c r="G62" s="433"/>
      <c r="H62" s="434"/>
      <c r="I62" s="449"/>
      <c r="J62" s="450"/>
      <c r="K62" s="435"/>
      <c r="L62" s="451"/>
      <c r="M62" s="42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37.15" hidden="1" customHeight="1" thickBot="1">
      <c r="B63" s="480"/>
      <c r="C63" s="478"/>
      <c r="D63" s="441"/>
      <c r="E63" s="442"/>
      <c r="F63" s="443"/>
      <c r="G63" s="444"/>
      <c r="H63" s="445"/>
      <c r="I63" s="446"/>
      <c r="J63" s="447"/>
      <c r="K63" s="448"/>
      <c r="L63" s="456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2:57" s="54" customFormat="1" ht="16.5" hidden="1" customHeight="1" thickBot="1">
      <c r="B64" s="436"/>
      <c r="C64" s="422"/>
      <c r="D64" s="423"/>
      <c r="E64" s="424"/>
      <c r="F64" s="425"/>
      <c r="G64" s="426"/>
      <c r="H64" s="427"/>
      <c r="I64" s="437"/>
      <c r="J64" s="438"/>
      <c r="K64" s="428"/>
      <c r="L64" s="439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4"/>
      <c r="AC64" s="414"/>
      <c r="AD64" s="414"/>
      <c r="AE64" s="414"/>
      <c r="AF64" s="414"/>
      <c r="AG64" s="414"/>
      <c r="AH64" s="414"/>
      <c r="AI64" s="414"/>
      <c r="AJ64" s="414"/>
      <c r="AK64" s="414"/>
      <c r="AL64" s="414"/>
      <c r="AM64" s="414"/>
      <c r="AN64" s="414"/>
      <c r="AO64" s="414"/>
      <c r="AP64" s="414"/>
      <c r="AQ64" s="414"/>
      <c r="AR64" s="414"/>
      <c r="AS64" s="414"/>
      <c r="AT64" s="414"/>
      <c r="AU64" s="414"/>
      <c r="AV64" s="414"/>
      <c r="AW64" s="414"/>
    </row>
    <row r="65" spans="2:57" s="54" customFormat="1" ht="37.15" hidden="1" customHeight="1" thickBot="1">
      <c r="B65" s="455"/>
      <c r="C65" s="440"/>
      <c r="D65" s="441"/>
      <c r="E65" s="442"/>
      <c r="F65" s="443"/>
      <c r="G65" s="444"/>
      <c r="H65" s="445"/>
      <c r="I65" s="446"/>
      <c r="J65" s="447"/>
      <c r="K65" s="448"/>
      <c r="L65" s="456"/>
      <c r="M65" s="453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5"/>
      <c r="C66" s="429"/>
      <c r="D66" s="459"/>
      <c r="E66" s="460"/>
      <c r="F66" s="461"/>
      <c r="G66" s="459"/>
      <c r="H66" s="462"/>
      <c r="I66" s="462"/>
      <c r="J66" s="462"/>
      <c r="K66" s="463"/>
      <c r="L66" s="464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03" t="s">
        <v>55</v>
      </c>
      <c r="C68" s="504"/>
      <c r="D68" s="504"/>
      <c r="E68" s="504"/>
      <c r="F68" s="505"/>
      <c r="G68" s="503" t="s">
        <v>56</v>
      </c>
      <c r="H68" s="504"/>
      <c r="I68" s="504"/>
      <c r="J68" s="505"/>
      <c r="K68" s="503" t="s">
        <v>51</v>
      </c>
      <c r="L68" s="504"/>
      <c r="M68" s="504"/>
      <c r="N68" s="506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65">
        <f>L57</f>
        <v>8.4931506849314999</v>
      </c>
      <c r="D70" s="76">
        <v>5.481477704408106</v>
      </c>
      <c r="E70" s="76">
        <v>6.3354503012102912</v>
      </c>
      <c r="F70" s="66">
        <v>4.8</v>
      </c>
      <c r="G70" s="65">
        <f>[19]October_2026!$AD$11</f>
        <v>9.7497067740721892</v>
      </c>
      <c r="H70" s="476">
        <v>6.5564479199602639</v>
      </c>
      <c r="I70" s="476">
        <v>6.5288336824426558</v>
      </c>
      <c r="J70" s="66">
        <v>4.8</v>
      </c>
      <c r="K70" s="67">
        <f>K57</f>
        <v>0.64456140350877189</v>
      </c>
      <c r="L70" s="194">
        <v>0.79905458089668613</v>
      </c>
      <c r="M70" s="194">
        <v>0.56582723822457437</v>
      </c>
      <c r="N70" s="68">
        <v>1</v>
      </c>
      <c r="O70" s="56"/>
      <c r="P70" s="69"/>
    </row>
    <row r="71" spans="2:57" ht="15">
      <c r="B71" s="33" t="s">
        <v>9</v>
      </c>
      <c r="C71" s="65">
        <f>L59</f>
        <v>5.8943089430894231</v>
      </c>
      <c r="D71" s="76">
        <v>6.023489932885921</v>
      </c>
      <c r="E71" s="76">
        <v>6.0337914753068773</v>
      </c>
      <c r="F71" s="66">
        <v>4.8</v>
      </c>
      <c r="G71" s="65">
        <f>[19]October_2026!$AD$21</f>
        <v>5.2802424435337194</v>
      </c>
      <c r="H71" s="76">
        <v>5.9466985114381297</v>
      </c>
      <c r="I71" s="76">
        <v>5.9288405696167494</v>
      </c>
      <c r="J71" s="66">
        <v>4.8</v>
      </c>
      <c r="K71" s="67">
        <f>K59</f>
        <v>0.97473684210526323</v>
      </c>
      <c r="L71" s="194">
        <v>0.77684210526315778</v>
      </c>
      <c r="M71" s="194">
        <v>0.69064553170934861</v>
      </c>
      <c r="N71" s="68">
        <v>1</v>
      </c>
      <c r="P71" s="69"/>
    </row>
    <row r="72" spans="2:57" ht="15">
      <c r="B72" s="34" t="s">
        <v>40</v>
      </c>
      <c r="C72" s="65"/>
      <c r="D72" s="76">
        <v>7.2586328400281719</v>
      </c>
      <c r="E72" s="76">
        <v>10.57086906945613</v>
      </c>
      <c r="F72" s="66">
        <v>5.5</v>
      </c>
      <c r="G72" s="65"/>
      <c r="H72" s="76">
        <v>8.3572982592313725</v>
      </c>
      <c r="I72" s="76">
        <v>11.49802517103547</v>
      </c>
      <c r="J72" s="66">
        <v>5.5</v>
      </c>
      <c r="K72" s="67"/>
      <c r="L72" s="194">
        <v>1.385263157894737</v>
      </c>
      <c r="M72" s="194">
        <v>0.42247265385686439</v>
      </c>
      <c r="N72" s="68">
        <v>1</v>
      </c>
      <c r="P72" s="69"/>
    </row>
    <row r="73" spans="2:57" ht="15">
      <c r="B73" s="22" t="s">
        <v>33</v>
      </c>
      <c r="C73" s="65"/>
      <c r="D73" s="76">
        <v>2.6160971335586405</v>
      </c>
      <c r="E73" s="76">
        <v>4.6053599467161712</v>
      </c>
      <c r="F73" s="66">
        <v>3.3</v>
      </c>
      <c r="G73" s="65"/>
      <c r="H73" s="76">
        <v>4.6522194119603313</v>
      </c>
      <c r="I73" s="76">
        <v>4.8325383920386296</v>
      </c>
      <c r="J73" s="66">
        <v>3.3</v>
      </c>
      <c r="K73" s="67"/>
      <c r="L73" s="194">
        <v>1.1878947368421053</v>
      </c>
      <c r="M73" s="194">
        <v>0.8473099415204679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6.3233965672990236</v>
      </c>
      <c r="F75" s="70">
        <v>5.5</v>
      </c>
      <c r="G75" s="65"/>
      <c r="H75" s="76"/>
      <c r="I75" s="76">
        <v>7.9667553186446929</v>
      </c>
      <c r="J75" s="66">
        <v>5.5</v>
      </c>
      <c r="K75" s="67"/>
      <c r="L75" s="194"/>
      <c r="M75" s="194">
        <v>0.5883625730994152</v>
      </c>
      <c r="N75" s="68">
        <v>1</v>
      </c>
      <c r="P75" s="69"/>
    </row>
    <row r="76" spans="2:57" ht="15">
      <c r="B76" s="37" t="s">
        <v>16</v>
      </c>
      <c r="C76" s="481"/>
      <c r="D76" s="76">
        <v>0.84622823984524742</v>
      </c>
      <c r="E76" s="76">
        <v>3.7586797925639486</v>
      </c>
      <c r="F76" s="66">
        <v>3.3</v>
      </c>
      <c r="G76" s="282"/>
      <c r="H76" s="76">
        <v>4.0067212349015007</v>
      </c>
      <c r="I76" s="76">
        <v>5.0257518320273871</v>
      </c>
      <c r="J76" s="66">
        <v>3.3</v>
      </c>
      <c r="K76" s="67"/>
      <c r="L76" s="194">
        <v>0.71947368421052638</v>
      </c>
      <c r="M76" s="194">
        <v>0.87835004177109433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3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5.2203272443944053</v>
      </c>
      <c r="E79" s="76">
        <v>6.25967693295493</v>
      </c>
      <c r="F79" s="341">
        <v>5.5</v>
      </c>
      <c r="H79" s="76">
        <v>6.1428672461930587</v>
      </c>
      <c r="I79" s="76">
        <v>6.6043628853293717</v>
      </c>
      <c r="J79" s="341">
        <v>5.5</v>
      </c>
      <c r="L79" s="194">
        <v>0.858827485380117</v>
      </c>
      <c r="M79" s="194">
        <v>0.62067795323577113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577" priority="114" operator="notBetween">
      <formula>#REF!</formula>
      <formula>#REF!</formula>
    </cfRule>
  </conditionalFormatting>
  <conditionalFormatting sqref="C54">
    <cfRule type="cellIs" dxfId="576" priority="196" stopIfTrue="1" operator="lessThan">
      <formula>96</formula>
    </cfRule>
    <cfRule type="cellIs" dxfId="575" priority="197" stopIfTrue="1" operator="greaterThan">
      <formula>100</formula>
    </cfRule>
  </conditionalFormatting>
  <conditionalFormatting sqref="C70:C71">
    <cfRule type="cellIs" dxfId="574" priority="78" stopIfTrue="1" operator="lessThanOrEqual">
      <formula>0</formula>
    </cfRule>
    <cfRule type="cellIs" dxfId="573" priority="79" stopIfTrue="1" operator="greaterThan">
      <formula>$F70</formula>
    </cfRule>
    <cfRule type="cellIs" dxfId="572" priority="80" stopIfTrue="1" operator="lessThanOrEqual">
      <formula>0</formula>
    </cfRule>
    <cfRule type="cellIs" dxfId="571" priority="77" stopIfTrue="1" operator="greaterThan">
      <formula>$F70</formula>
    </cfRule>
  </conditionalFormatting>
  <conditionalFormatting sqref="C72:C74 C76:C78">
    <cfRule type="cellIs" dxfId="570" priority="86" stopIfTrue="1" operator="greaterThan">
      <formula>$F75</formula>
    </cfRule>
  </conditionalFormatting>
  <conditionalFormatting sqref="C72:C74">
    <cfRule type="cellIs" dxfId="569" priority="87" stopIfTrue="1" operator="lessThanOrEqual">
      <formula>0</formula>
    </cfRule>
  </conditionalFormatting>
  <conditionalFormatting sqref="C75">
    <cfRule type="cellIs" dxfId="568" priority="200" stopIfTrue="1" operator="greaterThan">
      <formula>$F70</formula>
    </cfRule>
    <cfRule type="cellIs" dxfId="567" priority="201" stopIfTrue="1" operator="lessThanOrEqual">
      <formula>0</formula>
    </cfRule>
    <cfRule type="cellIs" dxfId="566" priority="198" stopIfTrue="1" operator="greaterThan">
      <formula>$F70</formula>
    </cfRule>
    <cfRule type="cellIs" dxfId="565" priority="199" stopIfTrue="1" operator="lessThanOrEqual">
      <formula>0</formula>
    </cfRule>
  </conditionalFormatting>
  <conditionalFormatting sqref="C76:C78">
    <cfRule type="cellIs" dxfId="564" priority="88" stopIfTrue="1" operator="lessThanOrEqual">
      <formula>0</formula>
    </cfRule>
  </conditionalFormatting>
  <conditionalFormatting sqref="C81:C85">
    <cfRule type="cellIs" dxfId="563" priority="188" stopIfTrue="1" operator="lessThanOrEqual">
      <formula>0</formula>
    </cfRule>
  </conditionalFormatting>
  <conditionalFormatting sqref="C82:C85">
    <cfRule type="cellIs" dxfId="562" priority="187" stopIfTrue="1" operator="greaterThan">
      <formula>$F$81</formula>
    </cfRule>
  </conditionalFormatting>
  <conditionalFormatting sqref="C87">
    <cfRule type="cellIs" dxfId="561" priority="189" stopIfTrue="1" operator="greaterThan">
      <formula>$F$81</formula>
    </cfRule>
    <cfRule type="cellIs" dxfId="560" priority="190" stopIfTrue="1" operator="lessThanOrEqual">
      <formula>0</formula>
    </cfRule>
  </conditionalFormatting>
  <conditionalFormatting sqref="C75:D75">
    <cfRule type="cellIs" dxfId="559" priority="75" stopIfTrue="1" operator="greaterThan">
      <formula>$J75</formula>
    </cfRule>
    <cfRule type="cellIs" dxfId="558" priority="76" stopIfTrue="1" operator="lessThanOrEqual">
      <formula>0</formula>
    </cfRule>
  </conditionalFormatting>
  <conditionalFormatting sqref="C81:D81 D83:D89">
    <cfRule type="cellIs" dxfId="557" priority="182" stopIfTrue="1" operator="greaterThan">
      <formula>4.5</formula>
    </cfRule>
  </conditionalFormatting>
  <conditionalFormatting sqref="D50:D51">
    <cfRule type="cellIs" dxfId="556" priority="115" operator="notBetween">
      <formula>#REF!</formula>
      <formula>#REF!</formula>
    </cfRule>
  </conditionalFormatting>
  <conditionalFormatting sqref="D70:D74 D76:D77">
    <cfRule type="cellIs" dxfId="555" priority="85" stopIfTrue="1" operator="lessThanOrEqual">
      <formula>0</formula>
    </cfRule>
  </conditionalFormatting>
  <conditionalFormatting sqref="D70:D74 D76:D79">
    <cfRule type="cellIs" dxfId="554" priority="82" stopIfTrue="1" operator="greaterThan">
      <formula>$F70</formula>
    </cfRule>
    <cfRule type="cellIs" dxfId="553" priority="81" stopIfTrue="1" operator="lessThanOrEqual">
      <formula>0</formula>
    </cfRule>
  </conditionalFormatting>
  <conditionalFormatting sqref="D78:D79">
    <cfRule type="cellIs" dxfId="552" priority="83" stopIfTrue="1" operator="lessThanOrEqual">
      <formula>0</formula>
    </cfRule>
  </conditionalFormatting>
  <conditionalFormatting sqref="D79">
    <cfRule type="cellIs" dxfId="551" priority="84" stopIfTrue="1" operator="lessThanOrEqual">
      <formula>0</formula>
    </cfRule>
  </conditionalFormatting>
  <conditionalFormatting sqref="D81 D83:D89">
    <cfRule type="cellIs" dxfId="550" priority="183" stopIfTrue="1" operator="lessThanOrEqual">
      <formula>0</formula>
    </cfRule>
  </conditionalFormatting>
  <conditionalFormatting sqref="D82">
    <cfRule type="cellIs" dxfId="549" priority="175" stopIfTrue="1" operator="lessThanOrEqual">
      <formula>0</formula>
    </cfRule>
    <cfRule type="cellIs" dxfId="548" priority="174" stopIfTrue="1" operator="greaterThan">
      <formula>$F$81</formula>
    </cfRule>
  </conditionalFormatting>
  <conditionalFormatting sqref="E10:E25">
    <cfRule type="cellIs" dxfId="547" priority="8" operator="lessThan">
      <formula>48</formula>
    </cfRule>
  </conditionalFormatting>
  <conditionalFormatting sqref="E53 E54:F54">
    <cfRule type="cellIs" dxfId="546" priority="179" stopIfTrue="1" operator="greaterThan">
      <formula>100</formula>
    </cfRule>
  </conditionalFormatting>
  <conditionalFormatting sqref="E54">
    <cfRule type="cellIs" dxfId="545" priority="176" stopIfTrue="1" operator="lessThan">
      <formula>96.8</formula>
    </cfRule>
    <cfRule type="cellIs" dxfId="544" priority="177" stopIfTrue="1" operator="greaterThan">
      <formula>100</formula>
    </cfRule>
  </conditionalFormatting>
  <conditionalFormatting sqref="E70:E78">
    <cfRule type="cellIs" dxfId="543" priority="48" stopIfTrue="1" operator="lessThanOrEqual">
      <formula>0</formula>
    </cfRule>
  </conditionalFormatting>
  <conditionalFormatting sqref="E70:E79">
    <cfRule type="cellIs" dxfId="542" priority="50" stopIfTrue="1" operator="lessThanOrEqual">
      <formula>0</formula>
    </cfRule>
    <cfRule type="cellIs" dxfId="541" priority="49" stopIfTrue="1" operator="greaterThan">
      <formula>$F70</formula>
    </cfRule>
  </conditionalFormatting>
  <conditionalFormatting sqref="E79">
    <cfRule type="cellIs" dxfId="540" priority="51" stopIfTrue="1" operator="lessThanOrEqual">
      <formula>0</formula>
    </cfRule>
  </conditionalFormatting>
  <conditionalFormatting sqref="E81:E89">
    <cfRule type="cellIs" dxfId="539" priority="168" stopIfTrue="1" operator="greaterThan">
      <formula>4.5</formula>
    </cfRule>
    <cfRule type="cellIs" dxfId="538" priority="169" stopIfTrue="1" operator="lessThanOrEqual">
      <formula>0</formula>
    </cfRule>
  </conditionalFormatting>
  <conditionalFormatting sqref="E54:F54 E53">
    <cfRule type="cellIs" dxfId="537" priority="178" stopIfTrue="1" operator="lessThan">
      <formula>96.5</formula>
    </cfRule>
  </conditionalFormatting>
  <conditionalFormatting sqref="F10:F25">
    <cfRule type="cellIs" dxfId="536" priority="9" operator="greaterThan">
      <formula>60</formula>
    </cfRule>
  </conditionalFormatting>
  <conditionalFormatting sqref="F54">
    <cfRule type="cellIs" dxfId="535" priority="195" stopIfTrue="1" operator="greaterThan">
      <formula>100</formula>
    </cfRule>
    <cfRule type="cellIs" dxfId="534" priority="194" stopIfTrue="1" operator="lessThan">
      <formula>96.8</formula>
    </cfRule>
  </conditionalFormatting>
  <conditionalFormatting sqref="G25">
    <cfRule type="expression" dxfId="533" priority="25">
      <formula>IF(+(IF(G25&lt;S25,0,IF(G25&gt;T25,0,1)))=0,1)</formula>
    </cfRule>
  </conditionalFormatting>
  <conditionalFormatting sqref="G70:G73 F79">
    <cfRule type="cellIs" dxfId="532" priority="57" stopIfTrue="1" operator="greaterThan">
      <formula>$F70</formula>
    </cfRule>
    <cfRule type="cellIs" dxfId="531" priority="58" stopIfTrue="1" operator="lessThanOrEqual">
      <formula>0</formula>
    </cfRule>
  </conditionalFormatting>
  <conditionalFormatting sqref="G72:G73">
    <cfRule type="cellIs" dxfId="530" priority="43" stopIfTrue="1" operator="greaterThan">
      <formula>$F72</formula>
    </cfRule>
    <cfRule type="cellIs" dxfId="529" priority="44" stopIfTrue="1" operator="lessThanOrEqual">
      <formula>0</formula>
    </cfRule>
  </conditionalFormatting>
  <conditionalFormatting sqref="G74:G78">
    <cfRule type="cellIs" dxfId="528" priority="60" stopIfTrue="1" operator="lessThanOrEqual">
      <formula>0</formula>
    </cfRule>
    <cfRule type="cellIs" dxfId="527" priority="59" stopIfTrue="1" operator="greaterThan">
      <formula>$J74</formula>
    </cfRule>
  </conditionalFormatting>
  <conditionalFormatting sqref="G75">
    <cfRule type="cellIs" dxfId="526" priority="203" stopIfTrue="1" operator="lessThanOrEqual">
      <formula>0</formula>
    </cfRule>
    <cfRule type="cellIs" dxfId="525" priority="202" stopIfTrue="1" operator="greaterThan">
      <formula>$F70</formula>
    </cfRule>
  </conditionalFormatting>
  <conditionalFormatting sqref="G83:G88 C86 C88">
    <cfRule type="cellIs" dxfId="524" priority="192" stopIfTrue="1" operator="lessThanOrEqual">
      <formula>0</formula>
    </cfRule>
    <cfRule type="cellIs" dxfId="523" priority="191" stopIfTrue="1" operator="greaterThan">
      <formula>4.5</formula>
    </cfRule>
  </conditionalFormatting>
  <conditionalFormatting sqref="G82:H82">
    <cfRule type="cellIs" dxfId="522" priority="172" stopIfTrue="1" operator="greaterThan">
      <formula>$F$81</formula>
    </cfRule>
    <cfRule type="cellIs" dxfId="521" priority="173" stopIfTrue="1" operator="lessThanOrEqual">
      <formula>0</formula>
    </cfRule>
  </conditionalFormatting>
  <conditionalFormatting sqref="H10:H14 H18:H25">
    <cfRule type="expression" dxfId="520" priority="21">
      <formula>IF(+(IF(H10&lt;#REF!,0,IF(H10&gt;#REF!,0,1)))=0,1)</formula>
    </cfRule>
  </conditionalFormatting>
  <conditionalFormatting sqref="H39:H40 H53">
    <cfRule type="cellIs" dxfId="519" priority="170" stopIfTrue="1" operator="greaterThan">
      <formula>0</formula>
    </cfRule>
  </conditionalFormatting>
  <conditionalFormatting sqref="H57">
    <cfRule type="cellIs" dxfId="518" priority="63" stopIfTrue="1" operator="greaterThan">
      <formula>$F$70</formula>
    </cfRule>
    <cfRule type="cellIs" dxfId="517" priority="72" stopIfTrue="1" operator="lessThanOrEqual">
      <formula>0</formula>
    </cfRule>
    <cfRule type="cellIs" dxfId="516" priority="71" stopIfTrue="1" operator="greaterThan">
      <formula>$F$73</formula>
    </cfRule>
    <cfRule type="cellIs" dxfId="515" priority="73" stopIfTrue="1" operator="greaterThan">
      <formula>$F$71</formula>
    </cfRule>
    <cfRule type="cellIs" dxfId="514" priority="62" stopIfTrue="1" operator="lessThanOrEqual">
      <formula>0</formula>
    </cfRule>
  </conditionalFormatting>
  <conditionalFormatting sqref="H57:H58">
    <cfRule type="cellIs" dxfId="513" priority="74" stopIfTrue="1" operator="lessThanOrEqual">
      <formula>0</formula>
    </cfRule>
  </conditionalFormatting>
  <conditionalFormatting sqref="H58 H60:H61">
    <cfRule type="cellIs" dxfId="512" priority="100" stopIfTrue="1" operator="lessThanOrEqual">
      <formula>0</formula>
    </cfRule>
  </conditionalFormatting>
  <conditionalFormatting sqref="H58">
    <cfRule type="cellIs" dxfId="511" priority="89" stopIfTrue="1" operator="greaterThan">
      <formula>$F$70</formula>
    </cfRule>
    <cfRule type="cellIs" dxfId="510" priority="97" stopIfTrue="1" operator="greaterThan">
      <formula>$F$73</formula>
    </cfRule>
    <cfRule type="cellIs" dxfId="509" priority="98" stopIfTrue="1" operator="lessThanOrEqual">
      <formula>0</formula>
    </cfRule>
    <cfRule type="cellIs" dxfId="508" priority="99" stopIfTrue="1" operator="greaterThan">
      <formula>$F$71</formula>
    </cfRule>
  </conditionalFormatting>
  <conditionalFormatting sqref="H59">
    <cfRule type="cellIs" dxfId="507" priority="29" stopIfTrue="1" operator="lessThanOrEqual">
      <formula>0</formula>
    </cfRule>
    <cfRule type="cellIs" dxfId="506" priority="40" stopIfTrue="1" operator="greaterThan">
      <formula>$F$73</formula>
    </cfRule>
    <cfRule type="cellIs" dxfId="505" priority="39" stopIfTrue="1" operator="lessThanOrEqual">
      <formula>0</formula>
    </cfRule>
    <cfRule type="cellIs" dxfId="504" priority="38" stopIfTrue="1" operator="greaterThan">
      <formula>$F$75</formula>
    </cfRule>
    <cfRule type="cellIs" dxfId="503" priority="30" stopIfTrue="1" operator="greaterThan">
      <formula>$F$72</formula>
    </cfRule>
    <cfRule type="cellIs" dxfId="502" priority="41" stopIfTrue="1" operator="lessThanOrEqual">
      <formula>0</formula>
    </cfRule>
  </conditionalFormatting>
  <conditionalFormatting sqref="H60:H61">
    <cfRule type="cellIs" dxfId="501" priority="113" stopIfTrue="1" operator="lessThanOrEqual">
      <formula>0</formula>
    </cfRule>
    <cfRule type="cellIs" dxfId="500" priority="112" stopIfTrue="1" operator="greaterThan">
      <formula>$F$71</formula>
    </cfRule>
    <cfRule type="cellIs" dxfId="499" priority="111" stopIfTrue="1" operator="lessThanOrEqual">
      <formula>0</formula>
    </cfRule>
    <cfRule type="cellIs" dxfId="498" priority="110" stopIfTrue="1" operator="greaterThan">
      <formula>$F$73</formula>
    </cfRule>
    <cfRule type="cellIs" dxfId="497" priority="102" stopIfTrue="1" operator="greaterThan">
      <formula>$F$70</formula>
    </cfRule>
  </conditionalFormatting>
  <conditionalFormatting sqref="H62:H63">
    <cfRule type="cellIs" dxfId="496" priority="137" stopIfTrue="1" operator="lessThanOrEqual">
      <formula>0</formula>
    </cfRule>
    <cfRule type="cellIs" dxfId="495" priority="146" stopIfTrue="1" operator="greaterThan">
      <formula>#REF!</formula>
    </cfRule>
    <cfRule type="cellIs" dxfId="494" priority="147" stopIfTrue="1" operator="lessThanOrEqual">
      <formula>0</formula>
    </cfRule>
    <cfRule type="cellIs" dxfId="493" priority="138" stopIfTrue="1" operator="greaterThan">
      <formula>#REF!</formula>
    </cfRule>
  </conditionalFormatting>
  <conditionalFormatting sqref="H64">
    <cfRule type="cellIs" dxfId="492" priority="149" stopIfTrue="1" operator="lessThanOrEqual">
      <formula>0</formula>
    </cfRule>
    <cfRule type="cellIs" dxfId="491" priority="150" stopIfTrue="1" operator="greaterThan">
      <formula>$F$38</formula>
    </cfRule>
    <cfRule type="cellIs" dxfId="490" priority="158" stopIfTrue="1" operator="greaterThan">
      <formula>$F$41</formula>
    </cfRule>
    <cfRule type="cellIs" dxfId="489" priority="159" stopIfTrue="1" operator="lessThanOrEqual">
      <formula>0</formula>
    </cfRule>
    <cfRule type="cellIs" dxfId="488" priority="160" stopIfTrue="1" operator="greaterThan">
      <formula>$F$39</formula>
    </cfRule>
    <cfRule type="cellIs" dxfId="487" priority="161" stopIfTrue="1" operator="lessThanOrEqual">
      <formula>0</formula>
    </cfRule>
  </conditionalFormatting>
  <conditionalFormatting sqref="H65:H66">
    <cfRule type="cellIs" dxfId="486" priority="134" stopIfTrue="1" operator="greaterThan">
      <formula>#REF!</formula>
    </cfRule>
    <cfRule type="cellIs" dxfId="485" priority="125" stopIfTrue="1" operator="lessThanOrEqual">
      <formula>0</formula>
    </cfRule>
    <cfRule type="cellIs" dxfId="484" priority="135" stopIfTrue="1" operator="lessThanOrEqual">
      <formula>0</formula>
    </cfRule>
    <cfRule type="cellIs" dxfId="483" priority="126" stopIfTrue="1" operator="greaterThan">
      <formula>#REF!</formula>
    </cfRule>
  </conditionalFormatting>
  <conditionalFormatting sqref="H81 H83:H89">
    <cfRule type="cellIs" dxfId="482" priority="184" stopIfTrue="1" operator="greaterThan">
      <formula>4.5</formula>
    </cfRule>
    <cfRule type="cellIs" dxfId="481" priority="185" stopIfTrue="1" operator="lessThanOrEqual">
      <formula>0</formula>
    </cfRule>
  </conditionalFormatting>
  <conditionalFormatting sqref="H57:I57">
    <cfRule type="cellIs" dxfId="480" priority="64" stopIfTrue="1" operator="lessThanOrEqual">
      <formula>0</formula>
    </cfRule>
  </conditionalFormatting>
  <conditionalFormatting sqref="H57:I58 H60:I61">
    <cfRule type="cellIs" dxfId="479" priority="61" stopIfTrue="1" operator="greaterThan">
      <formula>$F$72</formula>
    </cfRule>
  </conditionalFormatting>
  <conditionalFormatting sqref="H58:I58">
    <cfRule type="cellIs" dxfId="478" priority="90" stopIfTrue="1" operator="lessThanOrEqual">
      <formula>0</formula>
    </cfRule>
  </conditionalFormatting>
  <conditionalFormatting sqref="H59:I59">
    <cfRule type="cellIs" dxfId="477" priority="31" stopIfTrue="1" operator="lessThanOrEqual">
      <formula>0</formula>
    </cfRule>
    <cfRule type="cellIs" dxfId="476" priority="28" stopIfTrue="1" operator="greaterThan">
      <formula>$F$74</formula>
    </cfRule>
  </conditionalFormatting>
  <conditionalFormatting sqref="H60:I61">
    <cfRule type="cellIs" dxfId="475" priority="103" stopIfTrue="1" operator="lessThanOrEqual">
      <formula>0</formula>
    </cfRule>
  </conditionalFormatting>
  <conditionalFormatting sqref="H62:I63">
    <cfRule type="cellIs" dxfId="474" priority="145" stopIfTrue="1" operator="lessThanOrEqual">
      <formula>0</formula>
    </cfRule>
    <cfRule type="cellIs" dxfId="473" priority="144" stopIfTrue="1" operator="greaterThan">
      <formula>#REF!</formula>
    </cfRule>
    <cfRule type="cellIs" dxfId="472" priority="139" stopIfTrue="1" operator="lessThanOrEqual">
      <formula>0</formula>
    </cfRule>
    <cfRule type="cellIs" dxfId="471" priority="136" stopIfTrue="1" operator="greaterThan">
      <formula>#REF!</formula>
    </cfRule>
  </conditionalFormatting>
  <conditionalFormatting sqref="H64:I64">
    <cfRule type="cellIs" dxfId="470" priority="148" stopIfTrue="1" operator="greaterThan">
      <formula>$F$40</formula>
    </cfRule>
    <cfRule type="cellIs" dxfId="469" priority="151" stopIfTrue="1" operator="lessThanOrEqual">
      <formula>0</formula>
    </cfRule>
  </conditionalFormatting>
  <conditionalFormatting sqref="H65:I66">
    <cfRule type="cellIs" dxfId="468" priority="124" stopIfTrue="1" operator="greaterThan">
      <formula>#REF!</formula>
    </cfRule>
    <cfRule type="cellIs" dxfId="467" priority="127" stopIfTrue="1" operator="lessThanOrEqual">
      <formula>0</formula>
    </cfRule>
    <cfRule type="cellIs" dxfId="466" priority="133" stopIfTrue="1" operator="lessThanOrEqual">
      <formula>0</formula>
    </cfRule>
    <cfRule type="cellIs" dxfId="465" priority="132" stopIfTrue="1" operator="greaterThan">
      <formula>#REF!</formula>
    </cfRule>
  </conditionalFormatting>
  <conditionalFormatting sqref="H70:I77">
    <cfRule type="cellIs" dxfId="464" priority="46" stopIfTrue="1" operator="greaterThan">
      <formula>$J70</formula>
    </cfRule>
    <cfRule type="cellIs" dxfId="463" priority="47" stopIfTrue="1" operator="lessThanOrEqual">
      <formula>0</formula>
    </cfRule>
  </conditionalFormatting>
  <conditionalFormatting sqref="H78:I78">
    <cfRule type="cellIs" dxfId="462" priority="54" operator="greaterThan">
      <formula>5.3</formula>
    </cfRule>
  </conditionalFormatting>
  <conditionalFormatting sqref="H79:I79">
    <cfRule type="cellIs" dxfId="461" priority="53" stopIfTrue="1" operator="lessThanOrEqual">
      <formula>0</formula>
    </cfRule>
    <cfRule type="cellIs" dxfId="460" priority="52" stopIfTrue="1" operator="greaterThan">
      <formula>$J79</formula>
    </cfRule>
  </conditionalFormatting>
  <conditionalFormatting sqref="I57">
    <cfRule type="cellIs" dxfId="459" priority="67" stopIfTrue="1" operator="greaterThan">
      <formula>$F$72</formula>
    </cfRule>
    <cfRule type="cellIs" dxfId="458" priority="66" stopIfTrue="1" operator="lessThanOrEqual">
      <formula>0</formula>
    </cfRule>
    <cfRule type="cellIs" dxfId="457" priority="65" stopIfTrue="1" operator="greaterThan">
      <formula>$F$70</formula>
    </cfRule>
    <cfRule type="cellIs" dxfId="456" priority="70" stopIfTrue="1" operator="lessThanOrEqual">
      <formula>0</formula>
    </cfRule>
    <cfRule type="cellIs" dxfId="455" priority="69" stopIfTrue="1" operator="greaterThan">
      <formula>$F$70</formula>
    </cfRule>
    <cfRule type="cellIs" dxfId="454" priority="68" stopIfTrue="1" operator="lessThanOrEqual">
      <formula>0</formula>
    </cfRule>
  </conditionalFormatting>
  <conditionalFormatting sqref="I58">
    <cfRule type="cellIs" dxfId="453" priority="95" stopIfTrue="1" operator="greaterThan">
      <formula>$F$70</formula>
    </cfRule>
    <cfRule type="cellIs" dxfId="452" priority="94" stopIfTrue="1" operator="lessThanOrEqual">
      <formula>0</formula>
    </cfRule>
    <cfRule type="cellIs" dxfId="451" priority="96" stopIfTrue="1" operator="lessThanOrEqual">
      <formula>0</formula>
    </cfRule>
    <cfRule type="cellIs" dxfId="450" priority="93" stopIfTrue="1" operator="greaterThan">
      <formula>$F$72</formula>
    </cfRule>
    <cfRule type="cellIs" dxfId="449" priority="92" stopIfTrue="1" operator="lessThanOrEqual">
      <formula>0</formula>
    </cfRule>
    <cfRule type="cellIs" dxfId="448" priority="91" stopIfTrue="1" operator="greaterThan">
      <formula>$F$70</formula>
    </cfRule>
  </conditionalFormatting>
  <conditionalFormatting sqref="I59">
    <cfRule type="cellIs" dxfId="447" priority="35" stopIfTrue="1" operator="lessThanOrEqual">
      <formula>0</formula>
    </cfRule>
    <cfRule type="cellIs" dxfId="446" priority="34" stopIfTrue="1" operator="greaterThan">
      <formula>$F$74</formula>
    </cfRule>
    <cfRule type="cellIs" dxfId="445" priority="33" stopIfTrue="1" operator="lessThanOrEqual">
      <formula>0</formula>
    </cfRule>
    <cfRule type="cellIs" dxfId="444" priority="36" stopIfTrue="1" operator="greaterThan">
      <formula>$F$72</formula>
    </cfRule>
    <cfRule type="cellIs" dxfId="443" priority="32" stopIfTrue="1" operator="greaterThan">
      <formula>$F$72</formula>
    </cfRule>
    <cfRule type="cellIs" dxfId="442" priority="37" stopIfTrue="1" operator="lessThanOrEqual">
      <formula>0</formula>
    </cfRule>
  </conditionalFormatting>
  <conditionalFormatting sqref="I60:I61">
    <cfRule type="cellIs" dxfId="441" priority="107" stopIfTrue="1" operator="lessThanOrEqual">
      <formula>0</formula>
    </cfRule>
    <cfRule type="cellIs" dxfId="440" priority="108" stopIfTrue="1" operator="greaterThan">
      <formula>$F$70</formula>
    </cfRule>
    <cfRule type="cellIs" dxfId="439" priority="106" stopIfTrue="1" operator="greaterThan">
      <formula>$F$72</formula>
    </cfRule>
    <cfRule type="cellIs" dxfId="438" priority="104" stopIfTrue="1" operator="greaterThan">
      <formula>$F$70</formula>
    </cfRule>
    <cfRule type="cellIs" dxfId="437" priority="105" stopIfTrue="1" operator="lessThanOrEqual">
      <formula>0</formula>
    </cfRule>
    <cfRule type="cellIs" dxfId="436" priority="109" stopIfTrue="1" operator="lessThanOrEqual">
      <formula>0</formula>
    </cfRule>
  </conditionalFormatting>
  <conditionalFormatting sqref="I62:I63">
    <cfRule type="cellIs" dxfId="435" priority="140" stopIfTrue="1" operator="greaterThan">
      <formula>#REF!</formula>
    </cfRule>
    <cfRule type="cellIs" dxfId="434" priority="141" stopIfTrue="1" operator="lessThanOrEqual">
      <formula>0</formula>
    </cfRule>
    <cfRule type="cellIs" dxfId="433" priority="142" stopIfTrue="1" operator="greaterThan">
      <formula>#REF!</formula>
    </cfRule>
    <cfRule type="cellIs" dxfId="432" priority="143" stopIfTrue="1" operator="lessThanOrEqual">
      <formula>0</formula>
    </cfRule>
  </conditionalFormatting>
  <conditionalFormatting sqref="I64">
    <cfRule type="cellIs" dxfId="431" priority="152" stopIfTrue="1" operator="greaterThan">
      <formula>$F$38</formula>
    </cfRule>
    <cfRule type="cellIs" dxfId="430" priority="153" stopIfTrue="1" operator="lessThanOrEqual">
      <formula>0</formula>
    </cfRule>
    <cfRule type="cellIs" dxfId="429" priority="154" stopIfTrue="1" operator="greaterThan">
      <formula>$F$40</formula>
    </cfRule>
    <cfRule type="cellIs" dxfId="428" priority="156" stopIfTrue="1" operator="greaterThan">
      <formula>$F$38</formula>
    </cfRule>
    <cfRule type="cellIs" dxfId="427" priority="157" stopIfTrue="1" operator="lessThanOrEqual">
      <formula>0</formula>
    </cfRule>
    <cfRule type="cellIs" dxfId="426" priority="155" stopIfTrue="1" operator="lessThanOrEqual">
      <formula>0</formula>
    </cfRule>
  </conditionalFormatting>
  <conditionalFormatting sqref="I65:I66">
    <cfRule type="cellIs" dxfId="425" priority="128" stopIfTrue="1" operator="greaterThan">
      <formula>#REF!</formula>
    </cfRule>
    <cfRule type="cellIs" dxfId="424" priority="129" stopIfTrue="1" operator="lessThanOrEqual">
      <formula>0</formula>
    </cfRule>
    <cfRule type="cellIs" dxfId="423" priority="130" stopIfTrue="1" operator="greaterThan">
      <formula>#REF!</formula>
    </cfRule>
    <cfRule type="cellIs" dxfId="422" priority="131" stopIfTrue="1" operator="lessThanOrEqual">
      <formula>0</formula>
    </cfRule>
  </conditionalFormatting>
  <conditionalFormatting sqref="I81:I89">
    <cfRule type="cellIs" dxfId="421" priority="181" stopIfTrue="1" operator="lessThanOrEqual">
      <formula>0</formula>
    </cfRule>
    <cfRule type="cellIs" dxfId="420" priority="180" stopIfTrue="1" operator="greaterThan">
      <formula>4.5</formula>
    </cfRule>
  </conditionalFormatting>
  <conditionalFormatting sqref="I10:J25">
    <cfRule type="cellIs" dxfId="419" priority="2" operator="lessThan">
      <formula>97.9</formula>
    </cfRule>
  </conditionalFormatting>
  <conditionalFormatting sqref="J28:J30">
    <cfRule type="cellIs" dxfId="418" priority="27" operator="lessThan">
      <formula>97.95</formula>
    </cfRule>
  </conditionalFormatting>
  <conditionalFormatting sqref="J29:J32">
    <cfRule type="cellIs" dxfId="417" priority="162" operator="lessThan">
      <formula>97.4</formula>
    </cfRule>
  </conditionalFormatting>
  <conditionalFormatting sqref="J33:J34">
    <cfRule type="cellIs" dxfId="416" priority="163" operator="lessThan">
      <formula>98</formula>
    </cfRule>
  </conditionalFormatting>
  <conditionalFormatting sqref="J35:J36">
    <cfRule type="cellIs" dxfId="415" priority="165" stopIfTrue="1" operator="greaterThan">
      <formula>100</formula>
    </cfRule>
    <cfRule type="cellIs" dxfId="414" priority="164" stopIfTrue="1" operator="lessThan">
      <formula>96.8</formula>
    </cfRule>
  </conditionalFormatting>
  <conditionalFormatting sqref="J35:J37">
    <cfRule type="cellIs" dxfId="413" priority="166" operator="lessThan">
      <formula>98</formula>
    </cfRule>
  </conditionalFormatting>
  <conditionalFormatting sqref="J66">
    <cfRule type="cellIs" dxfId="412" priority="116" stopIfTrue="1" operator="greaterThan">
      <formula>#REF!</formula>
    </cfRule>
    <cfRule type="cellIs" dxfId="411" priority="117" stopIfTrue="1" operator="lessThanOrEqual">
      <formula>0</formula>
    </cfRule>
    <cfRule type="cellIs" dxfId="410" priority="119" stopIfTrue="1" operator="lessThanOrEqual">
      <formula>0</formula>
    </cfRule>
    <cfRule type="cellIs" dxfId="409" priority="120" stopIfTrue="1" operator="greaterThan">
      <formula>#REF!</formula>
    </cfRule>
    <cfRule type="cellIs" dxfId="408" priority="121" stopIfTrue="1" operator="lessThanOrEqual">
      <formula>0</formula>
    </cfRule>
    <cfRule type="cellIs" dxfId="407" priority="122" stopIfTrue="1" operator="greaterThan">
      <formula>#REF!</formula>
    </cfRule>
    <cfRule type="cellIs" dxfId="406" priority="123" stopIfTrue="1" operator="lessThanOrEqual">
      <formula>0</formula>
    </cfRule>
    <cfRule type="cellIs" dxfId="405" priority="118" stopIfTrue="1" operator="greaterThan">
      <formula>#REF!</formula>
    </cfRule>
  </conditionalFormatting>
  <conditionalFormatting sqref="J79">
    <cfRule type="cellIs" dxfId="404" priority="55" stopIfTrue="1" operator="greaterThan">
      <formula>$F79</formula>
    </cfRule>
    <cfRule type="cellIs" dxfId="403" priority="56" stopIfTrue="1" operator="lessThanOrEqual">
      <formula>0</formula>
    </cfRule>
  </conditionalFormatting>
  <conditionalFormatting sqref="K10:K25">
    <cfRule type="cellIs" dxfId="402" priority="4" operator="lessThan">
      <formula>4</formula>
    </cfRule>
    <cfRule type="cellIs" dxfId="401" priority="3" operator="greaterThan">
      <formula>6</formula>
    </cfRule>
    <cfRule type="cellIs" dxfId="400" priority="5" operator="greaterThan">
      <formula>6.4</formula>
    </cfRule>
  </conditionalFormatting>
  <conditionalFormatting sqref="K57:K66">
    <cfRule type="cellIs" dxfId="399" priority="101" stopIfTrue="1" operator="lessThan">
      <formula>100%</formula>
    </cfRule>
  </conditionalFormatting>
  <conditionalFormatting sqref="K70:K78">
    <cfRule type="cellIs" dxfId="398" priority="45" stopIfTrue="1" operator="lessThan">
      <formula>100%</formula>
    </cfRule>
  </conditionalFormatting>
  <conditionalFormatting sqref="K81:K86">
    <cfRule type="cellIs" dxfId="397" priority="186" stopIfTrue="1" operator="lessThan">
      <formula>100%</formula>
    </cfRule>
  </conditionalFormatting>
  <conditionalFormatting sqref="K88:K89">
    <cfRule type="cellIs" dxfId="396" priority="193" stopIfTrue="1" operator="lessThan">
      <formula>100%</formula>
    </cfRule>
  </conditionalFormatting>
  <conditionalFormatting sqref="L10:L25">
    <cfRule type="cellIs" dxfId="395" priority="7" operator="greaterThan">
      <formula>65</formula>
    </cfRule>
    <cfRule type="cellIs" dxfId="394" priority="6" operator="between">
      <formula>61</formula>
      <formula>65</formula>
    </cfRule>
  </conditionalFormatting>
  <conditionalFormatting sqref="L28:M39">
    <cfRule type="cellIs" dxfId="393" priority="22" operator="lessThan">
      <formula>97.95</formula>
    </cfRule>
  </conditionalFormatting>
  <conditionalFormatting sqref="L43:N43">
    <cfRule type="cellIs" dxfId="392" priority="26" operator="notEqual">
      <formula>#REF!</formula>
    </cfRule>
  </conditionalFormatting>
  <conditionalFormatting sqref="L70:N79">
    <cfRule type="cellIs" dxfId="391" priority="42" stopIfTrue="1" operator="lessThan">
      <formula>100%</formula>
    </cfRule>
  </conditionalFormatting>
  <conditionalFormatting sqref="L81:N89">
    <cfRule type="cellIs" dxfId="390" priority="171" stopIfTrue="1" operator="lessThan">
      <formula>100%</formula>
    </cfRule>
  </conditionalFormatting>
  <conditionalFormatting sqref="M25">
    <cfRule type="expression" dxfId="389" priority="24">
      <formula>IF(+(IF(M25&lt;U25,0,IF(M25&gt;V25,0,1)))=0,1)</formula>
    </cfRule>
  </conditionalFormatting>
  <conditionalFormatting sqref="M10:N24 G15:H17">
    <cfRule type="expression" dxfId="388" priority="11">
      <formula>IF(+(IF(G10&lt;#REF!,0,IF(G10&gt;#REF!,0,1)))=0,1)</formula>
    </cfRule>
  </conditionalFormatting>
  <conditionalFormatting sqref="N10:N25">
    <cfRule type="expression" dxfId="387" priority="10">
      <formula>IF(+(IF(N10&lt;W10,0,IF(N10&gt;X10,0,1)))=0,1)</formula>
    </cfRule>
  </conditionalFormatting>
  <conditionalFormatting sqref="P6">
    <cfRule type="cellIs" dxfId="386" priority="167" operator="greaterThanOrEqual">
      <formula>19</formula>
    </cfRule>
  </conditionalFormatting>
  <dataValidations count="1">
    <dataValidation type="list" allowBlank="1" showInputMessage="1" showErrorMessage="1" sqref="R8" xr:uid="{CA74976D-34E4-4E40-8E57-8A94F72A1A6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2DEA-7603-40D2-8AE0-288AE626CE8A}">
  <sheetPr>
    <pageSetUpPr fitToPage="1"/>
  </sheetPr>
  <dimension ref="A1:BE86"/>
  <sheetViews>
    <sheetView topLeftCell="A8" zoomScale="80" zoomScaleNormal="80" workbookViewId="0">
      <selection activeCell="M36" sqref="M36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49.57031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46324</v>
      </c>
      <c r="J4" s="397" t="s">
        <v>186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185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hidden="1" customHeight="1">
      <c r="B10" s="33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419"/>
      <c r="P10" s="417"/>
      <c r="R10" s="277">
        <f t="shared" ref="R10:R46" si="0">B10</f>
        <v>0</v>
      </c>
      <c r="S10" s="471" t="e">
        <f t="shared" ref="S10:S46" si="1">VLOOKUP($B10,$R$3:$X$9,2,FALSE)</f>
        <v>#N/A</v>
      </c>
      <c r="T10" s="471" t="e">
        <f t="shared" ref="T10:T46" si="2">VLOOKUP($B10,$R$3:$X$9,3,FALSE)</f>
        <v>#N/A</v>
      </c>
      <c r="U10" s="297" t="e">
        <f t="shared" ref="U10:U46" si="3">VLOOKUP($B10,$R$3:$X$9,4,FALSE)</f>
        <v>#N/A</v>
      </c>
      <c r="V10" s="297" t="e">
        <f t="shared" ref="V10:V46" si="4">VLOOKUP($B10,$R$3:$X$9,5,FALSE)</f>
        <v>#N/A</v>
      </c>
      <c r="W10" s="297" t="e">
        <f t="shared" ref="W10:W46" si="5">VLOOKUP($B10,$R$3:$X$9,6,FALSE)</f>
        <v>#N/A</v>
      </c>
      <c r="X10" s="297" t="e">
        <f t="shared" ref="X10:X46" si="6">VLOOKUP($B10,$R$3:$X$9,7,FALSE)</f>
        <v>#N/A</v>
      </c>
      <c r="Y10" s="297" t="e">
        <f t="shared" ref="Y10:Y46" si="7">VLOOKUP($B10,$R$3:$Z$9,8,FALSE)</f>
        <v>#N/A</v>
      </c>
      <c r="Z10" s="471" t="e">
        <f t="shared" ref="Z10:Z46" si="8">VLOOKUP($B10,$R$3:$Z$9,9,FALSE)</f>
        <v>#N/A</v>
      </c>
    </row>
    <row r="11" spans="2:29" ht="15" hidden="1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19"/>
      <c r="P11" s="417"/>
      <c r="R11" s="277">
        <f t="shared" si="0"/>
        <v>0</v>
      </c>
      <c r="S11" s="471" t="e">
        <f t="shared" si="1"/>
        <v>#N/A</v>
      </c>
      <c r="T11" s="471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1" t="e">
        <f t="shared" si="8"/>
        <v>#N/A</v>
      </c>
    </row>
    <row r="12" spans="2:29" ht="15" hidden="1" customHeight="1">
      <c r="B12" s="33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19"/>
      <c r="P12" s="417"/>
      <c r="R12" s="277">
        <f t="shared" si="0"/>
        <v>0</v>
      </c>
      <c r="S12" s="471" t="e">
        <f t="shared" si="1"/>
        <v>#N/A</v>
      </c>
      <c r="T12" s="471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1" t="e">
        <f t="shared" si="8"/>
        <v>#N/A</v>
      </c>
    </row>
    <row r="13" spans="2:29" ht="15" hidden="1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19"/>
      <c r="P13" s="417"/>
      <c r="R13" s="277">
        <f t="shared" si="0"/>
        <v>0</v>
      </c>
      <c r="S13" s="471" t="e">
        <f t="shared" si="1"/>
        <v>#N/A</v>
      </c>
      <c r="T13" s="471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1" t="e">
        <f t="shared" si="8"/>
        <v>#N/A</v>
      </c>
    </row>
    <row r="14" spans="2:29" ht="15" hidden="1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19"/>
      <c r="P14" s="417"/>
      <c r="R14" s="277">
        <f t="shared" si="0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19"/>
      <c r="P15" s="417"/>
      <c r="R15" s="277">
        <f t="shared" si="0"/>
        <v>0</v>
      </c>
      <c r="S15" s="471" t="e">
        <f t="shared" si="1"/>
        <v>#N/A</v>
      </c>
      <c r="T15" s="471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1" t="e">
        <f t="shared" si="8"/>
        <v>#N/A</v>
      </c>
    </row>
    <row r="16" spans="2:29" ht="1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19"/>
      <c r="P16" s="417"/>
      <c r="R16" s="277">
        <f t="shared" si="0"/>
        <v>0</v>
      </c>
      <c r="S16" s="471" t="e">
        <f t="shared" si="1"/>
        <v>#N/A</v>
      </c>
      <c r="T16" s="471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1" t="e">
        <f t="shared" si="8"/>
        <v>#N/A</v>
      </c>
    </row>
    <row r="17" spans="2:26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2:26" ht="15" customHeight="1">
      <c r="B18" s="29" t="s">
        <v>6</v>
      </c>
      <c r="C18" s="366" t="str">
        <f>[3]Brewhouse!$A848</f>
        <v>CA798</v>
      </c>
      <c r="D18" s="279">
        <f>[3]Brewhouse!$AF848</f>
        <v>48.5</v>
      </c>
      <c r="E18" s="279">
        <f>[3]Brewhouse!$AI848</f>
        <v>50.3</v>
      </c>
      <c r="F18" s="278">
        <f>[3]Brewhouse!$V848</f>
        <v>60</v>
      </c>
      <c r="G18" s="279">
        <f>[3]Brewhouse!AG848</f>
        <v>11.6</v>
      </c>
      <c r="H18" s="367"/>
      <c r="I18" s="368">
        <f>[3]Brewhouse!$AU848</f>
        <v>96.411722062178086</v>
      </c>
      <c r="J18" s="368">
        <f>[3]Brewhouse!$AV848</f>
        <v>97.274061781976002</v>
      </c>
      <c r="K18" s="281">
        <f>[3]Brewhouse!$Q848</f>
        <v>11.518518518518517</v>
      </c>
      <c r="L18" s="276">
        <f>[3]Brewhouse!$P848</f>
        <v>61</v>
      </c>
      <c r="M18" s="374">
        <f>[3]Brewhouse!$U848-[3]Brewhouse!$T848</f>
        <v>0.12291666666666667</v>
      </c>
      <c r="N18" s="370">
        <f>[3]Brewhouse!$Z848</f>
        <v>0.29236111111111113</v>
      </c>
      <c r="O18" s="419" t="str">
        <f>[3]Brewhouse!$AX848</f>
        <v>K. Benjamin</v>
      </c>
      <c r="P18" s="417"/>
      <c r="R18" s="277" t="str">
        <f t="shared" si="0"/>
        <v>CARIB</v>
      </c>
      <c r="S18" s="471">
        <f t="shared" si="1"/>
        <v>11.6</v>
      </c>
      <c r="T18" s="471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1">
        <f t="shared" si="8"/>
        <v>60</v>
      </c>
    </row>
    <row r="19" spans="2:26" ht="15" customHeight="1">
      <c r="B19" s="29" t="s">
        <v>6</v>
      </c>
      <c r="C19" s="366" t="str">
        <f>[3]Brewhouse!$A849</f>
        <v>CA799</v>
      </c>
      <c r="D19" s="279">
        <f>[3]Brewhouse!$AF849</f>
        <v>48.3</v>
      </c>
      <c r="E19" s="279">
        <f>[3]Brewhouse!$AI849</f>
        <v>49.8</v>
      </c>
      <c r="F19" s="278">
        <f>[3]Brewhouse!$V849</f>
        <v>61</v>
      </c>
      <c r="G19" s="279">
        <f>[3]Brewhouse!AG849</f>
        <v>11.6</v>
      </c>
      <c r="H19" s="396">
        <v>11.5</v>
      </c>
      <c r="I19" s="368">
        <f>[3]Brewhouse!$AU849</f>
        <v>95.453355043667358</v>
      </c>
      <c r="J19" s="368">
        <f>[3]Brewhouse!$AV849</f>
        <v>96.307122798059723</v>
      </c>
      <c r="K19" s="281">
        <f>[3]Brewhouse!$Q849</f>
        <v>12.05175600739372</v>
      </c>
      <c r="L19" s="276">
        <f>[3]Brewhouse!$P849</f>
        <v>59</v>
      </c>
      <c r="M19" s="374">
        <f>[3]Brewhouse!$U849-[3]Brewhouse!$T849</f>
        <v>0.12430555555555556</v>
      </c>
      <c r="N19" s="370">
        <f>[3]Brewhouse!$Z849</f>
        <v>0.30347222222222225</v>
      </c>
      <c r="O19" s="419" t="str">
        <f>[3]Brewhouse!$AX849</f>
        <v>D. Gomaz</v>
      </c>
      <c r="P19" s="417"/>
      <c r="R19" s="277" t="str">
        <f t="shared" si="0"/>
        <v>CARIB</v>
      </c>
      <c r="S19" s="471">
        <f t="shared" si="1"/>
        <v>11.6</v>
      </c>
      <c r="T19" s="471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1">
        <f t="shared" si="8"/>
        <v>60</v>
      </c>
    </row>
    <row r="20" spans="2:26" ht="15" customHeight="1">
      <c r="B20" s="29" t="s">
        <v>6</v>
      </c>
      <c r="C20" s="366" t="str">
        <f>[3]Brewhouse!$A850</f>
        <v>CA800</v>
      </c>
      <c r="D20" s="279">
        <f>[3]Brewhouse!$AF850</f>
        <v>51.8</v>
      </c>
      <c r="E20" s="279">
        <f>[3]Brewhouse!$AI850</f>
        <v>52.6</v>
      </c>
      <c r="F20" s="278">
        <f>[3]Brewhouse!$V850</f>
        <v>60</v>
      </c>
      <c r="G20" s="279">
        <f>[3]Brewhouse!AG850</f>
        <v>11.7</v>
      </c>
      <c r="H20" s="367"/>
      <c r="I20" s="368">
        <f>[3]Brewhouse!$AU850</f>
        <v>106.22723482965104</v>
      </c>
      <c r="J20" s="368">
        <f>[3]Brewhouse!$AV850</f>
        <v>107.17736788358437</v>
      </c>
      <c r="K20" s="281">
        <f>[3]Brewhouse!$Q850</f>
        <v>8.5397412199630267</v>
      </c>
      <c r="L20" s="276">
        <f>[3]Brewhouse!$P850</f>
        <v>59</v>
      </c>
      <c r="M20" s="374">
        <f>[3]Brewhouse!$U850-[3]Brewhouse!$T850</f>
        <v>0.10902777777777783</v>
      </c>
      <c r="N20" s="370">
        <f>[3]Brewhouse!$Z850</f>
        <v>0.23819444444444449</v>
      </c>
      <c r="O20" s="419" t="str">
        <f>[3]Brewhouse!$AX850</f>
        <v>R.Sookram</v>
      </c>
      <c r="P20" s="417"/>
      <c r="R20" s="277" t="str">
        <f t="shared" ref="R20:R37" si="9">B20</f>
        <v>CARIB</v>
      </c>
      <c r="S20" s="471">
        <f t="shared" si="1"/>
        <v>11.6</v>
      </c>
      <c r="T20" s="471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1">
        <f t="shared" si="8"/>
        <v>60</v>
      </c>
    </row>
    <row r="21" spans="2:26" ht="15" customHeight="1">
      <c r="B21" s="29" t="s">
        <v>6</v>
      </c>
      <c r="C21" s="366" t="str">
        <f>[3]Brewhouse!$A851</f>
        <v>CA801</v>
      </c>
      <c r="D21" s="279">
        <f>[3]Brewhouse!$AF851</f>
        <v>48.7</v>
      </c>
      <c r="E21" s="279">
        <f>[3]Brewhouse!$AI851</f>
        <v>48.3</v>
      </c>
      <c r="F21" s="278">
        <f>[3]Brewhouse!$V851</f>
        <v>53</v>
      </c>
      <c r="G21" s="279">
        <f>[3]Brewhouse!AG851</f>
        <v>11.9</v>
      </c>
      <c r="H21" s="396">
        <v>11.8</v>
      </c>
      <c r="I21" s="368">
        <f>[3]Brewhouse!$AU851</f>
        <v>95.098949022465632</v>
      </c>
      <c r="J21" s="368">
        <f>[3]Brewhouse!$AV851</f>
        <v>95.949546847076832</v>
      </c>
      <c r="K21" s="281">
        <f>[3]Brewhouse!$Q851</f>
        <v>11.312384473197778</v>
      </c>
      <c r="L21" s="276">
        <f>[3]Brewhouse!$P851</f>
        <v>60</v>
      </c>
      <c r="M21" s="374">
        <f>[3]Brewhouse!$U851-[3]Brewhouse!$T851</f>
        <v>0.12152777777777779</v>
      </c>
      <c r="N21" s="370">
        <f>[3]Brewhouse!$Z851</f>
        <v>0.26111111111111107</v>
      </c>
      <c r="O21" s="419" t="str">
        <f>[3]Brewhouse!$AX851</f>
        <v>R.Sookram</v>
      </c>
      <c r="P21" s="417"/>
      <c r="R21" s="277" t="str">
        <f t="shared" si="9"/>
        <v>CARIB</v>
      </c>
      <c r="S21" s="471">
        <f t="shared" si="1"/>
        <v>11.6</v>
      </c>
      <c r="T21" s="471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1">
        <f t="shared" si="8"/>
        <v>60</v>
      </c>
    </row>
    <row r="22" spans="2:26" ht="15" customHeight="1">
      <c r="B22" s="29" t="s">
        <v>6</v>
      </c>
      <c r="C22" s="366" t="str">
        <f>[3]Brewhouse!$A852</f>
        <v>CA802</v>
      </c>
      <c r="D22" s="279">
        <f>[3]Brewhouse!$AF852</f>
        <v>47.3</v>
      </c>
      <c r="E22" s="279">
        <f>[3]Brewhouse!$AI852</f>
        <v>49</v>
      </c>
      <c r="F22" s="278">
        <f>[3]Brewhouse!$V852</f>
        <v>51</v>
      </c>
      <c r="G22" s="279">
        <f>[3]Brewhouse!AG852</f>
        <v>11.8</v>
      </c>
      <c r="H22" s="396">
        <v>11.8</v>
      </c>
      <c r="I22" s="368">
        <f>[3]Brewhouse!$AU852</f>
        <v>95.624785711664998</v>
      </c>
      <c r="J22" s="368">
        <f>[3]Brewhouse!$AV852</f>
        <v>96.480086801123292</v>
      </c>
      <c r="K22" s="281">
        <f>[3]Brewhouse!$Q852</f>
        <v>13.900184842883553</v>
      </c>
      <c r="L22" s="276">
        <f>[3]Brewhouse!$P852</f>
        <v>67</v>
      </c>
      <c r="M22" s="374">
        <f>[3]Brewhouse!$U852-[3]Brewhouse!$T852</f>
        <v>0.1131944444444446</v>
      </c>
      <c r="N22" s="370">
        <f>[3]Brewhouse!$Z852</f>
        <v>0.27430555555555569</v>
      </c>
      <c r="O22" s="419" t="str">
        <f>[3]Brewhouse!$AX852</f>
        <v>R.Sookram</v>
      </c>
      <c r="P22" s="417"/>
      <c r="R22" s="277" t="str">
        <f t="shared" si="9"/>
        <v>CARIB</v>
      </c>
      <c r="S22" s="471">
        <f t="shared" si="1"/>
        <v>11.6</v>
      </c>
      <c r="T22" s="471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1">
        <f t="shared" si="8"/>
        <v>60</v>
      </c>
    </row>
    <row r="23" spans="2:26" ht="15" customHeight="1">
      <c r="B23" s="29" t="s">
        <v>6</v>
      </c>
      <c r="C23" s="366" t="str">
        <f>[3]Brewhouse!$A853</f>
        <v>CA803</v>
      </c>
      <c r="D23" s="279">
        <f>[3]Brewhouse!$AF853</f>
        <v>46.9</v>
      </c>
      <c r="E23" s="279">
        <f>[3]Brewhouse!$AI853</f>
        <v>48.9</v>
      </c>
      <c r="F23" s="278">
        <f>[3]Brewhouse!$V853</f>
        <v>51</v>
      </c>
      <c r="G23" s="279">
        <f>[3]Brewhouse!AG853</f>
        <v>12</v>
      </c>
      <c r="H23" s="396">
        <v>11.8</v>
      </c>
      <c r="I23" s="368">
        <f>[3]Brewhouse!$AU853</f>
        <v>97.130971765179197</v>
      </c>
      <c r="J23" s="368">
        <f>[3]Brewhouse!$AV853</f>
        <v>97.999744702578496</v>
      </c>
      <c r="K23" s="281">
        <f>[3]Brewhouse!$Q853</f>
        <v>14.481481481481481</v>
      </c>
      <c r="L23" s="276">
        <f>[3]Brewhouse!$P853</f>
        <v>61</v>
      </c>
      <c r="M23" s="374">
        <f>[3]Brewhouse!$U853-[3]Brewhouse!$T853</f>
        <v>0.11875000000000013</v>
      </c>
      <c r="N23" s="370">
        <f>[3]Brewhouse!$Z853</f>
        <v>0.25902777777777786</v>
      </c>
      <c r="O23" s="419" t="str">
        <f>[3]Brewhouse!$AX853</f>
        <v>R.Sookram</v>
      </c>
      <c r="P23" s="417"/>
      <c r="R23" s="277" t="str">
        <f t="shared" si="9"/>
        <v>CARIB</v>
      </c>
      <c r="S23" s="471">
        <f t="shared" si="1"/>
        <v>11.6</v>
      </c>
      <c r="T23" s="471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1">
        <f t="shared" si="8"/>
        <v>60</v>
      </c>
    </row>
    <row r="24" spans="2:26" ht="15" customHeight="1">
      <c r="B24" s="29" t="s">
        <v>6</v>
      </c>
      <c r="C24" s="366" t="str">
        <f>[3]Brewhouse!$A854</f>
        <v>CA804</v>
      </c>
      <c r="D24" s="279">
        <f>[3]Brewhouse!$AF854</f>
        <v>50.1</v>
      </c>
      <c r="E24" s="279">
        <f>[3]Brewhouse!$AI854</f>
        <v>50.4</v>
      </c>
      <c r="F24" s="278">
        <f>[3]Brewhouse!$V854</f>
        <v>53</v>
      </c>
      <c r="G24" s="279">
        <f>[3]Brewhouse!AG854</f>
        <v>12</v>
      </c>
      <c r="H24" s="396">
        <v>12.3</v>
      </c>
      <c r="I24" s="368">
        <f>[3]Brewhouse!$AU854</f>
        <v>100.11044942668777</v>
      </c>
      <c r="J24" s="368">
        <f>[3]Brewhouse!$AV854</f>
        <v>101.00587184069441</v>
      </c>
      <c r="K24" s="281">
        <f>[3]Brewhouse!$Q854</f>
        <v>8.5555555555555518</v>
      </c>
      <c r="L24" s="276">
        <f>[3]Brewhouse!$P854</f>
        <v>60</v>
      </c>
      <c r="M24" s="374">
        <f>[3]Brewhouse!$U854-[3]Brewhouse!$T854</f>
        <v>1.1229166666666666</v>
      </c>
      <c r="N24" s="370">
        <f>[3]Brewhouse!$Z854</f>
        <v>0.26041666666666663</v>
      </c>
      <c r="O24" s="419" t="str">
        <f>[3]Brewhouse!$AX854</f>
        <v>K.Benjamin</v>
      </c>
      <c r="P24" s="417"/>
      <c r="R24" s="277" t="str">
        <f t="shared" si="9"/>
        <v>CARIB</v>
      </c>
      <c r="S24" s="471">
        <f t="shared" si="1"/>
        <v>11.6</v>
      </c>
      <c r="T24" s="471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1">
        <f t="shared" si="8"/>
        <v>60</v>
      </c>
    </row>
    <row r="25" spans="2:26" ht="1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419"/>
      <c r="P25" s="417"/>
      <c r="R25" s="277">
        <f t="shared" si="9"/>
        <v>0</v>
      </c>
      <c r="S25" s="471" t="e">
        <f t="shared" si="1"/>
        <v>#N/A</v>
      </c>
      <c r="T25" s="471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1" t="e">
        <f t="shared" si="8"/>
        <v>#N/A</v>
      </c>
    </row>
    <row r="26" spans="2:26" ht="1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419"/>
      <c r="P26" s="417"/>
      <c r="R26" s="277">
        <f t="shared" si="9"/>
        <v>0</v>
      </c>
      <c r="S26" s="471" t="e">
        <f t="shared" si="1"/>
        <v>#N/A</v>
      </c>
      <c r="T26" s="471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1" t="e">
        <f t="shared" si="8"/>
        <v>#N/A</v>
      </c>
    </row>
    <row r="27" spans="2:26" ht="1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419"/>
      <c r="P27" s="417"/>
      <c r="R27" s="277">
        <f t="shared" si="9"/>
        <v>0</v>
      </c>
      <c r="S27" s="471" t="e">
        <f t="shared" si="1"/>
        <v>#N/A</v>
      </c>
      <c r="T27" s="471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1" t="e">
        <f t="shared" si="8"/>
        <v>#N/A</v>
      </c>
    </row>
    <row r="28" spans="2:26" ht="1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419"/>
      <c r="P28" s="417"/>
      <c r="R28" s="277">
        <f t="shared" si="9"/>
        <v>0</v>
      </c>
      <c r="S28" s="471" t="e">
        <f t="shared" si="1"/>
        <v>#N/A</v>
      </c>
      <c r="T28" s="471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1" t="e">
        <f t="shared" si="8"/>
        <v>#N/A</v>
      </c>
    </row>
    <row r="29" spans="2:26" ht="1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419"/>
      <c r="P29" s="417"/>
      <c r="R29" s="277">
        <f t="shared" si="9"/>
        <v>0</v>
      </c>
      <c r="S29" s="471" t="e">
        <f t="shared" si="1"/>
        <v>#N/A</v>
      </c>
      <c r="T29" s="471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1" t="e">
        <f t="shared" si="8"/>
        <v>#N/A</v>
      </c>
    </row>
    <row r="30" spans="2:26" ht="1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419"/>
      <c r="P30" s="417"/>
      <c r="R30" s="277">
        <f t="shared" si="9"/>
        <v>0</v>
      </c>
      <c r="S30" s="471" t="e">
        <f t="shared" si="1"/>
        <v>#N/A</v>
      </c>
      <c r="T30" s="471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1" t="e">
        <f t="shared" si="8"/>
        <v>#N/A</v>
      </c>
    </row>
    <row r="31" spans="2:26" ht="1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419"/>
      <c r="P31" s="417"/>
      <c r="R31" s="277">
        <f t="shared" si="9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2:26" ht="15" hidden="1" customHeight="1">
      <c r="B32" s="34"/>
      <c r="C32" s="366"/>
      <c r="D32" s="279"/>
      <c r="E32" s="279"/>
      <c r="F32" s="278"/>
      <c r="G32" s="279"/>
      <c r="H32" s="396"/>
      <c r="I32" s="487"/>
      <c r="J32" s="487"/>
      <c r="K32" s="488"/>
      <c r="L32" s="276"/>
      <c r="M32" s="374"/>
      <c r="N32" s="370"/>
      <c r="O32" s="419"/>
      <c r="P32" s="417"/>
      <c r="R32" s="277">
        <f t="shared" si="9"/>
        <v>0</v>
      </c>
      <c r="S32" s="471" t="e">
        <f t="shared" si="1"/>
        <v>#N/A</v>
      </c>
      <c r="T32" s="471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1" t="e">
        <f t="shared" si="8"/>
        <v>#N/A</v>
      </c>
    </row>
    <row r="33" spans="1:27" ht="17.25" customHeight="1" thickBot="1">
      <c r="B33" s="358"/>
      <c r="C33" s="358"/>
      <c r="D33" s="358"/>
      <c r="E33" s="358"/>
      <c r="F33" s="294"/>
      <c r="G33" s="294"/>
      <c r="H33" s="348"/>
      <c r="I33" s="539"/>
      <c r="J33" s="539"/>
      <c r="K33" s="539"/>
      <c r="L33" s="539"/>
      <c r="M33" s="539"/>
      <c r="N33" s="539"/>
      <c r="O33" s="1"/>
      <c r="P33" s="12"/>
      <c r="R33" s="277">
        <f t="shared" si="9"/>
        <v>0</v>
      </c>
      <c r="S33" s="471" t="e">
        <f t="shared" si="1"/>
        <v>#N/A</v>
      </c>
      <c r="T33" s="471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1" t="e">
        <f t="shared" si="8"/>
        <v>#N/A</v>
      </c>
    </row>
    <row r="34" spans="1:27" ht="17.25" customHeight="1" thickBot="1">
      <c r="B34" s="482" t="s">
        <v>162</v>
      </c>
      <c r="C34" s="388"/>
      <c r="D34" s="540" t="s">
        <v>35</v>
      </c>
      <c r="E34" s="541"/>
      <c r="F34" s="294"/>
      <c r="G34" s="294"/>
      <c r="H34" s="348"/>
      <c r="I34" s="24" t="s">
        <v>17</v>
      </c>
      <c r="J34" s="25"/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9"/>
        <v xml:space="preserve">BRAND </v>
      </c>
      <c r="S34" s="471" t="e">
        <f t="shared" si="1"/>
        <v>#N/A</v>
      </c>
      <c r="T34" s="471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1" t="e">
        <f t="shared" si="8"/>
        <v>#N/A</v>
      </c>
    </row>
    <row r="35" spans="1:27" ht="17.25" customHeight="1">
      <c r="A35" s="28"/>
      <c r="B35" s="603" t="str">
        <f>I36</f>
        <v>STAG</v>
      </c>
      <c r="C35" s="483">
        <f>[4]Process!D398</f>
        <v>12</v>
      </c>
      <c r="D35" s="527">
        <v>11.68</v>
      </c>
      <c r="E35" s="528"/>
      <c r="F35" s="294"/>
      <c r="G35" s="294"/>
      <c r="H35" s="348"/>
      <c r="I35" s="29" t="s">
        <v>6</v>
      </c>
      <c r="J35" s="323">
        <f>AVERAGE(I18:I24)</f>
        <v>98.008209694499143</v>
      </c>
      <c r="K35" s="284">
        <f>COUNTA([3]Brewhouse!$A$789:$A$854)</f>
        <v>66</v>
      </c>
      <c r="L35" s="305">
        <f>AVERAGE([3]Brewhouse!$AU$789:$AU$854)</f>
        <v>97.885959089220805</v>
      </c>
      <c r="M35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$854)</f>
        <v>98.294363446159508</v>
      </c>
      <c r="N35" s="30">
        <v>98</v>
      </c>
      <c r="O35" s="11"/>
      <c r="P35" s="31"/>
      <c r="R35" s="277" t="str">
        <f t="shared" si="9"/>
        <v>STAG</v>
      </c>
      <c r="S35" s="471">
        <f t="shared" si="1"/>
        <v>11.6</v>
      </c>
      <c r="T35" s="471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471">
        <f t="shared" si="8"/>
        <v>60</v>
      </c>
    </row>
    <row r="36" spans="1:27" ht="15" customHeight="1">
      <c r="A36" s="28"/>
      <c r="B36" s="601"/>
      <c r="C36" s="362">
        <f>[4]Process!D399</f>
        <v>11.6</v>
      </c>
      <c r="D36" s="529"/>
      <c r="E36" s="530"/>
      <c r="F36" s="294"/>
      <c r="G36" s="294"/>
      <c r="H36" s="348"/>
      <c r="I36" s="33" t="s">
        <v>9</v>
      </c>
      <c r="J36" s="323"/>
      <c r="K36" s="284">
        <f>COUNTA([4]Brewhouse!$A$390:$A$427)</f>
        <v>38</v>
      </c>
      <c r="L36" s="302">
        <f>AVERAGE([4]Brewhouse!$AS$390:$AS$427)</f>
        <v>97.436863892138632</v>
      </c>
      <c r="M36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$427)</f>
        <v>98.239202237165983</v>
      </c>
      <c r="N36" s="30">
        <v>98</v>
      </c>
      <c r="O36" s="11"/>
      <c r="P36" s="31"/>
      <c r="R36" s="277">
        <f t="shared" si="9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</row>
    <row r="37" spans="1:27" ht="14.65" customHeight="1">
      <c r="A37" s="28"/>
      <c r="B37" s="601"/>
      <c r="C37" s="362">
        <f>[4]Process!D400</f>
        <v>11.8</v>
      </c>
      <c r="D37" s="534">
        <v>11.9</v>
      </c>
      <c r="E37" s="535"/>
      <c r="F37" s="294"/>
      <c r="G37" s="294"/>
      <c r="H37" s="348"/>
      <c r="I37" s="34" t="s">
        <v>12</v>
      </c>
      <c r="J37" s="323"/>
      <c r="K37" s="284">
        <f>COUNTA([5]Brewhouse!$A$108:$A$115)</f>
        <v>8</v>
      </c>
      <c r="L37" s="302">
        <f>AVERAGE([5]Brewhouse!$AU$108:$AU$115)</f>
        <v>97.365395087454402</v>
      </c>
      <c r="M37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37" s="30">
        <v>98</v>
      </c>
      <c r="O37" s="11"/>
      <c r="P37" s="31"/>
      <c r="R37" s="277">
        <f t="shared" si="9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</row>
    <row r="38" spans="1:27" ht="14.65" customHeight="1">
      <c r="A38" s="28"/>
      <c r="B38" s="601"/>
      <c r="C38" s="362">
        <f>[4]Process!D401</f>
        <v>12</v>
      </c>
      <c r="D38" s="536"/>
      <c r="E38" s="530"/>
      <c r="F38" s="294"/>
      <c r="G38" s="294"/>
      <c r="H38" s="348"/>
      <c r="I38" s="22" t="s">
        <v>33</v>
      </c>
      <c r="J38" s="280"/>
      <c r="K38" s="284"/>
      <c r="L38" s="302"/>
      <c r="M38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38" s="30">
        <v>98</v>
      </c>
      <c r="O38" s="11"/>
      <c r="P38" s="31"/>
      <c r="R38" s="277">
        <f t="shared" si="0"/>
        <v>0</v>
      </c>
      <c r="S38" s="471" t="e">
        <f t="shared" si="1"/>
        <v>#N/A</v>
      </c>
      <c r="T38" s="471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1" t="e">
        <f t="shared" si="8"/>
        <v>#N/A</v>
      </c>
    </row>
    <row r="39" spans="1:27" ht="14.65" customHeight="1">
      <c r="A39" s="28"/>
      <c r="B39" s="601"/>
      <c r="C39" s="362">
        <f>[4]Process!D402</f>
        <v>11.7</v>
      </c>
      <c r="D39" s="534">
        <v>11.77</v>
      </c>
      <c r="E39" s="535"/>
      <c r="F39" s="294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>
        <f t="shared" si="0"/>
        <v>0</v>
      </c>
      <c r="S39" s="471" t="e">
        <f t="shared" si="1"/>
        <v>#N/A</v>
      </c>
      <c r="T39" s="471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1" t="e">
        <f t="shared" si="8"/>
        <v>#N/A</v>
      </c>
    </row>
    <row r="40" spans="1:27" ht="14.65" customHeight="1">
      <c r="A40" s="28"/>
      <c r="B40" s="601"/>
      <c r="C40" s="362">
        <f>[4]Process!D403</f>
        <v>11.7</v>
      </c>
      <c r="D40" s="536"/>
      <c r="E40" s="530"/>
      <c r="F40" s="416"/>
      <c r="G40" s="294"/>
      <c r="H40" s="348"/>
      <c r="I40" s="36" t="s">
        <v>15</v>
      </c>
      <c r="J40" s="323"/>
      <c r="K40" s="284"/>
      <c r="L40" s="302"/>
      <c r="M40" s="302">
        <f>AVERAGE([7]Brewhouse!$AT$4:$AT$11,[7]Brewhouse!$AT$13:$AT$16,[7]Brewhouse!$AT$18:$AT$30)</f>
        <v>93.22262799886262</v>
      </c>
      <c r="N40" s="30">
        <v>98</v>
      </c>
      <c r="O40" s="11"/>
      <c r="P40" s="31"/>
      <c r="R40" s="277">
        <f t="shared" si="0"/>
        <v>0</v>
      </c>
      <c r="S40" s="471" t="e">
        <f t="shared" si="1"/>
        <v>#N/A</v>
      </c>
      <c r="T40" s="471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1" t="e">
        <f t="shared" si="8"/>
        <v>#N/A</v>
      </c>
    </row>
    <row r="41" spans="1:27" ht="14.65" customHeight="1">
      <c r="A41" s="28"/>
      <c r="B41" s="601"/>
      <c r="C41" s="362">
        <f>[4]Process!D404</f>
        <v>11.9</v>
      </c>
      <c r="D41" s="534">
        <v>11.98</v>
      </c>
      <c r="E41" s="535"/>
      <c r="F41" s="416"/>
      <c r="G41" s="294"/>
      <c r="H41" s="348"/>
      <c r="I41" s="37" t="s">
        <v>16</v>
      </c>
      <c r="J41" s="323"/>
      <c r="K41" s="284">
        <f>COUNTA([8]Brewhouse!$A$112:$A$119)</f>
        <v>8</v>
      </c>
      <c r="L41" s="302">
        <f>AVERAGE([8]Brewhouse!$AY$112:$AY$119)</f>
        <v>96.833332758088616</v>
      </c>
      <c r="M41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41" s="30">
        <v>98</v>
      </c>
      <c r="O41" s="11"/>
      <c r="P41" s="31" t="s">
        <v>41</v>
      </c>
      <c r="R41" s="277">
        <f t="shared" si="0"/>
        <v>0</v>
      </c>
      <c r="S41" s="471" t="e">
        <f t="shared" si="1"/>
        <v>#N/A</v>
      </c>
      <c r="T41" s="471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1" t="e">
        <f t="shared" si="8"/>
        <v>#N/A</v>
      </c>
    </row>
    <row r="42" spans="1:27" ht="14.65" customHeight="1">
      <c r="A42" s="28"/>
      <c r="B42" s="601"/>
      <c r="C42" s="362">
        <f>[4]Process!D405</f>
        <v>11.7</v>
      </c>
      <c r="D42" s="536"/>
      <c r="E42" s="530"/>
      <c r="F42" s="294"/>
      <c r="G42" s="294"/>
      <c r="H42" s="348"/>
      <c r="I42" s="410" t="s">
        <v>158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0"/>
        <v>0</v>
      </c>
      <c r="S42" s="471" t="e">
        <f t="shared" si="1"/>
        <v>#N/A</v>
      </c>
      <c r="T42" s="471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1" t="e">
        <f t="shared" si="8"/>
        <v>#N/A</v>
      </c>
    </row>
    <row r="43" spans="1:27" ht="14.65" customHeight="1">
      <c r="A43" s="28"/>
      <c r="B43" s="601"/>
      <c r="C43" s="362"/>
      <c r="D43" s="534"/>
      <c r="E43" s="535"/>
      <c r="F43" s="294"/>
      <c r="G43" s="294"/>
      <c r="H43" s="348"/>
      <c r="I43" s="409" t="s">
        <v>157</v>
      </c>
      <c r="J43" s="326"/>
      <c r="K43" s="284"/>
      <c r="L43" s="305"/>
      <c r="M43" s="305"/>
      <c r="N43" s="30">
        <v>98</v>
      </c>
      <c r="O43" s="11"/>
      <c r="P43" s="31"/>
      <c r="R43" s="277">
        <f t="shared" si="0"/>
        <v>0</v>
      </c>
      <c r="S43" s="471" t="e">
        <f t="shared" si="1"/>
        <v>#N/A</v>
      </c>
      <c r="T43" s="471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1" t="e">
        <f t="shared" si="8"/>
        <v>#N/A</v>
      </c>
      <c r="AA43" s="471"/>
    </row>
    <row r="44" spans="1:27" ht="15" customHeight="1" thickBot="1">
      <c r="A44" s="28"/>
      <c r="B44" s="601"/>
      <c r="C44" s="362"/>
      <c r="D44" s="536"/>
      <c r="E44" s="530"/>
      <c r="F44" s="294"/>
      <c r="G44" s="294"/>
      <c r="H44" s="348"/>
      <c r="I44" s="405" t="s">
        <v>156</v>
      </c>
      <c r="J44" s="327"/>
      <c r="K44" s="406"/>
      <c r="L44" s="407"/>
      <c r="M44" s="407"/>
      <c r="N44" s="408">
        <v>98</v>
      </c>
      <c r="O44" s="11"/>
      <c r="P44" s="31"/>
      <c r="R44" s="277">
        <f t="shared" si="0"/>
        <v>0</v>
      </c>
      <c r="S44" s="471" t="e">
        <f t="shared" si="1"/>
        <v>#N/A</v>
      </c>
      <c r="T44" s="471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1" t="e">
        <f t="shared" si="8"/>
        <v>#N/A</v>
      </c>
      <c r="AA44" s="471"/>
    </row>
    <row r="45" spans="1:27" ht="15" customHeight="1" thickBot="1">
      <c r="A45" s="28"/>
      <c r="B45" s="601"/>
      <c r="C45" s="349"/>
      <c r="D45" s="527"/>
      <c r="E45" s="528"/>
      <c r="F45" s="294"/>
      <c r="G45" s="294"/>
      <c r="H45" s="348"/>
      <c r="I45" s="1"/>
      <c r="J45" s="39"/>
      <c r="K45" s="403">
        <f>SUM(K35:K44)</f>
        <v>120</v>
      </c>
      <c r="L45" s="404">
        <f>((L35*K35)+(L36*K36)+(L37*K37)+(L38*K38)+(L39*K39)+(K42*L42)+(L40*K40)+(L41*K41)+(L44*K44))/(K45)</f>
        <v>97.638866254618208</v>
      </c>
      <c r="M45" s="404">
        <f>AVERAGE('[9]Jan30th-31st'!$L$42,'[10]Feb 27th-28th'!$L$45,'[11]Mar 31st'!$L$42,'[12]Apr 30th'!$L$41,'[13]May 29th '!$L$35,'[14]June 30th'!$L$32,[15]July31st!$L$36,'[16]Aug 31st'!$L$32,L45)</f>
        <v>97.940335525719718</v>
      </c>
      <c r="N45" s="40">
        <v>98</v>
      </c>
      <c r="O45" s="11"/>
      <c r="P45" s="31"/>
      <c r="R45" s="277">
        <f t="shared" si="0"/>
        <v>0</v>
      </c>
      <c r="S45" s="471" t="e">
        <f t="shared" si="1"/>
        <v>#N/A</v>
      </c>
      <c r="T45" s="471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1" t="e">
        <f t="shared" si="8"/>
        <v>#N/A</v>
      </c>
      <c r="AA45" s="471"/>
    </row>
    <row r="46" spans="1:27" ht="15.75" thickBot="1">
      <c r="B46" s="604"/>
      <c r="C46" s="350"/>
      <c r="D46" s="529"/>
      <c r="E46" s="530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>
        <f t="shared" si="0"/>
        <v>0</v>
      </c>
      <c r="S46" s="471" t="e">
        <f t="shared" si="1"/>
        <v>#N/A</v>
      </c>
      <c r="T46" s="471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1" t="e">
        <f t="shared" si="8"/>
        <v>#N/A</v>
      </c>
      <c r="AA46" s="471"/>
    </row>
    <row r="47" spans="1:27" ht="15.75" thickBot="1">
      <c r="B47" s="600"/>
      <c r="C47" s="362"/>
      <c r="D47" s="527"/>
      <c r="E47" s="528"/>
      <c r="F47" s="294"/>
      <c r="G47" s="42"/>
      <c r="H47" s="41"/>
      <c r="I47" s="42"/>
      <c r="J47" s="531" t="s">
        <v>129</v>
      </c>
      <c r="K47" s="531"/>
      <c r="L47" s="294"/>
      <c r="M47" s="294"/>
      <c r="N47" s="294"/>
      <c r="O47" s="294"/>
      <c r="P47" s="12"/>
    </row>
    <row r="48" spans="1:27" ht="15.75" thickBot="1">
      <c r="B48" s="601"/>
      <c r="C48" s="362"/>
      <c r="D48" s="529"/>
      <c r="E48" s="530"/>
      <c r="F48" s="294"/>
      <c r="G48" s="42"/>
      <c r="H48" s="42"/>
      <c r="I48" s="42"/>
      <c r="J48" s="292" t="s">
        <v>17</v>
      </c>
      <c r="K48" s="293"/>
      <c r="L48" s="532" t="s">
        <v>136</v>
      </c>
      <c r="M48" s="532"/>
      <c r="N48" s="533"/>
      <c r="O48" s="294"/>
      <c r="P48" s="12"/>
    </row>
    <row r="49" spans="2:57" ht="15" customHeight="1" thickBot="1">
      <c r="B49" s="601"/>
      <c r="C49" s="349"/>
      <c r="D49" s="534"/>
      <c r="E49" s="535"/>
      <c r="F49" s="294"/>
      <c r="G49" s="42"/>
      <c r="H49" s="42"/>
      <c r="I49" s="42"/>
      <c r="J49" s="287" t="s">
        <v>6</v>
      </c>
      <c r="K49" s="324">
        <v>7</v>
      </c>
      <c r="L49" s="472" t="s">
        <v>37</v>
      </c>
      <c r="M49" s="473" t="s">
        <v>38</v>
      </c>
      <c r="N49" s="473" t="s">
        <v>84</v>
      </c>
      <c r="O49" s="294"/>
      <c r="P49" s="12"/>
    </row>
    <row r="50" spans="2:57" ht="15.75" customHeight="1" thickBot="1">
      <c r="B50" s="601"/>
      <c r="C50" s="349"/>
      <c r="D50" s="536"/>
      <c r="E50" s="530"/>
      <c r="F50" s="294"/>
      <c r="G50" s="42"/>
      <c r="H50" s="42"/>
      <c r="I50" s="42"/>
      <c r="J50" s="345" t="s">
        <v>9</v>
      </c>
      <c r="K50" s="324"/>
      <c r="L50" s="484">
        <f>AVERAGE('Oct 1st'!K52,'Oct 2nd'!K44,'Oct 5th'!K51,'Oct 6th'!K58,'Oct 7th'!K47,'Oct 8th '!K46,'Oct 9th-10th'!J57,'Oct 9th-10th'!K57,'Oct 12th'!K50,'Oct 13th '!K48,'Oct 14th'!K48,'Oct 15th '!K48,[17]Draw!$BBB$134,[17]Draw!$BBF$134,[17]Draw!$BBG$134,[17]Draw!$BBH$134,[17]Draw!$BBI$134,[17]Draw!$BBJ$134,'Oct  27th'!K52,K59)</f>
        <v>6.3</v>
      </c>
      <c r="M50" s="485">
        <f>AVERAGE('[9]Jan30th-31st'!$L$47,L50,'[10]Feb 26th '!$L$39,'[11]Mar 31st'!$L$47,'[12]Apr 30th'!$L$46,'[13]May 29th '!$L$40,'[14]June 30th'!$L$39,[15]July31st!$L$41,'[16]Aug 31st'!$L$37,'[18]Sept 30th'!$L$37)</f>
        <v>6.5035341470124077</v>
      </c>
      <c r="N50" s="415">
        <v>9.1999999999999993</v>
      </c>
      <c r="O50" s="294"/>
      <c r="P50" s="12"/>
    </row>
    <row r="51" spans="2:57" ht="15" customHeight="1">
      <c r="B51" s="601"/>
      <c r="C51" s="349"/>
      <c r="D51" s="534"/>
      <c r="E51" s="535"/>
      <c r="F51" s="294"/>
      <c r="G51" s="42"/>
      <c r="H51" s="42"/>
      <c r="I51" s="42"/>
      <c r="J51" s="288" t="s">
        <v>40</v>
      </c>
      <c r="K51" s="324"/>
      <c r="L51" s="294"/>
      <c r="M51" s="294"/>
      <c r="N51" s="294"/>
      <c r="O51" s="294"/>
      <c r="P51" s="12"/>
    </row>
    <row r="52" spans="2:57" ht="15" customHeight="1">
      <c r="B52" s="601"/>
      <c r="C52" s="349"/>
      <c r="D52" s="536"/>
      <c r="E52" s="530"/>
      <c r="F52" s="294"/>
      <c r="G52" s="42"/>
      <c r="H52" s="42"/>
      <c r="I52" s="42"/>
      <c r="J52" s="289" t="s">
        <v>33</v>
      </c>
      <c r="K52" s="324"/>
      <c r="L52" s="294"/>
      <c r="M52" s="294"/>
      <c r="N52" s="294"/>
      <c r="O52" s="294"/>
      <c r="P52" s="12"/>
    </row>
    <row r="53" spans="2:57" ht="15">
      <c r="B53" s="601"/>
      <c r="C53" s="349"/>
      <c r="D53" s="534"/>
      <c r="E53" s="535"/>
      <c r="F53" s="294"/>
      <c r="G53" s="42"/>
      <c r="H53" s="42"/>
      <c r="I53" s="42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601"/>
      <c r="C54" s="349"/>
      <c r="D54" s="536"/>
      <c r="E54" s="530"/>
      <c r="F54" s="294"/>
      <c r="G54" s="42"/>
      <c r="H54" s="42"/>
      <c r="I54" s="42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7" ht="15">
      <c r="B55" s="601"/>
      <c r="C55" s="349"/>
      <c r="D55" s="534"/>
      <c r="E55" s="535"/>
      <c r="F55" s="294"/>
      <c r="G55" s="42"/>
      <c r="H55" s="42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.75" thickBot="1">
      <c r="B56" s="602"/>
      <c r="C56" s="350"/>
      <c r="D56" s="537"/>
      <c r="E56" s="538"/>
      <c r="F56" s="294" t="s">
        <v>165</v>
      </c>
      <c r="G56" s="42"/>
      <c r="H56" s="42"/>
      <c r="I56" s="42"/>
      <c r="J56" s="291" t="s">
        <v>148</v>
      </c>
      <c r="K56" s="324"/>
      <c r="L56" s="294"/>
      <c r="M56" s="294"/>
      <c r="N56" s="294" t="s">
        <v>41</v>
      </c>
      <c r="O56" s="294"/>
      <c r="P56" s="12"/>
      <c r="BC56" s="44"/>
      <c r="BD56" s="44"/>
    </row>
    <row r="57" spans="2:57" ht="17.649999999999999" customHeight="1" thickBot="1">
      <c r="B57" s="312" t="s">
        <v>139</v>
      </c>
      <c r="C57" s="313"/>
      <c r="D57" s="515"/>
      <c r="E57" s="516"/>
      <c r="F57" s="294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649999999999999" customHeight="1">
      <c r="B58" s="363"/>
      <c r="C58" s="364"/>
      <c r="D58" s="365"/>
      <c r="E58" s="365"/>
      <c r="F58" s="294"/>
      <c r="G58" s="42"/>
      <c r="H58" s="42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42"/>
      <c r="I59" s="42"/>
      <c r="J59" s="346" t="s">
        <v>130</v>
      </c>
      <c r="K59" s="324">
        <f>SUM(K49:K58)</f>
        <v>7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42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509" t="s">
        <v>17</v>
      </c>
      <c r="C62" s="509" t="s">
        <v>44</v>
      </c>
      <c r="D62" s="518" t="s">
        <v>45</v>
      </c>
      <c r="E62" s="520" t="s">
        <v>46</v>
      </c>
      <c r="F62" s="522" t="s">
        <v>47</v>
      </c>
      <c r="G62" s="507" t="s">
        <v>48</v>
      </c>
      <c r="H62" s="509" t="s">
        <v>49</v>
      </c>
      <c r="I62" s="509" t="s">
        <v>50</v>
      </c>
      <c r="J62" s="501" t="s">
        <v>28</v>
      </c>
      <c r="K62" s="511" t="s">
        <v>51</v>
      </c>
      <c r="L62" s="513" t="s">
        <v>52</v>
      </c>
      <c r="M62" s="501" t="s">
        <v>53</v>
      </c>
      <c r="N62" s="13"/>
      <c r="O62" s="13"/>
      <c r="P62" s="50"/>
    </row>
    <row r="63" spans="2:57" ht="28.5" customHeight="1" thickTop="1" thickBot="1">
      <c r="B63" s="510"/>
      <c r="C63" s="517"/>
      <c r="D63" s="519"/>
      <c r="E63" s="521"/>
      <c r="F63" s="523"/>
      <c r="G63" s="508"/>
      <c r="H63" s="510"/>
      <c r="I63" s="510"/>
      <c r="J63" s="502"/>
      <c r="K63" s="512"/>
      <c r="L63" s="514"/>
      <c r="M63" s="502"/>
      <c r="N63" s="13"/>
      <c r="O63" s="13"/>
      <c r="P63" s="50"/>
      <c r="Q63" s="355"/>
      <c r="AB63" s="474">
        <v>43474</v>
      </c>
      <c r="AC63" s="474">
        <v>43475</v>
      </c>
      <c r="AD63" s="474">
        <v>43476</v>
      </c>
      <c r="AE63" s="474">
        <v>43477</v>
      </c>
      <c r="AF63" s="474">
        <v>43478</v>
      </c>
      <c r="AG63" s="474">
        <v>43479</v>
      </c>
      <c r="AH63" s="474">
        <v>43480</v>
      </c>
      <c r="AI63" s="474">
        <v>43481</v>
      </c>
      <c r="AJ63" s="474">
        <v>43482</v>
      </c>
      <c r="AK63" s="474">
        <v>43483</v>
      </c>
      <c r="AL63" s="474">
        <v>43484</v>
      </c>
      <c r="AM63" s="474">
        <v>43485</v>
      </c>
      <c r="AN63" s="474">
        <v>43486</v>
      </c>
      <c r="AO63" s="474">
        <v>43487</v>
      </c>
      <c r="AP63" s="474">
        <v>43488</v>
      </c>
      <c r="AQ63" s="474">
        <v>43489</v>
      </c>
      <c r="AR63" s="474">
        <v>43490</v>
      </c>
      <c r="AS63" s="474">
        <v>43491</v>
      </c>
      <c r="AT63" s="474">
        <v>43492</v>
      </c>
      <c r="AU63" s="474">
        <v>43493</v>
      </c>
      <c r="AV63" s="474">
        <v>43494</v>
      </c>
      <c r="AW63" s="474">
        <v>43495</v>
      </c>
      <c r="AX63" s="474">
        <v>43496</v>
      </c>
    </row>
    <row r="64" spans="2:57" s="54" customFormat="1" ht="36.75" customHeight="1" thickBot="1">
      <c r="B64" s="499" t="str">
        <f>B78</f>
        <v>STAG</v>
      </c>
      <c r="C64" s="478">
        <v>46323</v>
      </c>
      <c r="D64" s="444">
        <f>[19]October_2026!$AE$13</f>
        <v>386.50000000000006</v>
      </c>
      <c r="E64" s="442"/>
      <c r="F64" s="443"/>
      <c r="G64" s="443">
        <f>[19]October_2026!$AE$17</f>
        <v>363.6</v>
      </c>
      <c r="H64" s="457"/>
      <c r="I64" s="457"/>
      <c r="J64" s="447" t="s">
        <v>187</v>
      </c>
      <c r="K64" s="448">
        <f>[20]October_2026!$AE$25</f>
        <v>0.42526315789473684</v>
      </c>
      <c r="L64" s="456">
        <f>(((D64+E64)-G64)/(D64+E64))*100</f>
        <v>5.9249676584734878</v>
      </c>
      <c r="M64" s="454" t="s">
        <v>175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[21]January_2019!L5</f>
        <v>0</v>
      </c>
      <c r="AC64" s="57">
        <f>[21]January_2019!M5</f>
        <v>0</v>
      </c>
      <c r="AD64" s="57">
        <f>[21]January_2019!N5</f>
        <v>0</v>
      </c>
      <c r="AE64" s="57">
        <f>[21]January_2019!O5</f>
        <v>0</v>
      </c>
      <c r="AF64" s="57">
        <f>[21]January_2019!P5</f>
        <v>0</v>
      </c>
      <c r="AG64" s="57">
        <f>[21]January_2019!Q5</f>
        <v>0</v>
      </c>
      <c r="AH64" s="57">
        <f>[21]January_2019!R5</f>
        <v>0</v>
      </c>
      <c r="AI64" s="57">
        <f>[21]January_2019!S5</f>
        <v>0</v>
      </c>
      <c r="AJ64" s="57">
        <f>[21]January_2019!T5</f>
        <v>0</v>
      </c>
      <c r="AK64" s="57">
        <f>[21]January_2019!U5</f>
        <v>0</v>
      </c>
      <c r="AL64" s="57">
        <f>[21]January_2019!V5</f>
        <v>0</v>
      </c>
      <c r="AM64" s="57">
        <f>[21]January_2019!W5</f>
        <v>0</v>
      </c>
      <c r="AN64" s="57">
        <f>[21]January_2019!X5</f>
        <v>0</v>
      </c>
      <c r="AO64" s="57">
        <f>[21]January_2019!Y5</f>
        <v>0</v>
      </c>
      <c r="AP64" s="57">
        <f>[21]January_2019!Z5</f>
        <v>0</v>
      </c>
      <c r="AQ64" s="57">
        <f>[21]January_2019!AA5</f>
        <v>0</v>
      </c>
      <c r="AR64" s="57">
        <f>[21]January_2019!AB5</f>
        <v>0</v>
      </c>
      <c r="AS64" s="57">
        <f>[21]January_2019!AC5</f>
        <v>0</v>
      </c>
      <c r="AT64" s="57">
        <f>[21]January_2019!AD5</f>
        <v>0</v>
      </c>
      <c r="AU64" s="57">
        <f>[21]January_2019!AE5</f>
        <v>0</v>
      </c>
      <c r="AV64" s="57">
        <f>[21]January_2019!AF5</f>
        <v>0</v>
      </c>
      <c r="AW64" s="57">
        <f>[21]January_2019!AG5</f>
        <v>0</v>
      </c>
      <c r="AX64" s="277">
        <f>[21]January_2019!AH5</f>
        <v>0</v>
      </c>
      <c r="AY64" s="277"/>
      <c r="AZ64" s="277"/>
      <c r="BA64" s="277"/>
      <c r="BB64" s="277"/>
      <c r="BC64" s="277"/>
      <c r="BD64" s="277"/>
      <c r="BE64" s="277"/>
    </row>
    <row r="65" spans="2:57" s="54" customFormat="1" ht="14.25" customHeight="1" thickBot="1">
      <c r="B65" s="479"/>
      <c r="C65" s="478"/>
      <c r="D65" s="441"/>
      <c r="E65" s="442"/>
      <c r="F65" s="443"/>
      <c r="G65" s="444"/>
      <c r="H65" s="457"/>
      <c r="I65" s="457"/>
      <c r="J65" s="475"/>
      <c r="K65" s="448"/>
      <c r="L65" s="456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[21]January_2019!L6</f>
        <v>0</v>
      </c>
      <c r="AC65" s="57">
        <f>[21]January_2019!M6</f>
        <v>0</v>
      </c>
      <c r="AD65" s="57">
        <f>[21]January_2019!N6</f>
        <v>0</v>
      </c>
      <c r="AE65" s="57">
        <f>[21]January_2019!O6</f>
        <v>0</v>
      </c>
      <c r="AF65" s="57">
        <f>[21]January_2019!P6</f>
        <v>0</v>
      </c>
      <c r="AG65" s="57">
        <f>[21]January_2019!Q6</f>
        <v>0</v>
      </c>
      <c r="AH65" s="57">
        <f>[21]January_2019!R6</f>
        <v>0</v>
      </c>
      <c r="AI65" s="57">
        <f>[21]January_2019!S6</f>
        <v>0</v>
      </c>
      <c r="AJ65" s="57">
        <f>[21]January_2019!T6</f>
        <v>0</v>
      </c>
      <c r="AK65" s="57">
        <f>[21]January_2019!U6</f>
        <v>0</v>
      </c>
      <c r="AL65" s="57">
        <f>[21]January_2019!V6</f>
        <v>0</v>
      </c>
      <c r="AM65" s="57">
        <f>[21]January_2019!W6</f>
        <v>0</v>
      </c>
      <c r="AN65" s="57">
        <f>[21]January_2019!X6</f>
        <v>0</v>
      </c>
      <c r="AO65" s="57">
        <f>[21]January_2019!Y6</f>
        <v>0</v>
      </c>
      <c r="AP65" s="57">
        <f>[21]January_2019!Z6</f>
        <v>0</v>
      </c>
      <c r="AQ65" s="57">
        <f>[21]January_2019!AA6</f>
        <v>0</v>
      </c>
      <c r="AR65" s="57">
        <f>[21]January_2019!AB6</f>
        <v>0</v>
      </c>
      <c r="AS65" s="57">
        <f>[21]January_2019!AC6</f>
        <v>0</v>
      </c>
      <c r="AT65" s="57">
        <f>[21]January_2019!AD6</f>
        <v>0</v>
      </c>
      <c r="AU65" s="57">
        <f>[21]January_2019!AE6</f>
        <v>0</v>
      </c>
      <c r="AV65" s="57">
        <f>[21]January_2019!AF6</f>
        <v>0</v>
      </c>
      <c r="AW65" s="57">
        <f>[21]January_2019!AG6</f>
        <v>0</v>
      </c>
      <c r="AX65" s="277">
        <f>[21]January_2019!AH6</f>
        <v>0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98"/>
      <c r="C66" s="478"/>
      <c r="D66" s="441"/>
      <c r="E66" s="442"/>
      <c r="F66" s="443"/>
      <c r="G66" s="443"/>
      <c r="H66" s="445"/>
      <c r="I66" s="445"/>
      <c r="J66" s="447"/>
      <c r="K66" s="448"/>
      <c r="L66" s="497" t="e">
        <f>(((D66+E66)-G66)/(D66+E66))*100</f>
        <v>#DIV/0!</v>
      </c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[21]January_2019!L7</f>
        <v>285.8</v>
      </c>
      <c r="AC66" s="57">
        <f>[21]January_2019!M7</f>
        <v>508.1</v>
      </c>
      <c r="AD66" s="57">
        <f>[21]January_2019!N7</f>
        <v>0</v>
      </c>
      <c r="AE66" s="57">
        <f>[21]January_2019!O7</f>
        <v>0</v>
      </c>
      <c r="AF66" s="57">
        <f>[21]January_2019!P7</f>
        <v>109.56666666666666</v>
      </c>
      <c r="AG66" s="57">
        <f>[21]January_2019!Q7</f>
        <v>297.64999999999998</v>
      </c>
      <c r="AH66" s="57">
        <f>[21]January_2019!R7</f>
        <v>122.3</v>
      </c>
      <c r="AI66" s="57">
        <f>[21]January_2019!S7</f>
        <v>0</v>
      </c>
      <c r="AJ66" s="57">
        <f>[21]January_2019!T7</f>
        <v>294.7</v>
      </c>
      <c r="AK66" s="57">
        <f>[21]January_2019!U7</f>
        <v>280.5</v>
      </c>
      <c r="AL66" s="57">
        <f>[21]January_2019!V7</f>
        <v>0</v>
      </c>
      <c r="AM66" s="57">
        <f>[21]January_2019!W7</f>
        <v>0</v>
      </c>
      <c r="AN66" s="57">
        <f>[21]January_2019!X7</f>
        <v>188.25</v>
      </c>
      <c r="AO66" s="57">
        <f>[21]January_2019!Y7</f>
        <v>295.7</v>
      </c>
      <c r="AP66" s="57">
        <f>[21]January_2019!Z7</f>
        <v>257.8</v>
      </c>
      <c r="AQ66" s="57">
        <f>[21]January_2019!AA7</f>
        <v>291.2</v>
      </c>
      <c r="AR66" s="57">
        <f>[21]January_2019!AB7</f>
        <v>187</v>
      </c>
      <c r="AS66" s="57">
        <f>[21]January_2019!AC7</f>
        <v>0</v>
      </c>
      <c r="AT66" s="57">
        <f>[21]January_2019!AD7</f>
        <v>0</v>
      </c>
      <c r="AU66" s="57">
        <f>[21]January_2019!AE7</f>
        <v>485.1</v>
      </c>
      <c r="AV66" s="57">
        <f>[21]January_2019!AF7</f>
        <v>171.55</v>
      </c>
      <c r="AW66" s="57">
        <f>[21]January_2019!AG7</f>
        <v>423.8</v>
      </c>
      <c r="AX66" s="277">
        <f>[21]January_2019!AH7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2:57" s="54" customFormat="1" ht="18.600000000000001" hidden="1" customHeight="1" thickBot="1">
      <c r="B67" s="477"/>
      <c r="C67" s="429"/>
      <c r="D67" s="430"/>
      <c r="E67" s="431"/>
      <c r="F67" s="432"/>
      <c r="G67" s="433"/>
      <c r="H67" s="457"/>
      <c r="I67" s="457"/>
      <c r="J67" s="450"/>
      <c r="K67" s="435"/>
      <c r="L67" s="451"/>
      <c r="M67" s="42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8.65" hidden="1" customHeight="1" thickBot="1">
      <c r="B68" s="486"/>
      <c r="C68" s="478"/>
      <c r="D68" s="441"/>
      <c r="E68" s="442"/>
      <c r="F68" s="443"/>
      <c r="G68" s="444"/>
      <c r="H68" s="457"/>
      <c r="I68" s="457"/>
      <c r="J68" s="447"/>
      <c r="K68" s="458"/>
      <c r="L68" s="456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15" hidden="1">
      <c r="B69" s="452"/>
      <c r="C69" s="429"/>
      <c r="D69" s="430"/>
      <c r="E69" s="431"/>
      <c r="F69" s="432"/>
      <c r="G69" s="433"/>
      <c r="H69" s="434"/>
      <c r="I69" s="449"/>
      <c r="J69" s="450"/>
      <c r="K69" s="435"/>
      <c r="L69" s="451"/>
      <c r="M69" s="42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hidden="1" customHeight="1" thickBot="1">
      <c r="B70" s="480"/>
      <c r="C70" s="478"/>
      <c r="D70" s="441"/>
      <c r="E70" s="442"/>
      <c r="F70" s="443"/>
      <c r="G70" s="444"/>
      <c r="H70" s="445"/>
      <c r="I70" s="446"/>
      <c r="J70" s="447"/>
      <c r="K70" s="448"/>
      <c r="L70" s="456"/>
      <c r="M70" s="454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s="54" customFormat="1" ht="16.5" hidden="1" customHeight="1" thickBot="1">
      <c r="B71" s="436"/>
      <c r="C71" s="422"/>
      <c r="D71" s="423"/>
      <c r="E71" s="424"/>
      <c r="F71" s="425"/>
      <c r="G71" s="426"/>
      <c r="H71" s="427"/>
      <c r="I71" s="437"/>
      <c r="J71" s="438"/>
      <c r="K71" s="428"/>
      <c r="L71" s="439"/>
      <c r="M71" s="421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4"/>
      <c r="AC71" s="414"/>
      <c r="AD71" s="414"/>
      <c r="AE71" s="414"/>
      <c r="AF71" s="414"/>
      <c r="AG71" s="414"/>
      <c r="AH71" s="414"/>
      <c r="AI71" s="414"/>
      <c r="AJ71" s="414"/>
      <c r="AK71" s="414"/>
      <c r="AL71" s="414"/>
      <c r="AM71" s="414"/>
      <c r="AN71" s="414"/>
      <c r="AO71" s="414"/>
      <c r="AP71" s="414"/>
      <c r="AQ71" s="414"/>
      <c r="AR71" s="414"/>
      <c r="AS71" s="414"/>
      <c r="AT71" s="414"/>
      <c r="AU71" s="414"/>
      <c r="AV71" s="414"/>
      <c r="AW71" s="414"/>
    </row>
    <row r="72" spans="2:57" s="54" customFormat="1" ht="37.15" hidden="1" customHeight="1" thickBot="1">
      <c r="B72" s="455"/>
      <c r="C72" s="440"/>
      <c r="D72" s="441"/>
      <c r="E72" s="442"/>
      <c r="F72" s="443"/>
      <c r="G72" s="444"/>
      <c r="H72" s="445"/>
      <c r="I72" s="446"/>
      <c r="J72" s="447"/>
      <c r="K72" s="448"/>
      <c r="L72" s="456"/>
      <c r="M72" s="453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2:57" s="54" customFormat="1" ht="37.15" customHeight="1">
      <c r="B73" s="465"/>
      <c r="C73" s="429"/>
      <c r="D73" s="459"/>
      <c r="E73" s="460"/>
      <c r="F73" s="461"/>
      <c r="G73" s="459"/>
      <c r="H73" s="462"/>
      <c r="I73" s="462"/>
      <c r="J73" s="462"/>
      <c r="K73" s="463"/>
      <c r="L73" s="464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5.75" thickBot="1">
      <c r="B75" s="503" t="s">
        <v>55</v>
      </c>
      <c r="C75" s="504"/>
      <c r="D75" s="504"/>
      <c r="E75" s="504"/>
      <c r="F75" s="505"/>
      <c r="G75" s="503" t="s">
        <v>56</v>
      </c>
      <c r="H75" s="504"/>
      <c r="I75" s="504"/>
      <c r="J75" s="505"/>
      <c r="K75" s="503" t="s">
        <v>51</v>
      </c>
      <c r="L75" s="504"/>
      <c r="M75" s="504"/>
      <c r="N75" s="506"/>
      <c r="O75" s="56"/>
      <c r="P75" s="50"/>
    </row>
    <row r="76" spans="2:57" ht="15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2:57" ht="15">
      <c r="B77" s="29" t="s">
        <v>6</v>
      </c>
      <c r="C77" s="65"/>
      <c r="D77" s="76">
        <v>5.481477704408106</v>
      </c>
      <c r="E77" s="76">
        <v>6.3354503012102912</v>
      </c>
      <c r="F77" s="66">
        <v>4.8</v>
      </c>
      <c r="G77" s="65"/>
      <c r="H77" s="476">
        <v>6.5564479199602639</v>
      </c>
      <c r="I77" s="476">
        <v>6.5288336824426558</v>
      </c>
      <c r="J77" s="66">
        <v>4.8</v>
      </c>
      <c r="K77" s="67"/>
      <c r="L77" s="194">
        <v>0.79905458089668613</v>
      </c>
      <c r="M77" s="194">
        <v>0.56582723822457437</v>
      </c>
      <c r="N77" s="68">
        <v>1</v>
      </c>
      <c r="O77" s="56"/>
      <c r="P77" s="69"/>
    </row>
    <row r="78" spans="2:57" ht="15">
      <c r="B78" s="33" t="s">
        <v>9</v>
      </c>
      <c r="C78" s="65">
        <f>L64</f>
        <v>5.9249676584734878</v>
      </c>
      <c r="D78" s="76">
        <v>5.9993664871713683</v>
      </c>
      <c r="E78" s="76">
        <v>6.0314829247944388</v>
      </c>
      <c r="F78" s="66">
        <v>4.8</v>
      </c>
      <c r="G78" s="65">
        <f>[19]October_2026!$AE$21</f>
        <v>5.5437884350475199</v>
      </c>
      <c r="H78" s="76">
        <v>5.8480851106412217</v>
      </c>
      <c r="I78" s="76">
        <v>5.9207027133121715</v>
      </c>
      <c r="J78" s="66">
        <v>4.8</v>
      </c>
      <c r="K78" s="67">
        <f>K64</f>
        <v>0.42526315789473684</v>
      </c>
      <c r="L78" s="194">
        <v>0.70652631578947367</v>
      </c>
      <c r="M78" s="194">
        <v>0.68503389722740882</v>
      </c>
      <c r="N78" s="68">
        <v>1</v>
      </c>
      <c r="P78" s="69"/>
    </row>
    <row r="79" spans="2:57" ht="15">
      <c r="B79" s="34" t="s">
        <v>40</v>
      </c>
      <c r="C79" s="65"/>
      <c r="D79" s="76">
        <v>7.2586328400281719</v>
      </c>
      <c r="E79" s="76">
        <v>10.57086906945613</v>
      </c>
      <c r="F79" s="66">
        <v>5.5</v>
      </c>
      <c r="G79" s="65"/>
      <c r="H79" s="76">
        <v>8.3572982592313725</v>
      </c>
      <c r="I79" s="76">
        <v>11.49802517103547</v>
      </c>
      <c r="J79" s="66">
        <v>5.5</v>
      </c>
      <c r="K79" s="67"/>
      <c r="L79" s="194">
        <v>1.385263157894737</v>
      </c>
      <c r="M79" s="194">
        <v>0.42247265385686439</v>
      </c>
      <c r="N79" s="68">
        <v>1</v>
      </c>
      <c r="P79" s="69"/>
    </row>
    <row r="80" spans="2:57" ht="15">
      <c r="B80" s="22" t="s">
        <v>33</v>
      </c>
      <c r="C80" s="65"/>
      <c r="D80" s="76">
        <v>2.6160971335586405</v>
      </c>
      <c r="E80" s="76">
        <v>4.6053599467161712</v>
      </c>
      <c r="F80" s="66">
        <v>3.3</v>
      </c>
      <c r="G80" s="65"/>
      <c r="H80" s="76">
        <v>4.6522194119603313</v>
      </c>
      <c r="I80" s="76">
        <v>4.8325383920386296</v>
      </c>
      <c r="J80" s="66">
        <v>3.3</v>
      </c>
      <c r="K80" s="67"/>
      <c r="L80" s="194">
        <v>1.1878947368421053</v>
      </c>
      <c r="M80" s="194">
        <v>0.8473099415204679</v>
      </c>
      <c r="N80" s="68">
        <v>1</v>
      </c>
      <c r="P80" s="69"/>
    </row>
    <row r="81" spans="2:16" ht="15">
      <c r="B81" s="35" t="s">
        <v>164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K81" s="67"/>
      <c r="L81" s="194"/>
      <c r="M81" s="194"/>
      <c r="N81" s="68">
        <v>1</v>
      </c>
      <c r="P81" s="69"/>
    </row>
    <row r="82" spans="2:16" ht="15">
      <c r="B82" s="36" t="s">
        <v>15</v>
      </c>
      <c r="C82" s="65"/>
      <c r="D82" s="76"/>
      <c r="E82" s="76">
        <v>6.3233965672990236</v>
      </c>
      <c r="F82" s="70">
        <v>5.5</v>
      </c>
      <c r="G82" s="65"/>
      <c r="H82" s="76"/>
      <c r="I82" s="76">
        <v>7.9667553186446929</v>
      </c>
      <c r="J82" s="66">
        <v>5.5</v>
      </c>
      <c r="K82" s="67"/>
      <c r="L82" s="194"/>
      <c r="M82" s="194">
        <v>0.5883625730994152</v>
      </c>
      <c r="N82" s="68">
        <v>1</v>
      </c>
      <c r="P82" s="69"/>
    </row>
    <row r="83" spans="2:16" ht="15">
      <c r="B83" s="37" t="s">
        <v>16</v>
      </c>
      <c r="C83" s="481"/>
      <c r="D83" s="76">
        <v>0.84622823984524742</v>
      </c>
      <c r="E83" s="76">
        <v>3.7586797925639486</v>
      </c>
      <c r="F83" s="66">
        <v>3.3</v>
      </c>
      <c r="G83" s="282"/>
      <c r="H83" s="76">
        <v>4.0067212349015007</v>
      </c>
      <c r="I83" s="76">
        <v>5.0257518320273871</v>
      </c>
      <c r="J83" s="66">
        <v>3.3</v>
      </c>
      <c r="K83" s="67"/>
      <c r="L83" s="194">
        <v>0.71947368421052638</v>
      </c>
      <c r="M83" s="194">
        <v>0.87835004177109433</v>
      </c>
      <c r="N83" s="71">
        <v>1</v>
      </c>
      <c r="P83" s="69"/>
    </row>
    <row r="84" spans="2:16" ht="15.75" thickBot="1">
      <c r="B84" s="38" t="s">
        <v>163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5.75" thickBot="1">
      <c r="B85" s="413" t="s">
        <v>161</v>
      </c>
      <c r="C85" s="65"/>
      <c r="D85" s="76"/>
      <c r="E85" s="76"/>
      <c r="F85" s="66">
        <v>4.8</v>
      </c>
      <c r="G85" s="282"/>
      <c r="H85" s="76"/>
      <c r="I85" s="76"/>
      <c r="J85" s="66">
        <v>4.8</v>
      </c>
      <c r="K85" s="67"/>
      <c r="L85" s="194"/>
      <c r="M85" s="194"/>
      <c r="N85" s="71">
        <v>1</v>
      </c>
      <c r="O85" s="74"/>
      <c r="P85" s="75"/>
    </row>
    <row r="86" spans="2:16" ht="15">
      <c r="D86" s="76">
        <v>5.2607369928259065</v>
      </c>
      <c r="E86" s="76">
        <v>6.257881324960632</v>
      </c>
      <c r="F86" s="341">
        <v>5.5</v>
      </c>
      <c r="H86" s="76">
        <v>6.1130355103218408</v>
      </c>
      <c r="I86" s="76">
        <v>6.599219474669769</v>
      </c>
      <c r="J86" s="341">
        <v>5.5</v>
      </c>
      <c r="L86" s="194">
        <v>0.83818156502367036</v>
      </c>
      <c r="M86" s="194">
        <v>0.61975160670024132</v>
      </c>
      <c r="N8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B47:B56"/>
    <mergeCell ref="D47:E48"/>
    <mergeCell ref="J47:K47"/>
    <mergeCell ref="L48:N48"/>
    <mergeCell ref="D49:E50"/>
    <mergeCell ref="D51:E52"/>
    <mergeCell ref="D53:E54"/>
    <mergeCell ref="D55:E56"/>
    <mergeCell ref="D57:E57"/>
    <mergeCell ref="B62:B63"/>
    <mergeCell ref="C62:C63"/>
    <mergeCell ref="D62:D63"/>
    <mergeCell ref="E62:E63"/>
    <mergeCell ref="M62:M63"/>
    <mergeCell ref="B75:F75"/>
    <mergeCell ref="G75:J75"/>
    <mergeCell ref="K75:N75"/>
    <mergeCell ref="G62:G63"/>
    <mergeCell ref="H62:H63"/>
    <mergeCell ref="I62:I63"/>
    <mergeCell ref="J62:J63"/>
    <mergeCell ref="K62:K63"/>
    <mergeCell ref="L62:L63"/>
    <mergeCell ref="F62:F63"/>
  </mergeCells>
  <conditionalFormatting sqref="B57:B58">
    <cfRule type="cellIs" dxfId="385" priority="103" operator="notBetween">
      <formula>#REF!</formula>
      <formula>#REF!</formula>
    </cfRule>
  </conditionalFormatting>
  <conditionalFormatting sqref="C61">
    <cfRule type="cellIs" dxfId="384" priority="185" stopIfTrue="1" operator="lessThan">
      <formula>96</formula>
    </cfRule>
    <cfRule type="cellIs" dxfId="383" priority="186" stopIfTrue="1" operator="greaterThan">
      <formula>100</formula>
    </cfRule>
  </conditionalFormatting>
  <conditionalFormatting sqref="C77:C78">
    <cfRule type="cellIs" dxfId="382" priority="67" stopIfTrue="1" operator="lessThanOrEqual">
      <formula>0</formula>
    </cfRule>
    <cfRule type="cellIs" dxfId="381" priority="68" stopIfTrue="1" operator="greaterThan">
      <formula>$F77</formula>
    </cfRule>
    <cfRule type="cellIs" dxfId="380" priority="69" stopIfTrue="1" operator="lessThanOrEqual">
      <formula>0</formula>
    </cfRule>
    <cfRule type="cellIs" dxfId="379" priority="66" stopIfTrue="1" operator="greaterThan">
      <formula>$F77</formula>
    </cfRule>
  </conditionalFormatting>
  <conditionalFormatting sqref="C79:C81 C83:C85">
    <cfRule type="cellIs" dxfId="378" priority="75" stopIfTrue="1" operator="greaterThan">
      <formula>$F82</formula>
    </cfRule>
  </conditionalFormatting>
  <conditionalFormatting sqref="C79:C81">
    <cfRule type="cellIs" dxfId="377" priority="76" stopIfTrue="1" operator="lessThanOrEqual">
      <formula>0</formula>
    </cfRule>
  </conditionalFormatting>
  <conditionalFormatting sqref="C82">
    <cfRule type="cellIs" dxfId="376" priority="189" stopIfTrue="1" operator="greaterThan">
      <formula>$F77</formula>
    </cfRule>
    <cfRule type="cellIs" dxfId="375" priority="190" stopIfTrue="1" operator="lessThanOrEqual">
      <formula>0</formula>
    </cfRule>
    <cfRule type="cellIs" dxfId="374" priority="187" stopIfTrue="1" operator="greaterThan">
      <formula>$F77</formula>
    </cfRule>
    <cfRule type="cellIs" dxfId="373" priority="188" stopIfTrue="1" operator="lessThanOrEqual">
      <formula>0</formula>
    </cfRule>
  </conditionalFormatting>
  <conditionalFormatting sqref="C83:C85">
    <cfRule type="cellIs" dxfId="372" priority="77" stopIfTrue="1" operator="lessThanOrEqual">
      <formula>0</formula>
    </cfRule>
  </conditionalFormatting>
  <conditionalFormatting sqref="C88:C92">
    <cfRule type="cellIs" dxfId="371" priority="177" stopIfTrue="1" operator="lessThanOrEqual">
      <formula>0</formula>
    </cfRule>
  </conditionalFormatting>
  <conditionalFormatting sqref="C89:C92">
    <cfRule type="cellIs" dxfId="370" priority="176" stopIfTrue="1" operator="greaterThan">
      <formula>$F$88</formula>
    </cfRule>
  </conditionalFormatting>
  <conditionalFormatting sqref="C94">
    <cfRule type="cellIs" dxfId="369" priority="178" stopIfTrue="1" operator="greaterThan">
      <formula>$F$88</formula>
    </cfRule>
    <cfRule type="cellIs" dxfId="368" priority="179" stopIfTrue="1" operator="lessThanOrEqual">
      <formula>0</formula>
    </cfRule>
  </conditionalFormatting>
  <conditionalFormatting sqref="C82:D82">
    <cfRule type="cellIs" dxfId="367" priority="64" stopIfTrue="1" operator="greaterThan">
      <formula>$J82</formula>
    </cfRule>
    <cfRule type="cellIs" dxfId="366" priority="65" stopIfTrue="1" operator="lessThanOrEqual">
      <formula>0</formula>
    </cfRule>
  </conditionalFormatting>
  <conditionalFormatting sqref="C88:D88 D90:D96">
    <cfRule type="cellIs" dxfId="365" priority="171" stopIfTrue="1" operator="greaterThan">
      <formula>4.5</formula>
    </cfRule>
  </conditionalFormatting>
  <conditionalFormatting sqref="D57:D58">
    <cfRule type="cellIs" dxfId="364" priority="104" operator="notBetween">
      <formula>#REF!</formula>
      <formula>#REF!</formula>
    </cfRule>
  </conditionalFormatting>
  <conditionalFormatting sqref="D77:D81 D83:D84">
    <cfRule type="cellIs" dxfId="363" priority="74" stopIfTrue="1" operator="lessThanOrEqual">
      <formula>0</formula>
    </cfRule>
  </conditionalFormatting>
  <conditionalFormatting sqref="D77:D81 D83:D86">
    <cfRule type="cellIs" dxfId="362" priority="71" stopIfTrue="1" operator="greaterThan">
      <formula>$F77</formula>
    </cfRule>
    <cfRule type="cellIs" dxfId="361" priority="70" stopIfTrue="1" operator="lessThanOrEqual">
      <formula>0</formula>
    </cfRule>
  </conditionalFormatting>
  <conditionalFormatting sqref="D85:D86">
    <cfRule type="cellIs" dxfId="360" priority="72" stopIfTrue="1" operator="lessThanOrEqual">
      <formula>0</formula>
    </cfRule>
  </conditionalFormatting>
  <conditionalFormatting sqref="D86">
    <cfRule type="cellIs" dxfId="359" priority="73" stopIfTrue="1" operator="lessThanOrEqual">
      <formula>0</formula>
    </cfRule>
  </conditionalFormatting>
  <conditionalFormatting sqref="D88 D90:D96">
    <cfRule type="cellIs" dxfId="358" priority="172" stopIfTrue="1" operator="lessThanOrEqual">
      <formula>0</formula>
    </cfRule>
  </conditionalFormatting>
  <conditionalFormatting sqref="D89">
    <cfRule type="cellIs" dxfId="357" priority="164" stopIfTrue="1" operator="lessThanOrEqual">
      <formula>0</formula>
    </cfRule>
    <cfRule type="cellIs" dxfId="356" priority="163" stopIfTrue="1" operator="greaterThan">
      <formula>$F$88</formula>
    </cfRule>
  </conditionalFormatting>
  <conditionalFormatting sqref="E10:E32">
    <cfRule type="cellIs" dxfId="355" priority="7" operator="lessThan">
      <formula>48</formula>
    </cfRule>
  </conditionalFormatting>
  <conditionalFormatting sqref="E60 E61:F61">
    <cfRule type="cellIs" dxfId="354" priority="168" stopIfTrue="1" operator="greaterThan">
      <formula>100</formula>
    </cfRule>
  </conditionalFormatting>
  <conditionalFormatting sqref="E61">
    <cfRule type="cellIs" dxfId="353" priority="165" stopIfTrue="1" operator="lessThan">
      <formula>96.8</formula>
    </cfRule>
    <cfRule type="cellIs" dxfId="352" priority="166" stopIfTrue="1" operator="greaterThan">
      <formula>100</formula>
    </cfRule>
  </conditionalFormatting>
  <conditionalFormatting sqref="E77:E85">
    <cfRule type="cellIs" dxfId="351" priority="37" stopIfTrue="1" operator="lessThanOrEqual">
      <formula>0</formula>
    </cfRule>
  </conditionalFormatting>
  <conditionalFormatting sqref="E77:E86">
    <cfRule type="cellIs" dxfId="350" priority="39" stopIfTrue="1" operator="lessThanOrEqual">
      <formula>0</formula>
    </cfRule>
    <cfRule type="cellIs" dxfId="349" priority="38" stopIfTrue="1" operator="greaterThan">
      <formula>$F77</formula>
    </cfRule>
  </conditionalFormatting>
  <conditionalFormatting sqref="E86">
    <cfRule type="cellIs" dxfId="348" priority="40" stopIfTrue="1" operator="lessThanOrEqual">
      <formula>0</formula>
    </cfRule>
  </conditionalFormatting>
  <conditionalFormatting sqref="E88:E96">
    <cfRule type="cellIs" dxfId="347" priority="157" stopIfTrue="1" operator="greaterThan">
      <formula>4.5</formula>
    </cfRule>
    <cfRule type="cellIs" dxfId="346" priority="158" stopIfTrue="1" operator="lessThanOrEqual">
      <formula>0</formula>
    </cfRule>
  </conditionalFormatting>
  <conditionalFormatting sqref="E61:F61 E60">
    <cfRule type="cellIs" dxfId="345" priority="167" stopIfTrue="1" operator="lessThan">
      <formula>96.5</formula>
    </cfRule>
  </conditionalFormatting>
  <conditionalFormatting sqref="F10:F32">
    <cfRule type="cellIs" dxfId="344" priority="8" operator="greaterThan">
      <formula>60</formula>
    </cfRule>
  </conditionalFormatting>
  <conditionalFormatting sqref="F61">
    <cfRule type="cellIs" dxfId="343" priority="184" stopIfTrue="1" operator="greaterThan">
      <formula>100</formula>
    </cfRule>
    <cfRule type="cellIs" dxfId="342" priority="183" stopIfTrue="1" operator="lessThan">
      <formula>96.8</formula>
    </cfRule>
  </conditionalFormatting>
  <conditionalFormatting sqref="G32">
    <cfRule type="expression" dxfId="341" priority="14">
      <formula>IF(+(IF(G32&lt;S32,0,IF(G32&gt;T32,0,1)))=0,1)</formula>
    </cfRule>
  </conditionalFormatting>
  <conditionalFormatting sqref="G77:G80 F86">
    <cfRule type="cellIs" dxfId="340" priority="46" stopIfTrue="1" operator="greaterThan">
      <formula>$F77</formula>
    </cfRule>
    <cfRule type="cellIs" dxfId="339" priority="47" stopIfTrue="1" operator="lessThanOrEqual">
      <formula>0</formula>
    </cfRule>
  </conditionalFormatting>
  <conditionalFormatting sqref="G79:G80">
    <cfRule type="cellIs" dxfId="338" priority="32" stopIfTrue="1" operator="greaterThan">
      <formula>$F79</formula>
    </cfRule>
    <cfRule type="cellIs" dxfId="337" priority="33" stopIfTrue="1" operator="lessThanOrEqual">
      <formula>0</formula>
    </cfRule>
  </conditionalFormatting>
  <conditionalFormatting sqref="G81:G85">
    <cfRule type="cellIs" dxfId="336" priority="49" stopIfTrue="1" operator="lessThanOrEqual">
      <formula>0</formula>
    </cfRule>
    <cfRule type="cellIs" dxfId="335" priority="48" stopIfTrue="1" operator="greaterThan">
      <formula>$J81</formula>
    </cfRule>
  </conditionalFormatting>
  <conditionalFormatting sqref="G82">
    <cfRule type="cellIs" dxfId="334" priority="192" stopIfTrue="1" operator="lessThanOrEqual">
      <formula>0</formula>
    </cfRule>
    <cfRule type="cellIs" dxfId="333" priority="191" stopIfTrue="1" operator="greaterThan">
      <formula>$F77</formula>
    </cfRule>
  </conditionalFormatting>
  <conditionalFormatting sqref="G90:G95 C93 C95">
    <cfRule type="cellIs" dxfId="332" priority="181" stopIfTrue="1" operator="lessThanOrEqual">
      <formula>0</formula>
    </cfRule>
    <cfRule type="cellIs" dxfId="331" priority="180" stopIfTrue="1" operator="greaterThan">
      <formula>4.5</formula>
    </cfRule>
  </conditionalFormatting>
  <conditionalFormatting sqref="G89:H89">
    <cfRule type="cellIs" dxfId="330" priority="161" stopIfTrue="1" operator="greaterThan">
      <formula>$F$88</formula>
    </cfRule>
    <cfRule type="cellIs" dxfId="329" priority="162" stopIfTrue="1" operator="lessThanOrEqual">
      <formula>0</formula>
    </cfRule>
  </conditionalFormatting>
  <conditionalFormatting sqref="H10:H14 H32">
    <cfRule type="expression" dxfId="328" priority="11">
      <formula>IF(+(IF(H10&lt;#REF!,0,IF(H10&gt;#REF!,0,1)))=0,1)</formula>
    </cfRule>
  </conditionalFormatting>
  <conditionalFormatting sqref="H46:H47 H60">
    <cfRule type="cellIs" dxfId="327" priority="159" stopIfTrue="1" operator="greaterThan">
      <formula>0</formula>
    </cfRule>
  </conditionalFormatting>
  <conditionalFormatting sqref="H64">
    <cfRule type="cellIs" dxfId="326" priority="52" stopIfTrue="1" operator="greaterThan">
      <formula>$F$77</formula>
    </cfRule>
    <cfRule type="cellIs" dxfId="325" priority="61" stopIfTrue="1" operator="lessThanOrEqual">
      <formula>0</formula>
    </cfRule>
    <cfRule type="cellIs" dxfId="324" priority="60" stopIfTrue="1" operator="greaterThan">
      <formula>$F$80</formula>
    </cfRule>
    <cfRule type="cellIs" dxfId="323" priority="62" stopIfTrue="1" operator="greaterThan">
      <formula>$F$78</formula>
    </cfRule>
    <cfRule type="cellIs" dxfId="322" priority="51" stopIfTrue="1" operator="lessThanOrEqual">
      <formula>0</formula>
    </cfRule>
  </conditionalFormatting>
  <conditionalFormatting sqref="H64:H65">
    <cfRule type="cellIs" dxfId="321" priority="63" stopIfTrue="1" operator="lessThanOrEqual">
      <formula>0</formula>
    </cfRule>
  </conditionalFormatting>
  <conditionalFormatting sqref="H65 H67:H68">
    <cfRule type="cellIs" dxfId="320" priority="89" stopIfTrue="1" operator="lessThanOrEqual">
      <formula>0</formula>
    </cfRule>
  </conditionalFormatting>
  <conditionalFormatting sqref="H65">
    <cfRule type="cellIs" dxfId="319" priority="78" stopIfTrue="1" operator="greaterThan">
      <formula>$F$77</formula>
    </cfRule>
    <cfRule type="cellIs" dxfId="318" priority="86" stopIfTrue="1" operator="greaterThan">
      <formula>$F$80</formula>
    </cfRule>
    <cfRule type="cellIs" dxfId="317" priority="87" stopIfTrue="1" operator="lessThanOrEqual">
      <formula>0</formula>
    </cfRule>
    <cfRule type="cellIs" dxfId="316" priority="88" stopIfTrue="1" operator="greaterThan">
      <formula>$F$78</formula>
    </cfRule>
  </conditionalFormatting>
  <conditionalFormatting sqref="H66">
    <cfRule type="cellIs" dxfId="315" priority="18" stopIfTrue="1" operator="lessThanOrEqual">
      <formula>0</formula>
    </cfRule>
    <cfRule type="cellIs" dxfId="314" priority="29" stopIfTrue="1" operator="greaterThan">
      <formula>$F$80</formula>
    </cfRule>
    <cfRule type="cellIs" dxfId="313" priority="28" stopIfTrue="1" operator="lessThanOrEqual">
      <formula>0</formula>
    </cfRule>
    <cfRule type="cellIs" dxfId="312" priority="27" stopIfTrue="1" operator="greaterThan">
      <formula>$F$82</formula>
    </cfRule>
    <cfRule type="cellIs" dxfId="311" priority="19" stopIfTrue="1" operator="greaterThan">
      <formula>$F$79</formula>
    </cfRule>
    <cfRule type="cellIs" dxfId="310" priority="30" stopIfTrue="1" operator="lessThanOrEqual">
      <formula>0</formula>
    </cfRule>
  </conditionalFormatting>
  <conditionalFormatting sqref="H67:H68">
    <cfRule type="cellIs" dxfId="309" priority="102" stopIfTrue="1" operator="lessThanOrEqual">
      <formula>0</formula>
    </cfRule>
    <cfRule type="cellIs" dxfId="308" priority="101" stopIfTrue="1" operator="greaterThan">
      <formula>$F$78</formula>
    </cfRule>
    <cfRule type="cellIs" dxfId="307" priority="100" stopIfTrue="1" operator="lessThanOrEqual">
      <formula>0</formula>
    </cfRule>
    <cfRule type="cellIs" dxfId="306" priority="99" stopIfTrue="1" operator="greaterThan">
      <formula>$F$80</formula>
    </cfRule>
    <cfRule type="cellIs" dxfId="305" priority="91" stopIfTrue="1" operator="greaterThan">
      <formula>$F$77</formula>
    </cfRule>
  </conditionalFormatting>
  <conditionalFormatting sqref="H69:H70">
    <cfRule type="cellIs" dxfId="304" priority="126" stopIfTrue="1" operator="lessThanOrEqual">
      <formula>0</formula>
    </cfRule>
    <cfRule type="cellIs" dxfId="303" priority="135" stopIfTrue="1" operator="greaterThan">
      <formula>#REF!</formula>
    </cfRule>
    <cfRule type="cellIs" dxfId="302" priority="136" stopIfTrue="1" operator="lessThanOrEqual">
      <formula>0</formula>
    </cfRule>
    <cfRule type="cellIs" dxfId="301" priority="127" stopIfTrue="1" operator="greaterThan">
      <formula>#REF!</formula>
    </cfRule>
  </conditionalFormatting>
  <conditionalFormatting sqref="H71">
    <cfRule type="cellIs" dxfId="300" priority="138" stopIfTrue="1" operator="lessThanOrEqual">
      <formula>0</formula>
    </cfRule>
    <cfRule type="cellIs" dxfId="299" priority="139" stopIfTrue="1" operator="greaterThan">
      <formula>$F$45</formula>
    </cfRule>
    <cfRule type="cellIs" dxfId="298" priority="147" stopIfTrue="1" operator="greaterThan">
      <formula>$F$48</formula>
    </cfRule>
    <cfRule type="cellIs" dxfId="297" priority="148" stopIfTrue="1" operator="lessThanOrEqual">
      <formula>0</formula>
    </cfRule>
    <cfRule type="cellIs" dxfId="296" priority="149" stopIfTrue="1" operator="greaterThan">
      <formula>$F$46</formula>
    </cfRule>
    <cfRule type="cellIs" dxfId="295" priority="150" stopIfTrue="1" operator="lessThanOrEqual">
      <formula>0</formula>
    </cfRule>
  </conditionalFormatting>
  <conditionalFormatting sqref="H72:H73">
    <cfRule type="cellIs" dxfId="294" priority="123" stopIfTrue="1" operator="greaterThan">
      <formula>#REF!</formula>
    </cfRule>
    <cfRule type="cellIs" dxfId="293" priority="114" stopIfTrue="1" operator="lessThanOrEqual">
      <formula>0</formula>
    </cfRule>
    <cfRule type="cellIs" dxfId="292" priority="124" stopIfTrue="1" operator="lessThanOrEqual">
      <formula>0</formula>
    </cfRule>
    <cfRule type="cellIs" dxfId="291" priority="115" stopIfTrue="1" operator="greaterThan">
      <formula>#REF!</formula>
    </cfRule>
  </conditionalFormatting>
  <conditionalFormatting sqref="H88 H90:H96">
    <cfRule type="cellIs" dxfId="290" priority="173" stopIfTrue="1" operator="greaterThan">
      <formula>4.5</formula>
    </cfRule>
    <cfRule type="cellIs" dxfId="289" priority="174" stopIfTrue="1" operator="lessThanOrEqual">
      <formula>0</formula>
    </cfRule>
  </conditionalFormatting>
  <conditionalFormatting sqref="H64:I64">
    <cfRule type="cellIs" dxfId="288" priority="53" stopIfTrue="1" operator="lessThanOrEqual">
      <formula>0</formula>
    </cfRule>
  </conditionalFormatting>
  <conditionalFormatting sqref="H64:I65 H67:I68">
    <cfRule type="cellIs" dxfId="287" priority="50" stopIfTrue="1" operator="greaterThan">
      <formula>$F$79</formula>
    </cfRule>
  </conditionalFormatting>
  <conditionalFormatting sqref="H65:I65">
    <cfRule type="cellIs" dxfId="286" priority="79" stopIfTrue="1" operator="lessThanOrEqual">
      <formula>0</formula>
    </cfRule>
  </conditionalFormatting>
  <conditionalFormatting sqref="H66:I66">
    <cfRule type="cellIs" dxfId="285" priority="20" stopIfTrue="1" operator="lessThanOrEqual">
      <formula>0</formula>
    </cfRule>
    <cfRule type="cellIs" dxfId="284" priority="17" stopIfTrue="1" operator="greaterThan">
      <formula>$F$81</formula>
    </cfRule>
  </conditionalFormatting>
  <conditionalFormatting sqref="H67:I68">
    <cfRule type="cellIs" dxfId="283" priority="92" stopIfTrue="1" operator="lessThanOrEqual">
      <formula>0</formula>
    </cfRule>
  </conditionalFormatting>
  <conditionalFormatting sqref="H69:I70">
    <cfRule type="cellIs" dxfId="282" priority="134" stopIfTrue="1" operator="lessThanOrEqual">
      <formula>0</formula>
    </cfRule>
    <cfRule type="cellIs" dxfId="281" priority="133" stopIfTrue="1" operator="greaterThan">
      <formula>#REF!</formula>
    </cfRule>
    <cfRule type="cellIs" dxfId="280" priority="128" stopIfTrue="1" operator="lessThanOrEqual">
      <formula>0</formula>
    </cfRule>
    <cfRule type="cellIs" dxfId="279" priority="125" stopIfTrue="1" operator="greaterThan">
      <formula>#REF!</formula>
    </cfRule>
  </conditionalFormatting>
  <conditionalFormatting sqref="H71:I71">
    <cfRule type="cellIs" dxfId="278" priority="137" stopIfTrue="1" operator="greaterThan">
      <formula>$F$47</formula>
    </cfRule>
    <cfRule type="cellIs" dxfId="277" priority="140" stopIfTrue="1" operator="lessThanOrEqual">
      <formula>0</formula>
    </cfRule>
  </conditionalFormatting>
  <conditionalFormatting sqref="H72:I73">
    <cfRule type="cellIs" dxfId="276" priority="113" stopIfTrue="1" operator="greaterThan">
      <formula>#REF!</formula>
    </cfRule>
    <cfRule type="cellIs" dxfId="275" priority="116" stopIfTrue="1" operator="lessThanOrEqual">
      <formula>0</formula>
    </cfRule>
    <cfRule type="cellIs" dxfId="274" priority="122" stopIfTrue="1" operator="lessThanOrEqual">
      <formula>0</formula>
    </cfRule>
    <cfRule type="cellIs" dxfId="273" priority="121" stopIfTrue="1" operator="greaterThan">
      <formula>#REF!</formula>
    </cfRule>
  </conditionalFormatting>
  <conditionalFormatting sqref="H77:I84">
    <cfRule type="cellIs" dxfId="272" priority="35" stopIfTrue="1" operator="greaterThan">
      <formula>$J77</formula>
    </cfRule>
    <cfRule type="cellIs" dxfId="271" priority="36" stopIfTrue="1" operator="lessThanOrEqual">
      <formula>0</formula>
    </cfRule>
  </conditionalFormatting>
  <conditionalFormatting sqref="H85:I85">
    <cfRule type="cellIs" dxfId="270" priority="43" operator="greaterThan">
      <formula>5.3</formula>
    </cfRule>
  </conditionalFormatting>
  <conditionalFormatting sqref="H86:I86">
    <cfRule type="cellIs" dxfId="269" priority="42" stopIfTrue="1" operator="lessThanOrEqual">
      <formula>0</formula>
    </cfRule>
    <cfRule type="cellIs" dxfId="268" priority="41" stopIfTrue="1" operator="greaterThan">
      <formula>$J86</formula>
    </cfRule>
  </conditionalFormatting>
  <conditionalFormatting sqref="I64">
    <cfRule type="cellIs" dxfId="267" priority="56" stopIfTrue="1" operator="greaterThan">
      <formula>$F$79</formula>
    </cfRule>
    <cfRule type="cellIs" dxfId="266" priority="55" stopIfTrue="1" operator="lessThanOrEqual">
      <formula>0</formula>
    </cfRule>
    <cfRule type="cellIs" dxfId="265" priority="54" stopIfTrue="1" operator="greaterThan">
      <formula>$F$77</formula>
    </cfRule>
    <cfRule type="cellIs" dxfId="264" priority="59" stopIfTrue="1" operator="lessThanOrEqual">
      <formula>0</formula>
    </cfRule>
    <cfRule type="cellIs" dxfId="263" priority="58" stopIfTrue="1" operator="greaterThan">
      <formula>$F$77</formula>
    </cfRule>
    <cfRule type="cellIs" dxfId="262" priority="57" stopIfTrue="1" operator="lessThanOrEqual">
      <formula>0</formula>
    </cfRule>
  </conditionalFormatting>
  <conditionalFormatting sqref="I65">
    <cfRule type="cellIs" dxfId="261" priority="84" stopIfTrue="1" operator="greaterThan">
      <formula>$F$77</formula>
    </cfRule>
    <cfRule type="cellIs" dxfId="260" priority="83" stopIfTrue="1" operator="lessThanOrEqual">
      <formula>0</formula>
    </cfRule>
    <cfRule type="cellIs" dxfId="259" priority="85" stopIfTrue="1" operator="lessThanOrEqual">
      <formula>0</formula>
    </cfRule>
    <cfRule type="cellIs" dxfId="258" priority="82" stopIfTrue="1" operator="greaterThan">
      <formula>$F$79</formula>
    </cfRule>
    <cfRule type="cellIs" dxfId="257" priority="81" stopIfTrue="1" operator="lessThanOrEqual">
      <formula>0</formula>
    </cfRule>
    <cfRule type="cellIs" dxfId="256" priority="80" stopIfTrue="1" operator="greaterThan">
      <formula>$F$77</formula>
    </cfRule>
  </conditionalFormatting>
  <conditionalFormatting sqref="I66">
    <cfRule type="cellIs" dxfId="255" priority="24" stopIfTrue="1" operator="lessThanOrEqual">
      <formula>0</formula>
    </cfRule>
    <cfRule type="cellIs" dxfId="254" priority="23" stopIfTrue="1" operator="greaterThan">
      <formula>$F$81</formula>
    </cfRule>
    <cfRule type="cellIs" dxfId="253" priority="22" stopIfTrue="1" operator="lessThanOrEqual">
      <formula>0</formula>
    </cfRule>
    <cfRule type="cellIs" dxfId="252" priority="25" stopIfTrue="1" operator="greaterThan">
      <formula>$F$79</formula>
    </cfRule>
    <cfRule type="cellIs" dxfId="251" priority="21" stopIfTrue="1" operator="greaterThan">
      <formula>$F$79</formula>
    </cfRule>
    <cfRule type="cellIs" dxfId="250" priority="26" stopIfTrue="1" operator="lessThanOrEqual">
      <formula>0</formula>
    </cfRule>
  </conditionalFormatting>
  <conditionalFormatting sqref="I67:I68">
    <cfRule type="cellIs" dxfId="249" priority="96" stopIfTrue="1" operator="lessThanOrEqual">
      <formula>0</formula>
    </cfRule>
    <cfRule type="cellIs" dxfId="248" priority="97" stopIfTrue="1" operator="greaterThan">
      <formula>$F$77</formula>
    </cfRule>
    <cfRule type="cellIs" dxfId="247" priority="95" stopIfTrue="1" operator="greaterThan">
      <formula>$F$79</formula>
    </cfRule>
    <cfRule type="cellIs" dxfId="246" priority="93" stopIfTrue="1" operator="greaterThan">
      <formula>$F$77</formula>
    </cfRule>
    <cfRule type="cellIs" dxfId="245" priority="94" stopIfTrue="1" operator="lessThanOrEqual">
      <formula>0</formula>
    </cfRule>
    <cfRule type="cellIs" dxfId="244" priority="98" stopIfTrue="1" operator="lessThanOrEqual">
      <formula>0</formula>
    </cfRule>
  </conditionalFormatting>
  <conditionalFormatting sqref="I69:I70">
    <cfRule type="cellIs" dxfId="243" priority="129" stopIfTrue="1" operator="greaterThan">
      <formula>#REF!</formula>
    </cfRule>
    <cfRule type="cellIs" dxfId="242" priority="130" stopIfTrue="1" operator="lessThanOrEqual">
      <formula>0</formula>
    </cfRule>
    <cfRule type="cellIs" dxfId="241" priority="131" stopIfTrue="1" operator="greaterThan">
      <formula>#REF!</formula>
    </cfRule>
    <cfRule type="cellIs" dxfId="240" priority="132" stopIfTrue="1" operator="lessThanOrEqual">
      <formula>0</formula>
    </cfRule>
  </conditionalFormatting>
  <conditionalFormatting sqref="I71">
    <cfRule type="cellIs" dxfId="239" priority="141" stopIfTrue="1" operator="greaterThan">
      <formula>$F$45</formula>
    </cfRule>
    <cfRule type="cellIs" dxfId="238" priority="142" stopIfTrue="1" operator="lessThanOrEqual">
      <formula>0</formula>
    </cfRule>
    <cfRule type="cellIs" dxfId="237" priority="143" stopIfTrue="1" operator="greaterThan">
      <formula>$F$47</formula>
    </cfRule>
    <cfRule type="cellIs" dxfId="236" priority="145" stopIfTrue="1" operator="greaterThan">
      <formula>$F$45</formula>
    </cfRule>
    <cfRule type="cellIs" dxfId="235" priority="146" stopIfTrue="1" operator="lessThanOrEqual">
      <formula>0</formula>
    </cfRule>
    <cfRule type="cellIs" dxfId="234" priority="144" stopIfTrue="1" operator="lessThanOrEqual">
      <formula>0</formula>
    </cfRule>
  </conditionalFormatting>
  <conditionalFormatting sqref="I72:I73">
    <cfRule type="cellIs" dxfId="233" priority="117" stopIfTrue="1" operator="greaterThan">
      <formula>#REF!</formula>
    </cfRule>
    <cfRule type="cellIs" dxfId="232" priority="118" stopIfTrue="1" operator="lessThanOrEqual">
      <formula>0</formula>
    </cfRule>
    <cfRule type="cellIs" dxfId="231" priority="119" stopIfTrue="1" operator="greaterThan">
      <formula>#REF!</formula>
    </cfRule>
    <cfRule type="cellIs" dxfId="230" priority="120" stopIfTrue="1" operator="lessThanOrEqual">
      <formula>0</formula>
    </cfRule>
  </conditionalFormatting>
  <conditionalFormatting sqref="I88:I96">
    <cfRule type="cellIs" dxfId="229" priority="170" stopIfTrue="1" operator="lessThanOrEqual">
      <formula>0</formula>
    </cfRule>
    <cfRule type="cellIs" dxfId="228" priority="169" stopIfTrue="1" operator="greaterThan">
      <formula>4.5</formula>
    </cfRule>
  </conditionalFormatting>
  <conditionalFormatting sqref="I10:J32">
    <cfRule type="cellIs" dxfId="227" priority="1" operator="lessThan">
      <formula>97.9</formula>
    </cfRule>
  </conditionalFormatting>
  <conditionalFormatting sqref="J35:J37">
    <cfRule type="cellIs" dxfId="226" priority="16" operator="lessThan">
      <formula>97.95</formula>
    </cfRule>
  </conditionalFormatting>
  <conditionalFormatting sqref="J36:J39">
    <cfRule type="cellIs" dxfId="225" priority="151" operator="lessThan">
      <formula>97.4</formula>
    </cfRule>
  </conditionalFormatting>
  <conditionalFormatting sqref="J40:J41">
    <cfRule type="cellIs" dxfId="224" priority="152" operator="lessThan">
      <formula>98</formula>
    </cfRule>
  </conditionalFormatting>
  <conditionalFormatting sqref="J42:J43">
    <cfRule type="cellIs" dxfId="223" priority="154" stopIfTrue="1" operator="greaterThan">
      <formula>100</formula>
    </cfRule>
    <cfRule type="cellIs" dxfId="222" priority="153" stopIfTrue="1" operator="lessThan">
      <formula>96.8</formula>
    </cfRule>
  </conditionalFormatting>
  <conditionalFormatting sqref="J42:J44">
    <cfRule type="cellIs" dxfId="221" priority="155" operator="lessThan">
      <formula>98</formula>
    </cfRule>
  </conditionalFormatting>
  <conditionalFormatting sqref="J73">
    <cfRule type="cellIs" dxfId="220" priority="105" stopIfTrue="1" operator="greaterThan">
      <formula>#REF!</formula>
    </cfRule>
    <cfRule type="cellIs" dxfId="219" priority="106" stopIfTrue="1" operator="lessThanOrEqual">
      <formula>0</formula>
    </cfRule>
    <cfRule type="cellIs" dxfId="218" priority="108" stopIfTrue="1" operator="lessThanOrEqual">
      <formula>0</formula>
    </cfRule>
    <cfRule type="cellIs" dxfId="217" priority="109" stopIfTrue="1" operator="greaterThan">
      <formula>#REF!</formula>
    </cfRule>
    <cfRule type="cellIs" dxfId="216" priority="110" stopIfTrue="1" operator="lessThanOrEqual">
      <formula>0</formula>
    </cfRule>
    <cfRule type="cellIs" dxfId="215" priority="111" stopIfTrue="1" operator="greaterThan">
      <formula>#REF!</formula>
    </cfRule>
    <cfRule type="cellIs" dxfId="214" priority="112" stopIfTrue="1" operator="lessThanOrEqual">
      <formula>0</formula>
    </cfRule>
    <cfRule type="cellIs" dxfId="213" priority="107" stopIfTrue="1" operator="greaterThan">
      <formula>#REF!</formula>
    </cfRule>
  </conditionalFormatting>
  <conditionalFormatting sqref="J86">
    <cfRule type="cellIs" dxfId="212" priority="44" stopIfTrue="1" operator="greaterThan">
      <formula>$F86</formula>
    </cfRule>
    <cfRule type="cellIs" dxfId="211" priority="45" stopIfTrue="1" operator="lessThanOrEqual">
      <formula>0</formula>
    </cfRule>
  </conditionalFormatting>
  <conditionalFormatting sqref="K10:K32">
    <cfRule type="cellIs" dxfId="210" priority="3" operator="lessThan">
      <formula>4</formula>
    </cfRule>
    <cfRule type="cellIs" dxfId="209" priority="2" operator="greaterThan">
      <formula>6</formula>
    </cfRule>
    <cfRule type="cellIs" dxfId="208" priority="4" operator="greaterThan">
      <formula>6.4</formula>
    </cfRule>
  </conditionalFormatting>
  <conditionalFormatting sqref="K64:K73">
    <cfRule type="cellIs" dxfId="207" priority="90" stopIfTrue="1" operator="lessThan">
      <formula>100%</formula>
    </cfRule>
  </conditionalFormatting>
  <conditionalFormatting sqref="K77:K85">
    <cfRule type="cellIs" dxfId="206" priority="34" stopIfTrue="1" operator="lessThan">
      <formula>100%</formula>
    </cfRule>
  </conditionalFormatting>
  <conditionalFormatting sqref="K88:K93">
    <cfRule type="cellIs" dxfId="205" priority="175" stopIfTrue="1" operator="lessThan">
      <formula>100%</formula>
    </cfRule>
  </conditionalFormatting>
  <conditionalFormatting sqref="K95:K96">
    <cfRule type="cellIs" dxfId="204" priority="182" stopIfTrue="1" operator="lessThan">
      <formula>100%</formula>
    </cfRule>
  </conditionalFormatting>
  <conditionalFormatting sqref="L10:L32">
    <cfRule type="cellIs" dxfId="203" priority="6" operator="greaterThan">
      <formula>65</formula>
    </cfRule>
    <cfRule type="cellIs" dxfId="202" priority="5" operator="between">
      <formula>61</formula>
      <formula>65</formula>
    </cfRule>
  </conditionalFormatting>
  <conditionalFormatting sqref="L35:M46">
    <cfRule type="cellIs" dxfId="201" priority="12" operator="lessThan">
      <formula>97.95</formula>
    </cfRule>
  </conditionalFormatting>
  <conditionalFormatting sqref="L50:N50">
    <cfRule type="cellIs" dxfId="200" priority="15" operator="notEqual">
      <formula>#REF!</formula>
    </cfRule>
  </conditionalFormatting>
  <conditionalFormatting sqref="L77:N86">
    <cfRule type="cellIs" dxfId="199" priority="31" stopIfTrue="1" operator="lessThan">
      <formula>100%</formula>
    </cfRule>
  </conditionalFormatting>
  <conditionalFormatting sqref="L88:N96">
    <cfRule type="cellIs" dxfId="198" priority="160" stopIfTrue="1" operator="lessThan">
      <formula>100%</formula>
    </cfRule>
  </conditionalFormatting>
  <conditionalFormatting sqref="M32">
    <cfRule type="expression" dxfId="197" priority="13">
      <formula>IF(+(IF(M32&lt;U32,0,IF(M32&gt;V32,0,1)))=0,1)</formula>
    </cfRule>
  </conditionalFormatting>
  <conditionalFormatting sqref="M10:N31 G15:H31">
    <cfRule type="expression" dxfId="196" priority="10">
      <formula>IF(+(IF(G10&lt;#REF!,0,IF(G10&gt;#REF!,0,1)))=0,1)</formula>
    </cfRule>
  </conditionalFormatting>
  <conditionalFormatting sqref="N10:N32">
    <cfRule type="expression" dxfId="195" priority="9">
      <formula>IF(+(IF(N10&lt;W10,0,IF(N10&gt;X10,0,1)))=0,1)</formula>
    </cfRule>
  </conditionalFormatting>
  <conditionalFormatting sqref="P6">
    <cfRule type="cellIs" dxfId="194" priority="156" operator="greaterThanOrEqual">
      <formula>19</formula>
    </cfRule>
  </conditionalFormatting>
  <dataValidations count="1">
    <dataValidation type="list" allowBlank="1" showInputMessage="1" showErrorMessage="1" sqref="R8" xr:uid="{F3BAA534-02D1-452C-9827-77E85E816DE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21F3-C95C-4970-9F4C-0FD62177636B}">
  <sheetPr>
    <pageSetUpPr fitToPage="1"/>
  </sheetPr>
  <dimension ref="A1:BE94"/>
  <sheetViews>
    <sheetView tabSelected="1" zoomScale="80" zoomScaleNormal="80" workbookViewId="0">
      <selection activeCell="G47" sqref="G47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49.57031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556" t="s">
        <v>0</v>
      </c>
      <c r="T1" s="556"/>
      <c r="U1" s="556" t="s">
        <v>1</v>
      </c>
      <c r="V1" s="556"/>
      <c r="W1" s="556" t="s">
        <v>2</v>
      </c>
      <c r="X1" s="556"/>
      <c r="Y1" s="556" t="s">
        <v>124</v>
      </c>
      <c r="Z1" s="556"/>
    </row>
    <row r="2" spans="2:29" ht="15">
      <c r="B2" s="557" t="s">
        <v>3</v>
      </c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46325</v>
      </c>
      <c r="J4" s="397" t="s">
        <v>186</v>
      </c>
      <c r="K4" s="397"/>
      <c r="L4" s="11"/>
      <c r="M4" s="558" t="s">
        <v>8</v>
      </c>
      <c r="N4" s="559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552"/>
      <c r="D5" s="552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185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511" t="s">
        <v>17</v>
      </c>
      <c r="C8" s="520" t="s">
        <v>18</v>
      </c>
      <c r="D8" s="520" t="s">
        <v>19</v>
      </c>
      <c r="E8" s="356" t="s">
        <v>20</v>
      </c>
      <c r="F8" s="356" t="s">
        <v>21</v>
      </c>
      <c r="G8" s="520" t="s">
        <v>22</v>
      </c>
      <c r="H8" s="554" t="s">
        <v>144</v>
      </c>
      <c r="I8" s="520" t="s">
        <v>167</v>
      </c>
      <c r="J8" s="545" t="s">
        <v>23</v>
      </c>
      <c r="K8" s="547" t="s">
        <v>142</v>
      </c>
      <c r="L8" s="549" t="s">
        <v>24</v>
      </c>
      <c r="M8" s="359" t="s">
        <v>25</v>
      </c>
      <c r="N8" s="17" t="s">
        <v>166</v>
      </c>
      <c r="O8" s="520" t="s">
        <v>155</v>
      </c>
      <c r="P8" s="551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553"/>
      <c r="C9" s="544"/>
      <c r="D9" s="544"/>
      <c r="E9" s="357" t="s">
        <v>30</v>
      </c>
      <c r="F9" s="357" t="s">
        <v>31</v>
      </c>
      <c r="G9" s="544"/>
      <c r="H9" s="555"/>
      <c r="I9" s="544"/>
      <c r="J9" s="546"/>
      <c r="K9" s="548"/>
      <c r="L9" s="550"/>
      <c r="M9" s="20" t="s">
        <v>32</v>
      </c>
      <c r="N9" s="21" t="s">
        <v>41</v>
      </c>
      <c r="O9" s="544"/>
      <c r="P9" s="544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hidden="1" customHeight="1">
      <c r="B10" s="33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419"/>
      <c r="P10" s="417"/>
      <c r="R10" s="277">
        <f t="shared" ref="R10:R54" si="0">B10</f>
        <v>0</v>
      </c>
      <c r="S10" s="471" t="e">
        <f t="shared" ref="S10:S54" si="1">VLOOKUP($B10,$R$3:$X$9,2,FALSE)</f>
        <v>#N/A</v>
      </c>
      <c r="T10" s="471" t="e">
        <f t="shared" ref="T10:T54" si="2">VLOOKUP($B10,$R$3:$X$9,3,FALSE)</f>
        <v>#N/A</v>
      </c>
      <c r="U10" s="297" t="e">
        <f t="shared" ref="U10:U54" si="3">VLOOKUP($B10,$R$3:$X$9,4,FALSE)</f>
        <v>#N/A</v>
      </c>
      <c r="V10" s="297" t="e">
        <f t="shared" ref="V10:V54" si="4">VLOOKUP($B10,$R$3:$X$9,5,FALSE)</f>
        <v>#N/A</v>
      </c>
      <c r="W10" s="297" t="e">
        <f t="shared" ref="W10:W54" si="5">VLOOKUP($B10,$R$3:$X$9,6,FALSE)</f>
        <v>#N/A</v>
      </c>
      <c r="X10" s="297" t="e">
        <f t="shared" ref="X10:X54" si="6">VLOOKUP($B10,$R$3:$X$9,7,FALSE)</f>
        <v>#N/A</v>
      </c>
      <c r="Y10" s="297" t="e">
        <f t="shared" ref="Y10:Y54" si="7">VLOOKUP($B10,$R$3:$Z$9,8,FALSE)</f>
        <v>#N/A</v>
      </c>
      <c r="Z10" s="471" t="e">
        <f t="shared" ref="Z10:Z54" si="8">VLOOKUP($B10,$R$3:$Z$9,9,FALSE)</f>
        <v>#N/A</v>
      </c>
    </row>
    <row r="11" spans="2:29" ht="15" hidden="1" customHeight="1">
      <c r="B11" s="33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419"/>
      <c r="P11" s="417"/>
      <c r="R11" s="277">
        <f t="shared" si="0"/>
        <v>0</v>
      </c>
      <c r="S11" s="471" t="e">
        <f t="shared" si="1"/>
        <v>#N/A</v>
      </c>
      <c r="T11" s="471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1" t="e">
        <f t="shared" si="8"/>
        <v>#N/A</v>
      </c>
    </row>
    <row r="12" spans="2:29" ht="15" hidden="1" customHeight="1">
      <c r="B12" s="33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419"/>
      <c r="P12" s="417"/>
      <c r="R12" s="277">
        <f t="shared" si="0"/>
        <v>0</v>
      </c>
      <c r="S12" s="471" t="e">
        <f t="shared" si="1"/>
        <v>#N/A</v>
      </c>
      <c r="T12" s="471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1" t="e">
        <f t="shared" si="8"/>
        <v>#N/A</v>
      </c>
    </row>
    <row r="13" spans="2:29" ht="15" hidden="1" customHeight="1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419"/>
      <c r="P13" s="417"/>
      <c r="R13" s="277">
        <f t="shared" si="0"/>
        <v>0</v>
      </c>
      <c r="S13" s="471" t="e">
        <f t="shared" si="1"/>
        <v>#N/A</v>
      </c>
      <c r="T13" s="471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1" t="e">
        <f t="shared" si="8"/>
        <v>#N/A</v>
      </c>
    </row>
    <row r="14" spans="2:29" ht="15" hidden="1" customHeight="1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419"/>
      <c r="P14" s="417"/>
      <c r="R14" s="277">
        <f t="shared" si="0"/>
        <v>0</v>
      </c>
      <c r="S14" s="471" t="e">
        <f t="shared" si="1"/>
        <v>#N/A</v>
      </c>
      <c r="T14" s="471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1" t="e">
        <f t="shared" si="8"/>
        <v>#N/A</v>
      </c>
    </row>
    <row r="15" spans="2:29" ht="1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419"/>
      <c r="P15" s="417"/>
      <c r="R15" s="277">
        <f t="shared" si="0"/>
        <v>0</v>
      </c>
      <c r="S15" s="471" t="e">
        <f t="shared" si="1"/>
        <v>#N/A</v>
      </c>
      <c r="T15" s="471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1" t="e">
        <f t="shared" si="8"/>
        <v>#N/A</v>
      </c>
    </row>
    <row r="16" spans="2:29" ht="1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19"/>
      <c r="P16" s="417"/>
      <c r="R16" s="277">
        <f t="shared" si="0"/>
        <v>0</v>
      </c>
      <c r="S16" s="471" t="e">
        <f t="shared" si="1"/>
        <v>#N/A</v>
      </c>
      <c r="T16" s="471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1" t="e">
        <f t="shared" si="8"/>
        <v>#N/A</v>
      </c>
    </row>
    <row r="17" spans="2:26" ht="1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2:26" ht="15" hidden="1" customHeight="1">
      <c r="B18" s="29"/>
      <c r="C18" s="366"/>
      <c r="D18" s="279"/>
      <c r="E18" s="279"/>
      <c r="F18" s="278"/>
      <c r="G18" s="279"/>
      <c r="H18" s="367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2:26" ht="1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2:26" ht="15" hidden="1" customHeight="1">
      <c r="B20" s="29"/>
      <c r="C20" s="366"/>
      <c r="D20" s="279"/>
      <c r="E20" s="279"/>
      <c r="F20" s="278"/>
      <c r="G20" s="279"/>
      <c r="H20" s="367"/>
      <c r="I20" s="368"/>
      <c r="J20" s="368"/>
      <c r="K20" s="281"/>
      <c r="L20" s="276"/>
      <c r="M20" s="374"/>
      <c r="N20" s="370"/>
      <c r="O20" s="419"/>
      <c r="P20" s="417"/>
      <c r="R20" s="277">
        <f t="shared" ref="R20:R38" si="9">B20</f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2:26" ht="1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19"/>
      <c r="P21" s="417"/>
      <c r="R21" s="277">
        <f t="shared" si="9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2:26" ht="1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19"/>
      <c r="P22" s="417"/>
      <c r="R22" s="277">
        <f t="shared" si="9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2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19"/>
      <c r="P23" s="417"/>
      <c r="R23" s="277">
        <f t="shared" si="9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2:26" ht="1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419"/>
      <c r="P24" s="417"/>
      <c r="R24" s="277">
        <f t="shared" si="9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2:26" ht="15" customHeight="1">
      <c r="B25" s="29" t="s">
        <v>6</v>
      </c>
      <c r="C25" s="366" t="str">
        <f>[3]Brewhouse!$A855</f>
        <v>CA805</v>
      </c>
      <c r="D25" s="279">
        <f>[3]Brewhouse!$AF855</f>
        <v>50.8</v>
      </c>
      <c r="E25" s="279">
        <f>[3]Brewhouse!$AI855</f>
        <v>51.2</v>
      </c>
      <c r="F25" s="278">
        <f>[3]Brewhouse!$V855</f>
        <v>57</v>
      </c>
      <c r="G25" s="279">
        <f>[3]Brewhouse!AG855</f>
        <v>12</v>
      </c>
      <c r="H25" s="396">
        <v>11.8</v>
      </c>
      <c r="I25" s="368">
        <f>[3]Brewhouse!$AU855</f>
        <v>101.69950417949237</v>
      </c>
      <c r="J25" s="368">
        <f>[3]Brewhouse!$AV855</f>
        <v>102.60913964768956</v>
      </c>
      <c r="K25" s="281">
        <f>[3]Brewhouse!$Q855</f>
        <v>5.5094339622641542</v>
      </c>
      <c r="L25" s="276">
        <f>[3]Brewhouse!$P855</f>
        <v>61</v>
      </c>
      <c r="M25" s="374">
        <f>[3]Brewhouse!$U855-[3]Brewhouse!$T855</f>
        <v>0.11736111111111108</v>
      </c>
      <c r="N25" s="370">
        <f>[3]Brewhouse!$Z855</f>
        <v>0.26111111111111107</v>
      </c>
      <c r="O25" s="419" t="str">
        <f>[3]Brewhouse!$AX855</f>
        <v>K.Benjamin</v>
      </c>
      <c r="P25" s="417"/>
      <c r="R25" s="277" t="str">
        <f t="shared" si="9"/>
        <v>CARIB</v>
      </c>
      <c r="S25" s="471">
        <f t="shared" si="1"/>
        <v>11.6</v>
      </c>
      <c r="T25" s="471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1">
        <f t="shared" si="8"/>
        <v>60</v>
      </c>
    </row>
    <row r="26" spans="2:26" ht="15" customHeight="1">
      <c r="B26" s="29" t="s">
        <v>6</v>
      </c>
      <c r="C26" s="366" t="str">
        <f>[3]Brewhouse!$A856</f>
        <v>CA806</v>
      </c>
      <c r="D26" s="279">
        <f>[3]Brewhouse!$AF856</f>
        <v>50.06</v>
      </c>
      <c r="E26" s="279">
        <f>[3]Brewhouse!$AI856</f>
        <v>49.37</v>
      </c>
      <c r="F26" s="278">
        <f>[3]Brewhouse!$V856</f>
        <v>64</v>
      </c>
      <c r="G26" s="279">
        <f>[3]Brewhouse!AG856</f>
        <v>11.8</v>
      </c>
      <c r="H26" s="396">
        <v>12.3</v>
      </c>
      <c r="I26" s="368">
        <f>[3]Brewhouse!$AU856</f>
        <v>96.346850420100012</v>
      </c>
      <c r="J26" s="368">
        <f>[3]Brewhouse!$AV856</f>
        <v>97.208609905539944</v>
      </c>
      <c r="K26" s="281">
        <f>[3]Brewhouse!$Q856</f>
        <v>5.3510436432637576</v>
      </c>
      <c r="L26" s="276">
        <f>[3]Brewhouse!$P856</f>
        <v>62</v>
      </c>
      <c r="M26" s="374">
        <f>[3]Brewhouse!$U856-[3]Brewhouse!$T856</f>
        <v>0.11944444444444441</v>
      </c>
      <c r="N26" s="370">
        <f>[3]Brewhouse!$Z856</f>
        <v>0.2631944444444444</v>
      </c>
      <c r="O26" s="419" t="str">
        <f>[3]Brewhouse!$AX856</f>
        <v>K.Benjamin</v>
      </c>
      <c r="P26" s="417"/>
      <c r="R26" s="277" t="str">
        <f t="shared" si="9"/>
        <v>CARIB</v>
      </c>
      <c r="S26" s="471">
        <f t="shared" si="1"/>
        <v>11.6</v>
      </c>
      <c r="T26" s="471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1">
        <f t="shared" si="8"/>
        <v>60</v>
      </c>
    </row>
    <row r="27" spans="2:26" ht="15" customHeight="1">
      <c r="B27" s="29" t="s">
        <v>6</v>
      </c>
      <c r="C27" s="366" t="str">
        <f>[3]Brewhouse!$A857</f>
        <v>CA807</v>
      </c>
      <c r="D27" s="279">
        <f>[3]Brewhouse!$AF857</f>
        <v>50.1</v>
      </c>
      <c r="E27" s="279">
        <f>[3]Brewhouse!$AI857</f>
        <v>50.8</v>
      </c>
      <c r="F27" s="278">
        <f>[3]Brewhouse!$V857</f>
        <v>63</v>
      </c>
      <c r="G27" s="279">
        <f>[3]Brewhouse!AG857</f>
        <v>12</v>
      </c>
      <c r="H27" s="396">
        <v>12.3</v>
      </c>
      <c r="I27" s="368">
        <f>[3]Brewhouse!$AU857</f>
        <v>100.90497680309005</v>
      </c>
      <c r="J27" s="368">
        <f>[3]Brewhouse!$AV857</f>
        <v>101.80750574419197</v>
      </c>
      <c r="K27" s="281">
        <f>[3]Brewhouse!$Q857</f>
        <v>6.4772727272727177</v>
      </c>
      <c r="L27" s="276">
        <f>[3]Brewhouse!$P857</f>
        <v>90</v>
      </c>
      <c r="M27" s="374">
        <f>[3]Brewhouse!$U857-[3]Brewhouse!$T857</f>
        <v>0.11527777777777776</v>
      </c>
      <c r="N27" s="370">
        <f>[3]Brewhouse!$Z857</f>
        <v>0.27430555555555552</v>
      </c>
      <c r="O27" s="419" t="str">
        <f>[3]Brewhouse!$AX857</f>
        <v>K.Benjamin</v>
      </c>
      <c r="P27" s="417"/>
      <c r="R27" s="277" t="str">
        <f t="shared" si="9"/>
        <v>CARIB</v>
      </c>
      <c r="S27" s="471">
        <f t="shared" si="1"/>
        <v>11.6</v>
      </c>
      <c r="T27" s="471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471">
        <f t="shared" si="8"/>
        <v>60</v>
      </c>
    </row>
    <row r="28" spans="2:26" ht="15" customHeight="1">
      <c r="B28" s="29" t="s">
        <v>6</v>
      </c>
      <c r="C28" s="366" t="str">
        <f>[3]Brewhouse!$A858</f>
        <v>CA808</v>
      </c>
      <c r="D28" s="279">
        <f>[3]Brewhouse!$AF858</f>
        <v>50.6</v>
      </c>
      <c r="E28" s="279">
        <f>[3]Brewhouse!$AI858</f>
        <v>51.1</v>
      </c>
      <c r="F28" s="278">
        <f>[3]Brewhouse!$V858</f>
        <v>64</v>
      </c>
      <c r="G28" s="279">
        <f>[3]Brewhouse!AG858</f>
        <v>11.8</v>
      </c>
      <c r="H28" s="396">
        <v>11.8</v>
      </c>
      <c r="I28" s="368">
        <f>[3]Brewhouse!$AU858</f>
        <v>99.722990813593498</v>
      </c>
      <c r="J28" s="368">
        <f>[3]Brewhouse!$AV858</f>
        <v>100.61494766402859</v>
      </c>
      <c r="K28" s="281">
        <f>[3]Brewhouse!$Q858</f>
        <v>5.1711026615969562</v>
      </c>
      <c r="L28" s="276">
        <f>[3]Brewhouse!$P858</f>
        <v>60</v>
      </c>
      <c r="M28" s="374">
        <f>[3]Brewhouse!$U858-[3]Brewhouse!$T858</f>
        <v>0.11388888888888887</v>
      </c>
      <c r="N28" s="370">
        <f>[3]Brewhouse!$Z858</f>
        <v>0.27499999999999997</v>
      </c>
      <c r="O28" s="419" t="str">
        <f>[3]Brewhouse!$AX858</f>
        <v>D. Gomaz</v>
      </c>
      <c r="P28" s="417"/>
      <c r="R28" s="277" t="str">
        <f t="shared" si="9"/>
        <v>CARIB</v>
      </c>
      <c r="S28" s="471">
        <f t="shared" si="1"/>
        <v>11.6</v>
      </c>
      <c r="T28" s="471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1">
        <f t="shared" si="8"/>
        <v>60</v>
      </c>
    </row>
    <row r="29" spans="2:26" ht="15" customHeight="1">
      <c r="B29" s="29" t="s">
        <v>6</v>
      </c>
      <c r="C29" s="366" t="str">
        <f>[3]Brewhouse!$A859</f>
        <v>CA809</v>
      </c>
      <c r="D29" s="279">
        <f>[3]Brewhouse!$AF859</f>
        <v>50.4</v>
      </c>
      <c r="E29" s="279">
        <f>[3]Brewhouse!$AI859</f>
        <v>51.1</v>
      </c>
      <c r="F29" s="278">
        <f>[3]Brewhouse!$V859</f>
        <v>68</v>
      </c>
      <c r="G29" s="279">
        <f>[3]Brewhouse!AG859</f>
        <v>11.8</v>
      </c>
      <c r="H29" s="396">
        <v>11.9</v>
      </c>
      <c r="I29" s="368">
        <f>[3]Brewhouse!$AU859</f>
        <v>99.722990813593498</v>
      </c>
      <c r="J29" s="368">
        <f>[3]Brewhouse!$AV859</f>
        <v>100.61494766402859</v>
      </c>
      <c r="K29" s="281">
        <f>[3]Brewhouse!$Q859</f>
        <v>5.7305502846299863</v>
      </c>
      <c r="L29" s="276">
        <f>[3]Brewhouse!$P859</f>
        <v>60</v>
      </c>
      <c r="M29" s="374">
        <f>[3]Brewhouse!$U859-[3]Brewhouse!$T859</f>
        <v>0.11944444444444435</v>
      </c>
      <c r="N29" s="370">
        <f>[3]Brewhouse!$Z859</f>
        <v>0.27777777777777773</v>
      </c>
      <c r="O29" s="419" t="str">
        <f>[3]Brewhouse!$AX859</f>
        <v>D. Gomaz</v>
      </c>
      <c r="P29" s="417"/>
      <c r="R29" s="277" t="str">
        <f t="shared" si="9"/>
        <v>CARIB</v>
      </c>
      <c r="S29" s="471">
        <f t="shared" si="1"/>
        <v>11.6</v>
      </c>
      <c r="T29" s="471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1">
        <f t="shared" si="8"/>
        <v>60</v>
      </c>
    </row>
    <row r="30" spans="2:26" ht="15" customHeight="1">
      <c r="B30" s="29" t="s">
        <v>6</v>
      </c>
      <c r="C30" s="366" t="str">
        <f>[3]Brewhouse!$A860</f>
        <v>CA810</v>
      </c>
      <c r="D30" s="279">
        <f>[3]Brewhouse!$AF860</f>
        <v>50.1</v>
      </c>
      <c r="E30" s="279">
        <f>[3]Brewhouse!$AI860</f>
        <v>50.8</v>
      </c>
      <c r="F30" s="278">
        <f>[3]Brewhouse!$V860</f>
        <v>60</v>
      </c>
      <c r="G30" s="279">
        <f>[3]Brewhouse!AG860</f>
        <v>11.8</v>
      </c>
      <c r="H30" s="396">
        <v>11.7</v>
      </c>
      <c r="I30" s="368">
        <f>[3]Brewhouse!$AU860</f>
        <v>99.137532941889432</v>
      </c>
      <c r="J30" s="368">
        <f>[3]Brewhouse!$AV860</f>
        <v>100.02425325504211</v>
      </c>
      <c r="K30" s="281">
        <f>[3]Brewhouse!$Q860</f>
        <v>6.4772727272727177</v>
      </c>
      <c r="L30" s="276">
        <f>[3]Brewhouse!$P860</f>
        <v>59</v>
      </c>
      <c r="M30" s="374">
        <f>[3]Brewhouse!$U860-[3]Brewhouse!$T860</f>
        <v>0.12222222222222223</v>
      </c>
      <c r="N30" s="370">
        <f>[3]Brewhouse!$Z860</f>
        <v>0.27986111111111112</v>
      </c>
      <c r="O30" s="419" t="str">
        <f>[3]Brewhouse!$AX860</f>
        <v>D. Gomaz</v>
      </c>
      <c r="P30" s="417"/>
      <c r="R30" s="277" t="str">
        <f t="shared" si="9"/>
        <v>CARIB</v>
      </c>
      <c r="S30" s="471">
        <f t="shared" si="1"/>
        <v>11.6</v>
      </c>
      <c r="T30" s="471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471">
        <f t="shared" si="8"/>
        <v>60</v>
      </c>
    </row>
    <row r="31" spans="2:26" ht="1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74"/>
      <c r="N31" s="370"/>
      <c r="O31" s="419"/>
      <c r="P31" s="417"/>
      <c r="R31" s="277">
        <f t="shared" si="9"/>
        <v>0</v>
      </c>
      <c r="S31" s="471" t="e">
        <f t="shared" si="1"/>
        <v>#N/A</v>
      </c>
      <c r="T31" s="471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1" t="e">
        <f t="shared" si="8"/>
        <v>#N/A</v>
      </c>
    </row>
    <row r="32" spans="2:26" ht="15" customHeight="1">
      <c r="B32" s="33" t="s">
        <v>9</v>
      </c>
      <c r="C32" s="366" t="str">
        <f>[4]Brewhouse!$A428</f>
        <v>ST369</v>
      </c>
      <c r="D32" s="279">
        <f>[4]Brewhouse!$AB428</f>
        <v>53.1</v>
      </c>
      <c r="E32" s="279">
        <f>[4]Brewhouse!$AG428</f>
        <v>47.7</v>
      </c>
      <c r="F32" s="278">
        <f>[4]Brewhouse!$V428</f>
        <v>60</v>
      </c>
      <c r="G32" s="279">
        <f>[4]Brewhouse!$AE428</f>
        <v>12</v>
      </c>
      <c r="H32" s="396">
        <v>12.4</v>
      </c>
      <c r="I32" s="368">
        <f>[4]Brewhouse!$AS428</f>
        <v>96.689802551080064</v>
      </c>
      <c r="J32" s="368">
        <f>[4]Brewhouse!$AT428</f>
        <v>97.345357055812826</v>
      </c>
      <c r="K32" s="281">
        <f>[4]Brewhouse!$Q428</f>
        <v>11.817325800376645</v>
      </c>
      <c r="L32" s="276">
        <f>[4]Brewhouse!$P428</f>
        <v>76</v>
      </c>
      <c r="M32" s="374">
        <f>[4]Brewhouse!$U428-[4]Brewhouse!$T428</f>
        <v>0.16805555555555562</v>
      </c>
      <c r="N32" s="370">
        <f>[4]Brewhouse!$AW428</f>
        <v>0.26388888888888895</v>
      </c>
      <c r="O32" s="419" t="str">
        <f>[4]Brewhouse!$AV428</f>
        <v>D.Gomaz</v>
      </c>
      <c r="P32" s="417"/>
      <c r="R32" s="277" t="str">
        <f t="shared" si="9"/>
        <v>STAG</v>
      </c>
      <c r="S32" s="471">
        <f t="shared" si="1"/>
        <v>11.6</v>
      </c>
      <c r="T32" s="471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471">
        <f t="shared" si="8"/>
        <v>60</v>
      </c>
    </row>
    <row r="33" spans="1:26" ht="15" customHeight="1">
      <c r="B33" s="33" t="s">
        <v>9</v>
      </c>
      <c r="C33" s="366" t="str">
        <f>[4]Brewhouse!$A429</f>
        <v>ST370</v>
      </c>
      <c r="D33" s="279">
        <f>[4]Brewhouse!$AB429</f>
        <v>53.1</v>
      </c>
      <c r="E33" s="279">
        <f>[4]Brewhouse!$AG429</f>
        <v>49.3</v>
      </c>
      <c r="F33" s="278">
        <f>[4]Brewhouse!$V429</f>
        <v>52</v>
      </c>
      <c r="G33" s="279">
        <f>[4]Brewhouse!$AE429</f>
        <v>12</v>
      </c>
      <c r="H33" s="396">
        <v>12.3</v>
      </c>
      <c r="I33" s="368">
        <f>[4]Brewhouse!$AS429</f>
        <v>99.306738861818587</v>
      </c>
      <c r="J33" s="368">
        <f>[4]Brewhouse!$AT429</f>
        <v>99.981108464860924</v>
      </c>
      <c r="K33" s="281">
        <f>[4]Brewhouse!$Q429</f>
        <v>11.629001883239166</v>
      </c>
      <c r="L33" s="276">
        <f>[4]Brewhouse!$P429</f>
        <v>61</v>
      </c>
      <c r="M33" s="374">
        <f>[4]Brewhouse!$U429-[4]Brewhouse!$T429</f>
        <v>0.11041666666666661</v>
      </c>
      <c r="N33" s="370">
        <f>[4]Brewhouse!$AW429</f>
        <v>0.25138888888888877</v>
      </c>
      <c r="O33" s="419" t="str">
        <f>[4]Brewhouse!$AV429</f>
        <v>D.Gomaz</v>
      </c>
      <c r="P33" s="417"/>
      <c r="R33" s="277" t="str">
        <f t="shared" si="9"/>
        <v>STAG</v>
      </c>
      <c r="S33" s="471">
        <f t="shared" si="1"/>
        <v>11.6</v>
      </c>
      <c r="T33" s="471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471">
        <f t="shared" si="8"/>
        <v>60</v>
      </c>
    </row>
    <row r="34" spans="1:26" ht="15" customHeight="1">
      <c r="B34" s="33" t="s">
        <v>9</v>
      </c>
      <c r="C34" s="366" t="str">
        <f>[4]Brewhouse!$A430</f>
        <v>ST371</v>
      </c>
      <c r="D34" s="279">
        <f>[4]Brewhouse!$AB430</f>
        <v>53</v>
      </c>
      <c r="E34" s="279">
        <f>[4]Brewhouse!$AG430</f>
        <v>48.4</v>
      </c>
      <c r="F34" s="278">
        <f>[4]Brewhouse!$V430</f>
        <v>51</v>
      </c>
      <c r="G34" s="279">
        <f>[4]Brewhouse!$AE430</f>
        <v>12</v>
      </c>
      <c r="H34" s="396">
        <v>12.2</v>
      </c>
      <c r="I34" s="368">
        <f>[4]Brewhouse!$AS430</f>
        <v>96.41596842762425</v>
      </c>
      <c r="J34" s="368">
        <f>[4]Brewhouse!$AT430</f>
        <v>97.070292582250815</v>
      </c>
      <c r="K34" s="281">
        <f>[4]Brewhouse!$Q430</f>
        <v>11.839622641509431</v>
      </c>
      <c r="L34" s="276">
        <f>[4]Brewhouse!$P430</f>
        <v>61</v>
      </c>
      <c r="M34" s="374">
        <f>[4]Brewhouse!$U430-[4]Brewhouse!$T430</f>
        <v>0.11041666666666683</v>
      </c>
      <c r="N34" s="370">
        <f>[4]Brewhouse!$AW430</f>
        <v>0.25625000000000009</v>
      </c>
      <c r="O34" s="419" t="str">
        <f>[4]Brewhouse!$AV430</f>
        <v>D.Gomaz</v>
      </c>
      <c r="P34" s="417"/>
      <c r="R34" s="277" t="str">
        <f t="shared" si="9"/>
        <v>STAG</v>
      </c>
      <c r="S34" s="471">
        <f t="shared" si="1"/>
        <v>11.6</v>
      </c>
      <c r="T34" s="471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471">
        <f t="shared" si="8"/>
        <v>60</v>
      </c>
    </row>
    <row r="35" spans="1:26" ht="15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74"/>
      <c r="N35" s="370"/>
      <c r="O35" s="419"/>
      <c r="P35" s="417"/>
      <c r="R35" s="277">
        <f t="shared" si="9"/>
        <v>0</v>
      </c>
      <c r="S35" s="471" t="e">
        <f t="shared" si="1"/>
        <v>#N/A</v>
      </c>
      <c r="T35" s="471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1" t="e">
        <f t="shared" si="8"/>
        <v>#N/A</v>
      </c>
    </row>
    <row r="36" spans="1:26" ht="15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74"/>
      <c r="N36" s="370"/>
      <c r="O36" s="419"/>
      <c r="P36" s="417"/>
      <c r="R36" s="277">
        <f t="shared" si="9"/>
        <v>0</v>
      </c>
      <c r="S36" s="471" t="e">
        <f t="shared" si="1"/>
        <v>#N/A</v>
      </c>
      <c r="T36" s="471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1" t="e">
        <f t="shared" si="8"/>
        <v>#N/A</v>
      </c>
    </row>
    <row r="37" spans="1:26" ht="15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74"/>
      <c r="N37" s="370"/>
      <c r="O37" s="419"/>
      <c r="P37" s="417"/>
      <c r="R37" s="277">
        <f t="shared" si="9"/>
        <v>0</v>
      </c>
      <c r="S37" s="471" t="e">
        <f t="shared" si="1"/>
        <v>#N/A</v>
      </c>
      <c r="T37" s="471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1" t="e">
        <f t="shared" si="8"/>
        <v>#N/A</v>
      </c>
    </row>
    <row r="38" spans="1:26" ht="1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74"/>
      <c r="N38" s="370"/>
      <c r="O38" s="419"/>
      <c r="P38" s="417"/>
      <c r="R38" s="277">
        <f t="shared" si="9"/>
        <v>0</v>
      </c>
      <c r="S38" s="471" t="e">
        <f t="shared" si="1"/>
        <v>#N/A</v>
      </c>
      <c r="T38" s="471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1" t="e">
        <f t="shared" si="8"/>
        <v>#N/A</v>
      </c>
    </row>
    <row r="39" spans="1:26" ht="1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74"/>
      <c r="N39" s="370"/>
      <c r="O39" s="419"/>
      <c r="P39" s="417"/>
      <c r="R39" s="277">
        <f t="shared" si="0"/>
        <v>0</v>
      </c>
      <c r="S39" s="471" t="e">
        <f t="shared" si="1"/>
        <v>#N/A</v>
      </c>
      <c r="T39" s="471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1" t="e">
        <f t="shared" si="8"/>
        <v>#N/A</v>
      </c>
    </row>
    <row r="40" spans="1:26" ht="15" hidden="1" customHeight="1">
      <c r="B40" s="34"/>
      <c r="C40" s="366"/>
      <c r="D40" s="279"/>
      <c r="E40" s="279"/>
      <c r="F40" s="278"/>
      <c r="G40" s="279"/>
      <c r="H40" s="396"/>
      <c r="I40" s="487"/>
      <c r="J40" s="487"/>
      <c r="K40" s="488"/>
      <c r="L40" s="276"/>
      <c r="M40" s="374"/>
      <c r="N40" s="370"/>
      <c r="O40" s="419"/>
      <c r="P40" s="417"/>
      <c r="R40" s="277">
        <f t="shared" si="0"/>
        <v>0</v>
      </c>
      <c r="S40" s="471" t="e">
        <f t="shared" si="1"/>
        <v>#N/A</v>
      </c>
      <c r="T40" s="471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1" t="e">
        <f t="shared" si="8"/>
        <v>#N/A</v>
      </c>
    </row>
    <row r="41" spans="1:26" ht="17.25" customHeight="1" thickBot="1">
      <c r="B41" s="358"/>
      <c r="C41" s="358"/>
      <c r="D41" s="358"/>
      <c r="E41" s="358"/>
      <c r="F41" s="294"/>
      <c r="G41" s="294"/>
      <c r="H41" s="348"/>
      <c r="I41" s="539"/>
      <c r="J41" s="539"/>
      <c r="K41" s="539"/>
      <c r="L41" s="539"/>
      <c r="M41" s="539"/>
      <c r="N41" s="539"/>
      <c r="O41" s="1"/>
      <c r="P41" s="12"/>
      <c r="R41" s="277">
        <f t="shared" si="0"/>
        <v>0</v>
      </c>
      <c r="S41" s="471" t="e">
        <f t="shared" si="1"/>
        <v>#N/A</v>
      </c>
      <c r="T41" s="471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1" t="e">
        <f t="shared" si="8"/>
        <v>#N/A</v>
      </c>
    </row>
    <row r="42" spans="1:26" ht="17.25" customHeight="1" thickBot="1">
      <c r="B42" s="482" t="s">
        <v>162</v>
      </c>
      <c r="C42" s="388"/>
      <c r="D42" s="540" t="s">
        <v>35</v>
      </c>
      <c r="E42" s="541"/>
      <c r="F42" s="294"/>
      <c r="G42" s="294"/>
      <c r="H42" s="348"/>
      <c r="I42" s="24" t="s">
        <v>17</v>
      </c>
      <c r="J42" s="25"/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0"/>
        <v xml:space="preserve">BRAND </v>
      </c>
      <c r="S42" s="471" t="e">
        <f t="shared" si="1"/>
        <v>#N/A</v>
      </c>
      <c r="T42" s="471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1" t="e">
        <f t="shared" si="8"/>
        <v>#N/A</v>
      </c>
    </row>
    <row r="43" spans="1:26" ht="17.25" customHeight="1">
      <c r="A43" s="28"/>
      <c r="B43" s="542" t="str">
        <f>I43</f>
        <v>CARIB</v>
      </c>
      <c r="C43" s="483">
        <f>[3]Process!D806</f>
        <v>11.8</v>
      </c>
      <c r="D43" s="527">
        <v>11.6</v>
      </c>
      <c r="E43" s="528"/>
      <c r="F43" s="294"/>
      <c r="G43" s="294"/>
      <c r="H43" s="348"/>
      <c r="I43" s="29" t="s">
        <v>6</v>
      </c>
      <c r="J43" s="323">
        <f>AVERAGE(I25:I30)</f>
        <v>99.589140995293121</v>
      </c>
      <c r="K43" s="284">
        <f>COUNTA([3]Brewhouse!$A$789:$A$860)</f>
        <v>72</v>
      </c>
      <c r="L43" s="305">
        <f>AVERAGE([3]Brewhouse!$AU$789:$AU$860)</f>
        <v>98.027890914726825</v>
      </c>
      <c r="M43" s="305">
        <f>AVERAGE([3]Brewhouse!$AU$42:$AU$123,[3]Brewhouse!$AU$125:$AU$188,[3]Brewhouse!$AU$198:$AU$290,[3]Brewhouse!$AU$292:$AU$370,[3]Brewhouse!$AU$372:$AU$439,[3]Brewhouse!$AU$441:$AU$497,[3]Brewhouse!$AU$499:$AU$519,[3]Brewhouse!$AU$521:$AU$593,[3]Brewhouse!$AU$595:$AU$694,[3]Brewhouse!$AU$696:$AU$787,[3]Brewhouse!$AU$789:$AU$860)</f>
        <v>98.304074277778014</v>
      </c>
      <c r="N43" s="30">
        <v>98</v>
      </c>
      <c r="O43" s="11"/>
      <c r="P43" s="31"/>
      <c r="R43" s="277" t="str">
        <f t="shared" si="0"/>
        <v>CARIB</v>
      </c>
      <c r="S43" s="471">
        <f t="shared" si="1"/>
        <v>11.6</v>
      </c>
      <c r="T43" s="471">
        <f t="shared" si="2"/>
        <v>12</v>
      </c>
      <c r="U43" s="297">
        <f t="shared" si="3"/>
        <v>0</v>
      </c>
      <c r="V43" s="297">
        <f t="shared" si="4"/>
        <v>0.118055555555556</v>
      </c>
      <c r="W43" s="297">
        <f t="shared" si="5"/>
        <v>0.22569444444444445</v>
      </c>
      <c r="X43" s="297">
        <f t="shared" si="6"/>
        <v>0.2638888888888889</v>
      </c>
      <c r="Y43" s="297">
        <f t="shared" si="7"/>
        <v>0</v>
      </c>
      <c r="Z43" s="471">
        <f t="shared" si="8"/>
        <v>60</v>
      </c>
    </row>
    <row r="44" spans="1:26" ht="15" customHeight="1">
      <c r="A44" s="28"/>
      <c r="B44" s="525"/>
      <c r="C44" s="362">
        <f>[3]Process!D807</f>
        <v>12</v>
      </c>
      <c r="D44" s="529"/>
      <c r="E44" s="530"/>
      <c r="F44" s="294"/>
      <c r="G44" s="294"/>
      <c r="H44" s="348"/>
      <c r="I44" s="33" t="s">
        <v>9</v>
      </c>
      <c r="J44" s="323">
        <f>AVERAGE(I32:I34)</f>
        <v>97.470836613507629</v>
      </c>
      <c r="K44" s="284">
        <f>COUNTA([4]Brewhouse!$A$390:$A$430)</f>
        <v>41</v>
      </c>
      <c r="L44" s="302">
        <f>AVERAGE([4]Brewhouse!$AS$390:$AS$430)</f>
        <v>97.439349701019296</v>
      </c>
      <c r="M44" s="302">
        <f>AVERAGE([4]Brewhouse!$AS$52:$AS$81,[4]Brewhouse!$AS$83:$AS$124,[4]Brewhouse!$AS$134:$AS$177,[4]Brewhouse!$AS$22:$AS$179,[4]Brewhouse!$AS$214:$AS$249,[4]Brewhouse!$AS$252:$AS$293,[4]Brewhouse!$AS$295:$AS$325,[4]Brewhouse!$AS$327:$AS$361,[4]Brewhouse!$AS$363:$AS$388,[4]Brewhouse!$AS$390:$AS$430)</f>
        <v>98.23444946011243</v>
      </c>
      <c r="N44" s="30">
        <v>98</v>
      </c>
      <c r="O44" s="11"/>
      <c r="P44" s="31"/>
      <c r="R44" s="277">
        <f t="shared" si="0"/>
        <v>0</v>
      </c>
      <c r="S44" s="471" t="e">
        <f t="shared" si="1"/>
        <v>#N/A</v>
      </c>
      <c r="T44" s="471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1" t="e">
        <f t="shared" si="8"/>
        <v>#N/A</v>
      </c>
    </row>
    <row r="45" spans="1:26" ht="14.65" customHeight="1">
      <c r="A45" s="28"/>
      <c r="B45" s="525"/>
      <c r="C45" s="362">
        <f>[3]Process!D808</f>
        <v>11.9</v>
      </c>
      <c r="D45" s="534">
        <v>11.6</v>
      </c>
      <c r="E45" s="535"/>
      <c r="F45" s="294"/>
      <c r="G45" s="294"/>
      <c r="H45" s="348"/>
      <c r="I45" s="34" t="s">
        <v>12</v>
      </c>
      <c r="J45" s="323"/>
      <c r="K45" s="284">
        <f>COUNTA([5]Brewhouse!$A$108:$A$115)</f>
        <v>8</v>
      </c>
      <c r="L45" s="302">
        <f>AVERAGE([5]Brewhouse!$AU$108:$AU$115)</f>
        <v>97.365395087454402</v>
      </c>
      <c r="M45" s="302">
        <f>AVERAGE([5]Brewhouse!$AU$16:$AU$23,[5]Brewhouse!$AU$25:$AU$32,[5]Brewhouse!$AU$34:$AU$41,[5]Brewhouse!$AU$43:$AU$60,[5]Brewhouse!$AU$62:$AU$69,[5]Brewhouse!$AU$71:$AU$88,[5]Brewhouse!$AU$90:$AU$97,[5]Brewhouse!$AU$99:$AU$106,[5]Brewhouse!$AU$108:$AU$115)</f>
        <v>96.573750685745694</v>
      </c>
      <c r="N45" s="30">
        <v>98</v>
      </c>
      <c r="O45" s="11"/>
      <c r="P45" s="31"/>
      <c r="R45" s="277">
        <f t="shared" si="0"/>
        <v>0</v>
      </c>
      <c r="S45" s="471" t="e">
        <f t="shared" si="1"/>
        <v>#N/A</v>
      </c>
      <c r="T45" s="471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1" t="e">
        <f t="shared" si="8"/>
        <v>#N/A</v>
      </c>
    </row>
    <row r="46" spans="1:26" ht="14.65" customHeight="1">
      <c r="A46" s="28"/>
      <c r="B46" s="525"/>
      <c r="C46" s="362">
        <f>[3]Process!D809</f>
        <v>11.6</v>
      </c>
      <c r="D46" s="536"/>
      <c r="E46" s="530"/>
      <c r="F46" s="294"/>
      <c r="G46" s="294"/>
      <c r="H46" s="348"/>
      <c r="I46" s="22" t="s">
        <v>33</v>
      </c>
      <c r="J46" s="280"/>
      <c r="K46" s="284"/>
      <c r="L46" s="302"/>
      <c r="M46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97.566635166530773</v>
      </c>
      <c r="N46" s="30">
        <v>98</v>
      </c>
      <c r="O46" s="11"/>
      <c r="P46" s="31"/>
      <c r="R46" s="277">
        <f t="shared" si="0"/>
        <v>0</v>
      </c>
      <c r="S46" s="471" t="e">
        <f t="shared" si="1"/>
        <v>#N/A</v>
      </c>
      <c r="T46" s="471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1" t="e">
        <f t="shared" si="8"/>
        <v>#N/A</v>
      </c>
    </row>
    <row r="47" spans="1:26" ht="14.65" customHeight="1">
      <c r="A47" s="28"/>
      <c r="B47" s="525"/>
      <c r="C47" s="362">
        <f>[3]Process!D810</f>
        <v>11.8</v>
      </c>
      <c r="D47" s="534">
        <v>11.61</v>
      </c>
      <c r="E47" s="535"/>
      <c r="F47" s="294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>
        <f t="shared" si="0"/>
        <v>0</v>
      </c>
      <c r="S47" s="471" t="e">
        <f t="shared" si="1"/>
        <v>#N/A</v>
      </c>
      <c r="T47" s="471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1" t="e">
        <f t="shared" si="8"/>
        <v>#N/A</v>
      </c>
    </row>
    <row r="48" spans="1:26" ht="14.65" customHeight="1">
      <c r="A48" s="28"/>
      <c r="B48" s="525"/>
      <c r="C48" s="362">
        <f>[3]Process!D811</f>
        <v>11.6</v>
      </c>
      <c r="D48" s="536"/>
      <c r="E48" s="530"/>
      <c r="F48" s="416"/>
      <c r="G48" s="294"/>
      <c r="H48" s="348"/>
      <c r="I48" s="36" t="s">
        <v>15</v>
      </c>
      <c r="J48" s="323"/>
      <c r="K48" s="284"/>
      <c r="L48" s="302"/>
      <c r="M48" s="302">
        <f>AVERAGE([7]Brewhouse!$AT$4:$AT$11,[7]Brewhouse!$AT$13:$AT$16,[7]Brewhouse!$AT$18:$AT$30)</f>
        <v>93.22262799886262</v>
      </c>
      <c r="N48" s="30">
        <v>98</v>
      </c>
      <c r="O48" s="11"/>
      <c r="P48" s="31"/>
      <c r="R48" s="277">
        <f t="shared" si="0"/>
        <v>0</v>
      </c>
      <c r="S48" s="471" t="e">
        <f t="shared" si="1"/>
        <v>#N/A</v>
      </c>
      <c r="T48" s="471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1" t="e">
        <f t="shared" si="8"/>
        <v>#N/A</v>
      </c>
    </row>
    <row r="49" spans="1:56" ht="14.65" customHeight="1">
      <c r="A49" s="28"/>
      <c r="B49" s="525"/>
      <c r="C49" s="362">
        <f>[3]Process!D816</f>
        <v>11.7</v>
      </c>
      <c r="D49" s="534">
        <v>11.82</v>
      </c>
      <c r="E49" s="535"/>
      <c r="F49" s="416"/>
      <c r="G49" s="294"/>
      <c r="H49" s="348"/>
      <c r="I49" s="37" t="s">
        <v>16</v>
      </c>
      <c r="J49" s="323"/>
      <c r="K49" s="284">
        <f>COUNTA([8]Brewhouse!$A$112:$A$119)</f>
        <v>8</v>
      </c>
      <c r="L49" s="302">
        <f>AVERAGE([8]Brewhouse!$AY$112:$AY$119)</f>
        <v>96.833332758088616</v>
      </c>
      <c r="M49" s="302">
        <f>AVERAGE([8]Brewhouse!$AY$5:$AY$14,[8]Brewhouse!$AY$16:$AY$23,[8]Brewhouse!$AY$42,[8]Brewhouse!$AY$44:$AY$51,[8]Brewhouse!$AY$53:$AY$64,[8]Brewhouse!$AY$66:$AY$73,[8]Brewhouse!$AY$75:$AY$82,[8]Brewhouse!$AY$84:$AY$101,[8]Brewhouse!$AY$103:$AY$110,[8]Brewhouse!$AY$112:$AY$119)</f>
        <v>97.706699801192229</v>
      </c>
      <c r="N49" s="30">
        <v>98</v>
      </c>
      <c r="O49" s="11"/>
      <c r="P49" s="31" t="s">
        <v>41</v>
      </c>
      <c r="R49" s="277">
        <f t="shared" si="0"/>
        <v>0</v>
      </c>
      <c r="S49" s="471" t="e">
        <f t="shared" si="1"/>
        <v>#N/A</v>
      </c>
      <c r="T49" s="471" t="e">
        <f t="shared" si="2"/>
        <v>#N/A</v>
      </c>
      <c r="U49" s="297" t="e">
        <f t="shared" si="3"/>
        <v>#N/A</v>
      </c>
      <c r="V49" s="297" t="e">
        <f t="shared" si="4"/>
        <v>#N/A</v>
      </c>
      <c r="W49" s="297" t="e">
        <f t="shared" si="5"/>
        <v>#N/A</v>
      </c>
      <c r="X49" s="297" t="e">
        <f t="shared" si="6"/>
        <v>#N/A</v>
      </c>
      <c r="Y49" s="297" t="e">
        <f t="shared" si="7"/>
        <v>#N/A</v>
      </c>
      <c r="Z49" s="471" t="e">
        <f t="shared" si="8"/>
        <v>#N/A</v>
      </c>
    </row>
    <row r="50" spans="1:56" ht="14.65" customHeight="1">
      <c r="A50" s="28"/>
      <c r="B50" s="525"/>
      <c r="C50" s="362">
        <f>[3]Process!D817</f>
        <v>12</v>
      </c>
      <c r="D50" s="536"/>
      <c r="E50" s="530"/>
      <c r="F50" s="294"/>
      <c r="G50" s="294"/>
      <c r="H50" s="348"/>
      <c r="I50" s="410" t="s">
        <v>158</v>
      </c>
      <c r="J50" s="326"/>
      <c r="K50" s="284"/>
      <c r="L50" s="305"/>
      <c r="M50" s="305"/>
      <c r="N50" s="30">
        <v>98</v>
      </c>
      <c r="O50" s="11"/>
      <c r="P50" s="31"/>
      <c r="R50" s="277">
        <f t="shared" si="0"/>
        <v>0</v>
      </c>
      <c r="S50" s="471" t="e">
        <f t="shared" si="1"/>
        <v>#N/A</v>
      </c>
      <c r="T50" s="471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471" t="e">
        <f t="shared" si="8"/>
        <v>#N/A</v>
      </c>
    </row>
    <row r="51" spans="1:56" ht="14.65" customHeight="1">
      <c r="A51" s="28"/>
      <c r="B51" s="525"/>
      <c r="C51" s="362">
        <f>[3]Process!D818</f>
        <v>11.8</v>
      </c>
      <c r="D51" s="534">
        <v>11.73</v>
      </c>
      <c r="E51" s="535"/>
      <c r="F51" s="294"/>
      <c r="G51" s="294"/>
      <c r="H51" s="348"/>
      <c r="I51" s="409" t="s">
        <v>157</v>
      </c>
      <c r="J51" s="326"/>
      <c r="K51" s="284"/>
      <c r="L51" s="305"/>
      <c r="M51" s="305"/>
      <c r="N51" s="30">
        <v>98</v>
      </c>
      <c r="O51" s="11"/>
      <c r="P51" s="31"/>
      <c r="R51" s="277">
        <f t="shared" si="0"/>
        <v>0</v>
      </c>
      <c r="S51" s="471" t="e">
        <f t="shared" si="1"/>
        <v>#N/A</v>
      </c>
      <c r="T51" s="471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471" t="e">
        <f t="shared" si="8"/>
        <v>#N/A</v>
      </c>
      <c r="AA51" s="471"/>
    </row>
    <row r="52" spans="1:56" ht="15" customHeight="1" thickBot="1">
      <c r="A52" s="28"/>
      <c r="B52" s="525"/>
      <c r="C52" s="362">
        <f>[3]Process!D819</f>
        <v>11.7</v>
      </c>
      <c r="D52" s="536"/>
      <c r="E52" s="530"/>
      <c r="F52" s="294"/>
      <c r="G52" s="294"/>
      <c r="H52" s="348"/>
      <c r="I52" s="405" t="s">
        <v>156</v>
      </c>
      <c r="J52" s="327"/>
      <c r="K52" s="406"/>
      <c r="L52" s="407"/>
      <c r="M52" s="407"/>
      <c r="N52" s="408">
        <v>98</v>
      </c>
      <c r="O52" s="11"/>
      <c r="P52" s="31"/>
      <c r="R52" s="277">
        <f t="shared" si="0"/>
        <v>0</v>
      </c>
      <c r="S52" s="471" t="e">
        <f t="shared" si="1"/>
        <v>#N/A</v>
      </c>
      <c r="T52" s="471" t="e">
        <f t="shared" si="2"/>
        <v>#N/A</v>
      </c>
      <c r="U52" s="297" t="e">
        <f t="shared" si="3"/>
        <v>#N/A</v>
      </c>
      <c r="V52" s="297" t="e">
        <f t="shared" si="4"/>
        <v>#N/A</v>
      </c>
      <c r="W52" s="297" t="e">
        <f t="shared" si="5"/>
        <v>#N/A</v>
      </c>
      <c r="X52" s="297" t="e">
        <f t="shared" si="6"/>
        <v>#N/A</v>
      </c>
      <c r="Y52" s="297" t="e">
        <f t="shared" si="7"/>
        <v>#N/A</v>
      </c>
      <c r="Z52" s="471" t="e">
        <f t="shared" si="8"/>
        <v>#N/A</v>
      </c>
      <c r="AA52" s="471"/>
    </row>
    <row r="53" spans="1:56" ht="15" customHeight="1" thickBot="1">
      <c r="A53" s="28"/>
      <c r="B53" s="525"/>
      <c r="C53" s="349"/>
      <c r="D53" s="527"/>
      <c r="E53" s="528"/>
      <c r="F53" s="294"/>
      <c r="G53" s="294"/>
      <c r="H53" s="348"/>
      <c r="I53" s="1"/>
      <c r="J53" s="39"/>
      <c r="K53" s="403">
        <f>SUM(K43:K52)</f>
        <v>129</v>
      </c>
      <c r="L53" s="404">
        <f>((L43*K43)+(L44*K44)+(L45*K45)+(L46*K46)+(L47*K47)+(K50*L50)+(L48*K48)+(L49*K49)+(L52*K52))/(K53)</f>
        <v>97.725669041600511</v>
      </c>
      <c r="M53" s="404">
        <f>AVERAGE('[9]Jan30th-31st'!$L$42,'[10]Feb 27th-28th'!$L$45,'[11]Mar 31st'!$L$42,'[12]Apr 30th'!$L$41,'[13]May 29th '!$L$35,'[14]June 30th'!$L$32,[15]July31st!$L$36,'[16]Aug 31st'!$L$32,L53)</f>
        <v>97.951185874092516</v>
      </c>
      <c r="N53" s="40">
        <v>98</v>
      </c>
      <c r="O53" s="11"/>
      <c r="P53" s="31"/>
      <c r="R53" s="277">
        <f t="shared" si="0"/>
        <v>0</v>
      </c>
      <c r="S53" s="471" t="e">
        <f t="shared" si="1"/>
        <v>#N/A</v>
      </c>
      <c r="T53" s="471" t="e">
        <f t="shared" si="2"/>
        <v>#N/A</v>
      </c>
      <c r="U53" s="297" t="e">
        <f t="shared" si="3"/>
        <v>#N/A</v>
      </c>
      <c r="V53" s="297" t="e">
        <f t="shared" si="4"/>
        <v>#N/A</v>
      </c>
      <c r="W53" s="297" t="e">
        <f t="shared" si="5"/>
        <v>#N/A</v>
      </c>
      <c r="X53" s="297" t="e">
        <f t="shared" si="6"/>
        <v>#N/A</v>
      </c>
      <c r="Y53" s="297" t="e">
        <f t="shared" si="7"/>
        <v>#N/A</v>
      </c>
      <c r="Z53" s="471" t="e">
        <f t="shared" si="8"/>
        <v>#N/A</v>
      </c>
      <c r="AA53" s="471"/>
    </row>
    <row r="54" spans="1:56" ht="15.75" thickBot="1">
      <c r="B54" s="543"/>
      <c r="C54" s="350"/>
      <c r="D54" s="529"/>
      <c r="E54" s="530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>
        <f t="shared" si="0"/>
        <v>0</v>
      </c>
      <c r="S54" s="471" t="e">
        <f t="shared" si="1"/>
        <v>#N/A</v>
      </c>
      <c r="T54" s="471" t="e">
        <f t="shared" si="2"/>
        <v>#N/A</v>
      </c>
      <c r="U54" s="297" t="e">
        <f t="shared" si="3"/>
        <v>#N/A</v>
      </c>
      <c r="V54" s="297" t="e">
        <f t="shared" si="4"/>
        <v>#N/A</v>
      </c>
      <c r="W54" s="297" t="e">
        <f t="shared" si="5"/>
        <v>#N/A</v>
      </c>
      <c r="X54" s="297" t="e">
        <f t="shared" si="6"/>
        <v>#N/A</v>
      </c>
      <c r="Y54" s="297" t="e">
        <f t="shared" si="7"/>
        <v>#N/A</v>
      </c>
      <c r="Z54" s="471" t="e">
        <f t="shared" si="8"/>
        <v>#N/A</v>
      </c>
      <c r="AA54" s="471"/>
    </row>
    <row r="55" spans="1:56" ht="15.75" thickBot="1">
      <c r="B55" s="524" t="str">
        <f>I43</f>
        <v>CARIB</v>
      </c>
      <c r="C55" s="362">
        <f>[3]Process!D792</f>
        <v>11.8</v>
      </c>
      <c r="D55" s="527">
        <v>11.73</v>
      </c>
      <c r="E55" s="528"/>
      <c r="F55" s="294"/>
      <c r="G55" s="42"/>
      <c r="H55" s="41"/>
      <c r="I55" s="42"/>
      <c r="J55" s="531" t="s">
        <v>129</v>
      </c>
      <c r="K55" s="531"/>
      <c r="L55" s="294"/>
      <c r="M55" s="294"/>
      <c r="N55" s="294"/>
      <c r="O55" s="294"/>
      <c r="P55" s="12"/>
    </row>
    <row r="56" spans="1:56" ht="15.75" thickBot="1">
      <c r="B56" s="525"/>
      <c r="C56" s="362">
        <f>[3]Process!D793</f>
        <v>11.9</v>
      </c>
      <c r="D56" s="529"/>
      <c r="E56" s="530"/>
      <c r="F56" s="294"/>
      <c r="G56" s="42"/>
      <c r="H56" s="42"/>
      <c r="I56" s="42"/>
      <c r="J56" s="292" t="s">
        <v>17</v>
      </c>
      <c r="K56" s="293"/>
      <c r="L56" s="532" t="s">
        <v>136</v>
      </c>
      <c r="M56" s="532"/>
      <c r="N56" s="533"/>
      <c r="O56" s="294"/>
      <c r="P56" s="12"/>
    </row>
    <row r="57" spans="1:56" ht="15" customHeight="1" thickBot="1">
      <c r="B57" s="525"/>
      <c r="C57" s="349">
        <f>[3]Process!D794</f>
        <v>11.8</v>
      </c>
      <c r="D57" s="534">
        <v>11.68</v>
      </c>
      <c r="E57" s="535"/>
      <c r="F57" s="294"/>
      <c r="G57" s="42"/>
      <c r="H57" s="42"/>
      <c r="I57" s="42"/>
      <c r="J57" s="287" t="s">
        <v>6</v>
      </c>
      <c r="K57" s="324">
        <v>7</v>
      </c>
      <c r="L57" s="472" t="s">
        <v>37</v>
      </c>
      <c r="M57" s="473" t="s">
        <v>38</v>
      </c>
      <c r="N57" s="473" t="s">
        <v>84</v>
      </c>
      <c r="O57" s="294"/>
      <c r="P57" s="12"/>
    </row>
    <row r="58" spans="1:56" ht="15.75" customHeight="1" thickBot="1">
      <c r="B58" s="525"/>
      <c r="C58" s="349">
        <f>[3]Process!D795</f>
        <v>11.6</v>
      </c>
      <c r="D58" s="536"/>
      <c r="E58" s="530"/>
      <c r="F58" s="294"/>
      <c r="G58" s="42"/>
      <c r="H58" s="42"/>
      <c r="I58" s="42"/>
      <c r="J58" s="345" t="s">
        <v>9</v>
      </c>
      <c r="K58" s="324">
        <v>3</v>
      </c>
      <c r="L58" s="484">
        <f>AVERAGE('Oct 1st'!K52,'Oct 2nd'!K44,'Oct 5th'!K51,'Oct 6th'!K58,'Oct 7th'!K47,'Oct 8th '!K46,'Oct 9th-10th'!J57,'Oct 9th-10th'!K57,'Oct 12th'!K50,'Oct 13th '!K48,'Oct 14th'!K48,'Oct 15th '!K48,[17]Draw!$BBB$134,[17]Draw!$BBF$134,[17]Draw!$BBG$134,[17]Draw!$BBH$134,[17]Draw!$BBI$134,[17]Draw!$BBJ$134,'Oct  27th'!K52,'Oct  28th'!K59,K67)</f>
        <v>6.4761904761904763</v>
      </c>
      <c r="M58" s="485">
        <f>AVERAGE('[9]Jan30th-31st'!$L$47,L58,'[10]Feb 26th '!$L$39,'[11]Mar 31st'!$L$47,'[12]Apr 30th'!$L$46,'[13]May 29th '!$L$40,'[14]June 30th'!$L$39,[15]July31st!$L$41,'[16]Aug 31st'!$L$37,'[18]Sept 30th'!$L$37)</f>
        <v>6.5211531946314549</v>
      </c>
      <c r="N58" s="415">
        <v>9.1999999999999993</v>
      </c>
      <c r="O58" s="294"/>
      <c r="P58" s="12"/>
    </row>
    <row r="59" spans="1:56" ht="15" customHeight="1">
      <c r="B59" s="525"/>
      <c r="C59" s="349">
        <f>[3]Process!D796</f>
        <v>11.7</v>
      </c>
      <c r="D59" s="534">
        <v>11.61</v>
      </c>
      <c r="E59" s="535"/>
      <c r="F59" s="294"/>
      <c r="G59" s="42"/>
      <c r="H59" s="42"/>
      <c r="I59" s="42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25"/>
      <c r="C60" s="349">
        <f>[3]Process!D797</f>
        <v>11.7</v>
      </c>
      <c r="D60" s="536"/>
      <c r="E60" s="530"/>
      <c r="F60" s="294"/>
      <c r="G60" s="42"/>
      <c r="H60" s="42"/>
      <c r="I60" s="42"/>
      <c r="J60" s="289" t="s">
        <v>33</v>
      </c>
      <c r="K60" s="324"/>
      <c r="L60" s="294"/>
      <c r="M60" s="294"/>
      <c r="N60" s="294"/>
      <c r="O60" s="294"/>
      <c r="P60" s="12"/>
    </row>
    <row r="61" spans="1:56" ht="15">
      <c r="B61" s="525"/>
      <c r="C61" s="349">
        <f>[3]Process!D798</f>
        <v>11.6</v>
      </c>
      <c r="D61" s="534">
        <v>11.82</v>
      </c>
      <c r="E61" s="535"/>
      <c r="F61" s="294"/>
      <c r="G61" s="42"/>
      <c r="H61" s="42"/>
      <c r="I61" s="42"/>
      <c r="J61" s="290" t="s">
        <v>16</v>
      </c>
      <c r="K61" s="324"/>
      <c r="L61" s="294"/>
      <c r="M61" s="294"/>
      <c r="N61" s="294"/>
      <c r="O61" s="294"/>
      <c r="P61" s="12"/>
      <c r="BC61" s="44"/>
      <c r="BD61" s="44"/>
    </row>
    <row r="62" spans="1:56" ht="15">
      <c r="B62" s="525"/>
      <c r="C62" s="349">
        <f>[3]Process!D799</f>
        <v>11.8</v>
      </c>
      <c r="D62" s="536"/>
      <c r="E62" s="530"/>
      <c r="F62" s="294"/>
      <c r="G62" s="42"/>
      <c r="H62" s="42"/>
      <c r="I62" s="42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5">
      <c r="B63" s="525"/>
      <c r="C63" s="349"/>
      <c r="D63" s="534"/>
      <c r="E63" s="535"/>
      <c r="F63" s="294"/>
      <c r="G63" s="42"/>
      <c r="H63" s="42"/>
      <c r="I63" s="42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.75" thickBot="1">
      <c r="B64" s="526"/>
      <c r="C64" s="350"/>
      <c r="D64" s="537"/>
      <c r="E64" s="538"/>
      <c r="F64" s="294" t="s">
        <v>165</v>
      </c>
      <c r="G64" s="42"/>
      <c r="H64" s="42"/>
      <c r="I64" s="42"/>
      <c r="J64" s="291" t="s">
        <v>148</v>
      </c>
      <c r="K64" s="324"/>
      <c r="L64" s="294"/>
      <c r="M64" s="294"/>
      <c r="N64" s="294" t="s">
        <v>41</v>
      </c>
      <c r="O64" s="294"/>
      <c r="P64" s="12"/>
      <c r="BC64" s="44"/>
      <c r="BD64" s="44"/>
    </row>
    <row r="65" spans="2:57" ht="17.649999999999999" customHeight="1" thickBot="1">
      <c r="B65" s="312" t="s">
        <v>139</v>
      </c>
      <c r="C65" s="313"/>
      <c r="D65" s="515"/>
      <c r="E65" s="516"/>
      <c r="F65" s="294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2:57" ht="17.649999999999999" customHeight="1">
      <c r="B66" s="363"/>
      <c r="C66" s="364"/>
      <c r="D66" s="365"/>
      <c r="E66" s="365"/>
      <c r="F66" s="294"/>
      <c r="G66" s="42"/>
      <c r="H66" s="42"/>
      <c r="I66" s="42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2:57" ht="15.6" customHeight="1">
      <c r="B67" s="45"/>
      <c r="C67" s="11"/>
      <c r="D67" s="11"/>
      <c r="E67" s="46"/>
      <c r="F67" s="294"/>
      <c r="G67" s="42"/>
      <c r="H67" s="42"/>
      <c r="I67" s="42"/>
      <c r="J67" s="346" t="s">
        <v>130</v>
      </c>
      <c r="K67" s="324">
        <f>SUM(K57:K66)</f>
        <v>10</v>
      </c>
      <c r="L67" s="294"/>
      <c r="M67" s="294"/>
      <c r="N67" s="294"/>
      <c r="O67" s="294"/>
      <c r="P67" s="12"/>
    </row>
    <row r="68" spans="2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42"/>
      <c r="N68" s="315"/>
      <c r="P68" s="334"/>
    </row>
    <row r="69" spans="2:57" ht="15" customHeight="1" thickBot="1"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1"/>
      <c r="O69" s="48"/>
      <c r="P69" s="49"/>
    </row>
    <row r="70" spans="2:57" ht="15" customHeight="1" thickBot="1">
      <c r="B70" s="509" t="s">
        <v>17</v>
      </c>
      <c r="C70" s="509" t="s">
        <v>44</v>
      </c>
      <c r="D70" s="518" t="s">
        <v>45</v>
      </c>
      <c r="E70" s="520" t="s">
        <v>46</v>
      </c>
      <c r="F70" s="522" t="s">
        <v>47</v>
      </c>
      <c r="G70" s="507" t="s">
        <v>48</v>
      </c>
      <c r="H70" s="509" t="s">
        <v>49</v>
      </c>
      <c r="I70" s="509" t="s">
        <v>50</v>
      </c>
      <c r="J70" s="501" t="s">
        <v>28</v>
      </c>
      <c r="K70" s="511" t="s">
        <v>51</v>
      </c>
      <c r="L70" s="513" t="s">
        <v>52</v>
      </c>
      <c r="M70" s="501" t="s">
        <v>53</v>
      </c>
      <c r="N70" s="13"/>
      <c r="O70" s="13"/>
      <c r="P70" s="50"/>
    </row>
    <row r="71" spans="2:57" ht="28.5" customHeight="1" thickTop="1" thickBot="1">
      <c r="B71" s="510"/>
      <c r="C71" s="517"/>
      <c r="D71" s="519"/>
      <c r="E71" s="521"/>
      <c r="F71" s="523"/>
      <c r="G71" s="508"/>
      <c r="H71" s="510"/>
      <c r="I71" s="510"/>
      <c r="J71" s="502"/>
      <c r="K71" s="512"/>
      <c r="L71" s="514"/>
      <c r="M71" s="502"/>
      <c r="N71" s="13"/>
      <c r="O71" s="13"/>
      <c r="P71" s="50"/>
      <c r="Q71" s="355"/>
      <c r="AB71" s="474">
        <v>43474</v>
      </c>
      <c r="AC71" s="474">
        <v>43475</v>
      </c>
      <c r="AD71" s="474">
        <v>43476</v>
      </c>
      <c r="AE71" s="474">
        <v>43477</v>
      </c>
      <c r="AF71" s="474">
        <v>43478</v>
      </c>
      <c r="AG71" s="474">
        <v>43479</v>
      </c>
      <c r="AH71" s="474">
        <v>43480</v>
      </c>
      <c r="AI71" s="474">
        <v>43481</v>
      </c>
      <c r="AJ71" s="474">
        <v>43482</v>
      </c>
      <c r="AK71" s="474">
        <v>43483</v>
      </c>
      <c r="AL71" s="474">
        <v>43484</v>
      </c>
      <c r="AM71" s="474">
        <v>43485</v>
      </c>
      <c r="AN71" s="474">
        <v>43486</v>
      </c>
      <c r="AO71" s="474">
        <v>43487</v>
      </c>
      <c r="AP71" s="474">
        <v>43488</v>
      </c>
      <c r="AQ71" s="474">
        <v>43489</v>
      </c>
      <c r="AR71" s="474">
        <v>43490</v>
      </c>
      <c r="AS71" s="474">
        <v>43491</v>
      </c>
      <c r="AT71" s="474">
        <v>43492</v>
      </c>
      <c r="AU71" s="474">
        <v>43493</v>
      </c>
      <c r="AV71" s="474">
        <v>43494</v>
      </c>
      <c r="AW71" s="474">
        <v>43495</v>
      </c>
      <c r="AX71" s="474">
        <v>43496</v>
      </c>
    </row>
    <row r="72" spans="2:57" s="54" customFormat="1" ht="36.75" customHeight="1" thickBot="1">
      <c r="B72" s="455" t="str">
        <f>B85</f>
        <v>CARIB</v>
      </c>
      <c r="C72" s="478">
        <v>46323</v>
      </c>
      <c r="D72" s="444">
        <f>[19]October_2026!$AE$3</f>
        <v>498</v>
      </c>
      <c r="E72" s="442"/>
      <c r="F72" s="443"/>
      <c r="G72" s="443">
        <f>[19]October_2026!$AE$7</f>
        <v>469</v>
      </c>
      <c r="H72" s="457"/>
      <c r="I72" s="457"/>
      <c r="J72" s="447" t="s">
        <v>173</v>
      </c>
      <c r="K72" s="448">
        <f>[20]October_2026!$AE$18</f>
        <v>0.82280701754385965</v>
      </c>
      <c r="L72" s="456">
        <f>(((D72+E72)-G72)/(D72+E72))*100</f>
        <v>5.8232931726907635</v>
      </c>
      <c r="M72" s="454" t="s">
        <v>172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[21]January_2019!L5</f>
        <v>0</v>
      </c>
      <c r="AC72" s="57">
        <f>[21]January_2019!M5</f>
        <v>0</v>
      </c>
      <c r="AD72" s="57">
        <f>[21]January_2019!N5</f>
        <v>0</v>
      </c>
      <c r="AE72" s="57">
        <f>[21]January_2019!O5</f>
        <v>0</v>
      </c>
      <c r="AF72" s="57">
        <f>[21]January_2019!P5</f>
        <v>0</v>
      </c>
      <c r="AG72" s="57">
        <f>[21]January_2019!Q5</f>
        <v>0</v>
      </c>
      <c r="AH72" s="57">
        <f>[21]January_2019!R5</f>
        <v>0</v>
      </c>
      <c r="AI72" s="57">
        <f>[21]January_2019!S5</f>
        <v>0</v>
      </c>
      <c r="AJ72" s="57">
        <f>[21]January_2019!T5</f>
        <v>0</v>
      </c>
      <c r="AK72" s="57">
        <f>[21]January_2019!U5</f>
        <v>0</v>
      </c>
      <c r="AL72" s="57">
        <f>[21]January_2019!V5</f>
        <v>0</v>
      </c>
      <c r="AM72" s="57">
        <f>[21]January_2019!W5</f>
        <v>0</v>
      </c>
      <c r="AN72" s="57">
        <f>[21]January_2019!X5</f>
        <v>0</v>
      </c>
      <c r="AO72" s="57">
        <f>[21]January_2019!Y5</f>
        <v>0</v>
      </c>
      <c r="AP72" s="57">
        <f>[21]January_2019!Z5</f>
        <v>0</v>
      </c>
      <c r="AQ72" s="57">
        <f>[21]January_2019!AA5</f>
        <v>0</v>
      </c>
      <c r="AR72" s="57">
        <f>[21]January_2019!AB5</f>
        <v>0</v>
      </c>
      <c r="AS72" s="57">
        <f>[21]January_2019!AC5</f>
        <v>0</v>
      </c>
      <c r="AT72" s="57">
        <f>[21]January_2019!AD5</f>
        <v>0</v>
      </c>
      <c r="AU72" s="57">
        <f>[21]January_2019!AE5</f>
        <v>0</v>
      </c>
      <c r="AV72" s="57">
        <f>[21]January_2019!AF5</f>
        <v>0</v>
      </c>
      <c r="AW72" s="57">
        <f>[21]January_2019!AG5</f>
        <v>0</v>
      </c>
      <c r="AX72" s="277">
        <f>[21]January_2019!AH5</f>
        <v>0</v>
      </c>
      <c r="AY72" s="277"/>
      <c r="AZ72" s="277"/>
      <c r="BA72" s="277"/>
      <c r="BB72" s="277"/>
      <c r="BC72" s="277"/>
      <c r="BD72" s="277"/>
      <c r="BE72" s="277"/>
    </row>
    <row r="73" spans="2:57" s="54" customFormat="1" ht="14.25" customHeight="1" thickBot="1">
      <c r="B73" s="479"/>
      <c r="C73" s="478"/>
      <c r="D73" s="441"/>
      <c r="E73" s="442"/>
      <c r="F73" s="443"/>
      <c r="G73" s="444"/>
      <c r="H73" s="457"/>
      <c r="I73" s="457"/>
      <c r="J73" s="475"/>
      <c r="K73" s="448"/>
      <c r="L73" s="456"/>
      <c r="M73" s="454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[21]January_2019!L6</f>
        <v>0</v>
      </c>
      <c r="AC73" s="57">
        <f>[21]January_2019!M6</f>
        <v>0</v>
      </c>
      <c r="AD73" s="57">
        <f>[21]January_2019!N6</f>
        <v>0</v>
      </c>
      <c r="AE73" s="57">
        <f>[21]January_2019!O6</f>
        <v>0</v>
      </c>
      <c r="AF73" s="57">
        <f>[21]January_2019!P6</f>
        <v>0</v>
      </c>
      <c r="AG73" s="57">
        <f>[21]January_2019!Q6</f>
        <v>0</v>
      </c>
      <c r="AH73" s="57">
        <f>[21]January_2019!R6</f>
        <v>0</v>
      </c>
      <c r="AI73" s="57">
        <f>[21]January_2019!S6</f>
        <v>0</v>
      </c>
      <c r="AJ73" s="57">
        <f>[21]January_2019!T6</f>
        <v>0</v>
      </c>
      <c r="AK73" s="57">
        <f>[21]January_2019!U6</f>
        <v>0</v>
      </c>
      <c r="AL73" s="57">
        <f>[21]January_2019!V6</f>
        <v>0</v>
      </c>
      <c r="AM73" s="57">
        <f>[21]January_2019!W6</f>
        <v>0</v>
      </c>
      <c r="AN73" s="57">
        <f>[21]January_2019!X6</f>
        <v>0</v>
      </c>
      <c r="AO73" s="57">
        <f>[21]January_2019!Y6</f>
        <v>0</v>
      </c>
      <c r="AP73" s="57">
        <f>[21]January_2019!Z6</f>
        <v>0</v>
      </c>
      <c r="AQ73" s="57">
        <f>[21]January_2019!AA6</f>
        <v>0</v>
      </c>
      <c r="AR73" s="57">
        <f>[21]January_2019!AB6</f>
        <v>0</v>
      </c>
      <c r="AS73" s="57">
        <f>[21]January_2019!AC6</f>
        <v>0</v>
      </c>
      <c r="AT73" s="57">
        <f>[21]January_2019!AD6</f>
        <v>0</v>
      </c>
      <c r="AU73" s="57">
        <f>[21]January_2019!AE6</f>
        <v>0</v>
      </c>
      <c r="AV73" s="57">
        <f>[21]January_2019!AF6</f>
        <v>0</v>
      </c>
      <c r="AW73" s="57">
        <f>[21]January_2019!AG6</f>
        <v>0</v>
      </c>
      <c r="AX73" s="277">
        <f>[21]January_2019!AH6</f>
        <v>0</v>
      </c>
      <c r="AY73" s="277"/>
      <c r="AZ73" s="277"/>
      <c r="BA73" s="277"/>
      <c r="BB73" s="277"/>
      <c r="BC73" s="277"/>
      <c r="BD73" s="277"/>
      <c r="BE73" s="277"/>
    </row>
    <row r="74" spans="2:57" s="54" customFormat="1" ht="37.15" customHeight="1" thickBot="1">
      <c r="B74" s="500" t="str">
        <f>B85</f>
        <v>CARIB</v>
      </c>
      <c r="C74" s="478">
        <v>46324</v>
      </c>
      <c r="D74" s="441">
        <f>[19]October_2026!$AF$3</f>
        <v>400.50000000000006</v>
      </c>
      <c r="E74" s="442"/>
      <c r="F74" s="443"/>
      <c r="G74" s="443">
        <f>[19]October_2026!$AF$7</f>
        <v>375.6</v>
      </c>
      <c r="H74" s="445"/>
      <c r="I74" s="445"/>
      <c r="J74" s="447" t="s">
        <v>173</v>
      </c>
      <c r="K74" s="448">
        <f>[20]October_2026!$AF$18</f>
        <v>0.65894736842105273</v>
      </c>
      <c r="L74" s="497">
        <f>(((D74+E74)-G74)/(D74+E74))*100</f>
        <v>6.2172284644194828</v>
      </c>
      <c r="M74" s="454" t="s">
        <v>188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[21]January_2019!L7</f>
        <v>285.8</v>
      </c>
      <c r="AC74" s="57">
        <f>[21]January_2019!M7</f>
        <v>508.1</v>
      </c>
      <c r="AD74" s="57">
        <f>[21]January_2019!N7</f>
        <v>0</v>
      </c>
      <c r="AE74" s="57">
        <f>[21]January_2019!O7</f>
        <v>0</v>
      </c>
      <c r="AF74" s="57">
        <f>[21]January_2019!P7</f>
        <v>109.56666666666666</v>
      </c>
      <c r="AG74" s="57">
        <f>[21]January_2019!Q7</f>
        <v>297.64999999999998</v>
      </c>
      <c r="AH74" s="57">
        <f>[21]January_2019!R7</f>
        <v>122.3</v>
      </c>
      <c r="AI74" s="57">
        <f>[21]January_2019!S7</f>
        <v>0</v>
      </c>
      <c r="AJ74" s="57">
        <f>[21]January_2019!T7</f>
        <v>294.7</v>
      </c>
      <c r="AK74" s="57">
        <f>[21]January_2019!U7</f>
        <v>280.5</v>
      </c>
      <c r="AL74" s="57">
        <f>[21]January_2019!V7</f>
        <v>0</v>
      </c>
      <c r="AM74" s="57">
        <f>[21]January_2019!W7</f>
        <v>0</v>
      </c>
      <c r="AN74" s="57">
        <f>[21]January_2019!X7</f>
        <v>188.25</v>
      </c>
      <c r="AO74" s="57">
        <f>[21]January_2019!Y7</f>
        <v>295.7</v>
      </c>
      <c r="AP74" s="57">
        <f>[21]January_2019!Z7</f>
        <v>257.8</v>
      </c>
      <c r="AQ74" s="57">
        <f>[21]January_2019!AA7</f>
        <v>291.2</v>
      </c>
      <c r="AR74" s="57">
        <f>[21]January_2019!AB7</f>
        <v>187</v>
      </c>
      <c r="AS74" s="57">
        <f>[21]January_2019!AC7</f>
        <v>0</v>
      </c>
      <c r="AT74" s="57">
        <f>[21]January_2019!AD7</f>
        <v>0</v>
      </c>
      <c r="AU74" s="57">
        <f>[21]January_2019!AE7</f>
        <v>485.1</v>
      </c>
      <c r="AV74" s="57">
        <f>[21]January_2019!AF7</f>
        <v>171.55</v>
      </c>
      <c r="AW74" s="57">
        <f>[21]January_2019!AG7</f>
        <v>423.8</v>
      </c>
      <c r="AX74" s="277">
        <f>[21]January_2019!AH7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18.600000000000001" hidden="1" customHeight="1" thickBot="1">
      <c r="B75" s="477"/>
      <c r="C75" s="429"/>
      <c r="D75" s="430"/>
      <c r="E75" s="431"/>
      <c r="F75" s="432"/>
      <c r="G75" s="433"/>
      <c r="H75" s="457"/>
      <c r="I75" s="457"/>
      <c r="J75" s="450"/>
      <c r="K75" s="435"/>
      <c r="L75" s="451"/>
      <c r="M75" s="420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2:57" s="54" customFormat="1" ht="38.65" hidden="1" customHeight="1" thickBot="1">
      <c r="B76" s="486"/>
      <c r="C76" s="478"/>
      <c r="D76" s="441"/>
      <c r="E76" s="442"/>
      <c r="F76" s="443"/>
      <c r="G76" s="444"/>
      <c r="H76" s="457"/>
      <c r="I76" s="457"/>
      <c r="J76" s="447"/>
      <c r="K76" s="458"/>
      <c r="L76" s="456"/>
      <c r="M76" s="454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2:57" s="54" customFormat="1" ht="15.75" hidden="1" thickBot="1">
      <c r="B77" s="452"/>
      <c r="C77" s="429"/>
      <c r="D77" s="430"/>
      <c r="E77" s="431"/>
      <c r="F77" s="432"/>
      <c r="G77" s="433"/>
      <c r="H77" s="434"/>
      <c r="I77" s="449"/>
      <c r="J77" s="450"/>
      <c r="K77" s="435"/>
      <c r="L77" s="451"/>
      <c r="M77" s="420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2:57" s="54" customFormat="1" ht="37.15" hidden="1" customHeight="1" thickBot="1">
      <c r="B78" s="480"/>
      <c r="C78" s="478"/>
      <c r="D78" s="441"/>
      <c r="E78" s="442"/>
      <c r="F78" s="443"/>
      <c r="G78" s="444"/>
      <c r="H78" s="445"/>
      <c r="I78" s="446"/>
      <c r="J78" s="447"/>
      <c r="K78" s="448"/>
      <c r="L78" s="456"/>
      <c r="M78" s="454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277"/>
      <c r="AY78" s="277"/>
      <c r="AZ78" s="277"/>
      <c r="BA78" s="277"/>
      <c r="BB78" s="277"/>
      <c r="BC78" s="277"/>
      <c r="BD78" s="277"/>
      <c r="BE78" s="277"/>
    </row>
    <row r="79" spans="2:57" s="54" customFormat="1" ht="16.5" hidden="1" customHeight="1" thickBot="1">
      <c r="B79" s="436"/>
      <c r="C79" s="422"/>
      <c r="D79" s="423"/>
      <c r="E79" s="424"/>
      <c r="F79" s="425"/>
      <c r="G79" s="426"/>
      <c r="H79" s="427"/>
      <c r="I79" s="437"/>
      <c r="J79" s="438"/>
      <c r="K79" s="428"/>
      <c r="L79" s="439"/>
      <c r="M79" s="421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414"/>
      <c r="AC79" s="414"/>
      <c r="AD79" s="414"/>
      <c r="AE79" s="414"/>
      <c r="AF79" s="414"/>
      <c r="AG79" s="414"/>
      <c r="AH79" s="414"/>
      <c r="AI79" s="414"/>
      <c r="AJ79" s="414"/>
      <c r="AK79" s="414"/>
      <c r="AL79" s="414"/>
      <c r="AM79" s="414"/>
      <c r="AN79" s="414"/>
      <c r="AO79" s="414"/>
      <c r="AP79" s="414"/>
      <c r="AQ79" s="414"/>
      <c r="AR79" s="414"/>
      <c r="AS79" s="414"/>
      <c r="AT79" s="414"/>
      <c r="AU79" s="414"/>
      <c r="AV79" s="414"/>
      <c r="AW79" s="414"/>
    </row>
    <row r="80" spans="2:57" s="54" customFormat="1" ht="37.15" hidden="1" customHeight="1" thickBot="1">
      <c r="B80" s="455"/>
      <c r="C80" s="440"/>
      <c r="D80" s="441"/>
      <c r="E80" s="442"/>
      <c r="F80" s="443"/>
      <c r="G80" s="444"/>
      <c r="H80" s="445"/>
      <c r="I80" s="446"/>
      <c r="J80" s="447"/>
      <c r="K80" s="448"/>
      <c r="L80" s="456"/>
      <c r="M80" s="453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277"/>
      <c r="AY80" s="277"/>
      <c r="AZ80" s="277"/>
      <c r="BA80" s="277"/>
      <c r="BB80" s="277"/>
      <c r="BC80" s="277"/>
      <c r="BD80" s="277"/>
      <c r="BE80" s="277"/>
    </row>
    <row r="81" spans="2:57" s="54" customFormat="1" ht="37.15" hidden="1" customHeight="1">
      <c r="B81" s="465"/>
      <c r="C81" s="429"/>
      <c r="D81" s="459"/>
      <c r="E81" s="460"/>
      <c r="F81" s="461"/>
      <c r="G81" s="459"/>
      <c r="H81" s="462"/>
      <c r="I81" s="462"/>
      <c r="J81" s="462"/>
      <c r="K81" s="463"/>
      <c r="L81" s="464"/>
      <c r="M81" s="50"/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ht="18" customHeight="1" thickBot="1">
      <c r="B82" s="59"/>
      <c r="C82" s="30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 t="s">
        <v>41</v>
      </c>
      <c r="O82" s="56"/>
      <c r="P82" s="60"/>
    </row>
    <row r="83" spans="2:57" ht="15.75" thickBot="1">
      <c r="B83" s="503" t="s">
        <v>55</v>
      </c>
      <c r="C83" s="504"/>
      <c r="D83" s="504"/>
      <c r="E83" s="504"/>
      <c r="F83" s="505"/>
      <c r="G83" s="503" t="s">
        <v>56</v>
      </c>
      <c r="H83" s="504"/>
      <c r="I83" s="504"/>
      <c r="J83" s="505"/>
      <c r="K83" s="503" t="s">
        <v>51</v>
      </c>
      <c r="L83" s="504"/>
      <c r="M83" s="504"/>
      <c r="N83" s="506"/>
      <c r="O83" s="56"/>
      <c r="P83" s="50"/>
    </row>
    <row r="84" spans="2:57" ht="15">
      <c r="B84" s="61" t="s">
        <v>17</v>
      </c>
      <c r="C84" s="62" t="s">
        <v>36</v>
      </c>
      <c r="D84" s="62" t="s">
        <v>37</v>
      </c>
      <c r="E84" s="62" t="s">
        <v>38</v>
      </c>
      <c r="F84" s="63" t="s">
        <v>39</v>
      </c>
      <c r="G84" s="62" t="s">
        <v>36</v>
      </c>
      <c r="H84" s="62" t="s">
        <v>37</v>
      </c>
      <c r="I84" s="62" t="s">
        <v>38</v>
      </c>
      <c r="J84" s="63" t="s">
        <v>39</v>
      </c>
      <c r="K84" s="62" t="s">
        <v>36</v>
      </c>
      <c r="L84" s="62" t="s">
        <v>37</v>
      </c>
      <c r="M84" s="62" t="s">
        <v>38</v>
      </c>
      <c r="N84" s="63" t="s">
        <v>39</v>
      </c>
      <c r="O84" s="56"/>
      <c r="P84" s="64"/>
    </row>
    <row r="85" spans="2:57" ht="15">
      <c r="B85" s="29" t="s">
        <v>6</v>
      </c>
      <c r="C85" s="65">
        <f>AVERAGE(L72,L74)</f>
        <v>6.0202608185551227</v>
      </c>
      <c r="D85" s="76">
        <v>5.5779123796880112</v>
      </c>
      <c r="E85" s="76">
        <v>6.3277880031135565</v>
      </c>
      <c r="F85" s="66">
        <v>4.8</v>
      </c>
      <c r="G85" s="65">
        <f>AVERAGE([19]October_2026!$AE$11,[19]October_2026!$AF$11)</f>
        <v>6.7077869189460255</v>
      </c>
      <c r="H85" s="476">
        <v>6.5883840063756107</v>
      </c>
      <c r="I85" s="476">
        <v>6.5333543848662465</v>
      </c>
      <c r="J85" s="66">
        <v>4.8</v>
      </c>
      <c r="K85" s="67">
        <f>AVERAGE(K72,K74)</f>
        <v>0.74087719298245625</v>
      </c>
      <c r="L85" s="194">
        <v>0.79074352548036753</v>
      </c>
      <c r="M85" s="194">
        <v>0.56877766684415731</v>
      </c>
      <c r="N85" s="68">
        <v>1</v>
      </c>
      <c r="O85" s="56"/>
      <c r="P85" s="69"/>
    </row>
    <row r="86" spans="2:57" ht="15">
      <c r="B86" s="33" t="s">
        <v>9</v>
      </c>
      <c r="C86" s="65"/>
      <c r="D86" s="76">
        <v>5.9993664871713683</v>
      </c>
      <c r="E86" s="76">
        <v>6.0314829247944388</v>
      </c>
      <c r="F86" s="66">
        <v>4.8</v>
      </c>
      <c r="G86" s="65"/>
      <c r="H86" s="76">
        <v>5.8480851106412217</v>
      </c>
      <c r="I86" s="76">
        <v>5.9207027133121715</v>
      </c>
      <c r="J86" s="66">
        <v>4.8</v>
      </c>
      <c r="K86" s="67"/>
      <c r="L86" s="194">
        <v>0.70652631578947367</v>
      </c>
      <c r="M86" s="194">
        <v>0.68503389722740882</v>
      </c>
      <c r="N86" s="68">
        <v>1</v>
      </c>
      <c r="P86" s="69"/>
    </row>
    <row r="87" spans="2:57" ht="15">
      <c r="B87" s="34" t="s">
        <v>40</v>
      </c>
      <c r="C87" s="65"/>
      <c r="D87" s="76">
        <v>7.2586328400281719</v>
      </c>
      <c r="E87" s="76">
        <v>10.57086906945613</v>
      </c>
      <c r="F87" s="66">
        <v>5.5</v>
      </c>
      <c r="G87" s="65"/>
      <c r="H87" s="76">
        <v>8.3572982592313725</v>
      </c>
      <c r="I87" s="76">
        <v>11.49802517103547</v>
      </c>
      <c r="J87" s="66">
        <v>5.5</v>
      </c>
      <c r="K87" s="67"/>
      <c r="L87" s="194">
        <v>1.385263157894737</v>
      </c>
      <c r="M87" s="194">
        <v>0.42247265385686439</v>
      </c>
      <c r="N87" s="68">
        <v>1</v>
      </c>
      <c r="P87" s="69"/>
    </row>
    <row r="88" spans="2:57" ht="15">
      <c r="B88" s="22" t="s">
        <v>33</v>
      </c>
      <c r="C88" s="65"/>
      <c r="D88" s="76">
        <v>2.6160971335586405</v>
      </c>
      <c r="E88" s="76">
        <v>4.6053599467161712</v>
      </c>
      <c r="F88" s="66">
        <v>3.3</v>
      </c>
      <c r="G88" s="65"/>
      <c r="H88" s="76">
        <v>4.6522194119603313</v>
      </c>
      <c r="I88" s="76">
        <v>4.8325383920386296</v>
      </c>
      <c r="J88" s="66">
        <v>3.3</v>
      </c>
      <c r="K88" s="67"/>
      <c r="L88" s="194">
        <v>1.1878947368421053</v>
      </c>
      <c r="M88" s="194">
        <v>0.8473099415204679</v>
      </c>
      <c r="N88" s="68">
        <v>1</v>
      </c>
      <c r="P88" s="69"/>
    </row>
    <row r="89" spans="2:57" ht="15">
      <c r="B89" s="35" t="s">
        <v>164</v>
      </c>
      <c r="C89" s="65"/>
      <c r="D89" s="76"/>
      <c r="E89" s="76"/>
      <c r="F89" s="66">
        <v>3.3</v>
      </c>
      <c r="G89" s="282"/>
      <c r="H89" s="76"/>
      <c r="I89" s="76"/>
      <c r="J89" s="66">
        <v>3</v>
      </c>
      <c r="K89" s="67"/>
      <c r="L89" s="194"/>
      <c r="M89" s="194"/>
      <c r="N89" s="68">
        <v>1</v>
      </c>
      <c r="P89" s="69"/>
    </row>
    <row r="90" spans="2:57" ht="15">
      <c r="B90" s="36" t="s">
        <v>15</v>
      </c>
      <c r="C90" s="65"/>
      <c r="D90" s="76"/>
      <c r="E90" s="76">
        <v>6.3233965672990236</v>
      </c>
      <c r="F90" s="70">
        <v>5.5</v>
      </c>
      <c r="G90" s="65"/>
      <c r="H90" s="76"/>
      <c r="I90" s="76">
        <v>7.9667553186446929</v>
      </c>
      <c r="J90" s="66">
        <v>5.5</v>
      </c>
      <c r="K90" s="67"/>
      <c r="L90" s="194"/>
      <c r="M90" s="194">
        <v>0.5883625730994152</v>
      </c>
      <c r="N90" s="68">
        <v>1</v>
      </c>
      <c r="P90" s="69"/>
    </row>
    <row r="91" spans="2:57" ht="15">
      <c r="B91" s="37" t="s">
        <v>16</v>
      </c>
      <c r="C91" s="481"/>
      <c r="D91" s="76">
        <v>0.84622823984524742</v>
      </c>
      <c r="E91" s="76">
        <v>3.7586797925639486</v>
      </c>
      <c r="F91" s="66">
        <v>3.3</v>
      </c>
      <c r="G91" s="282"/>
      <c r="H91" s="76">
        <v>4.0067212349015007</v>
      </c>
      <c r="I91" s="76">
        <v>5.0257518320273871</v>
      </c>
      <c r="J91" s="66">
        <v>3.3</v>
      </c>
      <c r="K91" s="67"/>
      <c r="L91" s="194">
        <v>0.71947368421052638</v>
      </c>
      <c r="M91" s="194">
        <v>0.87835004177109433</v>
      </c>
      <c r="N91" s="71">
        <v>1</v>
      </c>
      <c r="P91" s="69"/>
    </row>
    <row r="92" spans="2:57" ht="15.75" thickBot="1">
      <c r="B92" s="38" t="s">
        <v>163</v>
      </c>
      <c r="C92" s="65"/>
      <c r="D92" s="76"/>
      <c r="E92" s="76"/>
      <c r="F92" s="66">
        <v>7.5</v>
      </c>
      <c r="G92" s="282"/>
      <c r="H92" s="76"/>
      <c r="I92" s="76"/>
      <c r="J92" s="66">
        <v>7.5</v>
      </c>
      <c r="K92" s="67"/>
      <c r="L92" s="194"/>
      <c r="M92" s="194"/>
      <c r="N92" s="71">
        <v>1</v>
      </c>
      <c r="P92" s="69"/>
    </row>
    <row r="93" spans="2:57" ht="15.75" thickBot="1">
      <c r="B93" s="413" t="s">
        <v>161</v>
      </c>
      <c r="C93" s="65"/>
      <c r="D93" s="76"/>
      <c r="E93" s="76"/>
      <c r="F93" s="66">
        <v>4.8</v>
      </c>
      <c r="G93" s="282"/>
      <c r="H93" s="76"/>
      <c r="I93" s="76"/>
      <c r="J93" s="66">
        <v>4.8</v>
      </c>
      <c r="K93" s="67"/>
      <c r="L93" s="194"/>
      <c r="M93" s="194"/>
      <c r="N93" s="71">
        <v>1</v>
      </c>
      <c r="O93" s="74"/>
      <c r="P93" s="75"/>
    </row>
    <row r="94" spans="2:57" ht="15">
      <c r="D94" s="76">
        <v>5.3475690784951517</v>
      </c>
      <c r="E94" s="76">
        <v>6.2546911108701195</v>
      </c>
      <c r="F94" s="341">
        <v>5.5</v>
      </c>
      <c r="H94" s="76">
        <v>6.1766981841577975</v>
      </c>
      <c r="I94" s="76">
        <v>6.6006541446520393</v>
      </c>
      <c r="J94" s="341">
        <v>5.5</v>
      </c>
      <c r="L94" s="194">
        <v>0.82972031528095613</v>
      </c>
      <c r="M94" s="194">
        <v>0.62088919169328549</v>
      </c>
      <c r="N9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B55:B64"/>
    <mergeCell ref="D55:E56"/>
    <mergeCell ref="J55:K55"/>
    <mergeCell ref="L56:N56"/>
    <mergeCell ref="D57:E58"/>
    <mergeCell ref="D59:E60"/>
    <mergeCell ref="D61:E62"/>
    <mergeCell ref="D63:E64"/>
    <mergeCell ref="D65:E65"/>
    <mergeCell ref="B70:B71"/>
    <mergeCell ref="C70:C71"/>
    <mergeCell ref="D70:D71"/>
    <mergeCell ref="E70:E71"/>
    <mergeCell ref="M70:M71"/>
    <mergeCell ref="B83:F83"/>
    <mergeCell ref="G83:J83"/>
    <mergeCell ref="K83:N83"/>
    <mergeCell ref="G70:G71"/>
    <mergeCell ref="H70:H71"/>
    <mergeCell ref="I70:I71"/>
    <mergeCell ref="J70:J71"/>
    <mergeCell ref="K70:K71"/>
    <mergeCell ref="L70:L71"/>
    <mergeCell ref="F70:F71"/>
  </mergeCells>
  <conditionalFormatting sqref="B65:B66">
    <cfRule type="cellIs" dxfId="193" priority="125" operator="notBetween">
      <formula>#REF!</formula>
      <formula>#REF!</formula>
    </cfRule>
  </conditionalFormatting>
  <conditionalFormatting sqref="C69">
    <cfRule type="cellIs" dxfId="192" priority="208" stopIfTrue="1" operator="greaterThan">
      <formula>100</formula>
    </cfRule>
    <cfRule type="cellIs" dxfId="191" priority="207" stopIfTrue="1" operator="lessThan">
      <formula>96</formula>
    </cfRule>
  </conditionalFormatting>
  <conditionalFormatting sqref="C85:C86">
    <cfRule type="cellIs" dxfId="190" priority="90" stopIfTrue="1" operator="greaterThan">
      <formula>$F85</formula>
    </cfRule>
    <cfRule type="cellIs" dxfId="189" priority="91" stopIfTrue="1" operator="lessThanOrEqual">
      <formula>0</formula>
    </cfRule>
    <cfRule type="cellIs" dxfId="188" priority="89" stopIfTrue="1" operator="lessThanOrEqual">
      <formula>0</formula>
    </cfRule>
    <cfRule type="cellIs" dxfId="187" priority="88" stopIfTrue="1" operator="greaterThan">
      <formula>$F85</formula>
    </cfRule>
  </conditionalFormatting>
  <conditionalFormatting sqref="C87:C89 C91:C93">
    <cfRule type="cellIs" dxfId="186" priority="97" stopIfTrue="1" operator="greaterThan">
      <formula>$F90</formula>
    </cfRule>
  </conditionalFormatting>
  <conditionalFormatting sqref="C87:C89">
    <cfRule type="cellIs" dxfId="185" priority="98" stopIfTrue="1" operator="lessThanOrEqual">
      <formula>0</formula>
    </cfRule>
  </conditionalFormatting>
  <conditionalFormatting sqref="C90">
    <cfRule type="cellIs" dxfId="184" priority="210" stopIfTrue="1" operator="lessThanOrEqual">
      <formula>0</formula>
    </cfRule>
    <cfRule type="cellIs" dxfId="183" priority="209" stopIfTrue="1" operator="greaterThan">
      <formula>$F85</formula>
    </cfRule>
    <cfRule type="cellIs" dxfId="182" priority="212" stopIfTrue="1" operator="lessThanOrEqual">
      <formula>0</formula>
    </cfRule>
    <cfRule type="cellIs" dxfId="181" priority="211" stopIfTrue="1" operator="greaterThan">
      <formula>$F85</formula>
    </cfRule>
  </conditionalFormatting>
  <conditionalFormatting sqref="C91:C93">
    <cfRule type="cellIs" dxfId="180" priority="99" stopIfTrue="1" operator="lessThanOrEqual">
      <formula>0</formula>
    </cfRule>
  </conditionalFormatting>
  <conditionalFormatting sqref="C96:C100">
    <cfRule type="cellIs" dxfId="179" priority="199" stopIfTrue="1" operator="lessThanOrEqual">
      <formula>0</formula>
    </cfRule>
  </conditionalFormatting>
  <conditionalFormatting sqref="C97:C100">
    <cfRule type="cellIs" dxfId="178" priority="198" stopIfTrue="1" operator="greaterThan">
      <formula>$F$96</formula>
    </cfRule>
  </conditionalFormatting>
  <conditionalFormatting sqref="C102">
    <cfRule type="cellIs" dxfId="177" priority="201" stopIfTrue="1" operator="lessThanOrEqual">
      <formula>0</formula>
    </cfRule>
    <cfRule type="cellIs" dxfId="176" priority="200" stopIfTrue="1" operator="greaterThan">
      <formula>$F$96</formula>
    </cfRule>
  </conditionalFormatting>
  <conditionalFormatting sqref="C90:D90">
    <cfRule type="cellIs" dxfId="175" priority="87" stopIfTrue="1" operator="lessThanOrEqual">
      <formula>0</formula>
    </cfRule>
    <cfRule type="cellIs" dxfId="174" priority="86" stopIfTrue="1" operator="greaterThan">
      <formula>$J90</formula>
    </cfRule>
  </conditionalFormatting>
  <conditionalFormatting sqref="C96:D96 D98:D104">
    <cfRule type="cellIs" dxfId="173" priority="193" stopIfTrue="1" operator="greaterThan">
      <formula>4.5</formula>
    </cfRule>
  </conditionalFormatting>
  <conditionalFormatting sqref="D65:D66">
    <cfRule type="cellIs" dxfId="172" priority="126" operator="notBetween">
      <formula>#REF!</formula>
      <formula>#REF!</formula>
    </cfRule>
  </conditionalFormatting>
  <conditionalFormatting sqref="D85:D89 D91:D92">
    <cfRule type="cellIs" dxfId="171" priority="96" stopIfTrue="1" operator="lessThanOrEqual">
      <formula>0</formula>
    </cfRule>
  </conditionalFormatting>
  <conditionalFormatting sqref="D85:D89 D91:D94">
    <cfRule type="cellIs" dxfId="170" priority="93" stopIfTrue="1" operator="greaterThan">
      <formula>$F85</formula>
    </cfRule>
    <cfRule type="cellIs" dxfId="169" priority="92" stopIfTrue="1" operator="lessThanOrEqual">
      <formula>0</formula>
    </cfRule>
  </conditionalFormatting>
  <conditionalFormatting sqref="D93:D94">
    <cfRule type="cellIs" dxfId="168" priority="94" stopIfTrue="1" operator="lessThanOrEqual">
      <formula>0</formula>
    </cfRule>
  </conditionalFormatting>
  <conditionalFormatting sqref="D94">
    <cfRule type="cellIs" dxfId="167" priority="95" stopIfTrue="1" operator="lessThanOrEqual">
      <formula>0</formula>
    </cfRule>
  </conditionalFormatting>
  <conditionalFormatting sqref="D96 D98:D104">
    <cfRule type="cellIs" dxfId="166" priority="194" stopIfTrue="1" operator="lessThanOrEqual">
      <formula>0</formula>
    </cfRule>
  </conditionalFormatting>
  <conditionalFormatting sqref="D97">
    <cfRule type="cellIs" dxfId="165" priority="186" stopIfTrue="1" operator="lessThanOrEqual">
      <formula>0</formula>
    </cfRule>
    <cfRule type="cellIs" dxfId="164" priority="185" stopIfTrue="1" operator="greaterThan">
      <formula>$F$96</formula>
    </cfRule>
  </conditionalFormatting>
  <conditionalFormatting sqref="E10:E40">
    <cfRule type="cellIs" dxfId="163" priority="7" operator="lessThan">
      <formula>48</formula>
    </cfRule>
  </conditionalFormatting>
  <conditionalFormatting sqref="E68 E69:F69">
    <cfRule type="cellIs" dxfId="162" priority="190" stopIfTrue="1" operator="greaterThan">
      <formula>100</formula>
    </cfRule>
  </conditionalFormatting>
  <conditionalFormatting sqref="E69">
    <cfRule type="cellIs" dxfId="161" priority="188" stopIfTrue="1" operator="greaterThan">
      <formula>100</formula>
    </cfRule>
    <cfRule type="cellIs" dxfId="160" priority="187" stopIfTrue="1" operator="lessThan">
      <formula>96.8</formula>
    </cfRule>
  </conditionalFormatting>
  <conditionalFormatting sqref="E85:E93">
    <cfRule type="cellIs" dxfId="159" priority="59" stopIfTrue="1" operator="lessThanOrEqual">
      <formula>0</formula>
    </cfRule>
  </conditionalFormatting>
  <conditionalFormatting sqref="E85:E94">
    <cfRule type="cellIs" dxfId="158" priority="61" stopIfTrue="1" operator="lessThanOrEqual">
      <formula>0</formula>
    </cfRule>
    <cfRule type="cellIs" dxfId="157" priority="60" stopIfTrue="1" operator="greaterThan">
      <formula>$F85</formula>
    </cfRule>
  </conditionalFormatting>
  <conditionalFormatting sqref="E94">
    <cfRule type="cellIs" dxfId="156" priority="62" stopIfTrue="1" operator="lessThanOrEqual">
      <formula>0</formula>
    </cfRule>
  </conditionalFormatting>
  <conditionalFormatting sqref="E96:E104">
    <cfRule type="cellIs" dxfId="155" priority="180" stopIfTrue="1" operator="lessThanOrEqual">
      <formula>0</formula>
    </cfRule>
    <cfRule type="cellIs" dxfId="154" priority="179" stopIfTrue="1" operator="greaterThan">
      <formula>4.5</formula>
    </cfRule>
  </conditionalFormatting>
  <conditionalFormatting sqref="E69:F69 E68">
    <cfRule type="cellIs" dxfId="153" priority="189" stopIfTrue="1" operator="lessThan">
      <formula>96.5</formula>
    </cfRule>
  </conditionalFormatting>
  <conditionalFormatting sqref="F10:F40">
    <cfRule type="cellIs" dxfId="152" priority="8" operator="greaterThan">
      <formula>60</formula>
    </cfRule>
  </conditionalFormatting>
  <conditionalFormatting sqref="F69">
    <cfRule type="cellIs" dxfId="151" priority="205" stopIfTrue="1" operator="lessThan">
      <formula>96.8</formula>
    </cfRule>
    <cfRule type="cellIs" dxfId="150" priority="206" stopIfTrue="1" operator="greaterThan">
      <formula>100</formula>
    </cfRule>
  </conditionalFormatting>
  <conditionalFormatting sqref="G40">
    <cfRule type="expression" dxfId="149" priority="36">
      <formula>IF(+(IF(G40&lt;S40,0,IF(G40&gt;T40,0,1)))=0,1)</formula>
    </cfRule>
  </conditionalFormatting>
  <conditionalFormatting sqref="G85:G88 F94">
    <cfRule type="cellIs" dxfId="148" priority="68" stopIfTrue="1" operator="greaterThan">
      <formula>$F85</formula>
    </cfRule>
    <cfRule type="cellIs" dxfId="147" priority="69" stopIfTrue="1" operator="lessThanOrEqual">
      <formula>0</formula>
    </cfRule>
  </conditionalFormatting>
  <conditionalFormatting sqref="G87:G88">
    <cfRule type="cellIs" dxfId="146" priority="54" stopIfTrue="1" operator="greaterThan">
      <formula>$F87</formula>
    </cfRule>
    <cfRule type="cellIs" dxfId="145" priority="55" stopIfTrue="1" operator="lessThanOrEqual">
      <formula>0</formula>
    </cfRule>
  </conditionalFormatting>
  <conditionalFormatting sqref="G89:G93">
    <cfRule type="cellIs" dxfId="144" priority="71" stopIfTrue="1" operator="lessThanOrEqual">
      <formula>0</formula>
    </cfRule>
    <cfRule type="cellIs" dxfId="143" priority="70" stopIfTrue="1" operator="greaterThan">
      <formula>$J89</formula>
    </cfRule>
  </conditionalFormatting>
  <conditionalFormatting sqref="G90">
    <cfRule type="cellIs" dxfId="142" priority="213" stopIfTrue="1" operator="greaterThan">
      <formula>$F85</formula>
    </cfRule>
    <cfRule type="cellIs" dxfId="141" priority="214" stopIfTrue="1" operator="lessThanOrEqual">
      <formula>0</formula>
    </cfRule>
  </conditionalFormatting>
  <conditionalFormatting sqref="G98:G103 C101 C103">
    <cfRule type="cellIs" dxfId="140" priority="203" stopIfTrue="1" operator="lessThanOrEqual">
      <formula>0</formula>
    </cfRule>
    <cfRule type="cellIs" dxfId="139" priority="202" stopIfTrue="1" operator="greaterThan">
      <formula>4.5</formula>
    </cfRule>
  </conditionalFormatting>
  <conditionalFormatting sqref="G15:H31 G35:H39">
    <cfRule type="expression" dxfId="138" priority="32">
      <formula>IF(+(IF(G15&lt;#REF!,0,IF(G15&gt;#REF!,0,1)))=0,1)</formula>
    </cfRule>
  </conditionalFormatting>
  <conditionalFormatting sqref="G97:H97">
    <cfRule type="cellIs" dxfId="137" priority="183" stopIfTrue="1" operator="greaterThan">
      <formula>$F$96</formula>
    </cfRule>
    <cfRule type="cellIs" dxfId="136" priority="184" stopIfTrue="1" operator="lessThanOrEqual">
      <formula>0</formula>
    </cfRule>
  </conditionalFormatting>
  <conditionalFormatting sqref="H10:H14 H40">
    <cfRule type="expression" dxfId="135" priority="33">
      <formula>IF(+(IF(H10&lt;#REF!,0,IF(H10&gt;#REF!,0,1)))=0,1)</formula>
    </cfRule>
  </conditionalFormatting>
  <conditionalFormatting sqref="H32:H34">
    <cfRule type="expression" dxfId="134" priority="11">
      <formula>IF(+(IF(H32&lt;#REF!,0,IF(H32&gt;#REF!,0,1)))=0,1)</formula>
    </cfRule>
  </conditionalFormatting>
  <conditionalFormatting sqref="H54:H55 H68">
    <cfRule type="cellIs" dxfId="133" priority="181" stopIfTrue="1" operator="greaterThan">
      <formula>0</formula>
    </cfRule>
  </conditionalFormatting>
  <conditionalFormatting sqref="H72">
    <cfRule type="cellIs" dxfId="132" priority="73" stopIfTrue="1" operator="lessThanOrEqual">
      <formula>0</formula>
    </cfRule>
    <cfRule type="cellIs" dxfId="131" priority="74" stopIfTrue="1" operator="greaterThan">
      <formula>$F$85</formula>
    </cfRule>
    <cfRule type="cellIs" dxfId="130" priority="82" stopIfTrue="1" operator="greaterThan">
      <formula>$F$88</formula>
    </cfRule>
    <cfRule type="cellIs" dxfId="129" priority="83" stopIfTrue="1" operator="lessThanOrEqual">
      <formula>0</formula>
    </cfRule>
    <cfRule type="cellIs" dxfId="128" priority="84" stopIfTrue="1" operator="greaterThan">
      <formula>$F$86</formula>
    </cfRule>
  </conditionalFormatting>
  <conditionalFormatting sqref="H72:H73">
    <cfRule type="cellIs" dxfId="127" priority="85" stopIfTrue="1" operator="lessThanOrEqual">
      <formula>0</formula>
    </cfRule>
  </conditionalFormatting>
  <conditionalFormatting sqref="H73 H75:H76">
    <cfRule type="cellIs" dxfId="126" priority="111" stopIfTrue="1" operator="lessThanOrEqual">
      <formula>0</formula>
    </cfRule>
  </conditionalFormatting>
  <conditionalFormatting sqref="H73">
    <cfRule type="cellIs" dxfId="125" priority="108" stopIfTrue="1" operator="greaterThan">
      <formula>$F$88</formula>
    </cfRule>
    <cfRule type="cellIs" dxfId="124" priority="109" stopIfTrue="1" operator="lessThanOrEqual">
      <formula>0</formula>
    </cfRule>
    <cfRule type="cellIs" dxfId="123" priority="110" stopIfTrue="1" operator="greaterThan">
      <formula>$F$86</formula>
    </cfRule>
    <cfRule type="cellIs" dxfId="122" priority="100" stopIfTrue="1" operator="greaterThan">
      <formula>$F$85</formula>
    </cfRule>
  </conditionalFormatting>
  <conditionalFormatting sqref="H74">
    <cfRule type="cellIs" dxfId="121" priority="52" stopIfTrue="1" operator="lessThanOrEqual">
      <formula>0</formula>
    </cfRule>
    <cfRule type="cellIs" dxfId="120" priority="50" stopIfTrue="1" operator="lessThanOrEqual">
      <formula>0</formula>
    </cfRule>
    <cfRule type="cellIs" dxfId="119" priority="49" stopIfTrue="1" operator="greaterThan">
      <formula>$F$90</formula>
    </cfRule>
    <cfRule type="cellIs" dxfId="118" priority="51" stopIfTrue="1" operator="greaterThan">
      <formula>$F$88</formula>
    </cfRule>
    <cfRule type="cellIs" dxfId="117" priority="41" stopIfTrue="1" operator="greaterThan">
      <formula>$F$87</formula>
    </cfRule>
    <cfRule type="cellIs" dxfId="116" priority="40" stopIfTrue="1" operator="lessThanOrEqual">
      <formula>0</formula>
    </cfRule>
  </conditionalFormatting>
  <conditionalFormatting sqref="H75:H76">
    <cfRule type="cellIs" dxfId="115" priority="122" stopIfTrue="1" operator="lessThanOrEqual">
      <formula>0</formula>
    </cfRule>
    <cfRule type="cellIs" dxfId="114" priority="123" stopIfTrue="1" operator="greaterThan">
      <formula>$F$86</formula>
    </cfRule>
    <cfRule type="cellIs" dxfId="113" priority="124" stopIfTrue="1" operator="lessThanOrEqual">
      <formula>0</formula>
    </cfRule>
    <cfRule type="cellIs" dxfId="112" priority="113" stopIfTrue="1" operator="greaterThan">
      <formula>$F$85</formula>
    </cfRule>
    <cfRule type="cellIs" dxfId="111" priority="121" stopIfTrue="1" operator="greaterThan">
      <formula>$F$88</formula>
    </cfRule>
  </conditionalFormatting>
  <conditionalFormatting sqref="H77:H78">
    <cfRule type="cellIs" dxfId="110" priority="158" stopIfTrue="1" operator="lessThanOrEqual">
      <formula>0</formula>
    </cfRule>
    <cfRule type="cellIs" dxfId="109" priority="157" stopIfTrue="1" operator="greaterThan">
      <formula>#REF!</formula>
    </cfRule>
    <cfRule type="cellIs" dxfId="108" priority="148" stopIfTrue="1" operator="lessThanOrEqual">
      <formula>0</formula>
    </cfRule>
    <cfRule type="cellIs" dxfId="107" priority="149" stopIfTrue="1" operator="greaterThan">
      <formula>#REF!</formula>
    </cfRule>
  </conditionalFormatting>
  <conditionalFormatting sqref="H79">
    <cfRule type="cellIs" dxfId="106" priority="160" stopIfTrue="1" operator="lessThanOrEqual">
      <formula>0</formula>
    </cfRule>
    <cfRule type="cellIs" dxfId="105" priority="161" stopIfTrue="1" operator="greaterThan">
      <formula>$F$53</formula>
    </cfRule>
    <cfRule type="cellIs" dxfId="104" priority="169" stopIfTrue="1" operator="greaterThan">
      <formula>$F$56</formula>
    </cfRule>
    <cfRule type="cellIs" dxfId="103" priority="171" stopIfTrue="1" operator="greaterThan">
      <formula>$F$54</formula>
    </cfRule>
    <cfRule type="cellIs" dxfId="102" priority="170" stopIfTrue="1" operator="lessThanOrEqual">
      <formula>0</formula>
    </cfRule>
    <cfRule type="cellIs" dxfId="101" priority="172" stopIfTrue="1" operator="lessThanOrEqual">
      <formula>0</formula>
    </cfRule>
  </conditionalFormatting>
  <conditionalFormatting sqref="H80:H81">
    <cfRule type="cellIs" dxfId="100" priority="137" stopIfTrue="1" operator="greaterThan">
      <formula>#REF!</formula>
    </cfRule>
    <cfRule type="cellIs" dxfId="99" priority="136" stopIfTrue="1" operator="lessThanOrEqual">
      <formula>0</formula>
    </cfRule>
    <cfRule type="cellIs" dxfId="98" priority="145" stopIfTrue="1" operator="greaterThan">
      <formula>#REF!</formula>
    </cfRule>
    <cfRule type="cellIs" dxfId="97" priority="146" stopIfTrue="1" operator="lessThanOrEqual">
      <formula>0</formula>
    </cfRule>
  </conditionalFormatting>
  <conditionalFormatting sqref="H96 H98:H104">
    <cfRule type="cellIs" dxfId="96" priority="196" stopIfTrue="1" operator="lessThanOrEqual">
      <formula>0</formula>
    </cfRule>
    <cfRule type="cellIs" dxfId="95" priority="195" stopIfTrue="1" operator="greaterThan">
      <formula>4.5</formula>
    </cfRule>
  </conditionalFormatting>
  <conditionalFormatting sqref="H72:I72">
    <cfRule type="cellIs" dxfId="94" priority="75" stopIfTrue="1" operator="lessThanOrEqual">
      <formula>0</formula>
    </cfRule>
  </conditionalFormatting>
  <conditionalFormatting sqref="H72:I73 H75:I76">
    <cfRule type="cellIs" dxfId="93" priority="72" stopIfTrue="1" operator="greaterThan">
      <formula>$F$87</formula>
    </cfRule>
  </conditionalFormatting>
  <conditionalFormatting sqref="H73:I73">
    <cfRule type="cellIs" dxfId="92" priority="101" stopIfTrue="1" operator="lessThanOrEqual">
      <formula>0</formula>
    </cfRule>
  </conditionalFormatting>
  <conditionalFormatting sqref="H74:I74">
    <cfRule type="cellIs" dxfId="91" priority="42" stopIfTrue="1" operator="lessThanOrEqual">
      <formula>0</formula>
    </cfRule>
    <cfRule type="cellIs" dxfId="90" priority="39" stopIfTrue="1" operator="greaterThan">
      <formula>$F$89</formula>
    </cfRule>
  </conditionalFormatting>
  <conditionalFormatting sqref="H75:I76">
    <cfRule type="cellIs" dxfId="89" priority="114" stopIfTrue="1" operator="lessThanOrEqual">
      <formula>0</formula>
    </cfRule>
  </conditionalFormatting>
  <conditionalFormatting sqref="H77:I78">
    <cfRule type="cellIs" dxfId="88" priority="155" stopIfTrue="1" operator="greaterThan">
      <formula>#REF!</formula>
    </cfRule>
    <cfRule type="cellIs" dxfId="87" priority="156" stopIfTrue="1" operator="lessThanOrEqual">
      <formula>0</formula>
    </cfRule>
    <cfRule type="cellIs" dxfId="86" priority="147" stopIfTrue="1" operator="greaterThan">
      <formula>#REF!</formula>
    </cfRule>
    <cfRule type="cellIs" dxfId="85" priority="150" stopIfTrue="1" operator="lessThanOrEqual">
      <formula>0</formula>
    </cfRule>
  </conditionalFormatting>
  <conditionalFormatting sqref="H79:I79">
    <cfRule type="cellIs" dxfId="84" priority="162" stopIfTrue="1" operator="lessThanOrEqual">
      <formula>0</formula>
    </cfRule>
    <cfRule type="cellIs" dxfId="83" priority="159" stopIfTrue="1" operator="greaterThan">
      <formula>$F$55</formula>
    </cfRule>
  </conditionalFormatting>
  <conditionalFormatting sqref="H80:I81">
    <cfRule type="cellIs" dxfId="82" priority="138" stopIfTrue="1" operator="lessThanOrEqual">
      <formula>0</formula>
    </cfRule>
    <cfRule type="cellIs" dxfId="81" priority="135" stopIfTrue="1" operator="greaterThan">
      <formula>#REF!</formula>
    </cfRule>
    <cfRule type="cellIs" dxfId="80" priority="143" stopIfTrue="1" operator="greaterThan">
      <formula>#REF!</formula>
    </cfRule>
    <cfRule type="cellIs" dxfId="79" priority="144" stopIfTrue="1" operator="lessThanOrEqual">
      <formula>0</formula>
    </cfRule>
  </conditionalFormatting>
  <conditionalFormatting sqref="H85:I92">
    <cfRule type="cellIs" dxfId="78" priority="58" stopIfTrue="1" operator="lessThanOrEqual">
      <formula>0</formula>
    </cfRule>
    <cfRule type="cellIs" dxfId="77" priority="57" stopIfTrue="1" operator="greaterThan">
      <formula>$J85</formula>
    </cfRule>
  </conditionalFormatting>
  <conditionalFormatting sqref="H93:I93">
    <cfRule type="cellIs" dxfId="76" priority="65" operator="greaterThan">
      <formula>5.3</formula>
    </cfRule>
  </conditionalFormatting>
  <conditionalFormatting sqref="H94:I94">
    <cfRule type="cellIs" dxfId="75" priority="64" stopIfTrue="1" operator="lessThanOrEqual">
      <formula>0</formula>
    </cfRule>
    <cfRule type="cellIs" dxfId="74" priority="63" stopIfTrue="1" operator="greaterThan">
      <formula>$J94</formula>
    </cfRule>
  </conditionalFormatting>
  <conditionalFormatting sqref="I72">
    <cfRule type="cellIs" dxfId="73" priority="81" stopIfTrue="1" operator="lessThanOrEqual">
      <formula>0</formula>
    </cfRule>
    <cfRule type="cellIs" dxfId="72" priority="76" stopIfTrue="1" operator="greaterThan">
      <formula>$F$85</formula>
    </cfRule>
    <cfRule type="cellIs" dxfId="71" priority="77" stopIfTrue="1" operator="lessThanOrEqual">
      <formula>0</formula>
    </cfRule>
    <cfRule type="cellIs" dxfId="70" priority="78" stopIfTrue="1" operator="greaterThan">
      <formula>$F$87</formula>
    </cfRule>
    <cfRule type="cellIs" dxfId="69" priority="79" stopIfTrue="1" operator="lessThanOrEqual">
      <formula>0</formula>
    </cfRule>
    <cfRule type="cellIs" dxfId="68" priority="80" stopIfTrue="1" operator="greaterThan">
      <formula>$F$85</formula>
    </cfRule>
  </conditionalFormatting>
  <conditionalFormatting sqref="I73">
    <cfRule type="cellIs" dxfId="67" priority="104" stopIfTrue="1" operator="greaterThan">
      <formula>$F$87</formula>
    </cfRule>
    <cfRule type="cellIs" dxfId="66" priority="103" stopIfTrue="1" operator="lessThanOrEqual">
      <formula>0</formula>
    </cfRule>
    <cfRule type="cellIs" dxfId="65" priority="102" stopIfTrue="1" operator="greaterThan">
      <formula>$F$85</formula>
    </cfRule>
    <cfRule type="cellIs" dxfId="64" priority="107" stopIfTrue="1" operator="lessThanOrEqual">
      <formula>0</formula>
    </cfRule>
    <cfRule type="cellIs" dxfId="63" priority="105" stopIfTrue="1" operator="lessThanOrEqual">
      <formula>0</formula>
    </cfRule>
    <cfRule type="cellIs" dxfId="62" priority="106" stopIfTrue="1" operator="greaterThan">
      <formula>$F$85</formula>
    </cfRule>
  </conditionalFormatting>
  <conditionalFormatting sqref="I74">
    <cfRule type="cellIs" dxfId="61" priority="43" stopIfTrue="1" operator="greaterThan">
      <formula>$F$87</formula>
    </cfRule>
    <cfRule type="cellIs" dxfId="60" priority="45" stopIfTrue="1" operator="greaterThan">
      <formula>$F$89</formula>
    </cfRule>
    <cfRule type="cellIs" dxfId="59" priority="44" stopIfTrue="1" operator="lessThanOrEqual">
      <formula>0</formula>
    </cfRule>
    <cfRule type="cellIs" dxfId="58" priority="48" stopIfTrue="1" operator="lessThanOrEqual">
      <formula>0</formula>
    </cfRule>
    <cfRule type="cellIs" dxfId="57" priority="47" stopIfTrue="1" operator="greaterThan">
      <formula>$F$87</formula>
    </cfRule>
    <cfRule type="cellIs" dxfId="56" priority="46" stopIfTrue="1" operator="lessThanOrEqual">
      <formula>0</formula>
    </cfRule>
  </conditionalFormatting>
  <conditionalFormatting sqref="I75:I76">
    <cfRule type="cellIs" dxfId="55" priority="117" stopIfTrue="1" operator="greaterThan">
      <formula>$F$87</formula>
    </cfRule>
    <cfRule type="cellIs" dxfId="54" priority="116" stopIfTrue="1" operator="lessThanOrEqual">
      <formula>0</formula>
    </cfRule>
    <cfRule type="cellIs" dxfId="53" priority="115" stopIfTrue="1" operator="greaterThan">
      <formula>$F$85</formula>
    </cfRule>
    <cfRule type="cellIs" dxfId="52" priority="120" stopIfTrue="1" operator="lessThanOrEqual">
      <formula>0</formula>
    </cfRule>
    <cfRule type="cellIs" dxfId="51" priority="119" stopIfTrue="1" operator="greaterThan">
      <formula>$F$85</formula>
    </cfRule>
    <cfRule type="cellIs" dxfId="50" priority="118" stopIfTrue="1" operator="lessThanOrEqual">
      <formula>0</formula>
    </cfRule>
  </conditionalFormatting>
  <conditionalFormatting sqref="I77:I78">
    <cfRule type="cellIs" dxfId="49" priority="152" stopIfTrue="1" operator="lessThanOrEqual">
      <formula>0</formula>
    </cfRule>
    <cfRule type="cellIs" dxfId="48" priority="153" stopIfTrue="1" operator="greaterThan">
      <formula>#REF!</formula>
    </cfRule>
    <cfRule type="cellIs" dxfId="47" priority="154" stopIfTrue="1" operator="lessThanOrEqual">
      <formula>0</formula>
    </cfRule>
    <cfRule type="cellIs" dxfId="46" priority="151" stopIfTrue="1" operator="greaterThan">
      <formula>#REF!</formula>
    </cfRule>
  </conditionalFormatting>
  <conditionalFormatting sqref="I79">
    <cfRule type="cellIs" dxfId="45" priority="168" stopIfTrue="1" operator="lessThanOrEqual">
      <formula>0</formula>
    </cfRule>
    <cfRule type="cellIs" dxfId="44" priority="164" stopIfTrue="1" operator="lessThanOrEqual">
      <formula>0</formula>
    </cfRule>
    <cfRule type="cellIs" dxfId="43" priority="163" stopIfTrue="1" operator="greaterThan">
      <formula>$F$53</formula>
    </cfRule>
    <cfRule type="cellIs" dxfId="42" priority="165" stopIfTrue="1" operator="greaterThan">
      <formula>$F$55</formula>
    </cfRule>
    <cfRule type="cellIs" dxfId="41" priority="166" stopIfTrue="1" operator="lessThanOrEqual">
      <formula>0</formula>
    </cfRule>
    <cfRule type="cellIs" dxfId="40" priority="167" stopIfTrue="1" operator="greaterThan">
      <formula>$F$53</formula>
    </cfRule>
  </conditionalFormatting>
  <conditionalFormatting sqref="I80:I81">
    <cfRule type="cellIs" dxfId="39" priority="139" stopIfTrue="1" operator="greaterThan">
      <formula>#REF!</formula>
    </cfRule>
    <cfRule type="cellIs" dxfId="38" priority="140" stopIfTrue="1" operator="lessThanOrEqual">
      <formula>0</formula>
    </cfRule>
    <cfRule type="cellIs" dxfId="37" priority="141" stopIfTrue="1" operator="greaterThan">
      <formula>#REF!</formula>
    </cfRule>
    <cfRule type="cellIs" dxfId="36" priority="142" stopIfTrue="1" operator="lessThanOrEqual">
      <formula>0</formula>
    </cfRule>
  </conditionalFormatting>
  <conditionalFormatting sqref="I96:I104">
    <cfRule type="cellIs" dxfId="35" priority="192" stopIfTrue="1" operator="lessThanOrEqual">
      <formula>0</formula>
    </cfRule>
    <cfRule type="cellIs" dxfId="34" priority="191" stopIfTrue="1" operator="greaterThan">
      <formula>4.5</formula>
    </cfRule>
  </conditionalFormatting>
  <conditionalFormatting sqref="I10:J40">
    <cfRule type="cellIs" dxfId="33" priority="1" operator="lessThan">
      <formula>97.9</formula>
    </cfRule>
  </conditionalFormatting>
  <conditionalFormatting sqref="J43:J45">
    <cfRule type="cellIs" dxfId="32" priority="38" operator="lessThan">
      <formula>97.95</formula>
    </cfRule>
  </conditionalFormatting>
  <conditionalFormatting sqref="J44:J47">
    <cfRule type="cellIs" dxfId="31" priority="173" operator="lessThan">
      <formula>97.4</formula>
    </cfRule>
  </conditionalFormatting>
  <conditionalFormatting sqref="J48:J49">
    <cfRule type="cellIs" dxfId="30" priority="174" operator="lessThan">
      <formula>98</formula>
    </cfRule>
  </conditionalFormatting>
  <conditionalFormatting sqref="J50:J51">
    <cfRule type="cellIs" dxfId="29" priority="175" stopIfTrue="1" operator="lessThan">
      <formula>96.8</formula>
    </cfRule>
    <cfRule type="cellIs" dxfId="28" priority="176" stopIfTrue="1" operator="greaterThan">
      <formula>100</formula>
    </cfRule>
  </conditionalFormatting>
  <conditionalFormatting sqref="J50:J52">
    <cfRule type="cellIs" dxfId="27" priority="177" operator="lessThan">
      <formula>98</formula>
    </cfRule>
  </conditionalFormatting>
  <conditionalFormatting sqref="J81">
    <cfRule type="cellIs" dxfId="26" priority="134" stopIfTrue="1" operator="lessThanOrEqual">
      <formula>0</formula>
    </cfRule>
    <cfRule type="cellIs" dxfId="25" priority="133" stopIfTrue="1" operator="greaterThan">
      <formula>#REF!</formula>
    </cfRule>
    <cfRule type="cellIs" dxfId="24" priority="129" stopIfTrue="1" operator="greaterThan">
      <formula>#REF!</formula>
    </cfRule>
    <cfRule type="cellIs" dxfId="23" priority="128" stopIfTrue="1" operator="lessThanOrEqual">
      <formula>0</formula>
    </cfRule>
    <cfRule type="cellIs" dxfId="22" priority="127" stopIfTrue="1" operator="greaterThan">
      <formula>#REF!</formula>
    </cfRule>
    <cfRule type="cellIs" dxfId="21" priority="130" stopIfTrue="1" operator="lessThanOrEqual">
      <formula>0</formula>
    </cfRule>
    <cfRule type="cellIs" dxfId="20" priority="131" stopIfTrue="1" operator="greaterThan">
      <formula>#REF!</formula>
    </cfRule>
    <cfRule type="cellIs" dxfId="19" priority="132" stopIfTrue="1" operator="lessThanOrEqual">
      <formula>0</formula>
    </cfRule>
  </conditionalFormatting>
  <conditionalFormatting sqref="J94">
    <cfRule type="cellIs" dxfId="18" priority="67" stopIfTrue="1" operator="lessThanOrEqual">
      <formula>0</formula>
    </cfRule>
    <cfRule type="cellIs" dxfId="17" priority="66" stopIfTrue="1" operator="greaterThan">
      <formula>$F94</formula>
    </cfRule>
  </conditionalFormatting>
  <conditionalFormatting sqref="K10:K40">
    <cfRule type="cellIs" dxfId="16" priority="2" operator="greaterThan">
      <formula>6</formula>
    </cfRule>
    <cfRule type="cellIs" dxfId="15" priority="4" operator="greaterThan">
      <formula>6.4</formula>
    </cfRule>
    <cfRule type="cellIs" dxfId="14" priority="3" operator="lessThan">
      <formula>4</formula>
    </cfRule>
  </conditionalFormatting>
  <conditionalFormatting sqref="K72:K81">
    <cfRule type="cellIs" dxfId="13" priority="112" stopIfTrue="1" operator="lessThan">
      <formula>100%</formula>
    </cfRule>
  </conditionalFormatting>
  <conditionalFormatting sqref="K85:K93">
    <cfRule type="cellIs" dxfId="12" priority="56" stopIfTrue="1" operator="lessThan">
      <formula>100%</formula>
    </cfRule>
  </conditionalFormatting>
  <conditionalFormatting sqref="K96:K101">
    <cfRule type="cellIs" dxfId="11" priority="197" stopIfTrue="1" operator="lessThan">
      <formula>100%</formula>
    </cfRule>
  </conditionalFormatting>
  <conditionalFormatting sqref="K103:K104">
    <cfRule type="cellIs" dxfId="10" priority="204" stopIfTrue="1" operator="lessThan">
      <formula>100%</formula>
    </cfRule>
  </conditionalFormatting>
  <conditionalFormatting sqref="L10:L40">
    <cfRule type="cellIs" dxfId="9" priority="6" operator="greaterThan">
      <formula>65</formula>
    </cfRule>
    <cfRule type="cellIs" dxfId="8" priority="5" operator="between">
      <formula>61</formula>
      <formula>65</formula>
    </cfRule>
  </conditionalFormatting>
  <conditionalFormatting sqref="L43:M54">
    <cfRule type="cellIs" dxfId="7" priority="34" operator="lessThan">
      <formula>97.95</formula>
    </cfRule>
  </conditionalFormatting>
  <conditionalFormatting sqref="L58:N58">
    <cfRule type="cellIs" dxfId="6" priority="37" operator="notEqual">
      <formula>#REF!</formula>
    </cfRule>
  </conditionalFormatting>
  <conditionalFormatting sqref="L85:N94">
    <cfRule type="cellIs" dxfId="5" priority="53" stopIfTrue="1" operator="lessThan">
      <formula>100%</formula>
    </cfRule>
  </conditionalFormatting>
  <conditionalFormatting sqref="L96:N104">
    <cfRule type="cellIs" dxfId="4" priority="182" stopIfTrue="1" operator="lessThan">
      <formula>100%</formula>
    </cfRule>
  </conditionalFormatting>
  <conditionalFormatting sqref="M40">
    <cfRule type="expression" dxfId="3" priority="35">
      <formula>IF(+(IF(M40&lt;U40,0,IF(M40&gt;V40,0,1)))=0,1)</formula>
    </cfRule>
  </conditionalFormatting>
  <conditionalFormatting sqref="M10:N39">
    <cfRule type="expression" dxfId="2" priority="10">
      <formula>IF(+(IF(M10&lt;#REF!,0,IF(M10&gt;#REF!,0,1)))=0,1)</formula>
    </cfRule>
  </conditionalFormatting>
  <conditionalFormatting sqref="N10:N40">
    <cfRule type="expression" dxfId="1" priority="9">
      <formula>IF(+(IF(N10&lt;W10,0,IF(N10&gt;X10,0,1)))=0,1)</formula>
    </cfRule>
  </conditionalFormatting>
  <conditionalFormatting sqref="P6">
    <cfRule type="cellIs" dxfId="0" priority="178" operator="greaterThanOrEqual">
      <formula>19</formula>
    </cfRule>
  </conditionalFormatting>
  <dataValidations count="1">
    <dataValidation type="list" allowBlank="1" showInputMessage="1" showErrorMessage="1" sqref="R8" xr:uid="{91E12CDB-29DD-4A45-B3EF-A00FCE891A6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8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5" t="s">
        <v>58</v>
      </c>
      <c r="C2" s="605"/>
      <c r="D2" s="605"/>
      <c r="E2" s="605"/>
      <c r="F2" s="605"/>
      <c r="G2" s="605"/>
      <c r="H2" s="605"/>
      <c r="I2" s="605"/>
      <c r="J2" s="605"/>
      <c r="K2" s="605"/>
    </row>
    <row r="3" spans="2:14" ht="15.75" hidden="1" thickBot="1">
      <c r="B3" s="79"/>
    </row>
    <row r="4" spans="2:14" ht="13.5" hidden="1" thickBot="1">
      <c r="B4" s="78" t="s">
        <v>7</v>
      </c>
      <c r="C4" s="606">
        <v>41431</v>
      </c>
      <c r="D4" s="60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7" t="s">
        <v>17</v>
      </c>
      <c r="C8" s="609" t="s">
        <v>18</v>
      </c>
      <c r="D8" s="609" t="s">
        <v>59</v>
      </c>
      <c r="E8" s="80" t="s">
        <v>20</v>
      </c>
      <c r="F8" s="81" t="s">
        <v>21</v>
      </c>
      <c r="G8" s="609" t="s">
        <v>60</v>
      </c>
      <c r="H8" s="609" t="s">
        <v>61</v>
      </c>
      <c r="I8" s="611" t="s">
        <v>62</v>
      </c>
      <c r="J8" s="82" t="s">
        <v>25</v>
      </c>
      <c r="K8" s="613" t="s">
        <v>28</v>
      </c>
    </row>
    <row r="9" spans="2:14" ht="26.25" hidden="1" thickBot="1">
      <c r="B9" s="608"/>
      <c r="C9" s="610"/>
      <c r="D9" s="610"/>
      <c r="E9" s="83" t="s">
        <v>30</v>
      </c>
      <c r="F9" s="84" t="s">
        <v>63</v>
      </c>
      <c r="G9" s="610"/>
      <c r="H9" s="610"/>
      <c r="I9" s="612"/>
      <c r="J9" s="85" t="s">
        <v>32</v>
      </c>
      <c r="K9" s="614"/>
      <c r="L9" s="86"/>
      <c r="M9" s="86"/>
      <c r="N9" s="86"/>
    </row>
    <row r="10" spans="2:14" ht="13.5" hidden="1" thickBot="1">
      <c r="B10" s="87" t="s">
        <v>64</v>
      </c>
      <c r="C10" s="88" t="str">
        <f>[41]Brewhouse!A5359</f>
        <v>CA236</v>
      </c>
      <c r="D10" s="88">
        <f>[41]Brewhouse!B5359</f>
        <v>41437</v>
      </c>
      <c r="E10" s="89">
        <f>[41]Brewhouse!AG5359</f>
        <v>49.011000000000003</v>
      </c>
      <c r="F10" s="90">
        <f>[41]Brewhouse!T5359</f>
        <v>60</v>
      </c>
      <c r="G10" s="91">
        <f>[41]Brewhouse!I5359</f>
        <v>19.79</v>
      </c>
      <c r="H10" s="92">
        <f>[41]Brewhouse!AS5359</f>
        <v>94.981545664755075</v>
      </c>
      <c r="I10" s="92">
        <f>[41]Brewhouse!AT5359</f>
        <v>97.074072469002047</v>
      </c>
      <c r="J10" s="93">
        <f>[41]Brewhouse!S5359-[41]Brewhouse!R5359</f>
        <v>0.10694444444444451</v>
      </c>
      <c r="K10" s="94"/>
      <c r="N10" s="95"/>
    </row>
    <row r="11" spans="2:14" ht="13.5" hidden="1" thickBot="1">
      <c r="B11" s="96"/>
      <c r="C11" s="88" t="str">
        <f>[41]Brewhouse!A5360</f>
        <v>CA237</v>
      </c>
      <c r="D11" s="88">
        <f>[41]Brewhouse!B5360</f>
        <v>41437</v>
      </c>
      <c r="E11" s="89">
        <f>[41]Brewhouse!AG5360</f>
        <v>48.531999999999996</v>
      </c>
      <c r="F11" s="90">
        <f>[41]Brewhouse!T5360</f>
        <v>68</v>
      </c>
      <c r="G11" s="91">
        <f>[41]Brewhouse!I5360</f>
        <v>17.7</v>
      </c>
      <c r="H11" s="92">
        <f>[41]Brewhouse!AS5360</f>
        <v>94.053260986347809</v>
      </c>
      <c r="I11" s="92">
        <f>[41]Brewhouse!AT5360</f>
        <v>96.1253368644918</v>
      </c>
      <c r="J11" s="93">
        <f>[41]Brewhouse!S5360-[41]Brewhouse!R5360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[41]Brewhouse!A5361</f>
        <v>CA238</v>
      </c>
      <c r="D12" s="88">
        <f>[41]Brewhouse!B5361</f>
        <v>41437</v>
      </c>
      <c r="E12" s="89">
        <f>[41]Brewhouse!AG5361</f>
        <v>50.466999999999999</v>
      </c>
      <c r="F12" s="90">
        <f>[41]Brewhouse!T5361</f>
        <v>61</v>
      </c>
      <c r="G12" s="91">
        <f>[41]Brewhouse!I5361</f>
        <v>19.7</v>
      </c>
      <c r="H12" s="92">
        <f>[41]Brewhouse!AS5361</f>
        <v>96.931393272913695</v>
      </c>
      <c r="I12" s="92">
        <f>[41]Brewhouse!AT5361</f>
        <v>99.066876931102286</v>
      </c>
      <c r="J12" s="93">
        <f>[41]Brewhouse!S5361-[41]Brewhouse!R5361</f>
        <v>0.10208333333333341</v>
      </c>
      <c r="K12" s="98"/>
    </row>
    <row r="13" spans="2:14" ht="13.5" hidden="1" thickBot="1">
      <c r="B13" s="99"/>
      <c r="C13" s="88" t="str">
        <f>[41]Brewhouse!A5362</f>
        <v>CA239</v>
      </c>
      <c r="D13" s="88">
        <f>[41]Brewhouse!B5362</f>
        <v>41437</v>
      </c>
      <c r="E13" s="89">
        <f>[41]Brewhouse!AG5362</f>
        <v>49.374000000000002</v>
      </c>
      <c r="F13" s="90">
        <f>[41]Brewhouse!T5362</f>
        <v>62</v>
      </c>
      <c r="G13" s="91">
        <f>[41]Brewhouse!I5362</f>
        <v>19</v>
      </c>
      <c r="H13" s="92">
        <f>[41]Brewhouse!AS5362</f>
        <v>95.68502653795305</v>
      </c>
      <c r="I13" s="92">
        <f>[41]Brewhouse!AT5362</f>
        <v>97.793051643192499</v>
      </c>
      <c r="J13" s="93">
        <f>[41]Brewhouse!S5362-[41]Brewhouse!R5362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5" t="s">
        <v>69</v>
      </c>
      <c r="G21" s="616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7" t="s">
        <v>17</v>
      </c>
      <c r="C43" s="609" t="s">
        <v>18</v>
      </c>
      <c r="D43" s="609" t="s">
        <v>44</v>
      </c>
      <c r="E43" s="609" t="s">
        <v>79</v>
      </c>
      <c r="F43" s="609" t="s">
        <v>51</v>
      </c>
      <c r="G43" s="609" t="s">
        <v>48</v>
      </c>
      <c r="H43" s="624" t="s">
        <v>28</v>
      </c>
      <c r="I43" s="625"/>
      <c r="J43" s="625"/>
      <c r="K43" s="613" t="s">
        <v>27</v>
      </c>
    </row>
    <row r="44" spans="2:15" ht="15.75" hidden="1" customHeight="1" thickBot="1">
      <c r="B44" s="620"/>
      <c r="C44" s="621"/>
      <c r="D44" s="621"/>
      <c r="E44" s="621"/>
      <c r="F44" s="621"/>
      <c r="G44" s="621"/>
      <c r="H44" s="626"/>
      <c r="I44" s="627"/>
      <c r="J44" s="627"/>
      <c r="K44" s="61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8"/>
      <c r="I45" s="619"/>
      <c r="J45" s="619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28"/>
      <c r="I46" s="629"/>
      <c r="J46" s="62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28"/>
      <c r="I47" s="629"/>
      <c r="J47" s="62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28"/>
      <c r="I48" s="629"/>
      <c r="J48" s="62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22"/>
      <c r="I49" s="623"/>
      <c r="J49" s="623"/>
      <c r="K49" s="172"/>
    </row>
    <row r="50" spans="2:11" ht="13.5" hidden="1" thickBot="1">
      <c r="B50" s="173"/>
      <c r="C50" s="160"/>
      <c r="E50" s="168"/>
      <c r="F50" s="168"/>
      <c r="G50" s="145"/>
      <c r="H50" s="622"/>
      <c r="I50" s="623"/>
      <c r="J50" s="623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22"/>
      <c r="I51" s="623"/>
      <c r="J51" s="623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0"/>
      <c r="I52" s="631"/>
      <c r="J52" s="631"/>
      <c r="K52" s="183"/>
    </row>
    <row r="53" spans="2:11" ht="13.5" thickBot="1">
      <c r="B53" s="184"/>
      <c r="C53" s="117"/>
      <c r="D53" s="632" t="s">
        <v>80</v>
      </c>
      <c r="E53" s="632"/>
      <c r="F53" s="632"/>
      <c r="G53" s="632"/>
      <c r="H53" s="632"/>
      <c r="I53" s="632"/>
      <c r="J53" s="632"/>
      <c r="K53" s="185"/>
    </row>
    <row r="54" spans="2:11" ht="13.5" thickBot="1">
      <c r="B54" s="633" t="s">
        <v>55</v>
      </c>
      <c r="C54" s="634"/>
      <c r="D54" s="634"/>
      <c r="E54" s="635"/>
      <c r="F54" s="633" t="s">
        <v>56</v>
      </c>
      <c r="G54" s="634"/>
      <c r="H54" s="635"/>
      <c r="I54" s="636" t="s">
        <v>81</v>
      </c>
      <c r="J54" s="637"/>
      <c r="K54" s="638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[40]MTD!$E5</f>
        <v>5.5779123796880112</v>
      </c>
      <c r="E56" s="192">
        <v>5</v>
      </c>
      <c r="F56" s="191"/>
      <c r="G56" s="76">
        <f>[19]October_2026!$AN3</f>
        <v>6.5883840063756107</v>
      </c>
      <c r="H56" s="192">
        <v>5</v>
      </c>
      <c r="I56" s="193"/>
      <c r="J56" s="194">
        <f>[20]October_2026!$AN13</f>
        <v>0.79074352548036753</v>
      </c>
      <c r="K56" s="195">
        <v>1</v>
      </c>
    </row>
    <row r="57" spans="2:11" ht="15">
      <c r="B57" s="33" t="s">
        <v>72</v>
      </c>
      <c r="C57" s="191"/>
      <c r="D57" s="76">
        <f>[40]MTD!$E6</f>
        <v>5.9993664871713683</v>
      </c>
      <c r="E57" s="192">
        <v>5</v>
      </c>
      <c r="F57" s="191"/>
      <c r="G57" s="76">
        <f>[19]October_2026!$AN4</f>
        <v>5.8480851106412217</v>
      </c>
      <c r="H57" s="192">
        <v>5</v>
      </c>
      <c r="I57" s="196"/>
      <c r="J57" s="194">
        <f>[20]October_2026!$AN14</f>
        <v>0.70652631578947367</v>
      </c>
      <c r="K57" s="195">
        <v>1</v>
      </c>
    </row>
    <row r="58" spans="2:11" ht="15">
      <c r="B58" s="34" t="s">
        <v>73</v>
      </c>
      <c r="C58" s="191"/>
      <c r="D58" s="76">
        <f>[40]MTD!$E7</f>
        <v>7.2586328400281719</v>
      </c>
      <c r="E58" s="192">
        <v>5</v>
      </c>
      <c r="F58" s="191"/>
      <c r="G58" s="76">
        <f>[19]October_2026!$AN5</f>
        <v>8.3572982592313725</v>
      </c>
      <c r="H58" s="192">
        <v>5</v>
      </c>
      <c r="I58" s="196"/>
      <c r="J58" s="194">
        <f>[20]October_2026!$AN15</f>
        <v>1.385263157894737</v>
      </c>
      <c r="K58" s="195">
        <v>1</v>
      </c>
    </row>
    <row r="59" spans="2:11" ht="15">
      <c r="B59" s="197" t="s">
        <v>74</v>
      </c>
      <c r="C59" s="191"/>
      <c r="D59" s="76">
        <f>[40]MTD!$E8</f>
        <v>2.6160971335586405</v>
      </c>
      <c r="E59" s="192">
        <v>3.5</v>
      </c>
      <c r="F59" s="191"/>
      <c r="G59" s="76">
        <f>[19]October_2026!$AN6</f>
        <v>4.6522194119603313</v>
      </c>
      <c r="H59" s="192">
        <v>3.5</v>
      </c>
      <c r="I59" s="196"/>
      <c r="J59" s="194">
        <f>[20]October_2026!$AN16</f>
        <v>1.1878947368421053</v>
      </c>
      <c r="K59" s="195">
        <v>1</v>
      </c>
    </row>
    <row r="60" spans="2:11" ht="15.75" thickBot="1">
      <c r="B60" s="38" t="s">
        <v>160</v>
      </c>
      <c r="C60" s="191"/>
      <c r="D60" s="76" t="e">
        <f>[40]MTD!$E9</f>
        <v>#DIV/0!</v>
      </c>
      <c r="E60" s="192">
        <v>3.5</v>
      </c>
      <c r="F60" s="198"/>
      <c r="G60" s="76" t="e">
        <f>[19]October_2026!$AN7</f>
        <v>#DIV/0!</v>
      </c>
      <c r="H60" s="192">
        <v>3.5</v>
      </c>
      <c r="I60" s="196"/>
      <c r="J60" s="194" t="e">
        <f>[20]October_2026!$AN17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[40]MTD!$E10</f>
        <v>#DIV/0!</v>
      </c>
      <c r="E61" s="200">
        <v>5</v>
      </c>
      <c r="F61" s="191"/>
      <c r="G61" s="76" t="e">
        <f>[19]October_2026!$AN8</f>
        <v>#DIV/0!</v>
      </c>
      <c r="H61" s="200">
        <v>5</v>
      </c>
      <c r="I61" s="196"/>
      <c r="J61" s="194" t="e">
        <f>[20]October_2026!$AN18</f>
        <v>#DIV/0!</v>
      </c>
      <c r="K61" s="195">
        <v>1</v>
      </c>
    </row>
    <row r="62" spans="2:11" ht="15">
      <c r="B62" s="201" t="s">
        <v>82</v>
      </c>
      <c r="C62" s="202"/>
      <c r="D62" s="76">
        <f>[40]MTD!$E11</f>
        <v>0.84622823984524742</v>
      </c>
      <c r="E62" s="200">
        <v>3.3</v>
      </c>
      <c r="F62" s="202"/>
      <c r="G62" s="76">
        <f>[19]October_2026!$AN9</f>
        <v>4.0067212349015007</v>
      </c>
      <c r="H62" s="200">
        <v>3.3</v>
      </c>
      <c r="I62" s="203"/>
      <c r="J62" s="194">
        <f>[20]October_2026!$AN19</f>
        <v>0.71947368421052638</v>
      </c>
      <c r="K62" s="204">
        <v>1</v>
      </c>
    </row>
    <row r="63" spans="2:11" ht="15.75" thickBot="1">
      <c r="B63" s="38" t="s">
        <v>128</v>
      </c>
      <c r="C63" s="205"/>
      <c r="D63" s="76" t="e">
        <f>[40]MTD!$E12</f>
        <v>#DIV/0!</v>
      </c>
      <c r="E63" s="206">
        <v>3.5</v>
      </c>
      <c r="F63" s="205"/>
      <c r="G63" s="76" t="e">
        <f>[19]October_2026!$AN10</f>
        <v>#DIV/0!</v>
      </c>
      <c r="H63" s="206">
        <v>3.5</v>
      </c>
      <c r="I63" s="207"/>
      <c r="J63" s="194" t="e">
        <f>[20]October_2026!$AN20</f>
        <v>#DIV/0!</v>
      </c>
      <c r="K63" s="208">
        <v>1</v>
      </c>
    </row>
    <row r="64" spans="2:11" ht="15.75" thickBot="1">
      <c r="B64" s="412" t="s">
        <v>159</v>
      </c>
      <c r="C64" s="198"/>
      <c r="D64" s="76" t="e">
        <f>[40]MTD!$E13</f>
        <v>#DIV/0!</v>
      </c>
      <c r="E64" s="192">
        <v>5</v>
      </c>
      <c r="F64" s="198"/>
      <c r="G64" s="76" t="e">
        <f>[19]October_2026!$AN11</f>
        <v>#DIV/0!</v>
      </c>
      <c r="H64" s="192">
        <v>5</v>
      </c>
      <c r="I64" s="411"/>
      <c r="J64" s="194">
        <f>[20]October_2026!$AN21</f>
        <v>0</v>
      </c>
      <c r="K64" s="208">
        <v>1</v>
      </c>
    </row>
    <row r="65" spans="2:11">
      <c r="B65" s="209"/>
      <c r="C65" s="210"/>
      <c r="D65" s="76">
        <f>[40]MTD!$E14</f>
        <v>5.3475690784951517</v>
      </c>
      <c r="E65" s="210"/>
      <c r="F65" s="210"/>
      <c r="G65" s="76">
        <f>[19]October_2026!$AN12</f>
        <v>6.1766981841577975</v>
      </c>
      <c r="H65" s="211"/>
      <c r="I65" s="212"/>
      <c r="J65" s="194">
        <f>[20]October_2026!$AN22</f>
        <v>0.82972031528095613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05" t="s">
        <v>58</v>
      </c>
      <c r="C2" s="605"/>
      <c r="D2" s="605"/>
      <c r="E2" s="605"/>
      <c r="F2" s="605"/>
      <c r="G2" s="605"/>
      <c r="H2" s="605"/>
      <c r="I2" s="605"/>
      <c r="J2" s="605"/>
      <c r="K2" s="605"/>
    </row>
    <row r="3" spans="2:14" ht="15.75" hidden="1" thickBot="1">
      <c r="B3" s="79"/>
    </row>
    <row r="4" spans="2:14" ht="13.5" hidden="1" thickBot="1">
      <c r="B4" s="78" t="s">
        <v>7</v>
      </c>
      <c r="C4" s="606">
        <v>41431</v>
      </c>
      <c r="D4" s="606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7" t="s">
        <v>17</v>
      </c>
      <c r="C8" s="609" t="s">
        <v>18</v>
      </c>
      <c r="D8" s="609" t="s">
        <v>59</v>
      </c>
      <c r="E8" s="80" t="s">
        <v>20</v>
      </c>
      <c r="F8" s="81" t="s">
        <v>21</v>
      </c>
      <c r="G8" s="609" t="s">
        <v>60</v>
      </c>
      <c r="H8" s="609" t="s">
        <v>61</v>
      </c>
      <c r="I8" s="611" t="s">
        <v>62</v>
      </c>
      <c r="J8" s="82" t="s">
        <v>25</v>
      </c>
      <c r="K8" s="613" t="s">
        <v>28</v>
      </c>
    </row>
    <row r="9" spans="2:14" ht="26.25" hidden="1" thickBot="1">
      <c r="B9" s="608"/>
      <c r="C9" s="610"/>
      <c r="D9" s="610"/>
      <c r="E9" s="83" t="s">
        <v>30</v>
      </c>
      <c r="F9" s="84" t="s">
        <v>63</v>
      </c>
      <c r="G9" s="610"/>
      <c r="H9" s="610"/>
      <c r="I9" s="612"/>
      <c r="J9" s="85" t="s">
        <v>32</v>
      </c>
      <c r="K9" s="614"/>
      <c r="L9" s="86"/>
      <c r="M9" s="86"/>
      <c r="N9" s="86"/>
    </row>
    <row r="10" spans="2:14" ht="13.5" hidden="1" thickBot="1">
      <c r="B10" s="87" t="s">
        <v>64</v>
      </c>
      <c r="C10" s="88" t="str">
        <f>[41]Brewhouse!A5359</f>
        <v>CA236</v>
      </c>
      <c r="D10" s="88">
        <f>[41]Brewhouse!B5359</f>
        <v>41437</v>
      </c>
      <c r="E10" s="89">
        <f>[41]Brewhouse!AG5359</f>
        <v>49.011000000000003</v>
      </c>
      <c r="F10" s="90">
        <f>[41]Brewhouse!T5359</f>
        <v>60</v>
      </c>
      <c r="G10" s="91">
        <f>[41]Brewhouse!I5359</f>
        <v>19.79</v>
      </c>
      <c r="H10" s="92">
        <f>[41]Brewhouse!AS5359</f>
        <v>94.981545664755075</v>
      </c>
      <c r="I10" s="92">
        <f>[41]Brewhouse!AT5359</f>
        <v>97.074072469002047</v>
      </c>
      <c r="J10" s="93">
        <f>[41]Brewhouse!S5359-[41]Brewhouse!R5359</f>
        <v>0.10694444444444451</v>
      </c>
      <c r="K10" s="94"/>
      <c r="N10" s="95"/>
    </row>
    <row r="11" spans="2:14" ht="13.5" hidden="1" thickBot="1">
      <c r="B11" s="96"/>
      <c r="C11" s="88" t="str">
        <f>[41]Brewhouse!A5360</f>
        <v>CA237</v>
      </c>
      <c r="D11" s="88">
        <f>[41]Brewhouse!B5360</f>
        <v>41437</v>
      </c>
      <c r="E11" s="89">
        <f>[41]Brewhouse!AG5360</f>
        <v>48.531999999999996</v>
      </c>
      <c r="F11" s="90">
        <f>[41]Brewhouse!T5360</f>
        <v>68</v>
      </c>
      <c r="G11" s="91">
        <f>[41]Brewhouse!I5360</f>
        <v>17.7</v>
      </c>
      <c r="H11" s="92">
        <f>[41]Brewhouse!AS5360</f>
        <v>94.053260986347809</v>
      </c>
      <c r="I11" s="92">
        <f>[41]Brewhouse!AT5360</f>
        <v>96.1253368644918</v>
      </c>
      <c r="J11" s="93">
        <f>[41]Brewhouse!S5360-[41]Brewhouse!R5360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[41]Brewhouse!A5361</f>
        <v>CA238</v>
      </c>
      <c r="D12" s="88">
        <f>[41]Brewhouse!B5361</f>
        <v>41437</v>
      </c>
      <c r="E12" s="89">
        <f>[41]Brewhouse!AG5361</f>
        <v>50.466999999999999</v>
      </c>
      <c r="F12" s="90">
        <f>[41]Brewhouse!T5361</f>
        <v>61</v>
      </c>
      <c r="G12" s="91">
        <f>[41]Brewhouse!I5361</f>
        <v>19.7</v>
      </c>
      <c r="H12" s="92">
        <f>[41]Brewhouse!AS5361</f>
        <v>96.931393272913695</v>
      </c>
      <c r="I12" s="92">
        <f>[41]Brewhouse!AT5361</f>
        <v>99.066876931102286</v>
      </c>
      <c r="J12" s="93">
        <f>[41]Brewhouse!S5361-[41]Brewhouse!R5361</f>
        <v>0.10208333333333341</v>
      </c>
      <c r="K12" s="98"/>
    </row>
    <row r="13" spans="2:14" ht="13.5" hidden="1" thickBot="1">
      <c r="B13" s="99"/>
      <c r="C13" s="88" t="str">
        <f>[41]Brewhouse!A5362</f>
        <v>CA239</v>
      </c>
      <c r="D13" s="88">
        <f>[41]Brewhouse!B5362</f>
        <v>41437</v>
      </c>
      <c r="E13" s="89">
        <f>[41]Brewhouse!AG5362</f>
        <v>49.374000000000002</v>
      </c>
      <c r="F13" s="90">
        <f>[41]Brewhouse!T5362</f>
        <v>62</v>
      </c>
      <c r="G13" s="91">
        <f>[41]Brewhouse!I5362</f>
        <v>19</v>
      </c>
      <c r="H13" s="92">
        <f>[41]Brewhouse!AS5362</f>
        <v>95.68502653795305</v>
      </c>
      <c r="I13" s="92">
        <f>[41]Brewhouse!AT5362</f>
        <v>97.793051643192499</v>
      </c>
      <c r="J13" s="93">
        <f>[41]Brewhouse!S5362-[41]Brewhouse!R5362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5" t="s">
        <v>69</v>
      </c>
      <c r="G21" s="616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[41]Brewhouse!N5359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[41]Brewhouse!N5360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[41]Brewhouse!N5361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[41]Brewhouse!N5362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AVERAGE([41]Brewhouse!$AS$5347:$AS$5362)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AVERAGE([42]Brewhouse!$AQ$641:$AQ$644)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7" t="s">
        <v>17</v>
      </c>
      <c r="C43" s="609" t="s">
        <v>18</v>
      </c>
      <c r="D43" s="609" t="s">
        <v>44</v>
      </c>
      <c r="E43" s="609" t="s">
        <v>79</v>
      </c>
      <c r="F43" s="609" t="s">
        <v>51</v>
      </c>
      <c r="G43" s="609" t="s">
        <v>48</v>
      </c>
      <c r="H43" s="624" t="s">
        <v>28</v>
      </c>
      <c r="I43" s="625"/>
      <c r="J43" s="625"/>
      <c r="K43" s="613" t="s">
        <v>27</v>
      </c>
    </row>
    <row r="44" spans="2:15" ht="15.75" hidden="1" customHeight="1" thickBot="1">
      <c r="B44" s="620"/>
      <c r="C44" s="621"/>
      <c r="D44" s="621"/>
      <c r="E44" s="621"/>
      <c r="F44" s="621"/>
      <c r="G44" s="621"/>
      <c r="H44" s="626"/>
      <c r="I44" s="627"/>
      <c r="J44" s="627"/>
      <c r="K44" s="617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8"/>
      <c r="I45" s="619"/>
      <c r="J45" s="619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28"/>
      <c r="I46" s="629"/>
      <c r="J46" s="62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28"/>
      <c r="I47" s="629"/>
      <c r="J47" s="62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28"/>
      <c r="I48" s="629"/>
      <c r="J48" s="62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22"/>
      <c r="I49" s="623"/>
      <c r="J49" s="623"/>
      <c r="K49" s="172"/>
    </row>
    <row r="50" spans="2:11" ht="13.5" hidden="1" thickBot="1">
      <c r="B50" s="173"/>
      <c r="C50" s="160"/>
      <c r="E50" s="168"/>
      <c r="F50" s="168"/>
      <c r="G50" s="145"/>
      <c r="H50" s="622"/>
      <c r="I50" s="623"/>
      <c r="J50" s="623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22"/>
      <c r="I51" s="623"/>
      <c r="J51" s="623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30"/>
      <c r="I52" s="631"/>
      <c r="J52" s="631"/>
      <c r="K52" s="183"/>
    </row>
    <row r="53" spans="2:11" ht="13.5" thickBot="1">
      <c r="B53" s="184"/>
      <c r="C53" s="117"/>
      <c r="D53" s="632" t="s">
        <v>80</v>
      </c>
      <c r="E53" s="632"/>
      <c r="F53" s="632"/>
      <c r="G53" s="632"/>
      <c r="H53" s="632"/>
      <c r="I53" s="632"/>
      <c r="J53" s="632"/>
      <c r="K53" s="185"/>
    </row>
    <row r="54" spans="2:11" ht="13.5" thickBot="1">
      <c r="B54" s="633" t="s">
        <v>55</v>
      </c>
      <c r="C54" s="634"/>
      <c r="D54" s="634"/>
      <c r="E54" s="635"/>
      <c r="F54" s="633" t="s">
        <v>56</v>
      </c>
      <c r="G54" s="634"/>
      <c r="H54" s="635"/>
      <c r="I54" s="636" t="s">
        <v>81</v>
      </c>
      <c r="J54" s="637"/>
      <c r="K54" s="638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'[40]YTD 2026'!$E5</f>
        <v>6.3277880031135565</v>
      </c>
      <c r="E56" s="192">
        <v>5</v>
      </c>
      <c r="F56" s="191"/>
      <c r="G56" s="76">
        <f>[19]October_2026!$AQ3</f>
        <v>6.5333543848662465</v>
      </c>
      <c r="H56" s="192">
        <v>5</v>
      </c>
      <c r="I56" s="193"/>
      <c r="J56" s="194">
        <f>[20]October_2026!$AQ13</f>
        <v>0.56877766684415731</v>
      </c>
      <c r="K56" s="195">
        <v>1</v>
      </c>
    </row>
    <row r="57" spans="2:11" ht="15">
      <c r="B57" s="33" t="s">
        <v>72</v>
      </c>
      <c r="C57" s="191"/>
      <c r="D57" s="76">
        <f>'[40]YTD 2026'!$E6</f>
        <v>6.0314829247944388</v>
      </c>
      <c r="E57" s="192">
        <v>5</v>
      </c>
      <c r="F57" s="191"/>
      <c r="G57" s="76">
        <f>[19]October_2026!$AQ4</f>
        <v>5.9207027133121715</v>
      </c>
      <c r="H57" s="192">
        <v>5</v>
      </c>
      <c r="I57" s="196"/>
      <c r="J57" s="194">
        <f>[20]October_2026!$AQ14</f>
        <v>0.68503389722740882</v>
      </c>
      <c r="K57" s="195">
        <v>1</v>
      </c>
    </row>
    <row r="58" spans="2:11" ht="15">
      <c r="B58" s="34" t="s">
        <v>73</v>
      </c>
      <c r="C58" s="191"/>
      <c r="D58" s="76">
        <f>'[40]YTD 2026'!$E7</f>
        <v>10.57086906945613</v>
      </c>
      <c r="E58" s="192">
        <v>5</v>
      </c>
      <c r="F58" s="191"/>
      <c r="G58" s="76">
        <f>[19]October_2026!$AQ5</f>
        <v>11.49802517103547</v>
      </c>
      <c r="H58" s="192">
        <v>5</v>
      </c>
      <c r="I58" s="196"/>
      <c r="J58" s="194">
        <f>[20]October_2026!$AQ15</f>
        <v>0.42247265385686439</v>
      </c>
      <c r="K58" s="195">
        <v>1</v>
      </c>
    </row>
    <row r="59" spans="2:11" ht="15">
      <c r="B59" s="197" t="s">
        <v>74</v>
      </c>
      <c r="C59" s="191"/>
      <c r="D59" s="76">
        <f>'[40]YTD 2026'!$E8</f>
        <v>4.6053599467161712</v>
      </c>
      <c r="E59" s="192">
        <v>3.5</v>
      </c>
      <c r="F59" s="191"/>
      <c r="G59" s="76">
        <f>[19]October_2026!$AQ6</f>
        <v>4.8325383920386296</v>
      </c>
      <c r="H59" s="192">
        <v>3.5</v>
      </c>
      <c r="I59" s="196"/>
      <c r="J59" s="194">
        <f>[20]October_2026!$AQ16</f>
        <v>0.8473099415204679</v>
      </c>
      <c r="K59" s="195">
        <v>1</v>
      </c>
    </row>
    <row r="60" spans="2:11" ht="15.75" thickBot="1">
      <c r="B60" s="38" t="s">
        <v>160</v>
      </c>
      <c r="C60" s="191"/>
      <c r="D60" s="76" t="e">
        <f>'[40]YTD 2026'!$E9</f>
        <v>#DIV/0!</v>
      </c>
      <c r="E60" s="192">
        <v>3.5</v>
      </c>
      <c r="F60" s="198"/>
      <c r="G60" s="76" t="e">
        <f>[19]October_2026!$AQ7</f>
        <v>#DIV/0!</v>
      </c>
      <c r="H60" s="192">
        <v>3.5</v>
      </c>
      <c r="I60" s="196"/>
      <c r="J60" s="194" t="e">
        <f>[20]October_2026!$AQ17</f>
        <v>#DIV/0!</v>
      </c>
      <c r="K60" s="195">
        <v>1</v>
      </c>
    </row>
    <row r="61" spans="2:11" ht="15">
      <c r="B61" s="199" t="s">
        <v>76</v>
      </c>
      <c r="C61" s="191"/>
      <c r="D61" s="76">
        <f>'[40]YTD 2026'!$E10</f>
        <v>6.3233965672990236</v>
      </c>
      <c r="E61" s="200">
        <v>5</v>
      </c>
      <c r="F61" s="191"/>
      <c r="G61" s="76">
        <f>[19]October_2026!$AQ8</f>
        <v>7.9667553186446929</v>
      </c>
      <c r="H61" s="200">
        <v>5</v>
      </c>
      <c r="I61" s="196"/>
      <c r="J61" s="194">
        <f>[20]October_2026!$AQ18</f>
        <v>0.5883625730994152</v>
      </c>
      <c r="K61" s="195">
        <v>1</v>
      </c>
    </row>
    <row r="62" spans="2:11" ht="15">
      <c r="B62" s="201" t="s">
        <v>82</v>
      </c>
      <c r="C62" s="202"/>
      <c r="D62" s="76">
        <f>'[40]YTD 2026'!$E11</f>
        <v>3.7586797925639486</v>
      </c>
      <c r="E62" s="200">
        <v>3.3</v>
      </c>
      <c r="F62" s="202"/>
      <c r="G62" s="76">
        <f>[19]October_2026!$AQ9</f>
        <v>5.0257518320273871</v>
      </c>
      <c r="H62" s="200">
        <v>3.3</v>
      </c>
      <c r="I62" s="203"/>
      <c r="J62" s="194">
        <f>[20]October_2026!$AQ19</f>
        <v>0.87835004177109433</v>
      </c>
      <c r="K62" s="204">
        <v>1</v>
      </c>
    </row>
    <row r="63" spans="2:11" ht="15.75" thickBot="1">
      <c r="B63" s="38" t="s">
        <v>128</v>
      </c>
      <c r="C63" s="205"/>
      <c r="D63" s="76" t="e">
        <f>'[40]YTD 2026'!$E12</f>
        <v>#DIV/0!</v>
      </c>
      <c r="E63" s="206">
        <v>3.5</v>
      </c>
      <c r="F63" s="205"/>
      <c r="G63" s="76" t="e">
        <f>[19]October_2026!$AQ10</f>
        <v>#DIV/0!</v>
      </c>
      <c r="H63" s="206">
        <v>3.5</v>
      </c>
      <c r="I63" s="207"/>
      <c r="J63" s="194" t="e">
        <f>[20]October_2026!$AQ20</f>
        <v>#DIV/0!</v>
      </c>
      <c r="K63" s="208">
        <v>1</v>
      </c>
    </row>
    <row r="64" spans="2:11" ht="15.75" thickBot="1">
      <c r="B64" s="412" t="s">
        <v>159</v>
      </c>
      <c r="C64" s="205"/>
      <c r="D64" s="76" t="e">
        <f>'[40]YTD 2026'!$E13</f>
        <v>#DIV/0!</v>
      </c>
      <c r="E64" s="206">
        <v>5</v>
      </c>
      <c r="F64" s="205"/>
      <c r="G64" s="76" t="e">
        <f>[19]October_2026!$AQ11</f>
        <v>#DIV/0!</v>
      </c>
      <c r="H64" s="206">
        <v>5</v>
      </c>
      <c r="I64" s="207"/>
      <c r="J64" s="194" t="e">
        <f>[20]October_2026!$AQ21</f>
        <v>#DIV/0!</v>
      </c>
      <c r="K64" s="208">
        <v>1</v>
      </c>
    </row>
    <row r="65" spans="2:11">
      <c r="B65" s="209"/>
      <c r="C65" s="210"/>
      <c r="D65" s="76">
        <f>'[40]YTD 2026'!$E14</f>
        <v>6.2546911108701195</v>
      </c>
      <c r="E65" s="210"/>
      <c r="F65" s="210"/>
      <c r="G65" s="76">
        <f>[19]October_2026!$AQ12</f>
        <v>6.6006541446520393</v>
      </c>
      <c r="H65" s="211"/>
      <c r="I65" s="212"/>
      <c r="J65" s="194">
        <f>[20]October_2026!$AQ22</f>
        <v>0.62088919169328549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39" t="s">
        <v>34</v>
      </c>
      <c r="C2" s="639"/>
      <c r="D2" s="639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39" t="s">
        <v>100</v>
      </c>
      <c r="C14" s="639"/>
      <c r="D14" s="639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39" t="s">
        <v>101</v>
      </c>
      <c r="C27" s="639"/>
      <c r="D27" s="639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41" t="s">
        <v>102</v>
      </c>
      <c r="D3" s="642"/>
      <c r="E3" s="643">
        <f ca="1">TODAY()</f>
        <v>46325</v>
      </c>
      <c r="F3" s="643"/>
      <c r="G3" s="643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44" t="s">
        <v>143</v>
      </c>
      <c r="D14" s="644"/>
      <c r="E14" s="644"/>
      <c r="F14" s="644"/>
      <c r="G14" s="644"/>
      <c r="H14" s="644"/>
    </row>
    <row r="15" spans="3:23" ht="15" customHeight="1">
      <c r="C15" s="644"/>
      <c r="D15" s="644"/>
      <c r="E15" s="644"/>
      <c r="F15" s="644"/>
      <c r="G15" s="644"/>
      <c r="H15" s="644"/>
    </row>
    <row r="16" spans="3:23" ht="15" customHeight="1">
      <c r="C16" s="644"/>
      <c r="D16" s="644"/>
      <c r="E16" s="644"/>
      <c r="F16" s="644"/>
      <c r="G16" s="644"/>
      <c r="H16" s="644"/>
    </row>
    <row r="17" spans="3:8" ht="15" customHeight="1">
      <c r="C17" s="644"/>
      <c r="D17" s="644"/>
      <c r="E17" s="644"/>
      <c r="F17" s="644"/>
      <c r="G17" s="644"/>
      <c r="H17" s="644"/>
    </row>
    <row r="18" spans="3:8" ht="15" customHeight="1">
      <c r="C18" s="644"/>
      <c r="D18" s="644"/>
      <c r="E18" s="644"/>
      <c r="F18" s="644"/>
      <c r="G18" s="644"/>
      <c r="H18" s="644"/>
    </row>
    <row r="19" spans="3:8" ht="15" customHeight="1">
      <c r="C19" s="644"/>
      <c r="D19" s="644"/>
      <c r="E19" s="644"/>
      <c r="F19" s="644"/>
      <c r="G19" s="644"/>
      <c r="H19" s="644"/>
    </row>
    <row r="20" spans="3:8" ht="15" customHeight="1">
      <c r="C20" s="644"/>
      <c r="D20" s="644"/>
      <c r="E20" s="644"/>
      <c r="F20" s="644"/>
      <c r="G20" s="644"/>
      <c r="H20" s="644"/>
    </row>
    <row r="21" spans="3:8" ht="15" customHeight="1">
      <c r="C21" s="644"/>
      <c r="D21" s="644"/>
      <c r="E21" s="644"/>
      <c r="F21" s="644"/>
      <c r="G21" s="644"/>
      <c r="H21" s="644"/>
    </row>
    <row r="22" spans="3:8" ht="15" customHeight="1">
      <c r="C22" s="644"/>
      <c r="D22" s="644"/>
      <c r="E22" s="644"/>
      <c r="F22" s="644"/>
      <c r="G22" s="644"/>
      <c r="H22" s="644"/>
    </row>
    <row r="23" spans="3:8" ht="15" customHeight="1">
      <c r="C23" s="644"/>
      <c r="D23" s="644"/>
      <c r="E23" s="644"/>
      <c r="F23" s="644"/>
      <c r="G23" s="644"/>
      <c r="H23" s="644"/>
    </row>
    <row r="24" spans="3:8" ht="15" customHeight="1">
      <c r="C24" s="644"/>
      <c r="D24" s="644"/>
      <c r="E24" s="644"/>
      <c r="F24" s="644"/>
      <c r="G24" s="644"/>
      <c r="H24" s="644"/>
    </row>
    <row r="25" spans="3:8" ht="15" customHeight="1">
      <c r="C25" s="644"/>
      <c r="D25" s="644"/>
      <c r="E25" s="644"/>
      <c r="F25" s="644"/>
      <c r="G25" s="644"/>
      <c r="H25" s="644"/>
    </row>
    <row r="26" spans="3:8" ht="15" customHeight="1">
      <c r="C26" s="644"/>
      <c r="D26" s="644"/>
      <c r="E26" s="644"/>
      <c r="F26" s="644"/>
      <c r="G26" s="644"/>
      <c r="H26" s="644"/>
    </row>
    <row r="27" spans="3:8" ht="15" customHeight="1">
      <c r="C27" s="644"/>
      <c r="D27" s="644"/>
      <c r="E27" s="644"/>
      <c r="F27" s="644"/>
      <c r="G27" s="644"/>
      <c r="H27" s="644"/>
    </row>
    <row r="28" spans="3:8" ht="15" customHeight="1">
      <c r="C28" s="644"/>
      <c r="D28" s="644"/>
      <c r="E28" s="644"/>
      <c r="F28" s="644"/>
      <c r="G28" s="644"/>
      <c r="H28" s="644"/>
    </row>
    <row r="29" spans="3:8" ht="15" customHeight="1">
      <c r="C29" s="644"/>
      <c r="D29" s="644"/>
      <c r="E29" s="644"/>
      <c r="F29" s="644"/>
      <c r="G29" s="644"/>
      <c r="H29" s="644"/>
    </row>
    <row r="30" spans="3:8" ht="15" customHeight="1">
      <c r="C30" s="644"/>
      <c r="D30" s="644"/>
      <c r="E30" s="644"/>
      <c r="F30" s="644"/>
      <c r="G30" s="644"/>
      <c r="H30" s="644"/>
    </row>
    <row r="31" spans="3:8" ht="15" customHeight="1">
      <c r="C31" s="644"/>
      <c r="D31" s="644"/>
      <c r="E31" s="644"/>
      <c r="F31" s="644"/>
      <c r="G31" s="644"/>
      <c r="H31" s="644"/>
    </row>
    <row r="36" spans="2:17" ht="15" customHeight="1"/>
    <row r="37" spans="2:17" ht="15" customHeight="1"/>
    <row r="38" spans="2:17" ht="30.75" customHeight="1" thickBot="1">
      <c r="C38" s="645" t="s">
        <v>109</v>
      </c>
      <c r="D38" s="645"/>
      <c r="E38" s="645"/>
      <c r="F38" s="646">
        <f ca="1">TODAY()</f>
        <v>46325</v>
      </c>
      <c r="G38" s="646"/>
      <c r="H38" s="646"/>
      <c r="I38" s="646"/>
      <c r="J38" s="647" t="s">
        <v>110</v>
      </c>
      <c r="K38" s="647"/>
      <c r="L38" s="647"/>
      <c r="M38" s="647"/>
      <c r="N38" s="647"/>
      <c r="O38" s="647"/>
      <c r="P38" s="647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'[45]Brewer Performance'!D40</f>
        <v>96.507822129582451</v>
      </c>
      <c r="E40" s="259">
        <f>AVERAGE('[46]Feb. 1'!I12:I13,'[46]Feb. 2'!I11:I14,[46]Feb.4!I13,[46]Feb.8!I14:I16,[46]Feb.9!I14,[46]Feb.9!I17:I18,[46]Feb10!I13:I16,[46]Feb14!I17,[46]Feb14!I15:I17,[46]Feb17!I10,[46]Feb17!I19:I21,'[46]Feb 21'!I10:I12,'[46]Feb 22'!I11:I13,'[46]Feb 23'!I14:I16,'[46]Feb 24'!I10:I12,'[46]Feb 25'!I13:I15,'[46]Feb 28'!I15:I18)</f>
        <v>98.284801217583563</v>
      </c>
      <c r="F40" s="259">
        <v>98.226686244092193</v>
      </c>
      <c r="G40" s="259">
        <v>98.210530202427222</v>
      </c>
      <c r="H40" s="259">
        <f>'[47]Brewer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'[45]Brewer Performance'!D41</f>
        <v>97.99738587335284</v>
      </c>
      <c r="E41" s="259">
        <f>AVERAGE('[46]Feb. 1'!I10:I11,'[46]Feb. 2'!I10,[46]Feb.3!I11:I13,[46]Feb.4!I10:I12,[46]Feb.8!I10,[46]Feb.8!I13,[46]Feb.9!I10:I13,[46]Feb10!I10:I12,[46]Feb11!I11:I13,[46]Feb14!I13:I14,[46]Feb17!I16:I18,[46]Feb18!I13:I15,'[46]Feb 21'!I17:I19,'[46]Feb 22'!I10,'[46]Feb 22'!I20:I22,'[46]Feb 23'!I10:I11,'[46]Feb 23'!I21,'[46]Feb 25'!I10:I12,'[46]Feb 28'!I11:I14)</f>
        <v>97.918121549662388</v>
      </c>
      <c r="F41" s="259">
        <v>98.070081368185257</v>
      </c>
      <c r="G41" s="259">
        <v>97.79453968977019</v>
      </c>
      <c r="H41" s="259">
        <f>'[47]Brewer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'[45]Brewer Performance'!D43</f>
        <v>98.304611060419475</v>
      </c>
      <c r="E44" s="259">
        <f>AVERAGE('[46]Feb. 2'!I15,[46]Feb.3!I10,[46]Feb.4!I16:I17,[46]Feb.8!I19:I21,[46]Feb.9!I19:I20,[46]Feb10!I17:I18,[46]Feb11!I10,[46]Feb14!I10:I12,[46]Feb17!I11:I13,[46]Feb18!I10:I12,'[46]Feb 21'!I13,'[46]Feb 21'!I16,'[46]Feb 22'!I16:I19,'[46]Feb 23'!I17:I20,'[46]Feb 24'!I15:I18,'[46]Feb 25'!I16:I17,'[46]Feb 28'!I10,'[46]Feb 28'!I19:I20)</f>
        <v>97.289162940824014</v>
      </c>
      <c r="F44" s="259">
        <v>98.163642226187022</v>
      </c>
      <c r="G44" s="259">
        <v>97.964054285784258</v>
      </c>
      <c r="H44" s="259">
        <f>'[47]Brewer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'[45]Brewer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'[45]Brewer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40" t="s">
        <v>123</v>
      </c>
      <c r="C48" s="640"/>
      <c r="D48" s="640"/>
      <c r="E48" s="640"/>
      <c r="F48" s="640"/>
      <c r="G48" s="640"/>
      <c r="H48" s="640"/>
      <c r="I48" s="640"/>
      <c r="J48" s="640"/>
      <c r="K48" s="640"/>
      <c r="L48" s="640"/>
      <c r="M48" s="640"/>
      <c r="N48" s="640"/>
      <c r="O48" s="640"/>
      <c r="P48" s="640"/>
      <c r="Q48" s="640"/>
    </row>
    <row r="49" spans="2:17" ht="15" customHeight="1">
      <c r="B49" s="640"/>
      <c r="C49" s="640"/>
      <c r="D49" s="640"/>
      <c r="E49" s="640"/>
      <c r="F49" s="640"/>
      <c r="G49" s="640"/>
      <c r="H49" s="640"/>
      <c r="I49" s="640"/>
      <c r="J49" s="640"/>
      <c r="K49" s="640"/>
      <c r="L49" s="640"/>
      <c r="M49" s="640"/>
      <c r="N49" s="640"/>
      <c r="O49" s="640"/>
      <c r="P49" s="640"/>
      <c r="Q49" s="640"/>
    </row>
    <row r="50" spans="2:17" ht="15" customHeight="1">
      <c r="B50" s="640"/>
      <c r="C50" s="640"/>
      <c r="D50" s="640"/>
      <c r="E50" s="640"/>
      <c r="F50" s="640"/>
      <c r="G50" s="640"/>
      <c r="H50" s="640"/>
      <c r="I50" s="640"/>
      <c r="J50" s="640"/>
      <c r="K50" s="640"/>
      <c r="L50" s="640"/>
      <c r="M50" s="640"/>
      <c r="N50" s="640"/>
      <c r="O50" s="640"/>
      <c r="P50" s="640"/>
      <c r="Q50" s="640"/>
    </row>
    <row r="51" spans="2:17" ht="15" customHeight="1"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40"/>
      <c r="P51" s="640"/>
      <c r="Q51" s="640"/>
    </row>
    <row r="52" spans="2:17" ht="15" customHeight="1"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40"/>
      <c r="P52" s="640"/>
      <c r="Q52" s="640"/>
    </row>
    <row r="53" spans="2:17" ht="15" customHeight="1"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</row>
    <row r="54" spans="2:17" ht="15" customHeight="1"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</row>
    <row r="55" spans="2:17" ht="15" customHeight="1"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0"/>
      <c r="P55" s="640"/>
      <c r="Q55" s="640"/>
    </row>
    <row r="56" spans="2:17" ht="15" customHeight="1"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0"/>
      <c r="P56" s="640"/>
      <c r="Q56" s="640"/>
    </row>
    <row r="57" spans="2:17" ht="15" customHeight="1">
      <c r="B57" s="640"/>
      <c r="C57" s="640"/>
      <c r="D57" s="640"/>
      <c r="E57" s="640"/>
      <c r="F57" s="640"/>
      <c r="G57" s="640"/>
      <c r="H57" s="640"/>
      <c r="I57" s="640"/>
      <c r="J57" s="640"/>
      <c r="K57" s="640"/>
      <c r="L57" s="640"/>
      <c r="M57" s="640"/>
      <c r="N57" s="640"/>
      <c r="O57" s="640"/>
      <c r="P57" s="640"/>
      <c r="Q57" s="640"/>
    </row>
    <row r="58" spans="2:17" ht="15" customHeight="1">
      <c r="B58" s="640"/>
      <c r="C58" s="640"/>
      <c r="D58" s="640"/>
      <c r="E58" s="640"/>
      <c r="F58" s="640"/>
      <c r="G58" s="640"/>
      <c r="H58" s="640"/>
      <c r="I58" s="640"/>
      <c r="J58" s="640"/>
      <c r="K58" s="640"/>
      <c r="L58" s="640"/>
      <c r="M58" s="640"/>
      <c r="N58" s="640"/>
      <c r="O58" s="640"/>
      <c r="P58" s="640"/>
      <c r="Q58" s="640"/>
    </row>
    <row r="59" spans="2:17" ht="15" customHeight="1">
      <c r="B59" s="640"/>
      <c r="C59" s="640"/>
      <c r="D59" s="640"/>
      <c r="E59" s="640"/>
      <c r="F59" s="640"/>
      <c r="G59" s="640"/>
      <c r="H59" s="640"/>
      <c r="I59" s="640"/>
      <c r="J59" s="640"/>
      <c r="K59" s="640"/>
      <c r="L59" s="640"/>
      <c r="M59" s="640"/>
      <c r="N59" s="640"/>
      <c r="O59" s="640"/>
      <c r="P59" s="640"/>
      <c r="Q59" s="640"/>
    </row>
    <row r="60" spans="2:17" ht="15" customHeight="1">
      <c r="B60" s="640"/>
      <c r="C60" s="640"/>
      <c r="D60" s="640"/>
      <c r="E60" s="640"/>
      <c r="F60" s="640"/>
      <c r="G60" s="640"/>
      <c r="H60" s="640"/>
      <c r="I60" s="640"/>
      <c r="J60" s="640"/>
      <c r="K60" s="640"/>
      <c r="L60" s="640"/>
      <c r="M60" s="640"/>
      <c r="N60" s="640"/>
      <c r="O60" s="640"/>
      <c r="P60" s="640"/>
      <c r="Q60" s="640"/>
    </row>
    <row r="61" spans="2:17" ht="15" customHeight="1">
      <c r="B61" s="640"/>
      <c r="C61" s="640"/>
      <c r="D61" s="640"/>
      <c r="E61" s="640"/>
      <c r="F61" s="640"/>
      <c r="G61" s="640"/>
      <c r="H61" s="640"/>
      <c r="I61" s="640"/>
      <c r="J61" s="640"/>
      <c r="K61" s="640"/>
      <c r="L61" s="640"/>
      <c r="M61" s="640"/>
      <c r="N61" s="640"/>
      <c r="O61" s="640"/>
      <c r="P61" s="640"/>
      <c r="Q61" s="640"/>
    </row>
    <row r="62" spans="2:17" ht="15" customHeight="1">
      <c r="B62" s="640"/>
      <c r="C62" s="640"/>
      <c r="D62" s="640"/>
      <c r="E62" s="640"/>
      <c r="F62" s="640"/>
      <c r="G62" s="640"/>
      <c r="H62" s="640"/>
      <c r="I62" s="640"/>
      <c r="J62" s="640"/>
      <c r="K62" s="640"/>
      <c r="L62" s="640"/>
      <c r="M62" s="640"/>
      <c r="N62" s="640"/>
      <c r="O62" s="640"/>
      <c r="P62" s="640"/>
      <c r="Q62" s="640"/>
    </row>
    <row r="63" spans="2:17" ht="15" customHeight="1"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40"/>
      <c r="P63" s="640"/>
      <c r="Q63" s="640"/>
    </row>
    <row r="64" spans="2:17" ht="15" customHeight="1"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40"/>
      <c r="P64" s="640"/>
      <c r="Q64" s="640"/>
    </row>
    <row r="65" spans="2:17" ht="15" customHeight="1"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</row>
    <row r="66" spans="2:17" ht="15" customHeight="1">
      <c r="B66" s="640"/>
      <c r="C66" s="640"/>
      <c r="D66" s="640"/>
      <c r="E66" s="640"/>
      <c r="F66" s="640"/>
      <c r="G66" s="640"/>
      <c r="H66" s="640"/>
      <c r="I66" s="640"/>
      <c r="J66" s="640"/>
      <c r="K66" s="640"/>
      <c r="L66" s="640"/>
      <c r="M66" s="640"/>
      <c r="N66" s="640"/>
      <c r="O66" s="640"/>
      <c r="P66" s="640"/>
      <c r="Q66" s="640"/>
    </row>
    <row r="67" spans="2:17" ht="15" customHeight="1"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0"/>
      <c r="P67" s="640"/>
      <c r="Q67" s="640"/>
    </row>
    <row r="68" spans="2:17" ht="15" customHeight="1"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0"/>
      <c r="P68" s="640"/>
      <c r="Q68" s="640"/>
    </row>
    <row r="69" spans="2:17" ht="15" customHeight="1">
      <c r="B69" s="640"/>
      <c r="C69" s="640"/>
      <c r="D69" s="640"/>
      <c r="E69" s="640"/>
      <c r="F69" s="640"/>
      <c r="G69" s="640"/>
      <c r="H69" s="640"/>
      <c r="I69" s="640"/>
      <c r="J69" s="640"/>
      <c r="K69" s="640"/>
      <c r="L69" s="640"/>
      <c r="M69" s="640"/>
      <c r="N69" s="640"/>
      <c r="O69" s="640"/>
      <c r="P69" s="640"/>
      <c r="Q69" s="640"/>
    </row>
    <row r="70" spans="2:17" ht="15" customHeight="1"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40"/>
      <c r="P70" s="640"/>
      <c r="Q70" s="640"/>
    </row>
    <row r="71" spans="2:17" ht="15" customHeight="1"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40"/>
      <c r="P71" s="640"/>
      <c r="Q71" s="640"/>
    </row>
    <row r="72" spans="2:17" ht="15" customHeight="1"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</row>
    <row r="73" spans="2:17" ht="15" customHeight="1">
      <c r="B73" s="640"/>
      <c r="C73" s="640"/>
      <c r="D73" s="640"/>
      <c r="E73" s="640"/>
      <c r="F73" s="640"/>
      <c r="G73" s="640"/>
      <c r="H73" s="640"/>
      <c r="I73" s="640"/>
      <c r="J73" s="640"/>
      <c r="K73" s="640"/>
      <c r="L73" s="640"/>
      <c r="M73" s="640"/>
      <c r="N73" s="640"/>
      <c r="O73" s="640"/>
      <c r="P73" s="640"/>
      <c r="Q73" s="640"/>
    </row>
    <row r="74" spans="2:17" ht="15" customHeight="1"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0"/>
      <c r="P74" s="640"/>
      <c r="Q74" s="640"/>
    </row>
    <row r="75" spans="2:17" ht="15" customHeight="1"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0"/>
      <c r="P75" s="640"/>
      <c r="Q75" s="640"/>
    </row>
    <row r="76" spans="2:17"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40"/>
      <c r="P76" s="640"/>
      <c r="Q76" s="640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</vt:i4>
      </vt:variant>
    </vt:vector>
  </HeadingPairs>
  <TitlesOfParts>
    <vt:vector size="23" baseType="lpstr">
      <vt:lpstr>Dec 18th</vt:lpstr>
      <vt:lpstr>Oct 1st</vt:lpstr>
      <vt:lpstr>Oct 2nd</vt:lpstr>
      <vt:lpstr>Oct 5th</vt:lpstr>
      <vt:lpstr>Oct 6th</vt:lpstr>
      <vt:lpstr>Oct 7th</vt:lpstr>
      <vt:lpstr>Oct 8th </vt:lpstr>
      <vt:lpstr>Oct 9th-10th</vt:lpstr>
      <vt:lpstr>Oct 12th</vt:lpstr>
      <vt:lpstr>Oct 13th </vt:lpstr>
      <vt:lpstr>Oct 14th</vt:lpstr>
      <vt:lpstr>Oct 15th </vt:lpstr>
      <vt:lpstr>Oct  23rd </vt:lpstr>
      <vt:lpstr>Oct  27th</vt:lpstr>
      <vt:lpstr>Oct  28th</vt:lpstr>
      <vt:lpstr>Oct  29th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2026-10-30T13:57:50Z</dcterms:modified>
</cp:coreProperties>
</file>