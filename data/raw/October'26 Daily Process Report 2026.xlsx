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1.xml" ContentType="application/vnd.openxmlformats-officedocument.drawing+xml"/>
  <Override PartName="/xl/comments1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86ACF2E2-B197-4550-B0DB-214E86823258}" xr6:coauthVersionLast="47" xr6:coauthVersionMax="47" xr10:uidLastSave="{00000000-0000-0000-0000-000000000000}"/>
  <bookViews>
    <workbookView xWindow="-120" yWindow="-120" windowWidth="29040" windowHeight="15720" tabRatio="599" firstSheet="4" activeTab="13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Oct 8th " sheetId="1087" r:id="rId7"/>
    <sheet name="Oct 9th-10th" sheetId="1088" r:id="rId8"/>
    <sheet name="Oct 12th" sheetId="1089" r:id="rId9"/>
    <sheet name="Oct 13th " sheetId="1090" r:id="rId10"/>
    <sheet name="Oct 14th" sheetId="1091" r:id="rId11"/>
    <sheet name="Oct 15th " sheetId="1092" r:id="rId12"/>
    <sheet name="Oct  23rd " sheetId="1093" r:id="rId13"/>
    <sheet name="Oct  27th" sheetId="1094" r:id="rId14"/>
    <sheet name="MTD_Links" sheetId="18" r:id="rId15"/>
    <sheet name="YTD_Links" sheetId="19" r:id="rId16"/>
    <sheet name="KPIs" sheetId="20" state="hidden" r:id="rId17"/>
    <sheet name="Brewer Performance" sheetId="21" state="hidden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</externalReferences>
  <definedNames>
    <definedName name="_xlnm.Print_Area" localSheetId="17">'Brewer Performance'!$B$2:$K$35</definedName>
    <definedName name="_xlnm.Print_Area" localSheetId="14">MTD_Links!$B$2:$K$65</definedName>
    <definedName name="_xlnm.Print_Area" localSheetId="15">YTD_Links!$B$2:$K$65</definedName>
    <definedName name="ProductList" localSheetId="17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5" i="1092" l="1"/>
  <c r="K72" i="1092" s="1"/>
  <c r="D55" i="1092"/>
  <c r="G55" i="1092"/>
  <c r="G72" i="1092"/>
  <c r="B64" i="1094"/>
  <c r="AX64" i="1094"/>
  <c r="AW64" i="1094"/>
  <c r="AV64" i="1094"/>
  <c r="AU64" i="1094"/>
  <c r="AT64" i="1094"/>
  <c r="AS64" i="1094"/>
  <c r="AR64" i="1094"/>
  <c r="AQ64" i="1094"/>
  <c r="AP64" i="1094"/>
  <c r="AO64" i="1094"/>
  <c r="AN64" i="1094"/>
  <c r="AM64" i="1094"/>
  <c r="AL64" i="1094"/>
  <c r="AK64" i="1094"/>
  <c r="AJ64" i="1094"/>
  <c r="AI64" i="1094"/>
  <c r="AH64" i="1094"/>
  <c r="AG64" i="1094"/>
  <c r="AF64" i="1094"/>
  <c r="AE64" i="1094"/>
  <c r="AD64" i="1094"/>
  <c r="AC64" i="1094"/>
  <c r="AB64" i="1094"/>
  <c r="L64" i="1094"/>
  <c r="AX63" i="1094"/>
  <c r="AW63" i="1094"/>
  <c r="AV63" i="1094"/>
  <c r="AU63" i="1094"/>
  <c r="AT63" i="1094"/>
  <c r="AS63" i="1094"/>
  <c r="AR63" i="1094"/>
  <c r="AQ63" i="1094"/>
  <c r="AP63" i="1094"/>
  <c r="AO63" i="1094"/>
  <c r="AN63" i="1094"/>
  <c r="AM63" i="1094"/>
  <c r="AL63" i="1094"/>
  <c r="AK63" i="1094"/>
  <c r="AJ63" i="1094"/>
  <c r="AI63" i="1094"/>
  <c r="AH63" i="1094"/>
  <c r="AG63" i="1094"/>
  <c r="AF63" i="1094"/>
  <c r="AE63" i="1094"/>
  <c r="AD63" i="1094"/>
  <c r="AC63" i="1094"/>
  <c r="AB63" i="1094"/>
  <c r="AX62" i="1094"/>
  <c r="AW62" i="1094"/>
  <c r="AV62" i="1094"/>
  <c r="AU62" i="1094"/>
  <c r="AT62" i="1094"/>
  <c r="AS62" i="1094"/>
  <c r="AR62" i="1094"/>
  <c r="AQ62" i="1094"/>
  <c r="AP62" i="1094"/>
  <c r="AO62" i="1094"/>
  <c r="AN62" i="1094"/>
  <c r="AM62" i="1094"/>
  <c r="AL62" i="1094"/>
  <c r="AK62" i="1094"/>
  <c r="AJ62" i="1094"/>
  <c r="AI62" i="1094"/>
  <c r="AH62" i="1094"/>
  <c r="AG62" i="1094"/>
  <c r="AF62" i="1094"/>
  <c r="AE62" i="1094"/>
  <c r="AD62" i="1094"/>
  <c r="AC62" i="1094"/>
  <c r="AB62" i="1094"/>
  <c r="L62" i="1094"/>
  <c r="B62" i="1094"/>
  <c r="K57" i="1094"/>
  <c r="L48" i="1094"/>
  <c r="M48" i="1094" s="1"/>
  <c r="Z44" i="1094"/>
  <c r="Y44" i="1094"/>
  <c r="X44" i="1094"/>
  <c r="W44" i="1094"/>
  <c r="V44" i="1094"/>
  <c r="U44" i="1094"/>
  <c r="T44" i="1094"/>
  <c r="S44" i="1094"/>
  <c r="R44" i="1094"/>
  <c r="Z43" i="1094"/>
  <c r="Y43" i="1094"/>
  <c r="X43" i="1094"/>
  <c r="W43" i="1094"/>
  <c r="V43" i="1094"/>
  <c r="U43" i="1094"/>
  <c r="T43" i="1094"/>
  <c r="S43" i="1094"/>
  <c r="R43" i="1094"/>
  <c r="Z42" i="1094"/>
  <c r="Y42" i="1094"/>
  <c r="X42" i="1094"/>
  <c r="W42" i="1094"/>
  <c r="V42" i="1094"/>
  <c r="U42" i="1094"/>
  <c r="T42" i="1094"/>
  <c r="S42" i="1094"/>
  <c r="R42" i="1094"/>
  <c r="Z41" i="1094"/>
  <c r="Y41" i="1094"/>
  <c r="X41" i="1094"/>
  <c r="W41" i="1094"/>
  <c r="V41" i="1094"/>
  <c r="U41" i="1094"/>
  <c r="T41" i="1094"/>
  <c r="S41" i="1094"/>
  <c r="R41" i="1094"/>
  <c r="Z40" i="1094"/>
  <c r="Y40" i="1094"/>
  <c r="X40" i="1094"/>
  <c r="W40" i="1094"/>
  <c r="V40" i="1094"/>
  <c r="U40" i="1094"/>
  <c r="T40" i="1094"/>
  <c r="S40" i="1094"/>
  <c r="R40" i="1094"/>
  <c r="Z39" i="1094"/>
  <c r="Y39" i="1094"/>
  <c r="X39" i="1094"/>
  <c r="W39" i="1094"/>
  <c r="V39" i="1094"/>
  <c r="U39" i="1094"/>
  <c r="T39" i="1094"/>
  <c r="S39" i="1094"/>
  <c r="R39" i="1094"/>
  <c r="M39" i="1094"/>
  <c r="L39" i="1094"/>
  <c r="K39" i="1094"/>
  <c r="Z38" i="1094"/>
  <c r="Y38" i="1094"/>
  <c r="X38" i="1094"/>
  <c r="W38" i="1094"/>
  <c r="V38" i="1094"/>
  <c r="U38" i="1094"/>
  <c r="T38" i="1094"/>
  <c r="S38" i="1094"/>
  <c r="R38" i="1094"/>
  <c r="M38" i="1094"/>
  <c r="Z37" i="1094"/>
  <c r="Y37" i="1094"/>
  <c r="X37" i="1094"/>
  <c r="W37" i="1094"/>
  <c r="V37" i="1094"/>
  <c r="U37" i="1094"/>
  <c r="T37" i="1094"/>
  <c r="S37" i="1094"/>
  <c r="R37" i="1094"/>
  <c r="Z36" i="1094"/>
  <c r="Y36" i="1094"/>
  <c r="X36" i="1094"/>
  <c r="W36" i="1094"/>
  <c r="V36" i="1094"/>
  <c r="U36" i="1094"/>
  <c r="T36" i="1094"/>
  <c r="S36" i="1094"/>
  <c r="R36" i="1094"/>
  <c r="M36" i="1094"/>
  <c r="Z35" i="1094"/>
  <c r="Y35" i="1094"/>
  <c r="X35" i="1094"/>
  <c r="W35" i="1094"/>
  <c r="V35" i="1094"/>
  <c r="U35" i="1094"/>
  <c r="T35" i="1094"/>
  <c r="S35" i="1094"/>
  <c r="R35" i="1094"/>
  <c r="M35" i="1094"/>
  <c r="L35" i="1094"/>
  <c r="K35" i="1094"/>
  <c r="Z34" i="1094"/>
  <c r="Y34" i="1094"/>
  <c r="X34" i="1094"/>
  <c r="W34" i="1094"/>
  <c r="V34" i="1094"/>
  <c r="U34" i="1094"/>
  <c r="T34" i="1094"/>
  <c r="S34" i="1094"/>
  <c r="R34" i="1094"/>
  <c r="M34" i="1094"/>
  <c r="L34" i="1094"/>
  <c r="K34" i="1094"/>
  <c r="Z33" i="1094"/>
  <c r="Y33" i="1094"/>
  <c r="X33" i="1094"/>
  <c r="W33" i="1094"/>
  <c r="V33" i="1094"/>
  <c r="U33" i="1094"/>
  <c r="T33" i="1094"/>
  <c r="S33" i="1094"/>
  <c r="R33" i="1094"/>
  <c r="M33" i="1094"/>
  <c r="L33" i="1094"/>
  <c r="K33" i="1094"/>
  <c r="K43" i="1094" s="1"/>
  <c r="Z32" i="1094"/>
  <c r="Y32" i="1094"/>
  <c r="X32" i="1094"/>
  <c r="W32" i="1094"/>
  <c r="V32" i="1094"/>
  <c r="U32" i="1094"/>
  <c r="T32" i="1094"/>
  <c r="S32" i="1094"/>
  <c r="R32" i="1094"/>
  <c r="Z31" i="1094"/>
  <c r="Y31" i="1094"/>
  <c r="X31" i="1094"/>
  <c r="W31" i="1094"/>
  <c r="V31" i="1094"/>
  <c r="U31" i="1094"/>
  <c r="T31" i="1094"/>
  <c r="S31" i="1094"/>
  <c r="R31" i="1094"/>
  <c r="Z30" i="1094"/>
  <c r="Y30" i="1094"/>
  <c r="X30" i="1094"/>
  <c r="W30" i="1094"/>
  <c r="V30" i="1094"/>
  <c r="U30" i="1094"/>
  <c r="T30" i="1094"/>
  <c r="S30" i="1094"/>
  <c r="R30" i="1094"/>
  <c r="Z29" i="1094"/>
  <c r="Y29" i="1094"/>
  <c r="X29" i="1094"/>
  <c r="W29" i="1094"/>
  <c r="V29" i="1094"/>
  <c r="U29" i="1094"/>
  <c r="T29" i="1094"/>
  <c r="S29" i="1094"/>
  <c r="R29" i="1094"/>
  <c r="Z28" i="1094"/>
  <c r="Y28" i="1094"/>
  <c r="X28" i="1094"/>
  <c r="W28" i="1094"/>
  <c r="V28" i="1094"/>
  <c r="U28" i="1094"/>
  <c r="T28" i="1094"/>
  <c r="S28" i="1094"/>
  <c r="R28" i="1094"/>
  <c r="Z27" i="1094"/>
  <c r="Y27" i="1094"/>
  <c r="X27" i="1094"/>
  <c r="W27" i="1094"/>
  <c r="V27" i="1094"/>
  <c r="U27" i="1094"/>
  <c r="T27" i="1094"/>
  <c r="S27" i="1094"/>
  <c r="R27" i="1094"/>
  <c r="Z26" i="1094"/>
  <c r="Y26" i="1094"/>
  <c r="X26" i="1094"/>
  <c r="W26" i="1094"/>
  <c r="V26" i="1094"/>
  <c r="U26" i="1094"/>
  <c r="T26" i="1094"/>
  <c r="S26" i="1094"/>
  <c r="R26" i="1094"/>
  <c r="O26" i="1094"/>
  <c r="N26" i="1094"/>
  <c r="M26" i="1094"/>
  <c r="L26" i="1094"/>
  <c r="K26" i="1094"/>
  <c r="J26" i="1094"/>
  <c r="I26" i="1094"/>
  <c r="G26" i="1094"/>
  <c r="F26" i="1094"/>
  <c r="E26" i="1094"/>
  <c r="D26" i="1094"/>
  <c r="C26" i="1094"/>
  <c r="Z25" i="1094"/>
  <c r="Y25" i="1094"/>
  <c r="X25" i="1094"/>
  <c r="W25" i="1094"/>
  <c r="V25" i="1094"/>
  <c r="U25" i="1094"/>
  <c r="T25" i="1094"/>
  <c r="S25" i="1094"/>
  <c r="R25" i="1094"/>
  <c r="O25" i="1094"/>
  <c r="N25" i="1094"/>
  <c r="M25" i="1094"/>
  <c r="L25" i="1094"/>
  <c r="K25" i="1094"/>
  <c r="J25" i="1094"/>
  <c r="I25" i="1094"/>
  <c r="G25" i="1094"/>
  <c r="F25" i="1094"/>
  <c r="E25" i="1094"/>
  <c r="D25" i="1094"/>
  <c r="C25" i="1094"/>
  <c r="Z24" i="1094"/>
  <c r="Y24" i="1094"/>
  <c r="X24" i="1094"/>
  <c r="W24" i="1094"/>
  <c r="V24" i="1094"/>
  <c r="U24" i="1094"/>
  <c r="T24" i="1094"/>
  <c r="S24" i="1094"/>
  <c r="R24" i="1094"/>
  <c r="O24" i="1094"/>
  <c r="N24" i="1094"/>
  <c r="M24" i="1094"/>
  <c r="L24" i="1094"/>
  <c r="K24" i="1094"/>
  <c r="J24" i="1094"/>
  <c r="I24" i="1094"/>
  <c r="G24" i="1094"/>
  <c r="F24" i="1094"/>
  <c r="E24" i="1094"/>
  <c r="D24" i="1094"/>
  <c r="C24" i="1094"/>
  <c r="Z23" i="1094"/>
  <c r="Y23" i="1094"/>
  <c r="X23" i="1094"/>
  <c r="W23" i="1094"/>
  <c r="V23" i="1094"/>
  <c r="U23" i="1094"/>
  <c r="T23" i="1094"/>
  <c r="S23" i="1094"/>
  <c r="R23" i="1094"/>
  <c r="O23" i="1094"/>
  <c r="N23" i="1094"/>
  <c r="M23" i="1094"/>
  <c r="L23" i="1094"/>
  <c r="K23" i="1094"/>
  <c r="J23" i="1094"/>
  <c r="I23" i="1094"/>
  <c r="G23" i="1094"/>
  <c r="F23" i="1094"/>
  <c r="E23" i="1094"/>
  <c r="D23" i="1094"/>
  <c r="C23" i="1094"/>
  <c r="Z22" i="1094"/>
  <c r="Y22" i="1094"/>
  <c r="X22" i="1094"/>
  <c r="W22" i="1094"/>
  <c r="V22" i="1094"/>
  <c r="U22" i="1094"/>
  <c r="T22" i="1094"/>
  <c r="S22" i="1094"/>
  <c r="R22" i="1094"/>
  <c r="O22" i="1094"/>
  <c r="N22" i="1094"/>
  <c r="M22" i="1094"/>
  <c r="L22" i="1094"/>
  <c r="K22" i="1094"/>
  <c r="J22" i="1094"/>
  <c r="I22" i="1094"/>
  <c r="G22" i="1094"/>
  <c r="F22" i="1094"/>
  <c r="E22" i="1094"/>
  <c r="D22" i="1094"/>
  <c r="C22" i="1094"/>
  <c r="Z21" i="1094"/>
  <c r="Y21" i="1094"/>
  <c r="X21" i="1094"/>
  <c r="W21" i="1094"/>
  <c r="V21" i="1094"/>
  <c r="U21" i="1094"/>
  <c r="T21" i="1094"/>
  <c r="S21" i="1094"/>
  <c r="R21" i="1094"/>
  <c r="O21" i="1094"/>
  <c r="N21" i="1094"/>
  <c r="M21" i="1094"/>
  <c r="L21" i="1094"/>
  <c r="K21" i="1094"/>
  <c r="J21" i="1094"/>
  <c r="I21" i="1094"/>
  <c r="G21" i="1094"/>
  <c r="F21" i="1094"/>
  <c r="E21" i="1094"/>
  <c r="D21" i="1094"/>
  <c r="C21" i="1094"/>
  <c r="Z20" i="1094"/>
  <c r="Y20" i="1094"/>
  <c r="X20" i="1094"/>
  <c r="W20" i="1094"/>
  <c r="V20" i="1094"/>
  <c r="U20" i="1094"/>
  <c r="T20" i="1094"/>
  <c r="S20" i="1094"/>
  <c r="R20" i="1094"/>
  <c r="O20" i="1094"/>
  <c r="N20" i="1094"/>
  <c r="M20" i="1094"/>
  <c r="L20" i="1094"/>
  <c r="K20" i="1094"/>
  <c r="J20" i="1094"/>
  <c r="I20" i="1094"/>
  <c r="G20" i="1094"/>
  <c r="F20" i="1094"/>
  <c r="E20" i="1094"/>
  <c r="D20" i="1094"/>
  <c r="C20" i="1094"/>
  <c r="Z19" i="1094"/>
  <c r="Y19" i="1094"/>
  <c r="X19" i="1094"/>
  <c r="W19" i="1094"/>
  <c r="V19" i="1094"/>
  <c r="U19" i="1094"/>
  <c r="T19" i="1094"/>
  <c r="S19" i="1094"/>
  <c r="R19" i="1094"/>
  <c r="O19" i="1094"/>
  <c r="N19" i="1094"/>
  <c r="M19" i="1094"/>
  <c r="L19" i="1094"/>
  <c r="K19" i="1094"/>
  <c r="J19" i="1094"/>
  <c r="I19" i="1094"/>
  <c r="J34" i="1094" s="1"/>
  <c r="G19" i="1094"/>
  <c r="F19" i="1094"/>
  <c r="E19" i="1094"/>
  <c r="D19" i="1094"/>
  <c r="C19" i="1094"/>
  <c r="O17" i="1094"/>
  <c r="N17" i="1094"/>
  <c r="M17" i="1094"/>
  <c r="L17" i="1094"/>
  <c r="K17" i="1094"/>
  <c r="J17" i="1094"/>
  <c r="I17" i="1094"/>
  <c r="G17" i="1094"/>
  <c r="F17" i="1094"/>
  <c r="E17" i="1094"/>
  <c r="D17" i="1094"/>
  <c r="C17" i="1094"/>
  <c r="O16" i="1094"/>
  <c r="N16" i="1094"/>
  <c r="M16" i="1094"/>
  <c r="L16" i="1094"/>
  <c r="K16" i="1094"/>
  <c r="J16" i="1094"/>
  <c r="I16" i="1094"/>
  <c r="G16" i="1094"/>
  <c r="F16" i="1094"/>
  <c r="E16" i="1094"/>
  <c r="D16" i="1094"/>
  <c r="C16" i="1094"/>
  <c r="O15" i="1094"/>
  <c r="N15" i="1094"/>
  <c r="M15" i="1094"/>
  <c r="L15" i="1094"/>
  <c r="K15" i="1094"/>
  <c r="J15" i="1094"/>
  <c r="I15" i="1094"/>
  <c r="G15" i="1094"/>
  <c r="F15" i="1094"/>
  <c r="E15" i="1094"/>
  <c r="D15" i="1094"/>
  <c r="C15" i="1094"/>
  <c r="O14" i="1094"/>
  <c r="N14" i="1094"/>
  <c r="M14" i="1094"/>
  <c r="L14" i="1094"/>
  <c r="K14" i="1094"/>
  <c r="J14" i="1094"/>
  <c r="I14" i="1094"/>
  <c r="G14" i="1094"/>
  <c r="F14" i="1094"/>
  <c r="E14" i="1094"/>
  <c r="D14" i="1094"/>
  <c r="C14" i="1094"/>
  <c r="O13" i="1094"/>
  <c r="N13" i="1094"/>
  <c r="M13" i="1094"/>
  <c r="L13" i="1094"/>
  <c r="K13" i="1094"/>
  <c r="J13" i="1094"/>
  <c r="I13" i="1094"/>
  <c r="G13" i="1094"/>
  <c r="F13" i="1094"/>
  <c r="E13" i="1094"/>
  <c r="D13" i="1094"/>
  <c r="C13" i="1094"/>
  <c r="O12" i="1094"/>
  <c r="N12" i="1094"/>
  <c r="M12" i="1094"/>
  <c r="L12" i="1094"/>
  <c r="K12" i="1094"/>
  <c r="J12" i="1094"/>
  <c r="I12" i="1094"/>
  <c r="G12" i="1094"/>
  <c r="F12" i="1094"/>
  <c r="E12" i="1094"/>
  <c r="D12" i="1094"/>
  <c r="C12" i="1094"/>
  <c r="O11" i="1094"/>
  <c r="N11" i="1094"/>
  <c r="M11" i="1094"/>
  <c r="L11" i="1094"/>
  <c r="K11" i="1094"/>
  <c r="J11" i="1094"/>
  <c r="I11" i="1094"/>
  <c r="G11" i="1094"/>
  <c r="F11" i="1094"/>
  <c r="E11" i="1094"/>
  <c r="D11" i="1094"/>
  <c r="C11" i="1094"/>
  <c r="O10" i="1094"/>
  <c r="N10" i="1094"/>
  <c r="M10" i="1094"/>
  <c r="L10" i="1094"/>
  <c r="K10" i="1094"/>
  <c r="J10" i="1094"/>
  <c r="I10" i="1094"/>
  <c r="J33" i="1094" s="1"/>
  <c r="G10" i="1094"/>
  <c r="F10" i="1094"/>
  <c r="E10" i="1094"/>
  <c r="D10" i="1094"/>
  <c r="C10" i="1094"/>
  <c r="L48" i="1093"/>
  <c r="M33" i="1093"/>
  <c r="L33" i="1093"/>
  <c r="K33" i="1093"/>
  <c r="C17" i="1093"/>
  <c r="D17" i="1093"/>
  <c r="E17" i="1093"/>
  <c r="F17" i="1093"/>
  <c r="G17" i="1093"/>
  <c r="I17" i="1093"/>
  <c r="J17" i="1093"/>
  <c r="K17" i="1093"/>
  <c r="L17" i="1093"/>
  <c r="M17" i="1093"/>
  <c r="N17" i="1093"/>
  <c r="O17" i="1093"/>
  <c r="C11" i="1093"/>
  <c r="D11" i="1093"/>
  <c r="E11" i="1093"/>
  <c r="F11" i="1093"/>
  <c r="G11" i="1093"/>
  <c r="I11" i="1093"/>
  <c r="J33" i="1093" s="1"/>
  <c r="J11" i="1093"/>
  <c r="K11" i="1093"/>
  <c r="L11" i="1093"/>
  <c r="M11" i="1093"/>
  <c r="N11" i="1093"/>
  <c r="O11" i="1093"/>
  <c r="C12" i="1093"/>
  <c r="D12" i="1093"/>
  <c r="E12" i="1093"/>
  <c r="F12" i="1093"/>
  <c r="G12" i="1093"/>
  <c r="I12" i="1093"/>
  <c r="J12" i="1093"/>
  <c r="K12" i="1093"/>
  <c r="L12" i="1093"/>
  <c r="M12" i="1093"/>
  <c r="N12" i="1093"/>
  <c r="O12" i="1093"/>
  <c r="C13" i="1093"/>
  <c r="D13" i="1093"/>
  <c r="E13" i="1093"/>
  <c r="F13" i="1093"/>
  <c r="G13" i="1093"/>
  <c r="I13" i="1093"/>
  <c r="J13" i="1093"/>
  <c r="K13" i="1093"/>
  <c r="L13" i="1093"/>
  <c r="M13" i="1093"/>
  <c r="N13" i="1093"/>
  <c r="O13" i="1093"/>
  <c r="C14" i="1093"/>
  <c r="D14" i="1093"/>
  <c r="E14" i="1093"/>
  <c r="F14" i="1093"/>
  <c r="G14" i="1093"/>
  <c r="I14" i="1093"/>
  <c r="J14" i="1093"/>
  <c r="K14" i="1093"/>
  <c r="L14" i="1093"/>
  <c r="M14" i="1093"/>
  <c r="N14" i="1093"/>
  <c r="O14" i="1093"/>
  <c r="C15" i="1093"/>
  <c r="D15" i="1093"/>
  <c r="E15" i="1093"/>
  <c r="F15" i="1093"/>
  <c r="G15" i="1093"/>
  <c r="I15" i="1093"/>
  <c r="J15" i="1093"/>
  <c r="K15" i="1093"/>
  <c r="L15" i="1093"/>
  <c r="M15" i="1093"/>
  <c r="N15" i="1093"/>
  <c r="O15" i="1093"/>
  <c r="C16" i="1093"/>
  <c r="D16" i="1093"/>
  <c r="E16" i="1093"/>
  <c r="F16" i="1093"/>
  <c r="G16" i="1093"/>
  <c r="I16" i="1093"/>
  <c r="J16" i="1093"/>
  <c r="K16" i="1093"/>
  <c r="L16" i="1093"/>
  <c r="M16" i="1093"/>
  <c r="N16" i="1093"/>
  <c r="O16" i="1093"/>
  <c r="O10" i="1093"/>
  <c r="N10" i="1093"/>
  <c r="M10" i="1093"/>
  <c r="L10" i="1093"/>
  <c r="K10" i="1093"/>
  <c r="J10" i="1093"/>
  <c r="I10" i="1093"/>
  <c r="G10" i="1093"/>
  <c r="F10" i="1093"/>
  <c r="E10" i="1093"/>
  <c r="D10" i="1093"/>
  <c r="C10" i="1093"/>
  <c r="M34" i="1093"/>
  <c r="L34" i="1093"/>
  <c r="K34" i="1093"/>
  <c r="C20" i="1093"/>
  <c r="D20" i="1093"/>
  <c r="E20" i="1093"/>
  <c r="F20" i="1093"/>
  <c r="G20" i="1093"/>
  <c r="I20" i="1093"/>
  <c r="J20" i="1093"/>
  <c r="L20" i="1093"/>
  <c r="M20" i="1093"/>
  <c r="N20" i="1093"/>
  <c r="O20" i="1093"/>
  <c r="C21" i="1093"/>
  <c r="D21" i="1093"/>
  <c r="E21" i="1093"/>
  <c r="F21" i="1093"/>
  <c r="G21" i="1093"/>
  <c r="I21" i="1093"/>
  <c r="J21" i="1093"/>
  <c r="L21" i="1093"/>
  <c r="M21" i="1093"/>
  <c r="N21" i="1093"/>
  <c r="O21" i="1093"/>
  <c r="C22" i="1093"/>
  <c r="D22" i="1093"/>
  <c r="E22" i="1093"/>
  <c r="F22" i="1093"/>
  <c r="G22" i="1093"/>
  <c r="I22" i="1093"/>
  <c r="J22" i="1093"/>
  <c r="L22" i="1093"/>
  <c r="M22" i="1093"/>
  <c r="N22" i="1093"/>
  <c r="O22" i="1093"/>
  <c r="C23" i="1093"/>
  <c r="D23" i="1093"/>
  <c r="E23" i="1093"/>
  <c r="F23" i="1093"/>
  <c r="G23" i="1093"/>
  <c r="I23" i="1093"/>
  <c r="J23" i="1093"/>
  <c r="L23" i="1093"/>
  <c r="M23" i="1093"/>
  <c r="N23" i="1093"/>
  <c r="O23" i="1093"/>
  <c r="C24" i="1093"/>
  <c r="D24" i="1093"/>
  <c r="E24" i="1093"/>
  <c r="F24" i="1093"/>
  <c r="G24" i="1093"/>
  <c r="I24" i="1093"/>
  <c r="J24" i="1093"/>
  <c r="L24" i="1093"/>
  <c r="M24" i="1093"/>
  <c r="N24" i="1093"/>
  <c r="O24" i="1093"/>
  <c r="C25" i="1093"/>
  <c r="D25" i="1093"/>
  <c r="E25" i="1093"/>
  <c r="F25" i="1093"/>
  <c r="G25" i="1093"/>
  <c r="I25" i="1093"/>
  <c r="J25" i="1093"/>
  <c r="L25" i="1093"/>
  <c r="M25" i="1093"/>
  <c r="N25" i="1093"/>
  <c r="O25" i="1093"/>
  <c r="C26" i="1093"/>
  <c r="D26" i="1093"/>
  <c r="E26" i="1093"/>
  <c r="F26" i="1093"/>
  <c r="G26" i="1093"/>
  <c r="I26" i="1093"/>
  <c r="J26" i="1093"/>
  <c r="L26" i="1093"/>
  <c r="M26" i="1093"/>
  <c r="N26" i="1093"/>
  <c r="O26" i="1093"/>
  <c r="N19" i="1093"/>
  <c r="O19" i="1093"/>
  <c r="M19" i="1093"/>
  <c r="L19" i="1093"/>
  <c r="J19" i="1093"/>
  <c r="I19" i="1093"/>
  <c r="J34" i="1093" s="1"/>
  <c r="G19" i="1093"/>
  <c r="F19" i="1093"/>
  <c r="E19" i="1093"/>
  <c r="D19" i="1093"/>
  <c r="C19" i="1093"/>
  <c r="AX64" i="1093"/>
  <c r="AW64" i="1093"/>
  <c r="AV64" i="1093"/>
  <c r="AU64" i="1093"/>
  <c r="AT64" i="1093"/>
  <c r="AS64" i="1093"/>
  <c r="AR64" i="1093"/>
  <c r="AQ64" i="1093"/>
  <c r="AP64" i="1093"/>
  <c r="AO64" i="1093"/>
  <c r="AN64" i="1093"/>
  <c r="AM64" i="1093"/>
  <c r="AL64" i="1093"/>
  <c r="AK64" i="1093"/>
  <c r="AJ64" i="1093"/>
  <c r="AI64" i="1093"/>
  <c r="AH64" i="1093"/>
  <c r="AG64" i="1093"/>
  <c r="AF64" i="1093"/>
  <c r="AE64" i="1093"/>
  <c r="AD64" i="1093"/>
  <c r="AC64" i="1093"/>
  <c r="AB64" i="1093"/>
  <c r="L64" i="1093"/>
  <c r="B64" i="1093"/>
  <c r="AX63" i="1093"/>
  <c r="AW63" i="1093"/>
  <c r="AV63" i="1093"/>
  <c r="AU63" i="1093"/>
  <c r="AT63" i="1093"/>
  <c r="AS63" i="1093"/>
  <c r="AR63" i="1093"/>
  <c r="AQ63" i="1093"/>
  <c r="AP63" i="1093"/>
  <c r="AO63" i="1093"/>
  <c r="AN63" i="1093"/>
  <c r="AM63" i="1093"/>
  <c r="AL63" i="1093"/>
  <c r="AK63" i="1093"/>
  <c r="AJ63" i="1093"/>
  <c r="AI63" i="1093"/>
  <c r="AH63" i="1093"/>
  <c r="AG63" i="1093"/>
  <c r="AF63" i="1093"/>
  <c r="AE63" i="1093"/>
  <c r="AD63" i="1093"/>
  <c r="AC63" i="1093"/>
  <c r="AB63" i="1093"/>
  <c r="AX62" i="1093"/>
  <c r="AW62" i="1093"/>
  <c r="AV62" i="1093"/>
  <c r="AU62" i="1093"/>
  <c r="AT62" i="1093"/>
  <c r="AS62" i="1093"/>
  <c r="AR62" i="1093"/>
  <c r="AQ62" i="1093"/>
  <c r="AP62" i="1093"/>
  <c r="AO62" i="1093"/>
  <c r="AN62" i="1093"/>
  <c r="AM62" i="1093"/>
  <c r="AL62" i="1093"/>
  <c r="AK62" i="1093"/>
  <c r="AJ62" i="1093"/>
  <c r="AI62" i="1093"/>
  <c r="AH62" i="1093"/>
  <c r="AG62" i="1093"/>
  <c r="AF62" i="1093"/>
  <c r="AE62" i="1093"/>
  <c r="AD62" i="1093"/>
  <c r="AC62" i="1093"/>
  <c r="AB62" i="1093"/>
  <c r="L62" i="1093"/>
  <c r="B62" i="1093"/>
  <c r="K57" i="1093"/>
  <c r="M48" i="1093" s="1"/>
  <c r="Z44" i="1093"/>
  <c r="Y44" i="1093"/>
  <c r="X44" i="1093"/>
  <c r="W44" i="1093"/>
  <c r="V44" i="1093"/>
  <c r="U44" i="1093"/>
  <c r="T44" i="1093"/>
  <c r="S44" i="1093"/>
  <c r="R44" i="1093"/>
  <c r="Z43" i="1093"/>
  <c r="Y43" i="1093"/>
  <c r="X43" i="1093"/>
  <c r="W43" i="1093"/>
  <c r="V43" i="1093"/>
  <c r="U43" i="1093"/>
  <c r="T43" i="1093"/>
  <c r="S43" i="1093"/>
  <c r="R43" i="1093"/>
  <c r="Z42" i="1093"/>
  <c r="Y42" i="1093"/>
  <c r="X42" i="1093"/>
  <c r="W42" i="1093"/>
  <c r="V42" i="1093"/>
  <c r="U42" i="1093"/>
  <c r="T42" i="1093"/>
  <c r="S42" i="1093"/>
  <c r="R42" i="1093"/>
  <c r="Z41" i="1093"/>
  <c r="Y41" i="1093"/>
  <c r="X41" i="1093"/>
  <c r="W41" i="1093"/>
  <c r="V41" i="1093"/>
  <c r="U41" i="1093"/>
  <c r="T41" i="1093"/>
  <c r="S41" i="1093"/>
  <c r="R41" i="1093"/>
  <c r="Z40" i="1093"/>
  <c r="Y40" i="1093"/>
  <c r="X40" i="1093"/>
  <c r="W40" i="1093"/>
  <c r="V40" i="1093"/>
  <c r="U40" i="1093"/>
  <c r="T40" i="1093"/>
  <c r="S40" i="1093"/>
  <c r="R40" i="1093"/>
  <c r="Z39" i="1093"/>
  <c r="Y39" i="1093"/>
  <c r="X39" i="1093"/>
  <c r="W39" i="1093"/>
  <c r="V39" i="1093"/>
  <c r="U39" i="1093"/>
  <c r="T39" i="1093"/>
  <c r="S39" i="1093"/>
  <c r="R39" i="1093"/>
  <c r="M39" i="1093"/>
  <c r="L39" i="1093"/>
  <c r="K39" i="1093"/>
  <c r="Z38" i="1093"/>
  <c r="Y38" i="1093"/>
  <c r="X38" i="1093"/>
  <c r="W38" i="1093"/>
  <c r="V38" i="1093"/>
  <c r="U38" i="1093"/>
  <c r="T38" i="1093"/>
  <c r="S38" i="1093"/>
  <c r="R38" i="1093"/>
  <c r="M38" i="1093"/>
  <c r="Z37" i="1093"/>
  <c r="Y37" i="1093"/>
  <c r="X37" i="1093"/>
  <c r="W37" i="1093"/>
  <c r="V37" i="1093"/>
  <c r="U37" i="1093"/>
  <c r="T37" i="1093"/>
  <c r="S37" i="1093"/>
  <c r="R37" i="1093"/>
  <c r="Z36" i="1093"/>
  <c r="Y36" i="1093"/>
  <c r="X36" i="1093"/>
  <c r="W36" i="1093"/>
  <c r="V36" i="1093"/>
  <c r="U36" i="1093"/>
  <c r="T36" i="1093"/>
  <c r="S36" i="1093"/>
  <c r="R36" i="1093"/>
  <c r="M36" i="1093"/>
  <c r="Z35" i="1093"/>
  <c r="Y35" i="1093"/>
  <c r="X35" i="1093"/>
  <c r="W35" i="1093"/>
  <c r="V35" i="1093"/>
  <c r="U35" i="1093"/>
  <c r="T35" i="1093"/>
  <c r="S35" i="1093"/>
  <c r="R35" i="1093"/>
  <c r="M35" i="1093"/>
  <c r="L35" i="1093"/>
  <c r="K35" i="1093"/>
  <c r="Z34" i="1093"/>
  <c r="Y34" i="1093"/>
  <c r="X34" i="1093"/>
  <c r="W34" i="1093"/>
  <c r="V34" i="1093"/>
  <c r="U34" i="1093"/>
  <c r="T34" i="1093"/>
  <c r="S34" i="1093"/>
  <c r="R34" i="1093"/>
  <c r="Z32" i="1093"/>
  <c r="Y32" i="1093"/>
  <c r="X32" i="1093"/>
  <c r="W32" i="1093"/>
  <c r="V32" i="1093"/>
  <c r="U32" i="1093"/>
  <c r="T32" i="1093"/>
  <c r="S32" i="1093"/>
  <c r="R32" i="1093"/>
  <c r="Z31" i="1093"/>
  <c r="Y31" i="1093"/>
  <c r="X31" i="1093"/>
  <c r="W31" i="1093"/>
  <c r="V31" i="1093"/>
  <c r="U31" i="1093"/>
  <c r="T31" i="1093"/>
  <c r="S31" i="1093"/>
  <c r="R31" i="1093"/>
  <c r="Z30" i="1093"/>
  <c r="Y30" i="1093"/>
  <c r="X30" i="1093"/>
  <c r="W30" i="1093"/>
  <c r="V30" i="1093"/>
  <c r="U30" i="1093"/>
  <c r="T30" i="1093"/>
  <c r="S30" i="1093"/>
  <c r="R30" i="1093"/>
  <c r="Z29" i="1093"/>
  <c r="Y29" i="1093"/>
  <c r="X29" i="1093"/>
  <c r="W29" i="1093"/>
  <c r="V29" i="1093"/>
  <c r="U29" i="1093"/>
  <c r="T29" i="1093"/>
  <c r="S29" i="1093"/>
  <c r="R29" i="1093"/>
  <c r="Z28" i="1093"/>
  <c r="Y28" i="1093"/>
  <c r="X28" i="1093"/>
  <c r="W28" i="1093"/>
  <c r="V28" i="1093"/>
  <c r="U28" i="1093"/>
  <c r="T28" i="1093"/>
  <c r="S28" i="1093"/>
  <c r="R28" i="1093"/>
  <c r="Z27" i="1093"/>
  <c r="Y27" i="1093"/>
  <c r="X27" i="1093"/>
  <c r="W27" i="1093"/>
  <c r="V27" i="1093"/>
  <c r="U27" i="1093"/>
  <c r="T27" i="1093"/>
  <c r="S27" i="1093"/>
  <c r="R27" i="1093"/>
  <c r="Z26" i="1093"/>
  <c r="Y26" i="1093"/>
  <c r="X26" i="1093"/>
  <c r="W26" i="1093"/>
  <c r="V26" i="1093"/>
  <c r="U26" i="1093"/>
  <c r="T26" i="1093"/>
  <c r="S26" i="1093"/>
  <c r="R26" i="1093"/>
  <c r="Z25" i="1093"/>
  <c r="Y25" i="1093"/>
  <c r="X25" i="1093"/>
  <c r="W25" i="1093"/>
  <c r="V25" i="1093"/>
  <c r="U25" i="1093"/>
  <c r="T25" i="1093"/>
  <c r="S25" i="1093"/>
  <c r="R25" i="1093"/>
  <c r="Z24" i="1093"/>
  <c r="Y24" i="1093"/>
  <c r="X24" i="1093"/>
  <c r="W24" i="1093"/>
  <c r="V24" i="1093"/>
  <c r="U24" i="1093"/>
  <c r="T24" i="1093"/>
  <c r="S24" i="1093"/>
  <c r="R24" i="1093"/>
  <c r="Z23" i="1093"/>
  <c r="Y23" i="1093"/>
  <c r="X23" i="1093"/>
  <c r="W23" i="1093"/>
  <c r="V23" i="1093"/>
  <c r="U23" i="1093"/>
  <c r="T23" i="1093"/>
  <c r="S23" i="1093"/>
  <c r="R23" i="1093"/>
  <c r="Z22" i="1093"/>
  <c r="Y22" i="1093"/>
  <c r="X22" i="1093"/>
  <c r="W22" i="1093"/>
  <c r="V22" i="1093"/>
  <c r="U22" i="1093"/>
  <c r="T22" i="1093"/>
  <c r="S22" i="1093"/>
  <c r="R22" i="1093"/>
  <c r="Z21" i="1093"/>
  <c r="Y21" i="1093"/>
  <c r="X21" i="1093"/>
  <c r="W21" i="1093"/>
  <c r="V21" i="1093"/>
  <c r="U21" i="1093"/>
  <c r="T21" i="1093"/>
  <c r="S21" i="1093"/>
  <c r="R21" i="1093"/>
  <c r="Z20" i="1093"/>
  <c r="Y20" i="1093"/>
  <c r="X20" i="1093"/>
  <c r="W20" i="1093"/>
  <c r="V20" i="1093"/>
  <c r="U20" i="1093"/>
  <c r="T20" i="1093"/>
  <c r="S20" i="1093"/>
  <c r="R20" i="1093"/>
  <c r="Z19" i="1093"/>
  <c r="Y19" i="1093"/>
  <c r="X19" i="1093"/>
  <c r="W19" i="1093"/>
  <c r="V19" i="1093"/>
  <c r="U19" i="1093"/>
  <c r="T19" i="1093"/>
  <c r="S19" i="1093"/>
  <c r="R19" i="1093"/>
  <c r="M25" i="1092"/>
  <c r="L25" i="1092"/>
  <c r="K25" i="1092"/>
  <c r="C16" i="1092"/>
  <c r="D16" i="1092"/>
  <c r="E16" i="1092"/>
  <c r="F16" i="1092"/>
  <c r="G16" i="1092"/>
  <c r="J16" i="1092"/>
  <c r="L16" i="1092"/>
  <c r="M16" i="1092"/>
  <c r="N16" i="1092"/>
  <c r="O16" i="1092"/>
  <c r="B55" i="1092"/>
  <c r="C36" i="1092"/>
  <c r="C37" i="1092"/>
  <c r="C38" i="1092"/>
  <c r="C39" i="1092"/>
  <c r="C40" i="1092"/>
  <c r="C41" i="1092"/>
  <c r="C42" i="1092"/>
  <c r="C43" i="1092"/>
  <c r="K16" i="1092"/>
  <c r="K19" i="1093"/>
  <c r="K20" i="1093"/>
  <c r="K21" i="1093"/>
  <c r="K22" i="1093"/>
  <c r="K23" i="1093"/>
  <c r="K24" i="1093"/>
  <c r="K25" i="1093"/>
  <c r="K26" i="1093"/>
  <c r="L43" i="1094" l="1"/>
  <c r="M43" i="1094" s="1"/>
  <c r="K43" i="1093"/>
  <c r="L43" i="1093" s="1"/>
  <c r="M43" i="1093" s="1"/>
  <c r="Y33" i="1093"/>
  <c r="U33" i="1093"/>
  <c r="T33" i="1093"/>
  <c r="S33" i="1093"/>
  <c r="Z33" i="1093"/>
  <c r="X33" i="1093"/>
  <c r="W33" i="1093"/>
  <c r="V33" i="1093"/>
  <c r="R33" i="1093"/>
  <c r="I16" i="1092"/>
  <c r="B36" i="1092" l="1"/>
  <c r="G53" i="1092"/>
  <c r="C24" i="1092" l="1"/>
  <c r="C25" i="1092"/>
  <c r="C26" i="1092"/>
  <c r="C27" i="1092"/>
  <c r="C28" i="1092"/>
  <c r="C29" i="1092"/>
  <c r="C30" i="1092"/>
  <c r="C31" i="1092"/>
  <c r="C11" i="1092"/>
  <c r="D11" i="1092"/>
  <c r="E11" i="1092"/>
  <c r="F11" i="1092"/>
  <c r="G11" i="1092"/>
  <c r="I11" i="1092"/>
  <c r="J11" i="1092"/>
  <c r="K11" i="1092"/>
  <c r="L11" i="1092"/>
  <c r="M11" i="1092"/>
  <c r="N11" i="1092"/>
  <c r="O11" i="1092"/>
  <c r="C12" i="1092"/>
  <c r="D12" i="1092"/>
  <c r="E12" i="1092"/>
  <c r="F12" i="1092"/>
  <c r="G12" i="1092"/>
  <c r="I12" i="1092"/>
  <c r="J12" i="1092"/>
  <c r="K12" i="1092"/>
  <c r="L12" i="1092"/>
  <c r="M12" i="1092"/>
  <c r="N12" i="1092"/>
  <c r="O12" i="1092"/>
  <c r="C13" i="1092"/>
  <c r="D13" i="1092"/>
  <c r="E13" i="1092"/>
  <c r="F13" i="1092"/>
  <c r="G13" i="1092"/>
  <c r="I13" i="1092"/>
  <c r="J13" i="1092"/>
  <c r="K13" i="1092"/>
  <c r="L13" i="1092"/>
  <c r="M13" i="1092"/>
  <c r="N13" i="1092"/>
  <c r="O13" i="1092"/>
  <c r="C14" i="1092"/>
  <c r="D14" i="1092"/>
  <c r="E14" i="1092"/>
  <c r="F14" i="1092"/>
  <c r="G14" i="1092"/>
  <c r="I14" i="1092"/>
  <c r="J14" i="1092"/>
  <c r="K14" i="1092"/>
  <c r="L14" i="1092"/>
  <c r="M14" i="1092"/>
  <c r="N14" i="1092"/>
  <c r="O14" i="1092"/>
  <c r="C15" i="1092"/>
  <c r="D15" i="1092"/>
  <c r="E15" i="1092"/>
  <c r="F15" i="1092"/>
  <c r="G15" i="1092"/>
  <c r="I15" i="1092"/>
  <c r="J15" i="1092"/>
  <c r="K15" i="1092"/>
  <c r="L15" i="1092"/>
  <c r="M15" i="1092"/>
  <c r="N15" i="1092"/>
  <c r="O15" i="1092"/>
  <c r="O10" i="1092"/>
  <c r="N10" i="1092"/>
  <c r="M10" i="1092"/>
  <c r="L10" i="1092"/>
  <c r="K10" i="1092"/>
  <c r="J10" i="1092"/>
  <c r="I10" i="1092"/>
  <c r="J25" i="1092" s="1"/>
  <c r="G10" i="1092"/>
  <c r="F10" i="1092"/>
  <c r="E10" i="1092"/>
  <c r="D10" i="1092"/>
  <c r="C10" i="1092"/>
  <c r="AX55" i="1092"/>
  <c r="AW55" i="1092"/>
  <c r="AV55" i="1092"/>
  <c r="AU55" i="1092"/>
  <c r="AT55" i="1092"/>
  <c r="AS55" i="1092"/>
  <c r="AR55" i="1092"/>
  <c r="AQ55" i="1092"/>
  <c r="AP55" i="1092"/>
  <c r="AO55" i="1092"/>
  <c r="AN55" i="1092"/>
  <c r="AM55" i="1092"/>
  <c r="AL55" i="1092"/>
  <c r="AK55" i="1092"/>
  <c r="AJ55" i="1092"/>
  <c r="AI55" i="1092"/>
  <c r="AH55" i="1092"/>
  <c r="AG55" i="1092"/>
  <c r="AF55" i="1092"/>
  <c r="AE55" i="1092"/>
  <c r="AD55" i="1092"/>
  <c r="AC55" i="1092"/>
  <c r="AB55" i="1092"/>
  <c r="AX54" i="1092"/>
  <c r="AW54" i="1092"/>
  <c r="AV54" i="1092"/>
  <c r="AU54" i="1092"/>
  <c r="AT54" i="1092"/>
  <c r="AS54" i="1092"/>
  <c r="AR54" i="1092"/>
  <c r="AQ54" i="1092"/>
  <c r="AP54" i="1092"/>
  <c r="AO54" i="1092"/>
  <c r="AN54" i="1092"/>
  <c r="AM54" i="1092"/>
  <c r="AL54" i="1092"/>
  <c r="AK54" i="1092"/>
  <c r="AJ54" i="1092"/>
  <c r="AI54" i="1092"/>
  <c r="AH54" i="1092"/>
  <c r="AG54" i="1092"/>
  <c r="AF54" i="1092"/>
  <c r="AE54" i="1092"/>
  <c r="AD54" i="1092"/>
  <c r="AC54" i="1092"/>
  <c r="AB54" i="1092"/>
  <c r="AX53" i="1092"/>
  <c r="AW53" i="1092"/>
  <c r="AV53" i="1092"/>
  <c r="AU53" i="1092"/>
  <c r="AT53" i="1092"/>
  <c r="AS53" i="1092"/>
  <c r="AR53" i="1092"/>
  <c r="AQ53" i="1092"/>
  <c r="AP53" i="1092"/>
  <c r="AO53" i="1092"/>
  <c r="AN53" i="1092"/>
  <c r="AM53" i="1092"/>
  <c r="AL53" i="1092"/>
  <c r="AK53" i="1092"/>
  <c r="AJ53" i="1092"/>
  <c r="AI53" i="1092"/>
  <c r="AH53" i="1092"/>
  <c r="AG53" i="1092"/>
  <c r="AF53" i="1092"/>
  <c r="AE53" i="1092"/>
  <c r="AD53" i="1092"/>
  <c r="AC53" i="1092"/>
  <c r="AB53" i="1092"/>
  <c r="B53" i="1092"/>
  <c r="K48" i="1092"/>
  <c r="L39" i="1092" s="1"/>
  <c r="M39" i="1092" s="1"/>
  <c r="Z35" i="1092"/>
  <c r="Y35" i="1092"/>
  <c r="X35" i="1092"/>
  <c r="W35" i="1092"/>
  <c r="V35" i="1092"/>
  <c r="U35" i="1092"/>
  <c r="T35" i="1092"/>
  <c r="S35" i="1092"/>
  <c r="R35" i="1092"/>
  <c r="Z34" i="1092"/>
  <c r="Y34" i="1092"/>
  <c r="X34" i="1092"/>
  <c r="W34" i="1092"/>
  <c r="V34" i="1092"/>
  <c r="U34" i="1092"/>
  <c r="T34" i="1092"/>
  <c r="S34" i="1092"/>
  <c r="R34" i="1092"/>
  <c r="Z33" i="1092"/>
  <c r="Y33" i="1092"/>
  <c r="X33" i="1092"/>
  <c r="W33" i="1092"/>
  <c r="V33" i="1092"/>
  <c r="U33" i="1092"/>
  <c r="T33" i="1092"/>
  <c r="S33" i="1092"/>
  <c r="R33" i="1092"/>
  <c r="Z32" i="1092"/>
  <c r="Y32" i="1092"/>
  <c r="X32" i="1092"/>
  <c r="W32" i="1092"/>
  <c r="V32" i="1092"/>
  <c r="U32" i="1092"/>
  <c r="T32" i="1092"/>
  <c r="S32" i="1092"/>
  <c r="R32" i="1092"/>
  <c r="Z31" i="1092"/>
  <c r="Y31" i="1092"/>
  <c r="X31" i="1092"/>
  <c r="W31" i="1092"/>
  <c r="V31" i="1092"/>
  <c r="U31" i="1092"/>
  <c r="T31" i="1092"/>
  <c r="S31" i="1092"/>
  <c r="R31" i="1092"/>
  <c r="Z30" i="1092"/>
  <c r="Y30" i="1092"/>
  <c r="X30" i="1092"/>
  <c r="W30" i="1092"/>
  <c r="V30" i="1092"/>
  <c r="U30" i="1092"/>
  <c r="T30" i="1092"/>
  <c r="S30" i="1092"/>
  <c r="R30" i="1092"/>
  <c r="M30" i="1092"/>
  <c r="L30" i="1092"/>
  <c r="K30" i="1092"/>
  <c r="Z29" i="1092"/>
  <c r="Y29" i="1092"/>
  <c r="X29" i="1092"/>
  <c r="W29" i="1092"/>
  <c r="V29" i="1092"/>
  <c r="U29" i="1092"/>
  <c r="T29" i="1092"/>
  <c r="S29" i="1092"/>
  <c r="R29" i="1092"/>
  <c r="M29" i="1092"/>
  <c r="Z28" i="1092"/>
  <c r="Y28" i="1092"/>
  <c r="X28" i="1092"/>
  <c r="W28" i="1092"/>
  <c r="V28" i="1092"/>
  <c r="U28" i="1092"/>
  <c r="T28" i="1092"/>
  <c r="S28" i="1092"/>
  <c r="R28" i="1092"/>
  <c r="Z27" i="1092"/>
  <c r="Y27" i="1092"/>
  <c r="X27" i="1092"/>
  <c r="W27" i="1092"/>
  <c r="V27" i="1092"/>
  <c r="U27" i="1092"/>
  <c r="T27" i="1092"/>
  <c r="S27" i="1092"/>
  <c r="R27" i="1092"/>
  <c r="M27" i="1092"/>
  <c r="Z26" i="1092"/>
  <c r="Y26" i="1092"/>
  <c r="X26" i="1092"/>
  <c r="W26" i="1092"/>
  <c r="V26" i="1092"/>
  <c r="U26" i="1092"/>
  <c r="T26" i="1092"/>
  <c r="S26" i="1092"/>
  <c r="R26" i="1092"/>
  <c r="M26" i="1092"/>
  <c r="L26" i="1092"/>
  <c r="K26" i="1092"/>
  <c r="Z25" i="1092"/>
  <c r="Y25" i="1092"/>
  <c r="X25" i="1092"/>
  <c r="W25" i="1092"/>
  <c r="V25" i="1092"/>
  <c r="U25" i="1092"/>
  <c r="T25" i="1092"/>
  <c r="S25" i="1092"/>
  <c r="R25" i="1092"/>
  <c r="M24" i="1092"/>
  <c r="L24" i="1092"/>
  <c r="K24" i="1092"/>
  <c r="B24" i="1092"/>
  <c r="Z24" i="1092" s="1"/>
  <c r="Z23" i="1092"/>
  <c r="Y23" i="1092"/>
  <c r="X23" i="1092"/>
  <c r="W23" i="1092"/>
  <c r="V23" i="1092"/>
  <c r="U23" i="1092"/>
  <c r="T23" i="1092"/>
  <c r="S23" i="1092"/>
  <c r="R23" i="1092"/>
  <c r="Z22" i="1092"/>
  <c r="Y22" i="1092"/>
  <c r="X22" i="1092"/>
  <c r="W22" i="1092"/>
  <c r="V22" i="1092"/>
  <c r="U22" i="1092"/>
  <c r="T22" i="1092"/>
  <c r="S22" i="1092"/>
  <c r="R22" i="1092"/>
  <c r="Z21" i="1092"/>
  <c r="Y21" i="1092"/>
  <c r="X21" i="1092"/>
  <c r="W21" i="1092"/>
  <c r="V21" i="1092"/>
  <c r="U21" i="1092"/>
  <c r="T21" i="1092"/>
  <c r="S21" i="1092"/>
  <c r="R21" i="1092"/>
  <c r="Z20" i="1092"/>
  <c r="Y20" i="1092"/>
  <c r="X20" i="1092"/>
  <c r="W20" i="1092"/>
  <c r="V20" i="1092"/>
  <c r="U20" i="1092"/>
  <c r="T20" i="1092"/>
  <c r="S20" i="1092"/>
  <c r="R20" i="1092"/>
  <c r="Z19" i="1092"/>
  <c r="Y19" i="1092"/>
  <c r="X19" i="1092"/>
  <c r="W19" i="1092"/>
  <c r="V19" i="1092"/>
  <c r="U19" i="1092"/>
  <c r="T19" i="1092"/>
  <c r="S19" i="1092"/>
  <c r="R19" i="1092"/>
  <c r="Z18" i="1092"/>
  <c r="Y18" i="1092"/>
  <c r="X18" i="1092"/>
  <c r="W18" i="1092"/>
  <c r="V18" i="1092"/>
  <c r="U18" i="1092"/>
  <c r="T18" i="1092"/>
  <c r="S18" i="1092"/>
  <c r="R18" i="1092"/>
  <c r="Z17" i="1092"/>
  <c r="Y17" i="1092"/>
  <c r="X17" i="1092"/>
  <c r="W17" i="1092"/>
  <c r="V17" i="1092"/>
  <c r="U17" i="1092"/>
  <c r="T17" i="1092"/>
  <c r="S17" i="1092"/>
  <c r="R17" i="1092"/>
  <c r="Z16" i="1092"/>
  <c r="Y16" i="1092"/>
  <c r="X16" i="1092"/>
  <c r="W16" i="1092"/>
  <c r="V16" i="1092"/>
  <c r="U16" i="1092"/>
  <c r="T16" i="1092"/>
  <c r="S16" i="1092"/>
  <c r="R16" i="1092"/>
  <c r="Z15" i="1092"/>
  <c r="Y15" i="1092"/>
  <c r="X15" i="1092"/>
  <c r="W15" i="1092"/>
  <c r="V15" i="1092"/>
  <c r="U15" i="1092"/>
  <c r="T15" i="1092"/>
  <c r="S15" i="1092"/>
  <c r="R15" i="1092"/>
  <c r="Z14" i="1092"/>
  <c r="Y14" i="1092"/>
  <c r="X14" i="1092"/>
  <c r="W14" i="1092"/>
  <c r="V14" i="1092"/>
  <c r="U14" i="1092"/>
  <c r="T14" i="1092"/>
  <c r="S14" i="1092"/>
  <c r="R14" i="1092"/>
  <c r="Z13" i="1092"/>
  <c r="Y13" i="1092"/>
  <c r="X13" i="1092"/>
  <c r="W13" i="1092"/>
  <c r="V13" i="1092"/>
  <c r="U13" i="1092"/>
  <c r="T13" i="1092"/>
  <c r="S13" i="1092"/>
  <c r="R13" i="1092"/>
  <c r="Z12" i="1092"/>
  <c r="Y12" i="1092"/>
  <c r="X12" i="1092"/>
  <c r="W12" i="1092"/>
  <c r="V12" i="1092"/>
  <c r="U12" i="1092"/>
  <c r="T12" i="1092"/>
  <c r="S12" i="1092"/>
  <c r="R12" i="1092"/>
  <c r="Z11" i="1092"/>
  <c r="Y11" i="1092"/>
  <c r="X11" i="1092"/>
  <c r="W11" i="1092"/>
  <c r="V11" i="1092"/>
  <c r="U11" i="1092"/>
  <c r="T11" i="1092"/>
  <c r="S11" i="1092"/>
  <c r="R11" i="1092"/>
  <c r="Z10" i="1092"/>
  <c r="Y10" i="1092"/>
  <c r="X10" i="1092"/>
  <c r="W10" i="1092"/>
  <c r="V10" i="1092"/>
  <c r="U10" i="1092"/>
  <c r="T10" i="1092"/>
  <c r="S10" i="1092"/>
  <c r="R10" i="1092"/>
  <c r="C20" i="1091"/>
  <c r="D20" i="1091"/>
  <c r="E20" i="1091"/>
  <c r="F20" i="1091"/>
  <c r="G20" i="1091"/>
  <c r="I20" i="1091"/>
  <c r="J20" i="1091"/>
  <c r="K20" i="1091"/>
  <c r="L20" i="1091"/>
  <c r="M20" i="1091"/>
  <c r="N20" i="1091"/>
  <c r="O20" i="1091"/>
  <c r="G66" i="1092" l="1"/>
  <c r="D53" i="1092"/>
  <c r="L53" i="1092" s="1"/>
  <c r="C66" i="1092" s="1"/>
  <c r="L55" i="1092"/>
  <c r="C72" i="1092" s="1"/>
  <c r="K34" i="1092"/>
  <c r="L34" i="1092" s="1"/>
  <c r="M34" i="1092" s="1"/>
  <c r="S24" i="1092"/>
  <c r="U24" i="1092"/>
  <c r="R24" i="1092"/>
  <c r="T24" i="1092"/>
  <c r="V24" i="1092"/>
  <c r="W24" i="1092"/>
  <c r="Y24" i="1092"/>
  <c r="X24" i="1092"/>
  <c r="G66" i="1091"/>
  <c r="G53" i="1091"/>
  <c r="D53" i="1091"/>
  <c r="M30" i="1091" l="1"/>
  <c r="L30" i="1091"/>
  <c r="C24" i="1090"/>
  <c r="C25" i="1090"/>
  <c r="C26" i="1090"/>
  <c r="C27" i="1090"/>
  <c r="C28" i="1090"/>
  <c r="C29" i="1090"/>
  <c r="C30" i="1090"/>
  <c r="C31" i="1090"/>
  <c r="B24" i="1090" l="1"/>
  <c r="L39" i="1090"/>
  <c r="M30" i="1090"/>
  <c r="L30" i="1090"/>
  <c r="K30" i="1091"/>
  <c r="K30" i="1090"/>
  <c r="O19" i="1091"/>
  <c r="N19" i="1091"/>
  <c r="M19" i="1091"/>
  <c r="L19" i="1091"/>
  <c r="K19" i="1091"/>
  <c r="J19" i="1091"/>
  <c r="I19" i="1091"/>
  <c r="G19" i="1091"/>
  <c r="F19" i="1091"/>
  <c r="E19" i="1091"/>
  <c r="D19" i="1091"/>
  <c r="C19" i="1091"/>
  <c r="C24" i="1091"/>
  <c r="C25" i="1091"/>
  <c r="C26" i="1091"/>
  <c r="C27" i="1091"/>
  <c r="C28" i="1091"/>
  <c r="C29" i="1091"/>
  <c r="C30" i="1091"/>
  <c r="C31" i="1091"/>
  <c r="D55" i="1091" l="1"/>
  <c r="B24" i="1091"/>
  <c r="Z24" i="1091" s="1"/>
  <c r="AX55" i="1091"/>
  <c r="AW55" i="1091"/>
  <c r="AV55" i="1091"/>
  <c r="AU55" i="1091"/>
  <c r="AT55" i="1091"/>
  <c r="AS55" i="1091"/>
  <c r="AR55" i="1091"/>
  <c r="AQ55" i="1091"/>
  <c r="AP55" i="1091"/>
  <c r="AO55" i="1091"/>
  <c r="AN55" i="1091"/>
  <c r="AM55" i="1091"/>
  <c r="AL55" i="1091"/>
  <c r="AK55" i="1091"/>
  <c r="AJ55" i="1091"/>
  <c r="AI55" i="1091"/>
  <c r="AH55" i="1091"/>
  <c r="AG55" i="1091"/>
  <c r="AF55" i="1091"/>
  <c r="AE55" i="1091"/>
  <c r="AD55" i="1091"/>
  <c r="AC55" i="1091"/>
  <c r="AB55" i="1091"/>
  <c r="G55" i="1091"/>
  <c r="B55" i="1091"/>
  <c r="AX54" i="1091"/>
  <c r="AW54" i="1091"/>
  <c r="AV54" i="1091"/>
  <c r="AU54" i="1091"/>
  <c r="AT54" i="1091"/>
  <c r="AS54" i="1091"/>
  <c r="AR54" i="1091"/>
  <c r="AQ54" i="1091"/>
  <c r="AP54" i="1091"/>
  <c r="AO54" i="1091"/>
  <c r="AN54" i="1091"/>
  <c r="AM54" i="1091"/>
  <c r="AL54" i="1091"/>
  <c r="AK54" i="1091"/>
  <c r="AJ54" i="1091"/>
  <c r="AI54" i="1091"/>
  <c r="AH54" i="1091"/>
  <c r="AG54" i="1091"/>
  <c r="AF54" i="1091"/>
  <c r="AE54" i="1091"/>
  <c r="AD54" i="1091"/>
  <c r="AC54" i="1091"/>
  <c r="AB54" i="1091"/>
  <c r="AX53" i="1091"/>
  <c r="AW53" i="1091"/>
  <c r="AV53" i="1091"/>
  <c r="AU53" i="1091"/>
  <c r="AT53" i="1091"/>
  <c r="AS53" i="1091"/>
  <c r="AR53" i="1091"/>
  <c r="AQ53" i="1091"/>
  <c r="AP53" i="1091"/>
  <c r="AO53" i="1091"/>
  <c r="AN53" i="1091"/>
  <c r="AM53" i="1091"/>
  <c r="AL53" i="1091"/>
  <c r="AK53" i="1091"/>
  <c r="AJ53" i="1091"/>
  <c r="AI53" i="1091"/>
  <c r="AH53" i="1091"/>
  <c r="AG53" i="1091"/>
  <c r="AF53" i="1091"/>
  <c r="AE53" i="1091"/>
  <c r="AD53" i="1091"/>
  <c r="AC53" i="1091"/>
  <c r="AB53" i="1091"/>
  <c r="L53" i="1091"/>
  <c r="C66" i="1091" s="1"/>
  <c r="B53" i="1091"/>
  <c r="K48" i="1091"/>
  <c r="L39" i="1091" s="1"/>
  <c r="M39" i="1091" s="1"/>
  <c r="Z35" i="1091"/>
  <c r="Y35" i="1091"/>
  <c r="X35" i="1091"/>
  <c r="W35" i="1091"/>
  <c r="V35" i="1091"/>
  <c r="U35" i="1091"/>
  <c r="T35" i="1091"/>
  <c r="S35" i="1091"/>
  <c r="R35" i="1091"/>
  <c r="Z34" i="1091"/>
  <c r="Y34" i="1091"/>
  <c r="X34" i="1091"/>
  <c r="W34" i="1091"/>
  <c r="V34" i="1091"/>
  <c r="U34" i="1091"/>
  <c r="T34" i="1091"/>
  <c r="S34" i="1091"/>
  <c r="R34" i="1091"/>
  <c r="Z33" i="1091"/>
  <c r="Y33" i="1091"/>
  <c r="X33" i="1091"/>
  <c r="W33" i="1091"/>
  <c r="V33" i="1091"/>
  <c r="U33" i="1091"/>
  <c r="T33" i="1091"/>
  <c r="S33" i="1091"/>
  <c r="R33" i="1091"/>
  <c r="Z32" i="1091"/>
  <c r="Y32" i="1091"/>
  <c r="X32" i="1091"/>
  <c r="W32" i="1091"/>
  <c r="V32" i="1091"/>
  <c r="U32" i="1091"/>
  <c r="T32" i="1091"/>
  <c r="S32" i="1091"/>
  <c r="R32" i="1091"/>
  <c r="Z31" i="1091"/>
  <c r="Y31" i="1091"/>
  <c r="X31" i="1091"/>
  <c r="W31" i="1091"/>
  <c r="V31" i="1091"/>
  <c r="U31" i="1091"/>
  <c r="T31" i="1091"/>
  <c r="S31" i="1091"/>
  <c r="R31" i="1091"/>
  <c r="Z30" i="1091"/>
  <c r="Y30" i="1091"/>
  <c r="X30" i="1091"/>
  <c r="W30" i="1091"/>
  <c r="V30" i="1091"/>
  <c r="U30" i="1091"/>
  <c r="T30" i="1091"/>
  <c r="S30" i="1091"/>
  <c r="R30" i="1091"/>
  <c r="Z29" i="1091"/>
  <c r="Y29" i="1091"/>
  <c r="X29" i="1091"/>
  <c r="W29" i="1091"/>
  <c r="V29" i="1091"/>
  <c r="U29" i="1091"/>
  <c r="T29" i="1091"/>
  <c r="S29" i="1091"/>
  <c r="R29" i="1091"/>
  <c r="M29" i="1091"/>
  <c r="Z28" i="1091"/>
  <c r="Y28" i="1091"/>
  <c r="X28" i="1091"/>
  <c r="W28" i="1091"/>
  <c r="V28" i="1091"/>
  <c r="U28" i="1091"/>
  <c r="T28" i="1091"/>
  <c r="S28" i="1091"/>
  <c r="R28" i="1091"/>
  <c r="Z27" i="1091"/>
  <c r="Y27" i="1091"/>
  <c r="X27" i="1091"/>
  <c r="W27" i="1091"/>
  <c r="V27" i="1091"/>
  <c r="U27" i="1091"/>
  <c r="T27" i="1091"/>
  <c r="S27" i="1091"/>
  <c r="R27" i="1091"/>
  <c r="M27" i="1091"/>
  <c r="Z26" i="1091"/>
  <c r="Y26" i="1091"/>
  <c r="X26" i="1091"/>
  <c r="W26" i="1091"/>
  <c r="V26" i="1091"/>
  <c r="U26" i="1091"/>
  <c r="T26" i="1091"/>
  <c r="S26" i="1091"/>
  <c r="R26" i="1091"/>
  <c r="M26" i="1091"/>
  <c r="L26" i="1091"/>
  <c r="K26" i="1091"/>
  <c r="Z25" i="1091"/>
  <c r="Y25" i="1091"/>
  <c r="X25" i="1091"/>
  <c r="W25" i="1091"/>
  <c r="V25" i="1091"/>
  <c r="U25" i="1091"/>
  <c r="T25" i="1091"/>
  <c r="S25" i="1091"/>
  <c r="R25" i="1091"/>
  <c r="M25" i="1091"/>
  <c r="L25" i="1091"/>
  <c r="K25" i="1091"/>
  <c r="Y24" i="1091"/>
  <c r="X24" i="1091"/>
  <c r="W24" i="1091"/>
  <c r="V24" i="1091"/>
  <c r="U24" i="1091"/>
  <c r="T24" i="1091"/>
  <c r="S24" i="1091"/>
  <c r="R24" i="1091"/>
  <c r="M24" i="1091"/>
  <c r="L24" i="1091"/>
  <c r="K24" i="1091"/>
  <c r="Z23" i="1091"/>
  <c r="Y23" i="1091"/>
  <c r="X23" i="1091"/>
  <c r="W23" i="1091"/>
  <c r="V23" i="1091"/>
  <c r="U23" i="1091"/>
  <c r="T23" i="1091"/>
  <c r="S23" i="1091"/>
  <c r="R23" i="1091"/>
  <c r="Z22" i="1091"/>
  <c r="Y22" i="1091"/>
  <c r="X22" i="1091"/>
  <c r="W22" i="1091"/>
  <c r="V22" i="1091"/>
  <c r="U22" i="1091"/>
  <c r="T22" i="1091"/>
  <c r="S22" i="1091"/>
  <c r="R22" i="1091"/>
  <c r="Z21" i="1091"/>
  <c r="Y21" i="1091"/>
  <c r="X21" i="1091"/>
  <c r="W21" i="1091"/>
  <c r="V21" i="1091"/>
  <c r="U21" i="1091"/>
  <c r="T21" i="1091"/>
  <c r="S21" i="1091"/>
  <c r="R21" i="1091"/>
  <c r="Z20" i="1091"/>
  <c r="Y20" i="1091"/>
  <c r="X20" i="1091"/>
  <c r="W20" i="1091"/>
  <c r="V20" i="1091"/>
  <c r="U20" i="1091"/>
  <c r="T20" i="1091"/>
  <c r="S20" i="1091"/>
  <c r="R20" i="1091"/>
  <c r="Z19" i="1091"/>
  <c r="Y19" i="1091"/>
  <c r="X19" i="1091"/>
  <c r="W19" i="1091"/>
  <c r="V19" i="1091"/>
  <c r="U19" i="1091"/>
  <c r="T19" i="1091"/>
  <c r="S19" i="1091"/>
  <c r="R19" i="1091"/>
  <c r="Z18" i="1091"/>
  <c r="Y18" i="1091"/>
  <c r="X18" i="1091"/>
  <c r="W18" i="1091"/>
  <c r="V18" i="1091"/>
  <c r="U18" i="1091"/>
  <c r="T18" i="1091"/>
  <c r="S18" i="1091"/>
  <c r="R18" i="1091"/>
  <c r="Z17" i="1091"/>
  <c r="Y17" i="1091"/>
  <c r="X17" i="1091"/>
  <c r="W17" i="1091"/>
  <c r="V17" i="1091"/>
  <c r="U17" i="1091"/>
  <c r="T17" i="1091"/>
  <c r="S17" i="1091"/>
  <c r="R17" i="1091"/>
  <c r="O17" i="1091"/>
  <c r="N17" i="1091"/>
  <c r="M17" i="1091"/>
  <c r="L17" i="1091"/>
  <c r="J17" i="1091"/>
  <c r="I17" i="1091"/>
  <c r="G17" i="1091"/>
  <c r="F17" i="1091"/>
  <c r="E17" i="1091"/>
  <c r="D17" i="1091"/>
  <c r="C17" i="1091"/>
  <c r="Z16" i="1091"/>
  <c r="Y16" i="1091"/>
  <c r="X16" i="1091"/>
  <c r="W16" i="1091"/>
  <c r="V16" i="1091"/>
  <c r="U16" i="1091"/>
  <c r="T16" i="1091"/>
  <c r="S16" i="1091"/>
  <c r="R16" i="1091"/>
  <c r="O16" i="1091"/>
  <c r="N16" i="1091"/>
  <c r="M16" i="1091"/>
  <c r="L16" i="1091"/>
  <c r="J16" i="1091"/>
  <c r="I16" i="1091"/>
  <c r="G16" i="1091"/>
  <c r="F16" i="1091"/>
  <c r="E16" i="1091"/>
  <c r="D16" i="1091"/>
  <c r="C16" i="1091"/>
  <c r="Z15" i="1091"/>
  <c r="Y15" i="1091"/>
  <c r="X15" i="1091"/>
  <c r="W15" i="1091"/>
  <c r="V15" i="1091"/>
  <c r="U15" i="1091"/>
  <c r="T15" i="1091"/>
  <c r="S15" i="1091"/>
  <c r="R15" i="1091"/>
  <c r="O15" i="1091"/>
  <c r="N15" i="1091"/>
  <c r="M15" i="1091"/>
  <c r="L15" i="1091"/>
  <c r="J15" i="1091"/>
  <c r="I15" i="1091"/>
  <c r="G15" i="1091"/>
  <c r="F15" i="1091"/>
  <c r="E15" i="1091"/>
  <c r="D15" i="1091"/>
  <c r="C15" i="1091"/>
  <c r="Z14" i="1091"/>
  <c r="Y14" i="1091"/>
  <c r="X14" i="1091"/>
  <c r="W14" i="1091"/>
  <c r="V14" i="1091"/>
  <c r="U14" i="1091"/>
  <c r="T14" i="1091"/>
  <c r="S14" i="1091"/>
  <c r="R14" i="1091"/>
  <c r="O14" i="1091"/>
  <c r="N14" i="1091"/>
  <c r="M14" i="1091"/>
  <c r="L14" i="1091"/>
  <c r="J14" i="1091"/>
  <c r="I14" i="1091"/>
  <c r="J30" i="1091" s="1"/>
  <c r="G14" i="1091"/>
  <c r="F14" i="1091"/>
  <c r="E14" i="1091"/>
  <c r="D14" i="1091"/>
  <c r="C14" i="1091"/>
  <c r="Z13" i="1091"/>
  <c r="Y13" i="1091"/>
  <c r="X13" i="1091"/>
  <c r="W13" i="1091"/>
  <c r="V13" i="1091"/>
  <c r="U13" i="1091"/>
  <c r="T13" i="1091"/>
  <c r="S13" i="1091"/>
  <c r="R13" i="1091"/>
  <c r="Z12" i="1091"/>
  <c r="Y12" i="1091"/>
  <c r="X12" i="1091"/>
  <c r="W12" i="1091"/>
  <c r="V12" i="1091"/>
  <c r="U12" i="1091"/>
  <c r="T12" i="1091"/>
  <c r="S12" i="1091"/>
  <c r="R12" i="1091"/>
  <c r="Z11" i="1091"/>
  <c r="Y11" i="1091"/>
  <c r="X11" i="1091"/>
  <c r="W11" i="1091"/>
  <c r="V11" i="1091"/>
  <c r="U11" i="1091"/>
  <c r="T11" i="1091"/>
  <c r="S11" i="1091"/>
  <c r="R11" i="1091"/>
  <c r="Z10" i="1091"/>
  <c r="Y10" i="1091"/>
  <c r="X10" i="1091"/>
  <c r="W10" i="1091"/>
  <c r="V10" i="1091"/>
  <c r="U10" i="1091"/>
  <c r="T10" i="1091"/>
  <c r="S10" i="1091"/>
  <c r="R10" i="1091"/>
  <c r="G66" i="1090"/>
  <c r="D53" i="1090"/>
  <c r="G53" i="1090"/>
  <c r="AX55" i="1090"/>
  <c r="AW55" i="1090"/>
  <c r="AV55" i="1090"/>
  <c r="AU55" i="1090"/>
  <c r="AT55" i="1090"/>
  <c r="AS55" i="1090"/>
  <c r="AR55" i="1090"/>
  <c r="AQ55" i="1090"/>
  <c r="AP55" i="1090"/>
  <c r="AO55" i="1090"/>
  <c r="AN55" i="1090"/>
  <c r="AM55" i="1090"/>
  <c r="AL55" i="1090"/>
  <c r="AK55" i="1090"/>
  <c r="AJ55" i="1090"/>
  <c r="AI55" i="1090"/>
  <c r="AH55" i="1090"/>
  <c r="AG55" i="1090"/>
  <c r="AF55" i="1090"/>
  <c r="AE55" i="1090"/>
  <c r="AD55" i="1090"/>
  <c r="AC55" i="1090"/>
  <c r="AB55" i="1090"/>
  <c r="G55" i="1090"/>
  <c r="B55" i="1090"/>
  <c r="AX54" i="1090"/>
  <c r="AW54" i="1090"/>
  <c r="AV54" i="1090"/>
  <c r="AU54" i="1090"/>
  <c r="AT54" i="1090"/>
  <c r="AS54" i="1090"/>
  <c r="AR54" i="1090"/>
  <c r="AQ54" i="1090"/>
  <c r="AP54" i="1090"/>
  <c r="AO54" i="1090"/>
  <c r="AN54" i="1090"/>
  <c r="AM54" i="1090"/>
  <c r="AL54" i="1090"/>
  <c r="AK54" i="1090"/>
  <c r="AJ54" i="1090"/>
  <c r="AI54" i="1090"/>
  <c r="AH54" i="1090"/>
  <c r="AG54" i="1090"/>
  <c r="AF54" i="1090"/>
  <c r="AE54" i="1090"/>
  <c r="AD54" i="1090"/>
  <c r="AC54" i="1090"/>
  <c r="AB54" i="1090"/>
  <c r="AX53" i="1090"/>
  <c r="AW53" i="1090"/>
  <c r="AV53" i="1090"/>
  <c r="AU53" i="1090"/>
  <c r="AT53" i="1090"/>
  <c r="AS53" i="1090"/>
  <c r="AR53" i="1090"/>
  <c r="AQ53" i="1090"/>
  <c r="AP53" i="1090"/>
  <c r="AO53" i="1090"/>
  <c r="AN53" i="1090"/>
  <c r="AM53" i="1090"/>
  <c r="AL53" i="1090"/>
  <c r="AK53" i="1090"/>
  <c r="AJ53" i="1090"/>
  <c r="AI53" i="1090"/>
  <c r="AH53" i="1090"/>
  <c r="AG53" i="1090"/>
  <c r="AF53" i="1090"/>
  <c r="AE53" i="1090"/>
  <c r="AD53" i="1090"/>
  <c r="AC53" i="1090"/>
  <c r="AB53" i="1090"/>
  <c r="B53" i="1090"/>
  <c r="K48" i="1090"/>
  <c r="M39" i="1090"/>
  <c r="Z35" i="1090"/>
  <c r="Y35" i="1090"/>
  <c r="X35" i="1090"/>
  <c r="W35" i="1090"/>
  <c r="V35" i="1090"/>
  <c r="U35" i="1090"/>
  <c r="T35" i="1090"/>
  <c r="S35" i="1090"/>
  <c r="R35" i="1090"/>
  <c r="Z34" i="1090"/>
  <c r="Y34" i="1090"/>
  <c r="X34" i="1090"/>
  <c r="W34" i="1090"/>
  <c r="V34" i="1090"/>
  <c r="U34" i="1090"/>
  <c r="T34" i="1090"/>
  <c r="S34" i="1090"/>
  <c r="R34" i="1090"/>
  <c r="Z33" i="1090"/>
  <c r="Y33" i="1090"/>
  <c r="X33" i="1090"/>
  <c r="W33" i="1090"/>
  <c r="V33" i="1090"/>
  <c r="U33" i="1090"/>
  <c r="T33" i="1090"/>
  <c r="S33" i="1090"/>
  <c r="R33" i="1090"/>
  <c r="Z32" i="1090"/>
  <c r="Y32" i="1090"/>
  <c r="X32" i="1090"/>
  <c r="W32" i="1090"/>
  <c r="V32" i="1090"/>
  <c r="U32" i="1090"/>
  <c r="T32" i="1090"/>
  <c r="S32" i="1090"/>
  <c r="R32" i="1090"/>
  <c r="Z31" i="1090"/>
  <c r="Y31" i="1090"/>
  <c r="X31" i="1090"/>
  <c r="W31" i="1090"/>
  <c r="V31" i="1090"/>
  <c r="U31" i="1090"/>
  <c r="T31" i="1090"/>
  <c r="S31" i="1090"/>
  <c r="R31" i="1090"/>
  <c r="Z30" i="1090"/>
  <c r="Y30" i="1090"/>
  <c r="X30" i="1090"/>
  <c r="W30" i="1090"/>
  <c r="V30" i="1090"/>
  <c r="U30" i="1090"/>
  <c r="T30" i="1090"/>
  <c r="S30" i="1090"/>
  <c r="R30" i="1090"/>
  <c r="Z29" i="1090"/>
  <c r="Y29" i="1090"/>
  <c r="X29" i="1090"/>
  <c r="W29" i="1090"/>
  <c r="V29" i="1090"/>
  <c r="U29" i="1090"/>
  <c r="T29" i="1090"/>
  <c r="S29" i="1090"/>
  <c r="R29" i="1090"/>
  <c r="M29" i="1090"/>
  <c r="Z28" i="1090"/>
  <c r="Y28" i="1090"/>
  <c r="X28" i="1090"/>
  <c r="W28" i="1090"/>
  <c r="V28" i="1090"/>
  <c r="U28" i="1090"/>
  <c r="T28" i="1090"/>
  <c r="S28" i="1090"/>
  <c r="R28" i="1090"/>
  <c r="Z27" i="1090"/>
  <c r="Y27" i="1090"/>
  <c r="X27" i="1090"/>
  <c r="W27" i="1090"/>
  <c r="V27" i="1090"/>
  <c r="U27" i="1090"/>
  <c r="T27" i="1090"/>
  <c r="S27" i="1090"/>
  <c r="R27" i="1090"/>
  <c r="M27" i="1090"/>
  <c r="Z26" i="1090"/>
  <c r="Y26" i="1090"/>
  <c r="X26" i="1090"/>
  <c r="W26" i="1090"/>
  <c r="V26" i="1090"/>
  <c r="U26" i="1090"/>
  <c r="T26" i="1090"/>
  <c r="S26" i="1090"/>
  <c r="R26" i="1090"/>
  <c r="M26" i="1090"/>
  <c r="L26" i="1090"/>
  <c r="K26" i="1090"/>
  <c r="Z25" i="1090"/>
  <c r="Y25" i="1090"/>
  <c r="X25" i="1090"/>
  <c r="W25" i="1090"/>
  <c r="V25" i="1090"/>
  <c r="U25" i="1090"/>
  <c r="T25" i="1090"/>
  <c r="S25" i="1090"/>
  <c r="R25" i="1090"/>
  <c r="M25" i="1090"/>
  <c r="L25" i="1090"/>
  <c r="K25" i="1090"/>
  <c r="Z24" i="1090"/>
  <c r="Y24" i="1090"/>
  <c r="X24" i="1090"/>
  <c r="W24" i="1090"/>
  <c r="V24" i="1090"/>
  <c r="U24" i="1090"/>
  <c r="T24" i="1090"/>
  <c r="S24" i="1090"/>
  <c r="R24" i="1090"/>
  <c r="M24" i="1090"/>
  <c r="L24" i="1090"/>
  <c r="K24" i="1090"/>
  <c r="Z23" i="1090"/>
  <c r="Y23" i="1090"/>
  <c r="X23" i="1090"/>
  <c r="W23" i="1090"/>
  <c r="V23" i="1090"/>
  <c r="U23" i="1090"/>
  <c r="T23" i="1090"/>
  <c r="S23" i="1090"/>
  <c r="R23" i="1090"/>
  <c r="Z22" i="1090"/>
  <c r="Y22" i="1090"/>
  <c r="X22" i="1090"/>
  <c r="W22" i="1090"/>
  <c r="V22" i="1090"/>
  <c r="U22" i="1090"/>
  <c r="T22" i="1090"/>
  <c r="S22" i="1090"/>
  <c r="R22" i="1090"/>
  <c r="Z21" i="1090"/>
  <c r="Y21" i="1090"/>
  <c r="X21" i="1090"/>
  <c r="W21" i="1090"/>
  <c r="V21" i="1090"/>
  <c r="U21" i="1090"/>
  <c r="T21" i="1090"/>
  <c r="S21" i="1090"/>
  <c r="R21" i="1090"/>
  <c r="Z20" i="1090"/>
  <c r="Y20" i="1090"/>
  <c r="X20" i="1090"/>
  <c r="W20" i="1090"/>
  <c r="V20" i="1090"/>
  <c r="U20" i="1090"/>
  <c r="T20" i="1090"/>
  <c r="S20" i="1090"/>
  <c r="R20" i="1090"/>
  <c r="Z19" i="1090"/>
  <c r="Y19" i="1090"/>
  <c r="X19" i="1090"/>
  <c r="W19" i="1090"/>
  <c r="V19" i="1090"/>
  <c r="U19" i="1090"/>
  <c r="T19" i="1090"/>
  <c r="S19" i="1090"/>
  <c r="R19" i="1090"/>
  <c r="Z18" i="1090"/>
  <c r="Y18" i="1090"/>
  <c r="X18" i="1090"/>
  <c r="W18" i="1090"/>
  <c r="V18" i="1090"/>
  <c r="U18" i="1090"/>
  <c r="T18" i="1090"/>
  <c r="S18" i="1090"/>
  <c r="R18" i="1090"/>
  <c r="Z17" i="1090"/>
  <c r="Y17" i="1090"/>
  <c r="X17" i="1090"/>
  <c r="W17" i="1090"/>
  <c r="V17" i="1090"/>
  <c r="U17" i="1090"/>
  <c r="T17" i="1090"/>
  <c r="S17" i="1090"/>
  <c r="R17" i="1090"/>
  <c r="Z16" i="1090"/>
  <c r="Y16" i="1090"/>
  <c r="X16" i="1090"/>
  <c r="W16" i="1090"/>
  <c r="V16" i="1090"/>
  <c r="U16" i="1090"/>
  <c r="T16" i="1090"/>
  <c r="S16" i="1090"/>
  <c r="R16" i="1090"/>
  <c r="Z15" i="1090"/>
  <c r="Y15" i="1090"/>
  <c r="X15" i="1090"/>
  <c r="W15" i="1090"/>
  <c r="V15" i="1090"/>
  <c r="U15" i="1090"/>
  <c r="T15" i="1090"/>
  <c r="S15" i="1090"/>
  <c r="R15" i="1090"/>
  <c r="Z14" i="1090"/>
  <c r="Y14" i="1090"/>
  <c r="X14" i="1090"/>
  <c r="W14" i="1090"/>
  <c r="V14" i="1090"/>
  <c r="U14" i="1090"/>
  <c r="T14" i="1090"/>
  <c r="S14" i="1090"/>
  <c r="R14" i="1090"/>
  <c r="Z13" i="1090"/>
  <c r="Y13" i="1090"/>
  <c r="X13" i="1090"/>
  <c r="W13" i="1090"/>
  <c r="V13" i="1090"/>
  <c r="U13" i="1090"/>
  <c r="T13" i="1090"/>
  <c r="S13" i="1090"/>
  <c r="R13" i="1090"/>
  <c r="O13" i="1090"/>
  <c r="N13" i="1090"/>
  <c r="M13" i="1090"/>
  <c r="L13" i="1090"/>
  <c r="J13" i="1090"/>
  <c r="I13" i="1090"/>
  <c r="G13" i="1090"/>
  <c r="F13" i="1090"/>
  <c r="E13" i="1090"/>
  <c r="D13" i="1090"/>
  <c r="Z12" i="1090"/>
  <c r="Y12" i="1090"/>
  <c r="X12" i="1090"/>
  <c r="W12" i="1090"/>
  <c r="V12" i="1090"/>
  <c r="U12" i="1090"/>
  <c r="T12" i="1090"/>
  <c r="S12" i="1090"/>
  <c r="R12" i="1090"/>
  <c r="O12" i="1090"/>
  <c r="N12" i="1090"/>
  <c r="M12" i="1090"/>
  <c r="L12" i="1090"/>
  <c r="J12" i="1090"/>
  <c r="I12" i="1090"/>
  <c r="G12" i="1090"/>
  <c r="F12" i="1090"/>
  <c r="E12" i="1090"/>
  <c r="D12" i="1090"/>
  <c r="Z11" i="1090"/>
  <c r="Y11" i="1090"/>
  <c r="X11" i="1090"/>
  <c r="W11" i="1090"/>
  <c r="V11" i="1090"/>
  <c r="U11" i="1090"/>
  <c r="T11" i="1090"/>
  <c r="S11" i="1090"/>
  <c r="R11" i="1090"/>
  <c r="O11" i="1090"/>
  <c r="N11" i="1090"/>
  <c r="M11" i="1090"/>
  <c r="L11" i="1090"/>
  <c r="J11" i="1090"/>
  <c r="I11" i="1090"/>
  <c r="G11" i="1090"/>
  <c r="F11" i="1090"/>
  <c r="E11" i="1090"/>
  <c r="D11" i="1090"/>
  <c r="Z10" i="1090"/>
  <c r="Y10" i="1090"/>
  <c r="X10" i="1090"/>
  <c r="W10" i="1090"/>
  <c r="V10" i="1090"/>
  <c r="U10" i="1090"/>
  <c r="T10" i="1090"/>
  <c r="S10" i="1090"/>
  <c r="R10" i="1090"/>
  <c r="O10" i="1090"/>
  <c r="N10" i="1090"/>
  <c r="M10" i="1090"/>
  <c r="L10" i="1090"/>
  <c r="J10" i="1090"/>
  <c r="I10" i="1090"/>
  <c r="G10" i="1090"/>
  <c r="F10" i="1090"/>
  <c r="E10" i="1090"/>
  <c r="D10" i="1090"/>
  <c r="G55" i="1089"/>
  <c r="D55" i="1089"/>
  <c r="G68" i="1089"/>
  <c r="L55" i="1091" l="1"/>
  <c r="J30" i="1090"/>
  <c r="D55" i="1090"/>
  <c r="L55" i="1090" s="1"/>
  <c r="K34" i="1091"/>
  <c r="L34" i="1091" s="1"/>
  <c r="M34" i="1091" s="1"/>
  <c r="K34" i="1090"/>
  <c r="L34" i="1090" s="1"/>
  <c r="M34" i="1090" s="1"/>
  <c r="L53" i="1090"/>
  <c r="C66" i="1090" s="1"/>
  <c r="M27" i="1089"/>
  <c r="L27" i="1089"/>
  <c r="K27" i="1089"/>
  <c r="D17" i="1089" l="1"/>
  <c r="E17" i="1089"/>
  <c r="F17" i="1089"/>
  <c r="G17" i="1089"/>
  <c r="I17" i="1089"/>
  <c r="J17" i="1089"/>
  <c r="L17" i="1089"/>
  <c r="M17" i="1089"/>
  <c r="N17" i="1089"/>
  <c r="O17" i="1089"/>
  <c r="D18" i="1089"/>
  <c r="E18" i="1089"/>
  <c r="F18" i="1089"/>
  <c r="G18" i="1089"/>
  <c r="I18" i="1089"/>
  <c r="J18" i="1089"/>
  <c r="L18" i="1089"/>
  <c r="M18" i="1089"/>
  <c r="N18" i="1089"/>
  <c r="O18" i="1089"/>
  <c r="C19" i="1089"/>
  <c r="D19" i="1089"/>
  <c r="E19" i="1089"/>
  <c r="F19" i="1089"/>
  <c r="G19" i="1089"/>
  <c r="I19" i="1089"/>
  <c r="J19" i="1089"/>
  <c r="L19" i="1089"/>
  <c r="M19" i="1089"/>
  <c r="N19" i="1089"/>
  <c r="O19" i="1089"/>
  <c r="D12" i="1089"/>
  <c r="E12" i="1089"/>
  <c r="F12" i="1089"/>
  <c r="G12" i="1089"/>
  <c r="I12" i="1089"/>
  <c r="J12" i="1089"/>
  <c r="L12" i="1089"/>
  <c r="M12" i="1089"/>
  <c r="N12" i="1089"/>
  <c r="O12" i="1089"/>
  <c r="D13" i="1089"/>
  <c r="E13" i="1089"/>
  <c r="F13" i="1089"/>
  <c r="G13" i="1089"/>
  <c r="I13" i="1089"/>
  <c r="J13" i="1089"/>
  <c r="L13" i="1089"/>
  <c r="M13" i="1089"/>
  <c r="N13" i="1089"/>
  <c r="O13" i="1089"/>
  <c r="D14" i="1089"/>
  <c r="E14" i="1089"/>
  <c r="F14" i="1089"/>
  <c r="G14" i="1089"/>
  <c r="I14" i="1089"/>
  <c r="J14" i="1089"/>
  <c r="L14" i="1089"/>
  <c r="M14" i="1089"/>
  <c r="N14" i="1089"/>
  <c r="O14" i="1089"/>
  <c r="D15" i="1089"/>
  <c r="E15" i="1089"/>
  <c r="F15" i="1089"/>
  <c r="G15" i="1089"/>
  <c r="I15" i="1089"/>
  <c r="J15" i="1089"/>
  <c r="L15" i="1089"/>
  <c r="M15" i="1089"/>
  <c r="N15" i="1089"/>
  <c r="O15" i="1089"/>
  <c r="D16" i="1089"/>
  <c r="E16" i="1089"/>
  <c r="F16" i="1089"/>
  <c r="G16" i="1089"/>
  <c r="I16" i="1089"/>
  <c r="J16" i="1089"/>
  <c r="L16" i="1089"/>
  <c r="M16" i="1089"/>
  <c r="N16" i="1089"/>
  <c r="O16" i="1089"/>
  <c r="O10" i="1089" l="1"/>
  <c r="M10" i="1089"/>
  <c r="L10" i="1089"/>
  <c r="K10" i="1089"/>
  <c r="G10" i="1089"/>
  <c r="F10" i="1089"/>
  <c r="E10" i="1089"/>
  <c r="D10" i="1089"/>
  <c r="C10" i="1089"/>
  <c r="B55" i="1089"/>
  <c r="AX57" i="1089"/>
  <c r="AW57" i="1089"/>
  <c r="AV57" i="1089"/>
  <c r="AU57" i="1089"/>
  <c r="AT57" i="1089"/>
  <c r="AS57" i="1089"/>
  <c r="AR57" i="1089"/>
  <c r="AQ57" i="1089"/>
  <c r="AP57" i="1089"/>
  <c r="AO57" i="1089"/>
  <c r="AN57" i="1089"/>
  <c r="AM57" i="1089"/>
  <c r="AL57" i="1089"/>
  <c r="AK57" i="1089"/>
  <c r="AJ57" i="1089"/>
  <c r="AI57" i="1089"/>
  <c r="AH57" i="1089"/>
  <c r="AG57" i="1089"/>
  <c r="AF57" i="1089"/>
  <c r="AE57" i="1089"/>
  <c r="AD57" i="1089"/>
  <c r="AC57" i="1089"/>
  <c r="AB57" i="1089"/>
  <c r="G57" i="1089"/>
  <c r="B57" i="1089"/>
  <c r="AX56" i="1089"/>
  <c r="AW56" i="1089"/>
  <c r="AV56" i="1089"/>
  <c r="AU56" i="1089"/>
  <c r="AT56" i="1089"/>
  <c r="AS56" i="1089"/>
  <c r="AR56" i="1089"/>
  <c r="AQ56" i="1089"/>
  <c r="AP56" i="1089"/>
  <c r="AO56" i="1089"/>
  <c r="AN56" i="1089"/>
  <c r="AM56" i="1089"/>
  <c r="AL56" i="1089"/>
  <c r="AK56" i="1089"/>
  <c r="AJ56" i="1089"/>
  <c r="AI56" i="1089"/>
  <c r="AH56" i="1089"/>
  <c r="AG56" i="1089"/>
  <c r="AF56" i="1089"/>
  <c r="AE56" i="1089"/>
  <c r="AD56" i="1089"/>
  <c r="AC56" i="1089"/>
  <c r="AB56" i="1089"/>
  <c r="AX55" i="1089"/>
  <c r="AW55" i="1089"/>
  <c r="AV55" i="1089"/>
  <c r="AU55" i="1089"/>
  <c r="AT55" i="1089"/>
  <c r="AS55" i="1089"/>
  <c r="AR55" i="1089"/>
  <c r="AQ55" i="1089"/>
  <c r="AP55" i="1089"/>
  <c r="AO55" i="1089"/>
  <c r="AN55" i="1089"/>
  <c r="AM55" i="1089"/>
  <c r="AL55" i="1089"/>
  <c r="AK55" i="1089"/>
  <c r="AJ55" i="1089"/>
  <c r="AI55" i="1089"/>
  <c r="AH55" i="1089"/>
  <c r="AG55" i="1089"/>
  <c r="AF55" i="1089"/>
  <c r="AE55" i="1089"/>
  <c r="AD55" i="1089"/>
  <c r="AC55" i="1089"/>
  <c r="AB55" i="1089"/>
  <c r="L55" i="1089"/>
  <c r="C68" i="1089" s="1"/>
  <c r="K50" i="1089"/>
  <c r="L41" i="1089" s="1"/>
  <c r="Z37" i="1089"/>
  <c r="Y37" i="1089"/>
  <c r="X37" i="1089"/>
  <c r="W37" i="1089"/>
  <c r="V37" i="1089"/>
  <c r="U37" i="1089"/>
  <c r="T37" i="1089"/>
  <c r="S37" i="1089"/>
  <c r="R37" i="1089"/>
  <c r="Z36" i="1089"/>
  <c r="Y36" i="1089"/>
  <c r="X36" i="1089"/>
  <c r="W36" i="1089"/>
  <c r="V36" i="1089"/>
  <c r="U36" i="1089"/>
  <c r="T36" i="1089"/>
  <c r="S36" i="1089"/>
  <c r="R36" i="1089"/>
  <c r="Z35" i="1089"/>
  <c r="Y35" i="1089"/>
  <c r="X35" i="1089"/>
  <c r="W35" i="1089"/>
  <c r="V35" i="1089"/>
  <c r="U35" i="1089"/>
  <c r="T35" i="1089"/>
  <c r="S35" i="1089"/>
  <c r="R35" i="1089"/>
  <c r="Z34" i="1089"/>
  <c r="Y34" i="1089"/>
  <c r="X34" i="1089"/>
  <c r="W34" i="1089"/>
  <c r="V34" i="1089"/>
  <c r="U34" i="1089"/>
  <c r="T34" i="1089"/>
  <c r="S34" i="1089"/>
  <c r="R34" i="1089"/>
  <c r="Z33" i="1089"/>
  <c r="Y33" i="1089"/>
  <c r="X33" i="1089"/>
  <c r="W33" i="1089"/>
  <c r="V33" i="1089"/>
  <c r="U33" i="1089"/>
  <c r="T33" i="1089"/>
  <c r="S33" i="1089"/>
  <c r="R33" i="1089"/>
  <c r="Z32" i="1089"/>
  <c r="Y32" i="1089"/>
  <c r="X32" i="1089"/>
  <c r="W32" i="1089"/>
  <c r="V32" i="1089"/>
  <c r="U32" i="1089"/>
  <c r="T32" i="1089"/>
  <c r="S32" i="1089"/>
  <c r="R32" i="1089"/>
  <c r="M32" i="1089"/>
  <c r="Z31" i="1089"/>
  <c r="Y31" i="1089"/>
  <c r="X31" i="1089"/>
  <c r="W31" i="1089"/>
  <c r="V31" i="1089"/>
  <c r="U31" i="1089"/>
  <c r="T31" i="1089"/>
  <c r="S31" i="1089"/>
  <c r="R31" i="1089"/>
  <c r="M31" i="1089"/>
  <c r="Z30" i="1089"/>
  <c r="Y30" i="1089"/>
  <c r="X30" i="1089"/>
  <c r="W30" i="1089"/>
  <c r="V30" i="1089"/>
  <c r="U30" i="1089"/>
  <c r="T30" i="1089"/>
  <c r="S30" i="1089"/>
  <c r="R30" i="1089"/>
  <c r="Z29" i="1089"/>
  <c r="Y29" i="1089"/>
  <c r="X29" i="1089"/>
  <c r="W29" i="1089"/>
  <c r="V29" i="1089"/>
  <c r="U29" i="1089"/>
  <c r="T29" i="1089"/>
  <c r="S29" i="1089"/>
  <c r="R29" i="1089"/>
  <c r="M29" i="1089"/>
  <c r="Z28" i="1089"/>
  <c r="Y28" i="1089"/>
  <c r="X28" i="1089"/>
  <c r="W28" i="1089"/>
  <c r="V28" i="1089"/>
  <c r="U28" i="1089"/>
  <c r="T28" i="1089"/>
  <c r="S28" i="1089"/>
  <c r="R28" i="1089"/>
  <c r="M28" i="1089"/>
  <c r="L28" i="1089"/>
  <c r="K28" i="1089"/>
  <c r="Z27" i="1089"/>
  <c r="Y27" i="1089"/>
  <c r="X27" i="1089"/>
  <c r="W27" i="1089"/>
  <c r="V27" i="1089"/>
  <c r="U27" i="1089"/>
  <c r="T27" i="1089"/>
  <c r="S27" i="1089"/>
  <c r="R27" i="1089"/>
  <c r="Z26" i="1089"/>
  <c r="Y26" i="1089"/>
  <c r="X26" i="1089"/>
  <c r="W26" i="1089"/>
  <c r="V26" i="1089"/>
  <c r="U26" i="1089"/>
  <c r="T26" i="1089"/>
  <c r="S26" i="1089"/>
  <c r="R26" i="1089"/>
  <c r="M26" i="1089"/>
  <c r="L26" i="1089"/>
  <c r="K26" i="1089"/>
  <c r="Z25" i="1089"/>
  <c r="Y25" i="1089"/>
  <c r="X25" i="1089"/>
  <c r="W25" i="1089"/>
  <c r="V25" i="1089"/>
  <c r="U25" i="1089"/>
  <c r="T25" i="1089"/>
  <c r="S25" i="1089"/>
  <c r="R25" i="1089"/>
  <c r="Z24" i="1089"/>
  <c r="Y24" i="1089"/>
  <c r="X24" i="1089"/>
  <c r="W24" i="1089"/>
  <c r="V24" i="1089"/>
  <c r="U24" i="1089"/>
  <c r="T24" i="1089"/>
  <c r="S24" i="1089"/>
  <c r="R24" i="1089"/>
  <c r="Z23" i="1089"/>
  <c r="Y23" i="1089"/>
  <c r="X23" i="1089"/>
  <c r="W23" i="1089"/>
  <c r="V23" i="1089"/>
  <c r="U23" i="1089"/>
  <c r="T23" i="1089"/>
  <c r="S23" i="1089"/>
  <c r="R23" i="1089"/>
  <c r="Z22" i="1089"/>
  <c r="Y22" i="1089"/>
  <c r="X22" i="1089"/>
  <c r="W22" i="1089"/>
  <c r="V22" i="1089"/>
  <c r="U22" i="1089"/>
  <c r="T22" i="1089"/>
  <c r="S22" i="1089"/>
  <c r="R22" i="1089"/>
  <c r="Z21" i="1089"/>
  <c r="Y21" i="1089"/>
  <c r="X21" i="1089"/>
  <c r="W21" i="1089"/>
  <c r="V21" i="1089"/>
  <c r="U21" i="1089"/>
  <c r="T21" i="1089"/>
  <c r="S21" i="1089"/>
  <c r="R21" i="1089"/>
  <c r="Z20" i="1089"/>
  <c r="Y20" i="1089"/>
  <c r="X20" i="1089"/>
  <c r="W20" i="1089"/>
  <c r="V20" i="1089"/>
  <c r="U20" i="1089"/>
  <c r="T20" i="1089"/>
  <c r="S20" i="1089"/>
  <c r="R20" i="1089"/>
  <c r="Z19" i="1089"/>
  <c r="Y19" i="1089"/>
  <c r="X19" i="1089"/>
  <c r="W19" i="1089"/>
  <c r="V19" i="1089"/>
  <c r="U19" i="1089"/>
  <c r="T19" i="1089"/>
  <c r="S19" i="1089"/>
  <c r="R19" i="1089"/>
  <c r="Z18" i="1089"/>
  <c r="Y18" i="1089"/>
  <c r="X18" i="1089"/>
  <c r="W18" i="1089"/>
  <c r="V18" i="1089"/>
  <c r="U18" i="1089"/>
  <c r="T18" i="1089"/>
  <c r="S18" i="1089"/>
  <c r="R18" i="1089"/>
  <c r="Z17" i="1089"/>
  <c r="Y17" i="1089"/>
  <c r="X17" i="1089"/>
  <c r="W17" i="1089"/>
  <c r="V17" i="1089"/>
  <c r="U17" i="1089"/>
  <c r="T17" i="1089"/>
  <c r="S17" i="1089"/>
  <c r="R17" i="1089"/>
  <c r="Z16" i="1089"/>
  <c r="Y16" i="1089"/>
  <c r="X16" i="1089"/>
  <c r="W16" i="1089"/>
  <c r="V16" i="1089"/>
  <c r="U16" i="1089"/>
  <c r="T16" i="1089"/>
  <c r="S16" i="1089"/>
  <c r="R16" i="1089"/>
  <c r="Z15" i="1089"/>
  <c r="Y15" i="1089"/>
  <c r="X15" i="1089"/>
  <c r="W15" i="1089"/>
  <c r="V15" i="1089"/>
  <c r="U15" i="1089"/>
  <c r="T15" i="1089"/>
  <c r="S15" i="1089"/>
  <c r="R15" i="1089"/>
  <c r="Z14" i="1089"/>
  <c r="Y14" i="1089"/>
  <c r="X14" i="1089"/>
  <c r="W14" i="1089"/>
  <c r="V14" i="1089"/>
  <c r="U14" i="1089"/>
  <c r="T14" i="1089"/>
  <c r="S14" i="1089"/>
  <c r="R14" i="1089"/>
  <c r="Z13" i="1089"/>
  <c r="Y13" i="1089"/>
  <c r="X13" i="1089"/>
  <c r="W13" i="1089"/>
  <c r="V13" i="1089"/>
  <c r="U13" i="1089"/>
  <c r="T13" i="1089"/>
  <c r="S13" i="1089"/>
  <c r="R13" i="1089"/>
  <c r="Z12" i="1089"/>
  <c r="Y12" i="1089"/>
  <c r="X12" i="1089"/>
  <c r="W12" i="1089"/>
  <c r="V12" i="1089"/>
  <c r="U12" i="1089"/>
  <c r="T12" i="1089"/>
  <c r="S12" i="1089"/>
  <c r="R12" i="1089"/>
  <c r="Z11" i="1089"/>
  <c r="Y11" i="1089"/>
  <c r="X11" i="1089"/>
  <c r="W11" i="1089"/>
  <c r="V11" i="1089"/>
  <c r="U11" i="1089"/>
  <c r="T11" i="1089"/>
  <c r="S11" i="1089"/>
  <c r="R11" i="1089"/>
  <c r="Z10" i="1089"/>
  <c r="Y10" i="1089"/>
  <c r="X10" i="1089"/>
  <c r="W10" i="1089"/>
  <c r="V10" i="1089"/>
  <c r="U10" i="1089"/>
  <c r="T10" i="1089"/>
  <c r="S10" i="1089"/>
  <c r="R10" i="1089"/>
  <c r="B62" i="1088"/>
  <c r="K36" i="1089" l="1"/>
  <c r="M41" i="1089"/>
  <c r="L36" i="1089"/>
  <c r="M36" i="1089" s="1"/>
  <c r="R20" i="1088"/>
  <c r="S20" i="1088"/>
  <c r="T20" i="1088"/>
  <c r="U20" i="1088"/>
  <c r="V20" i="1088"/>
  <c r="W20" i="1088"/>
  <c r="X20" i="1088"/>
  <c r="Y20" i="1088"/>
  <c r="Z20" i="1088"/>
  <c r="L48" i="1088"/>
  <c r="J57" i="1088"/>
  <c r="M35" i="1088"/>
  <c r="L35" i="1088"/>
  <c r="K35" i="1088"/>
  <c r="M33" i="1088"/>
  <c r="L33" i="1088"/>
  <c r="K33" i="1088"/>
  <c r="C20" i="1088"/>
  <c r="D20" i="1088"/>
  <c r="E20" i="1088"/>
  <c r="F20" i="1088"/>
  <c r="G20" i="1088"/>
  <c r="I20" i="1088"/>
  <c r="J20" i="1088"/>
  <c r="L20" i="1088"/>
  <c r="M20" i="1088"/>
  <c r="N20" i="1088"/>
  <c r="O20" i="1088"/>
  <c r="C22" i="1088"/>
  <c r="D22" i="1088"/>
  <c r="E22" i="1088"/>
  <c r="F22" i="1088"/>
  <c r="G22" i="1088"/>
  <c r="I22" i="1088"/>
  <c r="J22" i="1088"/>
  <c r="L22" i="1088"/>
  <c r="M22" i="1088"/>
  <c r="N22" i="1088"/>
  <c r="O22" i="1088"/>
  <c r="C23" i="1088"/>
  <c r="D23" i="1088"/>
  <c r="E23" i="1088"/>
  <c r="F23" i="1088"/>
  <c r="G23" i="1088"/>
  <c r="I23" i="1088"/>
  <c r="J23" i="1088"/>
  <c r="L23" i="1088"/>
  <c r="M23" i="1088"/>
  <c r="N23" i="1088"/>
  <c r="O23" i="1088"/>
  <c r="C24" i="1088"/>
  <c r="D24" i="1088"/>
  <c r="E24" i="1088"/>
  <c r="F24" i="1088"/>
  <c r="G24" i="1088"/>
  <c r="I24" i="1088"/>
  <c r="J24" i="1088"/>
  <c r="L24" i="1088"/>
  <c r="M24" i="1088"/>
  <c r="N24" i="1088"/>
  <c r="O24" i="1088"/>
  <c r="C25" i="1088"/>
  <c r="D25" i="1088"/>
  <c r="E25" i="1088"/>
  <c r="F25" i="1088"/>
  <c r="G25" i="1088"/>
  <c r="I25" i="1088"/>
  <c r="J25" i="1088"/>
  <c r="L25" i="1088"/>
  <c r="M25" i="1088"/>
  <c r="N25" i="1088"/>
  <c r="O25" i="1088"/>
  <c r="C26" i="1088"/>
  <c r="D26" i="1088"/>
  <c r="E26" i="1088"/>
  <c r="F26" i="1088"/>
  <c r="G26" i="1088"/>
  <c r="I26" i="1088"/>
  <c r="J26" i="1088"/>
  <c r="L26" i="1088"/>
  <c r="M26" i="1088"/>
  <c r="N26" i="1088"/>
  <c r="O26" i="1088"/>
  <c r="C27" i="1088"/>
  <c r="D27" i="1088"/>
  <c r="E27" i="1088"/>
  <c r="F27" i="1088"/>
  <c r="G27" i="1088"/>
  <c r="I27" i="1088"/>
  <c r="J27" i="1088"/>
  <c r="L27" i="1088"/>
  <c r="M27" i="1088"/>
  <c r="N27" i="1088"/>
  <c r="O27" i="1088"/>
  <c r="O21" i="1088"/>
  <c r="N21" i="1088"/>
  <c r="M21" i="1088"/>
  <c r="L21" i="1088"/>
  <c r="J21" i="1088"/>
  <c r="I21" i="1088"/>
  <c r="G21" i="1088"/>
  <c r="F21" i="1088"/>
  <c r="E21" i="1088"/>
  <c r="D21" i="1088"/>
  <c r="C21" i="1088"/>
  <c r="J35" i="1088" l="1"/>
  <c r="R10" i="1088"/>
  <c r="S10" i="1088"/>
  <c r="T10" i="1088"/>
  <c r="U10" i="1088"/>
  <c r="V10" i="1088"/>
  <c r="W10" i="1088"/>
  <c r="X10" i="1088"/>
  <c r="Y10" i="1088"/>
  <c r="Z10" i="1088"/>
  <c r="R11" i="1088"/>
  <c r="S11" i="1088"/>
  <c r="T11" i="1088"/>
  <c r="U11" i="1088"/>
  <c r="V11" i="1088"/>
  <c r="W11" i="1088"/>
  <c r="X11" i="1088"/>
  <c r="Y11" i="1088"/>
  <c r="Z11" i="1088"/>
  <c r="R12" i="1088"/>
  <c r="S12" i="1088"/>
  <c r="T12" i="1088"/>
  <c r="U12" i="1088"/>
  <c r="V12" i="1088"/>
  <c r="W12" i="1088"/>
  <c r="X12" i="1088"/>
  <c r="Y12" i="1088"/>
  <c r="Z12" i="1088"/>
  <c r="R13" i="1088"/>
  <c r="S13" i="1088"/>
  <c r="T13" i="1088"/>
  <c r="U13" i="1088"/>
  <c r="V13" i="1088"/>
  <c r="W13" i="1088"/>
  <c r="X13" i="1088"/>
  <c r="Y13" i="1088"/>
  <c r="Z13" i="1088"/>
  <c r="R14" i="1088"/>
  <c r="S14" i="1088"/>
  <c r="T14" i="1088"/>
  <c r="U14" i="1088"/>
  <c r="V14" i="1088"/>
  <c r="W14" i="1088"/>
  <c r="X14" i="1088"/>
  <c r="Y14" i="1088"/>
  <c r="Z14" i="1088"/>
  <c r="R15" i="1088"/>
  <c r="S15" i="1088"/>
  <c r="T15" i="1088"/>
  <c r="U15" i="1088"/>
  <c r="V15" i="1088"/>
  <c r="W15" i="1088"/>
  <c r="X15" i="1088"/>
  <c r="Y15" i="1088"/>
  <c r="Z15" i="1088"/>
  <c r="R16" i="1088"/>
  <c r="S16" i="1088"/>
  <c r="T16" i="1088"/>
  <c r="U16" i="1088"/>
  <c r="V16" i="1088"/>
  <c r="W16" i="1088"/>
  <c r="X16" i="1088"/>
  <c r="Y16" i="1088"/>
  <c r="Z16" i="1088"/>
  <c r="R17" i="1088"/>
  <c r="S17" i="1088"/>
  <c r="T17" i="1088"/>
  <c r="U17" i="1088"/>
  <c r="V17" i="1088"/>
  <c r="W17" i="1088"/>
  <c r="X17" i="1088"/>
  <c r="Y17" i="1088"/>
  <c r="Z17" i="1088"/>
  <c r="R18" i="1088"/>
  <c r="S18" i="1088"/>
  <c r="T18" i="1088"/>
  <c r="U18" i="1088"/>
  <c r="V18" i="1088"/>
  <c r="W18" i="1088"/>
  <c r="X18" i="1088"/>
  <c r="Y18" i="1088"/>
  <c r="Z18" i="1088"/>
  <c r="R19" i="1088"/>
  <c r="S19" i="1088"/>
  <c r="T19" i="1088"/>
  <c r="U19" i="1088"/>
  <c r="V19" i="1088"/>
  <c r="W19" i="1088"/>
  <c r="X19" i="1088"/>
  <c r="Y19" i="1088"/>
  <c r="Z19" i="1088"/>
  <c r="R21" i="1088"/>
  <c r="S21" i="1088"/>
  <c r="T21" i="1088"/>
  <c r="U21" i="1088"/>
  <c r="V21" i="1088"/>
  <c r="W21" i="1088"/>
  <c r="X21" i="1088"/>
  <c r="Y21" i="1088"/>
  <c r="Z21" i="1088"/>
  <c r="R22" i="1088"/>
  <c r="S22" i="1088"/>
  <c r="T22" i="1088"/>
  <c r="U22" i="1088"/>
  <c r="V22" i="1088"/>
  <c r="W22" i="1088"/>
  <c r="X22" i="1088"/>
  <c r="Y22" i="1088"/>
  <c r="Z22" i="1088"/>
  <c r="R23" i="1088"/>
  <c r="S23" i="1088"/>
  <c r="T23" i="1088"/>
  <c r="U23" i="1088"/>
  <c r="V23" i="1088"/>
  <c r="W23" i="1088"/>
  <c r="X23" i="1088"/>
  <c r="Y23" i="1088"/>
  <c r="Z23" i="1088"/>
  <c r="R24" i="1088"/>
  <c r="S24" i="1088"/>
  <c r="T24" i="1088"/>
  <c r="U24" i="1088"/>
  <c r="V24" i="1088"/>
  <c r="W24" i="1088"/>
  <c r="X24" i="1088"/>
  <c r="Y24" i="1088"/>
  <c r="Z24" i="1088"/>
  <c r="R25" i="1088"/>
  <c r="S25" i="1088"/>
  <c r="T25" i="1088"/>
  <c r="U25" i="1088"/>
  <c r="V25" i="1088"/>
  <c r="W25" i="1088"/>
  <c r="X25" i="1088"/>
  <c r="Y25" i="1088"/>
  <c r="Z25" i="1088"/>
  <c r="R26" i="1088"/>
  <c r="S26" i="1088"/>
  <c r="T26" i="1088"/>
  <c r="U26" i="1088"/>
  <c r="V26" i="1088"/>
  <c r="W26" i="1088"/>
  <c r="X26" i="1088"/>
  <c r="Y26" i="1088"/>
  <c r="Z26" i="1088"/>
  <c r="R27" i="1088"/>
  <c r="S27" i="1088"/>
  <c r="T27" i="1088"/>
  <c r="U27" i="1088"/>
  <c r="V27" i="1088"/>
  <c r="W27" i="1088"/>
  <c r="X27" i="1088"/>
  <c r="Y27" i="1088"/>
  <c r="Z27" i="1088"/>
  <c r="R28" i="1088"/>
  <c r="S28" i="1088"/>
  <c r="T28" i="1088"/>
  <c r="U28" i="1088"/>
  <c r="V28" i="1088"/>
  <c r="W28" i="1088"/>
  <c r="X28" i="1088"/>
  <c r="Y28" i="1088"/>
  <c r="Z28" i="1088"/>
  <c r="I10" i="1088"/>
  <c r="J10" i="1088"/>
  <c r="K10" i="1088"/>
  <c r="L10" i="1088"/>
  <c r="M10" i="1088"/>
  <c r="N10" i="1088"/>
  <c r="O10" i="1088"/>
  <c r="I11" i="1088"/>
  <c r="J11" i="1088"/>
  <c r="K11" i="1088"/>
  <c r="L11" i="1088"/>
  <c r="M11" i="1088"/>
  <c r="N11" i="1088"/>
  <c r="O11" i="1088"/>
  <c r="I12" i="1088"/>
  <c r="J12" i="1088"/>
  <c r="K12" i="1088"/>
  <c r="L12" i="1088"/>
  <c r="M12" i="1088"/>
  <c r="N12" i="1088"/>
  <c r="O12" i="1088"/>
  <c r="I13" i="1088"/>
  <c r="J13" i="1088"/>
  <c r="K13" i="1088"/>
  <c r="L13" i="1088"/>
  <c r="M13" i="1088"/>
  <c r="N13" i="1088"/>
  <c r="O13" i="1088"/>
  <c r="I14" i="1088"/>
  <c r="J14" i="1088"/>
  <c r="K14" i="1088"/>
  <c r="L14" i="1088"/>
  <c r="M14" i="1088"/>
  <c r="N14" i="1088"/>
  <c r="O14" i="1088"/>
  <c r="I15" i="1088"/>
  <c r="J15" i="1088"/>
  <c r="K15" i="1088"/>
  <c r="L15" i="1088"/>
  <c r="M15" i="1088"/>
  <c r="N15" i="1088"/>
  <c r="O15" i="1088"/>
  <c r="I16" i="1088"/>
  <c r="J16" i="1088"/>
  <c r="K16" i="1088"/>
  <c r="L16" i="1088"/>
  <c r="M16" i="1088"/>
  <c r="N16" i="1088"/>
  <c r="O16" i="1088"/>
  <c r="C10" i="1088"/>
  <c r="D10" i="1088"/>
  <c r="E10" i="1088"/>
  <c r="F10" i="1088"/>
  <c r="G10" i="1088"/>
  <c r="C11" i="1088"/>
  <c r="D11" i="1088"/>
  <c r="E11" i="1088"/>
  <c r="F11" i="1088"/>
  <c r="G11" i="1088"/>
  <c r="C12" i="1088"/>
  <c r="D12" i="1088"/>
  <c r="E12" i="1088"/>
  <c r="F12" i="1088"/>
  <c r="G12" i="1088"/>
  <c r="C13" i="1088"/>
  <c r="D13" i="1088"/>
  <c r="E13" i="1088"/>
  <c r="F13" i="1088"/>
  <c r="G13" i="1088"/>
  <c r="C14" i="1088"/>
  <c r="D14" i="1088"/>
  <c r="E14" i="1088"/>
  <c r="F14" i="1088"/>
  <c r="G14" i="1088"/>
  <c r="C15" i="1088"/>
  <c r="D15" i="1088"/>
  <c r="E15" i="1088"/>
  <c r="F15" i="1088"/>
  <c r="G15" i="1088"/>
  <c r="C16" i="1088"/>
  <c r="D16" i="1088"/>
  <c r="E16" i="1088"/>
  <c r="F16" i="1088"/>
  <c r="G16" i="1088"/>
  <c r="R29" i="1088"/>
  <c r="S29" i="1088"/>
  <c r="T29" i="1088"/>
  <c r="U29" i="1088"/>
  <c r="V29" i="1088"/>
  <c r="W29" i="1088"/>
  <c r="X29" i="1088"/>
  <c r="Y29" i="1088"/>
  <c r="Z29" i="1088"/>
  <c r="R30" i="1088"/>
  <c r="S30" i="1088"/>
  <c r="T30" i="1088"/>
  <c r="U30" i="1088"/>
  <c r="V30" i="1088"/>
  <c r="W30" i="1088"/>
  <c r="X30" i="1088"/>
  <c r="Y30" i="1088"/>
  <c r="Z30" i="1088"/>
  <c r="R31" i="1088"/>
  <c r="S31" i="1088"/>
  <c r="T31" i="1088"/>
  <c r="U31" i="1088"/>
  <c r="V31" i="1088"/>
  <c r="W31" i="1088"/>
  <c r="X31" i="1088"/>
  <c r="Y31" i="1088"/>
  <c r="Z31" i="1088"/>
  <c r="G62" i="1088"/>
  <c r="AX64" i="1088"/>
  <c r="AW64" i="1088"/>
  <c r="AV64" i="1088"/>
  <c r="AU64" i="1088"/>
  <c r="AT64" i="1088"/>
  <c r="AS64" i="1088"/>
  <c r="AR64" i="1088"/>
  <c r="AQ64" i="1088"/>
  <c r="AP64" i="1088"/>
  <c r="AO64" i="1088"/>
  <c r="AN64" i="1088"/>
  <c r="AM64" i="1088"/>
  <c r="AL64" i="1088"/>
  <c r="AK64" i="1088"/>
  <c r="AJ64" i="1088"/>
  <c r="AI64" i="1088"/>
  <c r="AH64" i="1088"/>
  <c r="AG64" i="1088"/>
  <c r="AF64" i="1088"/>
  <c r="AE64" i="1088"/>
  <c r="AD64" i="1088"/>
  <c r="AC64" i="1088"/>
  <c r="AB64" i="1088"/>
  <c r="G64" i="1088"/>
  <c r="B64" i="1088"/>
  <c r="AX63" i="1088"/>
  <c r="AW63" i="1088"/>
  <c r="AV63" i="1088"/>
  <c r="AU63" i="1088"/>
  <c r="AT63" i="1088"/>
  <c r="AS63" i="1088"/>
  <c r="AR63" i="1088"/>
  <c r="AQ63" i="1088"/>
  <c r="AP63" i="1088"/>
  <c r="AO63" i="1088"/>
  <c r="AN63" i="1088"/>
  <c r="AM63" i="1088"/>
  <c r="AL63" i="1088"/>
  <c r="AK63" i="1088"/>
  <c r="AJ63" i="1088"/>
  <c r="AI63" i="1088"/>
  <c r="AH63" i="1088"/>
  <c r="AG63" i="1088"/>
  <c r="AF63" i="1088"/>
  <c r="AE63" i="1088"/>
  <c r="AD63" i="1088"/>
  <c r="AC63" i="1088"/>
  <c r="AB63" i="1088"/>
  <c r="AX62" i="1088"/>
  <c r="AW62" i="1088"/>
  <c r="AV62" i="1088"/>
  <c r="AU62" i="1088"/>
  <c r="AT62" i="1088"/>
  <c r="AS62" i="1088"/>
  <c r="AR62" i="1088"/>
  <c r="AQ62" i="1088"/>
  <c r="AP62" i="1088"/>
  <c r="AO62" i="1088"/>
  <c r="AN62" i="1088"/>
  <c r="AM62" i="1088"/>
  <c r="AL62" i="1088"/>
  <c r="AK62" i="1088"/>
  <c r="AJ62" i="1088"/>
  <c r="AI62" i="1088"/>
  <c r="AH62" i="1088"/>
  <c r="AG62" i="1088"/>
  <c r="AF62" i="1088"/>
  <c r="AE62" i="1088"/>
  <c r="AD62" i="1088"/>
  <c r="AC62" i="1088"/>
  <c r="AB62" i="1088"/>
  <c r="K57" i="1088"/>
  <c r="M48" i="1088"/>
  <c r="Z44" i="1088"/>
  <c r="Y44" i="1088"/>
  <c r="X44" i="1088"/>
  <c r="W44" i="1088"/>
  <c r="V44" i="1088"/>
  <c r="U44" i="1088"/>
  <c r="T44" i="1088"/>
  <c r="S44" i="1088"/>
  <c r="R44" i="1088"/>
  <c r="Z43" i="1088"/>
  <c r="Y43" i="1088"/>
  <c r="X43" i="1088"/>
  <c r="W43" i="1088"/>
  <c r="V43" i="1088"/>
  <c r="U43" i="1088"/>
  <c r="T43" i="1088"/>
  <c r="S43" i="1088"/>
  <c r="R43" i="1088"/>
  <c r="Z42" i="1088"/>
  <c r="Y42" i="1088"/>
  <c r="X42" i="1088"/>
  <c r="W42" i="1088"/>
  <c r="V42" i="1088"/>
  <c r="U42" i="1088"/>
  <c r="T42" i="1088"/>
  <c r="S42" i="1088"/>
  <c r="R42" i="1088"/>
  <c r="Z41" i="1088"/>
  <c r="Y41" i="1088"/>
  <c r="X41" i="1088"/>
  <c r="W41" i="1088"/>
  <c r="V41" i="1088"/>
  <c r="U41" i="1088"/>
  <c r="T41" i="1088"/>
  <c r="S41" i="1088"/>
  <c r="R41" i="1088"/>
  <c r="Z40" i="1088"/>
  <c r="Y40" i="1088"/>
  <c r="X40" i="1088"/>
  <c r="W40" i="1088"/>
  <c r="V40" i="1088"/>
  <c r="U40" i="1088"/>
  <c r="T40" i="1088"/>
  <c r="S40" i="1088"/>
  <c r="R40" i="1088"/>
  <c r="Z39" i="1088"/>
  <c r="Y39" i="1088"/>
  <c r="X39" i="1088"/>
  <c r="W39" i="1088"/>
  <c r="V39" i="1088"/>
  <c r="U39" i="1088"/>
  <c r="T39" i="1088"/>
  <c r="S39" i="1088"/>
  <c r="R39" i="1088"/>
  <c r="M39" i="1088"/>
  <c r="Z38" i="1088"/>
  <c r="Y38" i="1088"/>
  <c r="X38" i="1088"/>
  <c r="W38" i="1088"/>
  <c r="V38" i="1088"/>
  <c r="U38" i="1088"/>
  <c r="T38" i="1088"/>
  <c r="S38" i="1088"/>
  <c r="R38" i="1088"/>
  <c r="M38" i="1088"/>
  <c r="Z37" i="1088"/>
  <c r="Y37" i="1088"/>
  <c r="X37" i="1088"/>
  <c r="W37" i="1088"/>
  <c r="V37" i="1088"/>
  <c r="U37" i="1088"/>
  <c r="T37" i="1088"/>
  <c r="S37" i="1088"/>
  <c r="R37" i="1088"/>
  <c r="Z36" i="1088"/>
  <c r="Y36" i="1088"/>
  <c r="X36" i="1088"/>
  <c r="W36" i="1088"/>
  <c r="V36" i="1088"/>
  <c r="U36" i="1088"/>
  <c r="T36" i="1088"/>
  <c r="S36" i="1088"/>
  <c r="R36" i="1088"/>
  <c r="M36" i="1088"/>
  <c r="Z35" i="1088"/>
  <c r="Y35" i="1088"/>
  <c r="X35" i="1088"/>
  <c r="W35" i="1088"/>
  <c r="V35" i="1088"/>
  <c r="U35" i="1088"/>
  <c r="T35" i="1088"/>
  <c r="S35" i="1088"/>
  <c r="R35" i="1088"/>
  <c r="Z34" i="1088"/>
  <c r="Y34" i="1088"/>
  <c r="X34" i="1088"/>
  <c r="W34" i="1088"/>
  <c r="V34" i="1088"/>
  <c r="U34" i="1088"/>
  <c r="T34" i="1088"/>
  <c r="S34" i="1088"/>
  <c r="R34" i="1088"/>
  <c r="M34" i="1088"/>
  <c r="L34" i="1088"/>
  <c r="K34" i="1088"/>
  <c r="Z33" i="1088"/>
  <c r="Y33" i="1088"/>
  <c r="X33" i="1088"/>
  <c r="W33" i="1088"/>
  <c r="V33" i="1088"/>
  <c r="U33" i="1088"/>
  <c r="T33" i="1088"/>
  <c r="S33" i="1088"/>
  <c r="R33" i="1088"/>
  <c r="Z32" i="1088"/>
  <c r="Y32" i="1088"/>
  <c r="X32" i="1088"/>
  <c r="W32" i="1088"/>
  <c r="V32" i="1088"/>
  <c r="U32" i="1088"/>
  <c r="T32" i="1088"/>
  <c r="S32" i="1088"/>
  <c r="R32" i="1088"/>
  <c r="R10" i="1087"/>
  <c r="S10" i="1087"/>
  <c r="T10" i="1087"/>
  <c r="U10" i="1087"/>
  <c r="V10" i="1087"/>
  <c r="W10" i="1087"/>
  <c r="X10" i="1087"/>
  <c r="Y10" i="1087"/>
  <c r="Z10" i="1087"/>
  <c r="R11" i="1087"/>
  <c r="S11" i="1087"/>
  <c r="T11" i="1087"/>
  <c r="U11" i="1087"/>
  <c r="V11" i="1087"/>
  <c r="W11" i="1087"/>
  <c r="X11" i="1087"/>
  <c r="Y11" i="1087"/>
  <c r="Z11" i="1087"/>
  <c r="R12" i="1087"/>
  <c r="S12" i="1087"/>
  <c r="T12" i="1087"/>
  <c r="U12" i="1087"/>
  <c r="V12" i="1087"/>
  <c r="W12" i="1087"/>
  <c r="X12" i="1087"/>
  <c r="Y12" i="1087"/>
  <c r="Z12" i="1087"/>
  <c r="R13" i="1087"/>
  <c r="S13" i="1087"/>
  <c r="T13" i="1087"/>
  <c r="U13" i="1087"/>
  <c r="V13" i="1087"/>
  <c r="W13" i="1087"/>
  <c r="X13" i="1087"/>
  <c r="Y13" i="1087"/>
  <c r="Z13" i="1087"/>
  <c r="R14" i="1087"/>
  <c r="S14" i="1087"/>
  <c r="T14" i="1087"/>
  <c r="U14" i="1087"/>
  <c r="V14" i="1087"/>
  <c r="W14" i="1087"/>
  <c r="X14" i="1087"/>
  <c r="Y14" i="1087"/>
  <c r="Z14" i="1087"/>
  <c r="R15" i="1087"/>
  <c r="S15" i="1087"/>
  <c r="T15" i="1087"/>
  <c r="U15" i="1087"/>
  <c r="V15" i="1087"/>
  <c r="W15" i="1087"/>
  <c r="X15" i="1087"/>
  <c r="Y15" i="1087"/>
  <c r="Z15" i="1087"/>
  <c r="R16" i="1087"/>
  <c r="S16" i="1087"/>
  <c r="T16" i="1087"/>
  <c r="U16" i="1087"/>
  <c r="V16" i="1087"/>
  <c r="W16" i="1087"/>
  <c r="X16" i="1087"/>
  <c r="Y16" i="1087"/>
  <c r="Z16" i="1087"/>
  <c r="J33" i="1088" l="1"/>
  <c r="K43" i="1088"/>
  <c r="L43" i="1088" s="1"/>
  <c r="M43" i="1088" s="1"/>
  <c r="G53" i="1087"/>
  <c r="G51" i="1087"/>
  <c r="B53" i="1087" l="1"/>
  <c r="M22" i="1087"/>
  <c r="L22" i="1087"/>
  <c r="K22" i="1087"/>
  <c r="C13" i="1087"/>
  <c r="D13" i="1087"/>
  <c r="E13" i="1087"/>
  <c r="F13" i="1087"/>
  <c r="G13" i="1087"/>
  <c r="I13" i="1087"/>
  <c r="J13" i="1087"/>
  <c r="K13" i="1087"/>
  <c r="L13" i="1087"/>
  <c r="M13" i="1087"/>
  <c r="N13" i="1087"/>
  <c r="O13" i="1087"/>
  <c r="C14" i="1087"/>
  <c r="D14" i="1087"/>
  <c r="E14" i="1087"/>
  <c r="F14" i="1087"/>
  <c r="G14" i="1087"/>
  <c r="I14" i="1087"/>
  <c r="J14" i="1087"/>
  <c r="K14" i="1087"/>
  <c r="L14" i="1087"/>
  <c r="M14" i="1087"/>
  <c r="N14" i="1087"/>
  <c r="O14" i="1087"/>
  <c r="C15" i="1087"/>
  <c r="D15" i="1087"/>
  <c r="E15" i="1087"/>
  <c r="F15" i="1087"/>
  <c r="G15" i="1087"/>
  <c r="I15" i="1087"/>
  <c r="J15" i="1087"/>
  <c r="K15" i="1087"/>
  <c r="L15" i="1087"/>
  <c r="M15" i="1087"/>
  <c r="N15" i="1087"/>
  <c r="O15" i="1087"/>
  <c r="C16" i="1087"/>
  <c r="D16" i="1087"/>
  <c r="E16" i="1087"/>
  <c r="F16" i="1087"/>
  <c r="G16" i="1087"/>
  <c r="I16" i="1087"/>
  <c r="J16" i="1087"/>
  <c r="K16" i="1087"/>
  <c r="L16" i="1087"/>
  <c r="M16" i="1087"/>
  <c r="N16" i="1087"/>
  <c r="O16" i="1087"/>
  <c r="C17" i="1087"/>
  <c r="D17" i="1087"/>
  <c r="E17" i="1087"/>
  <c r="F17" i="1087"/>
  <c r="G17" i="1087"/>
  <c r="I17" i="1087"/>
  <c r="J17" i="1087"/>
  <c r="K17" i="1087"/>
  <c r="L17" i="1087"/>
  <c r="M17" i="1087"/>
  <c r="N17" i="1087"/>
  <c r="O17" i="1087"/>
  <c r="D51" i="1087" l="1"/>
  <c r="J22" i="1087"/>
  <c r="M23" i="1087" l="1"/>
  <c r="L23" i="1087"/>
  <c r="K23" i="1087"/>
  <c r="K32" i="1087" s="1"/>
  <c r="I10" i="1087"/>
  <c r="J10" i="1087"/>
  <c r="L10" i="1087"/>
  <c r="M10" i="1087"/>
  <c r="N10" i="1087"/>
  <c r="O10" i="1087"/>
  <c r="I11" i="1087"/>
  <c r="J11" i="1087"/>
  <c r="L11" i="1087"/>
  <c r="M11" i="1087"/>
  <c r="N11" i="1087"/>
  <c r="O11" i="1087"/>
  <c r="C10" i="1087"/>
  <c r="D10" i="1087"/>
  <c r="E10" i="1087"/>
  <c r="F10" i="1087"/>
  <c r="G10" i="1087"/>
  <c r="C11" i="1087"/>
  <c r="D11" i="1087"/>
  <c r="E11" i="1087"/>
  <c r="F11" i="1087"/>
  <c r="G11" i="1087"/>
  <c r="AX53" i="1087"/>
  <c r="AW53" i="1087"/>
  <c r="AV53" i="1087"/>
  <c r="AU53" i="1087"/>
  <c r="AT53" i="1087"/>
  <c r="AS53" i="1087"/>
  <c r="AR53" i="1087"/>
  <c r="AQ53" i="1087"/>
  <c r="AP53" i="1087"/>
  <c r="AO53" i="1087"/>
  <c r="AN53" i="1087"/>
  <c r="AM53" i="1087"/>
  <c r="AL53" i="1087"/>
  <c r="AK53" i="1087"/>
  <c r="AJ53" i="1087"/>
  <c r="AI53" i="1087"/>
  <c r="AH53" i="1087"/>
  <c r="AG53" i="1087"/>
  <c r="AF53" i="1087"/>
  <c r="AE53" i="1087"/>
  <c r="AD53" i="1087"/>
  <c r="AC53" i="1087"/>
  <c r="AB53" i="1087"/>
  <c r="AX52" i="1087"/>
  <c r="AW52" i="1087"/>
  <c r="AV52" i="1087"/>
  <c r="AU52" i="1087"/>
  <c r="AT52" i="1087"/>
  <c r="AS52" i="1087"/>
  <c r="AR52" i="1087"/>
  <c r="AQ52" i="1087"/>
  <c r="AP52" i="1087"/>
  <c r="AO52" i="1087"/>
  <c r="AN52" i="1087"/>
  <c r="AM52" i="1087"/>
  <c r="AL52" i="1087"/>
  <c r="AK52" i="1087"/>
  <c r="AJ52" i="1087"/>
  <c r="AI52" i="1087"/>
  <c r="AH52" i="1087"/>
  <c r="AG52" i="1087"/>
  <c r="AF52" i="1087"/>
  <c r="AE52" i="1087"/>
  <c r="AD52" i="1087"/>
  <c r="AC52" i="1087"/>
  <c r="AB52" i="1087"/>
  <c r="AX51" i="1087"/>
  <c r="AW51" i="1087"/>
  <c r="AV51" i="1087"/>
  <c r="AU51" i="1087"/>
  <c r="AT51" i="1087"/>
  <c r="AS51" i="1087"/>
  <c r="AR51" i="1087"/>
  <c r="AQ51" i="1087"/>
  <c r="AP51" i="1087"/>
  <c r="AO51" i="1087"/>
  <c r="AN51" i="1087"/>
  <c r="AM51" i="1087"/>
  <c r="AL51" i="1087"/>
  <c r="AK51" i="1087"/>
  <c r="AJ51" i="1087"/>
  <c r="AI51" i="1087"/>
  <c r="AH51" i="1087"/>
  <c r="AG51" i="1087"/>
  <c r="AF51" i="1087"/>
  <c r="AE51" i="1087"/>
  <c r="AD51" i="1087"/>
  <c r="AC51" i="1087"/>
  <c r="AB51" i="1087"/>
  <c r="L51" i="1087"/>
  <c r="C64" i="1087" s="1"/>
  <c r="B51" i="1087"/>
  <c r="K46" i="1087"/>
  <c r="Z33" i="1087"/>
  <c r="Y33" i="1087"/>
  <c r="X33" i="1087"/>
  <c r="W33" i="1087"/>
  <c r="V33" i="1087"/>
  <c r="U33" i="1087"/>
  <c r="T33" i="1087"/>
  <c r="S33" i="1087"/>
  <c r="R33" i="1087"/>
  <c r="Z32" i="1087"/>
  <c r="Y32" i="1087"/>
  <c r="X32" i="1087"/>
  <c r="W32" i="1087"/>
  <c r="V32" i="1087"/>
  <c r="U32" i="1087"/>
  <c r="T32" i="1087"/>
  <c r="S32" i="1087"/>
  <c r="R32" i="1087"/>
  <c r="Z31" i="1087"/>
  <c r="Y31" i="1087"/>
  <c r="X31" i="1087"/>
  <c r="W31" i="1087"/>
  <c r="V31" i="1087"/>
  <c r="U31" i="1087"/>
  <c r="T31" i="1087"/>
  <c r="S31" i="1087"/>
  <c r="R31" i="1087"/>
  <c r="Z30" i="1087"/>
  <c r="Y30" i="1087"/>
  <c r="X30" i="1087"/>
  <c r="W30" i="1087"/>
  <c r="V30" i="1087"/>
  <c r="U30" i="1087"/>
  <c r="T30" i="1087"/>
  <c r="S30" i="1087"/>
  <c r="R30" i="1087"/>
  <c r="Z29" i="1087"/>
  <c r="Y29" i="1087"/>
  <c r="X29" i="1087"/>
  <c r="W29" i="1087"/>
  <c r="V29" i="1087"/>
  <c r="U29" i="1087"/>
  <c r="T29" i="1087"/>
  <c r="S29" i="1087"/>
  <c r="R29" i="1087"/>
  <c r="Z28" i="1087"/>
  <c r="Y28" i="1087"/>
  <c r="X28" i="1087"/>
  <c r="W28" i="1087"/>
  <c r="V28" i="1087"/>
  <c r="U28" i="1087"/>
  <c r="T28" i="1087"/>
  <c r="S28" i="1087"/>
  <c r="R28" i="1087"/>
  <c r="M28" i="1087"/>
  <c r="Z27" i="1087"/>
  <c r="Y27" i="1087"/>
  <c r="X27" i="1087"/>
  <c r="W27" i="1087"/>
  <c r="V27" i="1087"/>
  <c r="U27" i="1087"/>
  <c r="T27" i="1087"/>
  <c r="S27" i="1087"/>
  <c r="R27" i="1087"/>
  <c r="M27" i="1087"/>
  <c r="Z26" i="1087"/>
  <c r="Y26" i="1087"/>
  <c r="X26" i="1087"/>
  <c r="W26" i="1087"/>
  <c r="V26" i="1087"/>
  <c r="U26" i="1087"/>
  <c r="T26" i="1087"/>
  <c r="S26" i="1087"/>
  <c r="R26" i="1087"/>
  <c r="Z25" i="1087"/>
  <c r="Y25" i="1087"/>
  <c r="X25" i="1087"/>
  <c r="W25" i="1087"/>
  <c r="V25" i="1087"/>
  <c r="U25" i="1087"/>
  <c r="T25" i="1087"/>
  <c r="S25" i="1087"/>
  <c r="R25" i="1087"/>
  <c r="M25" i="1087"/>
  <c r="Z24" i="1087"/>
  <c r="Y24" i="1087"/>
  <c r="X24" i="1087"/>
  <c r="W24" i="1087"/>
  <c r="V24" i="1087"/>
  <c r="U24" i="1087"/>
  <c r="T24" i="1087"/>
  <c r="S24" i="1087"/>
  <c r="R24" i="1087"/>
  <c r="M24" i="1087"/>
  <c r="Z23" i="1087"/>
  <c r="Y23" i="1087"/>
  <c r="X23" i="1087"/>
  <c r="W23" i="1087"/>
  <c r="V23" i="1087"/>
  <c r="U23" i="1087"/>
  <c r="T23" i="1087"/>
  <c r="S23" i="1087"/>
  <c r="R23" i="1087"/>
  <c r="Z22" i="1087"/>
  <c r="Y22" i="1087"/>
  <c r="X22" i="1087"/>
  <c r="W22" i="1087"/>
  <c r="V22" i="1087"/>
  <c r="U22" i="1087"/>
  <c r="T22" i="1087"/>
  <c r="S22" i="1087"/>
  <c r="R22" i="1087"/>
  <c r="Z21" i="1087"/>
  <c r="Y21" i="1087"/>
  <c r="X21" i="1087"/>
  <c r="W21" i="1087"/>
  <c r="V21" i="1087"/>
  <c r="U21" i="1087"/>
  <c r="T21" i="1087"/>
  <c r="S21" i="1087"/>
  <c r="R21" i="1087"/>
  <c r="Z20" i="1087"/>
  <c r="Y20" i="1087"/>
  <c r="X20" i="1087"/>
  <c r="W20" i="1087"/>
  <c r="V20" i="1087"/>
  <c r="U20" i="1087"/>
  <c r="T20" i="1087"/>
  <c r="S20" i="1087"/>
  <c r="R20" i="1087"/>
  <c r="Z19" i="1087"/>
  <c r="Y19" i="1087"/>
  <c r="X19" i="1087"/>
  <c r="W19" i="1087"/>
  <c r="V19" i="1087"/>
  <c r="U19" i="1087"/>
  <c r="T19" i="1087"/>
  <c r="S19" i="1087"/>
  <c r="R19" i="1087"/>
  <c r="Z18" i="1087"/>
  <c r="Y18" i="1087"/>
  <c r="X18" i="1087"/>
  <c r="W18" i="1087"/>
  <c r="V18" i="1087"/>
  <c r="U18" i="1087"/>
  <c r="T18" i="1087"/>
  <c r="S18" i="1087"/>
  <c r="R18" i="1087"/>
  <c r="Z17" i="1087"/>
  <c r="Y17" i="1087"/>
  <c r="X17" i="1087"/>
  <c r="W17" i="1087"/>
  <c r="V17" i="1087"/>
  <c r="U17" i="1087"/>
  <c r="T17" i="1087"/>
  <c r="S17" i="1087"/>
  <c r="R17" i="1087"/>
  <c r="L11" i="1086"/>
  <c r="L12" i="1086"/>
  <c r="L13" i="1086"/>
  <c r="L14" i="1086"/>
  <c r="L15" i="1086"/>
  <c r="L16" i="1086"/>
  <c r="L10" i="1086"/>
  <c r="G65" i="1086"/>
  <c r="G52" i="1086"/>
  <c r="D52" i="1086"/>
  <c r="J23" i="1087" l="1"/>
  <c r="L37" i="1087"/>
  <c r="M37" i="1087" s="1"/>
  <c r="L32" i="1087"/>
  <c r="M32" i="1087" s="1"/>
  <c r="K24" i="1086"/>
  <c r="M24" i="1086"/>
  <c r="L24" i="1086"/>
  <c r="I10" i="1086"/>
  <c r="J10" i="1086"/>
  <c r="M10" i="1086"/>
  <c r="N10" i="1086"/>
  <c r="O10" i="1086"/>
  <c r="I11" i="1086"/>
  <c r="J11" i="1086"/>
  <c r="M11" i="1086"/>
  <c r="N11" i="1086"/>
  <c r="O11" i="1086"/>
  <c r="I12" i="1086"/>
  <c r="J12" i="1086"/>
  <c r="M12" i="1086"/>
  <c r="N12" i="1086"/>
  <c r="O12" i="1086"/>
  <c r="I13" i="1086"/>
  <c r="J13" i="1086"/>
  <c r="M13" i="1086"/>
  <c r="N13" i="1086"/>
  <c r="O13" i="1086"/>
  <c r="I14" i="1086"/>
  <c r="J14" i="1086"/>
  <c r="M14" i="1086"/>
  <c r="N14" i="1086"/>
  <c r="O14" i="1086"/>
  <c r="I15" i="1086"/>
  <c r="J15" i="1086"/>
  <c r="M15" i="1086"/>
  <c r="N15" i="1086"/>
  <c r="O15" i="1086"/>
  <c r="I16" i="1086"/>
  <c r="J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60" i="19"/>
  <c r="J63" i="19"/>
  <c r="J64" i="19"/>
  <c r="J24" i="1086" l="1"/>
  <c r="K33" i="1086"/>
  <c r="L33" i="1086" s="1"/>
  <c r="M33" i="1086" s="1"/>
  <c r="L38" i="1086"/>
  <c r="M38" i="1086" s="1"/>
  <c r="G76" i="1085"/>
  <c r="G63" i="1085"/>
  <c r="D63" i="1085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L16" i="1085"/>
  <c r="M16" i="1085"/>
  <c r="N16" i="1085"/>
  <c r="O16" i="1085"/>
  <c r="I17" i="1085"/>
  <c r="J17" i="1085"/>
  <c r="L17" i="1085"/>
  <c r="M17" i="1085"/>
  <c r="N17" i="1085"/>
  <c r="O17" i="1085"/>
  <c r="I18" i="1085"/>
  <c r="J18" i="1085"/>
  <c r="L18" i="1085"/>
  <c r="M18" i="1085"/>
  <c r="N18" i="1085"/>
  <c r="O18" i="1085"/>
  <c r="I19" i="1085"/>
  <c r="J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J20" i="1085"/>
  <c r="I20" i="1085"/>
  <c r="G20" i="1085"/>
  <c r="F20" i="1085"/>
  <c r="E20" i="1085"/>
  <c r="D20" i="1085"/>
  <c r="C20" i="1085"/>
  <c r="I10" i="1085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L63" i="1085" l="1"/>
  <c r="C76" i="1085" s="1"/>
  <c r="J34" i="1085"/>
  <c r="J35" i="1085"/>
  <c r="K44" i="1085"/>
  <c r="L44" i="1085" s="1"/>
  <c r="M44" i="1085" s="1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37" i="1084" l="1"/>
  <c r="L37" i="1084" s="1"/>
  <c r="M37" i="1084" s="1"/>
  <c r="G69" i="1084"/>
  <c r="D58" i="1084"/>
  <c r="L58" i="1084" s="1"/>
  <c r="J27" i="1084"/>
  <c r="J20" i="1083"/>
  <c r="D49" i="1083"/>
  <c r="L49" i="1083" s="1"/>
  <c r="C62" i="1083" s="1"/>
  <c r="L56" i="1084"/>
  <c r="K30" i="1083"/>
  <c r="L30" i="1083" s="1"/>
  <c r="M30" i="1083" s="1"/>
  <c r="B57" i="1082"/>
  <c r="M29" i="1082"/>
  <c r="M28" i="1082"/>
  <c r="L29" i="1082"/>
  <c r="L28" i="1082"/>
  <c r="K29" i="1082"/>
  <c r="K28" i="1082"/>
  <c r="C69" i="1084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L10" i="1082"/>
  <c r="M10" i="1082"/>
  <c r="N10" i="1082"/>
  <c r="O10" i="1082"/>
  <c r="I11" i="1082"/>
  <c r="J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60" i="18"/>
  <c r="J61" i="18"/>
  <c r="J63" i="18"/>
  <c r="J64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8" i="18"/>
  <c r="D60" i="18"/>
  <c r="D61" i="18"/>
  <c r="D62" i="18"/>
  <c r="D63" i="18"/>
  <c r="D64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G51" i="1083" l="1"/>
  <c r="G59" i="1082"/>
  <c r="D51" i="1083"/>
  <c r="D59" i="1082"/>
  <c r="L59" i="1082" l="1"/>
  <c r="L51" i="1083"/>
  <c r="G56" i="19" l="1"/>
  <c r="G62" i="19"/>
  <c r="K27" i="1088" l="1"/>
  <c r="K26" i="1088"/>
  <c r="K25" i="1088"/>
  <c r="K24" i="1088"/>
  <c r="K23" i="1088"/>
  <c r="K22" i="1088"/>
  <c r="K21" i="1088"/>
  <c r="K20" i="1088"/>
  <c r="K11" i="1087" l="1"/>
  <c r="N10" i="1089"/>
  <c r="K11" i="1086"/>
  <c r="K12" i="1086"/>
  <c r="K13" i="1086"/>
  <c r="K14" i="1086"/>
  <c r="K15" i="1086"/>
  <c r="K16" i="1086"/>
  <c r="K10" i="1087"/>
  <c r="K17" i="1085"/>
  <c r="K18" i="1085"/>
  <c r="K19" i="1085"/>
  <c r="K20" i="1085"/>
  <c r="K10" i="1086"/>
  <c r="K10" i="1082"/>
  <c r="K11" i="1082"/>
  <c r="K16" i="1085"/>
  <c r="J10" i="1089" l="1"/>
  <c r="I10" i="1089"/>
  <c r="J27" i="1089" s="1"/>
  <c r="C13" i="1090" l="1"/>
  <c r="C15" i="1089"/>
  <c r="C12" i="1090"/>
  <c r="C14" i="1089"/>
  <c r="C11" i="1090"/>
  <c r="C13" i="1089"/>
  <c r="C18" i="1089"/>
  <c r="C17" i="1089"/>
  <c r="C16" i="1089"/>
  <c r="C10" i="1090"/>
  <c r="C12" i="1089"/>
  <c r="D57" i="1082"/>
  <c r="L57" i="1082" s="1"/>
  <c r="C73" i="1082" s="1"/>
  <c r="G76" i="1088"/>
  <c r="D62" i="1088"/>
  <c r="L62" i="1088" s="1"/>
  <c r="C76" i="1088" s="1"/>
  <c r="D57" i="1089" l="1"/>
  <c r="L57" i="1089" s="1"/>
  <c r="D64" i="1088"/>
  <c r="L64" i="1088" s="1"/>
  <c r="D53" i="1087"/>
  <c r="L53" i="1087" s="1"/>
  <c r="C65" i="1087" s="1"/>
  <c r="G73" i="1082"/>
  <c r="G57" i="18" l="1"/>
  <c r="G59" i="18"/>
  <c r="G57" i="19" l="1"/>
  <c r="G65" i="18" l="1"/>
  <c r="G59" i="19" l="1"/>
  <c r="G65" i="19"/>
  <c r="G58" i="19" l="1"/>
  <c r="G61" i="19"/>
  <c r="D58" i="19" l="1"/>
  <c r="D60" i="19"/>
  <c r="D61" i="19"/>
  <c r="D62" i="19"/>
  <c r="D64" i="19"/>
  <c r="D63" i="19" l="1"/>
  <c r="K17" i="1091" l="1"/>
  <c r="K19" i="1089"/>
  <c r="K16" i="1091"/>
  <c r="K18" i="1089"/>
  <c r="K11" i="1090"/>
  <c r="K13" i="1089"/>
  <c r="K12" i="1090"/>
  <c r="K14" i="1089"/>
  <c r="K10" i="1090"/>
  <c r="K12" i="1089"/>
  <c r="K15" i="1091"/>
  <c r="K17" i="1089"/>
  <c r="K13" i="1090"/>
  <c r="K15" i="1089"/>
  <c r="K14" i="1091"/>
  <c r="K16" i="1089"/>
  <c r="D59" i="18" l="1"/>
  <c r="D59" i="19"/>
  <c r="D57" i="18"/>
  <c r="D57" i="19"/>
  <c r="D56" i="18" l="1"/>
  <c r="D56" i="19" l="1"/>
  <c r="D65" i="19" l="1"/>
  <c r="D65" i="18"/>
  <c r="J62" i="18" l="1"/>
  <c r="J58" i="18"/>
  <c r="K52" i="1086" l="1"/>
  <c r="K65" i="1086" s="1"/>
  <c r="K53" i="1091"/>
  <c r="K66" i="1091" s="1"/>
  <c r="K56" i="1084"/>
  <c r="K53" i="1092"/>
  <c r="K66" i="1092" s="1"/>
  <c r="K55" i="1089"/>
  <c r="K68" i="1089" s="1"/>
  <c r="K63" i="1085"/>
  <c r="K76" i="1085" s="1"/>
  <c r="K57" i="1082"/>
  <c r="K73" i="1082" s="1"/>
  <c r="K58" i="1084"/>
  <c r="K51" i="1087"/>
  <c r="K64" i="1087" s="1"/>
  <c r="K62" i="1088"/>
  <c r="K76" i="1088" s="1"/>
  <c r="K55" i="1090" l="1"/>
  <c r="K55" i="1091"/>
  <c r="K57" i="1089"/>
  <c r="K64" i="1088"/>
  <c r="K53" i="1087"/>
  <c r="K65" i="1087" s="1"/>
  <c r="K59" i="1082"/>
  <c r="K51" i="1083"/>
  <c r="K69" i="1084"/>
  <c r="K53" i="1090"/>
  <c r="K66" i="1090" s="1"/>
  <c r="J57" i="18"/>
  <c r="K49" i="1083"/>
  <c r="K62" i="1083" s="1"/>
  <c r="J59" i="18"/>
  <c r="J56" i="18" l="1"/>
  <c r="J65" i="18"/>
  <c r="J59" i="19" l="1"/>
  <c r="J61" i="19"/>
  <c r="J57" i="19"/>
  <c r="J58" i="19"/>
  <c r="J65" i="19" l="1"/>
  <c r="J56" i="19"/>
  <c r="J6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7614727-A18D-4C8E-B3D5-29A7D2CCCDF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54A8D39-A7A5-4456-82D3-F7CFB97E4D2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ACBCCC6-DF93-4B99-81C4-4491061532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39583E8-5FE2-4698-99E9-2F0F60D988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B188A39-94C8-4380-9986-D4D291F760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9D5004F-2761-4D0A-BF4A-EEBBDBB9A38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C3F55677-7ED3-49B9-A538-3CF720A8FB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6A0BA4B-21D4-4D46-BC73-BCEE3292DC2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579EAD-278A-4FDE-809A-2594D7FA02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9667EFE-5861-48EE-87C0-57EA0DEE33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3B8482C-DD72-4DB6-889A-BA96B8F7326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E671254-365D-4067-9240-8AFF360EA4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643379D-25C2-493D-BE4C-A3631424726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D8A4B29-34A8-4B68-B053-F6C8AAA912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F29256F-EEBE-43D6-B104-EBCE75124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67A6B83-AC68-4233-BB7D-F5282C0D6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943D05B-F881-4205-A311-230B482097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4470B22E-CD75-475A-B7E1-409D647957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26C7640E-421F-4FF1-A667-AF50D91CCE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BC754C64-E095-440F-A6F8-B4442740B5E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49454E4-608C-4582-97ED-AD50972E8E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51FC3794-4E14-4FAC-9652-B41A1BFB422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5D235D6-6873-4FF5-B5EA-C3E8D029CF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1AC2390-ED0B-4207-B165-925F0313C79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D47ABA1-91C0-4604-A46B-D51945EF65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EAF21F3-3EBF-40E7-BC27-A4F066431E2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2570607-3F03-4F17-8EF5-C6C6A22CF7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FD994A7-B4F6-4B83-ACC7-18F7AF6337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3DED3FE-A463-46DA-9288-FC360FE60BC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6E659C4-463F-406C-BCEB-26A9A3DC01D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F832A3C2-C8D3-4E76-9C42-2A8FBC315C4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C729636-C23A-461B-90DD-190832C557C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D9648B0-2E0F-4748-B1F5-2EB84D007E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15504F9-569A-4FA4-933A-E488192577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926B09-9866-4F3E-9DB7-0A4C978F05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3117397-21F5-4086-A520-47DA10AB25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B735F43-FE8B-4445-A04A-BEC3E06243E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59B7AE6-1914-402F-B7BE-A2249B008E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4522682F-CE91-430A-BDC7-43BE0D3FCB2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16EC879-3424-407D-BE43-D48C105FA9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B371762-B564-4B1F-B0B7-30F5F624E6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CECEDEB-94FC-4E1F-9F49-A0451DA48DA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EA0AF4A-E84A-4636-BEB8-BA0A1C5BC6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9B31DA5-83E4-4999-B567-23F2F858A9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A504EA-88FA-41D7-80AA-04570A3C99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BFDEC33-73B2-4626-AB07-9FA583A35C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E5D7AA1-5671-4ED1-B0C2-9DE45703E5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C76D8A1-995F-48F2-8C40-EA2173362E7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196C914-676A-4291-86EC-EF9490FA17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09F3321-184E-443B-95B5-8D435B9392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B47A871-5433-44C0-A8C5-9D2C530B52B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531AF73-DBFA-4F0F-9502-63CD85BD05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D6140AB-D925-494C-AE3A-1E8D4E6BDA7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3FF5ACDB-225E-4925-9154-66DF9D7C3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26E830E-8DD0-4D4E-B47D-21175FDBB6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88AB3EE-7637-4804-ACB6-8C21EFC2791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BA34AED-C24D-42A9-B8E4-5A22EBBEA7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F40CC32-E0ED-499D-BFBF-2D6B5D2E702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B710A882-0A3D-4A41-881D-853A634B3C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5C136F-1225-40F1-ADEC-BFDF58158A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8388FAD-A622-49A1-9549-64AAE88608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250CE1-4180-496B-8CDD-DE24ADEB8E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E5ABFEB-6EBB-42E7-9C96-042959FE51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CB8657-E535-4500-90FD-D633E945FCC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222FF95-B176-4D36-9160-61B5A3F7E91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0AF4208-6CEE-416F-B26D-1AACCB4777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EF37856-27FF-4C20-B3F3-A481BEA7837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3FB9B69-FAAE-4F0F-9325-B302A33AC8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099E0EF-E481-4B66-A65D-198B4E919D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B9F8B1-1345-4E4C-B12A-ACA2F3CED05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D093AB5-D77A-488A-BCFE-3B34389EC6C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C0F12FB5-F743-486B-9695-9DE2566AD7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40DF8D36-2DE5-427E-9463-B9BE0E74F7B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ADAA2C9-0898-4E38-99E7-23540F112B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258735D-CA45-43BD-95C8-64E9CFD7ACF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4EF9EE0-1982-47D0-A8BA-C50F30B48B6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7C159F16-5D52-4481-B5EA-C1CC7F1B21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19A8FA9-4C4A-4C13-87C3-7C99A62CE1C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89524FA-82A0-4BC0-93B3-5A9C906CB0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FD50A233-E3D4-40A0-8C04-B7086F2BF86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B898B71-7B7B-4039-84A8-D01EE90032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0C27717-0F99-46CC-92D4-854F4FC8F2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6A502CB6-91C8-4CD9-8203-333D324C24B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835C262-2722-43CF-87FB-3B4D6F4E88F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93E406D5-5D45-4268-8E59-76A9779E3D6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2530E1C-0619-416D-A6F0-2FDBC998866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06B52F9-57E4-48F5-9622-2B30F42AF3B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C72FD23-BD20-4704-BB0A-B73B9B2B6D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<sst xmlns="http://schemas.openxmlformats.org/spreadsheetml/2006/main" count="2155" uniqueCount="185">
  <si>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</si>
  <si>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</si>
  <si>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</si>
  <si>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</si>
  <si>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</si>
  <si>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</si>
  <si>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</si>
  <si>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</si>
  <si>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</si>
  <si>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</si>
  <si>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</si>
  <si>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</si>
  <si>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</si>
  <si>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</si>
  <si>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</si>
  <si>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</si>
  <si>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</si>
  <si>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</si>
  <si>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</si>
  <si>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</si>
  <si>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</si>
  <si>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</si>
  <si>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</si>
  <si>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</si>
  <si>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</si>
  <si>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</si>
  <si>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</si>
  <si>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</si>
  <si>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</si>
  <si>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</si>
  <si>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</si>
  <si>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</si>
  <si>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</si>
  <si>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</si>
  <si>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</si>
  <si>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</si>
  <si>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</si>
  <si>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</si>
  <si>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</si>
  <si>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</si>
  <si>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</si>
  <si>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</si>
  <si>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</si>
  <si>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</si>
  <si>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</si>
  <si>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</si>
  <si>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</si>
  <si>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</si>
  <si>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</si>
  <si>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</si>
  <si>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</si>
  <si>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</si>
  <si>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</si>
  <si>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</si>
  <si>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</si>
  <si>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</si>
  <si>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</si>
  <si>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</si>
  <si>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</si>
  <si>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</si>
  <si>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</si>
  <si>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</si>
  <si>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</si>
  <si>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</si>
  <si>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</si>
  <si>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</si>
  <si>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</si>
  <si>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</si>
  <si>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</si>
  <si>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</si>
  <si>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</si>
  <si>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</si>
  <si>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</si>
  <si>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</si>
  <si>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</si>
  <si>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</si>
  <si>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</si>
  <si>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</si>
  <si>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</si>
  <si>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</si>
  <si>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</si>
  <si>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</si>
  <si>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</si>
  <si>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</si>
  <si>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</si>
  <si>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</si>
  <si>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</si>
  <si>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</si>
  <si>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</si>
  <si>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</si>
  <si>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</si>
  <si>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</si>
  <si>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</si>
  <si>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</si>
  <si>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</si>
  <si>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</si>
  <si>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</si>
  <si>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</si>
  <si>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</si>
  <si>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</si>
  <si>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</si>
  <si>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</si>
  <si>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</si>
  <si>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</si>
  <si>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</si>
  <si>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</si>
  <si>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</si>
  <si>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</si>
  <si>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</si>
  <si>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</si>
  <si>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</si>
  <si>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</si>
  <si>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</si>
  <si>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</si>
  <si>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</si>
  <si>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</si>
  <si>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</si>
  <si>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</si>
  <si>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</si>
  <si>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</si>
  <si>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</si>
  <si>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</si>
  <si>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</si>
  <si>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</si>
  <si>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</si>
  <si>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</si>
  <si>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</si>
  <si>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</si>
  <si>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</si>
  <si>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</si>
  <si>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</si>
  <si>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</si>
  <si>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</si>
  <si>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</si>
  <si>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</si>
  <si>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</si>
  <si>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</si>
  <si>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</si>
  <si>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</si>
  <si>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</si>
  <si>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</si>
  <si>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</si>
  <si>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</si>
  <si>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</si>
  <si>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</si>
  <si>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</si>
  <si>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</si>
  <si>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</si>
  <si>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</si>
  <si>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</si>
  <si>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</si>
  <si>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</si>
  <si>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</si>
  <si>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</si>
  <si>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</si>
  <si>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</si>
  <si>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</si>
  <si>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</si>
  <si>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</si>
  <si>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</si>
  <si>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</si>
  <si>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</si>
  <si>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</si>
  <si>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</si>
  <si>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</si>
  <si>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</si>
  <si>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</si>
  <si>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</si>
  <si>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</si>
  <si>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</si>
  <si>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</si>
  <si>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</si>
  <si>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</si>
  <si>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</si>
  <si>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</si>
  <si>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</si>
  <si>
    <t>T. Charles</t>
  </si>
  <si>
    <t>9th</t>
  </si>
  <si>
    <t>10th</t>
  </si>
  <si>
    <t xml:space="preserve"> MALT LOT: Lot #19</t>
  </si>
  <si>
    <t>LOT WORT COLOUR: 3.2</t>
  </si>
  <si>
    <t>2 BREAK- Haze issues in BBT (refiltered 2x)</t>
  </si>
  <si>
    <t>G. Mason</t>
  </si>
  <si>
    <t>1 BREAK- Haze issues in BBT (refiltered)</t>
  </si>
  <si>
    <t>Justin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</si>
</sst>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9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13" xfId="3" applyFont="1" applyBorder="1" applyAlignment="1">
      <alignment horizontal="left"/>
    </xf>
    <xf numFmtId="165" fontId="14" fillId="0" borderId="13" xfId="3" applyFont="1" applyBorder="1" applyAlignment="1">
      <alignment horizontal="center" vertical="center"/>
    </xf>
    <xf numFmtId="2" fontId="32" fillId="0" borderId="84" xfId="3" applyNumberFormat="1" applyFont="1" applyBorder="1" applyAlignment="1">
      <alignment horizontal="center" vertical="center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" xfId="3" applyFont="1" applyBorder="1" applyAlignment="1">
      <alignment horizontal="center" vertical="center" wrapText="1"/>
    </xf>
    <xf numFmtId="165" fontId="41" fillId="0" borderId="50" xfId="3" applyFont="1" applyBorder="1" applyAlignment="1">
      <alignment horizontal="center" vertical="center" wrapText="1"/>
    </xf>
    <xf numFmtId="165" fontId="41" fillId="0" borderId="6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23" xfId="3" applyFont="1" applyBorder="1" applyAlignment="1">
      <alignment horizontal="center" vertical="center"/>
    </xf>
    <xf numFmtId="165" fontId="41" fillId="0" borderId="35" xfId="3" applyFont="1" applyBorder="1" applyAlignment="1">
      <alignment horizontal="center" vertic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38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10" fillId="0" borderId="0" xfId="3" applyFont="1" applyAlignment="1">
      <alignment horizontal="left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0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5" xfId="3" applyFont="1" applyBorder="1" applyAlignment="1">
      <alignment horizontal="center" vertical="center" wrapText="1"/>
    </xf>
    <xf numFmtId="165" fontId="10" fillId="0" borderId="5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12" xfId="3" applyFont="1" applyBorder="1" applyAlignment="1">
      <alignment horizontal="center" vertical="center" wrapText="1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81" fillId="0" borderId="23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 wrapText="1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81" fillId="0" borderId="66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1" fillId="3" borderId="1" xfId="3" applyFont="1" applyFill="1" applyBorder="1" applyAlignment="1">
      <alignment horizontal="center"/>
    </xf>
    <xf numFmtId="165" fontId="10" fillId="0" borderId="67" xfId="3" applyFont="1" applyBorder="1" applyAlignment="1">
      <alignment horizontal="center"/>
    </xf>
    <xf numFmtId="165" fontId="27" fillId="0" borderId="34" xfId="3" applyFont="1" applyBorder="1" applyAlignment="1">
      <alignment horizontal="center" vertical="center"/>
    </xf>
    <xf numFmtId="165" fontId="14" fillId="0" borderId="23" xfId="3" applyFont="1" applyBorder="1" applyAlignment="1">
      <alignment horizontal="center" vertical="center"/>
    </xf>
    <xf numFmtId="165" fontId="14" fillId="0" borderId="27" xfId="3" applyFont="1" applyBorder="1" applyAlignment="1">
      <alignment horizontal="center" vertical="center"/>
    </xf>
    <xf numFmtId="165" fontId="14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5" fontId="28" fillId="0" borderId="13" xfId="3" applyFont="1" applyBorder="1" applyAlignment="1">
      <alignment horizont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2694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8.xml"/><Relationship Id="rId21" Type="http://schemas.openxmlformats.org/officeDocument/2006/relationships/externalLink" Target="externalLinks/externalLink3.xml"/><Relationship Id="rId42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29.xml"/><Relationship Id="rId63" Type="http://schemas.openxmlformats.org/officeDocument/2006/relationships/externalLink" Target="externalLinks/externalLink45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1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6.xml"/><Relationship Id="rId32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19.xml"/><Relationship Id="rId40" Type="http://schemas.openxmlformats.org/officeDocument/2006/relationships/externalLink" Target="externalLinks/externalLink22.xml"/><Relationship Id="rId45" Type="http://schemas.openxmlformats.org/officeDocument/2006/relationships/externalLink" Target="externalLinks/externalLink27.xml"/><Relationship Id="rId53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40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3.xml"/><Relationship Id="rId19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externalLink" Target="externalLinks/externalLink9.xml"/><Relationship Id="rId30" Type="http://schemas.openxmlformats.org/officeDocument/2006/relationships/externalLink" Target="externalLinks/externalLink12.xml"/><Relationship Id="rId35" Type="http://schemas.openxmlformats.org/officeDocument/2006/relationships/externalLink" Target="externalLinks/externalLink17.xml"/><Relationship Id="rId43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30.xml"/><Relationship Id="rId56" Type="http://schemas.openxmlformats.org/officeDocument/2006/relationships/externalLink" Target="externalLinks/externalLink38.xml"/><Relationship Id="rId64" Type="http://schemas.openxmlformats.org/officeDocument/2006/relationships/externalLink" Target="externalLinks/externalLink46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7.xml"/><Relationship Id="rId33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20.xml"/><Relationship Id="rId46" Type="http://schemas.openxmlformats.org/officeDocument/2006/relationships/externalLink" Target="externalLinks/externalLink28.xml"/><Relationship Id="rId59" Type="http://schemas.openxmlformats.org/officeDocument/2006/relationships/externalLink" Target="externalLinks/externalLink41.xml"/><Relationship Id="rId67" Type="http://schemas.openxmlformats.org/officeDocument/2006/relationships/styles" Target="styles.xml"/><Relationship Id="rId20" Type="http://schemas.openxmlformats.org/officeDocument/2006/relationships/externalLink" Target="externalLinks/externalLink2.xml"/><Relationship Id="rId41" Type="http://schemas.openxmlformats.org/officeDocument/2006/relationships/externalLink" Target="externalLinks/externalLink23.xml"/><Relationship Id="rId54" Type="http://schemas.openxmlformats.org/officeDocument/2006/relationships/externalLink" Target="externalLinks/externalLink36.xml"/><Relationship Id="rId62" Type="http://schemas.openxmlformats.org/officeDocument/2006/relationships/externalLink" Target="externalLinks/externalLink4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externalLink" Target="externalLinks/externalLink10.xml"/><Relationship Id="rId36" Type="http://schemas.openxmlformats.org/officeDocument/2006/relationships/externalLink" Target="externalLinks/externalLink18.xml"/><Relationship Id="rId49" Type="http://schemas.openxmlformats.org/officeDocument/2006/relationships/externalLink" Target="externalLinks/externalLink31.xml"/><Relationship Id="rId57" Type="http://schemas.openxmlformats.org/officeDocument/2006/relationships/externalLink" Target="externalLinks/externalLink39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3.xml"/><Relationship Id="rId44" Type="http://schemas.openxmlformats.org/officeDocument/2006/relationships/externalLink" Target="externalLinks/externalLink26.xml"/><Relationship Id="rId52" Type="http://schemas.openxmlformats.org/officeDocument/2006/relationships/externalLink" Target="externalLinks/externalLink34.xml"/><Relationship Id="rId60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4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21.xml"/><Relationship Id="rId34" Type="http://schemas.openxmlformats.org/officeDocument/2006/relationships/externalLink" Target="externalLinks/externalLink16.xml"/><Relationship Id="rId50" Type="http://schemas.openxmlformats.org/officeDocument/2006/relationships/externalLink" Target="externalLinks/externalLink32.xml"/><Relationship Id="rId55" Type="http://schemas.openxmlformats.org/officeDocument/2006/relationships/externalLink" Target="externalLinks/externalLink3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samcal-my.sharepoint.com/personal/ron_antoine_caribbrewery_com/Documents/Copy%20of%20BOY%20projections%202022.xlsx" TargetMode="External"/><Relationship Id="rId1" Type="http://schemas.openxmlformats.org/officeDocument/2006/relationships/externalLinkPath" Target="https://ansamcal-my.sharepoint.com/personal/ron_antoine_caribbrewery_com/Documents/Copy%20of%20BOY%20projections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5.481477704408106</v>
          </cell>
        </row>
        <row r="6">
          <cell r="E6">
            <v>6.023489932885921</v>
          </cell>
        </row>
        <row r="7">
          <cell r="E7">
            <v>7.2586328400281719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>
            <v>0.84622823984524742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5.2203272443944053</v>
          </cell>
        </row>
      </sheetData>
      <sheetData sheetId="11">
        <row r="5">
          <cell r="E5">
            <v>6.3354503012102912</v>
          </cell>
        </row>
        <row r="6">
          <cell r="E6">
            <v>6.0337914753068773</v>
          </cell>
        </row>
        <row r="7">
          <cell r="E7">
            <v>10.57086906945613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3.7586797925639486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6.25967693295493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K3">
            <v>302.39999999999998</v>
          </cell>
          <cell r="O3">
            <v>405.7</v>
          </cell>
          <cell r="P3">
            <v>403.29999999999995</v>
          </cell>
          <cell r="Q3">
            <v>399.1</v>
          </cell>
          <cell r="R3">
            <v>402.4</v>
          </cell>
          <cell r="AN3">
            <v>6.1912025202534187</v>
          </cell>
          <cell r="AQ3">
            <v>6.4948937016600619</v>
          </cell>
        </row>
        <row r="4">
          <cell r="AN4">
            <v>6.1640340624899466</v>
          </cell>
          <cell r="AQ4">
            <v>5.9396439464574318</v>
          </cell>
        </row>
        <row r="5">
          <cell r="AN5">
            <v>8.3572982592313725</v>
          </cell>
          <cell r="AQ5">
            <v>11.49802517103547</v>
          </cell>
        </row>
        <row r="6">
          <cell r="AN6">
            <v>4.6522194119603313</v>
          </cell>
          <cell r="AQ6">
            <v>4.8325383920386296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K7">
            <v>292.2</v>
          </cell>
          <cell r="O7">
            <v>382.3</v>
          </cell>
          <cell r="P7">
            <v>381.9</v>
          </cell>
          <cell r="Q7">
            <v>384.7</v>
          </cell>
          <cell r="R7">
            <v>374.8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>
            <v>4.0067212349015007</v>
          </cell>
          <cell r="AQ9">
            <v>5.0257518320273871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O11">
            <v>6.8300073390577118</v>
          </cell>
          <cell r="P11">
            <v>5.6924136073155003</v>
          </cell>
          <cell r="Q11">
            <v>6.0063111503290374</v>
          </cell>
          <cell r="R11">
            <v>10.000958106780985</v>
          </cell>
          <cell r="AN11" t="e">
            <v>#DIV/0!</v>
          </cell>
          <cell r="AQ11" t="e">
            <v>#DIV/0!</v>
          </cell>
        </row>
        <row r="12">
          <cell r="AN12">
            <v>5.963225048197593</v>
          </cell>
          <cell r="AQ12">
            <v>6.5931867160290176</v>
          </cell>
        </row>
        <row r="13">
          <cell r="K13">
            <v>292</v>
          </cell>
          <cell r="L13">
            <v>101.1</v>
          </cell>
        </row>
        <row r="17">
          <cell r="K17">
            <v>278</v>
          </cell>
          <cell r="L17">
            <v>95.2</v>
          </cell>
        </row>
        <row r="21">
          <cell r="L21">
            <v>6.6677789297645509</v>
          </cell>
        </row>
        <row r="55">
          <cell r="R55">
            <v>413.59999999999997</v>
          </cell>
        </row>
        <row r="59">
          <cell r="R59">
            <v>410.1</v>
          </cell>
        </row>
        <row r="63">
          <cell r="R63">
            <v>4.0067212349015007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5">
          <cell r="Y25">
            <v>0.64666666666666672</v>
          </cell>
        </row>
      </sheetData>
      <sheetData sheetId="10">
        <row r="13">
          <cell r="AN13">
            <v>0.74490551334502242</v>
          </cell>
          <cell r="AQ13">
            <v>0.5602684412894734</v>
          </cell>
        </row>
        <row r="14">
          <cell r="AN14">
            <v>0.71087719298245611</v>
          </cell>
          <cell r="AQ14">
            <v>0.68437301751248969</v>
          </cell>
        </row>
        <row r="15">
          <cell r="AN15">
            <v>1.385263157894737</v>
          </cell>
          <cell r="AQ15">
            <v>0.42247265385686439</v>
          </cell>
        </row>
        <row r="16">
          <cell r="AN16">
            <v>1.1878947368421053</v>
          </cell>
          <cell r="AQ16">
            <v>0.8473099415204679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K18">
            <v>1.0252631578947369</v>
          </cell>
          <cell r="O18">
            <v>0.67070175438596491</v>
          </cell>
          <cell r="P18">
            <v>1.3399999999999999</v>
          </cell>
          <cell r="Q18">
            <v>1.3498245614035087</v>
          </cell>
          <cell r="R18">
            <v>0.43836257309941523</v>
          </cell>
          <cell r="AN18" t="e">
            <v>#DIV/0!</v>
          </cell>
          <cell r="AQ18">
            <v>0.5883625730994152</v>
          </cell>
        </row>
        <row r="19">
          <cell r="AN19">
            <v>0.71947368421052638</v>
          </cell>
          <cell r="AQ19">
            <v>0.87835004177109433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0.81850039997538626</v>
          </cell>
          <cell r="AQ22">
            <v>0.61587808765232077</v>
          </cell>
        </row>
        <row r="25">
          <cell r="K25">
            <v>0.9754385964912281</v>
          </cell>
          <cell r="L25">
            <v>0.33403508771929824</v>
          </cell>
        </row>
        <row r="53">
          <cell r="R53">
            <v>0.71947368421052638</v>
          </cell>
        </row>
        <row r="60">
          <cell r="D60">
            <v>1.3649122807017544</v>
          </cell>
        </row>
      </sheetData>
      <sheetData sheetId="11" refreshError="1"/>
      <sheetData sheetId="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  <row r="404">
          <cell r="A404" t="str">
            <v>ST345</v>
          </cell>
          <cell r="P404">
            <v>60</v>
          </cell>
          <cell r="Q404">
            <v>10.12241054613936</v>
          </cell>
          <cell r="T404">
            <v>0.35416666666666669</v>
          </cell>
          <cell r="U404">
            <v>0.46875</v>
          </cell>
          <cell r="V404">
            <v>59</v>
          </cell>
          <cell r="AB404">
            <v>53.1</v>
          </cell>
          <cell r="AE404">
            <v>11.9</v>
          </cell>
          <cell r="AG404">
            <v>49</v>
          </cell>
          <cell r="AS404">
            <v>97.904074452866993</v>
          </cell>
          <cell r="AT404">
            <v>98.632362577253517</v>
          </cell>
          <cell r="AV404" t="str">
            <v>K. Benjamin</v>
          </cell>
          <cell r="AW404">
            <v>0.26041666666666663</v>
          </cell>
        </row>
        <row r="405">
          <cell r="A405" t="str">
            <v>ST346</v>
          </cell>
          <cell r="P405">
            <v>60</v>
          </cell>
          <cell r="Q405">
            <v>8.6158192090395538</v>
          </cell>
          <cell r="T405">
            <v>0.46388888888888891</v>
          </cell>
          <cell r="U405">
            <v>0.5756944444444444</v>
          </cell>
          <cell r="V405">
            <v>59</v>
          </cell>
          <cell r="AB405">
            <v>53.1</v>
          </cell>
          <cell r="AE405">
            <v>11.7</v>
          </cell>
          <cell r="AG405">
            <v>50.1</v>
          </cell>
          <cell r="AS405">
            <v>97.964086278322426</v>
          </cell>
          <cell r="AT405">
            <v>98.693537963032824</v>
          </cell>
          <cell r="AV405" t="str">
            <v>D.Gomaz</v>
          </cell>
          <cell r="AW405">
            <v>0.25624999999999998</v>
          </cell>
        </row>
        <row r="406">
          <cell r="A406" t="str">
            <v>ST347</v>
          </cell>
          <cell r="P406">
            <v>59</v>
          </cell>
          <cell r="Q406">
            <v>10.357142857142849</v>
          </cell>
          <cell r="T406">
            <v>0.19097222222222221</v>
          </cell>
          <cell r="U406">
            <v>0.32777777777777778</v>
          </cell>
          <cell r="V406">
            <v>53</v>
          </cell>
          <cell r="AB406">
            <v>49</v>
          </cell>
          <cell r="AE406">
            <v>11.6</v>
          </cell>
          <cell r="AG406">
            <v>45.8</v>
          </cell>
          <cell r="AS406">
            <v>95.286967895266628</v>
          </cell>
          <cell r="AT406">
            <v>95.739220420834755</v>
          </cell>
          <cell r="AV406" t="str">
            <v>R.Sookram</v>
          </cell>
          <cell r="AW406">
            <v>0.28611111111111109</v>
          </cell>
        </row>
        <row r="407">
          <cell r="A407" t="str">
            <v>ST348</v>
          </cell>
          <cell r="P407">
            <v>59</v>
          </cell>
          <cell r="Q407">
            <v>11.440677966101701</v>
          </cell>
          <cell r="T407">
            <v>0.97777777777777775</v>
          </cell>
          <cell r="U407">
            <v>1.1000000000000001</v>
          </cell>
          <cell r="V407">
            <v>59</v>
          </cell>
          <cell r="AB407">
            <v>53.1</v>
          </cell>
          <cell r="AE407">
            <v>11.6</v>
          </cell>
          <cell r="AG407">
            <v>47.3</v>
          </cell>
          <cell r="AS407">
            <v>93.170349872577006</v>
          </cell>
          <cell r="AT407">
            <v>93.619008736833493</v>
          </cell>
          <cell r="AV407" t="str">
            <v>D.Gomaz</v>
          </cell>
          <cell r="AW407">
            <v>0.28055555555555567</v>
          </cell>
        </row>
        <row r="408">
          <cell r="A408" t="str">
            <v>ST349</v>
          </cell>
          <cell r="P408">
            <v>60</v>
          </cell>
          <cell r="Q408">
            <v>10.499058380414318</v>
          </cell>
          <cell r="T408">
            <v>1.0874999999999999</v>
          </cell>
          <cell r="U408">
            <v>1.20625</v>
          </cell>
          <cell r="V408">
            <v>57</v>
          </cell>
          <cell r="AB408">
            <v>53.1</v>
          </cell>
          <cell r="AE408">
            <v>11.8</v>
          </cell>
          <cell r="AG408">
            <v>48.7</v>
          </cell>
          <cell r="AS408">
            <v>96.447153396190089</v>
          </cell>
          <cell r="AT408">
            <v>96.913078535720061</v>
          </cell>
          <cell r="AV408" t="str">
            <v>D.Gomaz</v>
          </cell>
          <cell r="AW408">
            <v>0.28263888888888888</v>
          </cell>
        </row>
        <row r="409">
          <cell r="A409" t="str">
            <v>ST350</v>
          </cell>
          <cell r="P409">
            <v>84</v>
          </cell>
          <cell r="Q409">
            <v>12.193973634651604</v>
          </cell>
          <cell r="T409">
            <v>1.1916666666666667</v>
          </cell>
          <cell r="U409">
            <v>1.3159722222222223</v>
          </cell>
          <cell r="V409">
            <v>55</v>
          </cell>
          <cell r="AB409">
            <v>53.1</v>
          </cell>
          <cell r="AE409">
            <v>11.6</v>
          </cell>
          <cell r="AG409">
            <v>47.6</v>
          </cell>
          <cell r="AS409">
            <v>93.406197783718596</v>
          </cell>
          <cell r="AT409">
            <v>93.856428193760948</v>
          </cell>
          <cell r="AV409" t="str">
            <v>R.Sookram</v>
          </cell>
          <cell r="AW409">
            <v>0.28819444444444464</v>
          </cell>
        </row>
        <row r="410">
          <cell r="A410" t="str">
            <v>ST351</v>
          </cell>
          <cell r="P410">
            <v>62</v>
          </cell>
          <cell r="Q410">
            <v>10.518867924528294</v>
          </cell>
          <cell r="T410">
            <v>0.45833333333333331</v>
          </cell>
          <cell r="U410">
            <v>0.5708333333333333</v>
          </cell>
          <cell r="V410">
            <v>55</v>
          </cell>
          <cell r="AB410">
            <v>53</v>
          </cell>
          <cell r="AE410">
            <v>12</v>
          </cell>
          <cell r="AG410">
            <v>48.5</v>
          </cell>
          <cell r="AS410">
            <v>98.877019621072932</v>
          </cell>
          <cell r="AT410">
            <v>99.353312945973499</v>
          </cell>
          <cell r="AV410" t="str">
            <v>K. Benjamin</v>
          </cell>
          <cell r="AW410">
            <v>0.26527777777777772</v>
          </cell>
        </row>
        <row r="411">
          <cell r="A411" t="str">
            <v>ST352</v>
          </cell>
          <cell r="P411">
            <v>60</v>
          </cell>
          <cell r="Q411">
            <v>10.141509433962264</v>
          </cell>
          <cell r="T411">
            <v>0.56319444444444444</v>
          </cell>
          <cell r="U411">
            <v>0.69513888888888886</v>
          </cell>
          <cell r="V411">
            <v>60</v>
          </cell>
          <cell r="AB411">
            <v>53</v>
          </cell>
          <cell r="AE411">
            <v>11.7</v>
          </cell>
          <cell r="AG411">
            <v>48.7</v>
          </cell>
          <cell r="AS411">
            <v>96.553968078702184</v>
          </cell>
          <cell r="AT411">
            <v>97.019221371558871</v>
          </cell>
          <cell r="AV411" t="str">
            <v>K. Benjamin</v>
          </cell>
          <cell r="AW411">
            <v>0.29236111111111107</v>
          </cell>
        </row>
        <row r="412">
          <cell r="A412" t="str">
            <v>ST353</v>
          </cell>
          <cell r="P412">
            <v>62</v>
          </cell>
          <cell r="Q412">
            <v>8.2547169811320753</v>
          </cell>
          <cell r="T412">
            <v>0.68402777777777779</v>
          </cell>
          <cell r="U412">
            <v>0.80069444444444449</v>
          </cell>
          <cell r="V412">
            <v>59</v>
          </cell>
          <cell r="AB412">
            <v>53</v>
          </cell>
          <cell r="AE412">
            <v>11.6</v>
          </cell>
          <cell r="AG412">
            <v>49.6</v>
          </cell>
          <cell r="AS412">
            <v>97.57718513895729</v>
          </cell>
          <cell r="AT412">
            <v>98.047217125382247</v>
          </cell>
          <cell r="AV412" t="str">
            <v>K. Benjamin</v>
          </cell>
          <cell r="AW412">
            <v>0.30069444444444449</v>
          </cell>
        </row>
        <row r="413">
          <cell r="A413" t="str">
            <v>ST354</v>
          </cell>
          <cell r="P413">
            <v>61</v>
          </cell>
          <cell r="Q413">
            <v>8.4433962264150964</v>
          </cell>
          <cell r="T413">
            <v>0.79027777777777775</v>
          </cell>
          <cell r="U413">
            <v>0.90625</v>
          </cell>
          <cell r="V413">
            <v>57</v>
          </cell>
          <cell r="AB413">
            <v>53</v>
          </cell>
          <cell r="AE413">
            <v>11.7</v>
          </cell>
          <cell r="AG413">
            <v>49.6</v>
          </cell>
          <cell r="AS413">
            <v>98.214193542838373</v>
          </cell>
          <cell r="AT413">
            <v>98.68759913775574</v>
          </cell>
          <cell r="AV413" t="str">
            <v>K. Benjamin</v>
          </cell>
          <cell r="AW413">
            <v>0.30902777777777779</v>
          </cell>
        </row>
        <row r="414">
          <cell r="A414" t="str">
            <v>ST355</v>
          </cell>
          <cell r="P414">
            <v>60</v>
          </cell>
          <cell r="Q414">
            <v>8.4433962264150964</v>
          </cell>
          <cell r="T414">
            <v>0.9</v>
          </cell>
          <cell r="U414">
            <v>1.0125</v>
          </cell>
          <cell r="V414">
            <v>57</v>
          </cell>
          <cell r="AB414">
            <v>53</v>
          </cell>
          <cell r="AE414">
            <v>11.6</v>
          </cell>
          <cell r="AG414">
            <v>49.6</v>
          </cell>
          <cell r="AS414">
            <v>97.208115247656366</v>
          </cell>
          <cell r="AT414">
            <v>97.676821837679725</v>
          </cell>
          <cell r="AV414" t="str">
            <v>D.Gomaz</v>
          </cell>
          <cell r="AW414">
            <v>0.31458333333333333</v>
          </cell>
        </row>
        <row r="415">
          <cell r="A415" t="str">
            <v>ST356</v>
          </cell>
          <cell r="P415">
            <v>58</v>
          </cell>
          <cell r="Q415">
            <v>8.2547169811320753</v>
          </cell>
          <cell r="T415">
            <v>1.0118055555555556</v>
          </cell>
          <cell r="U415">
            <v>1.1465277777777778</v>
          </cell>
          <cell r="V415">
            <v>86</v>
          </cell>
          <cell r="AB415">
            <v>53</v>
          </cell>
          <cell r="AE415">
            <v>11.7</v>
          </cell>
          <cell r="AG415">
            <v>50.3</v>
          </cell>
          <cell r="AS415">
            <v>101.39220490411473</v>
          </cell>
          <cell r="AT415">
            <v>101.87869001780317</v>
          </cell>
          <cell r="AV415" t="str">
            <v>D.Gomaz</v>
          </cell>
          <cell r="AW415">
            <v>0.32013888888888897</v>
          </cell>
        </row>
        <row r="416">
          <cell r="A416" t="str">
            <v>ST357</v>
          </cell>
          <cell r="P416">
            <v>58</v>
          </cell>
          <cell r="Q416">
            <v>11.252354048964222</v>
          </cell>
          <cell r="T416">
            <v>0.43888888888888888</v>
          </cell>
          <cell r="U416">
            <v>0.56180555555555556</v>
          </cell>
          <cell r="V416">
            <v>60</v>
          </cell>
          <cell r="AB416">
            <v>53.1</v>
          </cell>
          <cell r="AE416">
            <v>11.8</v>
          </cell>
          <cell r="AG416">
            <v>48.6</v>
          </cell>
          <cell r="AS416">
            <v>96.234942891011144</v>
          </cell>
          <cell r="AT416">
            <v>96.956430361328927</v>
          </cell>
          <cell r="AV416" t="str">
            <v>D.Gomaz</v>
          </cell>
          <cell r="AW416">
            <v>0.27708333333333335</v>
          </cell>
        </row>
        <row r="417">
          <cell r="A417" t="str">
            <v>ST358</v>
          </cell>
          <cell r="P417">
            <v>67</v>
          </cell>
          <cell r="Q417">
            <v>11.064030131826742</v>
          </cell>
          <cell r="T417">
            <v>0.53888888888888886</v>
          </cell>
          <cell r="U417">
            <v>0.65347222222222223</v>
          </cell>
          <cell r="V417">
            <v>51</v>
          </cell>
          <cell r="AB417">
            <v>53.1</v>
          </cell>
          <cell r="AE417">
            <v>11.8</v>
          </cell>
          <cell r="AG417">
            <v>48.3</v>
          </cell>
          <cell r="AS417">
            <v>96.244976149243712</v>
          </cell>
          <cell r="AT417">
            <v>96.965388213283447</v>
          </cell>
          <cell r="AV417" t="str">
            <v>R.Sookram</v>
          </cell>
          <cell r="AW417">
            <v>0.26458333333333334</v>
          </cell>
        </row>
        <row r="418">
          <cell r="A418" t="str">
            <v>ST359</v>
          </cell>
          <cell r="P418">
            <v>61</v>
          </cell>
          <cell r="Q418">
            <v>7.6886792452830104</v>
          </cell>
          <cell r="T418">
            <v>0.67569444444444449</v>
          </cell>
          <cell r="U418">
            <v>0.81666666666666665</v>
          </cell>
          <cell r="V418">
            <v>54</v>
          </cell>
          <cell r="AB418">
            <v>53</v>
          </cell>
          <cell r="AE418">
            <v>11.9</v>
          </cell>
          <cell r="AG418">
            <v>49.2</v>
          </cell>
          <cell r="AS418">
            <v>98.78749454244813</v>
          </cell>
          <cell r="AT418">
            <v>99.527175237630999</v>
          </cell>
          <cell r="AV418" t="str">
            <v>R.Sookram</v>
          </cell>
          <cell r="AW418">
            <v>0.33055555555555555</v>
          </cell>
        </row>
        <row r="419">
          <cell r="A419" t="str">
            <v>ST360</v>
          </cell>
          <cell r="P419">
            <v>61</v>
          </cell>
          <cell r="Q419">
            <v>10.330188679245285</v>
          </cell>
          <cell r="T419">
            <v>0.78472222222222221</v>
          </cell>
          <cell r="U419">
            <v>0.91249999999999998</v>
          </cell>
          <cell r="V419">
            <v>60</v>
          </cell>
          <cell r="AB419">
            <v>53</v>
          </cell>
          <cell r="AE419">
            <v>11.7</v>
          </cell>
          <cell r="AG419">
            <v>49.3</v>
          </cell>
          <cell r="AS419">
            <v>97.239091605330472</v>
          </cell>
          <cell r="AT419">
            <v>97.967178487285707</v>
          </cell>
          <cell r="AV419" t="str">
            <v>K. Benjamin</v>
          </cell>
          <cell r="AW419">
            <v>0.28749999999999998</v>
          </cell>
        </row>
        <row r="420">
          <cell r="A420" t="str">
            <v>ST361</v>
          </cell>
          <cell r="P420">
            <v>60</v>
          </cell>
          <cell r="Q420">
            <v>6.7452830188679158</v>
          </cell>
          <cell r="T420">
            <v>0.87708333333333333</v>
          </cell>
          <cell r="U420">
            <v>0.99375000000000002</v>
          </cell>
          <cell r="V420">
            <v>54</v>
          </cell>
          <cell r="AB420">
            <v>53</v>
          </cell>
          <cell r="AE420">
            <v>11.8</v>
          </cell>
          <cell r="AG420">
            <v>50.6</v>
          </cell>
          <cell r="AS420">
            <v>100.82807025158867</v>
          </cell>
          <cell r="AT420">
            <v>101.58278765201123</v>
          </cell>
          <cell r="AV420" t="str">
            <v>K. Benjamin</v>
          </cell>
          <cell r="AW420">
            <v>0.26458333333333339</v>
          </cell>
        </row>
        <row r="421">
          <cell r="A421" t="str">
            <v>ST362</v>
          </cell>
          <cell r="P421">
            <v>58</v>
          </cell>
          <cell r="Q421">
            <v>7.5000000000000027</v>
          </cell>
          <cell r="T421">
            <v>0.96319444444444446</v>
          </cell>
          <cell r="U421">
            <v>1.0784722222222223</v>
          </cell>
          <cell r="V421">
            <v>52</v>
          </cell>
          <cell r="AB421">
            <v>53</v>
          </cell>
          <cell r="AE421">
            <v>11.8</v>
          </cell>
          <cell r="AG421">
            <v>50.1</v>
          </cell>
          <cell r="AS421">
            <v>99.831745446731063</v>
          </cell>
          <cell r="AT421">
            <v>100.5790051653313</v>
          </cell>
          <cell r="AV421" t="str">
            <v>K. Benjamin</v>
          </cell>
          <cell r="AW421">
            <v>0.25555555555555565</v>
          </cell>
        </row>
        <row r="422">
          <cell r="A422" t="str">
            <v>ST363</v>
          </cell>
          <cell r="P422">
            <v>61</v>
          </cell>
          <cell r="Q422">
            <v>10.896226415094338</v>
          </cell>
          <cell r="T422">
            <v>1.0687500000000001</v>
          </cell>
          <cell r="U422">
            <v>1.2118055555555556</v>
          </cell>
          <cell r="V422">
            <v>52</v>
          </cell>
          <cell r="AB422">
            <v>53</v>
          </cell>
          <cell r="AE422">
            <v>11.7</v>
          </cell>
          <cell r="AG422">
            <v>48.4</v>
          </cell>
          <cell r="AS422">
            <v>95.343647995140529</v>
          </cell>
          <cell r="AT422">
            <v>96.057771106332908</v>
          </cell>
          <cell r="AV422" t="str">
            <v>K. Benjamin</v>
          </cell>
          <cell r="AW422">
            <v>0.28472222222222221</v>
          </cell>
        </row>
        <row r="423">
          <cell r="A423" t="str">
            <v>ST364</v>
          </cell>
          <cell r="P423">
            <v>60</v>
          </cell>
          <cell r="Q423">
            <v>6.9339622641509377</v>
          </cell>
          <cell r="T423">
            <v>1.1763888888888889</v>
          </cell>
          <cell r="U423">
            <v>1.3</v>
          </cell>
          <cell r="V423">
            <v>57</v>
          </cell>
          <cell r="AB423">
            <v>53</v>
          </cell>
          <cell r="AE423">
            <v>11.8</v>
          </cell>
          <cell r="AG423">
            <v>50.3</v>
          </cell>
          <cell r="AS423">
            <v>95.602651708364647</v>
          </cell>
          <cell r="AT423">
            <v>96.318714755162475</v>
          </cell>
          <cell r="AV423" t="str">
            <v>K. Benjamin</v>
          </cell>
          <cell r="AW423">
            <v>0.27916666666666679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  <row r="809">
          <cell r="A809" t="str">
            <v>CA759</v>
          </cell>
          <cell r="P809">
            <v>60</v>
          </cell>
          <cell r="Q809">
            <v>13.16081330868761</v>
          </cell>
          <cell r="T809">
            <v>0.65486111111111112</v>
          </cell>
          <cell r="U809">
            <v>0.77430555555555558</v>
          </cell>
          <cell r="V809">
            <v>59</v>
          </cell>
          <cell r="Z809">
            <v>0.25347222222222221</v>
          </cell>
          <cell r="AF809">
            <v>48.4</v>
          </cell>
          <cell r="AG809">
            <v>11.7</v>
          </cell>
          <cell r="AI809">
            <v>48.6</v>
          </cell>
          <cell r="AU809">
            <v>94.236510026260618</v>
          </cell>
          <cell r="AV809">
            <v>95.077116281876755</v>
          </cell>
          <cell r="AX809" t="str">
            <v>D. Gomaz</v>
          </cell>
        </row>
        <row r="810">
          <cell r="A810" t="str">
            <v>CA760</v>
          </cell>
          <cell r="P810">
            <v>60</v>
          </cell>
          <cell r="Q810">
            <v>12.05175600739372</v>
          </cell>
          <cell r="T810">
            <v>0.76875000000000004</v>
          </cell>
          <cell r="U810">
            <v>0.875</v>
          </cell>
          <cell r="V810">
            <v>57</v>
          </cell>
          <cell r="Z810">
            <v>0.25694444444444442</v>
          </cell>
          <cell r="AF810">
            <v>48.3</v>
          </cell>
          <cell r="AG810">
            <v>12</v>
          </cell>
          <cell r="AI810">
            <v>48.9</v>
          </cell>
          <cell r="AU810">
            <v>97.015701586864395</v>
          </cell>
          <cell r="AV810">
            <v>97.881268884867609</v>
          </cell>
          <cell r="AX810" t="str">
            <v>D. Gomaz</v>
          </cell>
        </row>
        <row r="811">
          <cell r="A811" t="str">
            <v>CA761</v>
          </cell>
          <cell r="P811">
            <v>60</v>
          </cell>
          <cell r="Q811">
            <v>11.127541589648803</v>
          </cell>
          <cell r="T811">
            <v>0.86250000000000004</v>
          </cell>
          <cell r="U811">
            <v>0.97361111111111109</v>
          </cell>
          <cell r="V811">
            <v>62</v>
          </cell>
          <cell r="Z811">
            <v>0.2583333333333333</v>
          </cell>
          <cell r="AF811">
            <v>48.8</v>
          </cell>
          <cell r="AG811">
            <v>12</v>
          </cell>
          <cell r="AI811">
            <v>49.5</v>
          </cell>
          <cell r="AU811">
            <v>97.963974191260846</v>
          </cell>
          <cell r="AV811">
            <v>98.83811575723243</v>
          </cell>
          <cell r="AX811" t="str">
            <v>R. Sookram</v>
          </cell>
        </row>
        <row r="812">
          <cell r="A812" t="str">
            <v>CA762</v>
          </cell>
          <cell r="P812">
            <v>60</v>
          </cell>
          <cell r="Q812">
            <v>11.127541589648803</v>
          </cell>
          <cell r="T812">
            <v>0.95625000000000004</v>
          </cell>
          <cell r="U812">
            <v>1.0645833333333334</v>
          </cell>
          <cell r="V812">
            <v>59</v>
          </cell>
          <cell r="Z812">
            <v>0.25208333333333344</v>
          </cell>
          <cell r="AF812">
            <v>48.8</v>
          </cell>
          <cell r="AG812">
            <v>11.8</v>
          </cell>
          <cell r="AI812">
            <v>49.3</v>
          </cell>
          <cell r="AU812">
            <v>96.693476697667123</v>
          </cell>
          <cell r="AV812">
            <v>97.555885759630257</v>
          </cell>
          <cell r="AX812" t="str">
            <v>R. Sookram</v>
          </cell>
        </row>
        <row r="813">
          <cell r="A813" t="str">
            <v>CA763</v>
          </cell>
          <cell r="P813">
            <v>61</v>
          </cell>
          <cell r="Q813">
            <v>9.2962962962962887</v>
          </cell>
          <cell r="T813">
            <v>1.0486111111111112</v>
          </cell>
          <cell r="U813">
            <v>1.1708333333333334</v>
          </cell>
          <cell r="V813">
            <v>58</v>
          </cell>
          <cell r="Z813">
            <v>0.26111111111111118</v>
          </cell>
          <cell r="AF813">
            <v>49.7</v>
          </cell>
          <cell r="AG813">
            <v>11.7</v>
          </cell>
          <cell r="AI813">
            <v>50.1</v>
          </cell>
          <cell r="AU813">
            <v>97.50785453814089</v>
          </cell>
          <cell r="AV813">
            <v>98.377469457952813</v>
          </cell>
          <cell r="AX813" t="str">
            <v>R. Sookram</v>
          </cell>
        </row>
        <row r="814">
          <cell r="A814" t="str">
            <v>CA764</v>
          </cell>
          <cell r="P814">
            <v>62</v>
          </cell>
          <cell r="Q814">
            <v>10.407407407407403</v>
          </cell>
          <cell r="T814">
            <v>1.15625</v>
          </cell>
          <cell r="U814">
            <v>1.2722222222222221</v>
          </cell>
          <cell r="V814">
            <v>60</v>
          </cell>
          <cell r="Z814">
            <v>0.27222222222222214</v>
          </cell>
          <cell r="AF814">
            <v>49.1</v>
          </cell>
          <cell r="AG814">
            <v>12</v>
          </cell>
          <cell r="AI814">
            <v>49.5</v>
          </cell>
          <cell r="AU814">
            <v>98.693894286323896</v>
          </cell>
          <cell r="AV814">
            <v>99.574203204894033</v>
          </cell>
          <cell r="AX814" t="str">
            <v>K. Benjamin</v>
          </cell>
        </row>
        <row r="815">
          <cell r="A815" t="str">
            <v>CA765</v>
          </cell>
          <cell r="P815">
            <v>59</v>
          </cell>
          <cell r="Q815">
            <v>9.1111111111111143</v>
          </cell>
          <cell r="T815">
            <v>0.25763888888888886</v>
          </cell>
          <cell r="U815">
            <v>0.38472222222222224</v>
          </cell>
          <cell r="V815">
            <v>63</v>
          </cell>
          <cell r="Z815">
            <v>0.29097222222222224</v>
          </cell>
          <cell r="AF815">
            <v>49.8</v>
          </cell>
          <cell r="AG815">
            <v>11.8</v>
          </cell>
          <cell r="AI815">
            <v>50.1</v>
          </cell>
          <cell r="AU815">
            <v>98.262539199860527</v>
          </cell>
          <cell r="AV815">
            <v>99.138942729360579</v>
          </cell>
          <cell r="AX815" t="str">
            <v>K. Benjamin</v>
          </cell>
        </row>
        <row r="816">
          <cell r="A816" t="str">
            <v>CA766</v>
          </cell>
          <cell r="P816">
            <v>60</v>
          </cell>
          <cell r="Q816">
            <v>12.074074074074066</v>
          </cell>
          <cell r="T816">
            <v>0.36041666666666666</v>
          </cell>
          <cell r="U816">
            <v>0.48333333333333334</v>
          </cell>
          <cell r="V816">
            <v>63</v>
          </cell>
          <cell r="Z816">
            <v>0.29583333333333334</v>
          </cell>
          <cell r="AF816">
            <v>48.2</v>
          </cell>
          <cell r="AG816">
            <v>11.7</v>
          </cell>
          <cell r="AI816">
            <v>49.9</v>
          </cell>
          <cell r="AU816">
            <v>97.239656159599406</v>
          </cell>
          <cell r="AV816">
            <v>98.106821614261435</v>
          </cell>
          <cell r="AX816" t="str">
            <v>K. Benjamin</v>
          </cell>
        </row>
        <row r="817">
          <cell r="A817" t="str">
            <v>CA767</v>
          </cell>
          <cell r="P817">
            <v>60</v>
          </cell>
          <cell r="Q817">
            <v>22.402957486136778</v>
          </cell>
          <cell r="T817">
            <v>0.61527777777777781</v>
          </cell>
          <cell r="U817">
            <v>0.7270833333333333</v>
          </cell>
          <cell r="V817">
            <v>56</v>
          </cell>
          <cell r="Z817">
            <v>0.25486111111111109</v>
          </cell>
          <cell r="AF817">
            <v>42.7</v>
          </cell>
          <cell r="AG817">
            <v>11.7</v>
          </cell>
          <cell r="AI817">
            <v>43.2</v>
          </cell>
          <cell r="AU817">
            <v>83.765786690009421</v>
          </cell>
          <cell r="AV817">
            <v>84.512992250557105</v>
          </cell>
          <cell r="AX817" t="str">
            <v>D. Gomaz</v>
          </cell>
        </row>
        <row r="818">
          <cell r="A818" t="str">
            <v>CA768</v>
          </cell>
          <cell r="P818">
            <v>58</v>
          </cell>
          <cell r="Q818">
            <v>17.412199630314234</v>
          </cell>
          <cell r="T818">
            <v>0.75347222222222221</v>
          </cell>
          <cell r="U818">
            <v>0.86111111111111116</v>
          </cell>
          <cell r="V818">
            <v>56</v>
          </cell>
          <cell r="Z818">
            <v>0.29166666666666674</v>
          </cell>
          <cell r="AF818">
            <v>45.4</v>
          </cell>
          <cell r="AG818">
            <v>12</v>
          </cell>
          <cell r="AI818">
            <v>50.1</v>
          </cell>
          <cell r="AU818">
            <v>99.766292415070296</v>
          </cell>
          <cell r="AV818">
            <v>100.65622530286895</v>
          </cell>
          <cell r="AX818" t="str">
            <v>D. Gomaz</v>
          </cell>
        </row>
        <row r="819">
          <cell r="A819" t="str">
            <v>CA769</v>
          </cell>
          <cell r="P819">
            <v>58</v>
          </cell>
          <cell r="Q819">
            <v>11.312384473197778</v>
          </cell>
          <cell r="T819">
            <v>0.84930555555555554</v>
          </cell>
          <cell r="U819">
            <v>0.96458333333333335</v>
          </cell>
          <cell r="V819">
            <v>63</v>
          </cell>
          <cell r="Z819">
            <v>0.29791666666666672</v>
          </cell>
          <cell r="AF819">
            <v>50.3</v>
          </cell>
          <cell r="AG819">
            <v>11.8</v>
          </cell>
          <cell r="AI819">
            <v>50.8</v>
          </cell>
          <cell r="AU819">
            <v>99.511739849218969</v>
          </cell>
          <cell r="AV819">
            <v>100.39934361361757</v>
          </cell>
          <cell r="AX819" t="str">
            <v>R. Sookram</v>
          </cell>
        </row>
        <row r="820">
          <cell r="A820" t="str">
            <v>CA770</v>
          </cell>
          <cell r="P820">
            <v>60</v>
          </cell>
          <cell r="Q820">
            <v>9.8336414048059151</v>
          </cell>
          <cell r="T820">
            <v>0.9458333333333333</v>
          </cell>
          <cell r="U820">
            <v>1.0576388888888888</v>
          </cell>
          <cell r="V820">
            <v>59</v>
          </cell>
          <cell r="Z820">
            <v>0.26597222222222217</v>
          </cell>
          <cell r="AF820">
            <v>49.5</v>
          </cell>
          <cell r="AG820">
            <v>11.7</v>
          </cell>
          <cell r="AI820">
            <v>50.3</v>
          </cell>
          <cell r="AU820">
            <v>97.807901274623262</v>
          </cell>
          <cell r="AV820">
            <v>98.52500001825814</v>
          </cell>
          <cell r="AX820" t="str">
            <v>R. Sookram</v>
          </cell>
        </row>
        <row r="821">
          <cell r="A821" t="str">
            <v>CA771</v>
          </cell>
          <cell r="AU821">
            <v>98.103316383581316</v>
          </cell>
        </row>
        <row r="822">
          <cell r="A822" t="str">
            <v>CA772</v>
          </cell>
          <cell r="AU822">
            <v>103.13813113928801</v>
          </cell>
        </row>
        <row r="823">
          <cell r="A823" t="str">
            <v>CA773</v>
          </cell>
          <cell r="AU823">
            <v>109.97665677903534</v>
          </cell>
        </row>
        <row r="824">
          <cell r="A824" t="str">
            <v>CA774</v>
          </cell>
          <cell r="AU824">
            <v>0</v>
          </cell>
        </row>
        <row r="825">
          <cell r="A825" t="str">
            <v>CA775</v>
          </cell>
          <cell r="AU825">
            <v>0</v>
          </cell>
        </row>
        <row r="826">
          <cell r="A826" t="str">
            <v>CA776</v>
          </cell>
          <cell r="AU826">
            <v>0</v>
          </cell>
        </row>
        <row r="827">
          <cell r="A827" t="str">
            <v>CA777</v>
          </cell>
          <cell r="AU827">
            <v>0</v>
          </cell>
        </row>
        <row r="828">
          <cell r="A828" t="str">
            <v>CA778</v>
          </cell>
          <cell r="AU828">
            <v>0</v>
          </cell>
        </row>
        <row r="829">
          <cell r="A829" t="str">
            <v>CA779</v>
          </cell>
          <cell r="AU829">
            <v>92.564610124486663</v>
          </cell>
        </row>
        <row r="830">
          <cell r="A830" t="str">
            <v>CA780</v>
          </cell>
          <cell r="AU830">
            <v>95.834295531506697</v>
          </cell>
        </row>
        <row r="831">
          <cell r="A831" t="str">
            <v>CA781</v>
          </cell>
          <cell r="AU831">
            <v>95.612025208168788</v>
          </cell>
        </row>
        <row r="832">
          <cell r="A832" t="str">
            <v>CA782</v>
          </cell>
          <cell r="AU832">
            <v>96.35309610261433</v>
          </cell>
        </row>
        <row r="833">
          <cell r="A833" t="str">
            <v>CA783</v>
          </cell>
          <cell r="AU833">
            <v>95.999118427635082</v>
          </cell>
        </row>
        <row r="834">
          <cell r="A834" t="str">
            <v>CA784</v>
          </cell>
          <cell r="AU834">
            <v>0</v>
          </cell>
        </row>
        <row r="835">
          <cell r="A835" t="str">
            <v>CA785</v>
          </cell>
          <cell r="AU835">
            <v>96.789550835562821</v>
          </cell>
        </row>
        <row r="836">
          <cell r="A836" t="str">
            <v>CA786</v>
          </cell>
          <cell r="AU836">
            <v>0</v>
          </cell>
        </row>
        <row r="837">
          <cell r="A837" t="str">
            <v>CA787</v>
          </cell>
          <cell r="P837">
            <v>61</v>
          </cell>
          <cell r="Q837">
            <v>8.3396226415094361</v>
          </cell>
          <cell r="T837">
            <v>0.54027777777777775</v>
          </cell>
          <cell r="U837">
            <v>0.65972222222222221</v>
          </cell>
          <cell r="V837">
            <v>56</v>
          </cell>
          <cell r="Z837">
            <v>0.28472222222222221</v>
          </cell>
          <cell r="AF837">
            <v>49.3</v>
          </cell>
          <cell r="AG837">
            <v>11.68</v>
          </cell>
          <cell r="AI837">
            <v>49.3</v>
          </cell>
          <cell r="AU837">
            <v>95.654534858071727</v>
          </cell>
          <cell r="AV837">
            <v>96.205482512126622</v>
          </cell>
          <cell r="AX837" t="str">
            <v>K. Benjamin</v>
          </cell>
        </row>
        <row r="838">
          <cell r="A838" t="str">
            <v>CA788</v>
          </cell>
          <cell r="P838">
            <v>60</v>
          </cell>
          <cell r="Q838">
            <v>91.262962962962959</v>
          </cell>
          <cell r="T838">
            <v>0.63611111111111107</v>
          </cell>
          <cell r="U838">
            <v>0.76249999999999996</v>
          </cell>
          <cell r="V838">
            <v>52</v>
          </cell>
          <cell r="Z838">
            <v>0.29722222222222217</v>
          </cell>
          <cell r="AF838">
            <v>47.9</v>
          </cell>
          <cell r="AG838">
            <v>12</v>
          </cell>
          <cell r="AI838">
            <v>48.4</v>
          </cell>
          <cell r="AU838">
            <v>96.442217800409722</v>
          </cell>
          <cell r="AV838">
            <v>96.997702323206539</v>
          </cell>
          <cell r="AX838" t="str">
            <v>K. Benjamin</v>
          </cell>
        </row>
        <row r="839">
          <cell r="A839" t="str">
            <v>CA789</v>
          </cell>
          <cell r="P839">
            <v>59</v>
          </cell>
          <cell r="Q839">
            <v>12.444444444444443</v>
          </cell>
          <cell r="T839">
            <v>0.74444444444444446</v>
          </cell>
          <cell r="U839">
            <v>0.87222222222222223</v>
          </cell>
          <cell r="V839">
            <v>52</v>
          </cell>
          <cell r="Z839">
            <v>0.30972222222222223</v>
          </cell>
          <cell r="AF839">
            <v>48</v>
          </cell>
          <cell r="AG839">
            <v>12.2</v>
          </cell>
          <cell r="AI839">
            <v>49.6</v>
          </cell>
          <cell r="AU839">
            <v>100.48581555152971</v>
          </cell>
          <cell r="AV839">
            <v>101.06459024763849</v>
          </cell>
          <cell r="AX839" t="str">
            <v>K. Benjamin</v>
          </cell>
        </row>
        <row r="840">
          <cell r="A840" t="str">
            <v>CA790</v>
          </cell>
          <cell r="P840">
            <v>61</v>
          </cell>
          <cell r="Q840">
            <v>8.3703703703703631</v>
          </cell>
          <cell r="T840">
            <v>0.83750000000000002</v>
          </cell>
          <cell r="U840">
            <v>0.99930555555555556</v>
          </cell>
          <cell r="V840">
            <v>54</v>
          </cell>
          <cell r="Z840">
            <v>0.33263888888888893</v>
          </cell>
          <cell r="AF840">
            <v>50.2</v>
          </cell>
          <cell r="AI840">
            <v>51.6</v>
          </cell>
          <cell r="AU840">
            <v>0</v>
          </cell>
          <cell r="AV840">
            <v>0</v>
          </cell>
          <cell r="AX840" t="str">
            <v>K. Benjamin</v>
          </cell>
        </row>
        <row r="841">
          <cell r="A841" t="str">
            <v>CA791</v>
          </cell>
          <cell r="P841">
            <v>61</v>
          </cell>
          <cell r="Q841">
            <v>7.538461538461541</v>
          </cell>
          <cell r="T841">
            <v>0.93888888888888888</v>
          </cell>
          <cell r="U841">
            <v>5.2083333333333336E-2</v>
          </cell>
          <cell r="V841">
            <v>59</v>
          </cell>
          <cell r="Z841">
            <v>-0.72222222222222221</v>
          </cell>
          <cell r="AF841">
            <v>49.2</v>
          </cell>
          <cell r="AG841">
            <v>11.8</v>
          </cell>
          <cell r="AI841">
            <v>49.6</v>
          </cell>
          <cell r="AU841">
            <v>97.102189812519697</v>
          </cell>
          <cell r="AV841">
            <v>97.661475619096237</v>
          </cell>
          <cell r="AX841" t="str">
            <v>K. Benjamin</v>
          </cell>
        </row>
        <row r="842">
          <cell r="A842" t="str">
            <v>CA792</v>
          </cell>
          <cell r="P842">
            <v>6</v>
          </cell>
          <cell r="Q842">
            <v>9.8336414048059151</v>
          </cell>
          <cell r="T842">
            <v>3.2638888888888891E-2</v>
          </cell>
          <cell r="U842">
            <v>0.15486111111111112</v>
          </cell>
          <cell r="V842">
            <v>59</v>
          </cell>
          <cell r="Z842">
            <v>-0.73055555555555551</v>
          </cell>
          <cell r="AF842">
            <v>50.7</v>
          </cell>
          <cell r="AG842">
            <v>11.8</v>
          </cell>
          <cell r="AI842">
            <v>50.5</v>
          </cell>
          <cell r="AU842">
            <v>98.86412470831138</v>
          </cell>
          <cell r="AV842">
            <v>99.433558846055647</v>
          </cell>
          <cell r="AX842" t="str">
            <v>K. Benjamin</v>
          </cell>
        </row>
        <row r="843">
          <cell r="A843" t="str">
            <v>CA793</v>
          </cell>
          <cell r="P843">
            <v>45</v>
          </cell>
          <cell r="Q843">
            <v>9.6487985212569285</v>
          </cell>
          <cell r="T843">
            <v>0.14652777777777778</v>
          </cell>
          <cell r="U843">
            <v>0.25763888888888886</v>
          </cell>
          <cell r="V843">
            <v>56</v>
          </cell>
          <cell r="Z843">
            <v>-0.73888888888888893</v>
          </cell>
          <cell r="AF843">
            <v>49.6</v>
          </cell>
          <cell r="AG843">
            <v>11.9</v>
          </cell>
          <cell r="AI843">
            <v>49.9</v>
          </cell>
          <cell r="AU843">
            <v>98.560315476775202</v>
          </cell>
          <cell r="AV843">
            <v>99.127999744702578</v>
          </cell>
          <cell r="AX843" t="str">
            <v>K. Benjamin</v>
          </cell>
        </row>
        <row r="844">
          <cell r="A844" t="str">
            <v>CA794</v>
          </cell>
          <cell r="P844">
            <v>60</v>
          </cell>
          <cell r="Q844">
            <v>7.2623574144486698</v>
          </cell>
          <cell r="T844">
            <v>0.24722222222222223</v>
          </cell>
          <cell r="U844">
            <v>0.37569444444444444</v>
          </cell>
          <cell r="V844">
            <v>61</v>
          </cell>
          <cell r="Z844">
            <v>0.26111111111111113</v>
          </cell>
          <cell r="AF844">
            <v>49.5</v>
          </cell>
          <cell r="AG844">
            <v>11.5</v>
          </cell>
          <cell r="AI844">
            <v>49.9</v>
          </cell>
          <cell r="AU844">
            <v>96.996745280353508</v>
          </cell>
          <cell r="AV844">
            <v>97.554857403307722</v>
          </cell>
          <cell r="AX844" t="str">
            <v>D. Gomaz</v>
          </cell>
        </row>
      </sheetData>
      <sheetData sheetId="6"/>
      <sheetData sheetId="7">
        <row r="14">
          <cell r="D14">
            <v>11.6</v>
          </cell>
        </row>
        <row r="727">
          <cell r="D727">
            <v>11.6</v>
          </cell>
        </row>
        <row r="728">
          <cell r="D728">
            <v>11.6</v>
          </cell>
        </row>
        <row r="729">
          <cell r="D729">
            <v>11.8</v>
          </cell>
        </row>
        <row r="730">
          <cell r="D730">
            <v>11.6</v>
          </cell>
        </row>
        <row r="731">
          <cell r="D731">
            <v>11.7</v>
          </cell>
        </row>
        <row r="732">
          <cell r="D732">
            <v>11.7</v>
          </cell>
        </row>
        <row r="733">
          <cell r="D733">
            <v>11.3</v>
          </cell>
        </row>
        <row r="734">
          <cell r="D734">
            <v>12.5</v>
          </cell>
        </row>
        <row r="755">
          <cell r="D755">
            <v>11.9</v>
          </cell>
        </row>
        <row r="756">
          <cell r="D756">
            <v>11.7</v>
          </cell>
        </row>
        <row r="757">
          <cell r="D757">
            <v>11.9</v>
          </cell>
        </row>
        <row r="758">
          <cell r="D758">
            <v>12</v>
          </cell>
        </row>
        <row r="759">
          <cell r="D759">
            <v>11.9</v>
          </cell>
        </row>
        <row r="760">
          <cell r="D760">
            <v>12</v>
          </cell>
        </row>
        <row r="761">
          <cell r="D761">
            <v>11.9</v>
          </cell>
        </row>
        <row r="762">
          <cell r="D762">
            <v>12</v>
          </cell>
        </row>
        <row r="767">
          <cell r="D767">
            <v>11.8</v>
          </cell>
        </row>
        <row r="768">
          <cell r="D768">
            <v>12</v>
          </cell>
        </row>
        <row r="769">
          <cell r="D769">
            <v>11.9</v>
          </cell>
        </row>
        <row r="770">
          <cell r="D770">
            <v>11.9</v>
          </cell>
        </row>
        <row r="771">
          <cell r="D771">
            <v>11.9</v>
          </cell>
        </row>
        <row r="772">
          <cell r="D772">
            <v>11.9</v>
          </cell>
        </row>
        <row r="773">
          <cell r="D773">
            <v>11.9</v>
          </cell>
        </row>
        <row r="774">
          <cell r="D774">
            <v>11.9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  <row r="108">
          <cell r="A108" t="str">
            <v>GU085</v>
          </cell>
          <cell r="O108">
            <v>58</v>
          </cell>
          <cell r="R108">
            <v>9.9642857142857117</v>
          </cell>
          <cell r="T108">
            <v>1.1659722222222222</v>
          </cell>
          <cell r="U108">
            <v>1.2798611111111111</v>
          </cell>
          <cell r="V108">
            <v>56</v>
          </cell>
          <cell r="Z108">
            <v>0.27986111111111112</v>
          </cell>
          <cell r="AF108">
            <v>51.5</v>
          </cell>
          <cell r="AG108">
            <v>16.7</v>
          </cell>
          <cell r="AI108">
            <v>50.3</v>
          </cell>
          <cell r="AU108">
            <v>91.975176313227053</v>
          </cell>
          <cell r="AV108">
            <v>92.431180354931882</v>
          </cell>
          <cell r="AW108" t="str">
            <v>R. Sookram</v>
          </cell>
        </row>
        <row r="109">
          <cell r="A109" t="str">
            <v>GU086</v>
          </cell>
          <cell r="O109">
            <v>55</v>
          </cell>
          <cell r="R109">
            <v>7.2857142857142829</v>
          </cell>
          <cell r="T109">
            <v>0.27986111111111112</v>
          </cell>
          <cell r="U109">
            <v>0.42499999999999999</v>
          </cell>
          <cell r="V109">
            <v>79</v>
          </cell>
          <cell r="Z109">
            <v>0.3208333333333333</v>
          </cell>
          <cell r="AF109">
            <v>53</v>
          </cell>
          <cell r="AG109">
            <v>17</v>
          </cell>
          <cell r="AI109">
            <v>51.6</v>
          </cell>
          <cell r="AU109">
            <v>96.153490761650957</v>
          </cell>
          <cell r="AV109">
            <v>96.630210482872457</v>
          </cell>
          <cell r="AW109" t="str">
            <v>R. Sookram</v>
          </cell>
        </row>
        <row r="110">
          <cell r="A110" t="str">
            <v>GU087</v>
          </cell>
          <cell r="O110">
            <v>60</v>
          </cell>
          <cell r="R110">
            <v>7.4509803921568629</v>
          </cell>
          <cell r="T110">
            <v>0.39652777777777776</v>
          </cell>
          <cell r="U110">
            <v>0.55972222222222223</v>
          </cell>
          <cell r="V110">
            <v>72</v>
          </cell>
          <cell r="Z110">
            <v>0.3305555555555556</v>
          </cell>
          <cell r="AF110">
            <v>54.6</v>
          </cell>
          <cell r="AG110">
            <v>17.600000000000001</v>
          </cell>
          <cell r="AI110">
            <v>53.1</v>
          </cell>
          <cell r="AU110">
            <v>102.79261976436969</v>
          </cell>
          <cell r="AV110">
            <v>103.30216588791079</v>
          </cell>
          <cell r="AW110" t="str">
            <v>R. Sookram</v>
          </cell>
        </row>
        <row r="111">
          <cell r="A111" t="str">
            <v>GU088</v>
          </cell>
          <cell r="O111">
            <v>59</v>
          </cell>
          <cell r="R111">
            <v>5.8571428571428594</v>
          </cell>
          <cell r="T111">
            <v>0.53749999999999998</v>
          </cell>
          <cell r="U111">
            <v>0.68472222222222223</v>
          </cell>
          <cell r="V111">
            <v>81</v>
          </cell>
          <cell r="Z111">
            <v>0.33055555555555555</v>
          </cell>
          <cell r="AF111">
            <v>53.8</v>
          </cell>
          <cell r="AG111">
            <v>17.100000000000001</v>
          </cell>
          <cell r="AI111">
            <v>52.2</v>
          </cell>
          <cell r="AU111">
            <v>97.680094528624181</v>
          </cell>
          <cell r="AV111">
            <v>98.164638069015211</v>
          </cell>
          <cell r="AW111" t="str">
            <v>R. Sookram</v>
          </cell>
        </row>
        <row r="112">
          <cell r="A112" t="str">
            <v>GU089</v>
          </cell>
          <cell r="O112">
            <v>58</v>
          </cell>
          <cell r="R112">
            <v>5.4901960784313699</v>
          </cell>
          <cell r="T112">
            <v>0.66388888888888886</v>
          </cell>
          <cell r="U112">
            <v>0.79652777777777772</v>
          </cell>
          <cell r="V112">
            <v>81</v>
          </cell>
          <cell r="Z112">
            <v>0.31736111111111104</v>
          </cell>
          <cell r="AF112">
            <v>54.1</v>
          </cell>
          <cell r="AG112">
            <v>17.3</v>
          </cell>
          <cell r="AI112">
            <v>52.4</v>
          </cell>
          <cell r="AU112">
            <v>98.815277602756282</v>
          </cell>
          <cell r="AV112">
            <v>99.305964606755964</v>
          </cell>
          <cell r="AW112" t="str">
            <v>D. Gomaz</v>
          </cell>
        </row>
        <row r="113">
          <cell r="A113" t="str">
            <v>GU090</v>
          </cell>
          <cell r="O113">
            <v>60</v>
          </cell>
          <cell r="R113">
            <v>6.3928571428571406</v>
          </cell>
          <cell r="T113">
            <v>0.77777777777777779</v>
          </cell>
          <cell r="U113">
            <v>0.90763888888888888</v>
          </cell>
          <cell r="V113">
            <v>61</v>
          </cell>
          <cell r="Z113">
            <v>0.30347222222222225</v>
          </cell>
          <cell r="AF113">
            <v>53.5</v>
          </cell>
          <cell r="AG113">
            <v>17</v>
          </cell>
          <cell r="AI113">
            <v>52</v>
          </cell>
          <cell r="AU113">
            <v>96.743980175024319</v>
          </cell>
          <cell r="AV113">
            <v>97.223796033994319</v>
          </cell>
          <cell r="AW113" t="str">
            <v>D. Gomaz</v>
          </cell>
        </row>
        <row r="114">
          <cell r="A114" t="str">
            <v>GU091</v>
          </cell>
          <cell r="O114">
            <v>60</v>
          </cell>
          <cell r="R114">
            <v>6.0357142857142776</v>
          </cell>
          <cell r="T114">
            <v>0.90347222222222223</v>
          </cell>
          <cell r="U114">
            <v>1.0416666666666667</v>
          </cell>
          <cell r="V114">
            <v>63</v>
          </cell>
          <cell r="Z114">
            <v>0.30555555555555558</v>
          </cell>
          <cell r="AF114">
            <v>53.7</v>
          </cell>
          <cell r="AG114">
            <v>17</v>
          </cell>
          <cell r="AI114">
            <v>52.4</v>
          </cell>
          <cell r="AU114">
            <v>97.332584883765065</v>
          </cell>
          <cell r="AV114">
            <v>97.815489046590557</v>
          </cell>
          <cell r="AW114" t="str">
            <v>D. Gomaz</v>
          </cell>
        </row>
        <row r="115">
          <cell r="A115" t="str">
            <v>GU092</v>
          </cell>
          <cell r="O115">
            <v>62</v>
          </cell>
          <cell r="R115">
            <v>6.0357142857142776</v>
          </cell>
          <cell r="T115">
            <v>1.0201388888888889</v>
          </cell>
          <cell r="U115">
            <v>1.1868055555555554</v>
          </cell>
          <cell r="V115">
            <v>63</v>
          </cell>
          <cell r="Z115">
            <v>0.32569444444444429</v>
          </cell>
          <cell r="AF115">
            <v>53.7</v>
          </cell>
          <cell r="AG115">
            <v>17.100000000000001</v>
          </cell>
          <cell r="AI115">
            <v>51.9</v>
          </cell>
          <cell r="AU115">
            <v>97.429936670217501</v>
          </cell>
          <cell r="AV115">
            <v>97.912899811549678</v>
          </cell>
          <cell r="AW115" t="str">
            <v>K. Benjamin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92.192234749793755</v>
          </cell>
        </row>
        <row r="99">
          <cell r="AV99">
            <v>97.908198253585468</v>
          </cell>
        </row>
        <row r="100">
          <cell r="AV100">
            <v>97.339468430709204</v>
          </cell>
        </row>
        <row r="101">
          <cell r="AV101">
            <v>98.522684853503378</v>
          </cell>
        </row>
        <row r="102">
          <cell r="AV102">
            <v>98.512227862178662</v>
          </cell>
        </row>
        <row r="103">
          <cell r="AV103">
            <v>98.875374733462692</v>
          </cell>
        </row>
        <row r="104">
          <cell r="AV104">
            <v>97.703049180207884</v>
          </cell>
        </row>
        <row r="105">
          <cell r="AV105">
            <v>99.954741113141679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 refreshError="1"/>
      <sheetData sheetId="1" refreshError="1"/>
      <sheetData sheetId="2" refreshError="1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91.518291197933038</v>
          </cell>
        </row>
        <row r="104">
          <cell r="AY104">
            <v>99.384605447346843</v>
          </cell>
        </row>
        <row r="105">
          <cell r="AY105">
            <v>99.466650911889417</v>
          </cell>
        </row>
        <row r="106">
          <cell r="AY106">
            <v>98.400502643916937</v>
          </cell>
        </row>
        <row r="107">
          <cell r="AY107">
            <v>99.738369220600319</v>
          </cell>
        </row>
        <row r="108">
          <cell r="AY108">
            <v>99.055708807837178</v>
          </cell>
        </row>
        <row r="109">
          <cell r="AY109">
            <v>98.875386413170901</v>
          </cell>
        </row>
        <row r="110">
          <cell r="AY110">
            <v>96.509894208472375</v>
          </cell>
        </row>
        <row r="112">
          <cell r="A112" t="str">
            <v>SM099</v>
          </cell>
          <cell r="T112">
            <v>60</v>
          </cell>
          <cell r="U112">
            <v>6.754716981132086</v>
          </cell>
          <cell r="X112">
            <v>0.80208333333333337</v>
          </cell>
          <cell r="Y112">
            <v>0.97499999999999998</v>
          </cell>
          <cell r="Z112">
            <v>90</v>
          </cell>
          <cell r="AD112">
            <v>0.33958333333333335</v>
          </cell>
          <cell r="AH112">
            <v>53</v>
          </cell>
          <cell r="AK112">
            <v>17</v>
          </cell>
          <cell r="AM112">
            <v>51.1</v>
          </cell>
          <cell r="AY112">
            <v>97.214271955083348</v>
          </cell>
          <cell r="AZ112">
            <v>97.481077972249778</v>
          </cell>
          <cell r="BC112" t="str">
            <v>D. Gomaz</v>
          </cell>
        </row>
        <row r="113">
          <cell r="A113" t="str">
            <v>SM100</v>
          </cell>
          <cell r="T113">
            <v>61</v>
          </cell>
          <cell r="U113">
            <v>7.8867924528301883</v>
          </cell>
          <cell r="X113">
            <v>0.93333333333333335</v>
          </cell>
          <cell r="Y113">
            <v>1.0715277777777779</v>
          </cell>
          <cell r="Z113">
            <v>69</v>
          </cell>
          <cell r="AD113">
            <v>0.32152777777777786</v>
          </cell>
          <cell r="AH113">
            <v>53</v>
          </cell>
          <cell r="AK113">
            <v>17.3</v>
          </cell>
          <cell r="AM113">
            <v>51.4</v>
          </cell>
          <cell r="AY113">
            <v>98.862710164301788</v>
          </cell>
          <cell r="AZ113">
            <v>99.136679966905078</v>
          </cell>
          <cell r="BC113" t="str">
            <v>D. Gomaz</v>
          </cell>
        </row>
        <row r="114">
          <cell r="A114" t="str">
            <v>SM101</v>
          </cell>
          <cell r="T114">
            <v>57</v>
          </cell>
          <cell r="U114">
            <v>4.1132075471698109</v>
          </cell>
          <cell r="X114">
            <v>1.0604166666666666</v>
          </cell>
          <cell r="Y114">
            <v>1.2090277777777778</v>
          </cell>
          <cell r="Z114">
            <v>70</v>
          </cell>
          <cell r="AD114">
            <v>0.34444444444444444</v>
          </cell>
          <cell r="AH114">
            <v>53</v>
          </cell>
          <cell r="AK114">
            <v>17.3</v>
          </cell>
          <cell r="AM114">
            <v>51.7</v>
          </cell>
          <cell r="AY114">
            <v>99.439729873431943</v>
          </cell>
          <cell r="AZ114">
            <v>99.715298721575735</v>
          </cell>
          <cell r="BC114" t="str">
            <v>D. Gomaz</v>
          </cell>
        </row>
        <row r="115">
          <cell r="A115" t="str">
            <v>SM102</v>
          </cell>
          <cell r="T115">
            <v>60</v>
          </cell>
          <cell r="U115">
            <v>7.3207547169811367</v>
          </cell>
          <cell r="X115">
            <v>1.1868055555555554</v>
          </cell>
          <cell r="Y115">
            <v>1.3430555555555554</v>
          </cell>
          <cell r="Z115">
            <v>67</v>
          </cell>
          <cell r="AD115">
            <v>0.35694444444444429</v>
          </cell>
          <cell r="AH115">
            <v>53</v>
          </cell>
          <cell r="AK115">
            <v>17.3</v>
          </cell>
          <cell r="AM115">
            <v>51</v>
          </cell>
          <cell r="AY115">
            <v>98.013898306372198</v>
          </cell>
          <cell r="AZ115">
            <v>98.285775240901714</v>
          </cell>
          <cell r="BC115" t="str">
            <v>R.Sookram</v>
          </cell>
        </row>
        <row r="116">
          <cell r="A116" t="str">
            <v>SM103</v>
          </cell>
          <cell r="T116">
            <v>60</v>
          </cell>
          <cell r="U116">
            <v>5.0566037735849045</v>
          </cell>
          <cell r="X116">
            <v>0.35347222222222224</v>
          </cell>
          <cell r="Y116">
            <v>0.50208333333333333</v>
          </cell>
          <cell r="Z116">
            <v>65</v>
          </cell>
          <cell r="AD116">
            <v>0.39444444444444443</v>
          </cell>
          <cell r="AH116">
            <v>53</v>
          </cell>
          <cell r="AK116">
            <v>17.36</v>
          </cell>
          <cell r="AM116">
            <v>51.9</v>
          </cell>
          <cell r="AY116">
            <v>95.022046186828362</v>
          </cell>
          <cell r="AZ116">
            <v>95.285372684690913</v>
          </cell>
          <cell r="BC116" t="str">
            <v>R.Sookram</v>
          </cell>
        </row>
        <row r="117">
          <cell r="A117" t="str">
            <v>SM104</v>
          </cell>
          <cell r="T117">
            <v>60</v>
          </cell>
          <cell r="U117">
            <v>6.754716981132086</v>
          </cell>
          <cell r="X117">
            <v>0.3923611111111111</v>
          </cell>
          <cell r="Y117">
            <v>0.65694444444444444</v>
          </cell>
          <cell r="Z117">
            <v>73</v>
          </cell>
          <cell r="AD117">
            <v>0.42083333333333334</v>
          </cell>
          <cell r="AH117">
            <v>53</v>
          </cell>
          <cell r="AK117">
            <v>17.399999999999999</v>
          </cell>
          <cell r="AM117">
            <v>51.9</v>
          </cell>
          <cell r="AY117">
            <v>95.022046186828362</v>
          </cell>
          <cell r="AZ117">
            <v>95.285372684690913</v>
          </cell>
          <cell r="BC117" t="str">
            <v>R.Sookram</v>
          </cell>
        </row>
        <row r="118">
          <cell r="A118" t="str">
            <v>SM105</v>
          </cell>
          <cell r="T118">
            <v>57</v>
          </cell>
          <cell r="U118">
            <v>2.960000000000008</v>
          </cell>
          <cell r="X118">
            <v>0.63680555555555551</v>
          </cell>
          <cell r="Y118">
            <v>0.79236111111111107</v>
          </cell>
          <cell r="Z118">
            <v>70</v>
          </cell>
          <cell r="AD118">
            <v>0.36180555555555549</v>
          </cell>
          <cell r="AH118">
            <v>50</v>
          </cell>
          <cell r="AK118">
            <v>17.399999999999999</v>
          </cell>
          <cell r="AM118">
            <v>49.3</v>
          </cell>
          <cell r="AY118">
            <v>90.335017111661628</v>
          </cell>
          <cell r="AZ118">
            <v>90.585115407273193</v>
          </cell>
          <cell r="BC118" t="str">
            <v>K. Benjamin</v>
          </cell>
        </row>
        <row r="119">
          <cell r="A119" t="str">
            <v>SM106</v>
          </cell>
          <cell r="T119">
            <v>60</v>
          </cell>
          <cell r="U119">
            <v>-0.41509433962263936</v>
          </cell>
          <cell r="X119">
            <v>0.77500000000000002</v>
          </cell>
          <cell r="Y119">
            <v>0.95277777777777772</v>
          </cell>
          <cell r="Z119">
            <v>104</v>
          </cell>
          <cell r="AD119">
            <v>0.39027777777777772</v>
          </cell>
          <cell r="AH119">
            <v>53</v>
          </cell>
          <cell r="AK119">
            <v>17.399999999999999</v>
          </cell>
          <cell r="AM119">
            <v>55.3</v>
          </cell>
          <cell r="AY119">
            <v>100.75694228020136</v>
          </cell>
          <cell r="AZ119">
            <v>101.03775475944533</v>
          </cell>
          <cell r="BC119" t="str">
            <v>K. Benjamin</v>
          </cell>
        </row>
      </sheetData>
      <sheetData sheetId="4">
        <row r="5">
          <cell r="D5">
            <v>17.100000000000001</v>
          </cell>
        </row>
        <row r="112">
          <cell r="D112">
            <v>17</v>
          </cell>
        </row>
        <row r="113">
          <cell r="D113">
            <v>17.3</v>
          </cell>
        </row>
        <row r="114">
          <cell r="D114">
            <v>17.3</v>
          </cell>
        </row>
        <row r="115">
          <cell r="D115">
            <v>17.3</v>
          </cell>
        </row>
        <row r="116">
          <cell r="D116">
            <v>17.36</v>
          </cell>
        </row>
        <row r="117">
          <cell r="D117">
            <v>17.399999999999999</v>
          </cell>
        </row>
        <row r="118">
          <cell r="D118">
            <v>17.399999999999999</v>
          </cell>
        </row>
        <row r="119">
          <cell r="D119">
            <v>17.399999999999999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 order input"/>
      <sheetName val="Sales forecast"/>
      <sheetName val="Draw"/>
      <sheetName val="Sheet6"/>
      <sheetName val="crowns2"/>
      <sheetName val="EXPORTS "/>
      <sheetName val="EXPORTS"/>
      <sheetName val="Malt order"/>
      <sheetName val="fill time"/>
      <sheetName val="Recipes"/>
      <sheetName val="Sheet2"/>
      <sheetName val="Sheet3"/>
      <sheetName val="Sheet7"/>
    </sheetNames>
    <sheetDataSet>
      <sheetData sheetId="0" refreshError="1"/>
      <sheetData sheetId="1" refreshError="1"/>
      <sheetData sheetId="2">
        <row r="134">
          <cell r="BBB134">
            <v>8</v>
          </cell>
          <cell r="BBF134">
            <v>4</v>
          </cell>
          <cell r="BBG134">
            <v>8</v>
          </cell>
          <cell r="BBH134">
            <v>9</v>
          </cell>
          <cell r="BBI134">
            <v>8</v>
          </cell>
          <cell r="BBJ134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37" t="s">
        <v>0</v>
      </c>
      <c r="U1" s="537"/>
      <c r="V1" s="537" t="s">
        <v>1</v>
      </c>
      <c r="W1" s="537"/>
      <c r="X1" s="537" t="s">
        <v>2</v>
      </c>
      <c r="Y1" s="537"/>
      <c r="Z1" s="537" t="s">
        <v>124</v>
      </c>
      <c r="AA1" s="537"/>
    </row>
    <row r="2" spans="2:30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32">
        <v>45278</v>
      </c>
      <c r="D4" s="532"/>
      <c r="J4" s="533" t="s">
        <v>153</v>
      </c>
      <c r="K4" s="533"/>
      <c r="L4" s="11"/>
      <c r="M4" s="535" t="s">
        <v>8</v>
      </c>
      <c r="N4" s="536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34"/>
      <c r="K5" s="53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41" t="s">
        <v>151</v>
      </c>
      <c r="K6" s="542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43"/>
      <c r="K7" s="544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152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26</v>
      </c>
      <c r="O8" s="547"/>
      <c r="P8" s="557" t="s">
        <v>28</v>
      </c>
      <c r="Q8" s="559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58"/>
      <c r="Q9" s="560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61" t="s">
        <v>34</v>
      </c>
      <c r="J48" s="561"/>
      <c r="K48" s="561"/>
      <c r="L48" s="561"/>
      <c r="M48" s="561"/>
      <c r="N48" s="561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9" t="s">
        <v>35</v>
      </c>
      <c r="E49" s="540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62" t="s">
        <v>9</v>
      </c>
      <c r="C50" s="362">
        <v>11.8</v>
      </c>
      <c r="D50" s="565">
        <v>11.73</v>
      </c>
      <c r="E50" s="566"/>
      <c r="F50" s="294"/>
      <c r="G50" s="294"/>
      <c r="H50" s="294"/>
      <c r="I50" s="29" t="s">
        <v>6</v>
      </c>
      <c r="J50" s="323"/>
      <c r="K50" s="284">
        <f>COUNTA([10]Brewhouse!$A$1596:$A$1619)</f>
        <v>24</v>
      </c>
      <c r="L50" s="302">
        <f>AVERAGE([10]Brewhouse!$AU$1529,[10]Brewhouse!$AU$1531:$AU$1594,[10]Brewhouse!$AU$1596:$AU$1619)</f>
        <v>98.205761326291494</v>
      </c>
      <c r="M50" s="302">
        <f>AVERAGE([10]Brewhouse!$AU$849:$AU$924,[10]Brewhouse!$AU$926:$AU$971,[10]Brewhouse!$AU$973:$AU$1066,[10]Brewhouse!$AU$1068:$AU$1111,[10]Brewhouse!$AU$1113:$AU$1132,[10]Brewhouse!$AU$1134:$AU$1167,[10]Brewhouse!$AU$1169:$AU$1230,[10]Brewhouse!$AU$1232:$AU$1299,[10]Brewhouse!$AU$1301:$AU$1363,[10]Brewhouse!$AU$1365:$AU$1444,[10]Brewhouse!$AU$1446:$AU$1527,[10]Brewhouse!$AU$1529,[10]Brewhouse!$AU$1531:$AU$1594,[10]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63"/>
      <c r="C51" s="349">
        <v>11.9</v>
      </c>
      <c r="D51" s="567"/>
      <c r="E51" s="568"/>
      <c r="F51" s="294"/>
      <c r="G51" s="294"/>
      <c r="H51" s="32"/>
      <c r="I51" s="33" t="s">
        <v>9</v>
      </c>
      <c r="J51" s="323"/>
      <c r="K51" s="284">
        <f>COUNTA([11]Brewhouse!$A$976:$A$1007)</f>
        <v>32</v>
      </c>
      <c r="L51" s="302">
        <f>AVERAGE([11]Brewhouse!$AS$976:$AS$979,[11]Brewhouse!$AS$981:$AS$1007)</f>
        <v>98.538566771868645</v>
      </c>
      <c r="M51" s="302">
        <f>AVERAGE([11]Brewhouse!$AS$577:$AS$618,[11]Brewhouse!$AS$620:$AS$651,[11]Brewhouse!$AS$653:$AS$696,[11]Brewhouse!$AS$698:$AS$708,[11]Brewhouse!$AS$710:$AS$733,[11]Brewhouse!$AS$735:$AS$777,[11]Brewhouse!$AS$779:$AS$822,[11]Brewhouse!$AS$824:$AS$863,[11]Brewhouse!$AS$865:$AS$974,[11]Brewhouse!$AS$976:$AS$979,[11]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63"/>
      <c r="C52" s="349"/>
      <c r="D52" s="565"/>
      <c r="E52" s="566"/>
      <c r="F52" s="294"/>
      <c r="G52" s="294"/>
      <c r="H52" s="32"/>
      <c r="I52" s="34" t="s">
        <v>12</v>
      </c>
      <c r="J52" s="280"/>
      <c r="K52" s="284">
        <f>COUNTA([12]Brewhouse!$A$282:$A$289)</f>
        <v>8</v>
      </c>
      <c r="L52" s="302">
        <f>AVERAGE([12]Brewhouse!$AU$269:$AU$279,[12]Brewhouse!$AU$282:$AU$289)</f>
        <v>96.1861768599382</v>
      </c>
      <c r="M52" s="302">
        <f>AVERAGE([12]Brewhouse!$AU$161:$AU$176,[12]Brewhouse!$AU$178:$AU$195,[12]Brewhouse!$AU$197:$AU$208,[12]Brewhouse!$AU$210:$AU$221,[12]Brewhouse!$AU$223:$AU$232,[12]Brewhouse!$AU$234:$AU$279,[12]Brewhouse!$AU$282:$AU$289)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63"/>
      <c r="C53" s="349"/>
      <c r="D53" s="567"/>
      <c r="E53" s="568"/>
      <c r="F53" s="294"/>
      <c r="G53" s="294"/>
      <c r="H53" s="32"/>
      <c r="I53" s="22" t="s">
        <v>33</v>
      </c>
      <c r="J53" s="280"/>
      <c r="K53" s="284">
        <f>COUNTA([13]Brewhouse!$A$158:$A$163)</f>
        <v>6</v>
      </c>
      <c r="L53" s="302">
        <f>AVERAGE([13]Brewhouse!$AU$158:$AU$163)</f>
        <v>94.603050114691541</v>
      </c>
      <c r="M53" s="302">
        <f>AVERAGE([13]Brewhouse!$AU$91:$AU$101,[13]Brewhouse!$AU$103:$AU$112,[13]Brewhouse!$AU$114:$AU$123,[13]Brewhouse!$AU$125:$AU$134,[13]Brewhouse!$AU$136:$AU$145,[13]Brewhouse!$AU$147:$AU$156,[13]Brewhouse!$AU$158:$AU$163)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63"/>
      <c r="C54" s="349"/>
      <c r="D54" s="565"/>
      <c r="E54" s="566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63"/>
      <c r="C55" s="349"/>
      <c r="D55" s="567"/>
      <c r="E55" s="568"/>
      <c r="F55" s="294"/>
      <c r="G55" s="294"/>
      <c r="H55" s="32"/>
      <c r="I55" s="36" t="s">
        <v>15</v>
      </c>
      <c r="J55" s="323"/>
      <c r="K55" s="284"/>
      <c r="L55" s="302"/>
      <c r="M55" s="302">
        <f>AVERAGE([14]Brewhouse!$AT$74:$AT$79)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63"/>
      <c r="C56" s="349"/>
      <c r="D56" s="565"/>
      <c r="E56" s="566"/>
      <c r="F56" s="294"/>
      <c r="G56" s="294"/>
      <c r="H56" s="32"/>
      <c r="I56" s="37" t="s">
        <v>16</v>
      </c>
      <c r="J56" s="323"/>
      <c r="K56" s="284">
        <f>COUNTA([15]Brewhouse!$A$249:$A$254)</f>
        <v>6</v>
      </c>
      <c r="L56" s="302">
        <f>AVERAGE([15]Brewhouse!$AY$249:$AY$254)</f>
        <v>99.681996476494263</v>
      </c>
      <c r="M56" s="302">
        <f>AVERAGE([15]Brewhouse!$AY$138:$AY$143,[15]Brewhouse!$AY$145:$AY$153,[15]Brewhouse!$AY$155,[15]Brewhouse!$AY$156:$AY$174,[15]Brewhouse!$AY$176:$AY$185,[15]Brewhouse!$AY$187:$AY$198,[15]Brewhouse!$AY$200:$AY$247,[15]Brewhouse!$AY$249:$AY$254)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63"/>
      <c r="C57" s="349"/>
      <c r="D57" s="567"/>
      <c r="E57" s="568"/>
      <c r="F57" s="294"/>
      <c r="G57" s="294"/>
      <c r="H57" s="32"/>
      <c r="I57" s="306" t="s">
        <v>137</v>
      </c>
      <c r="J57" s="326"/>
      <c r="K57" s="284"/>
      <c r="L57" s="305"/>
      <c r="M57" s="305">
        <f>AVERAGE([16]Brewhouse!$AW$13:$AW$14,[16]Brewhouse!$AW$16:$AW$17)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63"/>
      <c r="C58" s="349"/>
      <c r="D58" s="569"/>
      <c r="E58" s="570"/>
      <c r="F58" s="294"/>
      <c r="G58" s="294"/>
      <c r="H58" s="32"/>
      <c r="I58" s="38" t="s">
        <v>125</v>
      </c>
      <c r="J58" s="327"/>
      <c r="K58" s="284"/>
      <c r="L58" s="328"/>
      <c r="M58" s="328">
        <f>AVERAGE([16]Brewhouse!$AW$13:$AW$14)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63"/>
      <c r="C59" s="349"/>
      <c r="D59" s="571"/>
      <c r="E59" s="572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AVERAGE('[17]Closing- January 2023'!$L$42,'[18]Feb. 28th'!$L$42,'[19]March 31st'!$L$75,'[20]Apri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63"/>
      <c r="C60" s="349"/>
      <c r="D60" s="569"/>
      <c r="E60" s="570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64"/>
      <c r="C61" s="350"/>
      <c r="D61" s="573"/>
      <c r="E61" s="574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75"/>
      <c r="C62" s="362"/>
      <c r="D62" s="578"/>
      <c r="E62" s="579"/>
      <c r="F62" s="43"/>
      <c r="G62" s="41"/>
      <c r="H62" s="41"/>
      <c r="I62" s="42"/>
      <c r="J62" s="581" t="s">
        <v>129</v>
      </c>
      <c r="K62" s="581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76"/>
      <c r="C63" s="349"/>
      <c r="D63" s="580"/>
      <c r="E63" s="568"/>
      <c r="F63" s="43"/>
      <c r="G63" s="41"/>
      <c r="H63" s="41"/>
      <c r="I63" s="42"/>
      <c r="J63" s="292" t="s">
        <v>17</v>
      </c>
      <c r="K63" s="293" t="s">
        <v>147</v>
      </c>
      <c r="L63" s="582" t="s">
        <v>136</v>
      </c>
      <c r="M63" s="582"/>
      <c r="N63" s="583"/>
      <c r="O63" s="294"/>
      <c r="P63" s="12"/>
      <c r="S63" s="23"/>
    </row>
    <row r="64" spans="1:27" ht="15" customHeight="1" thickBot="1">
      <c r="B64" s="576"/>
      <c r="C64" s="349"/>
      <c r="D64" s="584"/>
      <c r="E64" s="566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76"/>
      <c r="C65" s="349"/>
      <c r="D65" s="580"/>
      <c r="E65" s="568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AVERAGE(6,6,'[19]March 31st'!$L$80,'[21]June 30th  '!$L$71,6,L65,'[22]July 31st'!$L$108,'[23]Aug 30th'!$L$124,7,[24]Oct.31st!$L$51)</f>
        <v>#REF!</v>
      </c>
      <c r="N65" s="308">
        <v>9</v>
      </c>
      <c r="O65" s="294"/>
      <c r="P65" s="12"/>
      <c r="S65" s="23"/>
    </row>
    <row r="66" spans="2:58" ht="15" customHeight="1">
      <c r="B66" s="576"/>
      <c r="C66" s="349"/>
      <c r="D66" s="584"/>
      <c r="E66" s="566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76"/>
      <c r="C67" s="349"/>
      <c r="D67" s="580"/>
      <c r="E67" s="568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76"/>
      <c r="C68" s="349"/>
      <c r="D68" s="584"/>
      <c r="E68" s="566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76"/>
      <c r="C69" s="349"/>
      <c r="D69" s="580"/>
      <c r="E69" s="568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76"/>
      <c r="C70" s="349"/>
      <c r="D70" s="585"/>
      <c r="E70" s="570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77"/>
      <c r="C71" s="350"/>
      <c r="D71" s="586"/>
      <c r="E71" s="587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88">
        <f>AVERAGE(D50:E71)</f>
        <v>11.73</v>
      </c>
      <c r="E72" s="589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90" t="s">
        <v>17</v>
      </c>
      <c r="C77" s="590" t="s">
        <v>44</v>
      </c>
      <c r="D77" s="592" t="s">
        <v>45</v>
      </c>
      <c r="E77" s="547" t="s">
        <v>46</v>
      </c>
      <c r="F77" s="607" t="s">
        <v>47</v>
      </c>
      <c r="G77" s="601" t="s">
        <v>48</v>
      </c>
      <c r="H77" s="590" t="s">
        <v>49</v>
      </c>
      <c r="I77" s="603" t="s">
        <v>50</v>
      </c>
      <c r="J77" s="595" t="s">
        <v>28</v>
      </c>
      <c r="K77" s="545" t="s">
        <v>51</v>
      </c>
      <c r="L77" s="557" t="s">
        <v>52</v>
      </c>
      <c r="M77" s="595" t="s">
        <v>53</v>
      </c>
      <c r="N77" s="77"/>
      <c r="O77" s="13"/>
      <c r="P77" s="50"/>
    </row>
    <row r="78" spans="2:58" ht="28.5" customHeight="1" thickTop="1" thickBot="1">
      <c r="B78" s="591"/>
      <c r="C78" s="591"/>
      <c r="D78" s="593"/>
      <c r="E78" s="594"/>
      <c r="F78" s="608"/>
      <c r="G78" s="602"/>
      <c r="H78" s="591"/>
      <c r="I78" s="604"/>
      <c r="J78" s="596"/>
      <c r="K78" s="605"/>
      <c r="L78" s="606"/>
      <c r="M78" s="596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[25]December_2023!$U$13</f>
        <v>150.4</v>
      </c>
      <c r="E79" s="378"/>
      <c r="F79" s="379"/>
      <c r="G79" s="303">
        <f>[25]December_2023!$U$17</f>
        <v>120.8</v>
      </c>
      <c r="H79" s="381"/>
      <c r="I79" s="382"/>
      <c r="J79" s="360" t="s">
        <v>150</v>
      </c>
      <c r="K79" s="380">
        <f>[26]December_2023!$U$25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[27]January_2019!D8</f>
        <v>#DIV/0!</v>
      </c>
      <c r="V80" s="57">
        <f>[27]January_2019!E8</f>
        <v>1.0319298245614037</v>
      </c>
      <c r="W80" s="57">
        <f>[27]January_2019!F8</f>
        <v>1.7789473684210526</v>
      </c>
      <c r="X80" s="57">
        <f>[27]January_2019!G8</f>
        <v>0.51929824561403504</v>
      </c>
      <c r="Y80" s="57" t="e">
        <f>[27]January_2019!H8</f>
        <v>#DIV/0!</v>
      </c>
      <c r="Z80" s="57" t="e">
        <f>[27]January_2019!I8</f>
        <v>#DIV/0!</v>
      </c>
      <c r="AA80" s="57">
        <f>[27]January_2019!J8</f>
        <v>1.365263157894737</v>
      </c>
      <c r="AB80" s="57" t="e">
        <f>[27]January_2019!K8</f>
        <v>#DIV/0!</v>
      </c>
      <c r="AC80" s="57">
        <f>[27]January_2019!L8</f>
        <v>1.0028070175438597</v>
      </c>
      <c r="AD80" s="57">
        <f>[27]January_2019!M8</f>
        <v>1.7828070175438597</v>
      </c>
      <c r="AE80" s="57" t="e">
        <f>[27]January_2019!N8</f>
        <v>#DIV/0!</v>
      </c>
      <c r="AF80" s="57" t="e">
        <f>[27]January_2019!O8</f>
        <v>#DIV/0!</v>
      </c>
      <c r="AG80" s="57">
        <f>[27]January_2019!P8</f>
        <v>0.19222222222222221</v>
      </c>
      <c r="AH80" s="57">
        <f>[27]January_2019!Q8</f>
        <v>0.52219298245614032</v>
      </c>
      <c r="AI80" s="57">
        <f>[27]January_2019!R8</f>
        <v>0.42912280701754385</v>
      </c>
      <c r="AJ80" s="57" t="e">
        <f>[27]January_2019!S8</f>
        <v>#DIV/0!</v>
      </c>
      <c r="AK80" s="57">
        <f>[27]January_2019!T8</f>
        <v>1.0340350877192983</v>
      </c>
      <c r="AL80" s="57">
        <f>[27]January_2019!U8</f>
        <v>0.98421052631578942</v>
      </c>
      <c r="AM80" s="57" t="e">
        <f>[27]January_2019!V8</f>
        <v>#DIV/0!</v>
      </c>
      <c r="AN80" s="57" t="e">
        <f>[27]January_2019!W8</f>
        <v>#DIV/0!</v>
      </c>
      <c r="AO80" s="57">
        <f>[27]January_2019!X8</f>
        <v>0.66052631578947374</v>
      </c>
      <c r="AP80" s="57">
        <f>[27]January_2019!Y8</f>
        <v>1.0375438596491227</v>
      </c>
      <c r="AQ80" s="57">
        <f>[27]January_2019!Z8</f>
        <v>0.90456140350877201</v>
      </c>
      <c r="AR80" s="57">
        <f>[27]January_2019!AA8</f>
        <v>1.0217543859649123</v>
      </c>
      <c r="AS80" s="57">
        <f>[27]January_2019!AB8</f>
        <v>0.65614035087719302</v>
      </c>
      <c r="AT80" s="57" t="e">
        <f>[27]January_2019!AC8</f>
        <v>#DIV/0!</v>
      </c>
      <c r="AU80" s="57" t="e">
        <f>[27]January_2019!AD8</f>
        <v>#DIV/0!</v>
      </c>
      <c r="AV80" s="57">
        <f>[27]January_2019!AE8</f>
        <v>1.7021052631578948</v>
      </c>
      <c r="AW80" s="57">
        <f>[27]January_2019!AF8</f>
        <v>0.60192982456140354</v>
      </c>
      <c r="AX80" s="57">
        <f>[27]January_2019!AG8</f>
        <v>1.4870175438596491</v>
      </c>
      <c r="AY80" s="277" t="e">
        <f>[27]January_2019!AH8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597" t="s">
        <v>55</v>
      </c>
      <c r="C87" s="598"/>
      <c r="D87" s="598"/>
      <c r="E87" s="598"/>
      <c r="F87" s="599"/>
      <c r="G87" s="597" t="s">
        <v>56</v>
      </c>
      <c r="H87" s="598"/>
      <c r="I87" s="598"/>
      <c r="J87" s="599"/>
      <c r="K87" s="597" t="s">
        <v>51</v>
      </c>
      <c r="L87" s="598"/>
      <c r="M87" s="598"/>
      <c r="N87" s="600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[25]December_2023!$U$21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[28]May_2022!$M$43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  <mergeCell ref="D72:E72"/>
    <mergeCell ref="B77:B78"/>
    <mergeCell ref="C77:C78"/>
    <mergeCell ref="D77:D78"/>
    <mergeCell ref="E77:E78"/>
    <mergeCell ref="B62:B71"/>
    <mergeCell ref="D62:E63"/>
    <mergeCell ref="J62:K62"/>
    <mergeCell ref="L63:N63"/>
    <mergeCell ref="D64:E65"/>
    <mergeCell ref="D66:E67"/>
    <mergeCell ref="D68:E69"/>
    <mergeCell ref="D70:E71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C4:D4"/>
    <mergeCell ref="J4:K5"/>
    <mergeCell ref="M4:N4"/>
    <mergeCell ref="T1:U1"/>
    <mergeCell ref="V1:W1"/>
  </mergeCells>
  <conditionalFormatting sqref="B72:B73">
    <cfRule type="cellIs" dxfId="2693" priority="157" operator="notBetween">
      <formula>#REF!</formula>
      <formula>#REF!</formula>
    </cfRule>
  </conditionalFormatting>
  <conditionalFormatting sqref="C76">
    <cfRule type="cellIs" dxfId="2692" priority="190" stopIfTrue="1" operator="greaterThan">
      <formula>100</formula>
    </cfRule>
    <cfRule type="cellIs" dxfId="2691" priority="189" stopIfTrue="1" operator="lessThan">
      <formula>96</formula>
    </cfRule>
  </conditionalFormatting>
  <conditionalFormatting sqref="C90">
    <cfRule type="cellIs" dxfId="2690" priority="212" stopIfTrue="1" operator="greaterThan">
      <formula>$F89</formula>
    </cfRule>
    <cfRule type="cellIs" dxfId="2689" priority="106" stopIfTrue="1" operator="lessThanOrEqual">
      <formula>0</formula>
    </cfRule>
  </conditionalFormatting>
  <conditionalFormatting sqref="C91:C93">
    <cfRule type="cellIs" dxfId="2688" priority="105" stopIfTrue="1" operator="greaterThan">
      <formula>$F91</formula>
    </cfRule>
  </conditionalFormatting>
  <conditionalFormatting sqref="C91:C94">
    <cfRule type="cellIs" dxfId="2687" priority="129" stopIfTrue="1" operator="lessThanOrEqual">
      <formula>0</formula>
    </cfRule>
  </conditionalFormatting>
  <conditionalFormatting sqref="C94">
    <cfRule type="cellIs" dxfId="2686" priority="128" stopIfTrue="1" operator="greaterThan">
      <formula>$J94</formula>
    </cfRule>
  </conditionalFormatting>
  <conditionalFormatting sqref="C95:C97">
    <cfRule type="cellIs" dxfId="2685" priority="145" stopIfTrue="1" operator="greaterThan">
      <formula>$F95</formula>
    </cfRule>
    <cfRule type="cellIs" dxfId="2684" priority="146" stopIfTrue="1" operator="lessThanOrEqual">
      <formula>0</formula>
    </cfRule>
  </conditionalFormatting>
  <conditionalFormatting sqref="C100:C104">
    <cfRule type="cellIs" dxfId="2683" priority="181" stopIfTrue="1" operator="lessThanOrEqual">
      <formula>0</formula>
    </cfRule>
  </conditionalFormatting>
  <conditionalFormatting sqref="C101:C104">
    <cfRule type="cellIs" dxfId="2682" priority="180" stopIfTrue="1" operator="greaterThan">
      <formula>$F$100</formula>
    </cfRule>
  </conditionalFormatting>
  <conditionalFormatting sqref="C106">
    <cfRule type="cellIs" dxfId="2681" priority="183" stopIfTrue="1" operator="lessThanOrEqual">
      <formula>0</formula>
    </cfRule>
    <cfRule type="cellIs" dxfId="2680" priority="182" stopIfTrue="1" operator="greaterThan">
      <formula>$F$100</formula>
    </cfRule>
  </conditionalFormatting>
  <conditionalFormatting sqref="C100:D100 D102:D108">
    <cfRule type="cellIs" dxfId="2679" priority="175" stopIfTrue="1" operator="greaterThan">
      <formula>4.5</formula>
    </cfRule>
  </conditionalFormatting>
  <conditionalFormatting sqref="D72:D73">
    <cfRule type="cellIs" dxfId="2678" priority="158" operator="notBetween">
      <formula>#REF!</formula>
      <formula>#REF!</formula>
    </cfRule>
  </conditionalFormatting>
  <conditionalFormatting sqref="D89:D96">
    <cfRule type="cellIs" dxfId="2677" priority="144" stopIfTrue="1" operator="lessThanOrEqual">
      <formula>0</formula>
    </cfRule>
  </conditionalFormatting>
  <conditionalFormatting sqref="D97">
    <cfRule type="cellIs" dxfId="2676" priority="143" stopIfTrue="1" operator="lessThanOrEqual">
      <formula>0</formula>
    </cfRule>
  </conditionalFormatting>
  <conditionalFormatting sqref="D100 D102:D108">
    <cfRule type="cellIs" dxfId="2675" priority="176" stopIfTrue="1" operator="lessThanOrEqual">
      <formula>0</formula>
    </cfRule>
  </conditionalFormatting>
  <conditionalFormatting sqref="D101">
    <cfRule type="cellIs" dxfId="2674" priority="167" stopIfTrue="1" operator="greaterThan">
      <formula>$F$100</formula>
    </cfRule>
    <cfRule type="cellIs" dxfId="2673" priority="168" stopIfTrue="1" operator="lessThanOrEqual">
      <formula>0</formula>
    </cfRule>
  </conditionalFormatting>
  <conditionalFormatting sqref="D89:E97">
    <cfRule type="cellIs" dxfId="2672" priority="135" stopIfTrue="1" operator="greaterThan">
      <formula>$F89</formula>
    </cfRule>
  </conditionalFormatting>
  <conditionalFormatting sqref="E10:E14">
    <cfRule type="cellIs" dxfId="2671" priority="52" operator="lessThan">
      <formula>48</formula>
    </cfRule>
  </conditionalFormatting>
  <conditionalFormatting sqref="E33:E46">
    <cfRule type="cellIs" dxfId="2670" priority="25" operator="lessThan">
      <formula>48</formula>
    </cfRule>
  </conditionalFormatting>
  <conditionalFormatting sqref="E76">
    <cfRule type="cellIs" dxfId="2669" priority="169" stopIfTrue="1" operator="lessThan">
      <formula>96.8</formula>
    </cfRule>
    <cfRule type="cellIs" dxfId="2668" priority="170" stopIfTrue="1" operator="greaterThan">
      <formula>100</formula>
    </cfRule>
  </conditionalFormatting>
  <conditionalFormatting sqref="E89:E97">
    <cfRule type="cellIs" dxfId="2667" priority="136" stopIfTrue="1" operator="lessThanOrEqual">
      <formula>0</formula>
    </cfRule>
  </conditionalFormatting>
  <conditionalFormatting sqref="E100:E108">
    <cfRule type="cellIs" dxfId="2666" priority="161" stopIfTrue="1" operator="greaterThan">
      <formula>4.5</formula>
    </cfRule>
    <cfRule type="cellIs" dxfId="2665" priority="162" stopIfTrue="1" operator="lessThanOrEqual">
      <formula>0</formula>
    </cfRule>
  </conditionalFormatting>
  <conditionalFormatting sqref="E75:F76">
    <cfRule type="cellIs" dxfId="2664" priority="171" stopIfTrue="1" operator="lessThan">
      <formula>96.5</formula>
    </cfRule>
    <cfRule type="cellIs" dxfId="2663" priority="172" stopIfTrue="1" operator="greaterThan">
      <formula>100</formula>
    </cfRule>
  </conditionalFormatting>
  <conditionalFormatting sqref="F10:F12">
    <cfRule type="cellIs" dxfId="2662" priority="62" operator="greaterThan">
      <formula>#REF!</formula>
    </cfRule>
  </conditionalFormatting>
  <conditionalFormatting sqref="F10:F47">
    <cfRule type="cellIs" dxfId="2661" priority="15" operator="greaterThan">
      <formula>$AA10</formula>
    </cfRule>
  </conditionalFormatting>
  <conditionalFormatting sqref="F13">
    <cfRule type="cellIs" dxfId="2660" priority="53" operator="greaterThan">
      <formula>$AA47</formula>
    </cfRule>
  </conditionalFormatting>
  <conditionalFormatting sqref="F14">
    <cfRule type="cellIs" dxfId="2659" priority="196" operator="greaterThan">
      <formula>#REF!</formula>
    </cfRule>
  </conditionalFormatting>
  <conditionalFormatting sqref="F33:F46">
    <cfRule type="cellIs" dxfId="2658" priority="26" operator="greaterThan">
      <formula>$AA48</formula>
    </cfRule>
  </conditionalFormatting>
  <conditionalFormatting sqref="F76">
    <cfRule type="cellIs" dxfId="2657" priority="188" stopIfTrue="1" operator="greaterThan">
      <formula>100</formula>
    </cfRule>
    <cfRule type="cellIs" dxfId="2656" priority="187" stopIfTrue="1" operator="lessThan">
      <formula>96.8</formula>
    </cfRule>
  </conditionalFormatting>
  <conditionalFormatting sqref="F97">
    <cfRule type="cellIs" dxfId="2655" priority="137" stopIfTrue="1" operator="greaterThan">
      <formula>$F97</formula>
    </cfRule>
    <cfRule type="cellIs" dxfId="2654" priority="138" stopIfTrue="1" operator="lessThanOrEqual">
      <formula>0</formula>
    </cfRule>
  </conditionalFormatting>
  <conditionalFormatting sqref="G10:G14">
    <cfRule type="expression" dxfId="2653" priority="54">
      <formula>IF(+(IF(G10&lt;#REF!,0,IF(G10&gt;#REF!,0,1)))=0,1)</formula>
    </cfRule>
  </conditionalFormatting>
  <conditionalFormatting sqref="G33:G46">
    <cfRule type="expression" dxfId="2652" priority="27">
      <formula>IF(+(IF(G33&lt;#REF!,0,IF(G33&gt;#REF!,0,1)))=0,1)</formula>
    </cfRule>
  </conditionalFormatting>
  <conditionalFormatting sqref="G90">
    <cfRule type="cellIs" dxfId="2651" priority="71" stopIfTrue="1" operator="lessThanOrEqual">
      <formula>0</formula>
    </cfRule>
    <cfRule type="cellIs" dxfId="2650" priority="70" stopIfTrue="1" operator="greaterThan">
      <formula>$F89</formula>
    </cfRule>
  </conditionalFormatting>
  <conditionalFormatting sqref="G90:G91">
    <cfRule type="cellIs" dxfId="2649" priority="192" stopIfTrue="1" operator="lessThanOrEqual">
      <formula>0</formula>
    </cfRule>
    <cfRule type="cellIs" dxfId="2648" priority="191" stopIfTrue="1" operator="greaterThan">
      <formula>$F89</formula>
    </cfRule>
  </conditionalFormatting>
  <conditionalFormatting sqref="G92">
    <cfRule type="cellIs" dxfId="2647" priority="140" stopIfTrue="1" operator="lessThanOrEqual">
      <formula>0</formula>
    </cfRule>
    <cfRule type="cellIs" dxfId="2646" priority="139" stopIfTrue="1" operator="greaterThan">
      <formula>$F92</formula>
    </cfRule>
  </conditionalFormatting>
  <conditionalFormatting sqref="G93:G96">
    <cfRule type="cellIs" dxfId="2645" priority="149" stopIfTrue="1" operator="lessThanOrEqual">
      <formula>0</formula>
    </cfRule>
    <cfRule type="cellIs" dxfId="2644" priority="148" stopIfTrue="1" operator="greaterThan">
      <formula>$J93</formula>
    </cfRule>
  </conditionalFormatting>
  <conditionalFormatting sqref="G97">
    <cfRule type="cellIs" dxfId="2643" priority="147" operator="greaterThan">
      <formula>4.5</formula>
    </cfRule>
  </conditionalFormatting>
  <conditionalFormatting sqref="G102:G107 C105 C107">
    <cfRule type="cellIs" dxfId="2642" priority="184" stopIfTrue="1" operator="greaterThan">
      <formula>4.5</formula>
    </cfRule>
    <cfRule type="cellIs" dxfId="2641" priority="185" stopIfTrue="1" operator="lessThanOrEqual">
      <formula>0</formula>
    </cfRule>
  </conditionalFormatting>
  <conditionalFormatting sqref="G62:H62 G63:G73 H63:H74">
    <cfRule type="cellIs" dxfId="2640" priority="163" stopIfTrue="1" operator="greaterThan">
      <formula>0</formula>
    </cfRule>
  </conditionalFormatting>
  <conditionalFormatting sqref="G101:H101">
    <cfRule type="cellIs" dxfId="2639" priority="166" stopIfTrue="1" operator="lessThanOrEqual">
      <formula>0</formula>
    </cfRule>
    <cfRule type="cellIs" dxfId="2638" priority="165" stopIfTrue="1" operator="greaterThan">
      <formula>$F$100</formula>
    </cfRule>
  </conditionalFormatting>
  <conditionalFormatting sqref="H10">
    <cfRule type="expression" dxfId="2637" priority="63">
      <formula>IF(+(IF(H10&lt;T27,0,IF(H10&gt;U27,0,1)))=0,1)</formula>
    </cfRule>
  </conditionalFormatting>
  <conditionalFormatting sqref="H10:H12">
    <cfRule type="expression" dxfId="2636" priority="64">
      <formula>IF(+(IF(H10&lt;#REF!,0,IF(H10&gt;#REF!,0,1)))=0,1)</formula>
    </cfRule>
  </conditionalFormatting>
  <conditionalFormatting sqref="H11:H12">
    <cfRule type="expression" dxfId="2635" priority="207">
      <formula>IF(+(IF(H11&lt;T47,0,IF(H11&gt;U47,0,1)))=0,1)</formula>
    </cfRule>
  </conditionalFormatting>
  <conditionalFormatting sqref="H13">
    <cfRule type="expression" dxfId="2634" priority="55">
      <formula>IF(+(IF(H13&lt;T56,0,IF(H13&gt;U56,0,1)))=0,1)</formula>
    </cfRule>
    <cfRule type="expression" dxfId="2633" priority="56">
      <formula>IF(+(IF(H13&lt;T47,0,IF(H13&gt;U47,0,1)))=0,1)</formula>
    </cfRule>
  </conditionalFormatting>
  <conditionalFormatting sqref="H14">
    <cfRule type="expression" dxfId="2632" priority="197">
      <formula>IF(+(IF(H14&lt;T50,0,IF(H14&gt;U50,0,1)))=0,1)</formula>
    </cfRule>
    <cfRule type="expression" dxfId="2631" priority="198">
      <formula>IF(+(IF(H14&lt;#REF!,0,IF(H14&gt;#REF!,0,1)))=0,1)</formula>
    </cfRule>
  </conditionalFormatting>
  <conditionalFormatting sqref="H15:H32">
    <cfRule type="expression" dxfId="2630" priority="209">
      <formula>IF(+(IF(H15&lt;T66,0,IF(H15&gt;U66,0,1)))=0,1)</formula>
    </cfRule>
  </conditionalFormatting>
  <conditionalFormatting sqref="H33:H46">
    <cfRule type="expression" dxfId="2629" priority="29">
      <formula>IF(+(IF(H33&lt;T48,0,IF(H33&gt;U48,0,1)))=0,1)</formula>
    </cfRule>
    <cfRule type="expression" dxfId="2628" priority="28">
      <formula>IF(+(IF(H33&lt;T57,0,IF(H33&gt;U57,0,1)))=0,1)</formula>
    </cfRule>
  </conditionalFormatting>
  <conditionalFormatting sqref="H47">
    <cfRule type="expression" dxfId="2627" priority="193">
      <formula>IF(+(IF(H47&lt;#REF!,0,IF(H47&gt;#REF!,0,1)))=0,1)</formula>
    </cfRule>
  </conditionalFormatting>
  <conditionalFormatting sqref="H51:H61">
    <cfRule type="cellIs" dxfId="2626" priority="159" stopIfTrue="1" operator="greaterThan">
      <formula>0</formula>
    </cfRule>
  </conditionalFormatting>
  <conditionalFormatting sqref="H79">
    <cfRule type="cellIs" dxfId="2625" priority="12" stopIfTrue="1" operator="lessThanOrEqual">
      <formula>0</formula>
    </cfRule>
    <cfRule type="cellIs" dxfId="2624" priority="14" stopIfTrue="1" operator="lessThanOrEqual">
      <formula>0</formula>
    </cfRule>
    <cfRule type="cellIs" dxfId="2623" priority="13" stopIfTrue="1" operator="greaterThan">
      <formula>$F$54</formula>
    </cfRule>
    <cfRule type="cellIs" dxfId="2622" priority="11" stopIfTrue="1" operator="greaterThan">
      <formula>$F$56</formula>
    </cfRule>
    <cfRule type="cellIs" dxfId="2621" priority="2" stopIfTrue="1" operator="lessThanOrEqual">
      <formula>0</formula>
    </cfRule>
    <cfRule type="cellIs" dxfId="2620" priority="3" stopIfTrue="1" operator="greaterThan">
      <formula>$F$53</formula>
    </cfRule>
  </conditionalFormatting>
  <conditionalFormatting sqref="H80">
    <cfRule type="cellIs" dxfId="2619" priority="92" stopIfTrue="1" operator="lessThanOrEqual">
      <formula>0</formula>
    </cfRule>
    <cfRule type="cellIs" dxfId="2618" priority="93" stopIfTrue="1" operator="greaterThan">
      <formula>$F$88</formula>
    </cfRule>
    <cfRule type="cellIs" dxfId="2617" priority="104" stopIfTrue="1" operator="lessThanOrEqual">
      <formula>0</formula>
    </cfRule>
    <cfRule type="cellIs" dxfId="2616" priority="101" stopIfTrue="1" operator="greaterThan">
      <formula>$F$91</formula>
    </cfRule>
    <cfRule type="cellIs" dxfId="2615" priority="102" stopIfTrue="1" operator="lessThanOrEqual">
      <formula>0</formula>
    </cfRule>
    <cfRule type="cellIs" dxfId="2614" priority="103" stopIfTrue="1" operator="greaterThan">
      <formula>$F$89</formula>
    </cfRule>
  </conditionalFormatting>
  <conditionalFormatting sqref="H81">
    <cfRule type="cellIs" dxfId="2613" priority="45" stopIfTrue="1" operator="lessThanOrEqual">
      <formula>0</formula>
    </cfRule>
    <cfRule type="cellIs" dxfId="2612" priority="36" stopIfTrue="1" operator="greaterThan">
      <formula>$F$72</formula>
    </cfRule>
    <cfRule type="cellIs" dxfId="2611" priority="35" stopIfTrue="1" operator="lessThanOrEqual">
      <formula>0</formula>
    </cfRule>
    <cfRule type="cellIs" dxfId="2610" priority="44" stopIfTrue="1" operator="greaterThan">
      <formula>$F$75</formula>
    </cfRule>
    <cfRule type="cellIs" dxfId="2609" priority="47" stopIfTrue="1" operator="lessThanOrEqual">
      <formula>0</formula>
    </cfRule>
    <cfRule type="cellIs" dxfId="2608" priority="46" stopIfTrue="1" operator="greaterThan">
      <formula>$F$73</formula>
    </cfRule>
  </conditionalFormatting>
  <conditionalFormatting sqref="H82">
    <cfRule type="cellIs" dxfId="2607" priority="84" stopIfTrue="1" operator="greaterThan">
      <formula>#REF!</formula>
    </cfRule>
    <cfRule type="cellIs" dxfId="2606" priority="75" stopIfTrue="1" operator="lessThanOrEqual">
      <formula>0</formula>
    </cfRule>
    <cfRule type="cellIs" dxfId="2605" priority="76" stopIfTrue="1" operator="greaterThan">
      <formula>#REF!</formula>
    </cfRule>
  </conditionalFormatting>
  <conditionalFormatting sqref="H82:H84">
    <cfRule type="cellIs" dxfId="2604" priority="85" stopIfTrue="1" operator="lessThanOrEqual">
      <formula>0</formula>
    </cfRule>
  </conditionalFormatting>
  <conditionalFormatting sqref="H83:H84">
    <cfRule type="cellIs" dxfId="2603" priority="125" stopIfTrue="1" operator="lessThanOrEqual">
      <formula>0</formula>
    </cfRule>
    <cfRule type="cellIs" dxfId="2602" priority="124" stopIfTrue="1" operator="greaterThan">
      <formula>$F$90</formula>
    </cfRule>
    <cfRule type="cellIs" dxfId="2601" priority="122" stopIfTrue="1" operator="greaterThan">
      <formula>$F$92</formula>
    </cfRule>
    <cfRule type="cellIs" dxfId="2600" priority="114" stopIfTrue="1" operator="greaterThan">
      <formula>$F$89</formula>
    </cfRule>
    <cfRule type="cellIs" dxfId="2599" priority="123" stopIfTrue="1" operator="lessThanOrEqual">
      <formula>0</formula>
    </cfRule>
  </conditionalFormatting>
  <conditionalFormatting sqref="H85">
    <cfRule type="cellIs" dxfId="2598" priority="155" stopIfTrue="1" operator="greaterThan">
      <formula>$F$82</formula>
    </cfRule>
    <cfRule type="cellIs" dxfId="2597" priority="156" stopIfTrue="1" operator="lessThanOrEqual">
      <formula>0</formula>
    </cfRule>
    <cfRule type="cellIs" dxfId="2596" priority="153" stopIfTrue="1" operator="greaterThan">
      <formula>$F$86</formula>
    </cfRule>
    <cfRule type="cellIs" dxfId="2595" priority="154" stopIfTrue="1" operator="lessThanOrEqual">
      <formula>0</formula>
    </cfRule>
  </conditionalFormatting>
  <conditionalFormatting sqref="H89:H96">
    <cfRule type="cellIs" dxfId="2594" priority="127" stopIfTrue="1" operator="lessThanOrEqual">
      <formula>0</formula>
    </cfRule>
    <cfRule type="cellIs" dxfId="2593" priority="126" stopIfTrue="1" operator="greaterThan">
      <formula>$J89</formula>
    </cfRule>
  </conditionalFormatting>
  <conditionalFormatting sqref="H97">
    <cfRule type="cellIs" dxfId="2592" priority="132" operator="greaterThan">
      <formula>5.3</formula>
    </cfRule>
  </conditionalFormatting>
  <conditionalFormatting sqref="H100 H102:H108">
    <cfRule type="cellIs" dxfId="2591" priority="177" stopIfTrue="1" operator="greaterThan">
      <formula>4.5</formula>
    </cfRule>
    <cfRule type="cellIs" dxfId="2590" priority="178" stopIfTrue="1" operator="lessThanOrEqual">
      <formula>0</formula>
    </cfRule>
  </conditionalFormatting>
  <conditionalFormatting sqref="H79:I79">
    <cfRule type="cellIs" dxfId="2589" priority="4" stopIfTrue="1" operator="lessThanOrEqual">
      <formula>0</formula>
    </cfRule>
    <cfRule type="cellIs" dxfId="2588" priority="1" stopIfTrue="1" operator="greaterThan">
      <formula>$F$55</formula>
    </cfRule>
  </conditionalFormatting>
  <conditionalFormatting sqref="H80:I80">
    <cfRule type="cellIs" dxfId="2587" priority="94" stopIfTrue="1" operator="lessThanOrEqual">
      <formula>0</formula>
    </cfRule>
    <cfRule type="cellIs" dxfId="2586" priority="91" stopIfTrue="1" operator="greaterThan">
      <formula>$F$90</formula>
    </cfRule>
  </conditionalFormatting>
  <conditionalFormatting sqref="H81:I81">
    <cfRule type="cellIs" dxfId="2585" priority="37" stopIfTrue="1" operator="lessThanOrEqual">
      <formula>0</formula>
    </cfRule>
    <cfRule type="cellIs" dxfId="2584" priority="34" stopIfTrue="1" operator="greaterThan">
      <formula>$F$74</formula>
    </cfRule>
  </conditionalFormatting>
  <conditionalFormatting sqref="H82:I82">
    <cfRule type="cellIs" dxfId="2583" priority="83" stopIfTrue="1" operator="lessThanOrEqual">
      <formula>0</formula>
    </cfRule>
    <cfRule type="cellIs" dxfId="2582" priority="82" stopIfTrue="1" operator="greaterThan">
      <formula>#REF!</formula>
    </cfRule>
    <cfRule type="cellIs" dxfId="2581" priority="74" stopIfTrue="1" operator="greaterThan">
      <formula>#REF!</formula>
    </cfRule>
    <cfRule type="cellIs" dxfId="2580" priority="77" stopIfTrue="1" operator="lessThanOrEqual">
      <formula>0</formula>
    </cfRule>
  </conditionalFormatting>
  <conditionalFormatting sqref="H83:I83">
    <cfRule type="cellIs" dxfId="2579" priority="115" stopIfTrue="1" operator="lessThanOrEqual">
      <formula>0</formula>
    </cfRule>
  </conditionalFormatting>
  <conditionalFormatting sqref="H83:I84">
    <cfRule type="cellIs" dxfId="2578" priority="72" stopIfTrue="1" operator="greaterThan">
      <formula>$F$91</formula>
    </cfRule>
  </conditionalFormatting>
  <conditionalFormatting sqref="H84:I84">
    <cfRule type="cellIs" dxfId="2577" priority="73" stopIfTrue="1" operator="lessThanOrEqual">
      <formula>0</formula>
    </cfRule>
  </conditionalFormatting>
  <conditionalFormatting sqref="I10:I14">
    <cfRule type="cellIs" dxfId="2576" priority="49" operator="lessThan">
      <formula>97.8</formula>
    </cfRule>
  </conditionalFormatting>
  <conditionalFormatting sqref="I10:I47">
    <cfRule type="cellIs" dxfId="2575" priority="21" operator="lessThan">
      <formula>98</formula>
    </cfRule>
  </conditionalFormatting>
  <conditionalFormatting sqref="I33:I46">
    <cfRule type="cellIs" dxfId="2574" priority="22" operator="lessThan">
      <formula>97.8</formula>
    </cfRule>
  </conditionalFormatting>
  <conditionalFormatting sqref="I79">
    <cfRule type="cellIs" dxfId="2573" priority="5" stopIfTrue="1" operator="greaterThan">
      <formula>$F$53</formula>
    </cfRule>
    <cfRule type="cellIs" dxfId="2572" priority="6" stopIfTrue="1" operator="lessThanOrEqual">
      <formula>0</formula>
    </cfRule>
    <cfRule type="cellIs" dxfId="2571" priority="7" stopIfTrue="1" operator="greaterThan">
      <formula>$F$55</formula>
    </cfRule>
    <cfRule type="cellIs" dxfId="2570" priority="8" stopIfTrue="1" operator="lessThanOrEqual">
      <formula>0</formula>
    </cfRule>
    <cfRule type="cellIs" dxfId="2569" priority="9" stopIfTrue="1" operator="greaterThan">
      <formula>$F$53</formula>
    </cfRule>
    <cfRule type="cellIs" dxfId="2568" priority="10" stopIfTrue="1" operator="lessThanOrEqual">
      <formula>0</formula>
    </cfRule>
  </conditionalFormatting>
  <conditionalFormatting sqref="I80">
    <cfRule type="cellIs" dxfId="2567" priority="99" stopIfTrue="1" operator="greaterThan">
      <formula>$F$88</formula>
    </cfRule>
    <cfRule type="cellIs" dxfId="2566" priority="97" stopIfTrue="1" operator="greaterThan">
      <formula>$F$90</formula>
    </cfRule>
    <cfRule type="cellIs" dxfId="2565" priority="96" stopIfTrue="1" operator="lessThanOrEqual">
      <formula>0</formula>
    </cfRule>
    <cfRule type="cellIs" dxfId="2564" priority="95" stopIfTrue="1" operator="greaterThan">
      <formula>$F$88</formula>
    </cfRule>
    <cfRule type="cellIs" dxfId="2563" priority="100" stopIfTrue="1" operator="lessThanOrEqual">
      <formula>0</formula>
    </cfRule>
    <cfRule type="cellIs" dxfId="2562" priority="98" stopIfTrue="1" operator="lessThanOrEqual">
      <formula>0</formula>
    </cfRule>
  </conditionalFormatting>
  <conditionalFormatting sqref="I81">
    <cfRule type="cellIs" dxfId="2561" priority="43" stopIfTrue="1" operator="lessThanOrEqual">
      <formula>0</formula>
    </cfRule>
    <cfRule type="cellIs" dxfId="2560" priority="42" stopIfTrue="1" operator="greaterThan">
      <formula>$F$72</formula>
    </cfRule>
    <cfRule type="cellIs" dxfId="2559" priority="41" stopIfTrue="1" operator="lessThanOrEqual">
      <formula>0</formula>
    </cfRule>
    <cfRule type="cellIs" dxfId="2558" priority="40" stopIfTrue="1" operator="greaterThan">
      <formula>$F$74</formula>
    </cfRule>
    <cfRule type="cellIs" dxfId="2557" priority="39" stopIfTrue="1" operator="lessThanOrEqual">
      <formula>0</formula>
    </cfRule>
    <cfRule type="cellIs" dxfId="2556" priority="38" stopIfTrue="1" operator="greaterThan">
      <formula>$F$72</formula>
    </cfRule>
  </conditionalFormatting>
  <conditionalFormatting sqref="I82">
    <cfRule type="cellIs" dxfId="2555" priority="80" stopIfTrue="1" operator="greaterThan">
      <formula>#REF!</formula>
    </cfRule>
    <cfRule type="cellIs" dxfId="2554" priority="79" stopIfTrue="1" operator="lessThanOrEqual">
      <formula>0</formula>
    </cfRule>
    <cfRule type="cellIs" dxfId="2553" priority="78" stopIfTrue="1" operator="greaterThan">
      <formula>#REF!</formula>
    </cfRule>
    <cfRule type="cellIs" dxfId="2552" priority="81" stopIfTrue="1" operator="lessThanOrEqual">
      <formula>0</formula>
    </cfRule>
  </conditionalFormatting>
  <conditionalFormatting sqref="I83:I84">
    <cfRule type="cellIs" dxfId="2551" priority="118" stopIfTrue="1" operator="greaterThan">
      <formula>$F$91</formula>
    </cfRule>
    <cfRule type="cellIs" dxfId="2550" priority="116" stopIfTrue="1" operator="greaterThan">
      <formula>$F$89</formula>
    </cfRule>
    <cfRule type="cellIs" dxfId="2549" priority="117" stopIfTrue="1" operator="lessThanOrEqual">
      <formula>0</formula>
    </cfRule>
    <cfRule type="cellIs" dxfId="2548" priority="119" stopIfTrue="1" operator="lessThanOrEqual">
      <formula>0</formula>
    </cfRule>
    <cfRule type="cellIs" dxfId="2547" priority="120" stopIfTrue="1" operator="greaterThan">
      <formula>$F$89</formula>
    </cfRule>
    <cfRule type="cellIs" dxfId="2546" priority="121" stopIfTrue="1" operator="lessThanOrEqual">
      <formula>0</formula>
    </cfRule>
  </conditionalFormatting>
  <conditionalFormatting sqref="I89:I97">
    <cfRule type="cellIs" dxfId="2545" priority="133" stopIfTrue="1" operator="greaterThan">
      <formula>$J89</formula>
    </cfRule>
    <cfRule type="cellIs" dxfId="2544" priority="134" stopIfTrue="1" operator="lessThanOrEqual">
      <formula>0</formula>
    </cfRule>
  </conditionalFormatting>
  <conditionalFormatting sqref="I100:I108">
    <cfRule type="cellIs" dxfId="2543" priority="173" stopIfTrue="1" operator="greaterThan">
      <formula>4.5</formula>
    </cfRule>
    <cfRule type="cellIs" dxfId="2542" priority="174" stopIfTrue="1" operator="lessThanOrEqual">
      <formula>0</formula>
    </cfRule>
  </conditionalFormatting>
  <conditionalFormatting sqref="J10:J14">
    <cfRule type="cellIs" dxfId="2541" priority="51" operator="notBetween">
      <formula>98</formula>
      <formula>99.9</formula>
    </cfRule>
  </conditionalFormatting>
  <conditionalFormatting sqref="J10:J47">
    <cfRule type="cellIs" dxfId="2540" priority="20" operator="lessThan">
      <formula>97.4</formula>
    </cfRule>
  </conditionalFormatting>
  <conditionalFormatting sqref="J33:J46">
    <cfRule type="cellIs" dxfId="2539" priority="24" operator="notBetween">
      <formula>98</formula>
      <formula>99.9</formula>
    </cfRule>
  </conditionalFormatting>
  <conditionalFormatting sqref="J50:J52">
    <cfRule type="cellIs" dxfId="2538" priority="108" stopIfTrue="1" operator="greaterThan">
      <formula>100</formula>
    </cfRule>
    <cfRule type="cellIs" dxfId="2537" priority="109" operator="lessThan">
      <formula>98</formula>
    </cfRule>
    <cfRule type="cellIs" dxfId="2536" priority="107" stopIfTrue="1" operator="lessThan">
      <formula>96.8</formula>
    </cfRule>
  </conditionalFormatting>
  <conditionalFormatting sqref="J50:J54">
    <cfRule type="cellIs" dxfId="2535" priority="48" operator="lessThan">
      <formula>97.4</formula>
    </cfRule>
  </conditionalFormatting>
  <conditionalFormatting sqref="J55 L59:M59 L61:M61">
    <cfRule type="cellIs" dxfId="2534" priority="110" operator="lessThan">
      <formula>98</formula>
    </cfRule>
  </conditionalFormatting>
  <conditionalFormatting sqref="J56:J57">
    <cfRule type="cellIs" dxfId="2533" priority="111" stopIfTrue="1" operator="lessThan">
      <formula>96.8</formula>
    </cfRule>
    <cfRule type="cellIs" dxfId="2532" priority="112" stopIfTrue="1" operator="greaterThan">
      <formula>100</formula>
    </cfRule>
  </conditionalFormatting>
  <conditionalFormatting sqref="J56:J58">
    <cfRule type="cellIs" dxfId="2531" priority="113" operator="lessThan">
      <formula>98</formula>
    </cfRule>
  </conditionalFormatting>
  <conditionalFormatting sqref="K10:K14">
    <cfRule type="cellIs" dxfId="2530" priority="50" operator="greaterThan">
      <formula>6.4</formula>
    </cfRule>
  </conditionalFormatting>
  <conditionalFormatting sqref="K10:K47">
    <cfRule type="cellIs" dxfId="2529" priority="17" operator="lessThan">
      <formula>4</formula>
    </cfRule>
    <cfRule type="cellIs" dxfId="2528" priority="16" operator="greaterThan">
      <formula>6</formula>
    </cfRule>
  </conditionalFormatting>
  <conditionalFormatting sqref="K33:K46">
    <cfRule type="cellIs" dxfId="2527" priority="23" operator="greaterThan">
      <formula>6.4</formula>
    </cfRule>
  </conditionalFormatting>
  <conditionalFormatting sqref="K64:K73">
    <cfRule type="cellIs" dxfId="2526" priority="141" operator="notEqual">
      <formula>#REF!</formula>
    </cfRule>
  </conditionalFormatting>
  <conditionalFormatting sqref="K79:K84 J85:K85 L89:N89 K90:N97">
    <cfRule type="cellIs" dxfId="2525" priority="152" stopIfTrue="1" operator="lessThan">
      <formula>100%</formula>
    </cfRule>
  </conditionalFormatting>
  <conditionalFormatting sqref="K100:K105">
    <cfRule type="cellIs" dxfId="2524" priority="179" stopIfTrue="1" operator="lessThan">
      <formula>100%</formula>
    </cfRule>
  </conditionalFormatting>
  <conditionalFormatting sqref="K107:K108">
    <cfRule type="cellIs" dxfId="2523" priority="186" stopIfTrue="1" operator="lessThan">
      <formula>100%</formula>
    </cfRule>
  </conditionalFormatting>
  <conditionalFormatting sqref="L10:L47">
    <cfRule type="cellIs" dxfId="2522" priority="19" operator="greaterThan">
      <formula>65</formula>
    </cfRule>
    <cfRule type="cellIs" dxfId="2521" priority="18" operator="between">
      <formula>61</formula>
      <formula>65</formula>
    </cfRule>
  </conditionalFormatting>
  <conditionalFormatting sqref="L52:L58">
    <cfRule type="cellIs" dxfId="2520" priority="88" operator="lessThan">
      <formula>98</formula>
    </cfRule>
  </conditionalFormatting>
  <conditionalFormatting sqref="L65:N65">
    <cfRule type="cellIs" dxfId="2519" priority="87" operator="notEqual">
      <formula>#REF!</formula>
    </cfRule>
  </conditionalFormatting>
  <conditionalFormatting sqref="L100:N108">
    <cfRule type="cellIs" dxfId="2518" priority="164" stopIfTrue="1" operator="lessThan">
      <formula>100%</formula>
    </cfRule>
  </conditionalFormatting>
  <conditionalFormatting sqref="M10:M11">
    <cfRule type="expression" dxfId="2517" priority="65">
      <formula>IF(+(IF(M10&lt;V23,0,IF(M10&gt;W23,0,1)))=0,1)</formula>
    </cfRule>
  </conditionalFormatting>
  <conditionalFormatting sqref="M13">
    <cfRule type="expression" dxfId="2516" priority="58">
      <formula>IF(+(IF(M13&lt;V47,0,IF(M13&gt;W47,0,1)))=0,1)</formula>
    </cfRule>
    <cfRule type="expression" dxfId="2515" priority="57">
      <formula>IF(+(IF(M13&lt;V52,0,IF(M13&gt;W52,0,1)))=0,1)</formula>
    </cfRule>
  </conditionalFormatting>
  <conditionalFormatting sqref="M14">
    <cfRule type="expression" dxfId="2514" priority="199">
      <formula>IF(+(IF(M14&lt;V27,0,IF(M14&gt;W27,0,1)))=0,1)</formula>
    </cfRule>
  </conditionalFormatting>
  <conditionalFormatting sqref="M15:M32">
    <cfRule type="expression" dxfId="2513" priority="210">
      <formula>IF(+(IF(M15&lt;V62,0,IF(M15&gt;W62,0,1)))=0,1)</formula>
    </cfRule>
  </conditionalFormatting>
  <conditionalFormatting sqref="M33:M46">
    <cfRule type="expression" dxfId="2512" priority="31">
      <formula>IF(+(IF(M33&lt;V48,0,IF(M33&gt;W48,0,1)))=0,1)</formula>
    </cfRule>
    <cfRule type="expression" dxfId="2511" priority="30">
      <formula>IF(+(IF(M33&lt;V53,0,IF(M33&gt;W53,0,1)))=0,1)</formula>
    </cfRule>
  </conditionalFormatting>
  <conditionalFormatting sqref="M50:M58">
    <cfRule type="cellIs" dxfId="2510" priority="86" operator="lessThan">
      <formula>98</formula>
    </cfRule>
  </conditionalFormatting>
  <conditionalFormatting sqref="M10:N12">
    <cfRule type="expression" dxfId="2509" priority="66">
      <formula>IF(+(IF(M10&lt;#REF!,0,IF(M10&gt;#REF!,0,1)))=0,1)</formula>
    </cfRule>
  </conditionalFormatting>
  <conditionalFormatting sqref="M14:N14">
    <cfRule type="expression" dxfId="2508" priority="200">
      <formula>IF(+(IF(M14&lt;#REF!,0,IF(M14&gt;#REF!,0,1)))=0,1)</formula>
    </cfRule>
  </conditionalFormatting>
  <conditionalFormatting sqref="M47:N47">
    <cfRule type="expression" dxfId="2507" priority="194">
      <formula>IF(+(IF(M47&lt;#REF!,0,IF(M47&gt;#REF!,0,1)))=0,1)</formula>
    </cfRule>
  </conditionalFormatting>
  <conditionalFormatting sqref="N10:N11">
    <cfRule type="expression" dxfId="2506" priority="67">
      <formula>IF(+(IF(N10&lt;X23,0,IF(N10&gt;Y23,0,1)))=0,1)</formula>
    </cfRule>
  </conditionalFormatting>
  <conditionalFormatting sqref="N13">
    <cfRule type="expression" dxfId="2505" priority="60">
      <formula>IF(+(IF(N13&lt;X47,0,IF(N13&gt;Y47,0,1)))=0,1)</formula>
    </cfRule>
    <cfRule type="expression" dxfId="2504" priority="59">
      <formula>IF(+(IF(N13&lt;X52,0,IF(N13&gt;Y52,0,1)))=0,1)</formula>
    </cfRule>
  </conditionalFormatting>
  <conditionalFormatting sqref="N14">
    <cfRule type="expression" dxfId="2503" priority="203">
      <formula>IF(+(IF(N14&lt;X27,0,IF(N14&gt;Y27,0,1)))=0,1)</formula>
    </cfRule>
  </conditionalFormatting>
  <conditionalFormatting sqref="N15:N32">
    <cfRule type="expression" dxfId="2502" priority="211">
      <formula>IF(+(IF(N15&lt;X62,0,IF(N15&gt;Y62,0,1)))=0,1)</formula>
    </cfRule>
  </conditionalFormatting>
  <conditionalFormatting sqref="N33:N46">
    <cfRule type="expression" dxfId="2501" priority="33">
      <formula>IF(+(IF(N33&lt;X48,0,IF(N33&gt;Y48,0,1)))=0,1)</formula>
    </cfRule>
    <cfRule type="expression" dxfId="2500" priority="32">
      <formula>IF(+(IF(N33&lt;X53,0,IF(N33&gt;Y53,0,1)))=0,1)</formula>
    </cfRule>
  </conditionalFormatting>
  <conditionalFormatting sqref="P6">
    <cfRule type="cellIs" dxfId="2499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[29]Brewhouse!$A390</f>
        <v>ST331</v>
      </c>
      <c r="D10" s="279">
        <f>[29]Brewhouse!$AB390</f>
        <v>53.1</v>
      </c>
      <c r="E10" s="279">
        <f>[29]Brewhouse!$AG390</f>
        <v>49.3</v>
      </c>
      <c r="F10" s="278">
        <f>[29]Brewhouse!$V390</f>
        <v>65</v>
      </c>
      <c r="G10" s="279">
        <f>[29]Brewhouse!$AE390</f>
        <v>11.9</v>
      </c>
      <c r="H10" s="396">
        <v>12</v>
      </c>
      <c r="I10" s="368">
        <f>[29]Brewhouse!$AS390</f>
        <v>98.847023873347482</v>
      </c>
      <c r="J10" s="368">
        <f>[29]Brewhouse!$AT390</f>
        <v>99.485547628646145</v>
      </c>
      <c r="K10" s="281">
        <f>[29]Brewhouse!$Q390</f>
        <v>11.064030131826742</v>
      </c>
      <c r="L10" s="276">
        <f>[29]Brewhouse!$P390</f>
        <v>57</v>
      </c>
      <c r="M10" s="374">
        <f>[29]Brewhouse!$U390-[29]Brewhouse!$T390</f>
        <v>0.12430555555555556</v>
      </c>
      <c r="N10" s="370">
        <f>[29]Brewhouse!$AW390</f>
        <v>0.26597222222222222</v>
      </c>
      <c r="O10" s="419" t="str">
        <f>[29]Brewhouse!$AV390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[29]Brewhouse!$A391</f>
        <v>ST332</v>
      </c>
      <c r="D11" s="279">
        <f>[29]Brewhouse!$AB391</f>
        <v>53.1</v>
      </c>
      <c r="E11" s="279">
        <f>[29]Brewhouse!$AG391</f>
        <v>50.4</v>
      </c>
      <c r="F11" s="278">
        <f>[29]Brewhouse!$V391</f>
        <v>60</v>
      </c>
      <c r="G11" s="279">
        <f>[29]Brewhouse!$AE391</f>
        <v>11.7</v>
      </c>
      <c r="H11" s="396">
        <v>11.8</v>
      </c>
      <c r="I11" s="368">
        <f>[29]Brewhouse!$AS391</f>
        <v>99.266868267130036</v>
      </c>
      <c r="J11" s="368">
        <f>[29]Brewhouse!$AT391</f>
        <v>99.908104098204518</v>
      </c>
      <c r="K11" s="281">
        <f>[29]Brewhouse!$Q391</f>
        <v>8.9924670433144982</v>
      </c>
      <c r="L11" s="276">
        <f>[29]Brewhouse!$P391</f>
        <v>57</v>
      </c>
      <c r="M11" s="374">
        <f>[29]Brewhouse!$U391-[29]Brewhouse!$T391</f>
        <v>0.11388888888888882</v>
      </c>
      <c r="N11" s="370">
        <f>[29]Brewhouse!$AW391</f>
        <v>0.26111111111111107</v>
      </c>
      <c r="O11" s="419" t="str">
        <f>[29]Brewhouse!$AV391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[30]Brewhouse!$A789</f>
        <v>CA739</v>
      </c>
      <c r="D13" s="279">
        <f>[30]Brewhouse!$AF789</f>
        <v>47.4</v>
      </c>
      <c r="E13" s="279">
        <f>[30]Brewhouse!$AI789</f>
        <v>47.9</v>
      </c>
      <c r="F13" s="278">
        <f>[30]Brewhouse!$V789</f>
        <v>55</v>
      </c>
      <c r="G13" s="279">
        <f>[30]Brewhouse!AG789</f>
        <v>11.8</v>
      </c>
      <c r="H13" s="490">
        <v>12.2</v>
      </c>
      <c r="I13" s="368">
        <f>[30]Brewhouse!$AU789</f>
        <v>94.056577044182816</v>
      </c>
      <c r="J13" s="368">
        <f>[30]Brewhouse!$AV789</f>
        <v>94.785536062602233</v>
      </c>
      <c r="K13" s="281">
        <f>[30]Brewhouse!$Q789</f>
        <v>15.037037037037033</v>
      </c>
      <c r="L13" s="276">
        <f>[30]Brewhouse!$P789</f>
        <v>63</v>
      </c>
      <c r="M13" s="374">
        <f>[30]Brewhouse!$U789-[30]Brewhouse!$T789</f>
        <v>0.1118055555555556</v>
      </c>
      <c r="N13" s="370">
        <f>[30]Brewhouse!$Z789</f>
        <v>0.24861111111111112</v>
      </c>
      <c r="O13" s="419" t="str">
        <f>[30]Brewhouse!$AX789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[30]Brewhouse!$A790</f>
        <v>CA740</v>
      </c>
      <c r="D14" s="279">
        <f>[30]Brewhouse!$AF790</f>
        <v>49.8</v>
      </c>
      <c r="E14" s="279">
        <f>[30]Brewhouse!$AI790</f>
        <v>50.3</v>
      </c>
      <c r="F14" s="278">
        <f>[30]Brewhouse!$V790</f>
        <v>55</v>
      </c>
      <c r="G14" s="279">
        <f>[30]Brewhouse!AG790</f>
        <v>11.9</v>
      </c>
      <c r="H14" s="490">
        <v>12.2</v>
      </c>
      <c r="I14" s="368">
        <f>[30]Brewhouse!$AU790</f>
        <v>99.034024996783444</v>
      </c>
      <c r="J14" s="368">
        <f>[30]Brewhouse!$AV790</f>
        <v>99.801812518911376</v>
      </c>
      <c r="K14" s="281">
        <f>[30]Brewhouse!$Q790</f>
        <v>12.074074074074066</v>
      </c>
      <c r="L14" s="276">
        <f>[30]Brewhouse!$P790</f>
        <v>61</v>
      </c>
      <c r="M14" s="374">
        <f>[30]Brewhouse!$U790-[30]Brewhouse!$T790</f>
        <v>0.10972222222222228</v>
      </c>
      <c r="N14" s="370">
        <f>[30]Brewhouse!$Z790</f>
        <v>0.24305555555555558</v>
      </c>
      <c r="O14" s="419" t="str">
        <f>[30]Brewhouse!$AX790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[30]Brewhouse!$A791</f>
        <v>CA741</v>
      </c>
      <c r="D15" s="279">
        <f>[30]Brewhouse!$AF791</f>
        <v>48.5</v>
      </c>
      <c r="E15" s="279">
        <f>[30]Brewhouse!$AI791</f>
        <v>49.1</v>
      </c>
      <c r="F15" s="278">
        <f>[30]Brewhouse!$V791</f>
        <v>58</v>
      </c>
      <c r="G15" s="279">
        <f>[30]Brewhouse!AG791</f>
        <v>11.8</v>
      </c>
      <c r="H15" s="396">
        <v>11.9</v>
      </c>
      <c r="I15" s="368">
        <f>[30]Brewhouse!$AU791</f>
        <v>96.894771830654662</v>
      </c>
      <c r="J15" s="368">
        <f>[30]Brewhouse!$AV791</f>
        <v>97.645527862092081</v>
      </c>
      <c r="K15" s="281">
        <f>[30]Brewhouse!$Q791</f>
        <v>12.259259259259254</v>
      </c>
      <c r="L15" s="276">
        <f>[30]Brewhouse!$P791</f>
        <v>60</v>
      </c>
      <c r="M15" s="374">
        <f>[30]Brewhouse!$U791-[30]Brewhouse!$T791</f>
        <v>0.11250000000000004</v>
      </c>
      <c r="N15" s="370">
        <f>[30]Brewhouse!$Z791</f>
        <v>0.24513888888888891</v>
      </c>
      <c r="O15" s="419" t="str">
        <f>[30]Brewhouse!$AX791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[30]Brewhouse!$A792</f>
        <v>CA742</v>
      </c>
      <c r="D16" s="279">
        <f>[30]Brewhouse!$AF792</f>
        <v>51.2</v>
      </c>
      <c r="E16" s="279">
        <f>[30]Brewhouse!$AI792</f>
        <v>51.7</v>
      </c>
      <c r="F16" s="278">
        <f>[30]Brewhouse!$V792</f>
        <v>64</v>
      </c>
      <c r="G16" s="279">
        <f>[30]Brewhouse!AG792</f>
        <v>11.6</v>
      </c>
      <c r="H16" s="396">
        <v>12</v>
      </c>
      <c r="I16" s="368">
        <f>[30]Brewhouse!$AU792</f>
        <v>99.461062893244474</v>
      </c>
      <c r="J16" s="368">
        <f>[30]Brewhouse!$AV792</f>
        <v>100.23200954727312</v>
      </c>
      <c r="K16" s="281">
        <f>[30]Brewhouse!$Q792</f>
        <v>10.573012939001845</v>
      </c>
      <c r="L16" s="276">
        <f>[30]Brewhouse!$P792</f>
        <v>60</v>
      </c>
      <c r="M16" s="374">
        <f>[30]Brewhouse!$U792-[30]Brewhouse!$T792</f>
        <v>0.11458333333333326</v>
      </c>
      <c r="N16" s="370">
        <f>[30]Brewhouse!$Z792</f>
        <v>0.24236111111111103</v>
      </c>
      <c r="O16" s="419" t="str">
        <f>[30]Brewhouse!$AX792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[30]Brewhouse!$A793</f>
        <v>CA743</v>
      </c>
      <c r="D17" s="279">
        <f>[30]Brewhouse!$AF793</f>
        <v>50.4</v>
      </c>
      <c r="E17" s="279">
        <f>[30]Brewhouse!$AI793</f>
        <v>50.3</v>
      </c>
      <c r="F17" s="278">
        <f>[30]Brewhouse!$V793</f>
        <v>59</v>
      </c>
      <c r="G17" s="279">
        <f>[30]Brewhouse!AG793</f>
        <v>11.7</v>
      </c>
      <c r="H17" s="396">
        <v>11.7</v>
      </c>
      <c r="I17" s="368">
        <f>[30]Brewhouse!$AU793</f>
        <v>98.010640304902878</v>
      </c>
      <c r="J17" s="368">
        <f>[30]Brewhouse!$AV793</f>
        <v>98.770193886926663</v>
      </c>
      <c r="K17" s="281">
        <f>[30]Brewhouse!$Q793</f>
        <v>10.388170055452859</v>
      </c>
      <c r="L17" s="276">
        <f>[30]Brewhouse!$P793</f>
        <v>60</v>
      </c>
      <c r="M17" s="492"/>
      <c r="N17" s="492"/>
      <c r="O17" s="419" t="str">
        <f>[30]Brewhouse!$AX793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61"/>
      <c r="J26" s="561"/>
      <c r="K26" s="561"/>
      <c r="L26" s="561"/>
      <c r="M26" s="561"/>
      <c r="N26" s="561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9" t="s">
        <v>35</v>
      </c>
      <c r="E27" s="540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620"/>
      <c r="C28" s="483"/>
      <c r="D28" s="565"/>
      <c r="E28" s="566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COUNTA([30]Brewhouse!$A$789:$A$793)</f>
        <v>5</v>
      </c>
      <c r="L28" s="305">
        <f>AVERAGE([30]Brewhouse!$AU$789:$AU$793)</f>
        <v>97.491415413953661</v>
      </c>
      <c r="M28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63"/>
      <c r="C29" s="362"/>
      <c r="D29" s="567"/>
      <c r="E29" s="568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COUNTA([29]Brewhouse!$A$390:$A$391)</f>
        <v>2</v>
      </c>
      <c r="L29" s="302">
        <f>AVERAGE([29]Brewhouse!$AS$390:$AS$391)</f>
        <v>99.056946070238752</v>
      </c>
      <c r="M29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3"/>
      <c r="C30" s="362"/>
      <c r="D30" s="616"/>
      <c r="E30" s="617"/>
      <c r="F30" s="294"/>
      <c r="G30" s="294"/>
      <c r="H30" s="348"/>
      <c r="I30" s="34" t="s">
        <v>12</v>
      </c>
      <c r="J30" s="323"/>
      <c r="K30" s="284"/>
      <c r="L30" s="302"/>
      <c r="M30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3"/>
      <c r="C31" s="362"/>
      <c r="D31" s="580"/>
      <c r="E31" s="568"/>
      <c r="F31" s="294"/>
      <c r="G31" s="294"/>
      <c r="H31" s="348"/>
      <c r="I31" s="22" t="s">
        <v>33</v>
      </c>
      <c r="J31" s="280"/>
      <c r="K31" s="284"/>
      <c r="L31" s="302"/>
      <c r="M31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63"/>
      <c r="C32" s="362"/>
      <c r="D32" s="616"/>
      <c r="E32" s="617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63"/>
      <c r="C33" s="362"/>
      <c r="D33" s="580"/>
      <c r="E33" s="568"/>
      <c r="F33" s="416"/>
      <c r="G33" s="294"/>
      <c r="H33" s="348"/>
      <c r="I33" s="36" t="s">
        <v>15</v>
      </c>
      <c r="J33" s="323"/>
      <c r="K33" s="284"/>
      <c r="L33" s="302"/>
      <c r="M33" s="302">
        <f>AVERAGE([33]Brewhouse!$AT$4:$AT$11,[33]Brewhouse!$AT$13:$AT$16,[33]Brewhouse!$AT$18:$AT$30)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63"/>
      <c r="C34" s="362"/>
      <c r="D34" s="616"/>
      <c r="E34" s="617"/>
      <c r="F34" s="416"/>
      <c r="G34" s="294"/>
      <c r="H34" s="348"/>
      <c r="I34" s="37" t="s">
        <v>16</v>
      </c>
      <c r="J34" s="323"/>
      <c r="K34" s="284"/>
      <c r="L34" s="302"/>
      <c r="M34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63"/>
      <c r="C35" s="362"/>
      <c r="D35" s="580"/>
      <c r="E35" s="568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63"/>
      <c r="C36" s="362"/>
      <c r="D36" s="616"/>
      <c r="E36" s="617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63"/>
      <c r="C37" s="362"/>
      <c r="D37" s="580"/>
      <c r="E37" s="568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63"/>
      <c r="C38" s="349"/>
      <c r="D38" s="565"/>
      <c r="E38" s="566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AVERAGE('[35]Jan30th-31st'!$L$42,'[36]Feb 27th-28th'!$L$45,'[37]Mar 31st'!$L$42,'[38]Apr 30th'!$L$41,'[39]May 29th '!$L$35,'[40]June 30th'!$L$32,[41]July31st!$L$36,'[42]Aug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621"/>
      <c r="C39" s="350"/>
      <c r="D39" s="567"/>
      <c r="E39" s="568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612"/>
      <c r="C40" s="362"/>
      <c r="D40" s="565"/>
      <c r="E40" s="566"/>
      <c r="F40" s="294"/>
      <c r="G40" s="42"/>
      <c r="H40" s="41"/>
      <c r="I40" s="42"/>
      <c r="J40" s="615" t="s">
        <v>129</v>
      </c>
      <c r="K40" s="615"/>
      <c r="L40" s="294"/>
      <c r="M40" s="294"/>
      <c r="N40" s="294"/>
      <c r="O40" s="294"/>
      <c r="P40" s="12"/>
    </row>
    <row r="41" spans="1:56" ht="15.75" thickBot="1">
      <c r="B41" s="613"/>
      <c r="C41" s="362"/>
      <c r="D41" s="567"/>
      <c r="E41" s="568"/>
      <c r="F41" s="294"/>
      <c r="G41" s="42"/>
      <c r="H41" s="42"/>
      <c r="I41" s="42"/>
      <c r="J41" s="292" t="s">
        <v>17</v>
      </c>
      <c r="K41" s="293"/>
      <c r="L41" s="582" t="s">
        <v>136</v>
      </c>
      <c r="M41" s="582"/>
      <c r="N41" s="583"/>
      <c r="O41" s="294"/>
      <c r="P41" s="12"/>
    </row>
    <row r="42" spans="1:56" ht="15" customHeight="1" thickBot="1">
      <c r="B42" s="613"/>
      <c r="C42" s="349"/>
      <c r="D42" s="616"/>
      <c r="E42" s="617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613"/>
      <c r="C43" s="349"/>
      <c r="D43" s="580"/>
      <c r="E43" s="568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AVERAGE('[35]Jan30th-31st'!$L$47,L43,'[36]Feb 26th '!$L$39,'[37]Mar 31st'!$L$47,'[38]Apr 30th'!$L$46,'[39]May 29th '!$L$40,'[40]June 30th'!$L$39,[41]July31st!$L$41,'[42]Aug 31st'!$L$37,'[43]Sept 30th'!$L$37)</f>
        <v>6.5735341470124071</v>
      </c>
      <c r="N43" s="415">
        <v>9.1999999999999993</v>
      </c>
      <c r="O43" s="294"/>
      <c r="P43" s="12"/>
    </row>
    <row r="44" spans="1:56" ht="15" customHeight="1">
      <c r="B44" s="613"/>
      <c r="C44" s="349"/>
      <c r="D44" s="616"/>
      <c r="E44" s="617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613"/>
      <c r="C45" s="349"/>
      <c r="D45" s="580"/>
      <c r="E45" s="568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613"/>
      <c r="C46" s="349"/>
      <c r="D46" s="616"/>
      <c r="E46" s="617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613"/>
      <c r="C47" s="349"/>
      <c r="D47" s="580"/>
      <c r="E47" s="568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613"/>
      <c r="C48" s="349"/>
      <c r="D48" s="616"/>
      <c r="E48" s="617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614"/>
      <c r="C49" s="350"/>
      <c r="D49" s="618"/>
      <c r="E49" s="619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610"/>
      <c r="E50" s="611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90" t="s">
        <v>17</v>
      </c>
      <c r="C55" s="590" t="s">
        <v>44</v>
      </c>
      <c r="D55" s="592" t="s">
        <v>45</v>
      </c>
      <c r="E55" s="547" t="s">
        <v>46</v>
      </c>
      <c r="F55" s="607" t="s">
        <v>47</v>
      </c>
      <c r="G55" s="601" t="s">
        <v>48</v>
      </c>
      <c r="H55" s="590" t="s">
        <v>49</v>
      </c>
      <c r="I55" s="590" t="s">
        <v>50</v>
      </c>
      <c r="J55" s="595" t="s">
        <v>28</v>
      </c>
      <c r="K55" s="545" t="s">
        <v>51</v>
      </c>
      <c r="L55" s="557" t="s">
        <v>52</v>
      </c>
      <c r="M55" s="595" t="s">
        <v>53</v>
      </c>
      <c r="N55" s="13"/>
      <c r="O55" s="13"/>
      <c r="P55" s="50"/>
    </row>
    <row r="56" spans="2:57" ht="28.5" customHeight="1" thickTop="1" thickBot="1">
      <c r="B56" s="609"/>
      <c r="C56" s="591"/>
      <c r="D56" s="593"/>
      <c r="E56" s="594"/>
      <c r="F56" s="608"/>
      <c r="G56" s="602"/>
      <c r="H56" s="609"/>
      <c r="I56" s="609"/>
      <c r="J56" s="596"/>
      <c r="K56" s="605"/>
      <c r="L56" s="606"/>
      <c r="M56" s="596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[8]October_2026!$D$65</f>
        <v>383.05</v>
      </c>
      <c r="E57" s="442">
        <f>SUM([7]VITAMALT!$J$6:$J$13)</f>
        <v>16.399999999999999</v>
      </c>
      <c r="F57" s="443"/>
      <c r="G57" s="443">
        <f>[8]October_2026!$D$70</f>
        <v>389</v>
      </c>
      <c r="H57" s="457"/>
      <c r="I57" s="457"/>
      <c r="J57" s="447" t="s">
        <v>150</v>
      </c>
      <c r="K57" s="448">
        <f>[9]October_2026!$D$60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[27]January_2019!L5</f>
        <v>0</v>
      </c>
      <c r="AC57" s="57">
        <f>[27]January_2019!M5</f>
        <v>0</v>
      </c>
      <c r="AD57" s="57">
        <f>[27]January_2019!N5</f>
        <v>0</v>
      </c>
      <c r="AE57" s="57">
        <f>[27]January_2019!O5</f>
        <v>0</v>
      </c>
      <c r="AF57" s="57">
        <f>[27]January_2019!P5</f>
        <v>0</v>
      </c>
      <c r="AG57" s="57">
        <f>[27]January_2019!Q5</f>
        <v>0</v>
      </c>
      <c r="AH57" s="57">
        <f>[27]January_2019!R5</f>
        <v>0</v>
      </c>
      <c r="AI57" s="57">
        <f>[27]January_2019!S5</f>
        <v>0</v>
      </c>
      <c r="AJ57" s="57">
        <f>[27]January_2019!T5</f>
        <v>0</v>
      </c>
      <c r="AK57" s="57">
        <f>[27]January_2019!U5</f>
        <v>0</v>
      </c>
      <c r="AL57" s="57">
        <f>[27]January_2019!V5</f>
        <v>0</v>
      </c>
      <c r="AM57" s="57">
        <f>[27]January_2019!W5</f>
        <v>0</v>
      </c>
      <c r="AN57" s="57">
        <f>[27]January_2019!X5</f>
        <v>0</v>
      </c>
      <c r="AO57" s="57">
        <f>[27]January_2019!Y5</f>
        <v>0</v>
      </c>
      <c r="AP57" s="57">
        <f>[27]January_2019!Z5</f>
        <v>0</v>
      </c>
      <c r="AQ57" s="57">
        <f>[27]January_2019!AA5</f>
        <v>0</v>
      </c>
      <c r="AR57" s="57">
        <f>[27]January_2019!AB5</f>
        <v>0</v>
      </c>
      <c r="AS57" s="57">
        <f>[27]January_2019!AC5</f>
        <v>0</v>
      </c>
      <c r="AT57" s="57">
        <f>[27]January_2019!AD5</f>
        <v>0</v>
      </c>
      <c r="AU57" s="57">
        <f>[27]January_2019!AE5</f>
        <v>0</v>
      </c>
      <c r="AV57" s="57">
        <f>[27]January_2019!AF5</f>
        <v>0</v>
      </c>
      <c r="AW57" s="57">
        <f>[27]January_2019!AG5</f>
        <v>0</v>
      </c>
      <c r="AX57" s="277">
        <f>[27]January_2019!AH5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[27]January_2019!L6</f>
        <v>0</v>
      </c>
      <c r="AC58" s="57">
        <f>[27]January_2019!M6</f>
        <v>0</v>
      </c>
      <c r="AD58" s="57">
        <f>[27]January_2019!N6</f>
        <v>0</v>
      </c>
      <c r="AE58" s="57">
        <f>[27]January_2019!O6</f>
        <v>0</v>
      </c>
      <c r="AF58" s="57">
        <f>[27]January_2019!P6</f>
        <v>0</v>
      </c>
      <c r="AG58" s="57">
        <f>[27]January_2019!Q6</f>
        <v>0</v>
      </c>
      <c r="AH58" s="57">
        <f>[27]January_2019!R6</f>
        <v>0</v>
      </c>
      <c r="AI58" s="57">
        <f>[27]January_2019!S6</f>
        <v>0</v>
      </c>
      <c r="AJ58" s="57">
        <f>[27]January_2019!T6</f>
        <v>0</v>
      </c>
      <c r="AK58" s="57">
        <f>[27]January_2019!U6</f>
        <v>0</v>
      </c>
      <c r="AL58" s="57">
        <f>[27]January_2019!V6</f>
        <v>0</v>
      </c>
      <c r="AM58" s="57">
        <f>[27]January_2019!W6</f>
        <v>0</v>
      </c>
      <c r="AN58" s="57">
        <f>[27]January_2019!X6</f>
        <v>0</v>
      </c>
      <c r="AO58" s="57">
        <f>[27]January_2019!Y6</f>
        <v>0</v>
      </c>
      <c r="AP58" s="57">
        <f>[27]January_2019!Z6</f>
        <v>0</v>
      </c>
      <c r="AQ58" s="57">
        <f>[27]January_2019!AA6</f>
        <v>0</v>
      </c>
      <c r="AR58" s="57">
        <f>[27]January_2019!AB6</f>
        <v>0</v>
      </c>
      <c r="AS58" s="57">
        <f>[27]January_2019!AC6</f>
        <v>0</v>
      </c>
      <c r="AT58" s="57">
        <f>[27]January_2019!AD6</f>
        <v>0</v>
      </c>
      <c r="AU58" s="57">
        <f>[27]January_2019!AE6</f>
        <v>0</v>
      </c>
      <c r="AV58" s="57">
        <f>[27]January_2019!AF6</f>
        <v>0</v>
      </c>
      <c r="AW58" s="57">
        <f>[27]January_2019!AG6</f>
        <v>0</v>
      </c>
      <c r="AX58" s="277">
        <f>[27]January_2019!AH6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[8]September_2026!$Y$13</f>
        <v>190.70000000000002</v>
      </c>
      <c r="E59" s="442"/>
      <c r="F59" s="443"/>
      <c r="G59" s="443">
        <f>[8]September_2026!$Y$17</f>
        <v>184.3</v>
      </c>
      <c r="H59" s="445"/>
      <c r="I59" s="445"/>
      <c r="J59" s="447" t="s">
        <v>169</v>
      </c>
      <c r="K59" s="448">
        <f>[9]September_2026!$Y$25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[27]January_2019!L7</f>
        <v>285.8</v>
      </c>
      <c r="AC59" s="57">
        <f>[27]January_2019!M7</f>
        <v>508.1</v>
      </c>
      <c r="AD59" s="57">
        <f>[27]January_2019!N7</f>
        <v>0</v>
      </c>
      <c r="AE59" s="57">
        <f>[27]January_2019!O7</f>
        <v>0</v>
      </c>
      <c r="AF59" s="57">
        <f>[27]January_2019!P7</f>
        <v>109.56666666666666</v>
      </c>
      <c r="AG59" s="57">
        <f>[27]January_2019!Q7</f>
        <v>297.64999999999998</v>
      </c>
      <c r="AH59" s="57">
        <f>[27]January_2019!R7</f>
        <v>122.3</v>
      </c>
      <c r="AI59" s="57">
        <f>[27]January_2019!S7</f>
        <v>0</v>
      </c>
      <c r="AJ59" s="57">
        <f>[27]January_2019!T7</f>
        <v>294.7</v>
      </c>
      <c r="AK59" s="57">
        <f>[27]January_2019!U7</f>
        <v>280.5</v>
      </c>
      <c r="AL59" s="57">
        <f>[27]January_2019!V7</f>
        <v>0</v>
      </c>
      <c r="AM59" s="57">
        <f>[27]January_2019!W7</f>
        <v>0</v>
      </c>
      <c r="AN59" s="57">
        <f>[27]January_2019!X7</f>
        <v>188.25</v>
      </c>
      <c r="AO59" s="57">
        <f>[27]January_2019!Y7</f>
        <v>295.7</v>
      </c>
      <c r="AP59" s="57">
        <f>[27]January_2019!Z7</f>
        <v>257.8</v>
      </c>
      <c r="AQ59" s="57">
        <f>[27]January_2019!AA7</f>
        <v>291.2</v>
      </c>
      <c r="AR59" s="57">
        <f>[27]January_2019!AB7</f>
        <v>187</v>
      </c>
      <c r="AS59" s="57">
        <f>[27]January_2019!AC7</f>
        <v>0</v>
      </c>
      <c r="AT59" s="57">
        <f>[27]January_2019!AD7</f>
        <v>0</v>
      </c>
      <c r="AU59" s="57">
        <f>[27]January_2019!AE7</f>
        <v>485.1</v>
      </c>
      <c r="AV59" s="57">
        <f>[27]January_2019!AF7</f>
        <v>171.55</v>
      </c>
      <c r="AW59" s="57">
        <f>[27]January_2019!AG7</f>
        <v>423.8</v>
      </c>
      <c r="AX59" s="277">
        <f>[27]January_2019!AH7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597" t="s">
        <v>55</v>
      </c>
      <c r="C68" s="598"/>
      <c r="D68" s="598"/>
      <c r="E68" s="598"/>
      <c r="F68" s="599"/>
      <c r="G68" s="597" t="s">
        <v>56</v>
      </c>
      <c r="H68" s="598"/>
      <c r="I68" s="598"/>
      <c r="J68" s="599"/>
      <c r="K68" s="597" t="s">
        <v>51</v>
      </c>
      <c r="L68" s="598"/>
      <c r="M68" s="598"/>
      <c r="N68" s="600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B40:B49"/>
    <mergeCell ref="D40:E41"/>
    <mergeCell ref="J40:K40"/>
    <mergeCell ref="L41:N41"/>
    <mergeCell ref="D42:E43"/>
    <mergeCell ref="D44:E45"/>
    <mergeCell ref="D46:E47"/>
    <mergeCell ref="D48:E49"/>
    <mergeCell ref="D50:E50"/>
    <mergeCell ref="B55:B56"/>
    <mergeCell ref="C55:C56"/>
    <mergeCell ref="D55:D56"/>
    <mergeCell ref="E55:E56"/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</mergeCells>
  <conditionalFormatting sqref="B50:B51">
    <cfRule type="cellIs" dxfId="2498" priority="127" operator="notBetween">
      <formula>#REF!</formula>
      <formula>#REF!</formula>
    </cfRule>
  </conditionalFormatting>
  <conditionalFormatting sqref="C54">
    <cfRule type="cellIs" dxfId="2497" priority="209" stopIfTrue="1" operator="lessThan">
      <formula>96</formula>
    </cfRule>
    <cfRule type="cellIs" dxfId="2496" priority="210" stopIfTrue="1" operator="greaterThan">
      <formula>100</formula>
    </cfRule>
  </conditionalFormatting>
  <conditionalFormatting sqref="C70:C71">
    <cfRule type="cellIs" dxfId="2495" priority="93" stopIfTrue="1" operator="lessThanOrEqual">
      <formula>0</formula>
    </cfRule>
    <cfRule type="cellIs" dxfId="2494" priority="92" stopIfTrue="1" operator="greaterThan">
      <formula>$F70</formula>
    </cfRule>
    <cfRule type="cellIs" dxfId="2493" priority="91" stopIfTrue="1" operator="lessThanOrEqual">
      <formula>0</formula>
    </cfRule>
    <cfRule type="cellIs" dxfId="2492" priority="90" stopIfTrue="1" operator="greaterThan">
      <formula>$F70</formula>
    </cfRule>
  </conditionalFormatting>
  <conditionalFormatting sqref="C72:C74 C76:C78">
    <cfRule type="cellIs" dxfId="2491" priority="99" stopIfTrue="1" operator="greaterThan">
      <formula>$F75</formula>
    </cfRule>
  </conditionalFormatting>
  <conditionalFormatting sqref="C72:C74">
    <cfRule type="cellIs" dxfId="2490" priority="100" stopIfTrue="1" operator="lessThanOrEqual">
      <formula>0</formula>
    </cfRule>
  </conditionalFormatting>
  <conditionalFormatting sqref="C75">
    <cfRule type="cellIs" dxfId="2489" priority="214" stopIfTrue="1" operator="lessThanOrEqual">
      <formula>0</formula>
    </cfRule>
    <cfRule type="cellIs" dxfId="2488" priority="213" stopIfTrue="1" operator="greaterThan">
      <formula>$F70</formula>
    </cfRule>
    <cfRule type="cellIs" dxfId="2487" priority="212" stopIfTrue="1" operator="lessThanOrEqual">
      <formula>0</formula>
    </cfRule>
    <cfRule type="cellIs" dxfId="2486" priority="211" stopIfTrue="1" operator="greaterThan">
      <formula>$F70</formula>
    </cfRule>
  </conditionalFormatting>
  <conditionalFormatting sqref="C76:C78">
    <cfRule type="cellIs" dxfId="2485" priority="101" stopIfTrue="1" operator="lessThanOrEqual">
      <formula>0</formula>
    </cfRule>
  </conditionalFormatting>
  <conditionalFormatting sqref="C81:C85">
    <cfRule type="cellIs" dxfId="2484" priority="201" stopIfTrue="1" operator="lessThanOrEqual">
      <formula>0</formula>
    </cfRule>
  </conditionalFormatting>
  <conditionalFormatting sqref="C82:C85">
    <cfRule type="cellIs" dxfId="2483" priority="200" stopIfTrue="1" operator="greaterThan">
      <formula>$F$81</formula>
    </cfRule>
  </conditionalFormatting>
  <conditionalFormatting sqref="C87">
    <cfRule type="cellIs" dxfId="2482" priority="202" stopIfTrue="1" operator="greaterThan">
      <formula>$F$81</formula>
    </cfRule>
    <cfRule type="cellIs" dxfId="2481" priority="203" stopIfTrue="1" operator="lessThanOrEqual">
      <formula>0</formula>
    </cfRule>
  </conditionalFormatting>
  <conditionalFormatting sqref="C75:D75">
    <cfRule type="cellIs" dxfId="2480" priority="88" stopIfTrue="1" operator="greaterThan">
      <formula>$J75</formula>
    </cfRule>
    <cfRule type="cellIs" dxfId="2479" priority="89" stopIfTrue="1" operator="lessThanOrEqual">
      <formula>0</formula>
    </cfRule>
  </conditionalFormatting>
  <conditionalFormatting sqref="C81:D81 D83:D89">
    <cfRule type="cellIs" dxfId="2478" priority="195" stopIfTrue="1" operator="greaterThan">
      <formula>4.5</formula>
    </cfRule>
  </conditionalFormatting>
  <conditionalFormatting sqref="D50:D51">
    <cfRule type="cellIs" dxfId="2477" priority="128" operator="notBetween">
      <formula>#REF!</formula>
      <formula>#REF!</formula>
    </cfRule>
  </conditionalFormatting>
  <conditionalFormatting sqref="D70:D74 D76:D77">
    <cfRule type="cellIs" dxfId="2476" priority="98" stopIfTrue="1" operator="lessThanOrEqual">
      <formula>0</formula>
    </cfRule>
  </conditionalFormatting>
  <conditionalFormatting sqref="D70:D74 D76:D79">
    <cfRule type="cellIs" dxfId="2475" priority="95" stopIfTrue="1" operator="greaterThan">
      <formula>$F70</formula>
    </cfRule>
    <cfRule type="cellIs" dxfId="2474" priority="94" stopIfTrue="1" operator="lessThanOrEqual">
      <formula>0</formula>
    </cfRule>
  </conditionalFormatting>
  <conditionalFormatting sqref="D78:D79">
    <cfRule type="cellIs" dxfId="2473" priority="96" stopIfTrue="1" operator="lessThanOrEqual">
      <formula>0</formula>
    </cfRule>
  </conditionalFormatting>
  <conditionalFormatting sqref="D79">
    <cfRule type="cellIs" dxfId="2472" priority="97" stopIfTrue="1" operator="lessThanOrEqual">
      <formula>0</formula>
    </cfRule>
  </conditionalFormatting>
  <conditionalFormatting sqref="D81 D83:D89">
    <cfRule type="cellIs" dxfId="2471" priority="196" stopIfTrue="1" operator="lessThanOrEqual">
      <formula>0</formula>
    </cfRule>
  </conditionalFormatting>
  <conditionalFormatting sqref="D82">
    <cfRule type="cellIs" dxfId="2470" priority="187" stopIfTrue="1" operator="greaterThan">
      <formula>$F$81</formula>
    </cfRule>
    <cfRule type="cellIs" dxfId="2469" priority="188" stopIfTrue="1" operator="lessThanOrEqual">
      <formula>0</formula>
    </cfRule>
  </conditionalFormatting>
  <conditionalFormatting sqref="E10:E25">
    <cfRule type="cellIs" dxfId="2468" priority="7" operator="lessThan">
      <formula>48</formula>
    </cfRule>
  </conditionalFormatting>
  <conditionalFormatting sqref="E53 E54:F54">
    <cfRule type="cellIs" dxfId="2467" priority="192" stopIfTrue="1" operator="greaterThan">
      <formula>100</formula>
    </cfRule>
  </conditionalFormatting>
  <conditionalFormatting sqref="E54">
    <cfRule type="cellIs" dxfId="2466" priority="190" stopIfTrue="1" operator="greaterThan">
      <formula>100</formula>
    </cfRule>
    <cfRule type="cellIs" dxfId="2465" priority="189" stopIfTrue="1" operator="lessThan">
      <formula>96.8</formula>
    </cfRule>
  </conditionalFormatting>
  <conditionalFormatting sqref="E70:E78">
    <cfRule type="cellIs" dxfId="2464" priority="61" stopIfTrue="1" operator="lessThanOrEqual">
      <formula>0</formula>
    </cfRule>
  </conditionalFormatting>
  <conditionalFormatting sqref="E70:E79">
    <cfRule type="cellIs" dxfId="2463" priority="62" stopIfTrue="1" operator="greaterThan">
      <formula>$F70</formula>
    </cfRule>
    <cfRule type="cellIs" dxfId="2462" priority="63" stopIfTrue="1" operator="lessThanOrEqual">
      <formula>0</formula>
    </cfRule>
  </conditionalFormatting>
  <conditionalFormatting sqref="E79">
    <cfRule type="cellIs" dxfId="2461" priority="64" stopIfTrue="1" operator="lessThanOrEqual">
      <formula>0</formula>
    </cfRule>
  </conditionalFormatting>
  <conditionalFormatting sqref="E81:E89">
    <cfRule type="cellIs" dxfId="2460" priority="181" stopIfTrue="1" operator="greaterThan">
      <formula>4.5</formula>
    </cfRule>
    <cfRule type="cellIs" dxfId="2459" priority="182" stopIfTrue="1" operator="lessThanOrEqual">
      <formula>0</formula>
    </cfRule>
  </conditionalFormatting>
  <conditionalFormatting sqref="E54:F54 E53">
    <cfRule type="cellIs" dxfId="2458" priority="191" stopIfTrue="1" operator="lessThan">
      <formula>96.5</formula>
    </cfRule>
  </conditionalFormatting>
  <conditionalFormatting sqref="F10:F25">
    <cfRule type="cellIs" dxfId="2457" priority="8" operator="greaterThan">
      <formula>60</formula>
    </cfRule>
  </conditionalFormatting>
  <conditionalFormatting sqref="F54">
    <cfRule type="cellIs" dxfId="2456" priority="208" stopIfTrue="1" operator="greaterThan">
      <formula>100</formula>
    </cfRule>
    <cfRule type="cellIs" dxfId="2455" priority="207" stopIfTrue="1" operator="lessThan">
      <formula>96.8</formula>
    </cfRule>
  </conditionalFormatting>
  <conditionalFormatting sqref="G24">
    <cfRule type="expression" dxfId="2454" priority="36">
      <formula>IF(+(IF(G24&lt;#REF!,0,IF(G24&gt;#REF!,0,1)))=0,1)</formula>
    </cfRule>
  </conditionalFormatting>
  <conditionalFormatting sqref="G25">
    <cfRule type="expression" dxfId="2453" priority="35">
      <formula>IF(+(IF(G25&lt;S25,0,IF(G25&gt;T25,0,1)))=0,1)</formula>
    </cfRule>
  </conditionalFormatting>
  <conditionalFormatting sqref="G70:G73 F79">
    <cfRule type="cellIs" dxfId="2452" priority="70" stopIfTrue="1" operator="greaterThan">
      <formula>$F70</formula>
    </cfRule>
    <cfRule type="cellIs" dxfId="2451" priority="71" stopIfTrue="1" operator="lessThanOrEqual">
      <formula>0</formula>
    </cfRule>
  </conditionalFormatting>
  <conditionalFormatting sqref="G72:G73">
    <cfRule type="cellIs" dxfId="2450" priority="57" stopIfTrue="1" operator="lessThanOrEqual">
      <formula>0</formula>
    </cfRule>
    <cfRule type="cellIs" dxfId="2449" priority="56" stopIfTrue="1" operator="greaterThan">
      <formula>$F72</formula>
    </cfRule>
  </conditionalFormatting>
  <conditionalFormatting sqref="G74:G78">
    <cfRule type="cellIs" dxfId="2448" priority="73" stopIfTrue="1" operator="lessThanOrEqual">
      <formula>0</formula>
    </cfRule>
    <cfRule type="cellIs" dxfId="2447" priority="72" stopIfTrue="1" operator="greaterThan">
      <formula>$J74</formula>
    </cfRule>
  </conditionalFormatting>
  <conditionalFormatting sqref="G75">
    <cfRule type="cellIs" dxfId="2446" priority="215" stopIfTrue="1" operator="greaterThan">
      <formula>$F70</formula>
    </cfRule>
    <cfRule type="cellIs" dxfId="2445" priority="216" stopIfTrue="1" operator="lessThanOrEqual">
      <formula>0</formula>
    </cfRule>
  </conditionalFormatting>
  <conditionalFormatting sqref="G83:G88 C86 C88">
    <cfRule type="cellIs" dxfId="2444" priority="205" stopIfTrue="1" operator="lessThanOrEqual">
      <formula>0</formula>
    </cfRule>
    <cfRule type="cellIs" dxfId="2443" priority="204" stopIfTrue="1" operator="greaterThan">
      <formula>4.5</formula>
    </cfRule>
  </conditionalFormatting>
  <conditionalFormatting sqref="G82:H82">
    <cfRule type="cellIs" dxfId="2442" priority="186" stopIfTrue="1" operator="lessThanOrEqual">
      <formula>0</formula>
    </cfRule>
    <cfRule type="cellIs" dxfId="2441" priority="185" stopIfTrue="1" operator="greaterThan">
      <formula>$F$81</formula>
    </cfRule>
  </conditionalFormatting>
  <conditionalFormatting sqref="H10:H12 H19:H25">
    <cfRule type="expression" dxfId="2440" priority="30">
      <formula>IF(+(IF(H10&lt;#REF!,0,IF(H10&gt;#REF!,0,1)))=0,1)</formula>
    </cfRule>
  </conditionalFormatting>
  <conditionalFormatting sqref="H39:H40 H53">
    <cfRule type="cellIs" dxfId="2439" priority="183" stopIfTrue="1" operator="greaterThan">
      <formula>0</formula>
    </cfRule>
  </conditionalFormatting>
  <conditionalFormatting sqref="H57">
    <cfRule type="cellIs" dxfId="2438" priority="76" stopIfTrue="1" operator="greaterThan">
      <formula>$F$70</formula>
    </cfRule>
    <cfRule type="cellIs" dxfId="2437" priority="86" stopIfTrue="1" operator="greaterThan">
      <formula>$F$71</formula>
    </cfRule>
    <cfRule type="cellIs" dxfId="2436" priority="85" stopIfTrue="1" operator="lessThanOrEqual">
      <formula>0</formula>
    </cfRule>
    <cfRule type="cellIs" dxfId="2435" priority="84" stopIfTrue="1" operator="greaterThan">
      <formula>$F$73</formula>
    </cfRule>
    <cfRule type="cellIs" dxfId="2434" priority="75" stopIfTrue="1" operator="lessThanOrEqual">
      <formula>0</formula>
    </cfRule>
  </conditionalFormatting>
  <conditionalFormatting sqref="H57:H58">
    <cfRule type="cellIs" dxfId="2433" priority="87" stopIfTrue="1" operator="lessThanOrEqual">
      <formula>0</formula>
    </cfRule>
  </conditionalFormatting>
  <conditionalFormatting sqref="H58 H60:H61">
    <cfRule type="cellIs" dxfId="2432" priority="113" stopIfTrue="1" operator="lessThanOrEqual">
      <formula>0</formula>
    </cfRule>
  </conditionalFormatting>
  <conditionalFormatting sqref="H58">
    <cfRule type="cellIs" dxfId="2431" priority="102" stopIfTrue="1" operator="greaterThan">
      <formula>$F$70</formula>
    </cfRule>
    <cfRule type="cellIs" dxfId="2430" priority="110" stopIfTrue="1" operator="greaterThan">
      <formula>$F$73</formula>
    </cfRule>
    <cfRule type="cellIs" dxfId="2429" priority="111" stopIfTrue="1" operator="lessThanOrEqual">
      <formula>0</formula>
    </cfRule>
    <cfRule type="cellIs" dxfId="2428" priority="112" stopIfTrue="1" operator="greaterThan">
      <formula>$F$71</formula>
    </cfRule>
  </conditionalFormatting>
  <conditionalFormatting sqref="H59">
    <cfRule type="cellIs" dxfId="2427" priority="54" stopIfTrue="1" operator="lessThanOrEqual">
      <formula>0</formula>
    </cfRule>
    <cfRule type="cellIs" dxfId="2426" priority="51" stopIfTrue="1" operator="greaterThan">
      <formula>$F$75</formula>
    </cfRule>
    <cfRule type="cellIs" dxfId="2425" priority="52" stopIfTrue="1" operator="lessThanOrEqual">
      <formula>0</formula>
    </cfRule>
    <cfRule type="cellIs" dxfId="2424" priority="53" stopIfTrue="1" operator="greaterThan">
      <formula>$F$73</formula>
    </cfRule>
    <cfRule type="cellIs" dxfId="2423" priority="42" stopIfTrue="1" operator="lessThanOrEqual">
      <formula>0</formula>
    </cfRule>
    <cfRule type="cellIs" dxfId="2422" priority="43" stopIfTrue="1" operator="greaterThan">
      <formula>$F$72</formula>
    </cfRule>
  </conditionalFormatting>
  <conditionalFormatting sqref="H60:H61">
    <cfRule type="cellIs" dxfId="2421" priority="126" stopIfTrue="1" operator="lessThanOrEqual">
      <formula>0</formula>
    </cfRule>
    <cfRule type="cellIs" dxfId="2420" priority="124" stopIfTrue="1" operator="lessThanOrEqual">
      <formula>0</formula>
    </cfRule>
    <cfRule type="cellIs" dxfId="2419" priority="123" stopIfTrue="1" operator="greaterThan">
      <formula>$F$73</formula>
    </cfRule>
    <cfRule type="cellIs" dxfId="2418" priority="125" stopIfTrue="1" operator="greaterThan">
      <formula>$F$71</formula>
    </cfRule>
    <cfRule type="cellIs" dxfId="2417" priority="115" stopIfTrue="1" operator="greaterThan">
      <formula>$F$70</formula>
    </cfRule>
  </conditionalFormatting>
  <conditionalFormatting sqref="H62:H63">
    <cfRule type="cellIs" dxfId="2416" priority="159" stopIfTrue="1" operator="greaterThan">
      <formula>#REF!</formula>
    </cfRule>
    <cfRule type="cellIs" dxfId="2415" priority="160" stopIfTrue="1" operator="lessThanOrEqual">
      <formula>0</formula>
    </cfRule>
    <cfRule type="cellIs" dxfId="2414" priority="151" stopIfTrue="1" operator="greaterThan">
      <formula>#REF!</formula>
    </cfRule>
    <cfRule type="cellIs" dxfId="2413" priority="150" stopIfTrue="1" operator="lessThanOrEqual">
      <formula>0</formula>
    </cfRule>
  </conditionalFormatting>
  <conditionalFormatting sqref="H64">
    <cfRule type="cellIs" dxfId="2412" priority="163" stopIfTrue="1" operator="greaterThan">
      <formula>$F$38</formula>
    </cfRule>
    <cfRule type="cellIs" dxfId="2411" priority="162" stopIfTrue="1" operator="lessThanOrEqual">
      <formula>0</formula>
    </cfRule>
    <cfRule type="cellIs" dxfId="2410" priority="174" stopIfTrue="1" operator="lessThanOrEqual">
      <formula>0</formula>
    </cfRule>
    <cfRule type="cellIs" dxfId="2409" priority="171" stopIfTrue="1" operator="greaterThan">
      <formula>$F$41</formula>
    </cfRule>
    <cfRule type="cellIs" dxfId="2408" priority="172" stopIfTrue="1" operator="lessThanOrEqual">
      <formula>0</formula>
    </cfRule>
    <cfRule type="cellIs" dxfId="2407" priority="173" stopIfTrue="1" operator="greaterThan">
      <formula>$F$39</formula>
    </cfRule>
  </conditionalFormatting>
  <conditionalFormatting sqref="H65:H66">
    <cfRule type="cellIs" dxfId="2406" priority="139" stopIfTrue="1" operator="greaterThan">
      <formula>#REF!</formula>
    </cfRule>
    <cfRule type="cellIs" dxfId="2405" priority="148" stopIfTrue="1" operator="lessThanOrEqual">
      <formula>0</formula>
    </cfRule>
    <cfRule type="cellIs" dxfId="2404" priority="147" stopIfTrue="1" operator="greaterThan">
      <formula>#REF!</formula>
    </cfRule>
    <cfRule type="cellIs" dxfId="2403" priority="138" stopIfTrue="1" operator="lessThanOrEqual">
      <formula>0</formula>
    </cfRule>
  </conditionalFormatting>
  <conditionalFormatting sqref="H81 H83:H89">
    <cfRule type="cellIs" dxfId="2402" priority="197" stopIfTrue="1" operator="greaterThan">
      <formula>4.5</formula>
    </cfRule>
    <cfRule type="cellIs" dxfId="2401" priority="198" stopIfTrue="1" operator="lessThanOrEqual">
      <formula>0</formula>
    </cfRule>
  </conditionalFormatting>
  <conditionalFormatting sqref="H57:I57">
    <cfRule type="cellIs" dxfId="2400" priority="77" stopIfTrue="1" operator="lessThanOrEqual">
      <formula>0</formula>
    </cfRule>
  </conditionalFormatting>
  <conditionalFormatting sqref="H57:I58 H60:I61">
    <cfRule type="cellIs" dxfId="2399" priority="74" stopIfTrue="1" operator="greaterThan">
      <formula>$F$72</formula>
    </cfRule>
  </conditionalFormatting>
  <conditionalFormatting sqref="H58:I58">
    <cfRule type="cellIs" dxfId="2398" priority="103" stopIfTrue="1" operator="lessThanOrEqual">
      <formula>0</formula>
    </cfRule>
  </conditionalFormatting>
  <conditionalFormatting sqref="H59:I59">
    <cfRule type="cellIs" dxfId="2397" priority="41" stopIfTrue="1" operator="greaterThan">
      <formula>$F$74</formula>
    </cfRule>
    <cfRule type="cellIs" dxfId="2396" priority="44" stopIfTrue="1" operator="lessThanOrEqual">
      <formula>0</formula>
    </cfRule>
  </conditionalFormatting>
  <conditionalFormatting sqref="H60:I61">
    <cfRule type="cellIs" dxfId="2395" priority="116" stopIfTrue="1" operator="lessThanOrEqual">
      <formula>0</formula>
    </cfRule>
  </conditionalFormatting>
  <conditionalFormatting sqref="H62:I63">
    <cfRule type="cellIs" dxfId="2394" priority="157" stopIfTrue="1" operator="greaterThan">
      <formula>#REF!</formula>
    </cfRule>
    <cfRule type="cellIs" dxfId="2393" priority="152" stopIfTrue="1" operator="lessThanOrEqual">
      <formula>0</formula>
    </cfRule>
    <cfRule type="cellIs" dxfId="2392" priority="149" stopIfTrue="1" operator="greaterThan">
      <formula>#REF!</formula>
    </cfRule>
    <cfRule type="cellIs" dxfId="2391" priority="158" stopIfTrue="1" operator="lessThanOrEqual">
      <formula>0</formula>
    </cfRule>
  </conditionalFormatting>
  <conditionalFormatting sqref="H64:I64">
    <cfRule type="cellIs" dxfId="2390" priority="161" stopIfTrue="1" operator="greaterThan">
      <formula>$F$40</formula>
    </cfRule>
    <cfRule type="cellIs" dxfId="2389" priority="164" stopIfTrue="1" operator="lessThanOrEqual">
      <formula>0</formula>
    </cfRule>
  </conditionalFormatting>
  <conditionalFormatting sqref="H65:I66">
    <cfRule type="cellIs" dxfId="2388" priority="137" stopIfTrue="1" operator="greaterThan">
      <formula>#REF!</formula>
    </cfRule>
    <cfRule type="cellIs" dxfId="2387" priority="145" stopIfTrue="1" operator="greaterThan">
      <formula>#REF!</formula>
    </cfRule>
    <cfRule type="cellIs" dxfId="2386" priority="146" stopIfTrue="1" operator="lessThanOrEqual">
      <formula>0</formula>
    </cfRule>
    <cfRule type="cellIs" dxfId="2385" priority="140" stopIfTrue="1" operator="lessThanOrEqual">
      <formula>0</formula>
    </cfRule>
  </conditionalFormatting>
  <conditionalFormatting sqref="H70:I77">
    <cfRule type="cellIs" dxfId="2384" priority="59" stopIfTrue="1" operator="greaterThan">
      <formula>$J70</formula>
    </cfRule>
    <cfRule type="cellIs" dxfId="2383" priority="60" stopIfTrue="1" operator="lessThanOrEqual">
      <formula>0</formula>
    </cfRule>
  </conditionalFormatting>
  <conditionalFormatting sqref="H78:I78">
    <cfRule type="cellIs" dxfId="2382" priority="67" operator="greaterThan">
      <formula>5.3</formula>
    </cfRule>
  </conditionalFormatting>
  <conditionalFormatting sqref="H79:I79">
    <cfRule type="cellIs" dxfId="2381" priority="65" stopIfTrue="1" operator="greaterThan">
      <formula>$J79</formula>
    </cfRule>
    <cfRule type="cellIs" dxfId="2380" priority="66" stopIfTrue="1" operator="lessThanOrEqual">
      <formula>0</formula>
    </cfRule>
  </conditionalFormatting>
  <conditionalFormatting sqref="I57">
    <cfRule type="cellIs" dxfId="2379" priority="78" stopIfTrue="1" operator="greaterThan">
      <formula>$F$70</formula>
    </cfRule>
    <cfRule type="cellIs" dxfId="2378" priority="81" stopIfTrue="1" operator="lessThanOrEqual">
      <formula>0</formula>
    </cfRule>
    <cfRule type="cellIs" dxfId="2377" priority="83" stopIfTrue="1" operator="lessThanOrEqual">
      <formula>0</formula>
    </cfRule>
    <cfRule type="cellIs" dxfId="2376" priority="82" stopIfTrue="1" operator="greaterThan">
      <formula>$F$70</formula>
    </cfRule>
    <cfRule type="cellIs" dxfId="2375" priority="80" stopIfTrue="1" operator="greaterThan">
      <formula>$F$72</formula>
    </cfRule>
    <cfRule type="cellIs" dxfId="2374" priority="79" stopIfTrue="1" operator="lessThanOrEqual">
      <formula>0</formula>
    </cfRule>
  </conditionalFormatting>
  <conditionalFormatting sqref="I58">
    <cfRule type="cellIs" dxfId="2373" priority="105" stopIfTrue="1" operator="lessThanOrEqual">
      <formula>0</formula>
    </cfRule>
    <cfRule type="cellIs" dxfId="2372" priority="104" stopIfTrue="1" operator="greaterThan">
      <formula>$F$70</formula>
    </cfRule>
    <cfRule type="cellIs" dxfId="2371" priority="106" stopIfTrue="1" operator="greaterThan">
      <formula>$F$72</formula>
    </cfRule>
    <cfRule type="cellIs" dxfId="2370" priority="109" stopIfTrue="1" operator="lessThanOrEqual">
      <formula>0</formula>
    </cfRule>
    <cfRule type="cellIs" dxfId="2369" priority="108" stopIfTrue="1" operator="greaterThan">
      <formula>$F$70</formula>
    </cfRule>
    <cfRule type="cellIs" dxfId="2368" priority="107" stopIfTrue="1" operator="lessThanOrEqual">
      <formula>0</formula>
    </cfRule>
  </conditionalFormatting>
  <conditionalFormatting sqref="I59">
    <cfRule type="cellIs" dxfId="2367" priority="50" stopIfTrue="1" operator="lessThanOrEqual">
      <formula>0</formula>
    </cfRule>
    <cfRule type="cellIs" dxfId="2366" priority="48" stopIfTrue="1" operator="lessThanOrEqual">
      <formula>0</formula>
    </cfRule>
    <cfRule type="cellIs" dxfId="2365" priority="45" stopIfTrue="1" operator="greaterThan">
      <formula>$F$72</formula>
    </cfRule>
    <cfRule type="cellIs" dxfId="2364" priority="46" stopIfTrue="1" operator="lessThanOrEqual">
      <formula>0</formula>
    </cfRule>
    <cfRule type="cellIs" dxfId="2363" priority="47" stopIfTrue="1" operator="greaterThan">
      <formula>$F$74</formula>
    </cfRule>
    <cfRule type="cellIs" dxfId="2362" priority="49" stopIfTrue="1" operator="greaterThan">
      <formula>$F$72</formula>
    </cfRule>
  </conditionalFormatting>
  <conditionalFormatting sqref="I60:I61">
    <cfRule type="cellIs" dxfId="2361" priority="119" stopIfTrue="1" operator="greaterThan">
      <formula>$F$72</formula>
    </cfRule>
    <cfRule type="cellIs" dxfId="2360" priority="118" stopIfTrue="1" operator="lessThanOrEqual">
      <formula>0</formula>
    </cfRule>
    <cfRule type="cellIs" dxfId="2359" priority="117" stopIfTrue="1" operator="greaterThan">
      <formula>$F$70</formula>
    </cfRule>
    <cfRule type="cellIs" dxfId="2358" priority="120" stopIfTrue="1" operator="lessThanOrEqual">
      <formula>0</formula>
    </cfRule>
    <cfRule type="cellIs" dxfId="2357" priority="122" stopIfTrue="1" operator="lessThanOrEqual">
      <formula>0</formula>
    </cfRule>
    <cfRule type="cellIs" dxfId="2356" priority="121" stopIfTrue="1" operator="greaterThan">
      <formula>$F$70</formula>
    </cfRule>
  </conditionalFormatting>
  <conditionalFormatting sqref="I62:I63">
    <cfRule type="cellIs" dxfId="2355" priority="156" stopIfTrue="1" operator="lessThanOrEqual">
      <formula>0</formula>
    </cfRule>
    <cfRule type="cellIs" dxfId="2354" priority="155" stopIfTrue="1" operator="greaterThan">
      <formula>#REF!</formula>
    </cfRule>
    <cfRule type="cellIs" dxfId="2353" priority="153" stopIfTrue="1" operator="greaterThan">
      <formula>#REF!</formula>
    </cfRule>
    <cfRule type="cellIs" dxfId="2352" priority="154" stopIfTrue="1" operator="lessThanOrEqual">
      <formula>0</formula>
    </cfRule>
  </conditionalFormatting>
  <conditionalFormatting sqref="I64">
    <cfRule type="cellIs" dxfId="2351" priority="165" stopIfTrue="1" operator="greaterThan">
      <formula>$F$38</formula>
    </cfRule>
    <cfRule type="cellIs" dxfId="2350" priority="166" stopIfTrue="1" operator="lessThanOrEqual">
      <formula>0</formula>
    </cfRule>
    <cfRule type="cellIs" dxfId="2349" priority="167" stopIfTrue="1" operator="greaterThan">
      <formula>$F$40</formula>
    </cfRule>
    <cfRule type="cellIs" dxfId="2348" priority="168" stopIfTrue="1" operator="lessThanOrEqual">
      <formula>0</formula>
    </cfRule>
    <cfRule type="cellIs" dxfId="2347" priority="169" stopIfTrue="1" operator="greaterThan">
      <formula>$F$38</formula>
    </cfRule>
    <cfRule type="cellIs" dxfId="2346" priority="170" stopIfTrue="1" operator="lessThanOrEqual">
      <formula>0</formula>
    </cfRule>
  </conditionalFormatting>
  <conditionalFormatting sqref="I65:I66">
    <cfRule type="cellIs" dxfId="2345" priority="144" stopIfTrue="1" operator="lessThanOrEqual">
      <formula>0</formula>
    </cfRule>
    <cfRule type="cellIs" dxfId="2344" priority="142" stopIfTrue="1" operator="lessThanOrEqual">
      <formula>0</formula>
    </cfRule>
    <cfRule type="cellIs" dxfId="2343" priority="141" stopIfTrue="1" operator="greaterThan">
      <formula>#REF!</formula>
    </cfRule>
    <cfRule type="cellIs" dxfId="2342" priority="143" stopIfTrue="1" operator="greaterThan">
      <formula>#REF!</formula>
    </cfRule>
  </conditionalFormatting>
  <conditionalFormatting sqref="I81:I89">
    <cfRule type="cellIs" dxfId="2341" priority="194" stopIfTrue="1" operator="lessThanOrEqual">
      <formula>0</formula>
    </cfRule>
    <cfRule type="cellIs" dxfId="2340" priority="193" stopIfTrue="1" operator="greaterThan">
      <formula>4.5</formula>
    </cfRule>
  </conditionalFormatting>
  <conditionalFormatting sqref="I10:J25">
    <cfRule type="cellIs" dxfId="2339" priority="1" operator="lessThan">
      <formula>97.9</formula>
    </cfRule>
  </conditionalFormatting>
  <conditionalFormatting sqref="J28:J30">
    <cfRule type="cellIs" dxfId="2338" priority="40" operator="lessThan">
      <formula>97.95</formula>
    </cfRule>
  </conditionalFormatting>
  <conditionalFormatting sqref="J29:J32">
    <cfRule type="cellIs" dxfId="2337" priority="175" operator="lessThan">
      <formula>97.4</formula>
    </cfRule>
  </conditionalFormatting>
  <conditionalFormatting sqref="J33:J34">
    <cfRule type="cellIs" dxfId="2336" priority="176" operator="lessThan">
      <formula>98</formula>
    </cfRule>
  </conditionalFormatting>
  <conditionalFormatting sqref="J35:J36">
    <cfRule type="cellIs" dxfId="2335" priority="178" stopIfTrue="1" operator="greaterThan">
      <formula>100</formula>
    </cfRule>
    <cfRule type="cellIs" dxfId="2334" priority="177" stopIfTrue="1" operator="lessThan">
      <formula>96.8</formula>
    </cfRule>
  </conditionalFormatting>
  <conditionalFormatting sqref="J35:J37">
    <cfRule type="cellIs" dxfId="2333" priority="179" operator="lessThan">
      <formula>98</formula>
    </cfRule>
  </conditionalFormatting>
  <conditionalFormatting sqref="J66">
    <cfRule type="cellIs" dxfId="2332" priority="129" stopIfTrue="1" operator="greaterThan">
      <formula>#REF!</formula>
    </cfRule>
    <cfRule type="cellIs" dxfId="2331" priority="130" stopIfTrue="1" operator="lessThanOrEqual">
      <formula>0</formula>
    </cfRule>
    <cfRule type="cellIs" dxfId="2330" priority="131" stopIfTrue="1" operator="greaterThan">
      <formula>#REF!</formula>
    </cfRule>
    <cfRule type="cellIs" dxfId="2329" priority="136" stopIfTrue="1" operator="lessThanOrEqual">
      <formula>0</formula>
    </cfRule>
    <cfRule type="cellIs" dxfId="2328" priority="135" stopIfTrue="1" operator="greaterThan">
      <formula>#REF!</formula>
    </cfRule>
    <cfRule type="cellIs" dxfId="2327" priority="132" stopIfTrue="1" operator="lessThanOrEqual">
      <formula>0</formula>
    </cfRule>
    <cfRule type="cellIs" dxfId="2326" priority="134" stopIfTrue="1" operator="lessThanOrEqual">
      <formula>0</formula>
    </cfRule>
    <cfRule type="cellIs" dxfId="2325" priority="133" stopIfTrue="1" operator="greaterThan">
      <formula>#REF!</formula>
    </cfRule>
  </conditionalFormatting>
  <conditionalFormatting sqref="J79">
    <cfRule type="cellIs" dxfId="2324" priority="69" stopIfTrue="1" operator="lessThanOrEqual">
      <formula>0</formula>
    </cfRule>
    <cfRule type="cellIs" dxfId="2323" priority="68" stopIfTrue="1" operator="greaterThan">
      <formula>$F79</formula>
    </cfRule>
  </conditionalFormatting>
  <conditionalFormatting sqref="K10:K25">
    <cfRule type="cellIs" dxfId="2322" priority="4" operator="greaterThan">
      <formula>6.4</formula>
    </cfRule>
    <cfRule type="cellIs" dxfId="2321" priority="3" operator="lessThan">
      <formula>4</formula>
    </cfRule>
    <cfRule type="cellIs" dxfId="2320" priority="2" operator="greaterThan">
      <formula>6</formula>
    </cfRule>
  </conditionalFormatting>
  <conditionalFormatting sqref="K57:K66">
    <cfRule type="cellIs" dxfId="2319" priority="114" stopIfTrue="1" operator="lessThan">
      <formula>100%</formula>
    </cfRule>
  </conditionalFormatting>
  <conditionalFormatting sqref="K70:K78">
    <cfRule type="cellIs" dxfId="2318" priority="58" stopIfTrue="1" operator="lessThan">
      <formula>100%</formula>
    </cfRule>
  </conditionalFormatting>
  <conditionalFormatting sqref="K81:K86">
    <cfRule type="cellIs" dxfId="2317" priority="199" stopIfTrue="1" operator="lessThan">
      <formula>100%</formula>
    </cfRule>
  </conditionalFormatting>
  <conditionalFormatting sqref="K88:K89">
    <cfRule type="cellIs" dxfId="2316" priority="206" stopIfTrue="1" operator="lessThan">
      <formula>100%</formula>
    </cfRule>
  </conditionalFormatting>
  <conditionalFormatting sqref="L10:L25">
    <cfRule type="cellIs" dxfId="2315" priority="6" operator="greaterThan">
      <formula>65</formula>
    </cfRule>
    <cfRule type="cellIs" dxfId="2314" priority="5" operator="between">
      <formula>61</formula>
      <formula>65</formula>
    </cfRule>
  </conditionalFormatting>
  <conditionalFormatting sqref="L28:M39">
    <cfRule type="cellIs" dxfId="2313" priority="39" operator="lessThan">
      <formula>97.95</formula>
    </cfRule>
  </conditionalFormatting>
  <conditionalFormatting sqref="L43:N43">
    <cfRule type="cellIs" dxfId="2312" priority="37" operator="notEqual">
      <formula>#REF!</formula>
    </cfRule>
  </conditionalFormatting>
  <conditionalFormatting sqref="L70:N79">
    <cfRule type="cellIs" dxfId="2311" priority="55" stopIfTrue="1" operator="lessThan">
      <formula>100%</formula>
    </cfRule>
  </conditionalFormatting>
  <conditionalFormatting sqref="L81:N89">
    <cfRule type="cellIs" dxfId="2310" priority="184" stopIfTrue="1" operator="lessThan">
      <formula>100%</formula>
    </cfRule>
  </conditionalFormatting>
  <conditionalFormatting sqref="M25">
    <cfRule type="expression" dxfId="2309" priority="34">
      <formula>IF(+(IF(M25&lt;U25,0,IF(M25&gt;V25,0,1)))=0,1)</formula>
    </cfRule>
  </conditionalFormatting>
  <conditionalFormatting sqref="M10:N24 G13:H18">
    <cfRule type="expression" dxfId="2308" priority="9">
      <formula>IF(+(IF(G10&lt;#REF!,0,IF(G10&gt;#REF!,0,1)))=0,1)</formula>
    </cfRule>
  </conditionalFormatting>
  <conditionalFormatting sqref="N10:N25">
    <cfRule type="expression" dxfId="2307" priority="10">
      <formula>IF(+(IF(N10&lt;W10,0,IF(N10&gt;X10,0,1)))=0,1)</formula>
    </cfRule>
  </conditionalFormatting>
  <conditionalFormatting sqref="P6">
    <cfRule type="cellIs" dxfId="2306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[30]Brewhouse!$A794</f>
        <v>CA744</v>
      </c>
      <c r="D10" s="279">
        <f>[30]Brewhouse!$AF794</f>
        <v>50.5</v>
      </c>
      <c r="E10" s="279">
        <f>[30]Brewhouse!$AI794</f>
        <v>51.1</v>
      </c>
      <c r="F10" s="278">
        <f>[30]Brewhouse!$V794</f>
        <v>64</v>
      </c>
      <c r="G10" s="279">
        <f>[30]Brewhouse!AG794</f>
        <v>11.7</v>
      </c>
      <c r="H10" s="396">
        <v>11.8</v>
      </c>
      <c r="I10" s="368">
        <f>[30]Brewhouse!$AU794</f>
        <v>99.322178612780704</v>
      </c>
      <c r="J10" s="368">
        <f>[30]Brewhouse!$AV794</f>
        <v>100.09199803047697</v>
      </c>
      <c r="K10" s="281">
        <f>[30]Brewhouse!$Q794</f>
        <v>10.203327171903888</v>
      </c>
      <c r="L10" s="276">
        <f>[30]Brewhouse!$P794</f>
        <v>59</v>
      </c>
      <c r="M10" s="374">
        <f>[30]Brewhouse!$U794-[30]Brewhouse!$T794</f>
        <v>0.1166666666666667</v>
      </c>
      <c r="N10" s="370">
        <f>[30]Brewhouse!$Z794</f>
        <v>0.24722222222222223</v>
      </c>
      <c r="O10" s="419" t="str">
        <f>[30]Brewhouse!$AX794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[30]Brewhouse!$A795</f>
        <v>CA745</v>
      </c>
      <c r="D11" s="279">
        <f>[30]Brewhouse!$AF795</f>
        <v>49.7</v>
      </c>
      <c r="E11" s="279">
        <f>[30]Brewhouse!$AI795</f>
        <v>50.3</v>
      </c>
      <c r="F11" s="278">
        <f>[30]Brewhouse!$V795</f>
        <v>59</v>
      </c>
      <c r="G11" s="279">
        <f>[30]Brewhouse!AG795</f>
        <v>11.6</v>
      </c>
      <c r="H11" s="490">
        <v>12.1</v>
      </c>
      <c r="I11" s="368">
        <f>[30]Brewhouse!$AU795</f>
        <v>96.647863753507224</v>
      </c>
      <c r="J11" s="368">
        <f>[30]Brewhouse!$AV795</f>
        <v>97.39705384664137</v>
      </c>
      <c r="K11" s="281">
        <f>[30]Brewhouse!$Q795</f>
        <v>10.203327171903888</v>
      </c>
      <c r="L11" s="276">
        <f>[30]Brewhouse!$P795</f>
        <v>59</v>
      </c>
      <c r="M11" s="374">
        <f>[30]Brewhouse!$U795-[30]Brewhouse!$T795</f>
        <v>0.11458333333333331</v>
      </c>
      <c r="N11" s="370">
        <f>[30]Brewhouse!$Z795</f>
        <v>0.25208333333333333</v>
      </c>
      <c r="O11" s="419" t="str">
        <f>[30]Brewhouse!$AX795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[30]Brewhouse!$A796</f>
        <v>CA746</v>
      </c>
      <c r="D12" s="279">
        <f>[30]Brewhouse!$AF796</f>
        <v>49.4</v>
      </c>
      <c r="E12" s="279">
        <f>[30]Brewhouse!$AI796</f>
        <v>49.8</v>
      </c>
      <c r="F12" s="278">
        <f>[30]Brewhouse!$V796</f>
        <v>60</v>
      </c>
      <c r="G12" s="279">
        <f>[30]Brewhouse!AG796</f>
        <v>11.8</v>
      </c>
      <c r="H12" s="396">
        <v>11.8</v>
      </c>
      <c r="I12" s="368">
        <f>[30]Brewhouse!$AU796</f>
        <v>99.393897008473871</v>
      </c>
      <c r="J12" s="368">
        <f>[30]Brewhouse!$AV796</f>
        <v>100.16354837022554</v>
      </c>
      <c r="K12" s="281">
        <f>[30]Brewhouse!$Q796</f>
        <v>10.018484288354902</v>
      </c>
      <c r="L12" s="276">
        <f>[30]Brewhouse!$P796</f>
        <v>58</v>
      </c>
      <c r="M12" s="374">
        <f>[30]Brewhouse!$U796-[30]Brewhouse!$T796</f>
        <v>0.10972222222222222</v>
      </c>
      <c r="N12" s="370">
        <f>[30]Brewhouse!$Z796</f>
        <v>0.25694444444444442</v>
      </c>
      <c r="O12" s="419" t="str">
        <f>[30]Brewhouse!$AX796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61"/>
      <c r="J18" s="561"/>
      <c r="K18" s="561"/>
      <c r="L18" s="561"/>
      <c r="M18" s="561"/>
      <c r="N18" s="561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9" t="s">
        <v>35</v>
      </c>
      <c r="E19" s="540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620"/>
      <c r="C20" s="483"/>
      <c r="D20" s="565"/>
      <c r="E20" s="566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COUNTA([30]Brewhouse!$A$789:$A$796)</f>
        <v>8</v>
      </c>
      <c r="L20" s="305">
        <f>AVERAGE([30]Brewhouse!$AU$789:$AU$796)</f>
        <v>97.852627055566273</v>
      </c>
      <c r="M20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63"/>
      <c r="C21" s="362"/>
      <c r="D21" s="567"/>
      <c r="E21" s="568"/>
      <c r="F21" s="294"/>
      <c r="G21" s="294"/>
      <c r="H21" s="348"/>
      <c r="I21" s="33" t="s">
        <v>9</v>
      </c>
      <c r="J21" s="323"/>
      <c r="K21" s="284">
        <f>COUNTA([29]Brewhouse!$A$390:$A$391)</f>
        <v>2</v>
      </c>
      <c r="L21" s="302">
        <f>AVERAGE([29]Brewhouse!$AS$390:$AS$391)</f>
        <v>99.056946070238752</v>
      </c>
      <c r="M21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63"/>
      <c r="C22" s="362"/>
      <c r="D22" s="616"/>
      <c r="E22" s="617"/>
      <c r="F22" s="294"/>
      <c r="G22" s="294"/>
      <c r="H22" s="348"/>
      <c r="I22" s="34" t="s">
        <v>12</v>
      </c>
      <c r="J22" s="323"/>
      <c r="K22" s="284"/>
      <c r="L22" s="302"/>
      <c r="M22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63"/>
      <c r="C23" s="362"/>
      <c r="D23" s="580"/>
      <c r="E23" s="568"/>
      <c r="F23" s="294"/>
      <c r="G23" s="294"/>
      <c r="H23" s="348"/>
      <c r="I23" s="22" t="s">
        <v>33</v>
      </c>
      <c r="J23" s="280"/>
      <c r="K23" s="284"/>
      <c r="L23" s="302"/>
      <c r="M23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63"/>
      <c r="C24" s="362"/>
      <c r="D24" s="616"/>
      <c r="E24" s="617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3"/>
      <c r="C25" s="362"/>
      <c r="D25" s="580"/>
      <c r="E25" s="568"/>
      <c r="F25" s="416"/>
      <c r="G25" s="294"/>
      <c r="H25" s="348"/>
      <c r="I25" s="36" t="s">
        <v>15</v>
      </c>
      <c r="J25" s="323"/>
      <c r="K25" s="284"/>
      <c r="L25" s="302"/>
      <c r="M25" s="302">
        <f>AVERAGE([33]Brewhouse!$AT$4:$AT$11,[33]Brewhouse!$AT$13:$AT$16,[33]Brewhouse!$AT$18:$AT$30)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3"/>
      <c r="C26" s="362"/>
      <c r="D26" s="616"/>
      <c r="E26" s="617"/>
      <c r="F26" s="416"/>
      <c r="G26" s="294"/>
      <c r="H26" s="348"/>
      <c r="I26" s="37" t="s">
        <v>16</v>
      </c>
      <c r="J26" s="323"/>
      <c r="K26" s="284"/>
      <c r="L26" s="302"/>
      <c r="M26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3"/>
      <c r="C27" s="362"/>
      <c r="D27" s="580"/>
      <c r="E27" s="568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3"/>
      <c r="C28" s="362"/>
      <c r="D28" s="616"/>
      <c r="E28" s="617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63"/>
      <c r="C29" s="362"/>
      <c r="D29" s="580"/>
      <c r="E29" s="568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63"/>
      <c r="C30" s="349"/>
      <c r="D30" s="565"/>
      <c r="E30" s="566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AVERAGE('[35]Jan30th-31st'!$L$42,'[36]Feb 27th-28th'!$L$45,'[37]Mar 31st'!$L$42,'[38]Apr 30th'!$L$41,'[39]May 29th '!$L$35,'[40]June 30th'!$L$32,[41]July31st!$L$36,'[42]Aug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621"/>
      <c r="C31" s="350"/>
      <c r="D31" s="567"/>
      <c r="E31" s="568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612"/>
      <c r="C32" s="362"/>
      <c r="D32" s="565"/>
      <c r="E32" s="566"/>
      <c r="F32" s="294"/>
      <c r="G32" s="42"/>
      <c r="H32" s="41"/>
      <c r="I32" s="42"/>
      <c r="J32" s="615" t="s">
        <v>129</v>
      </c>
      <c r="K32" s="615"/>
      <c r="L32" s="294"/>
      <c r="M32" s="294"/>
      <c r="N32" s="294"/>
      <c r="O32" s="294"/>
      <c r="P32" s="12"/>
    </row>
    <row r="33" spans="2:56" ht="15.75" thickBot="1">
      <c r="B33" s="613"/>
      <c r="C33" s="362"/>
      <c r="D33" s="567"/>
      <c r="E33" s="568"/>
      <c r="F33" s="294"/>
      <c r="G33" s="42"/>
      <c r="H33" s="42"/>
      <c r="I33" s="42"/>
      <c r="J33" s="292" t="s">
        <v>17</v>
      </c>
      <c r="K33" s="293"/>
      <c r="L33" s="582" t="s">
        <v>136</v>
      </c>
      <c r="M33" s="582"/>
      <c r="N33" s="583"/>
      <c r="O33" s="294"/>
      <c r="P33" s="12"/>
    </row>
    <row r="34" spans="2:56" ht="15" customHeight="1" thickBot="1">
      <c r="B34" s="613"/>
      <c r="C34" s="349"/>
      <c r="D34" s="616"/>
      <c r="E34" s="617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613"/>
      <c r="C35" s="349"/>
      <c r="D35" s="580"/>
      <c r="E35" s="568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AVERAGE('[35]Jan30th-31st'!$L$47,L35,'[36]Feb 26th '!$L$39,'[37]Mar 31st'!$L$47,'[38]Apr 30th'!$L$46,'[39]May 29th '!$L$40,'[40]June 30th'!$L$39,[41]July31st!$L$41,'[42]Aug 31st'!$L$37,'[43]Sept 30th'!$L$37)</f>
        <v>6.3735341470124078</v>
      </c>
      <c r="N35" s="415">
        <v>9.1999999999999993</v>
      </c>
      <c r="O35" s="294"/>
      <c r="P35" s="12"/>
    </row>
    <row r="36" spans="2:56" ht="15" customHeight="1">
      <c r="B36" s="613"/>
      <c r="C36" s="349"/>
      <c r="D36" s="616"/>
      <c r="E36" s="617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613"/>
      <c r="C37" s="349"/>
      <c r="D37" s="580"/>
      <c r="E37" s="568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613"/>
      <c r="C38" s="349"/>
      <c r="D38" s="616"/>
      <c r="E38" s="617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613"/>
      <c r="C39" s="349"/>
      <c r="D39" s="580"/>
      <c r="E39" s="568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613"/>
      <c r="C40" s="349"/>
      <c r="D40" s="616"/>
      <c r="E40" s="617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614"/>
      <c r="C41" s="350"/>
      <c r="D41" s="618"/>
      <c r="E41" s="619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610"/>
      <c r="E42" s="611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90" t="s">
        <v>17</v>
      </c>
      <c r="C47" s="590" t="s">
        <v>44</v>
      </c>
      <c r="D47" s="592" t="s">
        <v>45</v>
      </c>
      <c r="E47" s="547" t="s">
        <v>46</v>
      </c>
      <c r="F47" s="607" t="s">
        <v>47</v>
      </c>
      <c r="G47" s="601" t="s">
        <v>48</v>
      </c>
      <c r="H47" s="590" t="s">
        <v>49</v>
      </c>
      <c r="I47" s="590" t="s">
        <v>50</v>
      </c>
      <c r="J47" s="595" t="s">
        <v>28</v>
      </c>
      <c r="K47" s="545" t="s">
        <v>51</v>
      </c>
      <c r="L47" s="557" t="s">
        <v>52</v>
      </c>
      <c r="M47" s="595" t="s">
        <v>53</v>
      </c>
      <c r="N47" s="13"/>
      <c r="O47" s="13"/>
      <c r="P47" s="50"/>
    </row>
    <row r="48" spans="2:56" ht="28.5" customHeight="1" thickTop="1" thickBot="1">
      <c r="B48" s="609"/>
      <c r="C48" s="591"/>
      <c r="D48" s="593"/>
      <c r="E48" s="594"/>
      <c r="F48" s="608"/>
      <c r="G48" s="602"/>
      <c r="H48" s="609"/>
      <c r="I48" s="609"/>
      <c r="J48" s="596"/>
      <c r="K48" s="605"/>
      <c r="L48" s="606"/>
      <c r="M48" s="596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[8]October_2026!$E$3</f>
        <v>178.8</v>
      </c>
      <c r="E49" s="442"/>
      <c r="F49" s="443"/>
      <c r="G49" s="443">
        <f>[8]October_2026!$E$7</f>
        <v>172.9</v>
      </c>
      <c r="H49" s="457"/>
      <c r="I49" s="457"/>
      <c r="J49" s="447" t="s">
        <v>150</v>
      </c>
      <c r="K49" s="448">
        <f>[9]October_2026!$E$18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[27]January_2019!L5</f>
        <v>0</v>
      </c>
      <c r="AC49" s="57">
        <f>[27]January_2019!M5</f>
        <v>0</v>
      </c>
      <c r="AD49" s="57">
        <f>[27]January_2019!N5</f>
        <v>0</v>
      </c>
      <c r="AE49" s="57">
        <f>[27]January_2019!O5</f>
        <v>0</v>
      </c>
      <c r="AF49" s="57">
        <f>[27]January_2019!P5</f>
        <v>0</v>
      </c>
      <c r="AG49" s="57">
        <f>[27]January_2019!Q5</f>
        <v>0</v>
      </c>
      <c r="AH49" s="57">
        <f>[27]January_2019!R5</f>
        <v>0</v>
      </c>
      <c r="AI49" s="57">
        <f>[27]January_2019!S5</f>
        <v>0</v>
      </c>
      <c r="AJ49" s="57">
        <f>[27]January_2019!T5</f>
        <v>0</v>
      </c>
      <c r="AK49" s="57">
        <f>[27]January_2019!U5</f>
        <v>0</v>
      </c>
      <c r="AL49" s="57">
        <f>[27]January_2019!V5</f>
        <v>0</v>
      </c>
      <c r="AM49" s="57">
        <f>[27]January_2019!W5</f>
        <v>0</v>
      </c>
      <c r="AN49" s="57">
        <f>[27]January_2019!X5</f>
        <v>0</v>
      </c>
      <c r="AO49" s="57">
        <f>[27]January_2019!Y5</f>
        <v>0</v>
      </c>
      <c r="AP49" s="57">
        <f>[27]January_2019!Z5</f>
        <v>0</v>
      </c>
      <c r="AQ49" s="57">
        <f>[27]January_2019!AA5</f>
        <v>0</v>
      </c>
      <c r="AR49" s="57">
        <f>[27]January_2019!AB5</f>
        <v>0</v>
      </c>
      <c r="AS49" s="57">
        <f>[27]January_2019!AC5</f>
        <v>0</v>
      </c>
      <c r="AT49" s="57">
        <f>[27]January_2019!AD5</f>
        <v>0</v>
      </c>
      <c r="AU49" s="57">
        <f>[27]January_2019!AE5</f>
        <v>0</v>
      </c>
      <c r="AV49" s="57">
        <f>[27]January_2019!AF5</f>
        <v>0</v>
      </c>
      <c r="AW49" s="57">
        <f>[27]January_2019!AG5</f>
        <v>0</v>
      </c>
      <c r="AX49" s="277">
        <f>[27]January_2019!AH5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[27]January_2019!L6</f>
        <v>0</v>
      </c>
      <c r="AC50" s="57">
        <f>[27]January_2019!M6</f>
        <v>0</v>
      </c>
      <c r="AD50" s="57">
        <f>[27]January_2019!N6</f>
        <v>0</v>
      </c>
      <c r="AE50" s="57">
        <f>[27]January_2019!O6</f>
        <v>0</v>
      </c>
      <c r="AF50" s="57">
        <f>[27]January_2019!P6</f>
        <v>0</v>
      </c>
      <c r="AG50" s="57">
        <f>[27]January_2019!Q6</f>
        <v>0</v>
      </c>
      <c r="AH50" s="57">
        <f>[27]January_2019!R6</f>
        <v>0</v>
      </c>
      <c r="AI50" s="57">
        <f>[27]January_2019!S6</f>
        <v>0</v>
      </c>
      <c r="AJ50" s="57">
        <f>[27]January_2019!T6</f>
        <v>0</v>
      </c>
      <c r="AK50" s="57">
        <f>[27]January_2019!U6</f>
        <v>0</v>
      </c>
      <c r="AL50" s="57">
        <f>[27]January_2019!V6</f>
        <v>0</v>
      </c>
      <c r="AM50" s="57">
        <f>[27]January_2019!W6</f>
        <v>0</v>
      </c>
      <c r="AN50" s="57">
        <f>[27]January_2019!X6</f>
        <v>0</v>
      </c>
      <c r="AO50" s="57">
        <f>[27]January_2019!Y6</f>
        <v>0</v>
      </c>
      <c r="AP50" s="57">
        <f>[27]January_2019!Z6</f>
        <v>0</v>
      </c>
      <c r="AQ50" s="57">
        <f>[27]January_2019!AA6</f>
        <v>0</v>
      </c>
      <c r="AR50" s="57">
        <f>[27]January_2019!AB6</f>
        <v>0</v>
      </c>
      <c r="AS50" s="57">
        <f>[27]January_2019!AC6</f>
        <v>0</v>
      </c>
      <c r="AT50" s="57">
        <f>[27]January_2019!AD6</f>
        <v>0</v>
      </c>
      <c r="AU50" s="57">
        <f>[27]January_2019!AE6</f>
        <v>0</v>
      </c>
      <c r="AV50" s="57">
        <f>[27]January_2019!AF6</f>
        <v>0</v>
      </c>
      <c r="AW50" s="57">
        <f>[27]January_2019!AG6</f>
        <v>0</v>
      </c>
      <c r="AX50" s="277">
        <f>[27]January_2019!AH6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[8]September_2026!$Y$13</f>
        <v>190.70000000000002</v>
      </c>
      <c r="E51" s="442"/>
      <c r="F51" s="443"/>
      <c r="G51" s="443">
        <f>[8]September_2026!$Y$17</f>
        <v>184.3</v>
      </c>
      <c r="H51" s="445"/>
      <c r="I51" s="445"/>
      <c r="J51" s="447" t="s">
        <v>169</v>
      </c>
      <c r="K51" s="448">
        <f>[9]September_2026!$Y$25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[27]January_2019!L7</f>
        <v>285.8</v>
      </c>
      <c r="AC51" s="57">
        <f>[27]January_2019!M7</f>
        <v>508.1</v>
      </c>
      <c r="AD51" s="57">
        <f>[27]January_2019!N7</f>
        <v>0</v>
      </c>
      <c r="AE51" s="57">
        <f>[27]January_2019!O7</f>
        <v>0</v>
      </c>
      <c r="AF51" s="57">
        <f>[27]January_2019!P7</f>
        <v>109.56666666666666</v>
      </c>
      <c r="AG51" s="57">
        <f>[27]January_2019!Q7</f>
        <v>297.64999999999998</v>
      </c>
      <c r="AH51" s="57">
        <f>[27]January_2019!R7</f>
        <v>122.3</v>
      </c>
      <c r="AI51" s="57">
        <f>[27]January_2019!S7</f>
        <v>0</v>
      </c>
      <c r="AJ51" s="57">
        <f>[27]January_2019!T7</f>
        <v>294.7</v>
      </c>
      <c r="AK51" s="57">
        <f>[27]January_2019!U7</f>
        <v>280.5</v>
      </c>
      <c r="AL51" s="57">
        <f>[27]January_2019!V7</f>
        <v>0</v>
      </c>
      <c r="AM51" s="57">
        <f>[27]January_2019!W7</f>
        <v>0</v>
      </c>
      <c r="AN51" s="57">
        <f>[27]January_2019!X7</f>
        <v>188.25</v>
      </c>
      <c r="AO51" s="57">
        <f>[27]January_2019!Y7</f>
        <v>295.7</v>
      </c>
      <c r="AP51" s="57">
        <f>[27]January_2019!Z7</f>
        <v>257.8</v>
      </c>
      <c r="AQ51" s="57">
        <f>[27]January_2019!AA7</f>
        <v>291.2</v>
      </c>
      <c r="AR51" s="57">
        <f>[27]January_2019!AB7</f>
        <v>187</v>
      </c>
      <c r="AS51" s="57">
        <f>[27]January_2019!AC7</f>
        <v>0</v>
      </c>
      <c r="AT51" s="57">
        <f>[27]January_2019!AD7</f>
        <v>0</v>
      </c>
      <c r="AU51" s="57">
        <f>[27]January_2019!AE7</f>
        <v>485.1</v>
      </c>
      <c r="AV51" s="57">
        <f>[27]January_2019!AF7</f>
        <v>171.55</v>
      </c>
      <c r="AW51" s="57">
        <f>[27]January_2019!AG7</f>
        <v>423.8</v>
      </c>
      <c r="AX51" s="277">
        <f>[27]January_2019!AH7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597" t="s">
        <v>55</v>
      </c>
      <c r="C60" s="598"/>
      <c r="D60" s="598"/>
      <c r="E60" s="598"/>
      <c r="F60" s="599"/>
      <c r="G60" s="597" t="s">
        <v>56</v>
      </c>
      <c r="H60" s="598"/>
      <c r="I60" s="598"/>
      <c r="J60" s="599"/>
      <c r="K60" s="597" t="s">
        <v>51</v>
      </c>
      <c r="L60" s="598"/>
      <c r="M60" s="598"/>
      <c r="N60" s="600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  <mergeCell ref="D42:E42"/>
    <mergeCell ref="B47:B48"/>
    <mergeCell ref="C47:C48"/>
    <mergeCell ref="D47:D48"/>
    <mergeCell ref="E47:E48"/>
    <mergeCell ref="B32:B41"/>
    <mergeCell ref="D32:E33"/>
    <mergeCell ref="J32:K32"/>
    <mergeCell ref="L33:N33"/>
    <mergeCell ref="D34:E35"/>
    <mergeCell ref="D36:E37"/>
    <mergeCell ref="D38:E39"/>
    <mergeCell ref="D40:E41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2:B43">
    <cfRule type="cellIs" dxfId="2305" priority="105" operator="notBetween">
      <formula>#REF!</formula>
      <formula>#REF!</formula>
    </cfRule>
  </conditionalFormatting>
  <conditionalFormatting sqref="C46">
    <cfRule type="cellIs" dxfId="2304" priority="188" stopIfTrue="1" operator="greaterThan">
      <formula>100</formula>
    </cfRule>
    <cfRule type="cellIs" dxfId="2303" priority="187" stopIfTrue="1" operator="lessThan">
      <formula>96</formula>
    </cfRule>
  </conditionalFormatting>
  <conditionalFormatting sqref="C62:C63">
    <cfRule type="cellIs" dxfId="2302" priority="69" stopIfTrue="1" operator="lessThanOrEqual">
      <formula>0</formula>
    </cfRule>
    <cfRule type="cellIs" dxfId="2301" priority="68" stopIfTrue="1" operator="greaterThan">
      <formula>$F62</formula>
    </cfRule>
    <cfRule type="cellIs" dxfId="2300" priority="70" stopIfTrue="1" operator="greaterThan">
      <formula>$F62</formula>
    </cfRule>
    <cfRule type="cellIs" dxfId="2299" priority="71" stopIfTrue="1" operator="lessThanOrEqual">
      <formula>0</formula>
    </cfRule>
  </conditionalFormatting>
  <conditionalFormatting sqref="C64:C66 C68:C70">
    <cfRule type="cellIs" dxfId="2298" priority="77" stopIfTrue="1" operator="greaterThan">
      <formula>$F67</formula>
    </cfRule>
  </conditionalFormatting>
  <conditionalFormatting sqref="C64:C66">
    <cfRule type="cellIs" dxfId="2297" priority="78" stopIfTrue="1" operator="lessThanOrEqual">
      <formula>0</formula>
    </cfRule>
  </conditionalFormatting>
  <conditionalFormatting sqref="C67">
    <cfRule type="cellIs" dxfId="2296" priority="191" stopIfTrue="1" operator="greaterThan">
      <formula>$F62</formula>
    </cfRule>
    <cfRule type="cellIs" dxfId="2295" priority="192" stopIfTrue="1" operator="lessThanOrEqual">
      <formula>0</formula>
    </cfRule>
    <cfRule type="cellIs" dxfId="2294" priority="189" stopIfTrue="1" operator="greaterThan">
      <formula>$F62</formula>
    </cfRule>
    <cfRule type="cellIs" dxfId="2293" priority="190" stopIfTrue="1" operator="lessThanOrEqual">
      <formula>0</formula>
    </cfRule>
  </conditionalFormatting>
  <conditionalFormatting sqref="C68:C70">
    <cfRule type="cellIs" dxfId="2292" priority="79" stopIfTrue="1" operator="lessThanOrEqual">
      <formula>0</formula>
    </cfRule>
  </conditionalFormatting>
  <conditionalFormatting sqref="C73:C77">
    <cfRule type="cellIs" dxfId="2291" priority="179" stopIfTrue="1" operator="lessThanOrEqual">
      <formula>0</formula>
    </cfRule>
  </conditionalFormatting>
  <conditionalFormatting sqref="C74:C77">
    <cfRule type="cellIs" dxfId="2290" priority="178" stopIfTrue="1" operator="greaterThan">
      <formula>$F$73</formula>
    </cfRule>
  </conditionalFormatting>
  <conditionalFormatting sqref="C79">
    <cfRule type="cellIs" dxfId="2289" priority="181" stopIfTrue="1" operator="lessThanOrEqual">
      <formula>0</formula>
    </cfRule>
    <cfRule type="cellIs" dxfId="2288" priority="180" stopIfTrue="1" operator="greaterThan">
      <formula>$F$73</formula>
    </cfRule>
  </conditionalFormatting>
  <conditionalFormatting sqref="C67:D67">
    <cfRule type="cellIs" dxfId="2287" priority="66" stopIfTrue="1" operator="greaterThan">
      <formula>$J67</formula>
    </cfRule>
    <cfRule type="cellIs" dxfId="2286" priority="67" stopIfTrue="1" operator="lessThanOrEqual">
      <formula>0</formula>
    </cfRule>
  </conditionalFormatting>
  <conditionalFormatting sqref="C73:D73 D75:D81">
    <cfRule type="cellIs" dxfId="2285" priority="173" stopIfTrue="1" operator="greaterThan">
      <formula>4.5</formula>
    </cfRule>
  </conditionalFormatting>
  <conditionalFormatting sqref="D42:D43">
    <cfRule type="cellIs" dxfId="2284" priority="106" operator="notBetween">
      <formula>#REF!</formula>
      <formula>#REF!</formula>
    </cfRule>
  </conditionalFormatting>
  <conditionalFormatting sqref="D62:D66 D68:D69">
    <cfRule type="cellIs" dxfId="2283" priority="76" stopIfTrue="1" operator="lessThanOrEqual">
      <formula>0</formula>
    </cfRule>
  </conditionalFormatting>
  <conditionalFormatting sqref="D62:D66 D68:D71">
    <cfRule type="cellIs" dxfId="2282" priority="72" stopIfTrue="1" operator="lessThanOrEqual">
      <formula>0</formula>
    </cfRule>
    <cfRule type="cellIs" dxfId="2281" priority="73" stopIfTrue="1" operator="greaterThan">
      <formula>$F62</formula>
    </cfRule>
  </conditionalFormatting>
  <conditionalFormatting sqref="D70:D71">
    <cfRule type="cellIs" dxfId="2280" priority="74" stopIfTrue="1" operator="lessThanOrEqual">
      <formula>0</formula>
    </cfRule>
  </conditionalFormatting>
  <conditionalFormatting sqref="D71">
    <cfRule type="cellIs" dxfId="2279" priority="75" stopIfTrue="1" operator="lessThanOrEqual">
      <formula>0</formula>
    </cfRule>
  </conditionalFormatting>
  <conditionalFormatting sqref="D73 D75:D81">
    <cfRule type="cellIs" dxfId="2278" priority="174" stopIfTrue="1" operator="lessThanOrEqual">
      <formula>0</formula>
    </cfRule>
  </conditionalFormatting>
  <conditionalFormatting sqref="D74">
    <cfRule type="cellIs" dxfId="2277" priority="165" stopIfTrue="1" operator="greaterThan">
      <formula>$F$73</formula>
    </cfRule>
    <cfRule type="cellIs" dxfId="2276" priority="166" stopIfTrue="1" operator="lessThanOrEqual">
      <formula>0</formula>
    </cfRule>
  </conditionalFormatting>
  <conditionalFormatting sqref="E10:E17">
    <cfRule type="cellIs" dxfId="2275" priority="8" operator="lessThan">
      <formula>48</formula>
    </cfRule>
  </conditionalFormatting>
  <conditionalFormatting sqref="E45 E46:F46">
    <cfRule type="cellIs" dxfId="2274" priority="170" stopIfTrue="1" operator="greaterThan">
      <formula>100</formula>
    </cfRule>
  </conditionalFormatting>
  <conditionalFormatting sqref="E46">
    <cfRule type="cellIs" dxfId="2273" priority="168" stopIfTrue="1" operator="greaterThan">
      <formula>100</formula>
    </cfRule>
    <cfRule type="cellIs" dxfId="2272" priority="167" stopIfTrue="1" operator="lessThan">
      <formula>96.8</formula>
    </cfRule>
  </conditionalFormatting>
  <conditionalFormatting sqref="E62:E70">
    <cfRule type="cellIs" dxfId="2271" priority="39" stopIfTrue="1" operator="lessThanOrEqual">
      <formula>0</formula>
    </cfRule>
  </conditionalFormatting>
  <conditionalFormatting sqref="E62:E71">
    <cfRule type="cellIs" dxfId="2270" priority="40" stopIfTrue="1" operator="greaterThan">
      <formula>$F62</formula>
    </cfRule>
    <cfRule type="cellIs" dxfId="2269" priority="41" stopIfTrue="1" operator="lessThanOrEqual">
      <formula>0</formula>
    </cfRule>
  </conditionalFormatting>
  <conditionalFormatting sqref="E71">
    <cfRule type="cellIs" dxfId="2268" priority="42" stopIfTrue="1" operator="lessThanOrEqual">
      <formula>0</formula>
    </cfRule>
  </conditionalFormatting>
  <conditionalFormatting sqref="E73:E81">
    <cfRule type="cellIs" dxfId="2267" priority="160" stopIfTrue="1" operator="lessThanOrEqual">
      <formula>0</formula>
    </cfRule>
    <cfRule type="cellIs" dxfId="2266" priority="159" stopIfTrue="1" operator="greaterThan">
      <formula>4.5</formula>
    </cfRule>
  </conditionalFormatting>
  <conditionalFormatting sqref="E46:F46 E45">
    <cfRule type="cellIs" dxfId="2265" priority="169" stopIfTrue="1" operator="lessThan">
      <formula>96.5</formula>
    </cfRule>
  </conditionalFormatting>
  <conditionalFormatting sqref="F10:F17">
    <cfRule type="cellIs" dxfId="2264" priority="9" operator="greaterThan">
      <formula>60</formula>
    </cfRule>
  </conditionalFormatting>
  <conditionalFormatting sqref="F46">
    <cfRule type="cellIs" dxfId="2263" priority="185" stopIfTrue="1" operator="lessThan">
      <formula>96.8</formula>
    </cfRule>
    <cfRule type="cellIs" dxfId="2262" priority="186" stopIfTrue="1" operator="greaterThan">
      <formula>100</formula>
    </cfRule>
  </conditionalFormatting>
  <conditionalFormatting sqref="G10:G12">
    <cfRule type="expression" dxfId="2261" priority="10">
      <formula>IF(+(IF(G10&lt;#REF!,0,IF(G10&gt;#REF!,0,1)))=0,1)</formula>
    </cfRule>
  </conditionalFormatting>
  <conditionalFormatting sqref="G17">
    <cfRule type="expression" dxfId="2260" priority="14">
      <formula>IF(+(IF(G17&lt;S17,0,IF(G17&gt;T17,0,1)))=0,1)</formula>
    </cfRule>
  </conditionalFormatting>
  <conditionalFormatting sqref="G62:G65 F71">
    <cfRule type="cellIs" dxfId="2259" priority="48" stopIfTrue="1" operator="greaterThan">
      <formula>$F62</formula>
    </cfRule>
    <cfRule type="cellIs" dxfId="2258" priority="49" stopIfTrue="1" operator="lessThanOrEqual">
      <formula>0</formula>
    </cfRule>
  </conditionalFormatting>
  <conditionalFormatting sqref="G64:G65">
    <cfRule type="cellIs" dxfId="2257" priority="34" stopIfTrue="1" operator="greaterThan">
      <formula>$F64</formula>
    </cfRule>
    <cfRule type="cellIs" dxfId="2256" priority="35" stopIfTrue="1" operator="lessThanOrEqual">
      <formula>0</formula>
    </cfRule>
  </conditionalFormatting>
  <conditionalFormatting sqref="G66:G70">
    <cfRule type="cellIs" dxfId="2255" priority="50" stopIfTrue="1" operator="greaterThan">
      <formula>$J66</formula>
    </cfRule>
    <cfRule type="cellIs" dxfId="2254" priority="51" stopIfTrue="1" operator="lessThanOrEqual">
      <formula>0</formula>
    </cfRule>
  </conditionalFormatting>
  <conditionalFormatting sqref="G67">
    <cfRule type="cellIs" dxfId="2253" priority="193" stopIfTrue="1" operator="greaterThan">
      <formula>$F62</formula>
    </cfRule>
    <cfRule type="cellIs" dxfId="2252" priority="194" stopIfTrue="1" operator="lessThanOrEqual">
      <formula>0</formula>
    </cfRule>
  </conditionalFormatting>
  <conditionalFormatting sqref="G75:G80 C78 C80">
    <cfRule type="cellIs" dxfId="2251" priority="182" stopIfTrue="1" operator="greaterThan">
      <formula>4.5</formula>
    </cfRule>
    <cfRule type="cellIs" dxfId="2250" priority="183" stopIfTrue="1" operator="lessThanOrEqual">
      <formula>0</formula>
    </cfRule>
  </conditionalFormatting>
  <conditionalFormatting sqref="G74:H74">
    <cfRule type="cellIs" dxfId="2249" priority="163" stopIfTrue="1" operator="greaterThan">
      <formula>$F$73</formula>
    </cfRule>
    <cfRule type="cellIs" dxfId="2248" priority="164" stopIfTrue="1" operator="lessThanOrEqual">
      <formula>0</formula>
    </cfRule>
  </conditionalFormatting>
  <conditionalFormatting sqref="H10:H17">
    <cfRule type="expression" dxfId="2247" priority="1">
      <formula>IF(+(IF(H10&lt;#REF!,0,IF(H10&gt;#REF!,0,1)))=0,1)</formula>
    </cfRule>
  </conditionalFormatting>
  <conditionalFormatting sqref="H31:H32 H45">
    <cfRule type="cellIs" dxfId="2246" priority="161" stopIfTrue="1" operator="greaterThan">
      <formula>0</formula>
    </cfRule>
  </conditionalFormatting>
  <conditionalFormatting sqref="H49">
    <cfRule type="cellIs" dxfId="2245" priority="54" stopIfTrue="1" operator="greaterThan">
      <formula>$F$62</formula>
    </cfRule>
    <cfRule type="cellIs" dxfId="2244" priority="62" stopIfTrue="1" operator="greaterThan">
      <formula>$F$65</formula>
    </cfRule>
    <cfRule type="cellIs" dxfId="2243" priority="53" stopIfTrue="1" operator="lessThanOrEqual">
      <formula>0</formula>
    </cfRule>
    <cfRule type="cellIs" dxfId="2242" priority="64" stopIfTrue="1" operator="greaterThan">
      <formula>$F$63</formula>
    </cfRule>
    <cfRule type="cellIs" dxfId="2241" priority="63" stopIfTrue="1" operator="lessThanOrEqual">
      <formula>0</formula>
    </cfRule>
  </conditionalFormatting>
  <conditionalFormatting sqref="H49:H50">
    <cfRule type="cellIs" dxfId="2240" priority="65" stopIfTrue="1" operator="lessThanOrEqual">
      <formula>0</formula>
    </cfRule>
  </conditionalFormatting>
  <conditionalFormatting sqref="H50 H52:H53">
    <cfRule type="cellIs" dxfId="2239" priority="91" stopIfTrue="1" operator="lessThanOrEqual">
      <formula>0</formula>
    </cfRule>
  </conditionalFormatting>
  <conditionalFormatting sqref="H50">
    <cfRule type="cellIs" dxfId="2238" priority="89" stopIfTrue="1" operator="lessThanOrEqual">
      <formula>0</formula>
    </cfRule>
    <cfRule type="cellIs" dxfId="2237" priority="90" stopIfTrue="1" operator="greaterThan">
      <formula>$F$63</formula>
    </cfRule>
    <cfRule type="cellIs" dxfId="2236" priority="80" stopIfTrue="1" operator="greaterThan">
      <formula>$F$62</formula>
    </cfRule>
    <cfRule type="cellIs" dxfId="2235" priority="88" stopIfTrue="1" operator="greaterThan">
      <formula>$F$65</formula>
    </cfRule>
  </conditionalFormatting>
  <conditionalFormatting sqref="H51">
    <cfRule type="cellIs" dxfId="2234" priority="31" stopIfTrue="1" operator="greaterThan">
      <formula>$F$65</formula>
    </cfRule>
    <cfRule type="cellIs" dxfId="2233" priority="32" stopIfTrue="1" operator="lessThanOrEqual">
      <formula>0</formula>
    </cfRule>
    <cfRule type="cellIs" dxfId="2232" priority="20" stopIfTrue="1" operator="lessThanOrEqual">
      <formula>0</formula>
    </cfRule>
    <cfRule type="cellIs" dxfId="2231" priority="21" stopIfTrue="1" operator="greaterThan">
      <formula>$F$64</formula>
    </cfRule>
    <cfRule type="cellIs" dxfId="2230" priority="30" stopIfTrue="1" operator="lessThanOrEqual">
      <formula>0</formula>
    </cfRule>
    <cfRule type="cellIs" dxfId="2229" priority="29" stopIfTrue="1" operator="greaterThan">
      <formula>$F$67</formula>
    </cfRule>
  </conditionalFormatting>
  <conditionalFormatting sqref="H52:H53">
    <cfRule type="cellIs" dxfId="2228" priority="93" stopIfTrue="1" operator="greaterThan">
      <formula>$F$62</formula>
    </cfRule>
    <cfRule type="cellIs" dxfId="2227" priority="102" stopIfTrue="1" operator="lessThanOrEqual">
      <formula>0</formula>
    </cfRule>
    <cfRule type="cellIs" dxfId="2226" priority="103" stopIfTrue="1" operator="greaterThan">
      <formula>$F$63</formula>
    </cfRule>
    <cfRule type="cellIs" dxfId="2225" priority="101" stopIfTrue="1" operator="greaterThan">
      <formula>$F$65</formula>
    </cfRule>
    <cfRule type="cellIs" dxfId="2224" priority="104" stopIfTrue="1" operator="lessThanOrEqual">
      <formula>0</formula>
    </cfRule>
  </conditionalFormatting>
  <conditionalFormatting sqref="H54:H55">
    <cfRule type="cellIs" dxfId="2223" priority="137" stopIfTrue="1" operator="greaterThan">
      <formula>#REF!</formula>
    </cfRule>
    <cfRule type="cellIs" dxfId="2222" priority="138" stopIfTrue="1" operator="lessThanOrEqual">
      <formula>0</formula>
    </cfRule>
    <cfRule type="cellIs" dxfId="2221" priority="128" stopIfTrue="1" operator="lessThanOrEqual">
      <formula>0</formula>
    </cfRule>
    <cfRule type="cellIs" dxfId="2220" priority="129" stopIfTrue="1" operator="greaterThan">
      <formula>#REF!</formula>
    </cfRule>
  </conditionalFormatting>
  <conditionalFormatting sqref="H56">
    <cfRule type="cellIs" dxfId="2219" priority="140" stopIfTrue="1" operator="lessThanOrEqual">
      <formula>0</formula>
    </cfRule>
    <cfRule type="cellIs" dxfId="2218" priority="149" stopIfTrue="1" operator="greaterThan">
      <formula>$F$33</formula>
    </cfRule>
    <cfRule type="cellIs" dxfId="2217" priority="150" stopIfTrue="1" operator="lessThanOrEqual">
      <formula>0</formula>
    </cfRule>
    <cfRule type="cellIs" dxfId="2216" priority="151" stopIfTrue="1" operator="greaterThan">
      <formula>$F$31</formula>
    </cfRule>
    <cfRule type="cellIs" dxfId="2215" priority="152" stopIfTrue="1" operator="lessThanOrEqual">
      <formula>0</formula>
    </cfRule>
    <cfRule type="cellIs" dxfId="2214" priority="141" stopIfTrue="1" operator="greaterThan">
      <formula>$F$30</formula>
    </cfRule>
  </conditionalFormatting>
  <conditionalFormatting sqref="H57:H58">
    <cfRule type="cellIs" dxfId="2213" priority="117" stopIfTrue="1" operator="greaterThan">
      <formula>#REF!</formula>
    </cfRule>
    <cfRule type="cellIs" dxfId="2212" priority="125" stopIfTrue="1" operator="greaterThan">
      <formula>#REF!</formula>
    </cfRule>
    <cfRule type="cellIs" dxfId="2211" priority="126" stopIfTrue="1" operator="lessThanOrEqual">
      <formula>0</formula>
    </cfRule>
    <cfRule type="cellIs" dxfId="2210" priority="116" stopIfTrue="1" operator="lessThanOrEqual">
      <formula>0</formula>
    </cfRule>
  </conditionalFormatting>
  <conditionalFormatting sqref="H73 H75:H81">
    <cfRule type="cellIs" dxfId="2209" priority="176" stopIfTrue="1" operator="lessThanOrEqual">
      <formula>0</formula>
    </cfRule>
    <cfRule type="cellIs" dxfId="2208" priority="175" stopIfTrue="1" operator="greaterThan">
      <formula>4.5</formula>
    </cfRule>
  </conditionalFormatting>
  <conditionalFormatting sqref="H49:I49">
    <cfRule type="cellIs" dxfId="2207" priority="55" stopIfTrue="1" operator="lessThanOrEqual">
      <formula>0</formula>
    </cfRule>
  </conditionalFormatting>
  <conditionalFormatting sqref="H49:I50 H52:I53">
    <cfRule type="cellIs" dxfId="2206" priority="52" stopIfTrue="1" operator="greaterThan">
      <formula>$F$64</formula>
    </cfRule>
  </conditionalFormatting>
  <conditionalFormatting sqref="H50:I50">
    <cfRule type="cellIs" dxfId="2205" priority="81" stopIfTrue="1" operator="lessThanOrEqual">
      <formula>0</formula>
    </cfRule>
  </conditionalFormatting>
  <conditionalFormatting sqref="H51:I51">
    <cfRule type="cellIs" dxfId="2204" priority="19" stopIfTrue="1" operator="greaterThan">
      <formula>$F$66</formula>
    </cfRule>
    <cfRule type="cellIs" dxfId="2203" priority="22" stopIfTrue="1" operator="lessThanOrEqual">
      <formula>0</formula>
    </cfRule>
  </conditionalFormatting>
  <conditionalFormatting sqref="H52:I53">
    <cfRule type="cellIs" dxfId="2202" priority="94" stopIfTrue="1" operator="lessThanOrEqual">
      <formula>0</formula>
    </cfRule>
  </conditionalFormatting>
  <conditionalFormatting sqref="H54:I55">
    <cfRule type="cellIs" dxfId="2201" priority="136" stopIfTrue="1" operator="lessThanOrEqual">
      <formula>0</formula>
    </cfRule>
    <cfRule type="cellIs" dxfId="2200" priority="127" stopIfTrue="1" operator="greaterThan">
      <formula>#REF!</formula>
    </cfRule>
    <cfRule type="cellIs" dxfId="2199" priority="135" stopIfTrue="1" operator="greaterThan">
      <formula>#REF!</formula>
    </cfRule>
    <cfRule type="cellIs" dxfId="2198" priority="130" stopIfTrue="1" operator="lessThanOrEqual">
      <formula>0</formula>
    </cfRule>
  </conditionalFormatting>
  <conditionalFormatting sqref="H56:I56">
    <cfRule type="cellIs" dxfId="2197" priority="142" stopIfTrue="1" operator="lessThanOrEqual">
      <formula>0</formula>
    </cfRule>
    <cfRule type="cellIs" dxfId="2196" priority="139" stopIfTrue="1" operator="greaterThan">
      <formula>$F$32</formula>
    </cfRule>
  </conditionalFormatting>
  <conditionalFormatting sqref="H57:I58">
    <cfRule type="cellIs" dxfId="2195" priority="115" stopIfTrue="1" operator="greaterThan">
      <formula>#REF!</formula>
    </cfRule>
    <cfRule type="cellIs" dxfId="2194" priority="123" stopIfTrue="1" operator="greaterThan">
      <formula>#REF!</formula>
    </cfRule>
    <cfRule type="cellIs" dxfId="2193" priority="118" stopIfTrue="1" operator="lessThanOrEqual">
      <formula>0</formula>
    </cfRule>
    <cfRule type="cellIs" dxfId="2192" priority="124" stopIfTrue="1" operator="lessThanOrEqual">
      <formula>0</formula>
    </cfRule>
  </conditionalFormatting>
  <conditionalFormatting sqref="H62:I69">
    <cfRule type="cellIs" dxfId="2191" priority="37" stopIfTrue="1" operator="greaterThan">
      <formula>$J62</formula>
    </cfRule>
    <cfRule type="cellIs" dxfId="2190" priority="38" stopIfTrue="1" operator="lessThanOrEqual">
      <formula>0</formula>
    </cfRule>
  </conditionalFormatting>
  <conditionalFormatting sqref="H70:I70">
    <cfRule type="cellIs" dxfId="2189" priority="45" operator="greaterThan">
      <formula>5.3</formula>
    </cfRule>
  </conditionalFormatting>
  <conditionalFormatting sqref="H71:I71">
    <cfRule type="cellIs" dxfId="2188" priority="43" stopIfTrue="1" operator="greaterThan">
      <formula>$J71</formula>
    </cfRule>
    <cfRule type="cellIs" dxfId="2187" priority="44" stopIfTrue="1" operator="lessThanOrEqual">
      <formula>0</formula>
    </cfRule>
  </conditionalFormatting>
  <conditionalFormatting sqref="I49">
    <cfRule type="cellIs" dxfId="2186" priority="59" stopIfTrue="1" operator="lessThanOrEqual">
      <formula>0</formula>
    </cfRule>
    <cfRule type="cellIs" dxfId="2185" priority="60" stopIfTrue="1" operator="greaterThan">
      <formula>$F$62</formula>
    </cfRule>
    <cfRule type="cellIs" dxfId="2184" priority="58" stopIfTrue="1" operator="greaterThan">
      <formula>$F$64</formula>
    </cfRule>
    <cfRule type="cellIs" dxfId="2183" priority="57" stopIfTrue="1" operator="lessThanOrEqual">
      <formula>0</formula>
    </cfRule>
    <cfRule type="cellIs" dxfId="2182" priority="56" stopIfTrue="1" operator="greaterThan">
      <formula>$F$62</formula>
    </cfRule>
    <cfRule type="cellIs" dxfId="2181" priority="61" stopIfTrue="1" operator="lessThanOrEqual">
      <formula>0</formula>
    </cfRule>
  </conditionalFormatting>
  <conditionalFormatting sqref="I50">
    <cfRule type="cellIs" dxfId="2180" priority="82" stopIfTrue="1" operator="greaterThan">
      <formula>$F$62</formula>
    </cfRule>
    <cfRule type="cellIs" dxfId="2179" priority="86" stopIfTrue="1" operator="greaterThan">
      <formula>$F$62</formula>
    </cfRule>
    <cfRule type="cellIs" dxfId="2178" priority="83" stopIfTrue="1" operator="lessThanOrEqual">
      <formula>0</formula>
    </cfRule>
    <cfRule type="cellIs" dxfId="2177" priority="87" stopIfTrue="1" operator="lessThanOrEqual">
      <formula>0</formula>
    </cfRule>
    <cfRule type="cellIs" dxfId="2176" priority="85" stopIfTrue="1" operator="lessThanOrEqual">
      <formula>0</formula>
    </cfRule>
    <cfRule type="cellIs" dxfId="2175" priority="84" stopIfTrue="1" operator="greaterThan">
      <formula>$F$64</formula>
    </cfRule>
  </conditionalFormatting>
  <conditionalFormatting sqref="I51">
    <cfRule type="cellIs" dxfId="2174" priority="25" stopIfTrue="1" operator="greaterThan">
      <formula>$F$66</formula>
    </cfRule>
    <cfRule type="cellIs" dxfId="2173" priority="23" stopIfTrue="1" operator="greaterThan">
      <formula>$F$64</formula>
    </cfRule>
    <cfRule type="cellIs" dxfId="2172" priority="28" stopIfTrue="1" operator="lessThanOrEqual">
      <formula>0</formula>
    </cfRule>
    <cfRule type="cellIs" dxfId="2171" priority="26" stopIfTrue="1" operator="lessThanOrEqual">
      <formula>0</formula>
    </cfRule>
    <cfRule type="cellIs" dxfId="2170" priority="27" stopIfTrue="1" operator="greaterThan">
      <formula>$F$64</formula>
    </cfRule>
    <cfRule type="cellIs" dxfId="2169" priority="24" stopIfTrue="1" operator="lessThanOrEqual">
      <formula>0</formula>
    </cfRule>
  </conditionalFormatting>
  <conditionalFormatting sqref="I52:I53">
    <cfRule type="cellIs" dxfId="2168" priority="97" stopIfTrue="1" operator="greaterThan">
      <formula>$F$64</formula>
    </cfRule>
    <cfRule type="cellIs" dxfId="2167" priority="100" stopIfTrue="1" operator="lessThanOrEqual">
      <formula>0</formula>
    </cfRule>
    <cfRule type="cellIs" dxfId="2166" priority="99" stopIfTrue="1" operator="greaterThan">
      <formula>$F$62</formula>
    </cfRule>
    <cfRule type="cellIs" dxfId="2165" priority="95" stopIfTrue="1" operator="greaterThan">
      <formula>$F$62</formula>
    </cfRule>
    <cfRule type="cellIs" dxfId="2164" priority="96" stopIfTrue="1" operator="lessThanOrEqual">
      <formula>0</formula>
    </cfRule>
    <cfRule type="cellIs" dxfId="2163" priority="98" stopIfTrue="1" operator="lessThanOrEqual">
      <formula>0</formula>
    </cfRule>
  </conditionalFormatting>
  <conditionalFormatting sqref="I54:I55">
    <cfRule type="cellIs" dxfId="2162" priority="133" stopIfTrue="1" operator="greaterThan">
      <formula>#REF!</formula>
    </cfRule>
    <cfRule type="cellIs" dxfId="2161" priority="134" stopIfTrue="1" operator="lessThanOrEqual">
      <formula>0</formula>
    </cfRule>
    <cfRule type="cellIs" dxfId="2160" priority="131" stopIfTrue="1" operator="greaterThan">
      <formula>#REF!</formula>
    </cfRule>
    <cfRule type="cellIs" dxfId="2159" priority="132" stopIfTrue="1" operator="lessThanOrEqual">
      <formula>0</formula>
    </cfRule>
  </conditionalFormatting>
  <conditionalFormatting sqref="I56">
    <cfRule type="cellIs" dxfId="2158" priority="147" stopIfTrue="1" operator="greaterThan">
      <formula>$F$30</formula>
    </cfRule>
    <cfRule type="cellIs" dxfId="2157" priority="148" stopIfTrue="1" operator="lessThanOrEqual">
      <formula>0</formula>
    </cfRule>
    <cfRule type="cellIs" dxfId="2156" priority="144" stopIfTrue="1" operator="lessThanOrEqual">
      <formula>0</formula>
    </cfRule>
    <cfRule type="cellIs" dxfId="2155" priority="146" stopIfTrue="1" operator="lessThanOrEqual">
      <formula>0</formula>
    </cfRule>
    <cfRule type="cellIs" dxfId="2154" priority="143" stopIfTrue="1" operator="greaterThan">
      <formula>$F$30</formula>
    </cfRule>
    <cfRule type="cellIs" dxfId="2153" priority="145" stopIfTrue="1" operator="greaterThan">
      <formula>$F$32</formula>
    </cfRule>
  </conditionalFormatting>
  <conditionalFormatting sqref="I57:I58">
    <cfRule type="cellIs" dxfId="2152" priority="119" stopIfTrue="1" operator="greaterThan">
      <formula>#REF!</formula>
    </cfRule>
    <cfRule type="cellIs" dxfId="2151" priority="120" stopIfTrue="1" operator="lessThanOrEqual">
      <formula>0</formula>
    </cfRule>
    <cfRule type="cellIs" dxfId="2150" priority="121" stopIfTrue="1" operator="greaterThan">
      <formula>#REF!</formula>
    </cfRule>
    <cfRule type="cellIs" dxfId="2149" priority="122" stopIfTrue="1" operator="lessThanOrEqual">
      <formula>0</formula>
    </cfRule>
  </conditionalFormatting>
  <conditionalFormatting sqref="I73:I81">
    <cfRule type="cellIs" dxfId="2148" priority="172" stopIfTrue="1" operator="lessThanOrEqual">
      <formula>0</formula>
    </cfRule>
    <cfRule type="cellIs" dxfId="2147" priority="171" stopIfTrue="1" operator="greaterThan">
      <formula>4.5</formula>
    </cfRule>
  </conditionalFormatting>
  <conditionalFormatting sqref="I10:J17">
    <cfRule type="cellIs" dxfId="2146" priority="2" operator="lessThan">
      <formula>97.9</formula>
    </cfRule>
  </conditionalFormatting>
  <conditionalFormatting sqref="J20:J22">
    <cfRule type="cellIs" dxfId="2145" priority="18" operator="lessThan">
      <formula>97.95</formula>
    </cfRule>
  </conditionalFormatting>
  <conditionalFormatting sqref="J21:J24">
    <cfRule type="cellIs" dxfId="2144" priority="153" operator="lessThan">
      <formula>97.4</formula>
    </cfRule>
  </conditionalFormatting>
  <conditionalFormatting sqref="J25:J26">
    <cfRule type="cellIs" dxfId="2143" priority="154" operator="lessThan">
      <formula>98</formula>
    </cfRule>
  </conditionalFormatting>
  <conditionalFormatting sqref="J27:J28">
    <cfRule type="cellIs" dxfId="2142" priority="155" stopIfTrue="1" operator="lessThan">
      <formula>96.8</formula>
    </cfRule>
    <cfRule type="cellIs" dxfId="2141" priority="156" stopIfTrue="1" operator="greaterThan">
      <formula>100</formula>
    </cfRule>
  </conditionalFormatting>
  <conditionalFormatting sqref="J27:J29">
    <cfRule type="cellIs" dxfId="2140" priority="157" operator="lessThan">
      <formula>98</formula>
    </cfRule>
  </conditionalFormatting>
  <conditionalFormatting sqref="J58">
    <cfRule type="cellIs" dxfId="2139" priority="112" stopIfTrue="1" operator="lessThanOrEqual">
      <formula>0</formula>
    </cfRule>
    <cfRule type="cellIs" dxfId="2138" priority="114" stopIfTrue="1" operator="lessThanOrEqual">
      <formula>0</formula>
    </cfRule>
    <cfRule type="cellIs" dxfId="2137" priority="113" stopIfTrue="1" operator="greaterThan">
      <formula>#REF!</formula>
    </cfRule>
    <cfRule type="cellIs" dxfId="2136" priority="111" stopIfTrue="1" operator="greaterThan">
      <formula>#REF!</formula>
    </cfRule>
    <cfRule type="cellIs" dxfId="2135" priority="110" stopIfTrue="1" operator="lessThanOrEqual">
      <formula>0</formula>
    </cfRule>
    <cfRule type="cellIs" dxfId="2134" priority="109" stopIfTrue="1" operator="greaterThan">
      <formula>#REF!</formula>
    </cfRule>
    <cfRule type="cellIs" dxfId="2133" priority="108" stopIfTrue="1" operator="lessThanOrEqual">
      <formula>0</formula>
    </cfRule>
    <cfRule type="cellIs" dxfId="2132" priority="107" stopIfTrue="1" operator="greaterThan">
      <formula>#REF!</formula>
    </cfRule>
  </conditionalFormatting>
  <conditionalFormatting sqref="J71">
    <cfRule type="cellIs" dxfId="2131" priority="46" stopIfTrue="1" operator="greaterThan">
      <formula>$F71</formula>
    </cfRule>
    <cfRule type="cellIs" dxfId="2130" priority="47" stopIfTrue="1" operator="lessThanOrEqual">
      <formula>0</formula>
    </cfRule>
  </conditionalFormatting>
  <conditionalFormatting sqref="K10:K17">
    <cfRule type="cellIs" dxfId="2129" priority="3" operator="greaterThan">
      <formula>6</formula>
    </cfRule>
    <cfRule type="cellIs" dxfId="2128" priority="4" operator="lessThan">
      <formula>4</formula>
    </cfRule>
    <cfRule type="cellIs" dxfId="2127" priority="5" operator="greaterThan">
      <formula>6.4</formula>
    </cfRule>
  </conditionalFormatting>
  <conditionalFormatting sqref="K49:K58">
    <cfRule type="cellIs" dxfId="2126" priority="92" stopIfTrue="1" operator="lessThan">
      <formula>100%</formula>
    </cfRule>
  </conditionalFormatting>
  <conditionalFormatting sqref="K62:K70">
    <cfRule type="cellIs" dxfId="2125" priority="36" stopIfTrue="1" operator="lessThan">
      <formula>100%</formula>
    </cfRule>
  </conditionalFormatting>
  <conditionalFormatting sqref="K73:K78">
    <cfRule type="cellIs" dxfId="2124" priority="177" stopIfTrue="1" operator="lessThan">
      <formula>100%</formula>
    </cfRule>
  </conditionalFormatting>
  <conditionalFormatting sqref="K80:K81">
    <cfRule type="cellIs" dxfId="2123" priority="184" stopIfTrue="1" operator="lessThan">
      <formula>100%</formula>
    </cfRule>
  </conditionalFormatting>
  <conditionalFormatting sqref="L10:L17">
    <cfRule type="cellIs" dxfId="2122" priority="6" operator="between">
      <formula>61</formula>
      <formula>65</formula>
    </cfRule>
    <cfRule type="cellIs" dxfId="2121" priority="7" operator="greaterThan">
      <formula>65</formula>
    </cfRule>
  </conditionalFormatting>
  <conditionalFormatting sqref="L20:M31">
    <cfRule type="cellIs" dxfId="2120" priority="17" operator="lessThan">
      <formula>97.95</formula>
    </cfRule>
  </conditionalFormatting>
  <conditionalFormatting sqref="L35:N35">
    <cfRule type="cellIs" dxfId="2119" priority="16" operator="notEqual">
      <formula>#REF!</formula>
    </cfRule>
  </conditionalFormatting>
  <conditionalFormatting sqref="L62:N71">
    <cfRule type="cellIs" dxfId="2118" priority="33" stopIfTrue="1" operator="lessThan">
      <formula>100%</formula>
    </cfRule>
  </conditionalFormatting>
  <conditionalFormatting sqref="L73:N81">
    <cfRule type="cellIs" dxfId="2117" priority="162" stopIfTrue="1" operator="lessThan">
      <formula>100%</formula>
    </cfRule>
  </conditionalFormatting>
  <conditionalFormatting sqref="M17">
    <cfRule type="expression" dxfId="2116" priority="13">
      <formula>IF(+(IF(M17&lt;U17,0,IF(M17&gt;V17,0,1)))=0,1)</formula>
    </cfRule>
  </conditionalFormatting>
  <conditionalFormatting sqref="M10:N16 G16">
    <cfRule type="expression" dxfId="2115" priority="15">
      <formula>IF(+(IF(G10&lt;#REF!,0,IF(G10&gt;#REF!,0,1)))=0,1)</formula>
    </cfRule>
  </conditionalFormatting>
  <conditionalFormatting sqref="N10:N17">
    <cfRule type="expression" dxfId="2114" priority="11">
      <formula>IF(+(IF(N10&lt;W10,0,IF(N10&gt;X10,0,1)))=0,1)</formula>
    </cfRule>
  </conditionalFormatting>
  <conditionalFormatting sqref="P6">
    <cfRule type="cellIs" dxfId="2113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[30]Brewhouse!$A797</f>
        <v>CA747</v>
      </c>
      <c r="D10" s="279">
        <f>[30]Brewhouse!$AF797</f>
        <v>48.9</v>
      </c>
      <c r="E10" s="279">
        <f>[30]Brewhouse!$AI797</f>
        <v>49.1</v>
      </c>
      <c r="F10" s="278">
        <f>[30]Brewhouse!$V797</f>
        <v>61</v>
      </c>
      <c r="G10" s="279">
        <f>[30]Brewhouse!AG797</f>
        <v>11.6</v>
      </c>
      <c r="H10" s="396">
        <v>11.8</v>
      </c>
      <c r="I10" s="368">
        <f>[30]Brewhouse!$AU797</f>
        <v>94.225435543653518</v>
      </c>
      <c r="J10" s="368">
        <f>[30]Brewhouse!$AV797</f>
        <v>94.955895449291049</v>
      </c>
      <c r="K10" s="281">
        <f>[30]Brewhouse!$Q797</f>
        <v>12.421441774491679</v>
      </c>
      <c r="L10" s="276">
        <f>[30]Brewhouse!$P797</f>
        <v>88</v>
      </c>
      <c r="M10" s="374">
        <f>[30]Brewhouse!$U797-[30]Brewhouse!$T797</f>
        <v>0.15277777777777773</v>
      </c>
      <c r="N10" s="370">
        <f>[30]Brewhouse!$Z797</f>
        <v>0.32777777777777778</v>
      </c>
      <c r="O10" s="419" t="str">
        <f>[30]Brewhouse!$AX797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[30]Brewhouse!$A798</f>
        <v>CA748</v>
      </c>
      <c r="D11" s="279">
        <f>[30]Brewhouse!$AF798</f>
        <v>49.2</v>
      </c>
      <c r="E11" s="279">
        <f>[30]Brewhouse!$AI798</f>
        <v>49.6</v>
      </c>
      <c r="F11" s="278">
        <f>[30]Brewhouse!$V798</f>
        <v>62</v>
      </c>
      <c r="G11" s="279">
        <f>[30]Brewhouse!AG798</f>
        <v>11.6</v>
      </c>
      <c r="H11" s="490">
        <v>12.1</v>
      </c>
      <c r="I11" s="368">
        <f>[30]Brewhouse!$AU798</f>
        <v>96.984705758803429</v>
      </c>
      <c r="J11" s="368">
        <f>[30]Brewhouse!$AV798</f>
        <v>97.735804113121233</v>
      </c>
      <c r="K11" s="281">
        <f>[30]Brewhouse!$Q798</f>
        <v>10.388170055452859</v>
      </c>
      <c r="L11" s="276">
        <f>[30]Brewhouse!$P798</f>
        <v>60</v>
      </c>
      <c r="M11" s="374">
        <f>[30]Brewhouse!$U798-[30]Brewhouse!$T798</f>
        <v>0.1118055555555556</v>
      </c>
      <c r="N11" s="370">
        <f>[30]Brewhouse!$Z798</f>
        <v>0.29236111111111118</v>
      </c>
      <c r="O11" s="419" t="str">
        <f>[30]Brewhouse!$AX798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[30]Brewhouse!$A799</f>
        <v>CA749</v>
      </c>
      <c r="D12" s="279">
        <f>[30]Brewhouse!$AF799</f>
        <v>50.8</v>
      </c>
      <c r="E12" s="279">
        <f>[30]Brewhouse!$AI799</f>
        <v>51.8</v>
      </c>
      <c r="F12" s="278">
        <f>[30]Brewhouse!$V799</f>
        <v>58</v>
      </c>
      <c r="G12" s="279">
        <f>[30]Brewhouse!AG799</f>
        <v>11.7</v>
      </c>
      <c r="H12" s="396">
        <v>11.8</v>
      </c>
      <c r="I12" s="368">
        <f>[30]Brewhouse!$AU799</f>
        <v>100.30908258387295</v>
      </c>
      <c r="J12" s="368">
        <f>[30]Brewhouse!$AV799</f>
        <v>101.086704492183</v>
      </c>
      <c r="K12" s="281">
        <f>[30]Brewhouse!$Q799</f>
        <v>10.018484288354902</v>
      </c>
      <c r="L12" s="276">
        <f>[30]Brewhouse!$P799</f>
        <v>60</v>
      </c>
      <c r="M12" s="374">
        <f>[30]Brewhouse!$U799-[30]Brewhouse!$T799</f>
        <v>0.11249999999999993</v>
      </c>
      <c r="N12" s="370">
        <f>[30]Brewhouse!$Z799</f>
        <v>0.28680555555555554</v>
      </c>
      <c r="O12" s="419" t="str">
        <f>[30]Brewhouse!$AX799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[30]Brewhouse!$A800</f>
        <v>CA750</v>
      </c>
      <c r="D13" s="279">
        <f>[30]Brewhouse!$AF800</f>
        <v>49.5</v>
      </c>
      <c r="E13" s="279">
        <f>[30]Brewhouse!$AI800</f>
        <v>49.8</v>
      </c>
      <c r="F13" s="278">
        <f>[30]Brewhouse!$V800</f>
        <v>62</v>
      </c>
      <c r="G13" s="279">
        <f>[30]Brewhouse!AG800</f>
        <v>11.9</v>
      </c>
      <c r="H13" s="396">
        <v>11.9</v>
      </c>
      <c r="I13" s="368">
        <f>[30]Brewhouse!$AU800</f>
        <v>98.292492578870025</v>
      </c>
      <c r="J13" s="368">
        <f>[30]Brewhouse!$AV800</f>
        <v>99.05443142376123</v>
      </c>
      <c r="K13" s="281">
        <f>[30]Brewhouse!$Q800</f>
        <v>9.8336414048059151</v>
      </c>
      <c r="L13" s="276">
        <f>[30]Brewhouse!$P800</f>
        <v>60</v>
      </c>
      <c r="M13" s="374">
        <f>[30]Brewhouse!$U800-[30]Brewhouse!$T800</f>
        <v>0.10972222222222217</v>
      </c>
      <c r="N13" s="370">
        <f>[30]Brewhouse!$Z800</f>
        <v>0.26111111111111107</v>
      </c>
      <c r="O13" s="419" t="str">
        <f>[30]Brewhouse!$AX800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[30]Brewhouse!$A801</f>
        <v>CA751</v>
      </c>
      <c r="D14" s="279">
        <f>[30]Brewhouse!$AF801</f>
        <v>49.2</v>
      </c>
      <c r="E14" s="279">
        <f>[30]Brewhouse!$AI801</f>
        <v>49.6</v>
      </c>
      <c r="F14" s="278">
        <f>[30]Brewhouse!$V801</f>
        <v>61</v>
      </c>
      <c r="G14" s="279">
        <f>[30]Brewhouse!AG801</f>
        <v>12</v>
      </c>
      <c r="H14" s="396">
        <v>12</v>
      </c>
      <c r="I14" s="368">
        <f>[30]Brewhouse!$AU801</f>
        <v>98.762703596416429</v>
      </c>
      <c r="J14" s="368">
        <f>[30]Brewhouse!$AV801</f>
        <v>99.52828739963725</v>
      </c>
      <c r="K14" s="281">
        <f>[30]Brewhouse!$Q801</f>
        <v>10.222222222222214</v>
      </c>
      <c r="L14" s="276">
        <f>[30]Brewhouse!$P801</f>
        <v>58</v>
      </c>
      <c r="M14" s="374">
        <f>[30]Brewhouse!$U801-[30]Brewhouse!$T801</f>
        <v>0.11111111111111105</v>
      </c>
      <c r="N14" s="370">
        <f>[30]Brewhouse!$Z801</f>
        <v>0.29999999999999993</v>
      </c>
      <c r="O14" s="419" t="str">
        <f>[30]Brewhouse!$AX801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[30]Brewhouse!$A802</f>
        <v>CA752</v>
      </c>
      <c r="D15" s="279">
        <f>[30]Brewhouse!$AF802</f>
        <v>48.8</v>
      </c>
      <c r="E15" s="279">
        <f>[30]Brewhouse!$AI802</f>
        <v>49.3</v>
      </c>
      <c r="F15" s="278">
        <f>[30]Brewhouse!$V802</f>
        <v>58</v>
      </c>
      <c r="G15" s="279">
        <f>[30]Brewhouse!AG802</f>
        <v>12</v>
      </c>
      <c r="H15" s="490">
        <v>12.1</v>
      </c>
      <c r="I15" s="368">
        <f>[30]Brewhouse!$AU802</f>
        <v>98.40914048650491</v>
      </c>
      <c r="J15" s="368">
        <f>[30]Brewhouse!$AV802</f>
        <v>99.171883191944957</v>
      </c>
      <c r="K15" s="281">
        <f>[30]Brewhouse!$Q802</f>
        <v>11.127541589648803</v>
      </c>
      <c r="L15" s="276">
        <f>[30]Brewhouse!$P802</f>
        <v>58</v>
      </c>
      <c r="M15" s="374">
        <f>[30]Brewhouse!$U802-[30]Brewhouse!$T802</f>
        <v>0.10486111111111107</v>
      </c>
      <c r="N15" s="370">
        <f>[30]Brewhouse!$Z802</f>
        <v>0.24375000000000002</v>
      </c>
      <c r="O15" s="419" t="str">
        <f>[30]Brewhouse!$AX802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[30]Brewhouse!$A803</f>
        <v>CA753</v>
      </c>
      <c r="D16" s="279">
        <f>[30]Brewhouse!$AF803</f>
        <v>48.5</v>
      </c>
      <c r="E16" s="279">
        <f>[30]Brewhouse!$AI803</f>
        <v>49</v>
      </c>
      <c r="F16" s="278">
        <f>[30]Brewhouse!$V803</f>
        <v>62</v>
      </c>
      <c r="G16" s="279">
        <f>[30]Brewhouse!AG803</f>
        <v>11.8</v>
      </c>
      <c r="H16" s="490">
        <v>12.2</v>
      </c>
      <c r="I16" s="368">
        <f>[30]Brewhouse!$AU803</f>
        <v>95.977884419871557</v>
      </c>
      <c r="J16" s="368">
        <f>[30]Brewhouse!$AV803</f>
        <v>96.721832118617428</v>
      </c>
      <c r="K16" s="281">
        <f>[30]Brewhouse!$Q803</f>
        <v>11.682070240295749</v>
      </c>
      <c r="L16" s="276">
        <f>[30]Brewhouse!$P803</f>
        <v>60</v>
      </c>
      <c r="M16" s="374">
        <f>[30]Brewhouse!$U803-[30]Brewhouse!$T803</f>
        <v>0.11388888888888893</v>
      </c>
      <c r="N16" s="370">
        <f>[30]Brewhouse!$Z803</f>
        <v>0.27152777777777781</v>
      </c>
      <c r="O16" s="419" t="str">
        <f>[30]Brewhouse!$AX803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[30]Brewhouse!$A804</f>
        <v>CA754</v>
      </c>
      <c r="D17" s="279">
        <f>[30]Brewhouse!$AF804</f>
        <v>49.1</v>
      </c>
      <c r="E17" s="279">
        <f>[30]Brewhouse!$AI804</f>
        <v>49.6</v>
      </c>
      <c r="F17" s="278">
        <f>[30]Brewhouse!$V804</f>
        <v>58</v>
      </c>
      <c r="G17" s="279">
        <f>[30]Brewhouse!AG804</f>
        <v>12</v>
      </c>
      <c r="H17" s="490">
        <v>12.3</v>
      </c>
      <c r="I17" s="368">
        <f>[30]Brewhouse!$AU804</f>
        <v>98.275780445846266</v>
      </c>
      <c r="J17" s="368">
        <f>[30]Brewhouse!$AV804</f>
        <v>99.037788718358144</v>
      </c>
      <c r="K17" s="281">
        <f>[30]Brewhouse!$Q804</f>
        <v>10.407407407407403</v>
      </c>
      <c r="L17" s="276">
        <f>[30]Brewhouse!$P804</f>
        <v>61</v>
      </c>
      <c r="M17" s="374">
        <f>[30]Brewhouse!$U804-[30]Brewhouse!$T804</f>
        <v>0.11736111111111103</v>
      </c>
      <c r="N17" s="370">
        <f>[30]Brewhouse!$Z804</f>
        <v>0.28611111111111109</v>
      </c>
      <c r="O17" s="419" t="str">
        <f>[30]Brewhouse!$AX804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61"/>
      <c r="J25" s="561"/>
      <c r="K25" s="561"/>
      <c r="L25" s="561"/>
      <c r="M25" s="561"/>
      <c r="N25" s="561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9" t="s">
        <v>35</v>
      </c>
      <c r="E26" s="540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620"/>
      <c r="C27" s="483"/>
      <c r="D27" s="565"/>
      <c r="E27" s="566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COUNTA([30]Brewhouse!$A$789:$A$804)</f>
        <v>16</v>
      </c>
      <c r="L27" s="305">
        <f>AVERAGE([30]Brewhouse!$AU$789:$AU$804)</f>
        <v>97.753640116148077</v>
      </c>
      <c r="M27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63"/>
      <c r="C28" s="362"/>
      <c r="D28" s="567"/>
      <c r="E28" s="568"/>
      <c r="F28" s="294"/>
      <c r="G28" s="294"/>
      <c r="H28" s="348"/>
      <c r="I28" s="33" t="s">
        <v>9</v>
      </c>
      <c r="J28" s="323"/>
      <c r="K28" s="284">
        <f>COUNTA([29]Brewhouse!$A$390:$A$391)</f>
        <v>2</v>
      </c>
      <c r="L28" s="302">
        <f>AVERAGE([29]Brewhouse!$AS$390:$AS$391)</f>
        <v>99.056946070238752</v>
      </c>
      <c r="M28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63"/>
      <c r="C29" s="362"/>
      <c r="D29" s="616"/>
      <c r="E29" s="617"/>
      <c r="F29" s="294"/>
      <c r="G29" s="294"/>
      <c r="H29" s="348"/>
      <c r="I29" s="34" t="s">
        <v>12</v>
      </c>
      <c r="J29" s="323"/>
      <c r="K29" s="284"/>
      <c r="L29" s="302"/>
      <c r="M29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63"/>
      <c r="C30" s="362"/>
      <c r="D30" s="580"/>
      <c r="E30" s="568"/>
      <c r="F30" s="294"/>
      <c r="G30" s="294"/>
      <c r="H30" s="348"/>
      <c r="I30" s="22" t="s">
        <v>33</v>
      </c>
      <c r="J30" s="280"/>
      <c r="K30" s="284"/>
      <c r="L30" s="302"/>
      <c r="M30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63"/>
      <c r="C31" s="362"/>
      <c r="D31" s="616"/>
      <c r="E31" s="617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63"/>
      <c r="C32" s="362"/>
      <c r="D32" s="580"/>
      <c r="E32" s="568"/>
      <c r="F32" s="416"/>
      <c r="G32" s="294"/>
      <c r="H32" s="348"/>
      <c r="I32" s="36" t="s">
        <v>15</v>
      </c>
      <c r="J32" s="323"/>
      <c r="K32" s="284"/>
      <c r="L32" s="302"/>
      <c r="M32" s="302">
        <f>AVERAGE([33]Brewhouse!$AT$4:$AT$11,[33]Brewhouse!$AT$13:$AT$16,[33]Brewhouse!$AT$18:$AT$30)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63"/>
      <c r="C33" s="362"/>
      <c r="D33" s="616"/>
      <c r="E33" s="617"/>
      <c r="F33" s="416"/>
      <c r="G33" s="294"/>
      <c r="H33" s="348"/>
      <c r="I33" s="37" t="s">
        <v>16</v>
      </c>
      <c r="J33" s="323"/>
      <c r="K33" s="284"/>
      <c r="L33" s="302"/>
      <c r="M33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63"/>
      <c r="C34" s="362"/>
      <c r="D34" s="580"/>
      <c r="E34" s="568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63"/>
      <c r="C35" s="362"/>
      <c r="D35" s="616"/>
      <c r="E35" s="617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63"/>
      <c r="C36" s="362"/>
      <c r="D36" s="580"/>
      <c r="E36" s="568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63"/>
      <c r="C37" s="349"/>
      <c r="D37" s="565"/>
      <c r="E37" s="566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AVERAGE('[35]Jan30th-31st'!$L$42,'[36]Feb 27th-28th'!$L$45,'[37]Mar 31st'!$L$42,'[38]Apr 30th'!$L$41,'[39]May 29th '!$L$35,'[40]June 30th'!$L$32,[41]July31st!$L$36,'[42]Aug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621"/>
      <c r="C38" s="350"/>
      <c r="D38" s="567"/>
      <c r="E38" s="568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612"/>
      <c r="C39" s="362"/>
      <c r="D39" s="565"/>
      <c r="E39" s="566"/>
      <c r="F39" s="294"/>
      <c r="G39" s="42"/>
      <c r="H39" s="41"/>
      <c r="I39" s="42"/>
      <c r="J39" s="615" t="s">
        <v>129</v>
      </c>
      <c r="K39" s="615"/>
      <c r="L39" s="294"/>
      <c r="M39" s="294"/>
      <c r="N39" s="294"/>
      <c r="O39" s="294"/>
      <c r="P39" s="12"/>
    </row>
    <row r="40" spans="1:56" ht="15.75" thickBot="1">
      <c r="B40" s="613"/>
      <c r="C40" s="362"/>
      <c r="D40" s="567"/>
      <c r="E40" s="568"/>
      <c r="F40" s="294"/>
      <c r="G40" s="42"/>
      <c r="H40" s="42"/>
      <c r="I40" s="42"/>
      <c r="J40" s="292" t="s">
        <v>17</v>
      </c>
      <c r="K40" s="293"/>
      <c r="L40" s="582" t="s">
        <v>136</v>
      </c>
      <c r="M40" s="582"/>
      <c r="N40" s="583"/>
      <c r="O40" s="294"/>
      <c r="P40" s="12"/>
    </row>
    <row r="41" spans="1:56" ht="15" customHeight="1" thickBot="1">
      <c r="B41" s="613"/>
      <c r="C41" s="349"/>
      <c r="D41" s="616"/>
      <c r="E41" s="617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613"/>
      <c r="C42" s="349"/>
      <c r="D42" s="580"/>
      <c r="E42" s="568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AVERAGE('[35]Jan30th-31st'!$L$47,L42,'[36]Feb 26th '!$L$39,'[37]Mar 31st'!$L$47,'[38]Apr 30th'!$L$46,'[39]May 29th '!$L$40,'[40]June 30th'!$L$39,[41]July31st!$L$41,'[42]Aug 31st'!$L$37,'[43]Sept 30th'!$L$37)</f>
        <v>6.4735341470124066</v>
      </c>
      <c r="N42" s="415">
        <v>9.1999999999999993</v>
      </c>
      <c r="O42" s="294"/>
      <c r="P42" s="12"/>
    </row>
    <row r="43" spans="1:56" ht="15" customHeight="1">
      <c r="B43" s="613"/>
      <c r="C43" s="349"/>
      <c r="D43" s="616"/>
      <c r="E43" s="617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613"/>
      <c r="C44" s="349"/>
      <c r="D44" s="580"/>
      <c r="E44" s="568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613"/>
      <c r="C45" s="349"/>
      <c r="D45" s="616"/>
      <c r="E45" s="617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613"/>
      <c r="C46" s="349"/>
      <c r="D46" s="580"/>
      <c r="E46" s="568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613"/>
      <c r="C47" s="349"/>
      <c r="D47" s="616"/>
      <c r="E47" s="617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614"/>
      <c r="C48" s="350"/>
      <c r="D48" s="618"/>
      <c r="E48" s="619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610"/>
      <c r="E49" s="611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90" t="s">
        <v>17</v>
      </c>
      <c r="C54" s="590" t="s">
        <v>44</v>
      </c>
      <c r="D54" s="592" t="s">
        <v>45</v>
      </c>
      <c r="E54" s="547" t="s">
        <v>46</v>
      </c>
      <c r="F54" s="607" t="s">
        <v>47</v>
      </c>
      <c r="G54" s="601" t="s">
        <v>48</v>
      </c>
      <c r="H54" s="590" t="s">
        <v>49</v>
      </c>
      <c r="I54" s="590" t="s">
        <v>50</v>
      </c>
      <c r="J54" s="595" t="s">
        <v>28</v>
      </c>
      <c r="K54" s="545" t="s">
        <v>51</v>
      </c>
      <c r="L54" s="557" t="s">
        <v>52</v>
      </c>
      <c r="M54" s="595" t="s">
        <v>53</v>
      </c>
      <c r="N54" s="13"/>
      <c r="O54" s="13"/>
      <c r="P54" s="50"/>
    </row>
    <row r="55" spans="2:57" ht="28.5" customHeight="1" thickTop="1" thickBot="1">
      <c r="B55" s="609"/>
      <c r="C55" s="591"/>
      <c r="D55" s="593"/>
      <c r="E55" s="594"/>
      <c r="F55" s="608"/>
      <c r="G55" s="602"/>
      <c r="H55" s="609"/>
      <c r="I55" s="609"/>
      <c r="J55" s="596"/>
      <c r="K55" s="605"/>
      <c r="L55" s="606"/>
      <c r="M55" s="596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[8]October_2026!$H$3</f>
        <v>324.89999999999998</v>
      </c>
      <c r="E56" s="442"/>
      <c r="F56" s="443"/>
      <c r="G56" s="443">
        <f>[8]October_2026!$H$7</f>
        <v>302.39999999999998</v>
      </c>
      <c r="H56" s="457"/>
      <c r="I56" s="457"/>
      <c r="J56" s="447" t="s">
        <v>150</v>
      </c>
      <c r="K56" s="448">
        <f>[9]October_2026!$H$18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[27]January_2019!L5</f>
        <v>0</v>
      </c>
      <c r="AC56" s="57">
        <f>[27]January_2019!M5</f>
        <v>0</v>
      </c>
      <c r="AD56" s="57">
        <f>[27]January_2019!N5</f>
        <v>0</v>
      </c>
      <c r="AE56" s="57">
        <f>[27]January_2019!O5</f>
        <v>0</v>
      </c>
      <c r="AF56" s="57">
        <f>[27]January_2019!P5</f>
        <v>0</v>
      </c>
      <c r="AG56" s="57">
        <f>[27]January_2019!Q5</f>
        <v>0</v>
      </c>
      <c r="AH56" s="57">
        <f>[27]January_2019!R5</f>
        <v>0</v>
      </c>
      <c r="AI56" s="57">
        <f>[27]January_2019!S5</f>
        <v>0</v>
      </c>
      <c r="AJ56" s="57">
        <f>[27]January_2019!T5</f>
        <v>0</v>
      </c>
      <c r="AK56" s="57">
        <f>[27]January_2019!U5</f>
        <v>0</v>
      </c>
      <c r="AL56" s="57">
        <f>[27]January_2019!V5</f>
        <v>0</v>
      </c>
      <c r="AM56" s="57">
        <f>[27]January_2019!W5</f>
        <v>0</v>
      </c>
      <c r="AN56" s="57">
        <f>[27]January_2019!X5</f>
        <v>0</v>
      </c>
      <c r="AO56" s="57">
        <f>[27]January_2019!Y5</f>
        <v>0</v>
      </c>
      <c r="AP56" s="57">
        <f>[27]January_2019!Z5</f>
        <v>0</v>
      </c>
      <c r="AQ56" s="57">
        <f>[27]January_2019!AA5</f>
        <v>0</v>
      </c>
      <c r="AR56" s="57">
        <f>[27]January_2019!AB5</f>
        <v>0</v>
      </c>
      <c r="AS56" s="57">
        <f>[27]January_2019!AC5</f>
        <v>0</v>
      </c>
      <c r="AT56" s="57">
        <f>[27]January_2019!AD5</f>
        <v>0</v>
      </c>
      <c r="AU56" s="57">
        <f>[27]January_2019!AE5</f>
        <v>0</v>
      </c>
      <c r="AV56" s="57">
        <f>[27]January_2019!AF5</f>
        <v>0</v>
      </c>
      <c r="AW56" s="57">
        <f>[27]January_2019!AG5</f>
        <v>0</v>
      </c>
      <c r="AX56" s="277">
        <f>[27]January_2019!AH5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[27]January_2019!L6</f>
        <v>0</v>
      </c>
      <c r="AC57" s="57">
        <f>[27]January_2019!M6</f>
        <v>0</v>
      </c>
      <c r="AD57" s="57">
        <f>[27]January_2019!N6</f>
        <v>0</v>
      </c>
      <c r="AE57" s="57">
        <f>[27]January_2019!O6</f>
        <v>0</v>
      </c>
      <c r="AF57" s="57">
        <f>[27]January_2019!P6</f>
        <v>0</v>
      </c>
      <c r="AG57" s="57">
        <f>[27]January_2019!Q6</f>
        <v>0</v>
      </c>
      <c r="AH57" s="57">
        <f>[27]January_2019!R6</f>
        <v>0</v>
      </c>
      <c r="AI57" s="57">
        <f>[27]January_2019!S6</f>
        <v>0</v>
      </c>
      <c r="AJ57" s="57">
        <f>[27]January_2019!T6</f>
        <v>0</v>
      </c>
      <c r="AK57" s="57">
        <f>[27]January_2019!U6</f>
        <v>0</v>
      </c>
      <c r="AL57" s="57">
        <f>[27]January_2019!V6</f>
        <v>0</v>
      </c>
      <c r="AM57" s="57">
        <f>[27]January_2019!W6</f>
        <v>0</v>
      </c>
      <c r="AN57" s="57">
        <f>[27]January_2019!X6</f>
        <v>0</v>
      </c>
      <c r="AO57" s="57">
        <f>[27]January_2019!Y6</f>
        <v>0</v>
      </c>
      <c r="AP57" s="57">
        <f>[27]January_2019!Z6</f>
        <v>0</v>
      </c>
      <c r="AQ57" s="57">
        <f>[27]January_2019!AA6</f>
        <v>0</v>
      </c>
      <c r="AR57" s="57">
        <f>[27]January_2019!AB6</f>
        <v>0</v>
      </c>
      <c r="AS57" s="57">
        <f>[27]January_2019!AC6</f>
        <v>0</v>
      </c>
      <c r="AT57" s="57">
        <f>[27]January_2019!AD6</f>
        <v>0</v>
      </c>
      <c r="AU57" s="57">
        <f>[27]January_2019!AE6</f>
        <v>0</v>
      </c>
      <c r="AV57" s="57">
        <f>[27]January_2019!AF6</f>
        <v>0</v>
      </c>
      <c r="AW57" s="57">
        <f>[27]January_2019!AG6</f>
        <v>0</v>
      </c>
      <c r="AX57" s="277">
        <f>[27]January_2019!AH6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[8]October_2026!$G$3</f>
        <v>198.2</v>
      </c>
      <c r="E58" s="442"/>
      <c r="F58" s="443"/>
      <c r="G58" s="443">
        <f>[8]October_2026!$G$7</f>
        <v>189.1</v>
      </c>
      <c r="H58" s="445"/>
      <c r="I58" s="445"/>
      <c r="J58" s="447" t="s">
        <v>173</v>
      </c>
      <c r="K58" s="448">
        <f>[9]October_2026!$G$18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[27]January_2019!L7</f>
        <v>285.8</v>
      </c>
      <c r="AC58" s="57">
        <f>[27]January_2019!M7</f>
        <v>508.1</v>
      </c>
      <c r="AD58" s="57">
        <f>[27]January_2019!N7</f>
        <v>0</v>
      </c>
      <c r="AE58" s="57">
        <f>[27]January_2019!O7</f>
        <v>0</v>
      </c>
      <c r="AF58" s="57">
        <f>[27]January_2019!P7</f>
        <v>109.56666666666666</v>
      </c>
      <c r="AG58" s="57">
        <f>[27]January_2019!Q7</f>
        <v>297.64999999999998</v>
      </c>
      <c r="AH58" s="57">
        <f>[27]January_2019!R7</f>
        <v>122.3</v>
      </c>
      <c r="AI58" s="57">
        <f>[27]January_2019!S7</f>
        <v>0</v>
      </c>
      <c r="AJ58" s="57">
        <f>[27]January_2019!T7</f>
        <v>294.7</v>
      </c>
      <c r="AK58" s="57">
        <f>[27]January_2019!U7</f>
        <v>280.5</v>
      </c>
      <c r="AL58" s="57">
        <f>[27]January_2019!V7</f>
        <v>0</v>
      </c>
      <c r="AM58" s="57">
        <f>[27]January_2019!W7</f>
        <v>0</v>
      </c>
      <c r="AN58" s="57">
        <f>[27]January_2019!X7</f>
        <v>188.25</v>
      </c>
      <c r="AO58" s="57">
        <f>[27]January_2019!Y7</f>
        <v>295.7</v>
      </c>
      <c r="AP58" s="57">
        <f>[27]January_2019!Z7</f>
        <v>257.8</v>
      </c>
      <c r="AQ58" s="57">
        <f>[27]January_2019!AA7</f>
        <v>291.2</v>
      </c>
      <c r="AR58" s="57">
        <f>[27]January_2019!AB7</f>
        <v>187</v>
      </c>
      <c r="AS58" s="57">
        <f>[27]January_2019!AC7</f>
        <v>0</v>
      </c>
      <c r="AT58" s="57">
        <f>[27]January_2019!AD7</f>
        <v>0</v>
      </c>
      <c r="AU58" s="57">
        <f>[27]January_2019!AE7</f>
        <v>485.1</v>
      </c>
      <c r="AV58" s="57">
        <f>[27]January_2019!AF7</f>
        <v>171.55</v>
      </c>
      <c r="AW58" s="57">
        <f>[27]January_2019!AG7</f>
        <v>423.8</v>
      </c>
      <c r="AX58" s="277">
        <f>[27]January_2019!AH7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97" t="s">
        <v>55</v>
      </c>
      <c r="C67" s="598"/>
      <c r="D67" s="598"/>
      <c r="E67" s="598"/>
      <c r="F67" s="599"/>
      <c r="G67" s="597" t="s">
        <v>56</v>
      </c>
      <c r="H67" s="598"/>
      <c r="I67" s="598"/>
      <c r="J67" s="599"/>
      <c r="K67" s="597" t="s">
        <v>51</v>
      </c>
      <c r="L67" s="598"/>
      <c r="M67" s="598"/>
      <c r="N67" s="600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2112" priority="104" operator="notBetween">
      <formula>#REF!</formula>
      <formula>#REF!</formula>
    </cfRule>
  </conditionalFormatting>
  <conditionalFormatting sqref="C53">
    <cfRule type="cellIs" dxfId="2111" priority="187" stopIfTrue="1" operator="greaterThan">
      <formula>100</formula>
    </cfRule>
    <cfRule type="cellIs" dxfId="2110" priority="186" stopIfTrue="1" operator="lessThan">
      <formula>96</formula>
    </cfRule>
  </conditionalFormatting>
  <conditionalFormatting sqref="C69:C70">
    <cfRule type="cellIs" dxfId="2109" priority="70" stopIfTrue="1" operator="lessThanOrEqual">
      <formula>0</formula>
    </cfRule>
    <cfRule type="cellIs" dxfId="2108" priority="67" stopIfTrue="1" operator="greaterThan">
      <formula>$F69</formula>
    </cfRule>
    <cfRule type="cellIs" dxfId="2107" priority="69" stopIfTrue="1" operator="greaterThan">
      <formula>$F69</formula>
    </cfRule>
    <cfRule type="cellIs" dxfId="2106" priority="68" stopIfTrue="1" operator="lessThanOrEqual">
      <formula>0</formula>
    </cfRule>
  </conditionalFormatting>
  <conditionalFormatting sqref="C71:C73 C75:C77">
    <cfRule type="cellIs" dxfId="2105" priority="76" stopIfTrue="1" operator="greaterThan">
      <formula>$F74</formula>
    </cfRule>
  </conditionalFormatting>
  <conditionalFormatting sqref="C71:C73">
    <cfRule type="cellIs" dxfId="2104" priority="77" stopIfTrue="1" operator="lessThanOrEqual">
      <formula>0</formula>
    </cfRule>
  </conditionalFormatting>
  <conditionalFormatting sqref="C74">
    <cfRule type="cellIs" dxfId="2103" priority="191" stopIfTrue="1" operator="lessThanOrEqual">
      <formula>0</formula>
    </cfRule>
    <cfRule type="cellIs" dxfId="2102" priority="190" stopIfTrue="1" operator="greaterThan">
      <formula>$F69</formula>
    </cfRule>
    <cfRule type="cellIs" dxfId="2101" priority="189" stopIfTrue="1" operator="lessThanOrEqual">
      <formula>0</formula>
    </cfRule>
    <cfRule type="cellIs" dxfId="2100" priority="188" stopIfTrue="1" operator="greaterThan">
      <formula>$F69</formula>
    </cfRule>
  </conditionalFormatting>
  <conditionalFormatting sqref="C75:C77">
    <cfRule type="cellIs" dxfId="2099" priority="78" stopIfTrue="1" operator="lessThanOrEqual">
      <formula>0</formula>
    </cfRule>
  </conditionalFormatting>
  <conditionalFormatting sqref="C80:C84">
    <cfRule type="cellIs" dxfId="2098" priority="178" stopIfTrue="1" operator="lessThanOrEqual">
      <formula>0</formula>
    </cfRule>
  </conditionalFormatting>
  <conditionalFormatting sqref="C81:C84">
    <cfRule type="cellIs" dxfId="2097" priority="177" stopIfTrue="1" operator="greaterThan">
      <formula>$F$80</formula>
    </cfRule>
  </conditionalFormatting>
  <conditionalFormatting sqref="C86">
    <cfRule type="cellIs" dxfId="2096" priority="180" stopIfTrue="1" operator="lessThanOrEqual">
      <formula>0</formula>
    </cfRule>
    <cfRule type="cellIs" dxfId="2095" priority="179" stopIfTrue="1" operator="greaterThan">
      <formula>$F$80</formula>
    </cfRule>
  </conditionalFormatting>
  <conditionalFormatting sqref="C74:D74">
    <cfRule type="cellIs" dxfId="2094" priority="66" stopIfTrue="1" operator="lessThanOrEqual">
      <formula>0</formula>
    </cfRule>
    <cfRule type="cellIs" dxfId="2093" priority="65" stopIfTrue="1" operator="greaterThan">
      <formula>$J74</formula>
    </cfRule>
  </conditionalFormatting>
  <conditionalFormatting sqref="C80:D80 D82:D88">
    <cfRule type="cellIs" dxfId="2092" priority="172" stopIfTrue="1" operator="greaterThan">
      <formula>4.5</formula>
    </cfRule>
  </conditionalFormatting>
  <conditionalFormatting sqref="D49:D50">
    <cfRule type="cellIs" dxfId="2091" priority="105" operator="notBetween">
      <formula>#REF!</formula>
      <formula>#REF!</formula>
    </cfRule>
  </conditionalFormatting>
  <conditionalFormatting sqref="D69:D73 D75:D76">
    <cfRule type="cellIs" dxfId="2090" priority="75" stopIfTrue="1" operator="lessThanOrEqual">
      <formula>0</formula>
    </cfRule>
  </conditionalFormatting>
  <conditionalFormatting sqref="D69:D73 D75:D78">
    <cfRule type="cellIs" dxfId="2089" priority="72" stopIfTrue="1" operator="greaterThan">
      <formula>$F69</formula>
    </cfRule>
    <cfRule type="cellIs" dxfId="2088" priority="71" stopIfTrue="1" operator="lessThanOrEqual">
      <formula>0</formula>
    </cfRule>
  </conditionalFormatting>
  <conditionalFormatting sqref="D77:D78">
    <cfRule type="cellIs" dxfId="2087" priority="73" stopIfTrue="1" operator="lessThanOrEqual">
      <formula>0</formula>
    </cfRule>
  </conditionalFormatting>
  <conditionalFormatting sqref="D78">
    <cfRule type="cellIs" dxfId="2086" priority="74" stopIfTrue="1" operator="lessThanOrEqual">
      <formula>0</formula>
    </cfRule>
  </conditionalFormatting>
  <conditionalFormatting sqref="D80 D82:D88">
    <cfRule type="cellIs" dxfId="2085" priority="173" stopIfTrue="1" operator="lessThanOrEqual">
      <formula>0</formula>
    </cfRule>
  </conditionalFormatting>
  <conditionalFormatting sqref="D81">
    <cfRule type="cellIs" dxfId="2084" priority="165" stopIfTrue="1" operator="lessThanOrEqual">
      <formula>0</formula>
    </cfRule>
    <cfRule type="cellIs" dxfId="2083" priority="164" stopIfTrue="1" operator="greaterThan">
      <formula>$F$80</formula>
    </cfRule>
  </conditionalFormatting>
  <conditionalFormatting sqref="E10:E24">
    <cfRule type="cellIs" dxfId="2082" priority="8" operator="lessThan">
      <formula>48</formula>
    </cfRule>
  </conditionalFormatting>
  <conditionalFormatting sqref="E52 E53:F53">
    <cfRule type="cellIs" dxfId="2081" priority="169" stopIfTrue="1" operator="greaterThan">
      <formula>100</formula>
    </cfRule>
  </conditionalFormatting>
  <conditionalFormatting sqref="E53">
    <cfRule type="cellIs" dxfId="2080" priority="167" stopIfTrue="1" operator="greaterThan">
      <formula>100</formula>
    </cfRule>
    <cfRule type="cellIs" dxfId="2079" priority="166" stopIfTrue="1" operator="lessThan">
      <formula>96.8</formula>
    </cfRule>
  </conditionalFormatting>
  <conditionalFormatting sqref="E69:E77">
    <cfRule type="cellIs" dxfId="2078" priority="38" stopIfTrue="1" operator="lessThanOrEqual">
      <formula>0</formula>
    </cfRule>
  </conditionalFormatting>
  <conditionalFormatting sqref="E69:E78">
    <cfRule type="cellIs" dxfId="2077" priority="39" stopIfTrue="1" operator="greaterThan">
      <formula>$F69</formula>
    </cfRule>
    <cfRule type="cellIs" dxfId="2076" priority="40" stopIfTrue="1" operator="lessThanOrEqual">
      <formula>0</formula>
    </cfRule>
  </conditionalFormatting>
  <conditionalFormatting sqref="E78">
    <cfRule type="cellIs" dxfId="2075" priority="41" stopIfTrue="1" operator="lessThanOrEqual">
      <formula>0</formula>
    </cfRule>
  </conditionalFormatting>
  <conditionalFormatting sqref="E80:E88">
    <cfRule type="cellIs" dxfId="2074" priority="158" stopIfTrue="1" operator="greaterThan">
      <formula>4.5</formula>
    </cfRule>
    <cfRule type="cellIs" dxfId="2073" priority="159" stopIfTrue="1" operator="lessThanOrEqual">
      <formula>0</formula>
    </cfRule>
  </conditionalFormatting>
  <conditionalFormatting sqref="E53:F53 E52">
    <cfRule type="cellIs" dxfId="2072" priority="168" stopIfTrue="1" operator="lessThan">
      <formula>96.5</formula>
    </cfRule>
  </conditionalFormatting>
  <conditionalFormatting sqref="F10:F24">
    <cfRule type="cellIs" dxfId="2071" priority="9" operator="greaterThan">
      <formula>60</formula>
    </cfRule>
  </conditionalFormatting>
  <conditionalFormatting sqref="F53">
    <cfRule type="cellIs" dxfId="2070" priority="184" stopIfTrue="1" operator="lessThan">
      <formula>96.8</formula>
    </cfRule>
    <cfRule type="cellIs" dxfId="2069" priority="185" stopIfTrue="1" operator="greaterThan">
      <formula>100</formula>
    </cfRule>
  </conditionalFormatting>
  <conditionalFormatting sqref="G10:G19 M10:N23 H10:H24">
    <cfRule type="expression" dxfId="2068" priority="10">
      <formula>IF(+(IF(G10&lt;#REF!,0,IF(G10&gt;#REF!,0,1)))=0,1)</formula>
    </cfRule>
  </conditionalFormatting>
  <conditionalFormatting sqref="G23">
    <cfRule type="expression" dxfId="2067" priority="14">
      <formula>IF(+(IF(G23&lt;#REF!,0,IF(G23&gt;#REF!,0,1)))=0,1)</formula>
    </cfRule>
  </conditionalFormatting>
  <conditionalFormatting sqref="G24">
    <cfRule type="expression" dxfId="2066" priority="13">
      <formula>IF(+(IF(G24&lt;S24,0,IF(G24&gt;T24,0,1)))=0,1)</formula>
    </cfRule>
  </conditionalFormatting>
  <conditionalFormatting sqref="G69:G72 F78">
    <cfRule type="cellIs" dxfId="2065" priority="47" stopIfTrue="1" operator="greaterThan">
      <formula>$F69</formula>
    </cfRule>
    <cfRule type="cellIs" dxfId="2064" priority="48" stopIfTrue="1" operator="lessThanOrEqual">
      <formula>0</formula>
    </cfRule>
  </conditionalFormatting>
  <conditionalFormatting sqref="G71:G72">
    <cfRule type="cellIs" dxfId="2063" priority="34" stopIfTrue="1" operator="lessThanOrEqual">
      <formula>0</formula>
    </cfRule>
    <cfRule type="cellIs" dxfId="2062" priority="33" stopIfTrue="1" operator="greaterThan">
      <formula>$F71</formula>
    </cfRule>
  </conditionalFormatting>
  <conditionalFormatting sqref="G73:G77">
    <cfRule type="cellIs" dxfId="2061" priority="50" stopIfTrue="1" operator="lessThanOrEqual">
      <formula>0</formula>
    </cfRule>
    <cfRule type="cellIs" dxfId="2060" priority="49" stopIfTrue="1" operator="greaterThan">
      <formula>$J73</formula>
    </cfRule>
  </conditionalFormatting>
  <conditionalFormatting sqref="G74">
    <cfRule type="cellIs" dxfId="2059" priority="192" stopIfTrue="1" operator="greaterThan">
      <formula>$F69</formula>
    </cfRule>
    <cfRule type="cellIs" dxfId="2058" priority="193" stopIfTrue="1" operator="lessThanOrEqual">
      <formula>0</formula>
    </cfRule>
  </conditionalFormatting>
  <conditionalFormatting sqref="G82:G87 C85 C87">
    <cfRule type="cellIs" dxfId="2057" priority="182" stopIfTrue="1" operator="lessThanOrEqual">
      <formula>0</formula>
    </cfRule>
    <cfRule type="cellIs" dxfId="2056" priority="181" stopIfTrue="1" operator="greaterThan">
      <formula>4.5</formula>
    </cfRule>
  </conditionalFormatting>
  <conditionalFormatting sqref="G81:H81">
    <cfRule type="cellIs" dxfId="2055" priority="162" stopIfTrue="1" operator="greaterThan">
      <formula>$F$80</formula>
    </cfRule>
    <cfRule type="cellIs" dxfId="2054" priority="163" stopIfTrue="1" operator="lessThanOrEqual">
      <formula>0</formula>
    </cfRule>
  </conditionalFormatting>
  <conditionalFormatting sqref="H38:H39 H52">
    <cfRule type="cellIs" dxfId="2053" priority="160" stopIfTrue="1" operator="greaterThan">
      <formula>0</formula>
    </cfRule>
  </conditionalFormatting>
  <conditionalFormatting sqref="H56">
    <cfRule type="cellIs" dxfId="2052" priority="63" stopIfTrue="1" operator="greaterThan">
      <formula>$F$70</formula>
    </cfRule>
    <cfRule type="cellIs" dxfId="2051" priority="61" stopIfTrue="1" operator="greaterThan">
      <formula>$F$72</formula>
    </cfRule>
    <cfRule type="cellIs" dxfId="2050" priority="62" stopIfTrue="1" operator="lessThanOrEqual">
      <formula>0</formula>
    </cfRule>
    <cfRule type="cellIs" dxfId="2049" priority="52" stopIfTrue="1" operator="lessThanOrEqual">
      <formula>0</formula>
    </cfRule>
    <cfRule type="cellIs" dxfId="2048" priority="53" stopIfTrue="1" operator="greaterThan">
      <formula>$F$69</formula>
    </cfRule>
  </conditionalFormatting>
  <conditionalFormatting sqref="H56:H57">
    <cfRule type="cellIs" dxfId="2047" priority="64" stopIfTrue="1" operator="lessThanOrEqual">
      <formula>0</formula>
    </cfRule>
  </conditionalFormatting>
  <conditionalFormatting sqref="H57 H59:H60">
    <cfRule type="cellIs" dxfId="2046" priority="90" stopIfTrue="1" operator="lessThanOrEqual">
      <formula>0</formula>
    </cfRule>
  </conditionalFormatting>
  <conditionalFormatting sqref="H57">
    <cfRule type="cellIs" dxfId="2045" priority="87" stopIfTrue="1" operator="greaterThan">
      <formula>$F$72</formula>
    </cfRule>
    <cfRule type="cellIs" dxfId="2044" priority="79" stopIfTrue="1" operator="greaterThan">
      <formula>$F$69</formula>
    </cfRule>
    <cfRule type="cellIs" dxfId="2043" priority="89" stopIfTrue="1" operator="greaterThan">
      <formula>$F$70</formula>
    </cfRule>
    <cfRule type="cellIs" dxfId="2042" priority="88" stopIfTrue="1" operator="lessThanOrEqual">
      <formula>0</formula>
    </cfRule>
  </conditionalFormatting>
  <conditionalFormatting sqref="H58">
    <cfRule type="cellIs" dxfId="2041" priority="31" stopIfTrue="1" operator="lessThanOrEqual">
      <formula>0</formula>
    </cfRule>
    <cfRule type="cellIs" dxfId="2040" priority="30" stopIfTrue="1" operator="greaterThan">
      <formula>$F$72</formula>
    </cfRule>
    <cfRule type="cellIs" dxfId="2039" priority="28" stopIfTrue="1" operator="greaterThan">
      <formula>$F$74</formula>
    </cfRule>
    <cfRule type="cellIs" dxfId="2038" priority="20" stopIfTrue="1" operator="greaterThan">
      <formula>$F$71</formula>
    </cfRule>
    <cfRule type="cellIs" dxfId="2037" priority="19" stopIfTrue="1" operator="lessThanOrEqual">
      <formula>0</formula>
    </cfRule>
    <cfRule type="cellIs" dxfId="2036" priority="29" stopIfTrue="1" operator="lessThanOrEqual">
      <formula>0</formula>
    </cfRule>
  </conditionalFormatting>
  <conditionalFormatting sqref="H59:H60">
    <cfRule type="cellIs" dxfId="2035" priority="102" stopIfTrue="1" operator="greaterThan">
      <formula>$F$70</formula>
    </cfRule>
    <cfRule type="cellIs" dxfId="2034" priority="100" stopIfTrue="1" operator="greaterThan">
      <formula>$F$72</formula>
    </cfRule>
    <cfRule type="cellIs" dxfId="2033" priority="103" stopIfTrue="1" operator="lessThanOrEqual">
      <formula>0</formula>
    </cfRule>
    <cfRule type="cellIs" dxfId="2032" priority="92" stopIfTrue="1" operator="greaterThan">
      <formula>$F$69</formula>
    </cfRule>
    <cfRule type="cellIs" dxfId="2031" priority="101" stopIfTrue="1" operator="lessThanOrEqual">
      <formula>0</formula>
    </cfRule>
  </conditionalFormatting>
  <conditionalFormatting sqref="H61:H62">
    <cfRule type="cellIs" dxfId="2030" priority="128" stopIfTrue="1" operator="greaterThan">
      <formula>#REF!</formula>
    </cfRule>
    <cfRule type="cellIs" dxfId="2029" priority="127" stopIfTrue="1" operator="lessThanOrEqual">
      <formula>0</formula>
    </cfRule>
    <cfRule type="cellIs" dxfId="2028" priority="136" stopIfTrue="1" operator="greaterThan">
      <formula>#REF!</formula>
    </cfRule>
    <cfRule type="cellIs" dxfId="2027" priority="137" stopIfTrue="1" operator="lessThanOrEqual">
      <formula>0</formula>
    </cfRule>
  </conditionalFormatting>
  <conditionalFormatting sqref="H63">
    <cfRule type="cellIs" dxfId="2026" priority="150" stopIfTrue="1" operator="greaterThan">
      <formula>$F$38</formula>
    </cfRule>
    <cfRule type="cellIs" dxfId="2025" priority="139" stopIfTrue="1" operator="lessThanOrEqual">
      <formula>0</formula>
    </cfRule>
    <cfRule type="cellIs" dxfId="2024" priority="148" stopIfTrue="1" operator="greaterThan">
      <formula>$F$40</formula>
    </cfRule>
    <cfRule type="cellIs" dxfId="2023" priority="149" stopIfTrue="1" operator="lessThanOrEqual">
      <formula>0</formula>
    </cfRule>
    <cfRule type="cellIs" dxfId="2022" priority="140" stopIfTrue="1" operator="greaterThan">
      <formula>$F$37</formula>
    </cfRule>
    <cfRule type="cellIs" dxfId="2021" priority="151" stopIfTrue="1" operator="lessThanOrEqual">
      <formula>0</formula>
    </cfRule>
  </conditionalFormatting>
  <conditionalFormatting sqref="H64:H65">
    <cfRule type="cellIs" dxfId="2020" priority="116" stopIfTrue="1" operator="greaterThan">
      <formula>#REF!</formula>
    </cfRule>
    <cfRule type="cellIs" dxfId="2019" priority="115" stopIfTrue="1" operator="lessThanOrEqual">
      <formula>0</formula>
    </cfRule>
    <cfRule type="cellIs" dxfId="2018" priority="124" stopIfTrue="1" operator="greaterThan">
      <formula>#REF!</formula>
    </cfRule>
    <cfRule type="cellIs" dxfId="2017" priority="125" stopIfTrue="1" operator="lessThanOrEqual">
      <formula>0</formula>
    </cfRule>
  </conditionalFormatting>
  <conditionalFormatting sqref="H80 H82:H88">
    <cfRule type="cellIs" dxfId="2016" priority="175" stopIfTrue="1" operator="lessThanOrEqual">
      <formula>0</formula>
    </cfRule>
    <cfRule type="cellIs" dxfId="2015" priority="174" stopIfTrue="1" operator="greaterThan">
      <formula>4.5</formula>
    </cfRule>
  </conditionalFormatting>
  <conditionalFormatting sqref="H56:I56">
    <cfRule type="cellIs" dxfId="2014" priority="54" stopIfTrue="1" operator="lessThanOrEqual">
      <formula>0</formula>
    </cfRule>
  </conditionalFormatting>
  <conditionalFormatting sqref="H56:I57 H59:I60">
    <cfRule type="cellIs" dxfId="2013" priority="51" stopIfTrue="1" operator="greaterThan">
      <formula>$F$71</formula>
    </cfRule>
  </conditionalFormatting>
  <conditionalFormatting sqref="H57:I57">
    <cfRule type="cellIs" dxfId="2012" priority="80" stopIfTrue="1" operator="lessThanOrEqual">
      <formula>0</formula>
    </cfRule>
  </conditionalFormatting>
  <conditionalFormatting sqref="H58:I58">
    <cfRule type="cellIs" dxfId="2011" priority="21" stopIfTrue="1" operator="lessThanOrEqual">
      <formula>0</formula>
    </cfRule>
    <cfRule type="cellIs" dxfId="2010" priority="18" stopIfTrue="1" operator="greaterThan">
      <formula>$F$73</formula>
    </cfRule>
  </conditionalFormatting>
  <conditionalFormatting sqref="H59:I60">
    <cfRule type="cellIs" dxfId="2009" priority="93" stopIfTrue="1" operator="lessThanOrEqual">
      <formula>0</formula>
    </cfRule>
  </conditionalFormatting>
  <conditionalFormatting sqref="H61:I62">
    <cfRule type="cellIs" dxfId="2008" priority="134" stopIfTrue="1" operator="greaterThan">
      <formula>#REF!</formula>
    </cfRule>
    <cfRule type="cellIs" dxfId="2007" priority="135" stopIfTrue="1" operator="lessThanOrEqual">
      <formula>0</formula>
    </cfRule>
    <cfRule type="cellIs" dxfId="2006" priority="126" stopIfTrue="1" operator="greaterThan">
      <formula>#REF!</formula>
    </cfRule>
    <cfRule type="cellIs" dxfId="2005" priority="129" stopIfTrue="1" operator="lessThanOrEqual">
      <formula>0</formula>
    </cfRule>
  </conditionalFormatting>
  <conditionalFormatting sqref="H63:I63">
    <cfRule type="cellIs" dxfId="2004" priority="141" stopIfTrue="1" operator="lessThanOrEqual">
      <formula>0</formula>
    </cfRule>
    <cfRule type="cellIs" dxfId="2003" priority="138" stopIfTrue="1" operator="greaterThan">
      <formula>$F$39</formula>
    </cfRule>
  </conditionalFormatting>
  <conditionalFormatting sqref="H64:I65">
    <cfRule type="cellIs" dxfId="2002" priority="117" stopIfTrue="1" operator="lessThanOrEqual">
      <formula>0</formula>
    </cfRule>
    <cfRule type="cellIs" dxfId="2001" priority="123" stopIfTrue="1" operator="lessThanOrEqual">
      <formula>0</formula>
    </cfRule>
    <cfRule type="cellIs" dxfId="2000" priority="122" stopIfTrue="1" operator="greaterThan">
      <formula>#REF!</formula>
    </cfRule>
    <cfRule type="cellIs" dxfId="1999" priority="114" stopIfTrue="1" operator="greaterThan">
      <formula>#REF!</formula>
    </cfRule>
  </conditionalFormatting>
  <conditionalFormatting sqref="H69:I76">
    <cfRule type="cellIs" dxfId="1998" priority="36" stopIfTrue="1" operator="greaterThan">
      <formula>$J69</formula>
    </cfRule>
    <cfRule type="cellIs" dxfId="1997" priority="37" stopIfTrue="1" operator="lessThanOrEqual">
      <formula>0</formula>
    </cfRule>
  </conditionalFormatting>
  <conditionalFormatting sqref="H77:I77">
    <cfRule type="cellIs" dxfId="1996" priority="44" operator="greaterThan">
      <formula>5.3</formula>
    </cfRule>
  </conditionalFormatting>
  <conditionalFormatting sqref="H78:I78">
    <cfRule type="cellIs" dxfId="1995" priority="42" stopIfTrue="1" operator="greaterThan">
      <formula>$J78</formula>
    </cfRule>
    <cfRule type="cellIs" dxfId="1994" priority="43" stopIfTrue="1" operator="lessThanOrEqual">
      <formula>0</formula>
    </cfRule>
  </conditionalFormatting>
  <conditionalFormatting sqref="I56">
    <cfRule type="cellIs" dxfId="1993" priority="57" stopIfTrue="1" operator="greaterThan">
      <formula>$F$71</formula>
    </cfRule>
    <cfRule type="cellIs" dxfId="1992" priority="56" stopIfTrue="1" operator="lessThanOrEqual">
      <formula>0</formula>
    </cfRule>
    <cfRule type="cellIs" dxfId="1991" priority="55" stopIfTrue="1" operator="greaterThan">
      <formula>$F$69</formula>
    </cfRule>
    <cfRule type="cellIs" dxfId="1990" priority="60" stopIfTrue="1" operator="lessThanOrEqual">
      <formula>0</formula>
    </cfRule>
    <cfRule type="cellIs" dxfId="1989" priority="59" stopIfTrue="1" operator="greaterThan">
      <formula>$F$69</formula>
    </cfRule>
    <cfRule type="cellIs" dxfId="1988" priority="58" stopIfTrue="1" operator="lessThanOrEqual">
      <formula>0</formula>
    </cfRule>
  </conditionalFormatting>
  <conditionalFormatting sqref="I57">
    <cfRule type="cellIs" dxfId="1987" priority="82" stopIfTrue="1" operator="lessThanOrEqual">
      <formula>0</formula>
    </cfRule>
    <cfRule type="cellIs" dxfId="1986" priority="81" stopIfTrue="1" operator="greaterThan">
      <formula>$F$69</formula>
    </cfRule>
    <cfRule type="cellIs" dxfId="1985" priority="83" stopIfTrue="1" operator="greaterThan">
      <formula>$F$71</formula>
    </cfRule>
    <cfRule type="cellIs" dxfId="1984" priority="84" stopIfTrue="1" operator="lessThanOrEqual">
      <formula>0</formula>
    </cfRule>
    <cfRule type="cellIs" dxfId="1983" priority="86" stopIfTrue="1" operator="lessThanOrEqual">
      <formula>0</formula>
    </cfRule>
    <cfRule type="cellIs" dxfId="1982" priority="85" stopIfTrue="1" operator="greaterThan">
      <formula>$F$69</formula>
    </cfRule>
  </conditionalFormatting>
  <conditionalFormatting sqref="I58">
    <cfRule type="cellIs" dxfId="1981" priority="26" stopIfTrue="1" operator="greaterThan">
      <formula>$F$71</formula>
    </cfRule>
    <cfRule type="cellIs" dxfId="1980" priority="22" stopIfTrue="1" operator="greaterThan">
      <formula>$F$71</formula>
    </cfRule>
    <cfRule type="cellIs" dxfId="1979" priority="24" stopIfTrue="1" operator="greaterThan">
      <formula>$F$73</formula>
    </cfRule>
    <cfRule type="cellIs" dxfId="1978" priority="25" stopIfTrue="1" operator="lessThanOrEqual">
      <formula>0</formula>
    </cfRule>
    <cfRule type="cellIs" dxfId="1977" priority="27" stopIfTrue="1" operator="lessThanOrEqual">
      <formula>0</formula>
    </cfRule>
    <cfRule type="cellIs" dxfId="1976" priority="23" stopIfTrue="1" operator="lessThanOrEqual">
      <formula>0</formula>
    </cfRule>
  </conditionalFormatting>
  <conditionalFormatting sqref="I59:I60">
    <cfRule type="cellIs" dxfId="1975" priority="97" stopIfTrue="1" operator="lessThanOrEqual">
      <formula>0</formula>
    </cfRule>
    <cfRule type="cellIs" dxfId="1974" priority="98" stopIfTrue="1" operator="greaterThan">
      <formula>$F$69</formula>
    </cfRule>
    <cfRule type="cellIs" dxfId="1973" priority="96" stopIfTrue="1" operator="greaterThan">
      <formula>$F$71</formula>
    </cfRule>
    <cfRule type="cellIs" dxfId="1972" priority="95" stopIfTrue="1" operator="lessThanOrEqual">
      <formula>0</formula>
    </cfRule>
    <cfRule type="cellIs" dxfId="1971" priority="94" stopIfTrue="1" operator="greaterThan">
      <formula>$F$69</formula>
    </cfRule>
    <cfRule type="cellIs" dxfId="1970" priority="99" stopIfTrue="1" operator="lessThanOrEqual">
      <formula>0</formula>
    </cfRule>
  </conditionalFormatting>
  <conditionalFormatting sqref="I61:I62">
    <cfRule type="cellIs" dxfId="1969" priority="133" stopIfTrue="1" operator="lessThanOrEqual">
      <formula>0</formula>
    </cfRule>
    <cfRule type="cellIs" dxfId="1968" priority="132" stopIfTrue="1" operator="greaterThan">
      <formula>#REF!</formula>
    </cfRule>
    <cfRule type="cellIs" dxfId="1967" priority="131" stopIfTrue="1" operator="lessThanOrEqual">
      <formula>0</formula>
    </cfRule>
    <cfRule type="cellIs" dxfId="1966" priority="130" stopIfTrue="1" operator="greaterThan">
      <formula>#REF!</formula>
    </cfRule>
  </conditionalFormatting>
  <conditionalFormatting sqref="I63">
    <cfRule type="cellIs" dxfId="1965" priority="146" stopIfTrue="1" operator="greaterThan">
      <formula>$F$37</formula>
    </cfRule>
    <cfRule type="cellIs" dxfId="1964" priority="147" stopIfTrue="1" operator="lessThanOrEqual">
      <formula>0</formula>
    </cfRule>
    <cfRule type="cellIs" dxfId="1963" priority="142" stopIfTrue="1" operator="greaterThan">
      <formula>$F$37</formula>
    </cfRule>
    <cfRule type="cellIs" dxfId="1962" priority="143" stopIfTrue="1" operator="lessThanOrEqual">
      <formula>0</formula>
    </cfRule>
    <cfRule type="cellIs" dxfId="1961" priority="144" stopIfTrue="1" operator="greaterThan">
      <formula>$F$39</formula>
    </cfRule>
    <cfRule type="cellIs" dxfId="1960" priority="145" stopIfTrue="1" operator="lessThanOrEqual">
      <formula>0</formula>
    </cfRule>
  </conditionalFormatting>
  <conditionalFormatting sqref="I64:I65">
    <cfRule type="cellIs" dxfId="1959" priority="118" stopIfTrue="1" operator="greaterThan">
      <formula>#REF!</formula>
    </cfRule>
    <cfRule type="cellIs" dxfId="1958" priority="119" stopIfTrue="1" operator="lessThanOrEqual">
      <formula>0</formula>
    </cfRule>
    <cfRule type="cellIs" dxfId="1957" priority="120" stopIfTrue="1" operator="greaterThan">
      <formula>#REF!</formula>
    </cfRule>
    <cfRule type="cellIs" dxfId="1956" priority="121" stopIfTrue="1" operator="lessThanOrEqual">
      <formula>0</formula>
    </cfRule>
  </conditionalFormatting>
  <conditionalFormatting sqref="I80:I88">
    <cfRule type="cellIs" dxfId="1955" priority="170" stopIfTrue="1" operator="greaterThan">
      <formula>4.5</formula>
    </cfRule>
    <cfRule type="cellIs" dxfId="1954" priority="171" stopIfTrue="1" operator="lessThanOrEqual">
      <formula>0</formula>
    </cfRule>
  </conditionalFormatting>
  <conditionalFormatting sqref="I10:J24">
    <cfRule type="cellIs" dxfId="1953" priority="2" operator="lessThan">
      <formula>97.9</formula>
    </cfRule>
  </conditionalFormatting>
  <conditionalFormatting sqref="J27:J29">
    <cfRule type="cellIs" dxfId="1952" priority="17" operator="lessThan">
      <formula>97.95</formula>
    </cfRule>
  </conditionalFormatting>
  <conditionalFormatting sqref="J28:J31">
    <cfRule type="cellIs" dxfId="1951" priority="152" operator="lessThan">
      <formula>97.4</formula>
    </cfRule>
  </conditionalFormatting>
  <conditionalFormatting sqref="J32:J33">
    <cfRule type="cellIs" dxfId="1950" priority="153" operator="lessThan">
      <formula>98</formula>
    </cfRule>
  </conditionalFormatting>
  <conditionalFormatting sqref="J34:J35">
    <cfRule type="cellIs" dxfId="1949" priority="155" stopIfTrue="1" operator="greaterThan">
      <formula>100</formula>
    </cfRule>
    <cfRule type="cellIs" dxfId="1948" priority="154" stopIfTrue="1" operator="lessThan">
      <formula>96.8</formula>
    </cfRule>
  </conditionalFormatting>
  <conditionalFormatting sqref="J34:J36">
    <cfRule type="cellIs" dxfId="1947" priority="156" operator="lessThan">
      <formula>98</formula>
    </cfRule>
  </conditionalFormatting>
  <conditionalFormatting sqref="J65">
    <cfRule type="cellIs" dxfId="1946" priority="106" stopIfTrue="1" operator="greaterThan">
      <formula>#REF!</formula>
    </cfRule>
    <cfRule type="cellIs" dxfId="1945" priority="107" stopIfTrue="1" operator="lessThanOrEqual">
      <formula>0</formula>
    </cfRule>
    <cfRule type="cellIs" dxfId="1944" priority="108" stopIfTrue="1" operator="greaterThan">
      <formula>#REF!</formula>
    </cfRule>
    <cfRule type="cellIs" dxfId="1943" priority="109" stopIfTrue="1" operator="lessThanOrEqual">
      <formula>0</formula>
    </cfRule>
    <cfRule type="cellIs" dxfId="1942" priority="110" stopIfTrue="1" operator="greaterThan">
      <formula>#REF!</formula>
    </cfRule>
    <cfRule type="cellIs" dxfId="1941" priority="111" stopIfTrue="1" operator="lessThanOrEqual">
      <formula>0</formula>
    </cfRule>
    <cfRule type="cellIs" dxfId="1940" priority="112" stopIfTrue="1" operator="greaterThan">
      <formula>#REF!</formula>
    </cfRule>
    <cfRule type="cellIs" dxfId="1939" priority="113" stopIfTrue="1" operator="lessThanOrEqual">
      <formula>0</formula>
    </cfRule>
  </conditionalFormatting>
  <conditionalFormatting sqref="J78">
    <cfRule type="cellIs" dxfId="1938" priority="45" stopIfTrue="1" operator="greaterThan">
      <formula>$F78</formula>
    </cfRule>
    <cfRule type="cellIs" dxfId="1937" priority="46" stopIfTrue="1" operator="lessThanOrEqual">
      <formula>0</formula>
    </cfRule>
  </conditionalFormatting>
  <conditionalFormatting sqref="K10:K24">
    <cfRule type="cellIs" dxfId="1936" priority="5" operator="greaterThan">
      <formula>6.4</formula>
    </cfRule>
    <cfRule type="cellIs" dxfId="1935" priority="3" operator="greaterThan">
      <formula>6</formula>
    </cfRule>
    <cfRule type="cellIs" dxfId="1934" priority="4" operator="lessThan">
      <formula>4</formula>
    </cfRule>
  </conditionalFormatting>
  <conditionalFormatting sqref="K56:K65">
    <cfRule type="cellIs" dxfId="1933" priority="91" stopIfTrue="1" operator="lessThan">
      <formula>100%</formula>
    </cfRule>
  </conditionalFormatting>
  <conditionalFormatting sqref="K69:K77">
    <cfRule type="cellIs" dxfId="1932" priority="35" stopIfTrue="1" operator="lessThan">
      <formula>100%</formula>
    </cfRule>
  </conditionalFormatting>
  <conditionalFormatting sqref="K80:K85">
    <cfRule type="cellIs" dxfId="1931" priority="176" stopIfTrue="1" operator="lessThan">
      <formula>100%</formula>
    </cfRule>
  </conditionalFormatting>
  <conditionalFormatting sqref="K87:K88">
    <cfRule type="cellIs" dxfId="1930" priority="183" stopIfTrue="1" operator="lessThan">
      <formula>100%</formula>
    </cfRule>
  </conditionalFormatting>
  <conditionalFormatting sqref="L10:L24">
    <cfRule type="cellIs" dxfId="1929" priority="7" operator="greaterThan">
      <formula>65</formula>
    </cfRule>
    <cfRule type="cellIs" dxfId="1928" priority="6" operator="between">
      <formula>61</formula>
      <formula>65</formula>
    </cfRule>
  </conditionalFormatting>
  <conditionalFormatting sqref="L27:M38">
    <cfRule type="cellIs" dxfId="1927" priority="16" operator="lessThan">
      <formula>97.95</formula>
    </cfRule>
  </conditionalFormatting>
  <conditionalFormatting sqref="L42:N42">
    <cfRule type="cellIs" dxfId="1926" priority="15" operator="notEqual">
      <formula>#REF!</formula>
    </cfRule>
  </conditionalFormatting>
  <conditionalFormatting sqref="L69:N78">
    <cfRule type="cellIs" dxfId="1925" priority="32" stopIfTrue="1" operator="lessThan">
      <formula>100%</formula>
    </cfRule>
  </conditionalFormatting>
  <conditionalFormatting sqref="L80:N88">
    <cfRule type="cellIs" dxfId="1924" priority="161" stopIfTrue="1" operator="lessThan">
      <formula>100%</formula>
    </cfRule>
  </conditionalFormatting>
  <conditionalFormatting sqref="M24">
    <cfRule type="expression" dxfId="1923" priority="12">
      <formula>IF(+(IF(M24&lt;U24,0,IF(M24&gt;V24,0,1)))=0,1)</formula>
    </cfRule>
  </conditionalFormatting>
  <conditionalFormatting sqref="N10:N24">
    <cfRule type="expression" dxfId="1922" priority="11">
      <formula>IF(+(IF(N10&lt;W10,0,IF(N10&gt;X10,0,1)))=0,1)</formula>
    </cfRule>
  </conditionalFormatting>
  <conditionalFormatting sqref="P6">
    <cfRule type="cellIs" dxfId="1921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" zoomScale="85" zoomScaleNormal="85" workbookViewId="0">
      <selection activeCell="B13" sqref="B13:O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[30]Brewhouse!$A805</f>
        <v>CA755</v>
      </c>
      <c r="D10" s="279">
        <f>[30]Brewhouse!$AF805</f>
        <v>47</v>
      </c>
      <c r="E10" s="279">
        <f>[30]Brewhouse!$AI805</f>
        <v>48.3</v>
      </c>
      <c r="F10" s="278">
        <f>[30]Brewhouse!$V805</f>
        <v>60</v>
      </c>
      <c r="G10" s="279">
        <f>[30]Brewhouse!AG805</f>
        <v>11.9</v>
      </c>
      <c r="H10" s="396">
        <v>11.8</v>
      </c>
      <c r="I10" s="368">
        <f>[30]Brewhouse!$AU805</f>
        <v>95.339517540422776</v>
      </c>
      <c r="J10" s="368">
        <f>[30]Brewhouse!$AV805</f>
        <v>96.189962817201078</v>
      </c>
      <c r="K10" s="281">
        <f>[30]Brewhouse!$Q805</f>
        <v>14.296296296296292</v>
      </c>
      <c r="L10" s="276">
        <f>[30]Brewhouse!$P805</f>
        <v>60</v>
      </c>
      <c r="M10" s="374">
        <f>[30]Brewhouse!$U805-[30]Brewhouse!$T805</f>
        <v>0.11874999999999999</v>
      </c>
      <c r="N10" s="370">
        <f>[30]Brewhouse!$Z805</f>
        <v>0.26666666666666666</v>
      </c>
      <c r="O10" s="419" t="str">
        <f>[30]Brewhouse!$AX805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[30]Brewhouse!$A806</f>
        <v>CA756</v>
      </c>
      <c r="D11" s="279">
        <f>[30]Brewhouse!$AF806</f>
        <v>49.9</v>
      </c>
      <c r="E11" s="279">
        <f>[30]Brewhouse!$AI806</f>
        <v>50.4</v>
      </c>
      <c r="F11" s="278">
        <f>[30]Brewhouse!$V806</f>
        <v>63</v>
      </c>
      <c r="G11" s="279">
        <f>[30]Brewhouse!AG806</f>
        <v>11.6</v>
      </c>
      <c r="H11" s="396">
        <v>11.7</v>
      </c>
      <c r="I11" s="368">
        <f>[30]Brewhouse!$AU806</f>
        <v>96.968036957171023</v>
      </c>
      <c r="J11" s="368">
        <f>[30]Brewhouse!$AV806</f>
        <v>97.83295193865905</v>
      </c>
      <c r="K11" s="281">
        <f>[30]Brewhouse!$Q806</f>
        <v>9.0942698706099847</v>
      </c>
      <c r="L11" s="276">
        <f>[30]Brewhouse!$P806</f>
        <v>57</v>
      </c>
      <c r="M11" s="374">
        <f>[30]Brewhouse!$U806-[30]Brewhouse!$T806</f>
        <v>0.1111111111111111</v>
      </c>
      <c r="N11" s="370">
        <f>[30]Brewhouse!$Z806</f>
        <v>0.27499999999999997</v>
      </c>
      <c r="O11" s="419" t="str">
        <f>[30]Brewhouse!$AX806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[30]Brewhouse!$A807</f>
        <v>CA757</v>
      </c>
      <c r="D12" s="279">
        <f>[30]Brewhouse!$AF807</f>
        <v>49.9</v>
      </c>
      <c r="E12" s="279">
        <f>[30]Brewhouse!$AI807</f>
        <v>50.4</v>
      </c>
      <c r="F12" s="278">
        <f>[30]Brewhouse!$V807</f>
        <v>61</v>
      </c>
      <c r="G12" s="279">
        <f>[30]Brewhouse!AG807</f>
        <v>11.8</v>
      </c>
      <c r="H12" s="493"/>
      <c r="I12" s="368">
        <f>[30]Brewhouse!$AU807</f>
        <v>98.118953814827094</v>
      </c>
      <c r="J12" s="368">
        <f>[30]Brewhouse!$AV807</f>
        <v>98.994421335445963</v>
      </c>
      <c r="K12" s="281">
        <f>[30]Brewhouse!$Q807</f>
        <v>9.0942698706099847</v>
      </c>
      <c r="L12" s="276">
        <f>[30]Brewhouse!$P807</f>
        <v>59</v>
      </c>
      <c r="M12" s="374">
        <f>[30]Brewhouse!$U807-[30]Brewhouse!$T807</f>
        <v>0.10625000000000001</v>
      </c>
      <c r="N12" s="370">
        <f>[30]Brewhouse!$Z807</f>
        <v>0.26388888888888895</v>
      </c>
      <c r="O12" s="419" t="str">
        <f>[30]Brewhouse!$AX807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[30]Brewhouse!$A808</f>
        <v>CA758</v>
      </c>
      <c r="D13" s="279">
        <f>[30]Brewhouse!$AF808</f>
        <v>50.1</v>
      </c>
      <c r="E13" s="279">
        <f>[30]Brewhouse!$AI808</f>
        <v>50.7</v>
      </c>
      <c r="F13" s="278">
        <f>[30]Brewhouse!$V808</f>
        <v>61</v>
      </c>
      <c r="G13" s="279">
        <f>[30]Brewhouse!AG808</f>
        <v>11.6</v>
      </c>
      <c r="H13" s="396">
        <v>11.7</v>
      </c>
      <c r="I13" s="368">
        <f>[30]Brewhouse!$AU808</f>
        <v>97.30356117947872</v>
      </c>
      <c r="J13" s="368">
        <f>[30]Brewhouse!$AV808</f>
        <v>98.171583101883058</v>
      </c>
      <c r="K13" s="281">
        <f>[30]Brewhouse!$Q808</f>
        <v>8.7245841035120115</v>
      </c>
      <c r="L13" s="276">
        <f>[30]Brewhouse!$P808</f>
        <v>59</v>
      </c>
      <c r="M13" s="374">
        <f>[30]Brewhouse!$U808-[30]Brewhouse!$T808</f>
        <v>0.11736111111111114</v>
      </c>
      <c r="N13" s="370">
        <f>[30]Brewhouse!$Z808</f>
        <v>0.27847222222222223</v>
      </c>
      <c r="O13" s="419" t="str">
        <f>[30]Brewhouse!$AX808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[29]Brewhouse!$A392</f>
        <v>ST333</v>
      </c>
      <c r="D16" s="279">
        <f>[29]Brewhouse!$AB392</f>
        <v>53.2</v>
      </c>
      <c r="E16" s="279">
        <f>[29]Brewhouse!$AG392</f>
        <v>49.7</v>
      </c>
      <c r="F16" s="278">
        <f>[29]Brewhouse!$V392</f>
        <v>61</v>
      </c>
      <c r="G16" s="279">
        <f>[29]Brewhouse!$AE392</f>
        <v>11.6</v>
      </c>
      <c r="H16" s="396">
        <v>11.6</v>
      </c>
      <c r="I16" s="368">
        <f>[29]Brewhouse!$AS392</f>
        <v>96.764214336728287</v>
      </c>
      <c r="J16" s="368">
        <f>[29]Brewhouse!$AT392</f>
        <v>97.389696666641669</v>
      </c>
      <c r="K16" s="281">
        <f>[29]Brewhouse!$Q392</f>
        <v>11.983082706766917</v>
      </c>
      <c r="L16" s="276">
        <f>[29]Brewhouse!$P392</f>
        <v>58</v>
      </c>
      <c r="M16" s="374">
        <f>[29]Brewhouse!$U392-[29]Brewhouse!$T392</f>
        <v>0.11180555555555549</v>
      </c>
      <c r="N16" s="370">
        <f>[29]Brewhouse!$AW392</f>
        <v>0.27777777777777768</v>
      </c>
      <c r="O16" s="419" t="str">
        <f>[29]Brewhouse!$AV392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[29]Brewhouse!$A393</f>
        <v>ST334</v>
      </c>
      <c r="D17" s="279">
        <f>[29]Brewhouse!$AB393</f>
        <v>53</v>
      </c>
      <c r="E17" s="279">
        <f>[29]Brewhouse!$AG393</f>
        <v>49.7</v>
      </c>
      <c r="F17" s="278">
        <f>[29]Brewhouse!$V393</f>
        <v>61</v>
      </c>
      <c r="G17" s="279">
        <f>[29]Brewhouse!$AE393</f>
        <v>11.9</v>
      </c>
      <c r="H17" s="396">
        <v>11.9</v>
      </c>
      <c r="I17" s="368">
        <f>[29]Brewhouse!$AS393</f>
        <v>98.288600505062334</v>
      </c>
      <c r="J17" s="368">
        <f>[29]Brewhouse!$AT393</f>
        <v>98.925798193130305</v>
      </c>
      <c r="K17" s="281">
        <f>[29]Brewhouse!$Q393</f>
        <v>10.896226415094338</v>
      </c>
      <c r="L17" s="276">
        <f>[29]Brewhouse!$P393</f>
        <v>58</v>
      </c>
      <c r="M17" s="374">
        <f>[29]Brewhouse!$U393-[29]Brewhouse!$T393</f>
        <v>0.11388888888888882</v>
      </c>
      <c r="N17" s="370">
        <f>[29]Brewhouse!$AW393</f>
        <v>0.28263888888888888</v>
      </c>
      <c r="O17" s="419" t="str">
        <f>[29]Brewhouse!$AV393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[29]Brewhouse!$A394</f>
        <v>ST335</v>
      </c>
      <c r="D18" s="279">
        <f>[29]Brewhouse!$AB394</f>
        <v>53.1</v>
      </c>
      <c r="E18" s="279">
        <f>[29]Brewhouse!$AG394</f>
        <v>48.7</v>
      </c>
      <c r="F18" s="278">
        <f>[29]Brewhouse!$V394</f>
        <v>55</v>
      </c>
      <c r="G18" s="279">
        <f>[29]Brewhouse!$AE394</f>
        <v>11.8</v>
      </c>
      <c r="H18" s="490">
        <v>12.1</v>
      </c>
      <c r="I18" s="368">
        <f>[29]Brewhouse!$AS394</f>
        <v>97.025470988738689</v>
      </c>
      <c r="J18" s="368">
        <f>[29]Brewhouse!$AT394</f>
        <v>97.651811894321455</v>
      </c>
      <c r="K18" s="281">
        <f>[29]Brewhouse!$Q394</f>
        <v>10.875706214689263</v>
      </c>
      <c r="L18" s="276">
        <f>[29]Brewhouse!$P394</f>
        <v>59</v>
      </c>
      <c r="M18" s="374">
        <f>[29]Brewhouse!$U394-[29]Brewhouse!$T394</f>
        <v>0.11736111111111114</v>
      </c>
      <c r="N18" s="370">
        <f>[29]Brewhouse!$AW394</f>
        <v>0.29236111111111118</v>
      </c>
      <c r="O18" s="419" t="str">
        <f>[29]Brewhouse!$AV394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[29]Brewhouse!$A395</f>
        <v>ST336</v>
      </c>
      <c r="D19" s="279">
        <f>[29]Brewhouse!$AB395</f>
        <v>53</v>
      </c>
      <c r="E19" s="279">
        <f>[29]Brewhouse!$AG395</f>
        <v>49.2</v>
      </c>
      <c r="F19" s="278">
        <f>[29]Brewhouse!$V395</f>
        <v>59</v>
      </c>
      <c r="G19" s="279">
        <f>[29]Brewhouse!$AE395</f>
        <v>11.8</v>
      </c>
      <c r="H19" s="490">
        <v>12.1</v>
      </c>
      <c r="I19" s="368">
        <f>[29]Brewhouse!$AS395</f>
        <v>97.898131022692681</v>
      </c>
      <c r="J19" s="368">
        <f>[29]Brewhouse!$AT395</f>
        <v>98.530315524604035</v>
      </c>
      <c r="K19" s="281">
        <f>[29]Brewhouse!$Q395</f>
        <v>9.3867924528301909</v>
      </c>
      <c r="L19" s="276">
        <f>[29]Brewhouse!$P395</f>
        <v>60</v>
      </c>
      <c r="M19" s="374">
        <f>[29]Brewhouse!$U395-[29]Brewhouse!$T395</f>
        <v>0.11458333333333326</v>
      </c>
      <c r="N19" s="370">
        <f>[29]Brewhouse!$AW395</f>
        <v>0.28749999999999998</v>
      </c>
      <c r="O19" s="419" t="str">
        <f>[29]Brewhouse!$AV395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[29]Brewhouse!$A396</f>
        <v>ST337</v>
      </c>
      <c r="D20" s="279">
        <f>[29]Brewhouse!$AB396</f>
        <v>53</v>
      </c>
      <c r="E20" s="279">
        <f>[29]Brewhouse!$AG396</f>
        <v>49.1</v>
      </c>
      <c r="F20" s="278">
        <f>[29]Brewhouse!$V396</f>
        <v>59</v>
      </c>
      <c r="G20" s="279">
        <f>[29]Brewhouse!$AE396</f>
        <v>11.7</v>
      </c>
      <c r="H20" s="490">
        <v>12.1</v>
      </c>
      <c r="I20" s="368">
        <f>[29]Brewhouse!$AS396</f>
        <v>96.950396118265601</v>
      </c>
      <c r="J20" s="368">
        <f>[29]Brewhouse!$AT396</f>
        <v>97.57625238345571</v>
      </c>
      <c r="K20" s="281">
        <f>[29]Brewhouse!$Q396</f>
        <v>9.3867924528301909</v>
      </c>
      <c r="L20" s="276">
        <f>[29]Brewhouse!$P396</f>
        <v>60</v>
      </c>
      <c r="M20" s="374">
        <f>[29]Brewhouse!$U396-[29]Brewhouse!$T396</f>
        <v>0.13750000000000018</v>
      </c>
      <c r="N20" s="370">
        <f>[29]Brewhouse!$AW396</f>
        <v>0.30208333333333348</v>
      </c>
      <c r="O20" s="419" t="str">
        <f>[29]Brewhouse!$AV396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61"/>
      <c r="J32" s="561"/>
      <c r="K32" s="561"/>
      <c r="L32" s="561"/>
      <c r="M32" s="561"/>
      <c r="N32" s="561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39" t="s">
        <v>35</v>
      </c>
      <c r="E33" s="540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620"/>
      <c r="C34" s="483"/>
      <c r="D34" s="565"/>
      <c r="E34" s="566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COUNTA([30]Brewhouse!$A$789:$A$808)</f>
        <v>20</v>
      </c>
      <c r="L34" s="305">
        <f>AVERAGE([30]Brewhouse!$AU$789:$AU$808)</f>
        <v>97.589415567513441</v>
      </c>
      <c r="M34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63"/>
      <c r="C35" s="362"/>
      <c r="D35" s="567"/>
      <c r="E35" s="568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COUNTA([29]Brewhouse!$A$390:$A$396)</f>
        <v>7</v>
      </c>
      <c r="L35" s="302">
        <f>AVERAGE([29]Brewhouse!$AS$390:$AS$396)</f>
        <v>97.862957873137887</v>
      </c>
      <c r="M35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63"/>
      <c r="C36" s="362"/>
      <c r="D36" s="616"/>
      <c r="E36" s="617"/>
      <c r="F36" s="294"/>
      <c r="G36" s="294"/>
      <c r="H36" s="348"/>
      <c r="I36" s="34" t="s">
        <v>12</v>
      </c>
      <c r="J36" s="323"/>
      <c r="K36" s="284"/>
      <c r="L36" s="302"/>
      <c r="M36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63"/>
      <c r="C37" s="362"/>
      <c r="D37" s="580"/>
      <c r="E37" s="568"/>
      <c r="F37" s="294"/>
      <c r="G37" s="294"/>
      <c r="H37" s="348"/>
      <c r="I37" s="22" t="s">
        <v>33</v>
      </c>
      <c r="J37" s="280"/>
      <c r="K37" s="284"/>
      <c r="L37" s="302"/>
      <c r="M37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63"/>
      <c r="C38" s="362"/>
      <c r="D38" s="616"/>
      <c r="E38" s="617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63"/>
      <c r="C39" s="362"/>
      <c r="D39" s="580"/>
      <c r="E39" s="568"/>
      <c r="F39" s="416"/>
      <c r="G39" s="294"/>
      <c r="H39" s="348"/>
      <c r="I39" s="36" t="s">
        <v>15</v>
      </c>
      <c r="J39" s="323"/>
      <c r="K39" s="284"/>
      <c r="L39" s="302"/>
      <c r="M39" s="302">
        <f>AVERAGE([33]Brewhouse!$AT$4:$AT$11,[33]Brewhouse!$AT$13:$AT$16,[33]Brewhouse!$AT$18:$AT$30)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63"/>
      <c r="C40" s="362"/>
      <c r="D40" s="616"/>
      <c r="E40" s="617"/>
      <c r="F40" s="416"/>
      <c r="G40" s="294"/>
      <c r="H40" s="348"/>
      <c r="I40" s="37" t="s">
        <v>16</v>
      </c>
      <c r="J40" s="323"/>
      <c r="K40" s="284"/>
      <c r="L40" s="302"/>
      <c r="M40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63"/>
      <c r="C41" s="362"/>
      <c r="D41" s="580"/>
      <c r="E41" s="568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63"/>
      <c r="C42" s="362"/>
      <c r="D42" s="616"/>
      <c r="E42" s="617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63"/>
      <c r="C43" s="362"/>
      <c r="D43" s="580"/>
      <c r="E43" s="568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63"/>
      <c r="C44" s="349"/>
      <c r="D44" s="565"/>
      <c r="E44" s="566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AVERAGE('[35]Jan30th-31st'!$L$42,'[36]Feb 27th-28th'!$L$45,'[37]Mar 31st'!$L$42,'[38]Apr 30th'!$L$41,'[39]May 29th '!$L$35,'[40]June 30th'!$L$32,[41]July31st!$L$36,'[42]Aug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621"/>
      <c r="C45" s="350"/>
      <c r="D45" s="567"/>
      <c r="E45" s="568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612"/>
      <c r="C46" s="362"/>
      <c r="D46" s="565"/>
      <c r="E46" s="566"/>
      <c r="F46" s="294"/>
      <c r="G46" s="42"/>
      <c r="H46" s="41"/>
      <c r="I46" s="42"/>
      <c r="J46" s="615" t="s">
        <v>129</v>
      </c>
      <c r="K46" s="615"/>
      <c r="L46" s="294"/>
      <c r="M46" s="294"/>
      <c r="N46" s="294"/>
      <c r="O46" s="294"/>
      <c r="P46" s="12"/>
    </row>
    <row r="47" spans="1:27" ht="15.75" thickBot="1">
      <c r="B47" s="613"/>
      <c r="C47" s="362"/>
      <c r="D47" s="567"/>
      <c r="E47" s="568"/>
      <c r="F47" s="294"/>
      <c r="G47" s="42"/>
      <c r="H47" s="42"/>
      <c r="I47" s="42"/>
      <c r="J47" s="292" t="s">
        <v>17</v>
      </c>
      <c r="K47" s="293"/>
      <c r="L47" s="582" t="s">
        <v>136</v>
      </c>
      <c r="M47" s="582"/>
      <c r="N47" s="583"/>
      <c r="O47" s="294"/>
      <c r="P47" s="12"/>
    </row>
    <row r="48" spans="1:27" ht="15" customHeight="1" thickBot="1">
      <c r="B48" s="613"/>
      <c r="C48" s="349"/>
      <c r="D48" s="616"/>
      <c r="E48" s="617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613"/>
      <c r="C49" s="349"/>
      <c r="D49" s="580"/>
      <c r="E49" s="568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AVERAGE('[35]Jan30th-31st'!$L$47,L49,'[36]Feb 26th '!$L$39,'[37]Mar 31st'!$L$47,'[38]Apr 30th'!$L$46,'[39]May 29th '!$L$40,'[40]June 30th'!$L$39,[41]July31st!$L$41,'[42]Aug 31st'!$L$37,'[43]Sept 30th'!$L$37)</f>
        <v>6.5485341470124068</v>
      </c>
      <c r="N49" s="415">
        <v>9.1999999999999993</v>
      </c>
      <c r="O49" s="294"/>
      <c r="P49" s="12"/>
    </row>
    <row r="50" spans="2:57" ht="15" customHeight="1">
      <c r="B50" s="613"/>
      <c r="C50" s="349"/>
      <c r="D50" s="616"/>
      <c r="E50" s="617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613"/>
      <c r="C51" s="349"/>
      <c r="D51" s="580"/>
      <c r="E51" s="568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613"/>
      <c r="C52" s="349"/>
      <c r="D52" s="616"/>
      <c r="E52" s="617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613"/>
      <c r="C53" s="349"/>
      <c r="D53" s="580"/>
      <c r="E53" s="568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613"/>
      <c r="C54" s="349"/>
      <c r="D54" s="616"/>
      <c r="E54" s="617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614"/>
      <c r="C55" s="350"/>
      <c r="D55" s="618"/>
      <c r="E55" s="619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610"/>
      <c r="E56" s="611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90" t="s">
        <v>17</v>
      </c>
      <c r="C61" s="590" t="s">
        <v>44</v>
      </c>
      <c r="D61" s="592" t="s">
        <v>45</v>
      </c>
      <c r="E61" s="547" t="s">
        <v>46</v>
      </c>
      <c r="F61" s="607" t="s">
        <v>47</v>
      </c>
      <c r="G61" s="601" t="s">
        <v>48</v>
      </c>
      <c r="H61" s="590" t="s">
        <v>49</v>
      </c>
      <c r="I61" s="590" t="s">
        <v>50</v>
      </c>
      <c r="J61" s="595" t="s">
        <v>28</v>
      </c>
      <c r="K61" s="545" t="s">
        <v>51</v>
      </c>
      <c r="L61" s="557" t="s">
        <v>52</v>
      </c>
      <c r="M61" s="595" t="s">
        <v>53</v>
      </c>
      <c r="N61" s="13"/>
      <c r="O61" s="13"/>
      <c r="P61" s="50"/>
    </row>
    <row r="62" spans="2:57" ht="28.5" customHeight="1" thickTop="1" thickBot="1">
      <c r="B62" s="609"/>
      <c r="C62" s="591"/>
      <c r="D62" s="593"/>
      <c r="E62" s="594"/>
      <c r="F62" s="608"/>
      <c r="G62" s="602"/>
      <c r="H62" s="609"/>
      <c r="I62" s="609"/>
      <c r="J62" s="596"/>
      <c r="K62" s="605"/>
      <c r="L62" s="606"/>
      <c r="M62" s="596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[8]October_2026!$I$3</f>
        <v>399.7</v>
      </c>
      <c r="E63" s="442"/>
      <c r="F63" s="443"/>
      <c r="G63" s="443">
        <f>[8]October_2026!$I$7</f>
        <v>379.9</v>
      </c>
      <c r="H63" s="457"/>
      <c r="I63" s="457"/>
      <c r="J63" s="447" t="s">
        <v>150</v>
      </c>
      <c r="K63" s="448">
        <f>[9]October_2026!$I$18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[27]January_2019!L5</f>
        <v>0</v>
      </c>
      <c r="AC63" s="57">
        <f>[27]January_2019!M5</f>
        <v>0</v>
      </c>
      <c r="AD63" s="57">
        <f>[27]January_2019!N5</f>
        <v>0</v>
      </c>
      <c r="AE63" s="57">
        <f>[27]January_2019!O5</f>
        <v>0</v>
      </c>
      <c r="AF63" s="57">
        <f>[27]January_2019!P5</f>
        <v>0</v>
      </c>
      <c r="AG63" s="57">
        <f>[27]January_2019!Q5</f>
        <v>0</v>
      </c>
      <c r="AH63" s="57">
        <f>[27]January_2019!R5</f>
        <v>0</v>
      </c>
      <c r="AI63" s="57">
        <f>[27]January_2019!S5</f>
        <v>0</v>
      </c>
      <c r="AJ63" s="57">
        <f>[27]January_2019!T5</f>
        <v>0</v>
      </c>
      <c r="AK63" s="57">
        <f>[27]January_2019!U5</f>
        <v>0</v>
      </c>
      <c r="AL63" s="57">
        <f>[27]January_2019!V5</f>
        <v>0</v>
      </c>
      <c r="AM63" s="57">
        <f>[27]January_2019!W5</f>
        <v>0</v>
      </c>
      <c r="AN63" s="57">
        <f>[27]January_2019!X5</f>
        <v>0</v>
      </c>
      <c r="AO63" s="57">
        <f>[27]January_2019!Y5</f>
        <v>0</v>
      </c>
      <c r="AP63" s="57">
        <f>[27]January_2019!Z5</f>
        <v>0</v>
      </c>
      <c r="AQ63" s="57">
        <f>[27]January_2019!AA5</f>
        <v>0</v>
      </c>
      <c r="AR63" s="57">
        <f>[27]January_2019!AB5</f>
        <v>0</v>
      </c>
      <c r="AS63" s="57">
        <f>[27]January_2019!AC5</f>
        <v>0</v>
      </c>
      <c r="AT63" s="57">
        <f>[27]January_2019!AD5</f>
        <v>0</v>
      </c>
      <c r="AU63" s="57">
        <f>[27]January_2019!AE5</f>
        <v>0</v>
      </c>
      <c r="AV63" s="57">
        <f>[27]January_2019!AF5</f>
        <v>0</v>
      </c>
      <c r="AW63" s="57">
        <f>[27]January_2019!AG5</f>
        <v>0</v>
      </c>
      <c r="AX63" s="277">
        <f>[27]January_2019!AH5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[27]January_2019!L6</f>
        <v>0</v>
      </c>
      <c r="AC64" s="57">
        <f>[27]January_2019!M6</f>
        <v>0</v>
      </c>
      <c r="AD64" s="57">
        <f>[27]January_2019!N6</f>
        <v>0</v>
      </c>
      <c r="AE64" s="57">
        <f>[27]January_2019!O6</f>
        <v>0</v>
      </c>
      <c r="AF64" s="57">
        <f>[27]January_2019!P6</f>
        <v>0</v>
      </c>
      <c r="AG64" s="57">
        <f>[27]January_2019!Q6</f>
        <v>0</v>
      </c>
      <c r="AH64" s="57">
        <f>[27]January_2019!R6</f>
        <v>0</v>
      </c>
      <c r="AI64" s="57">
        <f>[27]January_2019!S6</f>
        <v>0</v>
      </c>
      <c r="AJ64" s="57">
        <f>[27]January_2019!T6</f>
        <v>0</v>
      </c>
      <c r="AK64" s="57">
        <f>[27]January_2019!U6</f>
        <v>0</v>
      </c>
      <c r="AL64" s="57">
        <f>[27]January_2019!V6</f>
        <v>0</v>
      </c>
      <c r="AM64" s="57">
        <f>[27]January_2019!W6</f>
        <v>0</v>
      </c>
      <c r="AN64" s="57">
        <f>[27]January_2019!X6</f>
        <v>0</v>
      </c>
      <c r="AO64" s="57">
        <f>[27]January_2019!Y6</f>
        <v>0</v>
      </c>
      <c r="AP64" s="57">
        <f>[27]January_2019!Z6</f>
        <v>0</v>
      </c>
      <c r="AQ64" s="57">
        <f>[27]January_2019!AA6</f>
        <v>0</v>
      </c>
      <c r="AR64" s="57">
        <f>[27]January_2019!AB6</f>
        <v>0</v>
      </c>
      <c r="AS64" s="57">
        <f>[27]January_2019!AC6</f>
        <v>0</v>
      </c>
      <c r="AT64" s="57">
        <f>[27]January_2019!AD6</f>
        <v>0</v>
      </c>
      <c r="AU64" s="57">
        <f>[27]January_2019!AE6</f>
        <v>0</v>
      </c>
      <c r="AV64" s="57">
        <f>[27]January_2019!AF6</f>
        <v>0</v>
      </c>
      <c r="AW64" s="57">
        <f>[27]January_2019!AG6</f>
        <v>0</v>
      </c>
      <c r="AX64" s="277">
        <f>[27]January_2019!AH6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[27]January_2019!L7</f>
        <v>285.8</v>
      </c>
      <c r="AC65" s="57">
        <f>[27]January_2019!M7</f>
        <v>508.1</v>
      </c>
      <c r="AD65" s="57">
        <f>[27]January_2019!N7</f>
        <v>0</v>
      </c>
      <c r="AE65" s="57">
        <f>[27]January_2019!O7</f>
        <v>0</v>
      </c>
      <c r="AF65" s="57">
        <f>[27]January_2019!P7</f>
        <v>109.56666666666666</v>
      </c>
      <c r="AG65" s="57">
        <f>[27]January_2019!Q7</f>
        <v>297.64999999999998</v>
      </c>
      <c r="AH65" s="57">
        <f>[27]January_2019!R7</f>
        <v>122.3</v>
      </c>
      <c r="AI65" s="57">
        <f>[27]January_2019!S7</f>
        <v>0</v>
      </c>
      <c r="AJ65" s="57">
        <f>[27]January_2019!T7</f>
        <v>294.7</v>
      </c>
      <c r="AK65" s="57">
        <f>[27]January_2019!U7</f>
        <v>280.5</v>
      </c>
      <c r="AL65" s="57">
        <f>[27]January_2019!V7</f>
        <v>0</v>
      </c>
      <c r="AM65" s="57">
        <f>[27]January_2019!W7</f>
        <v>0</v>
      </c>
      <c r="AN65" s="57">
        <f>[27]January_2019!X7</f>
        <v>188.25</v>
      </c>
      <c r="AO65" s="57">
        <f>[27]January_2019!Y7</f>
        <v>295.7</v>
      </c>
      <c r="AP65" s="57">
        <f>[27]January_2019!Z7</f>
        <v>257.8</v>
      </c>
      <c r="AQ65" s="57">
        <f>[27]January_2019!AA7</f>
        <v>291.2</v>
      </c>
      <c r="AR65" s="57">
        <f>[27]January_2019!AB7</f>
        <v>187</v>
      </c>
      <c r="AS65" s="57">
        <f>[27]January_2019!AC7</f>
        <v>0</v>
      </c>
      <c r="AT65" s="57">
        <f>[27]January_2019!AD7</f>
        <v>0</v>
      </c>
      <c r="AU65" s="57">
        <f>[27]January_2019!AE7</f>
        <v>485.1</v>
      </c>
      <c r="AV65" s="57">
        <f>[27]January_2019!AF7</f>
        <v>171.55</v>
      </c>
      <c r="AW65" s="57">
        <f>[27]January_2019!AG7</f>
        <v>423.8</v>
      </c>
      <c r="AX65" s="277">
        <f>[27]January_2019!AH7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597" t="s">
        <v>55</v>
      </c>
      <c r="C74" s="598"/>
      <c r="D74" s="598"/>
      <c r="E74" s="598"/>
      <c r="F74" s="599"/>
      <c r="G74" s="597" t="s">
        <v>56</v>
      </c>
      <c r="H74" s="598"/>
      <c r="I74" s="598"/>
      <c r="J74" s="599"/>
      <c r="K74" s="597" t="s">
        <v>51</v>
      </c>
      <c r="L74" s="598"/>
      <c r="M74" s="598"/>
      <c r="N74" s="600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  <mergeCell ref="D56:E56"/>
    <mergeCell ref="B61:B62"/>
    <mergeCell ref="C61:C62"/>
    <mergeCell ref="D61:D62"/>
    <mergeCell ref="E61:E62"/>
    <mergeCell ref="B46:B55"/>
    <mergeCell ref="D46:E47"/>
    <mergeCell ref="J46:K46"/>
    <mergeCell ref="L47:N47"/>
    <mergeCell ref="D48:E49"/>
    <mergeCell ref="D50:E51"/>
    <mergeCell ref="D52:E53"/>
    <mergeCell ref="D54:E55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6:B57">
    <cfRule type="cellIs" dxfId="1920" priority="114" operator="notBetween">
      <formula>#REF!</formula>
      <formula>#REF!</formula>
    </cfRule>
  </conditionalFormatting>
  <conditionalFormatting sqref="C60">
    <cfRule type="cellIs" dxfId="1919" priority="196" stopIfTrue="1" operator="lessThan">
      <formula>96</formula>
    </cfRule>
    <cfRule type="cellIs" dxfId="1918" priority="197" stopIfTrue="1" operator="greaterThan">
      <formula>100</formula>
    </cfRule>
  </conditionalFormatting>
  <conditionalFormatting sqref="C76:C77">
    <cfRule type="cellIs" dxfId="1917" priority="78" stopIfTrue="1" operator="lessThanOrEqual">
      <formula>0</formula>
    </cfRule>
    <cfRule type="cellIs" dxfId="1916" priority="77" stopIfTrue="1" operator="greaterThan">
      <formula>$F76</formula>
    </cfRule>
    <cfRule type="cellIs" dxfId="1915" priority="79" stopIfTrue="1" operator="greaterThan">
      <formula>$F76</formula>
    </cfRule>
    <cfRule type="cellIs" dxfId="1914" priority="80" stopIfTrue="1" operator="lessThanOrEqual">
      <formula>0</formula>
    </cfRule>
  </conditionalFormatting>
  <conditionalFormatting sqref="C78:C80 C82:C84">
    <cfRule type="cellIs" dxfId="1913" priority="86" stopIfTrue="1" operator="greaterThan">
      <formula>$F81</formula>
    </cfRule>
  </conditionalFormatting>
  <conditionalFormatting sqref="C78:C80">
    <cfRule type="cellIs" dxfId="1912" priority="87" stopIfTrue="1" operator="lessThanOrEqual">
      <formula>0</formula>
    </cfRule>
  </conditionalFormatting>
  <conditionalFormatting sqref="C81">
    <cfRule type="cellIs" dxfId="1911" priority="198" stopIfTrue="1" operator="greaterThan">
      <formula>$F76</formula>
    </cfRule>
    <cfRule type="cellIs" dxfId="1910" priority="199" stopIfTrue="1" operator="lessThanOrEqual">
      <formula>0</formula>
    </cfRule>
    <cfRule type="cellIs" dxfId="1909" priority="200" stopIfTrue="1" operator="greaterThan">
      <formula>$F76</formula>
    </cfRule>
    <cfRule type="cellIs" dxfId="1908" priority="201" stopIfTrue="1" operator="lessThanOrEqual">
      <formula>0</formula>
    </cfRule>
  </conditionalFormatting>
  <conditionalFormatting sqref="C82:C84">
    <cfRule type="cellIs" dxfId="1907" priority="88" stopIfTrue="1" operator="lessThanOrEqual">
      <formula>0</formula>
    </cfRule>
  </conditionalFormatting>
  <conditionalFormatting sqref="C87:C91">
    <cfRule type="cellIs" dxfId="1906" priority="188" stopIfTrue="1" operator="lessThanOrEqual">
      <formula>0</formula>
    </cfRule>
  </conditionalFormatting>
  <conditionalFormatting sqref="C88:C91">
    <cfRule type="cellIs" dxfId="1905" priority="187" stopIfTrue="1" operator="greaterThan">
      <formula>$F$87</formula>
    </cfRule>
  </conditionalFormatting>
  <conditionalFormatting sqref="C93">
    <cfRule type="cellIs" dxfId="1904" priority="190" stopIfTrue="1" operator="lessThanOrEqual">
      <formula>0</formula>
    </cfRule>
    <cfRule type="cellIs" dxfId="1903" priority="189" stopIfTrue="1" operator="greaterThan">
      <formula>$F$87</formula>
    </cfRule>
  </conditionalFormatting>
  <conditionalFormatting sqref="C81:D81">
    <cfRule type="cellIs" dxfId="1902" priority="75" stopIfTrue="1" operator="greaterThan">
      <formula>$J81</formula>
    </cfRule>
    <cfRule type="cellIs" dxfId="1901" priority="76" stopIfTrue="1" operator="lessThanOrEqual">
      <formula>0</formula>
    </cfRule>
  </conditionalFormatting>
  <conditionalFormatting sqref="C87:D87 D89:D95">
    <cfRule type="cellIs" dxfId="1900" priority="182" stopIfTrue="1" operator="greaterThan">
      <formula>4.5</formula>
    </cfRule>
  </conditionalFormatting>
  <conditionalFormatting sqref="D56:D57">
    <cfRule type="cellIs" dxfId="1899" priority="115" operator="notBetween">
      <formula>#REF!</formula>
      <formula>#REF!</formula>
    </cfRule>
  </conditionalFormatting>
  <conditionalFormatting sqref="D76:D80 D82:D83">
    <cfRule type="cellIs" dxfId="1898" priority="85" stopIfTrue="1" operator="lessThanOrEqual">
      <formula>0</formula>
    </cfRule>
  </conditionalFormatting>
  <conditionalFormatting sqref="D76:D80 D82:D85">
    <cfRule type="cellIs" dxfId="1897" priority="82" stopIfTrue="1" operator="greaterThan">
      <formula>$F76</formula>
    </cfRule>
    <cfRule type="cellIs" dxfId="1896" priority="81" stopIfTrue="1" operator="lessThanOrEqual">
      <formula>0</formula>
    </cfRule>
  </conditionalFormatting>
  <conditionalFormatting sqref="D84:D85">
    <cfRule type="cellIs" dxfId="1895" priority="83" stopIfTrue="1" operator="lessThanOrEqual">
      <formula>0</formula>
    </cfRule>
  </conditionalFormatting>
  <conditionalFormatting sqref="D85">
    <cfRule type="cellIs" dxfId="1894" priority="84" stopIfTrue="1" operator="lessThanOrEqual">
      <formula>0</formula>
    </cfRule>
  </conditionalFormatting>
  <conditionalFormatting sqref="D87 D89:D95">
    <cfRule type="cellIs" dxfId="1893" priority="183" stopIfTrue="1" operator="lessThanOrEqual">
      <formula>0</formula>
    </cfRule>
  </conditionalFormatting>
  <conditionalFormatting sqref="D88">
    <cfRule type="cellIs" dxfId="1892" priority="174" stopIfTrue="1" operator="greaterThan">
      <formula>$F$87</formula>
    </cfRule>
    <cfRule type="cellIs" dxfId="1891" priority="175" stopIfTrue="1" operator="lessThanOrEqual">
      <formula>0</formula>
    </cfRule>
  </conditionalFormatting>
  <conditionalFormatting sqref="E10:E31">
    <cfRule type="cellIs" dxfId="1890" priority="18" operator="lessThan">
      <formula>48</formula>
    </cfRule>
  </conditionalFormatting>
  <conditionalFormatting sqref="E59 E60:F60">
    <cfRule type="cellIs" dxfId="1889" priority="179" stopIfTrue="1" operator="greaterThan">
      <formula>100</formula>
    </cfRule>
  </conditionalFormatting>
  <conditionalFormatting sqref="E60">
    <cfRule type="cellIs" dxfId="1888" priority="177" stopIfTrue="1" operator="greaterThan">
      <formula>100</formula>
    </cfRule>
    <cfRule type="cellIs" dxfId="1887" priority="176" stopIfTrue="1" operator="lessThan">
      <formula>96.8</formula>
    </cfRule>
  </conditionalFormatting>
  <conditionalFormatting sqref="E76:E84">
    <cfRule type="cellIs" dxfId="1886" priority="48" stopIfTrue="1" operator="lessThanOrEqual">
      <formula>0</formula>
    </cfRule>
  </conditionalFormatting>
  <conditionalFormatting sqref="E76:E85">
    <cfRule type="cellIs" dxfId="1885" priority="50" stopIfTrue="1" operator="lessThanOrEqual">
      <formula>0</formula>
    </cfRule>
    <cfRule type="cellIs" dxfId="1884" priority="49" stopIfTrue="1" operator="greaterThan">
      <formula>$F76</formula>
    </cfRule>
  </conditionalFormatting>
  <conditionalFormatting sqref="E85">
    <cfRule type="cellIs" dxfId="1883" priority="51" stopIfTrue="1" operator="lessThanOrEqual">
      <formula>0</formula>
    </cfRule>
  </conditionalFormatting>
  <conditionalFormatting sqref="E87:E95">
    <cfRule type="cellIs" dxfId="1882" priority="168" stopIfTrue="1" operator="greaterThan">
      <formula>4.5</formula>
    </cfRule>
    <cfRule type="cellIs" dxfId="1881" priority="169" stopIfTrue="1" operator="lessThanOrEqual">
      <formula>0</formula>
    </cfRule>
  </conditionalFormatting>
  <conditionalFormatting sqref="E60:F60 E59">
    <cfRule type="cellIs" dxfId="1880" priority="178" stopIfTrue="1" operator="lessThan">
      <formula>96.5</formula>
    </cfRule>
  </conditionalFormatting>
  <conditionalFormatting sqref="F10:F31">
    <cfRule type="cellIs" dxfId="1879" priority="19" operator="greaterThan">
      <formula>60</formula>
    </cfRule>
  </conditionalFormatting>
  <conditionalFormatting sqref="F60">
    <cfRule type="cellIs" dxfId="1878" priority="195" stopIfTrue="1" operator="greaterThan">
      <formula>100</formula>
    </cfRule>
    <cfRule type="cellIs" dxfId="1877" priority="194" stopIfTrue="1" operator="lessThan">
      <formula>96.8</formula>
    </cfRule>
  </conditionalFormatting>
  <conditionalFormatting sqref="G22:G26">
    <cfRule type="expression" dxfId="1876" priority="20">
      <formula>IF(+(IF(G22&lt;#REF!,0,IF(G22&gt;#REF!,0,1)))=0,1)</formula>
    </cfRule>
  </conditionalFormatting>
  <conditionalFormatting sqref="G31">
    <cfRule type="expression" dxfId="1875" priority="23">
      <formula>IF(+(IF(G31&lt;S31,0,IF(G31&gt;T31,0,1)))=0,1)</formula>
    </cfRule>
  </conditionalFormatting>
  <conditionalFormatting sqref="G76:G79 F85">
    <cfRule type="cellIs" dxfId="1874" priority="57" stopIfTrue="1" operator="greaterThan">
      <formula>$F76</formula>
    </cfRule>
    <cfRule type="cellIs" dxfId="1873" priority="58" stopIfTrue="1" operator="lessThanOrEqual">
      <formula>0</formula>
    </cfRule>
  </conditionalFormatting>
  <conditionalFormatting sqref="G78:G79">
    <cfRule type="cellIs" dxfId="1872" priority="44" stopIfTrue="1" operator="lessThanOrEqual">
      <formula>0</formula>
    </cfRule>
    <cfRule type="cellIs" dxfId="1871" priority="43" stopIfTrue="1" operator="greaterThan">
      <formula>$F78</formula>
    </cfRule>
  </conditionalFormatting>
  <conditionalFormatting sqref="G80:G84">
    <cfRule type="cellIs" dxfId="1870" priority="60" stopIfTrue="1" operator="lessThanOrEqual">
      <formula>0</formula>
    </cfRule>
    <cfRule type="cellIs" dxfId="1869" priority="59" stopIfTrue="1" operator="greaterThan">
      <formula>$J80</formula>
    </cfRule>
  </conditionalFormatting>
  <conditionalFormatting sqref="G81">
    <cfRule type="cellIs" dxfId="1868" priority="203" stopIfTrue="1" operator="lessThanOrEqual">
      <formula>0</formula>
    </cfRule>
    <cfRule type="cellIs" dxfId="1867" priority="202" stopIfTrue="1" operator="greaterThan">
      <formula>$F76</formula>
    </cfRule>
  </conditionalFormatting>
  <conditionalFormatting sqref="G89:G94 C92 C94">
    <cfRule type="cellIs" dxfId="1866" priority="191" stopIfTrue="1" operator="greaterThan">
      <formula>4.5</formula>
    </cfRule>
    <cfRule type="cellIs" dxfId="1865" priority="192" stopIfTrue="1" operator="lessThanOrEqual">
      <formula>0</formula>
    </cfRule>
  </conditionalFormatting>
  <conditionalFormatting sqref="G10:H15 M10:N30 G30">
    <cfRule type="expression" dxfId="1864" priority="24">
      <formula>IF(+(IF(G10&lt;#REF!,0,IF(G10&gt;#REF!,0,1)))=0,1)</formula>
    </cfRule>
  </conditionalFormatting>
  <conditionalFormatting sqref="G88:H88">
    <cfRule type="cellIs" dxfId="1863" priority="173" stopIfTrue="1" operator="lessThanOrEqual">
      <formula>0</formula>
    </cfRule>
    <cfRule type="cellIs" dxfId="1862" priority="172" stopIfTrue="1" operator="greaterThan">
      <formula>$F$87</formula>
    </cfRule>
  </conditionalFormatting>
  <conditionalFormatting sqref="H16:H31">
    <cfRule type="expression" dxfId="1861" priority="11">
      <formula>IF(+(IF(H16&lt;#REF!,0,IF(H16&gt;#REF!,0,1)))=0,1)</formula>
    </cfRule>
  </conditionalFormatting>
  <conditionalFormatting sqref="H45:H46 H59">
    <cfRule type="cellIs" dxfId="1860" priority="170" stopIfTrue="1" operator="greaterThan">
      <formula>0</formula>
    </cfRule>
  </conditionalFormatting>
  <conditionalFormatting sqref="H63">
    <cfRule type="cellIs" dxfId="1859" priority="62" stopIfTrue="1" operator="lessThanOrEqual">
      <formula>0</formula>
    </cfRule>
    <cfRule type="cellIs" dxfId="1858" priority="63" stopIfTrue="1" operator="greaterThan">
      <formula>$F$76</formula>
    </cfRule>
    <cfRule type="cellIs" dxfId="1857" priority="71" stopIfTrue="1" operator="greaterThan">
      <formula>$F$79</formula>
    </cfRule>
    <cfRule type="cellIs" dxfId="1856" priority="72" stopIfTrue="1" operator="lessThanOrEqual">
      <formula>0</formula>
    </cfRule>
    <cfRule type="cellIs" dxfId="1855" priority="73" stopIfTrue="1" operator="greaterThan">
      <formula>$F$77</formula>
    </cfRule>
  </conditionalFormatting>
  <conditionalFormatting sqref="H63:H64">
    <cfRule type="cellIs" dxfId="1854" priority="74" stopIfTrue="1" operator="lessThanOrEqual">
      <formula>0</formula>
    </cfRule>
  </conditionalFormatting>
  <conditionalFormatting sqref="H64 H66:H67">
    <cfRule type="cellIs" dxfId="1853" priority="100" stopIfTrue="1" operator="lessThanOrEqual">
      <formula>0</formula>
    </cfRule>
  </conditionalFormatting>
  <conditionalFormatting sqref="H64">
    <cfRule type="cellIs" dxfId="1852" priority="99" stopIfTrue="1" operator="greaterThan">
      <formula>$F$77</formula>
    </cfRule>
    <cfRule type="cellIs" dxfId="1851" priority="98" stopIfTrue="1" operator="lessThanOrEqual">
      <formula>0</formula>
    </cfRule>
    <cfRule type="cellIs" dxfId="1850" priority="89" stopIfTrue="1" operator="greaterThan">
      <formula>$F$76</formula>
    </cfRule>
    <cfRule type="cellIs" dxfId="1849" priority="97" stopIfTrue="1" operator="greaterThan">
      <formula>$F$79</formula>
    </cfRule>
  </conditionalFormatting>
  <conditionalFormatting sqref="H65">
    <cfRule type="cellIs" dxfId="1848" priority="40" stopIfTrue="1" operator="greaterThan">
      <formula>$F$79</formula>
    </cfRule>
    <cfRule type="cellIs" dxfId="1847" priority="41" stopIfTrue="1" operator="lessThanOrEqual">
      <formula>0</formula>
    </cfRule>
    <cfRule type="cellIs" dxfId="1846" priority="38" stopIfTrue="1" operator="greaterThan">
      <formula>$F$81</formula>
    </cfRule>
    <cfRule type="cellIs" dxfId="1845" priority="39" stopIfTrue="1" operator="lessThanOrEqual">
      <formula>0</formula>
    </cfRule>
    <cfRule type="cellIs" dxfId="1844" priority="29" stopIfTrue="1" operator="lessThanOrEqual">
      <formula>0</formula>
    </cfRule>
    <cfRule type="cellIs" dxfId="1843" priority="30" stopIfTrue="1" operator="greaterThan">
      <formula>$F$78</formula>
    </cfRule>
  </conditionalFormatting>
  <conditionalFormatting sqref="H66:H67">
    <cfRule type="cellIs" dxfId="1842" priority="113" stopIfTrue="1" operator="lessThanOrEqual">
      <formula>0</formula>
    </cfRule>
    <cfRule type="cellIs" dxfId="1841" priority="110" stopIfTrue="1" operator="greaterThan">
      <formula>$F$79</formula>
    </cfRule>
    <cfRule type="cellIs" dxfId="1840" priority="111" stopIfTrue="1" operator="lessThanOrEqual">
      <formula>0</formula>
    </cfRule>
    <cfRule type="cellIs" dxfId="1839" priority="102" stopIfTrue="1" operator="greaterThan">
      <formula>$F$76</formula>
    </cfRule>
    <cfRule type="cellIs" dxfId="1838" priority="112" stopIfTrue="1" operator="greaterThan">
      <formula>$F$77</formula>
    </cfRule>
  </conditionalFormatting>
  <conditionalFormatting sqref="H68:H69">
    <cfRule type="cellIs" dxfId="1837" priority="147" stopIfTrue="1" operator="lessThanOrEqual">
      <formula>0</formula>
    </cfRule>
    <cfRule type="cellIs" dxfId="1836" priority="138" stopIfTrue="1" operator="greaterThan">
      <formula>#REF!</formula>
    </cfRule>
    <cfRule type="cellIs" dxfId="1835" priority="137" stopIfTrue="1" operator="lessThanOrEqual">
      <formula>0</formula>
    </cfRule>
    <cfRule type="cellIs" dxfId="1834" priority="146" stopIfTrue="1" operator="greaterThan">
      <formula>#REF!</formula>
    </cfRule>
  </conditionalFormatting>
  <conditionalFormatting sqref="H70">
    <cfRule type="cellIs" dxfId="1833" priority="161" stopIfTrue="1" operator="lessThanOrEqual">
      <formula>0</formula>
    </cfRule>
    <cfRule type="cellIs" dxfId="1832" priority="158" stopIfTrue="1" operator="greaterThan">
      <formula>$F$47</formula>
    </cfRule>
    <cfRule type="cellIs" dxfId="1831" priority="159" stopIfTrue="1" operator="lessThanOrEqual">
      <formula>0</formula>
    </cfRule>
    <cfRule type="cellIs" dxfId="1830" priority="149" stopIfTrue="1" operator="lessThanOrEqual">
      <formula>0</formula>
    </cfRule>
    <cfRule type="cellIs" dxfId="1829" priority="160" stopIfTrue="1" operator="greaterThan">
      <formula>$F$45</formula>
    </cfRule>
    <cfRule type="cellIs" dxfId="1828" priority="150" stopIfTrue="1" operator="greaterThan">
      <formula>$F$44</formula>
    </cfRule>
  </conditionalFormatting>
  <conditionalFormatting sqref="H71:H72">
    <cfRule type="cellIs" dxfId="1827" priority="135" stopIfTrue="1" operator="lessThanOrEqual">
      <formula>0</formula>
    </cfRule>
    <cfRule type="cellIs" dxfId="1826" priority="134" stopIfTrue="1" operator="greaterThan">
      <formula>#REF!</formula>
    </cfRule>
    <cfRule type="cellIs" dxfId="1825" priority="125" stopIfTrue="1" operator="lessThanOrEqual">
      <formula>0</formula>
    </cfRule>
    <cfRule type="cellIs" dxfId="1824" priority="126" stopIfTrue="1" operator="greaterThan">
      <formula>#REF!</formula>
    </cfRule>
  </conditionalFormatting>
  <conditionalFormatting sqref="H87 H89:H95">
    <cfRule type="cellIs" dxfId="1823" priority="185" stopIfTrue="1" operator="lessThanOrEqual">
      <formula>0</formula>
    </cfRule>
    <cfRule type="cellIs" dxfId="1822" priority="184" stopIfTrue="1" operator="greaterThan">
      <formula>4.5</formula>
    </cfRule>
  </conditionalFormatting>
  <conditionalFormatting sqref="H63:I63">
    <cfRule type="cellIs" dxfId="1821" priority="64" stopIfTrue="1" operator="lessThanOrEqual">
      <formula>0</formula>
    </cfRule>
  </conditionalFormatting>
  <conditionalFormatting sqref="H63:I64 H66:I67">
    <cfRule type="cellIs" dxfId="1820" priority="61" stopIfTrue="1" operator="greaterThan">
      <formula>$F$78</formula>
    </cfRule>
  </conditionalFormatting>
  <conditionalFormatting sqref="H64:I64">
    <cfRule type="cellIs" dxfId="1819" priority="90" stopIfTrue="1" operator="lessThanOrEqual">
      <formula>0</formula>
    </cfRule>
  </conditionalFormatting>
  <conditionalFormatting sqref="H65:I65">
    <cfRule type="cellIs" dxfId="1818" priority="28" stopIfTrue="1" operator="greaterThan">
      <formula>$F$80</formula>
    </cfRule>
    <cfRule type="cellIs" dxfId="1817" priority="31" stopIfTrue="1" operator="lessThanOrEqual">
      <formula>0</formula>
    </cfRule>
  </conditionalFormatting>
  <conditionalFormatting sqref="H66:I67">
    <cfRule type="cellIs" dxfId="1816" priority="103" stopIfTrue="1" operator="lessThanOrEqual">
      <formula>0</formula>
    </cfRule>
  </conditionalFormatting>
  <conditionalFormatting sqref="H68:I69">
    <cfRule type="cellIs" dxfId="1815" priority="144" stopIfTrue="1" operator="greaterThan">
      <formula>#REF!</formula>
    </cfRule>
    <cfRule type="cellIs" dxfId="1814" priority="145" stopIfTrue="1" operator="lessThanOrEqual">
      <formula>0</formula>
    </cfRule>
    <cfRule type="cellIs" dxfId="1813" priority="139" stopIfTrue="1" operator="lessThanOrEqual">
      <formula>0</formula>
    </cfRule>
    <cfRule type="cellIs" dxfId="1812" priority="136" stopIfTrue="1" operator="greaterThan">
      <formula>#REF!</formula>
    </cfRule>
  </conditionalFormatting>
  <conditionalFormatting sqref="H70:I70">
    <cfRule type="cellIs" dxfId="1811" priority="148" stopIfTrue="1" operator="greaterThan">
      <formula>$F$46</formula>
    </cfRule>
    <cfRule type="cellIs" dxfId="1810" priority="151" stopIfTrue="1" operator="lessThanOrEqual">
      <formula>0</formula>
    </cfRule>
  </conditionalFormatting>
  <conditionalFormatting sqref="H71:I72">
    <cfRule type="cellIs" dxfId="1809" priority="132" stopIfTrue="1" operator="greaterThan">
      <formula>#REF!</formula>
    </cfRule>
    <cfRule type="cellIs" dxfId="1808" priority="124" stopIfTrue="1" operator="greaterThan">
      <formula>#REF!</formula>
    </cfRule>
    <cfRule type="cellIs" dxfId="1807" priority="133" stopIfTrue="1" operator="lessThanOrEqual">
      <formula>0</formula>
    </cfRule>
    <cfRule type="cellIs" dxfId="1806" priority="127" stopIfTrue="1" operator="lessThanOrEqual">
      <formula>0</formula>
    </cfRule>
  </conditionalFormatting>
  <conditionalFormatting sqref="H76:I83">
    <cfRule type="cellIs" dxfId="1805" priority="47" stopIfTrue="1" operator="lessThanOrEqual">
      <formula>0</formula>
    </cfRule>
    <cfRule type="cellIs" dxfId="1804" priority="46" stopIfTrue="1" operator="greaterThan">
      <formula>$J76</formula>
    </cfRule>
  </conditionalFormatting>
  <conditionalFormatting sqref="H84:I84">
    <cfRule type="cellIs" dxfId="1803" priority="54" operator="greaterThan">
      <formula>5.3</formula>
    </cfRule>
  </conditionalFormatting>
  <conditionalFormatting sqref="H85:I85">
    <cfRule type="cellIs" dxfId="1802" priority="52" stopIfTrue="1" operator="greaterThan">
      <formula>$J85</formula>
    </cfRule>
    <cfRule type="cellIs" dxfId="1801" priority="53" stopIfTrue="1" operator="lessThanOrEqual">
      <formula>0</formula>
    </cfRule>
  </conditionalFormatting>
  <conditionalFormatting sqref="I63">
    <cfRule type="cellIs" dxfId="1800" priority="70" stopIfTrue="1" operator="lessThanOrEqual">
      <formula>0</formula>
    </cfRule>
    <cfRule type="cellIs" dxfId="1799" priority="69" stopIfTrue="1" operator="greaterThan">
      <formula>$F$76</formula>
    </cfRule>
    <cfRule type="cellIs" dxfId="1798" priority="68" stopIfTrue="1" operator="lessThanOrEqual">
      <formula>0</formula>
    </cfRule>
    <cfRule type="cellIs" dxfId="1797" priority="67" stopIfTrue="1" operator="greaterThan">
      <formula>$F$78</formula>
    </cfRule>
    <cfRule type="cellIs" dxfId="1796" priority="66" stopIfTrue="1" operator="lessThanOrEqual">
      <formula>0</formula>
    </cfRule>
    <cfRule type="cellIs" dxfId="1795" priority="65" stopIfTrue="1" operator="greaterThan">
      <formula>$F$76</formula>
    </cfRule>
  </conditionalFormatting>
  <conditionalFormatting sqref="I64">
    <cfRule type="cellIs" dxfId="1794" priority="92" stopIfTrue="1" operator="lessThanOrEqual">
      <formula>0</formula>
    </cfRule>
    <cfRule type="cellIs" dxfId="1793" priority="96" stopIfTrue="1" operator="lessThanOrEqual">
      <formula>0</formula>
    </cfRule>
    <cfRule type="cellIs" dxfId="1792" priority="95" stopIfTrue="1" operator="greaterThan">
      <formula>$F$76</formula>
    </cfRule>
    <cfRule type="cellIs" dxfId="1791" priority="94" stopIfTrue="1" operator="lessThanOrEqual">
      <formula>0</formula>
    </cfRule>
    <cfRule type="cellIs" dxfId="1790" priority="93" stopIfTrue="1" operator="greaterThan">
      <formula>$F$78</formula>
    </cfRule>
    <cfRule type="cellIs" dxfId="1789" priority="91" stopIfTrue="1" operator="greaterThan">
      <formula>$F$76</formula>
    </cfRule>
  </conditionalFormatting>
  <conditionalFormatting sqref="I65">
    <cfRule type="cellIs" dxfId="1788" priority="33" stopIfTrue="1" operator="lessThanOrEqual">
      <formula>0</formula>
    </cfRule>
    <cfRule type="cellIs" dxfId="1787" priority="37" stopIfTrue="1" operator="lessThanOrEqual">
      <formula>0</formula>
    </cfRule>
    <cfRule type="cellIs" dxfId="1786" priority="35" stopIfTrue="1" operator="lessThanOrEqual">
      <formula>0</formula>
    </cfRule>
    <cfRule type="cellIs" dxfId="1785" priority="34" stopIfTrue="1" operator="greaterThan">
      <formula>$F$80</formula>
    </cfRule>
    <cfRule type="cellIs" dxfId="1784" priority="32" stopIfTrue="1" operator="greaterThan">
      <formula>$F$78</formula>
    </cfRule>
    <cfRule type="cellIs" dxfId="1783" priority="36" stopIfTrue="1" operator="greaterThan">
      <formula>$F$78</formula>
    </cfRule>
  </conditionalFormatting>
  <conditionalFormatting sqref="I66:I67">
    <cfRule type="cellIs" dxfId="1782" priority="106" stopIfTrue="1" operator="greaterThan">
      <formula>$F$78</formula>
    </cfRule>
    <cfRule type="cellIs" dxfId="1781" priority="109" stopIfTrue="1" operator="lessThanOrEqual">
      <formula>0</formula>
    </cfRule>
    <cfRule type="cellIs" dxfId="1780" priority="108" stopIfTrue="1" operator="greaterThan">
      <formula>$F$76</formula>
    </cfRule>
    <cfRule type="cellIs" dxfId="1779" priority="105" stopIfTrue="1" operator="lessThanOrEqual">
      <formula>0</formula>
    </cfRule>
    <cfRule type="cellIs" dxfId="1778" priority="107" stopIfTrue="1" operator="lessThanOrEqual">
      <formula>0</formula>
    </cfRule>
    <cfRule type="cellIs" dxfId="1777" priority="104" stopIfTrue="1" operator="greaterThan">
      <formula>$F$76</formula>
    </cfRule>
  </conditionalFormatting>
  <conditionalFormatting sqref="I68:I69">
    <cfRule type="cellIs" dxfId="1776" priority="143" stopIfTrue="1" operator="lessThanOrEqual">
      <formula>0</formula>
    </cfRule>
    <cfRule type="cellIs" dxfId="1775" priority="142" stopIfTrue="1" operator="greaterThan">
      <formula>#REF!</formula>
    </cfRule>
    <cfRule type="cellIs" dxfId="1774" priority="141" stopIfTrue="1" operator="lessThanOrEqual">
      <formula>0</formula>
    </cfRule>
    <cfRule type="cellIs" dxfId="1773" priority="140" stopIfTrue="1" operator="greaterThan">
      <formula>#REF!</formula>
    </cfRule>
  </conditionalFormatting>
  <conditionalFormatting sqref="I70">
    <cfRule type="cellIs" dxfId="1772" priority="157" stopIfTrue="1" operator="lessThanOrEqual">
      <formula>0</formula>
    </cfRule>
    <cfRule type="cellIs" dxfId="1771" priority="153" stopIfTrue="1" operator="lessThanOrEqual">
      <formula>0</formula>
    </cfRule>
    <cfRule type="cellIs" dxfId="1770" priority="155" stopIfTrue="1" operator="lessThanOrEqual">
      <formula>0</formula>
    </cfRule>
    <cfRule type="cellIs" dxfId="1769" priority="152" stopIfTrue="1" operator="greaterThan">
      <formula>$F$44</formula>
    </cfRule>
    <cfRule type="cellIs" dxfId="1768" priority="154" stopIfTrue="1" operator="greaterThan">
      <formula>$F$46</formula>
    </cfRule>
    <cfRule type="cellIs" dxfId="1767" priority="156" stopIfTrue="1" operator="greaterThan">
      <formula>$F$44</formula>
    </cfRule>
  </conditionalFormatting>
  <conditionalFormatting sqref="I71:I72">
    <cfRule type="cellIs" dxfId="1766" priority="128" stopIfTrue="1" operator="greaterThan">
      <formula>#REF!</formula>
    </cfRule>
    <cfRule type="cellIs" dxfId="1765" priority="129" stopIfTrue="1" operator="lessThanOrEqual">
      <formula>0</formula>
    </cfRule>
    <cfRule type="cellIs" dxfId="1764" priority="130" stopIfTrue="1" operator="greaterThan">
      <formula>#REF!</formula>
    </cfRule>
    <cfRule type="cellIs" dxfId="1763" priority="131" stopIfTrue="1" operator="lessThanOrEqual">
      <formula>0</formula>
    </cfRule>
  </conditionalFormatting>
  <conditionalFormatting sqref="I87:I95">
    <cfRule type="cellIs" dxfId="1762" priority="180" stopIfTrue="1" operator="greaterThan">
      <formula>4.5</formula>
    </cfRule>
    <cfRule type="cellIs" dxfId="1761" priority="181" stopIfTrue="1" operator="lessThanOrEqual">
      <formula>0</formula>
    </cfRule>
  </conditionalFormatting>
  <conditionalFormatting sqref="I10:J31">
    <cfRule type="cellIs" dxfId="1760" priority="12" operator="lessThan">
      <formula>97.9</formula>
    </cfRule>
  </conditionalFormatting>
  <conditionalFormatting sqref="J34:J36">
    <cfRule type="cellIs" dxfId="1759" priority="27" operator="lessThan">
      <formula>97.95</formula>
    </cfRule>
  </conditionalFormatting>
  <conditionalFormatting sqref="J35:J38">
    <cfRule type="cellIs" dxfId="1758" priority="162" operator="lessThan">
      <formula>97.4</formula>
    </cfRule>
  </conditionalFormatting>
  <conditionalFormatting sqref="J39:J40">
    <cfRule type="cellIs" dxfId="1757" priority="163" operator="lessThan">
      <formula>98</formula>
    </cfRule>
  </conditionalFormatting>
  <conditionalFormatting sqref="J41:J42">
    <cfRule type="cellIs" dxfId="1756" priority="165" stopIfTrue="1" operator="greaterThan">
      <formula>100</formula>
    </cfRule>
    <cfRule type="cellIs" dxfId="1755" priority="164" stopIfTrue="1" operator="lessThan">
      <formula>96.8</formula>
    </cfRule>
  </conditionalFormatting>
  <conditionalFormatting sqref="J41:J43">
    <cfRule type="cellIs" dxfId="1754" priority="166" operator="lessThan">
      <formula>98</formula>
    </cfRule>
  </conditionalFormatting>
  <conditionalFormatting sqref="J72">
    <cfRule type="cellIs" dxfId="1753" priority="121" stopIfTrue="1" operator="lessThanOrEqual">
      <formula>0</formula>
    </cfRule>
    <cfRule type="cellIs" dxfId="1752" priority="123" stopIfTrue="1" operator="lessThanOrEqual">
      <formula>0</formula>
    </cfRule>
    <cfRule type="cellIs" dxfId="1751" priority="122" stopIfTrue="1" operator="greaterThan">
      <formula>#REF!</formula>
    </cfRule>
    <cfRule type="cellIs" dxfId="1750" priority="120" stopIfTrue="1" operator="greaterThan">
      <formula>#REF!</formula>
    </cfRule>
    <cfRule type="cellIs" dxfId="1749" priority="119" stopIfTrue="1" operator="lessThanOrEqual">
      <formula>0</formula>
    </cfRule>
    <cfRule type="cellIs" dxfId="1748" priority="118" stopIfTrue="1" operator="greaterThan">
      <formula>#REF!</formula>
    </cfRule>
    <cfRule type="cellIs" dxfId="1747" priority="117" stopIfTrue="1" operator="lessThanOrEqual">
      <formula>0</formula>
    </cfRule>
    <cfRule type="cellIs" dxfId="1746" priority="116" stopIfTrue="1" operator="greaterThan">
      <formula>#REF!</formula>
    </cfRule>
  </conditionalFormatting>
  <conditionalFormatting sqref="J85">
    <cfRule type="cellIs" dxfId="1745" priority="56" stopIfTrue="1" operator="lessThanOrEqual">
      <formula>0</formula>
    </cfRule>
    <cfRule type="cellIs" dxfId="1744" priority="55" stopIfTrue="1" operator="greaterThan">
      <formula>$F85</formula>
    </cfRule>
  </conditionalFormatting>
  <conditionalFormatting sqref="K10:K31">
    <cfRule type="cellIs" dxfId="1743" priority="14" operator="lessThan">
      <formula>4</formula>
    </cfRule>
    <cfRule type="cellIs" dxfId="1742" priority="15" operator="greaterThan">
      <formula>6.4</formula>
    </cfRule>
    <cfRule type="cellIs" dxfId="1741" priority="13" operator="greaterThan">
      <formula>6</formula>
    </cfRule>
  </conditionalFormatting>
  <conditionalFormatting sqref="K63:K72">
    <cfRule type="cellIs" dxfId="1740" priority="101" stopIfTrue="1" operator="lessThan">
      <formula>100%</formula>
    </cfRule>
  </conditionalFormatting>
  <conditionalFormatting sqref="K76:K84">
    <cfRule type="cellIs" dxfId="1739" priority="45" stopIfTrue="1" operator="lessThan">
      <formula>100%</formula>
    </cfRule>
  </conditionalFormatting>
  <conditionalFormatting sqref="K87:K92">
    <cfRule type="cellIs" dxfId="1738" priority="186" stopIfTrue="1" operator="lessThan">
      <formula>100%</formula>
    </cfRule>
  </conditionalFormatting>
  <conditionalFormatting sqref="K94:K95">
    <cfRule type="cellIs" dxfId="1737" priority="193" stopIfTrue="1" operator="lessThan">
      <formula>100%</formula>
    </cfRule>
  </conditionalFormatting>
  <conditionalFormatting sqref="L10:L31">
    <cfRule type="cellIs" dxfId="1736" priority="16" operator="between">
      <formula>61</formula>
      <formula>65</formula>
    </cfRule>
    <cfRule type="cellIs" dxfId="1735" priority="17" operator="greaterThan">
      <formula>65</formula>
    </cfRule>
  </conditionalFormatting>
  <conditionalFormatting sqref="L34:M45">
    <cfRule type="cellIs" dxfId="1734" priority="26" operator="lessThan">
      <formula>97.95</formula>
    </cfRule>
  </conditionalFormatting>
  <conditionalFormatting sqref="L49:N49">
    <cfRule type="cellIs" dxfId="1733" priority="25" operator="notEqual">
      <formula>#REF!</formula>
    </cfRule>
  </conditionalFormatting>
  <conditionalFormatting sqref="L76:N85">
    <cfRule type="cellIs" dxfId="1732" priority="42" stopIfTrue="1" operator="lessThan">
      <formula>100%</formula>
    </cfRule>
  </conditionalFormatting>
  <conditionalFormatting sqref="L87:N95">
    <cfRule type="cellIs" dxfId="1731" priority="171" stopIfTrue="1" operator="lessThan">
      <formula>100%</formula>
    </cfRule>
  </conditionalFormatting>
  <conditionalFormatting sqref="M31">
    <cfRule type="expression" dxfId="1730" priority="22">
      <formula>IF(+(IF(M31&lt;U31,0,IF(M31&gt;V31,0,1)))=0,1)</formula>
    </cfRule>
  </conditionalFormatting>
  <conditionalFormatting sqref="N10:N31">
    <cfRule type="expression" dxfId="1729" priority="21">
      <formula>IF(+(IF(N10&lt;W10,0,IF(N10&gt;X10,0,1)))=0,1)</formula>
    </cfRule>
  </conditionalFormatting>
  <conditionalFormatting sqref="P6">
    <cfRule type="cellIs" dxfId="1728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zoomScale="85" zoomScaleNormal="85" workbookViewId="0">
      <selection activeCell="B16" sqref="B16:O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[29]Brewhouse!$A397</f>
        <v>ST338</v>
      </c>
      <c r="D10" s="279">
        <f>[29]Brewhouse!$AB397</f>
        <v>53</v>
      </c>
      <c r="E10" s="279">
        <f>[29]Brewhouse!$AG397</f>
        <v>48.8</v>
      </c>
      <c r="F10" s="278">
        <f>[29]Brewhouse!$V397</f>
        <v>60</v>
      </c>
      <c r="G10" s="279">
        <f>[29]Brewhouse!$AE397</f>
        <v>11.6</v>
      </c>
      <c r="H10" s="396">
        <v>11.7</v>
      </c>
      <c r="I10" s="368">
        <f>[29]Brewhouse!$AS397</f>
        <v>95.039326872899267</v>
      </c>
      <c r="J10" s="368">
        <f>[29]Brewhouse!$AT397</f>
        <v>95.746071658420689</v>
      </c>
      <c r="K10" s="281">
        <f>[29]Brewhouse!$Q397</f>
        <v>10.518867924528294</v>
      </c>
      <c r="L10" s="276">
        <f>[29]Brewhouse!$P397</f>
        <v>60</v>
      </c>
      <c r="M10" s="374">
        <f>[29]Brewhouse!$U397-[29]Brewhouse!$T397</f>
        <v>0.1159722222222222</v>
      </c>
      <c r="N10" s="370">
        <f>[29]Brewhouse!$AW397</f>
        <v>0.30277777777777776</v>
      </c>
      <c r="O10" s="419" t="str">
        <f>[29]Brewhouse!$AV397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[29]Brewhouse!$A398</f>
        <v>ST339</v>
      </c>
      <c r="D11" s="279">
        <f>[29]Brewhouse!$AB398</f>
        <v>53.1</v>
      </c>
      <c r="E11" s="279">
        <f>[29]Brewhouse!$AG398</f>
        <v>50.4</v>
      </c>
      <c r="F11" s="278">
        <f>[29]Brewhouse!$V398</f>
        <v>62</v>
      </c>
      <c r="G11" s="279">
        <f>[29]Brewhouse!$AE398</f>
        <v>12</v>
      </c>
      <c r="H11" s="396">
        <v>12</v>
      </c>
      <c r="I11" s="368">
        <f>[29]Brewhouse!$AS398</f>
        <v>101.84679039354425</v>
      </c>
      <c r="J11" s="368">
        <f>[29]Brewhouse!$AT398</f>
        <v>102.60390739766547</v>
      </c>
      <c r="K11" s="281">
        <f>[29]Brewhouse!$Q398</f>
        <v>10.499058380414318</v>
      </c>
      <c r="L11" s="276">
        <f>[29]Brewhouse!$P398</f>
        <v>61</v>
      </c>
      <c r="M11" s="374">
        <f>[29]Brewhouse!$U398-[29]Brewhouse!$T398</f>
        <v>0.1243055555555555</v>
      </c>
      <c r="N11" s="370">
        <f>[29]Brewhouse!$AW398</f>
        <v>0.29027777777777775</v>
      </c>
      <c r="O11" s="419" t="str">
        <f>[29]Brewhouse!$AV398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[29]Brewhouse!$A399</f>
        <v>ST340</v>
      </c>
      <c r="D12" s="279">
        <f>[29]Brewhouse!$AB399</f>
        <v>53.1</v>
      </c>
      <c r="E12" s="279">
        <f>[29]Brewhouse!$AG399</f>
        <v>48.6</v>
      </c>
      <c r="F12" s="278">
        <f>[29]Brewhouse!$V399</f>
        <v>69</v>
      </c>
      <c r="G12" s="279">
        <f>[29]Brewhouse!$AE399</f>
        <v>11.6</v>
      </c>
      <c r="H12" s="396">
        <v>12</v>
      </c>
      <c r="I12" s="368">
        <f>[29]Brewhouse!$AS399</f>
        <v>94.176294457189954</v>
      </c>
      <c r="J12" s="368">
        <f>[29]Brewhouse!$AT399</f>
        <v>94.877541814883955</v>
      </c>
      <c r="K12" s="281">
        <f>[29]Brewhouse!$Q399</f>
        <v>12.758945386064028</v>
      </c>
      <c r="L12" s="276">
        <f>[29]Brewhouse!$P399</f>
        <v>61</v>
      </c>
      <c r="M12" s="374">
        <f>[29]Brewhouse!$U399-[29]Brewhouse!$T399</f>
        <v>0.12361111111111112</v>
      </c>
      <c r="N12" s="370">
        <f>[29]Brewhouse!$AW399</f>
        <v>0.27569444444444446</v>
      </c>
      <c r="O12" s="419" t="str">
        <f>[29]Brewhouse!$AV399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[29]Brewhouse!$A400</f>
        <v>ST341</v>
      </c>
      <c r="D13" s="279">
        <f>[29]Brewhouse!$AB400</f>
        <v>53.1</v>
      </c>
      <c r="E13" s="279">
        <f>[29]Brewhouse!$AG400</f>
        <v>50.4</v>
      </c>
      <c r="F13" s="278">
        <f>[29]Brewhouse!$V400</f>
        <v>64</v>
      </c>
      <c r="G13" s="279">
        <f>[29]Brewhouse!$AE400</f>
        <v>11.8</v>
      </c>
      <c r="H13" s="396">
        <v>11.8</v>
      </c>
      <c r="I13" s="368">
        <f>[29]Brewhouse!$AS400</f>
        <v>99.686452242871411</v>
      </c>
      <c r="J13" s="368">
        <f>[29]Brewhouse!$AT400</f>
        <v>100.42824296627992</v>
      </c>
      <c r="K13" s="281">
        <f>[29]Brewhouse!$Q400</f>
        <v>9.7457627118644012</v>
      </c>
      <c r="L13" s="276">
        <f>[29]Brewhouse!$P400</f>
        <v>58</v>
      </c>
      <c r="M13" s="374">
        <f>[29]Brewhouse!$U400-[29]Brewhouse!$T400</f>
        <v>0.1166666666666667</v>
      </c>
      <c r="N13" s="370">
        <f>[29]Brewhouse!$AW400</f>
        <v>0.26527777777777778</v>
      </c>
      <c r="O13" s="419" t="str">
        <f>[29]Brewhouse!$AV400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[29]Brewhouse!$A401</f>
        <v>ST342</v>
      </c>
      <c r="D14" s="279">
        <f>[29]Brewhouse!$AB401</f>
        <v>53.1</v>
      </c>
      <c r="E14" s="279">
        <f>[29]Brewhouse!$AG401</f>
        <v>49.7</v>
      </c>
      <c r="F14" s="278">
        <f>[29]Brewhouse!$V401</f>
        <v>59</v>
      </c>
      <c r="G14" s="279">
        <f>[29]Brewhouse!$AE401</f>
        <v>12</v>
      </c>
      <c r="H14" s="396">
        <v>12</v>
      </c>
      <c r="I14" s="368">
        <f>[29]Brewhouse!$AS401</f>
        <v>100.05446453730306</v>
      </c>
      <c r="J14" s="368">
        <f>[29]Brewhouse!$AT401</f>
        <v>100.798993728176</v>
      </c>
      <c r="K14" s="281">
        <f>[29]Brewhouse!$Q401</f>
        <v>10.12241054613936</v>
      </c>
      <c r="L14" s="276">
        <f>[29]Brewhouse!$P401</f>
        <v>63</v>
      </c>
      <c r="M14" s="374">
        <f>[29]Brewhouse!$U401-[29]Brewhouse!$T401</f>
        <v>0.11458333333333337</v>
      </c>
      <c r="N14" s="370">
        <f>[29]Brewhouse!$AW401</f>
        <v>0.25902777777777775</v>
      </c>
      <c r="O14" s="419" t="str">
        <f>[29]Brewhouse!$AV401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[29]Brewhouse!$A402</f>
        <v>ST343</v>
      </c>
      <c r="D15" s="279">
        <f>[29]Brewhouse!$AB402</f>
        <v>53.1</v>
      </c>
      <c r="E15" s="279">
        <f>[29]Brewhouse!$AG402</f>
        <v>49.2</v>
      </c>
      <c r="F15" s="278">
        <f>[29]Brewhouse!$V402</f>
        <v>60</v>
      </c>
      <c r="G15" s="279">
        <f>[29]Brewhouse!$AE402</f>
        <v>11.7</v>
      </c>
      <c r="H15" s="396">
        <v>11.8</v>
      </c>
      <c r="I15" s="368">
        <f>[29]Brewhouse!$AS402</f>
        <v>97.299514644052692</v>
      </c>
      <c r="J15" s="368">
        <f>[29]Brewhouse!$AT402</f>
        <v>98.021864827060583</v>
      </c>
      <c r="K15" s="281">
        <f>[29]Brewhouse!$Q402</f>
        <v>9.5574387947269361</v>
      </c>
      <c r="L15" s="276">
        <f>[29]Brewhouse!$P402</f>
        <v>58</v>
      </c>
      <c r="M15" s="374">
        <f>[29]Brewhouse!$U402-[29]Brewhouse!$T402</f>
        <v>0.10972222222222217</v>
      </c>
      <c r="N15" s="370">
        <f>[29]Brewhouse!$AW402</f>
        <v>0.26111111111111107</v>
      </c>
      <c r="O15" s="419" t="str">
        <f>[29]Brewhouse!$AV402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[29]Brewhouse!$A403</f>
        <v>ST344</v>
      </c>
      <c r="D16" s="279">
        <f>[29]Brewhouse!$AB403</f>
        <v>53.1</v>
      </c>
      <c r="E16" s="279">
        <f>[29]Brewhouse!$AG403</f>
        <v>49.1</v>
      </c>
      <c r="F16" s="278">
        <f>[29]Brewhouse!$V403</f>
        <v>57</v>
      </c>
      <c r="G16" s="279">
        <f>[29]Brewhouse!$AE403</f>
        <v>11.7</v>
      </c>
      <c r="H16" s="490">
        <v>12.1</v>
      </c>
      <c r="I16" s="368">
        <f>[29]Brewhouse!$AS403</f>
        <v>96.73465116514339</v>
      </c>
      <c r="J16" s="368">
        <f>[29]Brewhouse!$AT403</f>
        <v>97.453526703291658</v>
      </c>
      <c r="K16" s="281">
        <f>[29]Brewhouse!$Q403</f>
        <v>10.310734463276837</v>
      </c>
      <c r="L16" s="276">
        <f>[29]Brewhouse!$P403</f>
        <v>58</v>
      </c>
      <c r="M16" s="374">
        <f>[29]Brewhouse!$U403-[29]Brewhouse!$T403</f>
        <v>0.1215277777777779</v>
      </c>
      <c r="N16" s="370">
        <f>[29]Brewhouse!$AW403</f>
        <v>0.27847222222222234</v>
      </c>
      <c r="O16" s="419" t="str">
        <f>[29]Brewhouse!$AV403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61"/>
      <c r="J21" s="561"/>
      <c r="K21" s="561"/>
      <c r="L21" s="561"/>
      <c r="M21" s="561"/>
      <c r="N21" s="561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39" t="s">
        <v>35</v>
      </c>
      <c r="E22" s="540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620"/>
      <c r="C23" s="483"/>
      <c r="D23" s="565"/>
      <c r="E23" s="566"/>
      <c r="F23" s="294"/>
      <c r="G23" s="294"/>
      <c r="H23" s="348"/>
      <c r="I23" s="29" t="s">
        <v>6</v>
      </c>
      <c r="J23" s="323"/>
      <c r="K23" s="284">
        <f>COUNTA([30]Brewhouse!$A$789:$A$808)</f>
        <v>20</v>
      </c>
      <c r="L23" s="305">
        <f>AVERAGE([30]Brewhouse!$AU$789:$AU$808)</f>
        <v>97.589415567513441</v>
      </c>
      <c r="M23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63"/>
      <c r="C24" s="362"/>
      <c r="D24" s="567"/>
      <c r="E24" s="568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COUNTA([29]Brewhouse!$A$390:$A$403)</f>
        <v>14</v>
      </c>
      <c r="L24" s="302">
        <f>AVERAGE([29]Brewhouse!$AS$390:$AS$403)</f>
        <v>97.848442816069223</v>
      </c>
      <c r="M24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63"/>
      <c r="C25" s="362"/>
      <c r="D25" s="616"/>
      <c r="E25" s="617"/>
      <c r="F25" s="294"/>
      <c r="G25" s="294"/>
      <c r="H25" s="348"/>
      <c r="I25" s="34" t="s">
        <v>12</v>
      </c>
      <c r="J25" s="323"/>
      <c r="K25" s="284"/>
      <c r="L25" s="302"/>
      <c r="M25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63"/>
      <c r="C26" s="362"/>
      <c r="D26" s="580"/>
      <c r="E26" s="568"/>
      <c r="F26" s="294"/>
      <c r="G26" s="294"/>
      <c r="H26" s="348"/>
      <c r="I26" s="22" t="s">
        <v>33</v>
      </c>
      <c r="J26" s="280"/>
      <c r="K26" s="284"/>
      <c r="L26" s="302"/>
      <c r="M26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63"/>
      <c r="C27" s="362"/>
      <c r="D27" s="616"/>
      <c r="E27" s="617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63"/>
      <c r="C28" s="362"/>
      <c r="D28" s="580"/>
      <c r="E28" s="568"/>
      <c r="F28" s="416"/>
      <c r="G28" s="294"/>
      <c r="H28" s="348"/>
      <c r="I28" s="36" t="s">
        <v>15</v>
      </c>
      <c r="J28" s="323"/>
      <c r="K28" s="284"/>
      <c r="L28" s="302"/>
      <c r="M28" s="302">
        <f>AVERAGE([33]Brewhouse!$AT$4:$AT$11,[33]Brewhouse!$AT$13:$AT$16,[33]Brewhouse!$AT$18:$AT$30)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63"/>
      <c r="C29" s="362"/>
      <c r="D29" s="616"/>
      <c r="E29" s="617"/>
      <c r="F29" s="416"/>
      <c r="G29" s="294"/>
      <c r="H29" s="348"/>
      <c r="I29" s="37" t="s">
        <v>16</v>
      </c>
      <c r="J29" s="323"/>
      <c r="K29" s="284"/>
      <c r="L29" s="302"/>
      <c r="M29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63"/>
      <c r="C30" s="362"/>
      <c r="D30" s="580"/>
      <c r="E30" s="568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63"/>
      <c r="C31" s="362"/>
      <c r="D31" s="616"/>
      <c r="E31" s="617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63"/>
      <c r="C32" s="362"/>
      <c r="D32" s="580"/>
      <c r="E32" s="568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63"/>
      <c r="C33" s="349"/>
      <c r="D33" s="565"/>
      <c r="E33" s="566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AVERAGE('[35]Jan30th-31st'!$L$42,'[36]Feb 27th-28th'!$L$45,'[37]Mar 31st'!$L$42,'[38]Apr 30th'!$L$41,'[39]May 29th '!$L$35,'[40]June 30th'!$L$32,[41]July31st!$L$36,'[42]Aug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75" thickBot="1">
      <c r="B34" s="621"/>
      <c r="C34" s="350"/>
      <c r="D34" s="567"/>
      <c r="E34" s="568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612"/>
      <c r="C35" s="362"/>
      <c r="D35" s="565"/>
      <c r="E35" s="566"/>
      <c r="F35" s="294"/>
      <c r="G35" s="42"/>
      <c r="H35" s="41"/>
      <c r="I35" s="42"/>
      <c r="J35" s="615" t="s">
        <v>129</v>
      </c>
      <c r="K35" s="615"/>
      <c r="L35" s="294"/>
      <c r="M35" s="294"/>
      <c r="N35" s="294"/>
      <c r="O35" s="294"/>
      <c r="P35" s="12"/>
    </row>
    <row r="36" spans="1:56" ht="15.75" thickBot="1">
      <c r="B36" s="613"/>
      <c r="C36" s="362"/>
      <c r="D36" s="567"/>
      <c r="E36" s="568"/>
      <c r="F36" s="294"/>
      <c r="G36" s="42"/>
      <c r="H36" s="42"/>
      <c r="I36" s="42"/>
      <c r="J36" s="292" t="s">
        <v>17</v>
      </c>
      <c r="K36" s="293"/>
      <c r="L36" s="582" t="s">
        <v>136</v>
      </c>
      <c r="M36" s="582"/>
      <c r="N36" s="583"/>
      <c r="O36" s="294"/>
      <c r="P36" s="12"/>
    </row>
    <row r="37" spans="1:56" ht="15" customHeight="1" thickBot="1">
      <c r="B37" s="613"/>
      <c r="C37" s="349"/>
      <c r="D37" s="616"/>
      <c r="E37" s="617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613"/>
      <c r="C38" s="349"/>
      <c r="D38" s="580"/>
      <c r="E38" s="568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AVERAGE('[35]Jan30th-31st'!$L$47,L38,'[36]Feb 26th '!$L$39,'[37]Mar 31st'!$L$47,'[38]Apr 30th'!$L$46,'[39]May 29th '!$L$40,'[40]June 30th'!$L$39,[41]July31st!$L$41,'[42]Aug 31st'!$L$37,'[43]Sept 30th'!$L$37)</f>
        <v>6.5535341470124084</v>
      </c>
      <c r="N38" s="415">
        <v>9.1999999999999993</v>
      </c>
      <c r="O38" s="294"/>
      <c r="P38" s="12"/>
    </row>
    <row r="39" spans="1:56" ht="15" customHeight="1">
      <c r="B39" s="613"/>
      <c r="C39" s="349"/>
      <c r="D39" s="616"/>
      <c r="E39" s="617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613"/>
      <c r="C40" s="349"/>
      <c r="D40" s="580"/>
      <c r="E40" s="568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613"/>
      <c r="C41" s="349"/>
      <c r="D41" s="616"/>
      <c r="E41" s="617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613"/>
      <c r="C42" s="349"/>
      <c r="D42" s="580"/>
      <c r="E42" s="568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613"/>
      <c r="C43" s="349"/>
      <c r="D43" s="616"/>
      <c r="E43" s="617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614"/>
      <c r="C44" s="350"/>
      <c r="D44" s="618"/>
      <c r="E44" s="619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610"/>
      <c r="E45" s="611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90" t="s">
        <v>17</v>
      </c>
      <c r="C50" s="590" t="s">
        <v>44</v>
      </c>
      <c r="D50" s="592" t="s">
        <v>45</v>
      </c>
      <c r="E50" s="547" t="s">
        <v>46</v>
      </c>
      <c r="F50" s="607" t="s">
        <v>47</v>
      </c>
      <c r="G50" s="601" t="s">
        <v>48</v>
      </c>
      <c r="H50" s="590" t="s">
        <v>49</v>
      </c>
      <c r="I50" s="590" t="s">
        <v>50</v>
      </c>
      <c r="J50" s="595" t="s">
        <v>28</v>
      </c>
      <c r="K50" s="545" t="s">
        <v>51</v>
      </c>
      <c r="L50" s="557" t="s">
        <v>52</v>
      </c>
      <c r="M50" s="595" t="s">
        <v>53</v>
      </c>
      <c r="N50" s="13"/>
      <c r="O50" s="13"/>
      <c r="P50" s="50"/>
    </row>
    <row r="51" spans="2:57" ht="28.5" customHeight="1" thickTop="1" thickBot="1">
      <c r="B51" s="609"/>
      <c r="C51" s="591"/>
      <c r="D51" s="593"/>
      <c r="E51" s="594"/>
      <c r="F51" s="608"/>
      <c r="G51" s="602"/>
      <c r="H51" s="609"/>
      <c r="I51" s="609"/>
      <c r="J51" s="596"/>
      <c r="K51" s="605"/>
      <c r="L51" s="606"/>
      <c r="M51" s="596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[8]October_2026!$J$3</f>
        <v>102.69999999999999</v>
      </c>
      <c r="E52" s="442"/>
      <c r="F52" s="443"/>
      <c r="G52" s="443">
        <f>[8]October_2026!$J$7</f>
        <v>96.8</v>
      </c>
      <c r="H52" s="457"/>
      <c r="I52" s="457"/>
      <c r="J52" s="447" t="s">
        <v>150</v>
      </c>
      <c r="K52" s="448">
        <f>[9]October_2026!$J$18</f>
        <v>0.33964912280701753</v>
      </c>
      <c r="L52" s="456">
        <f>(((D52+E52)-G52)/(D52+E52))*100</f>
        <v>5.744888023369028</v>
      </c>
      <c r="M52" s="454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[27]January_2019!L5</f>
        <v>0</v>
      </c>
      <c r="AC52" s="57">
        <f>[27]January_2019!M5</f>
        <v>0</v>
      </c>
      <c r="AD52" s="57">
        <f>[27]January_2019!N5</f>
        <v>0</v>
      </c>
      <c r="AE52" s="57">
        <f>[27]January_2019!O5</f>
        <v>0</v>
      </c>
      <c r="AF52" s="57">
        <f>[27]January_2019!P5</f>
        <v>0</v>
      </c>
      <c r="AG52" s="57">
        <f>[27]January_2019!Q5</f>
        <v>0</v>
      </c>
      <c r="AH52" s="57">
        <f>[27]January_2019!R5</f>
        <v>0</v>
      </c>
      <c r="AI52" s="57">
        <f>[27]January_2019!S5</f>
        <v>0</v>
      </c>
      <c r="AJ52" s="57">
        <f>[27]January_2019!T5</f>
        <v>0</v>
      </c>
      <c r="AK52" s="57">
        <f>[27]January_2019!U5</f>
        <v>0</v>
      </c>
      <c r="AL52" s="57">
        <f>[27]January_2019!V5</f>
        <v>0</v>
      </c>
      <c r="AM52" s="57">
        <f>[27]January_2019!W5</f>
        <v>0</v>
      </c>
      <c r="AN52" s="57">
        <f>[27]January_2019!X5</f>
        <v>0</v>
      </c>
      <c r="AO52" s="57">
        <f>[27]January_2019!Y5</f>
        <v>0</v>
      </c>
      <c r="AP52" s="57">
        <f>[27]January_2019!Z5</f>
        <v>0</v>
      </c>
      <c r="AQ52" s="57">
        <f>[27]January_2019!AA5</f>
        <v>0</v>
      </c>
      <c r="AR52" s="57">
        <f>[27]January_2019!AB5</f>
        <v>0</v>
      </c>
      <c r="AS52" s="57">
        <f>[27]January_2019!AC5</f>
        <v>0</v>
      </c>
      <c r="AT52" s="57">
        <f>[27]January_2019!AD5</f>
        <v>0</v>
      </c>
      <c r="AU52" s="57">
        <f>[27]January_2019!AE5</f>
        <v>0</v>
      </c>
      <c r="AV52" s="57">
        <f>[27]January_2019!AF5</f>
        <v>0</v>
      </c>
      <c r="AW52" s="57">
        <f>[27]January_2019!AG5</f>
        <v>0</v>
      </c>
      <c r="AX52" s="277">
        <f>[27]January_2019!AH5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[27]January_2019!L6</f>
        <v>0</v>
      </c>
      <c r="AC53" s="57">
        <f>[27]January_2019!M6</f>
        <v>0</v>
      </c>
      <c r="AD53" s="57">
        <f>[27]January_2019!N6</f>
        <v>0</v>
      </c>
      <c r="AE53" s="57">
        <f>[27]January_2019!O6</f>
        <v>0</v>
      </c>
      <c r="AF53" s="57">
        <f>[27]January_2019!P6</f>
        <v>0</v>
      </c>
      <c r="AG53" s="57">
        <f>[27]January_2019!Q6</f>
        <v>0</v>
      </c>
      <c r="AH53" s="57">
        <f>[27]January_2019!R6</f>
        <v>0</v>
      </c>
      <c r="AI53" s="57">
        <f>[27]January_2019!S6</f>
        <v>0</v>
      </c>
      <c r="AJ53" s="57">
        <f>[27]January_2019!T6</f>
        <v>0</v>
      </c>
      <c r="AK53" s="57">
        <f>[27]January_2019!U6</f>
        <v>0</v>
      </c>
      <c r="AL53" s="57">
        <f>[27]January_2019!V6</f>
        <v>0</v>
      </c>
      <c r="AM53" s="57">
        <f>[27]January_2019!W6</f>
        <v>0</v>
      </c>
      <c r="AN53" s="57">
        <f>[27]January_2019!X6</f>
        <v>0</v>
      </c>
      <c r="AO53" s="57">
        <f>[27]January_2019!Y6</f>
        <v>0</v>
      </c>
      <c r="AP53" s="57">
        <f>[27]January_2019!Z6</f>
        <v>0</v>
      </c>
      <c r="AQ53" s="57">
        <f>[27]January_2019!AA6</f>
        <v>0</v>
      </c>
      <c r="AR53" s="57">
        <f>[27]January_2019!AB6</f>
        <v>0</v>
      </c>
      <c r="AS53" s="57">
        <f>[27]January_2019!AC6</f>
        <v>0</v>
      </c>
      <c r="AT53" s="57">
        <f>[27]January_2019!AD6</f>
        <v>0</v>
      </c>
      <c r="AU53" s="57">
        <f>[27]January_2019!AE6</f>
        <v>0</v>
      </c>
      <c r="AV53" s="57">
        <f>[27]January_2019!AF6</f>
        <v>0</v>
      </c>
      <c r="AW53" s="57">
        <f>[27]January_2019!AG6</f>
        <v>0</v>
      </c>
      <c r="AX53" s="277">
        <f>[27]January_2019!AH6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[27]January_2019!L7</f>
        <v>285.8</v>
      </c>
      <c r="AC54" s="57">
        <f>[27]January_2019!M7</f>
        <v>508.1</v>
      </c>
      <c r="AD54" s="57">
        <f>[27]January_2019!N7</f>
        <v>0</v>
      </c>
      <c r="AE54" s="57">
        <f>[27]January_2019!O7</f>
        <v>0</v>
      </c>
      <c r="AF54" s="57">
        <f>[27]January_2019!P7</f>
        <v>109.56666666666666</v>
      </c>
      <c r="AG54" s="57">
        <f>[27]January_2019!Q7</f>
        <v>297.64999999999998</v>
      </c>
      <c r="AH54" s="57">
        <f>[27]January_2019!R7</f>
        <v>122.3</v>
      </c>
      <c r="AI54" s="57">
        <f>[27]January_2019!S7</f>
        <v>0</v>
      </c>
      <c r="AJ54" s="57">
        <f>[27]January_2019!T7</f>
        <v>294.7</v>
      </c>
      <c r="AK54" s="57">
        <f>[27]January_2019!U7</f>
        <v>280.5</v>
      </c>
      <c r="AL54" s="57">
        <f>[27]January_2019!V7</f>
        <v>0</v>
      </c>
      <c r="AM54" s="57">
        <f>[27]January_2019!W7</f>
        <v>0</v>
      </c>
      <c r="AN54" s="57">
        <f>[27]January_2019!X7</f>
        <v>188.25</v>
      </c>
      <c r="AO54" s="57">
        <f>[27]January_2019!Y7</f>
        <v>295.7</v>
      </c>
      <c r="AP54" s="57">
        <f>[27]January_2019!Z7</f>
        <v>257.8</v>
      </c>
      <c r="AQ54" s="57">
        <f>[27]January_2019!AA7</f>
        <v>291.2</v>
      </c>
      <c r="AR54" s="57">
        <f>[27]January_2019!AB7</f>
        <v>187</v>
      </c>
      <c r="AS54" s="57">
        <f>[27]January_2019!AC7</f>
        <v>0</v>
      </c>
      <c r="AT54" s="57">
        <f>[27]January_2019!AD7</f>
        <v>0</v>
      </c>
      <c r="AU54" s="57">
        <f>[27]January_2019!AE7</f>
        <v>485.1</v>
      </c>
      <c r="AV54" s="57">
        <f>[27]January_2019!AF7</f>
        <v>171.55</v>
      </c>
      <c r="AW54" s="57">
        <f>[27]January_2019!AG7</f>
        <v>423.8</v>
      </c>
      <c r="AX54" s="277">
        <f>[27]January_2019!AH7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597" t="s">
        <v>55</v>
      </c>
      <c r="C63" s="598"/>
      <c r="D63" s="598"/>
      <c r="E63" s="598"/>
      <c r="F63" s="599"/>
      <c r="G63" s="597" t="s">
        <v>56</v>
      </c>
      <c r="H63" s="598"/>
      <c r="I63" s="598"/>
      <c r="J63" s="599"/>
      <c r="K63" s="597" t="s">
        <v>51</v>
      </c>
      <c r="L63" s="598"/>
      <c r="M63" s="598"/>
      <c r="N63" s="600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B35:B44"/>
    <mergeCell ref="D35:E36"/>
    <mergeCell ref="J35:K35"/>
    <mergeCell ref="L36:N36"/>
    <mergeCell ref="D37:E38"/>
    <mergeCell ref="D39:E40"/>
    <mergeCell ref="D41:E42"/>
    <mergeCell ref="D43:E44"/>
    <mergeCell ref="D45:E45"/>
    <mergeCell ref="B50:B51"/>
    <mergeCell ref="C50:C51"/>
    <mergeCell ref="D50:D51"/>
    <mergeCell ref="E50:E51"/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</mergeCells>
  <conditionalFormatting sqref="B45:B46">
    <cfRule type="cellIs" dxfId="1727" priority="104" operator="notBetween">
      <formula>#REF!</formula>
      <formula>#REF!</formula>
    </cfRule>
  </conditionalFormatting>
  <conditionalFormatting sqref="C49">
    <cfRule type="cellIs" dxfId="1726" priority="187" stopIfTrue="1" operator="greaterThan">
      <formula>100</formula>
    </cfRule>
    <cfRule type="cellIs" dxfId="1725" priority="186" stopIfTrue="1" operator="lessThan">
      <formula>96</formula>
    </cfRule>
  </conditionalFormatting>
  <conditionalFormatting sqref="C65:C66">
    <cfRule type="cellIs" dxfId="1724" priority="68" stopIfTrue="1" operator="lessThanOrEqual">
      <formula>0</formula>
    </cfRule>
    <cfRule type="cellIs" dxfId="1723" priority="69" stopIfTrue="1" operator="greaterThan">
      <formula>$F65</formula>
    </cfRule>
    <cfRule type="cellIs" dxfId="1722" priority="70" stopIfTrue="1" operator="lessThanOrEqual">
      <formula>0</formula>
    </cfRule>
    <cfRule type="cellIs" dxfId="1721" priority="67" stopIfTrue="1" operator="greaterThan">
      <formula>$F65</formula>
    </cfRule>
  </conditionalFormatting>
  <conditionalFormatting sqref="C67:C69 C71:C73">
    <cfRule type="cellIs" dxfId="1720" priority="76" stopIfTrue="1" operator="greaterThan">
      <formula>$F70</formula>
    </cfRule>
  </conditionalFormatting>
  <conditionalFormatting sqref="C67:C69">
    <cfRule type="cellIs" dxfId="1719" priority="77" stopIfTrue="1" operator="lessThanOrEqual">
      <formula>0</formula>
    </cfRule>
  </conditionalFormatting>
  <conditionalFormatting sqref="C70">
    <cfRule type="cellIs" dxfId="1718" priority="189" stopIfTrue="1" operator="lessThanOrEqual">
      <formula>0</formula>
    </cfRule>
    <cfRule type="cellIs" dxfId="1717" priority="188" stopIfTrue="1" operator="greaterThan">
      <formula>$F65</formula>
    </cfRule>
    <cfRule type="cellIs" dxfId="1716" priority="190" stopIfTrue="1" operator="greaterThan">
      <formula>$F65</formula>
    </cfRule>
    <cfRule type="cellIs" dxfId="1715" priority="191" stopIfTrue="1" operator="lessThanOrEqual">
      <formula>0</formula>
    </cfRule>
  </conditionalFormatting>
  <conditionalFormatting sqref="C71:C73">
    <cfRule type="cellIs" dxfId="1714" priority="78" stopIfTrue="1" operator="lessThanOrEqual">
      <formula>0</formula>
    </cfRule>
  </conditionalFormatting>
  <conditionalFormatting sqref="C76:C80">
    <cfRule type="cellIs" dxfId="1713" priority="178" stopIfTrue="1" operator="lessThanOrEqual">
      <formula>0</formula>
    </cfRule>
  </conditionalFormatting>
  <conditionalFormatting sqref="C77:C80">
    <cfRule type="cellIs" dxfId="1712" priority="177" stopIfTrue="1" operator="greaterThan">
      <formula>$F$76</formula>
    </cfRule>
  </conditionalFormatting>
  <conditionalFormatting sqref="C82">
    <cfRule type="cellIs" dxfId="1711" priority="180" stopIfTrue="1" operator="lessThanOrEqual">
      <formula>0</formula>
    </cfRule>
    <cfRule type="cellIs" dxfId="1710" priority="179" stopIfTrue="1" operator="greaterThan">
      <formula>$F$76</formula>
    </cfRule>
  </conditionalFormatting>
  <conditionalFormatting sqref="C70:D70">
    <cfRule type="cellIs" dxfId="1709" priority="65" stopIfTrue="1" operator="greaterThan">
      <formula>$J70</formula>
    </cfRule>
    <cfRule type="cellIs" dxfId="1708" priority="66" stopIfTrue="1" operator="lessThanOrEqual">
      <formula>0</formula>
    </cfRule>
  </conditionalFormatting>
  <conditionalFormatting sqref="C76:D76 D78:D84">
    <cfRule type="cellIs" dxfId="1707" priority="172" stopIfTrue="1" operator="greaterThan">
      <formula>4.5</formula>
    </cfRule>
  </conditionalFormatting>
  <conditionalFormatting sqref="D45:D46">
    <cfRule type="cellIs" dxfId="1706" priority="105" operator="notBetween">
      <formula>#REF!</formula>
      <formula>#REF!</formula>
    </cfRule>
  </conditionalFormatting>
  <conditionalFormatting sqref="D65:D69 D71:D72">
    <cfRule type="cellIs" dxfId="1705" priority="75" stopIfTrue="1" operator="lessThanOrEqual">
      <formula>0</formula>
    </cfRule>
  </conditionalFormatting>
  <conditionalFormatting sqref="D65:D69 D71:D74">
    <cfRule type="cellIs" dxfId="1704" priority="71" stopIfTrue="1" operator="lessThanOrEqual">
      <formula>0</formula>
    </cfRule>
    <cfRule type="cellIs" dxfId="1703" priority="72" stopIfTrue="1" operator="greaterThan">
      <formula>$F65</formula>
    </cfRule>
  </conditionalFormatting>
  <conditionalFormatting sqref="D73:D74">
    <cfRule type="cellIs" dxfId="1702" priority="73" stopIfTrue="1" operator="lessThanOrEqual">
      <formula>0</formula>
    </cfRule>
  </conditionalFormatting>
  <conditionalFormatting sqref="D74">
    <cfRule type="cellIs" dxfId="1701" priority="74" stopIfTrue="1" operator="lessThanOrEqual">
      <formula>0</formula>
    </cfRule>
  </conditionalFormatting>
  <conditionalFormatting sqref="D76 D78:D84">
    <cfRule type="cellIs" dxfId="1700" priority="173" stopIfTrue="1" operator="lessThanOrEqual">
      <formula>0</formula>
    </cfRule>
  </conditionalFormatting>
  <conditionalFormatting sqref="D77">
    <cfRule type="cellIs" dxfId="1699" priority="164" stopIfTrue="1" operator="greaterThan">
      <formula>$F$76</formula>
    </cfRule>
    <cfRule type="cellIs" dxfId="1698" priority="165" stopIfTrue="1" operator="lessThanOrEqual">
      <formula>0</formula>
    </cfRule>
  </conditionalFormatting>
  <conditionalFormatting sqref="E10:E20">
    <cfRule type="cellIs" dxfId="1697" priority="8" operator="lessThan">
      <formula>48</formula>
    </cfRule>
  </conditionalFormatting>
  <conditionalFormatting sqref="E48 E49:F49">
    <cfRule type="cellIs" dxfId="1696" priority="169" stopIfTrue="1" operator="greaterThan">
      <formula>100</formula>
    </cfRule>
  </conditionalFormatting>
  <conditionalFormatting sqref="E49">
    <cfRule type="cellIs" dxfId="1695" priority="167" stopIfTrue="1" operator="greaterThan">
      <formula>100</formula>
    </cfRule>
    <cfRule type="cellIs" dxfId="1694" priority="166" stopIfTrue="1" operator="lessThan">
      <formula>96.8</formula>
    </cfRule>
  </conditionalFormatting>
  <conditionalFormatting sqref="E65:E73">
    <cfRule type="cellIs" dxfId="1693" priority="38" stopIfTrue="1" operator="lessThanOrEqual">
      <formula>0</formula>
    </cfRule>
  </conditionalFormatting>
  <conditionalFormatting sqref="E65:E74">
    <cfRule type="cellIs" dxfId="1692" priority="39" stopIfTrue="1" operator="greaterThan">
      <formula>$F65</formula>
    </cfRule>
    <cfRule type="cellIs" dxfId="1691" priority="40" stopIfTrue="1" operator="lessThanOrEqual">
      <formula>0</formula>
    </cfRule>
  </conditionalFormatting>
  <conditionalFormatting sqref="E74">
    <cfRule type="cellIs" dxfId="1690" priority="41" stopIfTrue="1" operator="lessThanOrEqual">
      <formula>0</formula>
    </cfRule>
  </conditionalFormatting>
  <conditionalFormatting sqref="E76:E84">
    <cfRule type="cellIs" dxfId="1689" priority="158" stopIfTrue="1" operator="greaterThan">
      <formula>4.5</formula>
    </cfRule>
    <cfRule type="cellIs" dxfId="1688" priority="159" stopIfTrue="1" operator="lessThanOrEqual">
      <formula>0</formula>
    </cfRule>
  </conditionalFormatting>
  <conditionalFormatting sqref="E49:F49 E48">
    <cfRule type="cellIs" dxfId="1687" priority="168" stopIfTrue="1" operator="lessThan">
      <formula>96.5</formula>
    </cfRule>
  </conditionalFormatting>
  <conditionalFormatting sqref="F10:F20">
    <cfRule type="cellIs" dxfId="1686" priority="9" operator="greaterThan">
      <formula>60</formula>
    </cfRule>
  </conditionalFormatting>
  <conditionalFormatting sqref="F49">
    <cfRule type="cellIs" dxfId="1685" priority="184" stopIfTrue="1" operator="lessThan">
      <formula>96.8</formula>
    </cfRule>
    <cfRule type="cellIs" dxfId="1684" priority="185" stopIfTrue="1" operator="greaterThan">
      <formula>100</formula>
    </cfRule>
  </conditionalFormatting>
  <conditionalFormatting sqref="G20">
    <cfRule type="expression" dxfId="1683" priority="13">
      <formula>IF(+(IF(G20&lt;S20,0,IF(G20&gt;T20,0,1)))=0,1)</formula>
    </cfRule>
  </conditionalFormatting>
  <conditionalFormatting sqref="G65:G68 F74">
    <cfRule type="cellIs" dxfId="1682" priority="48" stopIfTrue="1" operator="lessThanOrEqual">
      <formula>0</formula>
    </cfRule>
    <cfRule type="cellIs" dxfId="1681" priority="47" stopIfTrue="1" operator="greaterThan">
      <formula>$F65</formula>
    </cfRule>
  </conditionalFormatting>
  <conditionalFormatting sqref="G67:G68">
    <cfRule type="cellIs" dxfId="1680" priority="34" stopIfTrue="1" operator="lessThanOrEqual">
      <formula>0</formula>
    </cfRule>
    <cfRule type="cellIs" dxfId="1679" priority="33" stopIfTrue="1" operator="greaterThan">
      <formula>$F67</formula>
    </cfRule>
  </conditionalFormatting>
  <conditionalFormatting sqref="G69:G73">
    <cfRule type="cellIs" dxfId="1678" priority="50" stopIfTrue="1" operator="lessThanOrEqual">
      <formula>0</formula>
    </cfRule>
    <cfRule type="cellIs" dxfId="1677" priority="49" stopIfTrue="1" operator="greaterThan">
      <formula>$J69</formula>
    </cfRule>
  </conditionalFormatting>
  <conditionalFormatting sqref="G70">
    <cfRule type="cellIs" dxfId="1676" priority="193" stopIfTrue="1" operator="lessThanOrEqual">
      <formula>0</formula>
    </cfRule>
    <cfRule type="cellIs" dxfId="1675" priority="192" stopIfTrue="1" operator="greaterThan">
      <formula>$F65</formula>
    </cfRule>
  </conditionalFormatting>
  <conditionalFormatting sqref="G78:G83 C81 C83">
    <cfRule type="cellIs" dxfId="1674" priority="181" stopIfTrue="1" operator="greaterThan">
      <formula>4.5</formula>
    </cfRule>
    <cfRule type="cellIs" dxfId="1673" priority="182" stopIfTrue="1" operator="lessThanOrEqual">
      <formula>0</formula>
    </cfRule>
  </conditionalFormatting>
  <conditionalFormatting sqref="G77:H77">
    <cfRule type="cellIs" dxfId="1672" priority="162" stopIfTrue="1" operator="greaterThan">
      <formula>$F$76</formula>
    </cfRule>
    <cfRule type="cellIs" dxfId="1671" priority="163" stopIfTrue="1" operator="lessThanOrEqual">
      <formula>0</formula>
    </cfRule>
  </conditionalFormatting>
  <conditionalFormatting sqref="H34:H35 H48">
    <cfRule type="cellIs" dxfId="1670" priority="160" stopIfTrue="1" operator="greaterThan">
      <formula>0</formula>
    </cfRule>
  </conditionalFormatting>
  <conditionalFormatting sqref="H52">
    <cfRule type="cellIs" dxfId="1669" priority="52" stopIfTrue="1" operator="lessThanOrEqual">
      <formula>0</formula>
    </cfRule>
    <cfRule type="cellIs" dxfId="1668" priority="53" stopIfTrue="1" operator="greaterThan">
      <formula>$F$65</formula>
    </cfRule>
    <cfRule type="cellIs" dxfId="1667" priority="61" stopIfTrue="1" operator="greaterThan">
      <formula>$F$68</formula>
    </cfRule>
    <cfRule type="cellIs" dxfId="1666" priority="62" stopIfTrue="1" operator="lessThanOrEqual">
      <formula>0</formula>
    </cfRule>
    <cfRule type="cellIs" dxfId="1665" priority="63" stopIfTrue="1" operator="greaterThan">
      <formula>$F$66</formula>
    </cfRule>
  </conditionalFormatting>
  <conditionalFormatting sqref="H52:H53">
    <cfRule type="cellIs" dxfId="1664" priority="64" stopIfTrue="1" operator="lessThanOrEqual">
      <formula>0</formula>
    </cfRule>
  </conditionalFormatting>
  <conditionalFormatting sqref="H53 H55:H56">
    <cfRule type="cellIs" dxfId="1663" priority="90" stopIfTrue="1" operator="lessThanOrEqual">
      <formula>0</formula>
    </cfRule>
  </conditionalFormatting>
  <conditionalFormatting sqref="H53">
    <cfRule type="cellIs" dxfId="1662" priority="79" stopIfTrue="1" operator="greaterThan">
      <formula>$F$65</formula>
    </cfRule>
    <cfRule type="cellIs" dxfId="1661" priority="87" stopIfTrue="1" operator="greaterThan">
      <formula>$F$68</formula>
    </cfRule>
    <cfRule type="cellIs" dxfId="1660" priority="88" stopIfTrue="1" operator="lessThanOrEqual">
      <formula>0</formula>
    </cfRule>
    <cfRule type="cellIs" dxfId="1659" priority="89" stopIfTrue="1" operator="greaterThan">
      <formula>$F$66</formula>
    </cfRule>
  </conditionalFormatting>
  <conditionalFormatting sqref="H54">
    <cfRule type="cellIs" dxfId="1658" priority="30" stopIfTrue="1" operator="greaterThan">
      <formula>$F$68</formula>
    </cfRule>
    <cfRule type="cellIs" dxfId="1657" priority="29" stopIfTrue="1" operator="lessThanOrEqual">
      <formula>0</formula>
    </cfRule>
    <cfRule type="cellIs" dxfId="1656" priority="28" stopIfTrue="1" operator="greaterThan">
      <formula>$F$70</formula>
    </cfRule>
    <cfRule type="cellIs" dxfId="1655" priority="31" stopIfTrue="1" operator="lessThanOrEqual">
      <formula>0</formula>
    </cfRule>
    <cfRule type="cellIs" dxfId="1654" priority="20" stopIfTrue="1" operator="greaterThan">
      <formula>$F$67</formula>
    </cfRule>
    <cfRule type="cellIs" dxfId="1653" priority="19" stopIfTrue="1" operator="lessThanOrEqual">
      <formula>0</formula>
    </cfRule>
  </conditionalFormatting>
  <conditionalFormatting sqref="H55:H56">
    <cfRule type="cellIs" dxfId="1652" priority="103" stopIfTrue="1" operator="lessThanOrEqual">
      <formula>0</formula>
    </cfRule>
    <cfRule type="cellIs" dxfId="1651" priority="100" stopIfTrue="1" operator="greaterThan">
      <formula>$F$68</formula>
    </cfRule>
    <cfRule type="cellIs" dxfId="1650" priority="92" stopIfTrue="1" operator="greaterThan">
      <formula>$F$65</formula>
    </cfRule>
    <cfRule type="cellIs" dxfId="1649" priority="102" stopIfTrue="1" operator="greaterThan">
      <formula>$F$66</formula>
    </cfRule>
    <cfRule type="cellIs" dxfId="1648" priority="101" stopIfTrue="1" operator="lessThanOrEqual">
      <formula>0</formula>
    </cfRule>
  </conditionalFormatting>
  <conditionalFormatting sqref="H57:H58">
    <cfRule type="cellIs" dxfId="1647" priority="136" stopIfTrue="1" operator="greaterThan">
      <formula>#REF!</formula>
    </cfRule>
    <cfRule type="cellIs" dxfId="1646" priority="137" stopIfTrue="1" operator="lessThanOrEqual">
      <formula>0</formula>
    </cfRule>
    <cfRule type="cellIs" dxfId="1645" priority="127" stopIfTrue="1" operator="lessThanOrEqual">
      <formula>0</formula>
    </cfRule>
    <cfRule type="cellIs" dxfId="1644" priority="128" stopIfTrue="1" operator="greaterThan">
      <formula>#REF!</formula>
    </cfRule>
  </conditionalFormatting>
  <conditionalFormatting sqref="H59">
    <cfRule type="cellIs" dxfId="1643" priority="151" stopIfTrue="1" operator="lessThanOrEqual">
      <formula>0</formula>
    </cfRule>
    <cfRule type="cellIs" dxfId="1642" priority="149" stopIfTrue="1" operator="lessThanOrEqual">
      <formula>0</formula>
    </cfRule>
    <cfRule type="cellIs" dxfId="1641" priority="139" stopIfTrue="1" operator="lessThanOrEqual">
      <formula>0</formula>
    </cfRule>
    <cfRule type="cellIs" dxfId="1640" priority="140" stopIfTrue="1" operator="greaterThan">
      <formula>$F$33</formula>
    </cfRule>
    <cfRule type="cellIs" dxfId="1639" priority="148" stopIfTrue="1" operator="greaterThan">
      <formula>$F$36</formula>
    </cfRule>
    <cfRule type="cellIs" dxfId="1638" priority="150" stopIfTrue="1" operator="greaterThan">
      <formula>$F$34</formula>
    </cfRule>
  </conditionalFormatting>
  <conditionalFormatting sqref="H60:H61">
    <cfRule type="cellIs" dxfId="1637" priority="124" stopIfTrue="1" operator="greaterThan">
      <formula>#REF!</formula>
    </cfRule>
    <cfRule type="cellIs" dxfId="1636" priority="125" stopIfTrue="1" operator="lessThanOrEqual">
      <formula>0</formula>
    </cfRule>
    <cfRule type="cellIs" dxfId="1635" priority="115" stopIfTrue="1" operator="lessThanOrEqual">
      <formula>0</formula>
    </cfRule>
    <cfRule type="cellIs" dxfId="1634" priority="116" stopIfTrue="1" operator="greaterThan">
      <formula>#REF!</formula>
    </cfRule>
  </conditionalFormatting>
  <conditionalFormatting sqref="H76 H78:H84">
    <cfRule type="cellIs" dxfId="1633" priority="174" stopIfTrue="1" operator="greaterThan">
      <formula>4.5</formula>
    </cfRule>
    <cfRule type="cellIs" dxfId="1632" priority="175" stopIfTrue="1" operator="lessThanOrEqual">
      <formula>0</formula>
    </cfRule>
  </conditionalFormatting>
  <conditionalFormatting sqref="H52:I52">
    <cfRule type="cellIs" dxfId="1631" priority="54" stopIfTrue="1" operator="lessThanOrEqual">
      <formula>0</formula>
    </cfRule>
  </conditionalFormatting>
  <conditionalFormatting sqref="H52:I53 H55:I56">
    <cfRule type="cellIs" dxfId="1630" priority="51" stopIfTrue="1" operator="greaterThan">
      <formula>$F$67</formula>
    </cfRule>
  </conditionalFormatting>
  <conditionalFormatting sqref="H53:I53">
    <cfRule type="cellIs" dxfId="1629" priority="80" stopIfTrue="1" operator="lessThanOrEqual">
      <formula>0</formula>
    </cfRule>
  </conditionalFormatting>
  <conditionalFormatting sqref="H54:I54">
    <cfRule type="cellIs" dxfId="1628" priority="21" stopIfTrue="1" operator="lessThanOrEqual">
      <formula>0</formula>
    </cfRule>
    <cfRule type="cellIs" dxfId="1627" priority="18" stopIfTrue="1" operator="greaterThan">
      <formula>$F$69</formula>
    </cfRule>
  </conditionalFormatting>
  <conditionalFormatting sqref="H55:I56">
    <cfRule type="cellIs" dxfId="1626" priority="93" stopIfTrue="1" operator="lessThanOrEqual">
      <formula>0</formula>
    </cfRule>
  </conditionalFormatting>
  <conditionalFormatting sqref="H57:I58">
    <cfRule type="cellIs" dxfId="1625" priority="129" stopIfTrue="1" operator="lessThanOrEqual">
      <formula>0</formula>
    </cfRule>
    <cfRule type="cellIs" dxfId="1624" priority="134" stopIfTrue="1" operator="greaterThan">
      <formula>#REF!</formula>
    </cfRule>
    <cfRule type="cellIs" dxfId="1623" priority="135" stopIfTrue="1" operator="lessThanOrEqual">
      <formula>0</formula>
    </cfRule>
    <cfRule type="cellIs" dxfId="1622" priority="126" stopIfTrue="1" operator="greaterThan">
      <formula>#REF!</formula>
    </cfRule>
  </conditionalFormatting>
  <conditionalFormatting sqref="H59:I59">
    <cfRule type="cellIs" dxfId="1621" priority="138" stopIfTrue="1" operator="greaterThan">
      <formula>$F$35</formula>
    </cfRule>
    <cfRule type="cellIs" dxfId="1620" priority="141" stopIfTrue="1" operator="lessThanOrEqual">
      <formula>0</formula>
    </cfRule>
  </conditionalFormatting>
  <conditionalFormatting sqref="H60:I61">
    <cfRule type="cellIs" dxfId="1619" priority="114" stopIfTrue="1" operator="greaterThan">
      <formula>#REF!</formula>
    </cfRule>
    <cfRule type="cellIs" dxfId="1618" priority="117" stopIfTrue="1" operator="lessThanOrEqual">
      <formula>0</formula>
    </cfRule>
    <cfRule type="cellIs" dxfId="1617" priority="122" stopIfTrue="1" operator="greaterThan">
      <formula>#REF!</formula>
    </cfRule>
    <cfRule type="cellIs" dxfId="1616" priority="123" stopIfTrue="1" operator="lessThanOrEqual">
      <formula>0</formula>
    </cfRule>
  </conditionalFormatting>
  <conditionalFormatting sqref="H65:I72">
    <cfRule type="cellIs" dxfId="1615" priority="37" stopIfTrue="1" operator="lessThanOrEqual">
      <formula>0</formula>
    </cfRule>
    <cfRule type="cellIs" dxfId="1614" priority="36" stopIfTrue="1" operator="greaterThan">
      <formula>$J65</formula>
    </cfRule>
  </conditionalFormatting>
  <conditionalFormatting sqref="H73:I73">
    <cfRule type="cellIs" dxfId="1613" priority="44" operator="greaterThan">
      <formula>5.3</formula>
    </cfRule>
  </conditionalFormatting>
  <conditionalFormatting sqref="H74:I74">
    <cfRule type="cellIs" dxfId="1612" priority="43" stopIfTrue="1" operator="lessThanOrEqual">
      <formula>0</formula>
    </cfRule>
    <cfRule type="cellIs" dxfId="1611" priority="42" stopIfTrue="1" operator="greaterThan">
      <formula>$J74</formula>
    </cfRule>
  </conditionalFormatting>
  <conditionalFormatting sqref="I52">
    <cfRule type="cellIs" dxfId="1610" priority="57" stopIfTrue="1" operator="greaterThan">
      <formula>$F$67</formula>
    </cfRule>
    <cfRule type="cellIs" dxfId="1609" priority="55" stopIfTrue="1" operator="greaterThan">
      <formula>$F$65</formula>
    </cfRule>
    <cfRule type="cellIs" dxfId="1608" priority="58" stopIfTrue="1" operator="lessThanOrEqual">
      <formula>0</formula>
    </cfRule>
    <cfRule type="cellIs" dxfId="1607" priority="59" stopIfTrue="1" operator="greaterThan">
      <formula>$F$65</formula>
    </cfRule>
    <cfRule type="cellIs" dxfId="1606" priority="60" stopIfTrue="1" operator="lessThanOrEqual">
      <formula>0</formula>
    </cfRule>
    <cfRule type="cellIs" dxfId="1605" priority="56" stopIfTrue="1" operator="lessThanOrEqual">
      <formula>0</formula>
    </cfRule>
  </conditionalFormatting>
  <conditionalFormatting sqref="I53">
    <cfRule type="cellIs" dxfId="1604" priority="81" stopIfTrue="1" operator="greaterThan">
      <formula>$F$65</formula>
    </cfRule>
    <cfRule type="cellIs" dxfId="1603" priority="82" stopIfTrue="1" operator="lessThanOrEqual">
      <formula>0</formula>
    </cfRule>
    <cfRule type="cellIs" dxfId="1602" priority="84" stopIfTrue="1" operator="lessThanOrEqual">
      <formula>0</formula>
    </cfRule>
    <cfRule type="cellIs" dxfId="1601" priority="85" stopIfTrue="1" operator="greaterThan">
      <formula>$F$65</formula>
    </cfRule>
    <cfRule type="cellIs" dxfId="1600" priority="86" stopIfTrue="1" operator="lessThanOrEqual">
      <formula>0</formula>
    </cfRule>
    <cfRule type="cellIs" dxfId="1599" priority="83" stopIfTrue="1" operator="greaterThan">
      <formula>$F$67</formula>
    </cfRule>
  </conditionalFormatting>
  <conditionalFormatting sqref="I54">
    <cfRule type="cellIs" dxfId="1598" priority="22" stopIfTrue="1" operator="greaterThan">
      <formula>$F$67</formula>
    </cfRule>
    <cfRule type="cellIs" dxfId="1597" priority="24" stopIfTrue="1" operator="greaterThan">
      <formula>$F$69</formula>
    </cfRule>
    <cfRule type="cellIs" dxfId="1596" priority="23" stopIfTrue="1" operator="lessThanOrEqual">
      <formula>0</formula>
    </cfRule>
    <cfRule type="cellIs" dxfId="1595" priority="27" stopIfTrue="1" operator="lessThanOrEqual">
      <formula>0</formula>
    </cfRule>
    <cfRule type="cellIs" dxfId="1594" priority="26" stopIfTrue="1" operator="greaterThan">
      <formula>$F$67</formula>
    </cfRule>
    <cfRule type="cellIs" dxfId="1593" priority="25" stopIfTrue="1" operator="lessThanOrEqual">
      <formula>0</formula>
    </cfRule>
  </conditionalFormatting>
  <conditionalFormatting sqref="I55:I56">
    <cfRule type="cellIs" dxfId="1592" priority="96" stopIfTrue="1" operator="greaterThan">
      <formula>$F$67</formula>
    </cfRule>
    <cfRule type="cellIs" dxfId="1591" priority="97" stopIfTrue="1" operator="lessThanOrEqual">
      <formula>0</formula>
    </cfRule>
    <cfRule type="cellIs" dxfId="1590" priority="98" stopIfTrue="1" operator="greaterThan">
      <formula>$F$65</formula>
    </cfRule>
    <cfRule type="cellIs" dxfId="1589" priority="99" stopIfTrue="1" operator="lessThanOrEqual">
      <formula>0</formula>
    </cfRule>
    <cfRule type="cellIs" dxfId="1588" priority="94" stopIfTrue="1" operator="greaterThan">
      <formula>$F$65</formula>
    </cfRule>
    <cfRule type="cellIs" dxfId="1587" priority="95" stopIfTrue="1" operator="lessThanOrEqual">
      <formula>0</formula>
    </cfRule>
  </conditionalFormatting>
  <conditionalFormatting sqref="I57:I58">
    <cfRule type="cellIs" dxfId="1586" priority="133" stopIfTrue="1" operator="lessThanOrEqual">
      <formula>0</formula>
    </cfRule>
    <cfRule type="cellIs" dxfId="1585" priority="132" stopIfTrue="1" operator="greaterThan">
      <formula>#REF!</formula>
    </cfRule>
    <cfRule type="cellIs" dxfId="1584" priority="131" stopIfTrue="1" operator="lessThanOrEqual">
      <formula>0</formula>
    </cfRule>
    <cfRule type="cellIs" dxfId="1583" priority="130" stopIfTrue="1" operator="greaterThan">
      <formula>#REF!</formula>
    </cfRule>
  </conditionalFormatting>
  <conditionalFormatting sqref="I59">
    <cfRule type="cellIs" dxfId="1582" priority="144" stopIfTrue="1" operator="greaterThan">
      <formula>$F$35</formula>
    </cfRule>
    <cfRule type="cellIs" dxfId="1581" priority="145" stopIfTrue="1" operator="lessThanOrEqual">
      <formula>0</formula>
    </cfRule>
    <cfRule type="cellIs" dxfId="1580" priority="146" stopIfTrue="1" operator="greaterThan">
      <formula>$F$33</formula>
    </cfRule>
    <cfRule type="cellIs" dxfId="1579" priority="147" stopIfTrue="1" operator="lessThanOrEqual">
      <formula>0</formula>
    </cfRule>
    <cfRule type="cellIs" dxfId="1578" priority="143" stopIfTrue="1" operator="lessThanOrEqual">
      <formula>0</formula>
    </cfRule>
    <cfRule type="cellIs" dxfId="1577" priority="142" stopIfTrue="1" operator="greaterThan">
      <formula>$F$33</formula>
    </cfRule>
  </conditionalFormatting>
  <conditionalFormatting sqref="I60:I61">
    <cfRule type="cellIs" dxfId="1576" priority="121" stopIfTrue="1" operator="lessThanOrEqual">
      <formula>0</formula>
    </cfRule>
    <cfRule type="cellIs" dxfId="1575" priority="118" stopIfTrue="1" operator="greaterThan">
      <formula>#REF!</formula>
    </cfRule>
    <cfRule type="cellIs" dxfId="1574" priority="119" stopIfTrue="1" operator="lessThanOrEqual">
      <formula>0</formula>
    </cfRule>
    <cfRule type="cellIs" dxfId="1573" priority="120" stopIfTrue="1" operator="greaterThan">
      <formula>#REF!</formula>
    </cfRule>
  </conditionalFormatting>
  <conditionalFormatting sqref="I76:I84">
    <cfRule type="cellIs" dxfId="1572" priority="171" stopIfTrue="1" operator="lessThanOrEqual">
      <formula>0</formula>
    </cfRule>
    <cfRule type="cellIs" dxfId="1571" priority="170" stopIfTrue="1" operator="greaterThan">
      <formula>4.5</formula>
    </cfRule>
  </conditionalFormatting>
  <conditionalFormatting sqref="I10:J20">
    <cfRule type="cellIs" dxfId="1570" priority="2" operator="lessThan">
      <formula>97.9</formula>
    </cfRule>
  </conditionalFormatting>
  <conditionalFormatting sqref="J23:J25">
    <cfRule type="cellIs" dxfId="1569" priority="17" operator="lessThan">
      <formula>97.95</formula>
    </cfRule>
  </conditionalFormatting>
  <conditionalFormatting sqref="J24:J27">
    <cfRule type="cellIs" dxfId="1568" priority="152" operator="lessThan">
      <formula>97.4</formula>
    </cfRule>
  </conditionalFormatting>
  <conditionalFormatting sqref="J28:J29">
    <cfRule type="cellIs" dxfId="1567" priority="153" operator="lessThan">
      <formula>98</formula>
    </cfRule>
  </conditionalFormatting>
  <conditionalFormatting sqref="J30:J31">
    <cfRule type="cellIs" dxfId="1566" priority="154" stopIfTrue="1" operator="lessThan">
      <formula>96.8</formula>
    </cfRule>
    <cfRule type="cellIs" dxfId="1565" priority="155" stopIfTrue="1" operator="greaterThan">
      <formula>100</formula>
    </cfRule>
  </conditionalFormatting>
  <conditionalFormatting sqref="J30:J32">
    <cfRule type="cellIs" dxfId="1564" priority="156" operator="lessThan">
      <formula>98</formula>
    </cfRule>
  </conditionalFormatting>
  <conditionalFormatting sqref="J61">
    <cfRule type="cellIs" dxfId="1563" priority="109" stopIfTrue="1" operator="lessThanOrEqual">
      <formula>0</formula>
    </cfRule>
    <cfRule type="cellIs" dxfId="1562" priority="110" stopIfTrue="1" operator="greaterThan">
      <formula>#REF!</formula>
    </cfRule>
    <cfRule type="cellIs" dxfId="1561" priority="111" stopIfTrue="1" operator="lessThanOrEqual">
      <formula>0</formula>
    </cfRule>
    <cfRule type="cellIs" dxfId="1560" priority="106" stopIfTrue="1" operator="greaterThan">
      <formula>#REF!</formula>
    </cfRule>
    <cfRule type="cellIs" dxfId="1559" priority="107" stopIfTrue="1" operator="lessThanOrEqual">
      <formula>0</formula>
    </cfRule>
    <cfRule type="cellIs" dxfId="1558" priority="108" stopIfTrue="1" operator="greaterThan">
      <formula>#REF!</formula>
    </cfRule>
    <cfRule type="cellIs" dxfId="1557" priority="112" stopIfTrue="1" operator="greaterThan">
      <formula>#REF!</formula>
    </cfRule>
    <cfRule type="cellIs" dxfId="1556" priority="113" stopIfTrue="1" operator="lessThanOrEqual">
      <formula>0</formula>
    </cfRule>
  </conditionalFormatting>
  <conditionalFormatting sqref="J74">
    <cfRule type="cellIs" dxfId="1555" priority="46" stopIfTrue="1" operator="lessThanOrEqual">
      <formula>0</formula>
    </cfRule>
    <cfRule type="cellIs" dxfId="1554" priority="45" stopIfTrue="1" operator="greaterThan">
      <formula>$F74</formula>
    </cfRule>
  </conditionalFormatting>
  <conditionalFormatting sqref="K10:K20">
    <cfRule type="cellIs" dxfId="1553" priority="5" operator="greaterThan">
      <formula>6.4</formula>
    </cfRule>
    <cfRule type="cellIs" dxfId="1552" priority="4" operator="lessThan">
      <formula>4</formula>
    </cfRule>
    <cfRule type="cellIs" dxfId="1551" priority="3" operator="greaterThan">
      <formula>6</formula>
    </cfRule>
  </conditionalFormatting>
  <conditionalFormatting sqref="K52:K61">
    <cfRule type="cellIs" dxfId="1550" priority="91" stopIfTrue="1" operator="lessThan">
      <formula>100%</formula>
    </cfRule>
  </conditionalFormatting>
  <conditionalFormatting sqref="K65:K73">
    <cfRule type="cellIs" dxfId="1549" priority="35" stopIfTrue="1" operator="lessThan">
      <formula>100%</formula>
    </cfRule>
  </conditionalFormatting>
  <conditionalFormatting sqref="K76:K81">
    <cfRule type="cellIs" dxfId="1548" priority="176" stopIfTrue="1" operator="lessThan">
      <formula>100%</formula>
    </cfRule>
  </conditionalFormatting>
  <conditionalFormatting sqref="K83:K84">
    <cfRule type="cellIs" dxfId="1547" priority="183" stopIfTrue="1" operator="lessThan">
      <formula>100%</formula>
    </cfRule>
  </conditionalFormatting>
  <conditionalFormatting sqref="L10:L20">
    <cfRule type="cellIs" dxfId="1546" priority="6" operator="between">
      <formula>61</formula>
      <formula>65</formula>
    </cfRule>
    <cfRule type="cellIs" dxfId="1545" priority="7" operator="greaterThan">
      <formula>65</formula>
    </cfRule>
  </conditionalFormatting>
  <conditionalFormatting sqref="L23:M34">
    <cfRule type="cellIs" dxfId="1544" priority="16" operator="lessThan">
      <formula>97.95</formula>
    </cfRule>
  </conditionalFormatting>
  <conditionalFormatting sqref="L38:N38">
    <cfRule type="cellIs" dxfId="1543" priority="15" operator="notEqual">
      <formula>#REF!</formula>
    </cfRule>
  </conditionalFormatting>
  <conditionalFormatting sqref="L65:N74">
    <cfRule type="cellIs" dxfId="1542" priority="32" stopIfTrue="1" operator="lessThan">
      <formula>100%</formula>
    </cfRule>
  </conditionalFormatting>
  <conditionalFormatting sqref="L76:N84">
    <cfRule type="cellIs" dxfId="1541" priority="161" stopIfTrue="1" operator="lessThan">
      <formula>100%</formula>
    </cfRule>
  </conditionalFormatting>
  <conditionalFormatting sqref="M20">
    <cfRule type="expression" dxfId="1540" priority="12">
      <formula>IF(+(IF(M20&lt;U20,0,IF(M20&gt;V20,0,1)))=0,1)</formula>
    </cfRule>
  </conditionalFormatting>
  <conditionalFormatting sqref="M10:N19 H10:H20 G19">
    <cfRule type="expression" dxfId="1539" priority="14">
      <formula>IF(+(IF(G10&lt;#REF!,0,IF(G10&gt;#REF!,0,1)))=0,1)</formula>
    </cfRule>
  </conditionalFormatting>
  <conditionalFormatting sqref="N10:N20">
    <cfRule type="expression" dxfId="1538" priority="11">
      <formula>IF(+(IF(N10&lt;W10,0,IF(N10&gt;X10,0,1)))=0,1)</formula>
    </cfRule>
  </conditionalFormatting>
  <conditionalFormatting sqref="P6">
    <cfRule type="cellIs" dxfId="1537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F4CC-4023-4B43-805E-D7BC98BC290B}">
  <sheetPr>
    <pageSetUpPr fitToPage="1"/>
  </sheetPr>
  <dimension ref="A1:BE73"/>
  <sheetViews>
    <sheetView zoomScale="85" zoomScaleNormal="85" workbookViewId="0">
      <selection activeCell="C11" sqref="C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46304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[29]Brewhouse!$A404</f>
        <v>ST345</v>
      </c>
      <c r="D10" s="279">
        <f>[29]Brewhouse!$AB404</f>
        <v>53.1</v>
      </c>
      <c r="E10" s="279">
        <f>[29]Brewhouse!$AG404</f>
        <v>49</v>
      </c>
      <c r="F10" s="278">
        <f>[29]Brewhouse!$V404</f>
        <v>59</v>
      </c>
      <c r="G10" s="279">
        <f>[29]Brewhouse!$AE404</f>
        <v>11.9</v>
      </c>
      <c r="H10" s="396">
        <v>11.9</v>
      </c>
      <c r="I10" s="368">
        <f>[29]Brewhouse!$AS404</f>
        <v>97.904074452866993</v>
      </c>
      <c r="J10" s="368">
        <f>[29]Brewhouse!$AT404</f>
        <v>98.632362577253517</v>
      </c>
      <c r="K10" s="281">
        <f>[29]Brewhouse!$Q404</f>
        <v>10.12241054613936</v>
      </c>
      <c r="L10" s="276">
        <f>[29]Brewhouse!$P404</f>
        <v>60</v>
      </c>
      <c r="M10" s="374">
        <f>[29]Brewhouse!$U404-[29]Brewhouse!$T404</f>
        <v>0.11458333333333331</v>
      </c>
      <c r="N10" s="370">
        <f>[29]Brewhouse!$AW404</f>
        <v>0.26041666666666663</v>
      </c>
      <c r="O10" s="419" t="str">
        <f>[29]Brewhouse!$AV404</f>
        <v>K. Benjamin</v>
      </c>
      <c r="P10" s="417"/>
      <c r="R10" s="277" t="str">
        <f t="shared" ref="R10:R16" si="0">B10</f>
        <v>STAG</v>
      </c>
      <c r="S10" s="471">
        <f t="shared" ref="S10:S16" si="1">VLOOKUP($B10,$R$3:$X$9,2,FALSE)</f>
        <v>11.6</v>
      </c>
      <c r="T10" s="471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1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[29]Brewhouse!$A405</f>
        <v>ST346</v>
      </c>
      <c r="D11" s="279">
        <f>[29]Brewhouse!$AB405</f>
        <v>53.1</v>
      </c>
      <c r="E11" s="279">
        <f>[29]Brewhouse!$AG405</f>
        <v>50.1</v>
      </c>
      <c r="F11" s="278">
        <f>[29]Brewhouse!$V405</f>
        <v>59</v>
      </c>
      <c r="G11" s="279">
        <f>[29]Brewhouse!$AE405</f>
        <v>11.7</v>
      </c>
      <c r="H11" s="396">
        <v>11.8</v>
      </c>
      <c r="I11" s="368">
        <f>[29]Brewhouse!$AS405</f>
        <v>97.964086278322426</v>
      </c>
      <c r="J11" s="368">
        <f>[29]Brewhouse!$AT405</f>
        <v>98.693537963032824</v>
      </c>
      <c r="K11" s="281">
        <f>[29]Brewhouse!$Q405</f>
        <v>8.6158192090395538</v>
      </c>
      <c r="L11" s="276">
        <f>[29]Brewhouse!$P405</f>
        <v>60</v>
      </c>
      <c r="M11" s="374">
        <f>[29]Brewhouse!$U405-[29]Brewhouse!$T405</f>
        <v>0.11180555555555549</v>
      </c>
      <c r="N11" s="370">
        <f>[29]Brewhouse!$AW405</f>
        <v>0.25624999999999998</v>
      </c>
      <c r="O11" s="419" t="str">
        <f>[29]Brewhouse!$AV405</f>
        <v>D.Gomaz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490"/>
      <c r="I12" s="368"/>
      <c r="J12" s="368"/>
      <c r="K12" s="281"/>
      <c r="L12" s="276"/>
      <c r="M12" s="374"/>
      <c r="N12" s="370"/>
      <c r="O12" s="419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[30]Brewhouse!$A809</f>
        <v>CA759</v>
      </c>
      <c r="D13" s="279">
        <f>[30]Brewhouse!$AF809</f>
        <v>48.4</v>
      </c>
      <c r="E13" s="279">
        <f>[30]Brewhouse!$AI809</f>
        <v>48.6</v>
      </c>
      <c r="F13" s="278">
        <f>[30]Brewhouse!$V809</f>
        <v>59</v>
      </c>
      <c r="G13" s="279">
        <f>[30]Brewhouse!AG809</f>
        <v>11.7</v>
      </c>
      <c r="H13" s="396">
        <v>11.7</v>
      </c>
      <c r="I13" s="368">
        <f>[30]Brewhouse!$AU809</f>
        <v>94.236510026260618</v>
      </c>
      <c r="J13" s="368">
        <f>[30]Brewhouse!$AV809</f>
        <v>95.077116281876755</v>
      </c>
      <c r="K13" s="281">
        <f>[30]Brewhouse!$Q809</f>
        <v>13.16081330868761</v>
      </c>
      <c r="L13" s="276">
        <f>[30]Brewhouse!$P809</f>
        <v>60</v>
      </c>
      <c r="M13" s="374">
        <f>[30]Brewhouse!$U809-[30]Brewhouse!$T809</f>
        <v>0.11944444444444446</v>
      </c>
      <c r="N13" s="370">
        <f>[30]Brewhouse!$Z809</f>
        <v>0.25347222222222221</v>
      </c>
      <c r="O13" s="419" t="str">
        <f>[30]Brewhouse!$AX809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[30]Brewhouse!$A810</f>
        <v>CA760</v>
      </c>
      <c r="D14" s="279">
        <f>[30]Brewhouse!$AF810</f>
        <v>48.3</v>
      </c>
      <c r="E14" s="279">
        <f>[30]Brewhouse!$AI810</f>
        <v>48.9</v>
      </c>
      <c r="F14" s="278">
        <f>[30]Brewhouse!$V810</f>
        <v>57</v>
      </c>
      <c r="G14" s="279">
        <f>[30]Brewhouse!AG810</f>
        <v>12</v>
      </c>
      <c r="H14" s="396">
        <v>12</v>
      </c>
      <c r="I14" s="368">
        <f>[30]Brewhouse!$AU810</f>
        <v>97.015701586864395</v>
      </c>
      <c r="J14" s="368">
        <f>[30]Brewhouse!$AV810</f>
        <v>97.881268884867609</v>
      </c>
      <c r="K14" s="281">
        <f>[30]Brewhouse!$Q810</f>
        <v>12.05175600739372</v>
      </c>
      <c r="L14" s="276">
        <f>[30]Brewhouse!$P810</f>
        <v>60</v>
      </c>
      <c r="M14" s="374">
        <f>[30]Brewhouse!$U810-[30]Brewhouse!$T810</f>
        <v>0.10624999999999996</v>
      </c>
      <c r="N14" s="370">
        <f>[30]Brewhouse!$Z810</f>
        <v>0.25694444444444442</v>
      </c>
      <c r="O14" s="419" t="str">
        <f>[30]Brewhouse!$AX810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[30]Brewhouse!$A811</f>
        <v>CA761</v>
      </c>
      <c r="D15" s="279">
        <f>[30]Brewhouse!$AF811</f>
        <v>48.8</v>
      </c>
      <c r="E15" s="279">
        <f>[30]Brewhouse!$AI811</f>
        <v>49.5</v>
      </c>
      <c r="F15" s="278">
        <f>[30]Brewhouse!$V811</f>
        <v>62</v>
      </c>
      <c r="G15" s="279">
        <f>[30]Brewhouse!AG811</f>
        <v>12</v>
      </c>
      <c r="H15" s="396">
        <v>11.7</v>
      </c>
      <c r="I15" s="368">
        <f>[30]Brewhouse!$AU811</f>
        <v>97.963974191260846</v>
      </c>
      <c r="J15" s="368">
        <f>[30]Brewhouse!$AV811</f>
        <v>98.83811575723243</v>
      </c>
      <c r="K15" s="281">
        <f>[30]Brewhouse!$Q811</f>
        <v>11.127541589648803</v>
      </c>
      <c r="L15" s="276">
        <f>[30]Brewhouse!$P811</f>
        <v>60</v>
      </c>
      <c r="M15" s="374">
        <f>[30]Brewhouse!$U811-[30]Brewhouse!$T811</f>
        <v>0.11111111111111105</v>
      </c>
      <c r="N15" s="370">
        <f>[30]Brewhouse!$Z811</f>
        <v>0.2583333333333333</v>
      </c>
      <c r="O15" s="419" t="str">
        <f>[30]Brewhouse!$AX811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[30]Brewhouse!$A812</f>
        <v>CA762</v>
      </c>
      <c r="D16" s="279">
        <f>[30]Brewhouse!$AF812</f>
        <v>48.8</v>
      </c>
      <c r="E16" s="279">
        <f>[30]Brewhouse!$AI812</f>
        <v>49.3</v>
      </c>
      <c r="F16" s="278">
        <f>[30]Brewhouse!$V812</f>
        <v>59</v>
      </c>
      <c r="G16" s="279">
        <f>[30]Brewhouse!AG812</f>
        <v>11.8</v>
      </c>
      <c r="H16" s="490">
        <v>12.3</v>
      </c>
      <c r="I16" s="368">
        <f>[30]Brewhouse!$AU812</f>
        <v>96.693476697667123</v>
      </c>
      <c r="J16" s="368">
        <f>[30]Brewhouse!$AV812</f>
        <v>97.555885759630257</v>
      </c>
      <c r="K16" s="281">
        <f>[30]Brewhouse!$Q812</f>
        <v>11.127541589648803</v>
      </c>
      <c r="L16" s="276">
        <f>[30]Brewhouse!$P812</f>
        <v>60</v>
      </c>
      <c r="M16" s="374">
        <f>[30]Brewhouse!$U812-[30]Brewhouse!$T812</f>
        <v>0.10833333333333339</v>
      </c>
      <c r="N16" s="370">
        <f>[30]Brewhouse!$Z812</f>
        <v>0.25208333333333344</v>
      </c>
      <c r="O16" s="419" t="str">
        <f>[30]Brewhouse!$AX812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29" t="s">
        <v>6</v>
      </c>
      <c r="C17" s="366" t="str">
        <f>[30]Brewhouse!$A813</f>
        <v>CA763</v>
      </c>
      <c r="D17" s="279">
        <f>[30]Brewhouse!$AF813</f>
        <v>49.7</v>
      </c>
      <c r="E17" s="279">
        <f>[30]Brewhouse!$AI813</f>
        <v>50.1</v>
      </c>
      <c r="F17" s="278">
        <f>[30]Brewhouse!$V813</f>
        <v>58</v>
      </c>
      <c r="G17" s="279">
        <f>[30]Brewhouse!AG813</f>
        <v>11.7</v>
      </c>
      <c r="H17" s="490">
        <v>12.3</v>
      </c>
      <c r="I17" s="368">
        <f>[30]Brewhouse!$AU813</f>
        <v>97.50785453814089</v>
      </c>
      <c r="J17" s="368">
        <f>[30]Brewhouse!$AV813</f>
        <v>98.377469457952813</v>
      </c>
      <c r="K17" s="281">
        <f>[30]Brewhouse!$Q813</f>
        <v>9.2962962962962887</v>
      </c>
      <c r="L17" s="276">
        <f>[30]Brewhouse!$P813</f>
        <v>61</v>
      </c>
      <c r="M17" s="374">
        <f>[30]Brewhouse!$U813-[30]Brewhouse!$T813</f>
        <v>0.12222222222222223</v>
      </c>
      <c r="N17" s="370">
        <f>[30]Brewhouse!$Z813</f>
        <v>0.26111111111111118</v>
      </c>
      <c r="O17" s="419" t="str">
        <f>[30]Brewhouse!$AX813</f>
        <v>R. Sookram</v>
      </c>
      <c r="P17" s="417"/>
      <c r="R17" s="277" t="str">
        <f t="shared" ref="R17:R33" si="9">B17</f>
        <v>CARIB</v>
      </c>
      <c r="S17" s="471">
        <f t="shared" ref="S17:S33" si="10">VLOOKUP($B17,$R$3:$X$9,2,FALSE)</f>
        <v>11.6</v>
      </c>
      <c r="T17" s="471">
        <f t="shared" ref="T17:T33" si="11">VLOOKUP($B17,$R$3:$X$9,3,FALSE)</f>
        <v>12</v>
      </c>
      <c r="U17" s="297">
        <f t="shared" ref="U17:U33" si="12">VLOOKUP($B17,$R$3:$X$9,4,FALSE)</f>
        <v>0</v>
      </c>
      <c r="V17" s="297">
        <f t="shared" ref="V17:V33" si="13">VLOOKUP($B17,$R$3:$X$9,5,FALSE)</f>
        <v>0.118055555555556</v>
      </c>
      <c r="W17" s="297">
        <f t="shared" ref="W17:W33" si="14">VLOOKUP($B17,$R$3:$X$9,6,FALSE)</f>
        <v>0.22569444444444445</v>
      </c>
      <c r="X17" s="297">
        <f t="shared" ref="X17:X33" si="15">VLOOKUP($B17,$R$3:$X$9,7,FALSE)</f>
        <v>0.2638888888888889</v>
      </c>
      <c r="Y17" s="297">
        <f t="shared" ref="Y17:Y33" si="16">VLOOKUP($B17,$R$3:$Z$9,8,FALSE)</f>
        <v>0</v>
      </c>
      <c r="Z17" s="471">
        <f t="shared" ref="Z17:Z33" si="17">VLOOKUP($B17,$R$3:$Z$9,9,FALSE)</f>
        <v>60</v>
      </c>
    </row>
    <row r="18" spans="1:27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0"/>
        <v>#N/A</v>
      </c>
      <c r="T18" s="471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1" t="e">
        <f t="shared" si="17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0"/>
        <v>#N/A</v>
      </c>
      <c r="T19" s="471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1" t="e">
        <f t="shared" si="17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61"/>
      <c r="J20" s="561"/>
      <c r="K20" s="561"/>
      <c r="L20" s="561"/>
      <c r="M20" s="561"/>
      <c r="N20" s="561"/>
      <c r="O20" s="1"/>
      <c r="P20" s="12"/>
      <c r="R20" s="277">
        <f t="shared" si="9"/>
        <v>0</v>
      </c>
      <c r="S20" s="471" t="e">
        <f t="shared" si="10"/>
        <v>#N/A</v>
      </c>
      <c r="T20" s="471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1" t="e">
        <f t="shared" si="17"/>
        <v>#N/A</v>
      </c>
    </row>
    <row r="21" spans="1:27" ht="17.25" customHeight="1" thickBot="1">
      <c r="B21" s="482" t="s">
        <v>162</v>
      </c>
      <c r="C21" s="388"/>
      <c r="D21" s="539" t="s">
        <v>35</v>
      </c>
      <c r="E21" s="540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7" ht="17.25" customHeight="1">
      <c r="A22" s="28"/>
      <c r="B22" s="620"/>
      <c r="C22" s="483"/>
      <c r="D22" s="565"/>
      <c r="E22" s="566"/>
      <c r="F22" s="294"/>
      <c r="G22" s="294"/>
      <c r="H22" s="348"/>
      <c r="I22" s="29" t="s">
        <v>6</v>
      </c>
      <c r="J22" s="323">
        <f>AVERAGE(I13:I17)</f>
        <v>96.683503408038774</v>
      </c>
      <c r="K22" s="284">
        <f>COUNTA([30]Brewhouse!$A$789:$A$814)</f>
        <v>26</v>
      </c>
      <c r="L22" s="305">
        <f>AVERAGE([30]Brewhouse!$AU$789:$AU$814)</f>
        <v>97.457681641414865</v>
      </c>
      <c r="M22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$814)</f>
        <v>98.301261271934862</v>
      </c>
      <c r="N22" s="30">
        <v>98</v>
      </c>
      <c r="O22" s="11"/>
      <c r="P22" s="31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7" ht="15" customHeight="1">
      <c r="A23" s="28"/>
      <c r="B23" s="563"/>
      <c r="C23" s="362"/>
      <c r="D23" s="567"/>
      <c r="E23" s="568"/>
      <c r="F23" s="294"/>
      <c r="G23" s="294"/>
      <c r="H23" s="348"/>
      <c r="I23" s="33" t="s">
        <v>9</v>
      </c>
      <c r="J23" s="323">
        <f>AVERAGE(I10:I11)</f>
        <v>97.93408036559471</v>
      </c>
      <c r="K23" s="284">
        <f>COUNTA([29]Brewhouse!$A$390:$A$405)</f>
        <v>16</v>
      </c>
      <c r="L23" s="302">
        <f>AVERAGE([29]Brewhouse!$AS$390:$AS$405)</f>
        <v>97.859147509759907</v>
      </c>
      <c r="M23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$405)</f>
        <v>98.292263066454069</v>
      </c>
      <c r="N23" s="30">
        <v>98</v>
      </c>
      <c r="O23" s="11"/>
      <c r="P23" s="31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7" ht="14.65" customHeight="1">
      <c r="A24" s="28"/>
      <c r="B24" s="563"/>
      <c r="C24" s="362"/>
      <c r="D24" s="616"/>
      <c r="E24" s="617"/>
      <c r="F24" s="294"/>
      <c r="G24" s="294"/>
      <c r="H24" s="348"/>
      <c r="I24" s="34" t="s">
        <v>12</v>
      </c>
      <c r="J24" s="323"/>
      <c r="K24" s="284"/>
      <c r="L24" s="302"/>
      <c r="M24" s="302">
        <f>AVERAGE([31]Brewhouse!$AU$16:$AU$23,[31]Brewhouse!$AU$25:$AU$32,[31]Brewhouse!$AU$34:$AU$41,[31]Brewhouse!$AU$43:$AU$60,[31]Brewhouse!$AU$62:$AU$69,[31]Brewhouse!$AU$71:$AU$88,[31]Brewhouse!$AU$90:$AU$97,[31]Brewhouse!$AU$99:$AU$106)</f>
        <v>96.498355980821032</v>
      </c>
      <c r="N24" s="30">
        <v>98</v>
      </c>
      <c r="O24" s="11"/>
      <c r="P24" s="31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7" ht="14.65" customHeight="1">
      <c r="A25" s="28"/>
      <c r="B25" s="563"/>
      <c r="C25" s="362"/>
      <c r="D25" s="580"/>
      <c r="E25" s="568"/>
      <c r="F25" s="294"/>
      <c r="G25" s="294"/>
      <c r="H25" s="348"/>
      <c r="I25" s="22" t="s">
        <v>33</v>
      </c>
      <c r="J25" s="280"/>
      <c r="K25" s="284"/>
      <c r="L25" s="302"/>
      <c r="M25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5" s="30">
        <v>98</v>
      </c>
      <c r="O25" s="11"/>
      <c r="P25" s="31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7" ht="14.65" customHeight="1">
      <c r="A26" s="28"/>
      <c r="B26" s="563"/>
      <c r="C26" s="362"/>
      <c r="D26" s="616"/>
      <c r="E26" s="617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7" ht="14.65" customHeight="1">
      <c r="A27" s="28"/>
      <c r="B27" s="563"/>
      <c r="C27" s="362"/>
      <c r="D27" s="580"/>
      <c r="E27" s="568"/>
      <c r="F27" s="416"/>
      <c r="G27" s="294"/>
      <c r="H27" s="348"/>
      <c r="I27" s="36" t="s">
        <v>15</v>
      </c>
      <c r="J27" s="323"/>
      <c r="K27" s="284"/>
      <c r="L27" s="302"/>
      <c r="M27" s="302">
        <f>AVERAGE([33]Brewhouse!$AT$4:$AT$11,[33]Brewhouse!$AT$13:$AT$16,[33]Brewhouse!$AT$18:$AT$30)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7" ht="14.65" customHeight="1">
      <c r="A28" s="28"/>
      <c r="B28" s="563"/>
      <c r="C28" s="362"/>
      <c r="D28" s="616"/>
      <c r="E28" s="617"/>
      <c r="F28" s="416"/>
      <c r="G28" s="294"/>
      <c r="H28" s="348"/>
      <c r="I28" s="37" t="s">
        <v>16</v>
      </c>
      <c r="J28" s="323"/>
      <c r="K28" s="284"/>
      <c r="L28" s="302"/>
      <c r="M28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28" s="30">
        <v>98</v>
      </c>
      <c r="O28" s="11"/>
      <c r="P28" s="31" t="s">
        <v>41</v>
      </c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7" ht="14.65" customHeight="1">
      <c r="A29" s="28"/>
      <c r="B29" s="563"/>
      <c r="C29" s="362"/>
      <c r="D29" s="580"/>
      <c r="E29" s="568"/>
      <c r="F29" s="294"/>
      <c r="G29" s="294"/>
      <c r="H29" s="348"/>
      <c r="I29" s="410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7" ht="14.65" customHeight="1">
      <c r="A30" s="28"/>
      <c r="B30" s="563"/>
      <c r="C30" s="362"/>
      <c r="D30" s="616"/>
      <c r="E30" s="617"/>
      <c r="F30" s="294"/>
      <c r="G30" s="294"/>
      <c r="H30" s="348"/>
      <c r="I30" s="409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  <c r="AA30" s="471"/>
    </row>
    <row r="31" spans="1:27" ht="15" customHeight="1" thickBot="1">
      <c r="A31" s="28"/>
      <c r="B31" s="563"/>
      <c r="C31" s="362"/>
      <c r="D31" s="580"/>
      <c r="E31" s="568"/>
      <c r="F31" s="294"/>
      <c r="G31" s="294"/>
      <c r="H31" s="348"/>
      <c r="I31" s="405" t="s">
        <v>156</v>
      </c>
      <c r="J31" s="327"/>
      <c r="K31" s="406"/>
      <c r="L31" s="407"/>
      <c r="M31" s="407"/>
      <c r="N31" s="408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  <c r="AA31" s="471"/>
    </row>
    <row r="32" spans="1:27" ht="15" customHeight="1" thickBot="1">
      <c r="A32" s="28"/>
      <c r="B32" s="563"/>
      <c r="C32" s="349"/>
      <c r="D32" s="565"/>
      <c r="E32" s="566"/>
      <c r="F32" s="294"/>
      <c r="G32" s="294"/>
      <c r="H32" s="348"/>
      <c r="I32" s="1"/>
      <c r="J32" s="39"/>
      <c r="K32" s="403">
        <f>SUM(K22:K31)</f>
        <v>42</v>
      </c>
      <c r="L32" s="404">
        <f>((L22*K22)+(L23*K23)+(L24*K24)+(L25*K25)+(L26*K26)+(K29*L29)+(L27*K27)+(L28*K28)+(L31*K31))/(K32)</f>
        <v>97.610621019832038</v>
      </c>
      <c r="M32" s="404">
        <f>AVERAGE('[35]Jan30th-31st'!$L$42,'[36]Feb 27th-28th'!$L$45,'[37]Mar 31st'!$L$42,'[38]Apr 30th'!$L$41,'[39]May 29th '!$L$35,'[40]June 30th'!$L$32,[41]July31st!$L$36,'[42]Aug 31st'!$L$32,L32)</f>
        <v>97.93680487137145</v>
      </c>
      <c r="N32" s="4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  <c r="AA32" s="471"/>
    </row>
    <row r="33" spans="2:56" ht="15.75" thickBot="1">
      <c r="B33" s="621"/>
      <c r="C33" s="350"/>
      <c r="D33" s="567"/>
      <c r="E33" s="568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  <c r="AA33" s="471"/>
    </row>
    <row r="34" spans="2:56" ht="15.75" thickBot="1">
      <c r="B34" s="612"/>
      <c r="C34" s="362"/>
      <c r="D34" s="565"/>
      <c r="E34" s="566"/>
      <c r="F34" s="294"/>
      <c r="G34" s="42"/>
      <c r="H34" s="41"/>
      <c r="I34" s="42"/>
      <c r="J34" s="615" t="s">
        <v>129</v>
      </c>
      <c r="K34" s="615"/>
      <c r="L34" s="294"/>
      <c r="M34" s="294"/>
      <c r="N34" s="294"/>
      <c r="O34" s="294"/>
      <c r="P34" s="12"/>
    </row>
    <row r="35" spans="2:56" ht="15.75" thickBot="1">
      <c r="B35" s="613"/>
      <c r="C35" s="362"/>
      <c r="D35" s="567"/>
      <c r="E35" s="568"/>
      <c r="F35" s="294"/>
      <c r="G35" s="42"/>
      <c r="H35" s="42"/>
      <c r="I35" s="42"/>
      <c r="J35" s="292" t="s">
        <v>17</v>
      </c>
      <c r="K35" s="293"/>
      <c r="L35" s="582" t="s">
        <v>136</v>
      </c>
      <c r="M35" s="582"/>
      <c r="N35" s="583"/>
      <c r="O35" s="294"/>
      <c r="P35" s="12"/>
    </row>
    <row r="36" spans="2:56" ht="15" customHeight="1" thickBot="1">
      <c r="B36" s="613"/>
      <c r="C36" s="349"/>
      <c r="D36" s="616"/>
      <c r="E36" s="617"/>
      <c r="F36" s="294"/>
      <c r="G36" s="42"/>
      <c r="H36" s="42"/>
      <c r="I36" s="42"/>
      <c r="J36" s="287" t="s">
        <v>6</v>
      </c>
      <c r="K36" s="324">
        <v>5</v>
      </c>
      <c r="L36" s="472" t="s">
        <v>37</v>
      </c>
      <c r="M36" s="473" t="s">
        <v>38</v>
      </c>
      <c r="N36" s="473" t="s">
        <v>84</v>
      </c>
      <c r="O36" s="294"/>
      <c r="P36" s="12"/>
    </row>
    <row r="37" spans="2:56" ht="15.75" customHeight="1" thickBot="1">
      <c r="B37" s="613"/>
      <c r="C37" s="349"/>
      <c r="D37" s="580"/>
      <c r="E37" s="568"/>
      <c r="F37" s="294"/>
      <c r="G37" s="42"/>
      <c r="H37" s="42"/>
      <c r="I37" s="42"/>
      <c r="J37" s="345" t="s">
        <v>9</v>
      </c>
      <c r="K37" s="324">
        <v>2</v>
      </c>
      <c r="L37" s="484">
        <f>AVERAGE('Oct 1st'!K52,'Oct 2nd'!K44,'Oct 5th'!K51,'Oct 6th'!K58,'Oct 7th'!K47,K46)</f>
        <v>6.833333333333333</v>
      </c>
      <c r="M37" s="485">
        <f>AVERAGE('[35]Jan30th-31st'!$L$47,L37,'[36]Feb 26th '!$L$39,'[37]Mar 31st'!$L$47,'[38]Apr 30th'!$L$46,'[39]May 29th '!$L$40,'[40]June 30th'!$L$39,[41]July31st!$L$41,'[42]Aug 31st'!$L$37,'[43]Sept 30th'!$L$37)</f>
        <v>6.5568674803457414</v>
      </c>
      <c r="N37" s="415">
        <v>9.1999999999999993</v>
      </c>
      <c r="O37" s="294"/>
      <c r="P37" s="12"/>
    </row>
    <row r="38" spans="2:56" ht="15" customHeight="1">
      <c r="B38" s="613"/>
      <c r="C38" s="349"/>
      <c r="D38" s="616"/>
      <c r="E38" s="617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613"/>
      <c r="C39" s="349"/>
      <c r="D39" s="580"/>
      <c r="E39" s="568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613"/>
      <c r="C40" s="349"/>
      <c r="D40" s="616"/>
      <c r="E40" s="617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613"/>
      <c r="C41" s="349"/>
      <c r="D41" s="580"/>
      <c r="E41" s="568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613"/>
      <c r="C42" s="349"/>
      <c r="D42" s="616"/>
      <c r="E42" s="617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614"/>
      <c r="C43" s="350"/>
      <c r="D43" s="618"/>
      <c r="E43" s="619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610"/>
      <c r="E44" s="611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7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90" t="s">
        <v>17</v>
      </c>
      <c r="C49" s="590" t="s">
        <v>44</v>
      </c>
      <c r="D49" s="592" t="s">
        <v>45</v>
      </c>
      <c r="E49" s="547" t="s">
        <v>46</v>
      </c>
      <c r="F49" s="607" t="s">
        <v>47</v>
      </c>
      <c r="G49" s="601" t="s">
        <v>48</v>
      </c>
      <c r="H49" s="590" t="s">
        <v>49</v>
      </c>
      <c r="I49" s="590" t="s">
        <v>50</v>
      </c>
      <c r="J49" s="595" t="s">
        <v>28</v>
      </c>
      <c r="K49" s="545" t="s">
        <v>51</v>
      </c>
      <c r="L49" s="557" t="s">
        <v>52</v>
      </c>
      <c r="M49" s="595" t="s">
        <v>53</v>
      </c>
      <c r="N49" s="13"/>
      <c r="O49" s="13"/>
      <c r="P49" s="50"/>
    </row>
    <row r="50" spans="2:57" ht="28.5" customHeight="1" thickTop="1" thickBot="1">
      <c r="B50" s="609"/>
      <c r="C50" s="591"/>
      <c r="D50" s="593"/>
      <c r="E50" s="594"/>
      <c r="F50" s="608"/>
      <c r="G50" s="602"/>
      <c r="H50" s="609"/>
      <c r="I50" s="609"/>
      <c r="J50" s="596"/>
      <c r="K50" s="605"/>
      <c r="L50" s="606"/>
      <c r="M50" s="596"/>
      <c r="N50" s="13"/>
      <c r="O50" s="13"/>
      <c r="P50" s="50"/>
      <c r="Q50" s="355"/>
      <c r="AB50" s="474">
        <v>43474</v>
      </c>
      <c r="AC50" s="474">
        <v>43475</v>
      </c>
      <c r="AD50" s="474">
        <v>43476</v>
      </c>
      <c r="AE50" s="474">
        <v>43477</v>
      </c>
      <c r="AF50" s="474">
        <v>43478</v>
      </c>
      <c r="AG50" s="474">
        <v>43479</v>
      </c>
      <c r="AH50" s="474">
        <v>43480</v>
      </c>
      <c r="AI50" s="474">
        <v>43481</v>
      </c>
      <c r="AJ50" s="474">
        <v>43482</v>
      </c>
      <c r="AK50" s="474">
        <v>43483</v>
      </c>
      <c r="AL50" s="474">
        <v>43484</v>
      </c>
      <c r="AM50" s="474">
        <v>43485</v>
      </c>
      <c r="AN50" s="474">
        <v>43486</v>
      </c>
      <c r="AO50" s="474">
        <v>43487</v>
      </c>
      <c r="AP50" s="474">
        <v>43488</v>
      </c>
      <c r="AQ50" s="474">
        <v>43489</v>
      </c>
      <c r="AR50" s="474">
        <v>43490</v>
      </c>
      <c r="AS50" s="474">
        <v>43491</v>
      </c>
      <c r="AT50" s="474">
        <v>43492</v>
      </c>
      <c r="AU50" s="474">
        <v>43493</v>
      </c>
      <c r="AV50" s="474">
        <v>43494</v>
      </c>
      <c r="AW50" s="474">
        <v>43495</v>
      </c>
      <c r="AX50" s="474">
        <v>43496</v>
      </c>
    </row>
    <row r="51" spans="2:57" s="54" customFormat="1" ht="36.75" customHeight="1" thickBot="1">
      <c r="B51" s="455" t="str">
        <f>J36</f>
        <v>CARIB</v>
      </c>
      <c r="C51" s="478">
        <v>46303</v>
      </c>
      <c r="D51" s="444">
        <f>[8]October_2026!$K$3</f>
        <v>302.39999999999998</v>
      </c>
      <c r="E51" s="442"/>
      <c r="F51" s="443"/>
      <c r="G51" s="443">
        <f>[8]October_2026!$K$7</f>
        <v>292.2</v>
      </c>
      <c r="H51" s="457"/>
      <c r="I51" s="457"/>
      <c r="J51" s="447" t="s">
        <v>150</v>
      </c>
      <c r="K51" s="448">
        <f>[9]October_2026!$K$18</f>
        <v>1.0252631578947369</v>
      </c>
      <c r="L51" s="475">
        <f>(((D51+E51)-G51)/(D51+E51))*100</f>
        <v>3.3730158730158695</v>
      </c>
      <c r="M51" s="454" t="s">
        <v>172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[27]January_2019!L5</f>
        <v>0</v>
      </c>
      <c r="AC51" s="57">
        <f>[27]January_2019!M5</f>
        <v>0</v>
      </c>
      <c r="AD51" s="57">
        <f>[27]January_2019!N5</f>
        <v>0</v>
      </c>
      <c r="AE51" s="57">
        <f>[27]January_2019!O5</f>
        <v>0</v>
      </c>
      <c r="AF51" s="57">
        <f>[27]January_2019!P5</f>
        <v>0</v>
      </c>
      <c r="AG51" s="57">
        <f>[27]January_2019!Q5</f>
        <v>0</v>
      </c>
      <c r="AH51" s="57">
        <f>[27]January_2019!R5</f>
        <v>0</v>
      </c>
      <c r="AI51" s="57">
        <f>[27]January_2019!S5</f>
        <v>0</v>
      </c>
      <c r="AJ51" s="57">
        <f>[27]January_2019!T5</f>
        <v>0</v>
      </c>
      <c r="AK51" s="57">
        <f>[27]January_2019!U5</f>
        <v>0</v>
      </c>
      <c r="AL51" s="57">
        <f>[27]January_2019!V5</f>
        <v>0</v>
      </c>
      <c r="AM51" s="57">
        <f>[27]January_2019!W5</f>
        <v>0</v>
      </c>
      <c r="AN51" s="57">
        <f>[27]January_2019!X5</f>
        <v>0</v>
      </c>
      <c r="AO51" s="57">
        <f>[27]January_2019!Y5</f>
        <v>0</v>
      </c>
      <c r="AP51" s="57">
        <f>[27]January_2019!Z5</f>
        <v>0</v>
      </c>
      <c r="AQ51" s="57">
        <f>[27]January_2019!AA5</f>
        <v>0</v>
      </c>
      <c r="AR51" s="57">
        <f>[27]January_2019!AB5</f>
        <v>0</v>
      </c>
      <c r="AS51" s="57">
        <f>[27]January_2019!AC5</f>
        <v>0</v>
      </c>
      <c r="AT51" s="57">
        <f>[27]January_2019!AD5</f>
        <v>0</v>
      </c>
      <c r="AU51" s="57">
        <f>[27]January_2019!AE5</f>
        <v>0</v>
      </c>
      <c r="AV51" s="57">
        <f>[27]January_2019!AF5</f>
        <v>0</v>
      </c>
      <c r="AW51" s="57">
        <f>[27]January_2019!AG5</f>
        <v>0</v>
      </c>
      <c r="AX51" s="277">
        <f>[27]January_2019!AH5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79"/>
      <c r="C52" s="478"/>
      <c r="D52" s="441"/>
      <c r="E52" s="442"/>
      <c r="F52" s="443"/>
      <c r="G52" s="444"/>
      <c r="H52" s="457"/>
      <c r="I52" s="457"/>
      <c r="J52" s="475"/>
      <c r="K52" s="448"/>
      <c r="L52" s="456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[27]January_2019!L6</f>
        <v>0</v>
      </c>
      <c r="AC52" s="57">
        <f>[27]January_2019!M6</f>
        <v>0</v>
      </c>
      <c r="AD52" s="57">
        <f>[27]January_2019!N6</f>
        <v>0</v>
      </c>
      <c r="AE52" s="57">
        <f>[27]January_2019!O6</f>
        <v>0</v>
      </c>
      <c r="AF52" s="57">
        <f>[27]January_2019!P6</f>
        <v>0</v>
      </c>
      <c r="AG52" s="57">
        <f>[27]January_2019!Q6</f>
        <v>0</v>
      </c>
      <c r="AH52" s="57">
        <f>[27]January_2019!R6</f>
        <v>0</v>
      </c>
      <c r="AI52" s="57">
        <f>[27]January_2019!S6</f>
        <v>0</v>
      </c>
      <c r="AJ52" s="57">
        <f>[27]January_2019!T6</f>
        <v>0</v>
      </c>
      <c r="AK52" s="57">
        <f>[27]January_2019!U6</f>
        <v>0</v>
      </c>
      <c r="AL52" s="57">
        <f>[27]January_2019!V6</f>
        <v>0</v>
      </c>
      <c r="AM52" s="57">
        <f>[27]January_2019!W6</f>
        <v>0</v>
      </c>
      <c r="AN52" s="57">
        <f>[27]January_2019!X6</f>
        <v>0</v>
      </c>
      <c r="AO52" s="57">
        <f>[27]January_2019!Y6</f>
        <v>0</v>
      </c>
      <c r="AP52" s="57">
        <f>[27]January_2019!Z6</f>
        <v>0</v>
      </c>
      <c r="AQ52" s="57">
        <f>[27]January_2019!AA6</f>
        <v>0</v>
      </c>
      <c r="AR52" s="57">
        <f>[27]January_2019!AB6</f>
        <v>0</v>
      </c>
      <c r="AS52" s="57">
        <f>[27]January_2019!AC6</f>
        <v>0</v>
      </c>
      <c r="AT52" s="57">
        <f>[27]January_2019!AD6</f>
        <v>0</v>
      </c>
      <c r="AU52" s="57">
        <f>[27]January_2019!AE6</f>
        <v>0</v>
      </c>
      <c r="AV52" s="57">
        <f>[27]January_2019!AF6</f>
        <v>0</v>
      </c>
      <c r="AW52" s="57">
        <f>[27]January_2019!AG6</f>
        <v>0</v>
      </c>
      <c r="AX52" s="277">
        <f>[27]January_2019!AH6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89" t="str">
        <f>J37</f>
        <v>STAG</v>
      </c>
      <c r="C53" s="478">
        <v>46303</v>
      </c>
      <c r="D53" s="441">
        <f>[8]October_2026!$K$13</f>
        <v>292</v>
      </c>
      <c r="E53" s="442"/>
      <c r="F53" s="443"/>
      <c r="G53" s="443">
        <f>[8]October_2026!$K$17</f>
        <v>278</v>
      </c>
      <c r="H53" s="445"/>
      <c r="I53" s="445"/>
      <c r="J53" s="447" t="s">
        <v>150</v>
      </c>
      <c r="K53" s="448">
        <f>[9]October_2026!$K$25</f>
        <v>0.9754385964912281</v>
      </c>
      <c r="L53" s="456">
        <f>(((D53+E53)-G53)/(D53+E53))*100</f>
        <v>4.7945205479452051</v>
      </c>
      <c r="M53" s="454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[27]January_2019!L7</f>
        <v>285.8</v>
      </c>
      <c r="AC53" s="57">
        <f>[27]January_2019!M7</f>
        <v>508.1</v>
      </c>
      <c r="AD53" s="57">
        <f>[27]January_2019!N7</f>
        <v>0</v>
      </c>
      <c r="AE53" s="57">
        <f>[27]January_2019!O7</f>
        <v>0</v>
      </c>
      <c r="AF53" s="57">
        <f>[27]January_2019!P7</f>
        <v>109.56666666666666</v>
      </c>
      <c r="AG53" s="57">
        <f>[27]January_2019!Q7</f>
        <v>297.64999999999998</v>
      </c>
      <c r="AH53" s="57">
        <f>[27]January_2019!R7</f>
        <v>122.3</v>
      </c>
      <c r="AI53" s="57">
        <f>[27]January_2019!S7</f>
        <v>0</v>
      </c>
      <c r="AJ53" s="57">
        <f>[27]January_2019!T7</f>
        <v>294.7</v>
      </c>
      <c r="AK53" s="57">
        <f>[27]January_2019!U7</f>
        <v>280.5</v>
      </c>
      <c r="AL53" s="57">
        <f>[27]January_2019!V7</f>
        <v>0</v>
      </c>
      <c r="AM53" s="57">
        <f>[27]January_2019!W7</f>
        <v>0</v>
      </c>
      <c r="AN53" s="57">
        <f>[27]January_2019!X7</f>
        <v>188.25</v>
      </c>
      <c r="AO53" s="57">
        <f>[27]January_2019!Y7</f>
        <v>295.7</v>
      </c>
      <c r="AP53" s="57">
        <f>[27]January_2019!Z7</f>
        <v>257.8</v>
      </c>
      <c r="AQ53" s="57">
        <f>[27]January_2019!AA7</f>
        <v>291.2</v>
      </c>
      <c r="AR53" s="57">
        <f>[27]January_2019!AB7</f>
        <v>187</v>
      </c>
      <c r="AS53" s="57">
        <f>[27]January_2019!AC7</f>
        <v>0</v>
      </c>
      <c r="AT53" s="57">
        <f>[27]January_2019!AD7</f>
        <v>0</v>
      </c>
      <c r="AU53" s="57">
        <f>[27]January_2019!AE7</f>
        <v>485.1</v>
      </c>
      <c r="AV53" s="57">
        <f>[27]January_2019!AF7</f>
        <v>171.55</v>
      </c>
      <c r="AW53" s="57">
        <f>[27]January_2019!AG7</f>
        <v>423.8</v>
      </c>
      <c r="AX53" s="277">
        <f>[27]January_2019!AH7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7"/>
      <c r="C54" s="429"/>
      <c r="D54" s="430"/>
      <c r="E54" s="431"/>
      <c r="F54" s="432"/>
      <c r="G54" s="433"/>
      <c r="H54" s="457"/>
      <c r="I54" s="457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6"/>
      <c r="C55" s="478"/>
      <c r="D55" s="441"/>
      <c r="E55" s="442"/>
      <c r="F55" s="443"/>
      <c r="G55" s="444"/>
      <c r="H55" s="457"/>
      <c r="I55" s="457"/>
      <c r="J55" s="447"/>
      <c r="K55" s="45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.75" hidden="1" thickBot="1">
      <c r="B56" s="452"/>
      <c r="C56" s="429"/>
      <c r="D56" s="430"/>
      <c r="E56" s="431"/>
      <c r="F56" s="432"/>
      <c r="G56" s="433"/>
      <c r="H56" s="434"/>
      <c r="I56" s="449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0"/>
      <c r="C57" s="478"/>
      <c r="D57" s="441"/>
      <c r="E57" s="442"/>
      <c r="F57" s="443"/>
      <c r="G57" s="444"/>
      <c r="H57" s="445"/>
      <c r="I57" s="446"/>
      <c r="J57" s="447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6"/>
      <c r="C58" s="422"/>
      <c r="D58" s="423"/>
      <c r="E58" s="424"/>
      <c r="F58" s="425"/>
      <c r="G58" s="426"/>
      <c r="H58" s="427"/>
      <c r="I58" s="437"/>
      <c r="J58" s="438"/>
      <c r="K58" s="428"/>
      <c r="L58" s="439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4"/>
      <c r="AC58" s="414"/>
      <c r="AD58" s="414"/>
      <c r="AE58" s="414"/>
      <c r="AF58" s="414"/>
      <c r="AG58" s="414"/>
      <c r="AH58" s="414"/>
      <c r="AI58" s="414"/>
      <c r="AJ58" s="414"/>
      <c r="AK58" s="414"/>
      <c r="AL58" s="414"/>
      <c r="AM58" s="414"/>
      <c r="AN58" s="414"/>
      <c r="AO58" s="414"/>
      <c r="AP58" s="414"/>
      <c r="AQ58" s="414"/>
      <c r="AR58" s="414"/>
      <c r="AS58" s="414"/>
      <c r="AT58" s="414"/>
      <c r="AU58" s="414"/>
      <c r="AV58" s="414"/>
      <c r="AW58" s="414"/>
    </row>
    <row r="59" spans="2:57" s="54" customFormat="1" ht="37.15" hidden="1" customHeight="1" thickBot="1">
      <c r="B59" s="455"/>
      <c r="C59" s="440"/>
      <c r="D59" s="441"/>
      <c r="E59" s="442"/>
      <c r="F59" s="443"/>
      <c r="G59" s="444"/>
      <c r="H59" s="445"/>
      <c r="I59" s="446"/>
      <c r="J59" s="447"/>
      <c r="K59" s="448"/>
      <c r="L59" s="456"/>
      <c r="M59" s="453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>
      <c r="B60" s="465"/>
      <c r="C60" s="429"/>
      <c r="D60" s="459"/>
      <c r="E60" s="460"/>
      <c r="F60" s="461"/>
      <c r="G60" s="459"/>
      <c r="H60" s="462"/>
      <c r="I60" s="462"/>
      <c r="J60" s="462"/>
      <c r="K60" s="463"/>
      <c r="L60" s="464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97" t="s">
        <v>55</v>
      </c>
      <c r="C62" s="598"/>
      <c r="D62" s="598"/>
      <c r="E62" s="598"/>
      <c r="F62" s="599"/>
      <c r="G62" s="597" t="s">
        <v>56</v>
      </c>
      <c r="H62" s="598"/>
      <c r="I62" s="598"/>
      <c r="J62" s="599"/>
      <c r="K62" s="597" t="s">
        <v>51</v>
      </c>
      <c r="L62" s="598"/>
      <c r="M62" s="598"/>
      <c r="N62" s="600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>
        <f>L51</f>
        <v>3.3730158730158695</v>
      </c>
      <c r="D64" s="76">
        <v>4.8715736377513839</v>
      </c>
      <c r="E64" s="76">
        <v>6.3670919619142783</v>
      </c>
      <c r="F64" s="66">
        <v>4.8</v>
      </c>
      <c r="G64" s="65"/>
      <c r="H64" s="476">
        <v>5.963275310235316</v>
      </c>
      <c r="I64" s="476">
        <v>6.5069923206308973</v>
      </c>
      <c r="J64" s="66">
        <v>4.8</v>
      </c>
      <c r="K64" s="67">
        <f>AVERAGE(K51)</f>
        <v>1.0252631578947369</v>
      </c>
      <c r="L64" s="194">
        <v>0.78289473684210531</v>
      </c>
      <c r="M64" s="194">
        <v>0.55230551648688719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4.7945205479452051</v>
      </c>
      <c r="D65" s="76">
        <v>4.7945205479452051</v>
      </c>
      <c r="E65" s="76">
        <v>6.0131460057048649</v>
      </c>
      <c r="F65" s="66">
        <v>4.8</v>
      </c>
      <c r="G65" s="65"/>
      <c r="H65" s="76"/>
      <c r="I65" s="76">
        <v>5.9275658832823668</v>
      </c>
      <c r="J65" s="66">
        <v>4.8</v>
      </c>
      <c r="K65" s="67">
        <f>K53</f>
        <v>0.9754385964912281</v>
      </c>
      <c r="L65" s="194">
        <v>0.9754385964912281</v>
      </c>
      <c r="M65" s="194">
        <v>0.6892597333822218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10.890214570112384</v>
      </c>
      <c r="F66" s="66">
        <v>5.5</v>
      </c>
      <c r="G66" s="65"/>
      <c r="H66" s="76"/>
      <c r="I66" s="76">
        <v>11.797659278069149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>
        <v>2.6160971335586405</v>
      </c>
      <c r="E67" s="76">
        <v>4.6053599467161712</v>
      </c>
      <c r="F67" s="66">
        <v>3.3</v>
      </c>
      <c r="G67" s="65"/>
      <c r="H67" s="76">
        <v>4.0562064167659644</v>
      </c>
      <c r="I67" s="76">
        <v>4.7835858167498584</v>
      </c>
      <c r="J67" s="66">
        <v>3.3</v>
      </c>
      <c r="K67" s="67"/>
      <c r="L67" s="194">
        <v>1.3649122807017544</v>
      </c>
      <c r="M67" s="194">
        <v>0.83244019138755987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6.3233965672990236</v>
      </c>
      <c r="F69" s="70">
        <v>5.5</v>
      </c>
      <c r="G69" s="65"/>
      <c r="H69" s="76"/>
      <c r="I69" s="76">
        <v>7.9667553186446929</v>
      </c>
      <c r="J69" s="66">
        <v>5.5</v>
      </c>
      <c r="K69" s="67"/>
      <c r="L69" s="194"/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1"/>
      <c r="D70" s="76"/>
      <c r="E70" s="76">
        <v>3.9973372218347856</v>
      </c>
      <c r="F70" s="66">
        <v>3.3</v>
      </c>
      <c r="G70" s="282"/>
      <c r="H70" s="76"/>
      <c r="I70" s="76">
        <v>5.1096183510504902</v>
      </c>
      <c r="J70" s="66">
        <v>3.3</v>
      </c>
      <c r="K70" s="67"/>
      <c r="L70" s="194"/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3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4.4514705547847022</v>
      </c>
      <c r="E73" s="76">
        <v>6.2986129247920557</v>
      </c>
      <c r="F73" s="341">
        <v>5.5</v>
      </c>
      <c r="H73" s="76">
        <v>5.3491958047256141</v>
      </c>
      <c r="I73" s="76">
        <v>6.620534077895524</v>
      </c>
      <c r="J73" s="341">
        <v>5.5</v>
      </c>
      <c r="L73" s="194">
        <v>0.87971491228070176</v>
      </c>
      <c r="M73" s="194">
        <v>0.60708529995668548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1536" priority="112" operator="notBetween">
      <formula>#REF!</formula>
      <formula>#REF!</formula>
    </cfRule>
  </conditionalFormatting>
  <conditionalFormatting sqref="C48">
    <cfRule type="cellIs" dxfId="1535" priority="195" stopIfTrue="1" operator="greaterThan">
      <formula>100</formula>
    </cfRule>
    <cfRule type="cellIs" dxfId="1534" priority="194" stopIfTrue="1" operator="lessThan">
      <formula>96</formula>
    </cfRule>
  </conditionalFormatting>
  <conditionalFormatting sqref="C64:C65">
    <cfRule type="cellIs" dxfId="1533" priority="77" stopIfTrue="1" operator="greaterThan">
      <formula>$F64</formula>
    </cfRule>
    <cfRule type="cellIs" dxfId="1532" priority="75" stopIfTrue="1" operator="greaterThan">
      <formula>$F64</formula>
    </cfRule>
    <cfRule type="cellIs" dxfId="1531" priority="76" stopIfTrue="1" operator="lessThanOrEqual">
      <formula>0</formula>
    </cfRule>
    <cfRule type="cellIs" dxfId="1530" priority="78" stopIfTrue="1" operator="lessThanOrEqual">
      <formula>0</formula>
    </cfRule>
  </conditionalFormatting>
  <conditionalFormatting sqref="C66:C68 C70:C72">
    <cfRule type="cellIs" dxfId="1529" priority="84" stopIfTrue="1" operator="greaterThan">
      <formula>$F69</formula>
    </cfRule>
  </conditionalFormatting>
  <conditionalFormatting sqref="C66:C68">
    <cfRule type="cellIs" dxfId="1528" priority="85" stopIfTrue="1" operator="lessThanOrEqual">
      <formula>0</formula>
    </cfRule>
  </conditionalFormatting>
  <conditionalFormatting sqref="C69">
    <cfRule type="cellIs" dxfId="1527" priority="196" stopIfTrue="1" operator="greaterThan">
      <formula>$F64</formula>
    </cfRule>
    <cfRule type="cellIs" dxfId="1526" priority="198" stopIfTrue="1" operator="greaterThan">
      <formula>$F64</formula>
    </cfRule>
    <cfRule type="cellIs" dxfId="1525" priority="199" stopIfTrue="1" operator="lessThanOrEqual">
      <formula>0</formula>
    </cfRule>
    <cfRule type="cellIs" dxfId="1524" priority="197" stopIfTrue="1" operator="lessThanOrEqual">
      <formula>0</formula>
    </cfRule>
  </conditionalFormatting>
  <conditionalFormatting sqref="C70:C72">
    <cfRule type="cellIs" dxfId="1523" priority="86" stopIfTrue="1" operator="lessThanOrEqual">
      <formula>0</formula>
    </cfRule>
  </conditionalFormatting>
  <conditionalFormatting sqref="C75:C79">
    <cfRule type="cellIs" dxfId="1522" priority="186" stopIfTrue="1" operator="lessThanOrEqual">
      <formula>0</formula>
    </cfRule>
  </conditionalFormatting>
  <conditionalFormatting sqref="C76:C79">
    <cfRule type="cellIs" dxfId="1521" priority="185" stopIfTrue="1" operator="greaterThan">
      <formula>$F$75</formula>
    </cfRule>
  </conditionalFormatting>
  <conditionalFormatting sqref="C81">
    <cfRule type="cellIs" dxfId="1520" priority="188" stopIfTrue="1" operator="lessThanOrEqual">
      <formula>0</formula>
    </cfRule>
    <cfRule type="cellIs" dxfId="1519" priority="187" stopIfTrue="1" operator="greaterThan">
      <formula>$F$75</formula>
    </cfRule>
  </conditionalFormatting>
  <conditionalFormatting sqref="C69:D69">
    <cfRule type="cellIs" dxfId="1518" priority="73" stopIfTrue="1" operator="greaterThan">
      <formula>$J69</formula>
    </cfRule>
    <cfRule type="cellIs" dxfId="1517" priority="74" stopIfTrue="1" operator="lessThanOrEqual">
      <formula>0</formula>
    </cfRule>
  </conditionalFormatting>
  <conditionalFormatting sqref="C75:D75 D77:D83">
    <cfRule type="cellIs" dxfId="1516" priority="180" stopIfTrue="1" operator="greaterThan">
      <formula>4.5</formula>
    </cfRule>
  </conditionalFormatting>
  <conditionalFormatting sqref="D44:D45">
    <cfRule type="cellIs" dxfId="1515" priority="113" operator="notBetween">
      <formula>#REF!</formula>
      <formula>#REF!</formula>
    </cfRule>
  </conditionalFormatting>
  <conditionalFormatting sqref="D64:D68 D70:D71">
    <cfRule type="cellIs" dxfId="1514" priority="83" stopIfTrue="1" operator="lessThanOrEqual">
      <formula>0</formula>
    </cfRule>
  </conditionalFormatting>
  <conditionalFormatting sqref="D64:D68 D70:D73">
    <cfRule type="cellIs" dxfId="1513" priority="79" stopIfTrue="1" operator="lessThanOrEqual">
      <formula>0</formula>
    </cfRule>
    <cfRule type="cellIs" dxfId="1512" priority="80" stopIfTrue="1" operator="greaterThan">
      <formula>$F64</formula>
    </cfRule>
  </conditionalFormatting>
  <conditionalFormatting sqref="D72:D73">
    <cfRule type="cellIs" dxfId="1511" priority="81" stopIfTrue="1" operator="lessThanOrEqual">
      <formula>0</formula>
    </cfRule>
  </conditionalFormatting>
  <conditionalFormatting sqref="D73">
    <cfRule type="cellIs" dxfId="1510" priority="82" stopIfTrue="1" operator="lessThanOrEqual">
      <formula>0</formula>
    </cfRule>
  </conditionalFormatting>
  <conditionalFormatting sqref="D75 D77:D83">
    <cfRule type="cellIs" dxfId="1509" priority="181" stopIfTrue="1" operator="lessThanOrEqual">
      <formula>0</formula>
    </cfRule>
  </conditionalFormatting>
  <conditionalFormatting sqref="D76">
    <cfRule type="cellIs" dxfId="1508" priority="172" stopIfTrue="1" operator="greaterThan">
      <formula>$F$75</formula>
    </cfRule>
    <cfRule type="cellIs" dxfId="1507" priority="173" stopIfTrue="1" operator="lessThanOrEqual">
      <formula>0</formula>
    </cfRule>
  </conditionalFormatting>
  <conditionalFormatting sqref="E10:E19">
    <cfRule type="cellIs" dxfId="1506" priority="17" operator="lessThan">
      <formula>48</formula>
    </cfRule>
  </conditionalFormatting>
  <conditionalFormatting sqref="E47 E48:F48">
    <cfRule type="cellIs" dxfId="1505" priority="177" stopIfTrue="1" operator="greaterThan">
      <formula>100</formula>
    </cfRule>
  </conditionalFormatting>
  <conditionalFormatting sqref="E48">
    <cfRule type="cellIs" dxfId="1504" priority="175" stopIfTrue="1" operator="greaterThan">
      <formula>100</formula>
    </cfRule>
    <cfRule type="cellIs" dxfId="1503" priority="174" stopIfTrue="1" operator="lessThan">
      <formula>96.8</formula>
    </cfRule>
  </conditionalFormatting>
  <conditionalFormatting sqref="E64:E72">
    <cfRule type="cellIs" dxfId="1502" priority="46" stopIfTrue="1" operator="lessThanOrEqual">
      <formula>0</formula>
    </cfRule>
  </conditionalFormatting>
  <conditionalFormatting sqref="E64:E73">
    <cfRule type="cellIs" dxfId="1501" priority="47" stopIfTrue="1" operator="greaterThan">
      <formula>$F64</formula>
    </cfRule>
    <cfRule type="cellIs" dxfId="1500" priority="48" stopIfTrue="1" operator="lessThanOrEqual">
      <formula>0</formula>
    </cfRule>
  </conditionalFormatting>
  <conditionalFormatting sqref="E73">
    <cfRule type="cellIs" dxfId="1499" priority="49" stopIfTrue="1" operator="lessThanOrEqual">
      <formula>0</formula>
    </cfRule>
  </conditionalFormatting>
  <conditionalFormatting sqref="E75:E83">
    <cfRule type="cellIs" dxfId="1498" priority="167" stopIfTrue="1" operator="lessThanOrEqual">
      <formula>0</formula>
    </cfRule>
    <cfRule type="cellIs" dxfId="1497" priority="166" stopIfTrue="1" operator="greaterThan">
      <formula>4.5</formula>
    </cfRule>
  </conditionalFormatting>
  <conditionalFormatting sqref="E48:F48 E47">
    <cfRule type="cellIs" dxfId="1496" priority="176" stopIfTrue="1" operator="lessThan">
      <formula>96.5</formula>
    </cfRule>
  </conditionalFormatting>
  <conditionalFormatting sqref="F10:F19">
    <cfRule type="cellIs" dxfId="1495" priority="18" operator="greaterThan">
      <formula>60</formula>
    </cfRule>
  </conditionalFormatting>
  <conditionalFormatting sqref="F48">
    <cfRule type="cellIs" dxfId="1494" priority="192" stopIfTrue="1" operator="lessThan">
      <formula>96.8</formula>
    </cfRule>
    <cfRule type="cellIs" dxfId="1493" priority="193" stopIfTrue="1" operator="greaterThan">
      <formula>100</formula>
    </cfRule>
  </conditionalFormatting>
  <conditionalFormatting sqref="G19">
    <cfRule type="expression" dxfId="1492" priority="21">
      <formula>IF(+(IF(G19&lt;S19,0,IF(G19&gt;T19,0,1)))=0,1)</formula>
    </cfRule>
  </conditionalFormatting>
  <conditionalFormatting sqref="G64:G67 F73">
    <cfRule type="cellIs" dxfId="1491" priority="55" stopIfTrue="1" operator="greaterThan">
      <formula>$F64</formula>
    </cfRule>
    <cfRule type="cellIs" dxfId="1490" priority="56" stopIfTrue="1" operator="lessThanOrEqual">
      <formula>0</formula>
    </cfRule>
  </conditionalFormatting>
  <conditionalFormatting sqref="G66:G67">
    <cfRule type="cellIs" dxfId="1489" priority="41" stopIfTrue="1" operator="greaterThan">
      <formula>$F66</formula>
    </cfRule>
    <cfRule type="cellIs" dxfId="1488" priority="42" stopIfTrue="1" operator="lessThanOrEqual">
      <formula>0</formula>
    </cfRule>
  </conditionalFormatting>
  <conditionalFormatting sqref="G68:G72">
    <cfRule type="cellIs" dxfId="1487" priority="58" stopIfTrue="1" operator="lessThanOrEqual">
      <formula>0</formula>
    </cfRule>
    <cfRule type="cellIs" dxfId="1486" priority="57" stopIfTrue="1" operator="greaterThan">
      <formula>$J68</formula>
    </cfRule>
  </conditionalFormatting>
  <conditionalFormatting sqref="G69">
    <cfRule type="cellIs" dxfId="1485" priority="201" stopIfTrue="1" operator="lessThanOrEqual">
      <formula>0</formula>
    </cfRule>
    <cfRule type="cellIs" dxfId="1484" priority="200" stopIfTrue="1" operator="greaterThan">
      <formula>$F64</formula>
    </cfRule>
  </conditionalFormatting>
  <conditionalFormatting sqref="G77:G82 C80 C82">
    <cfRule type="cellIs" dxfId="1483" priority="189" stopIfTrue="1" operator="greaterThan">
      <formula>4.5</formula>
    </cfRule>
    <cfRule type="cellIs" dxfId="1482" priority="190" stopIfTrue="1" operator="lessThanOrEqual">
      <formula>0</formula>
    </cfRule>
  </conditionalFormatting>
  <conditionalFormatting sqref="G76:H76">
    <cfRule type="cellIs" dxfId="1481" priority="171" stopIfTrue="1" operator="lessThanOrEqual">
      <formula>0</formula>
    </cfRule>
    <cfRule type="cellIs" dxfId="1480" priority="170" stopIfTrue="1" operator="greaterThan">
      <formula>$F$75</formula>
    </cfRule>
  </conditionalFormatting>
  <conditionalFormatting sqref="H10:H19">
    <cfRule type="expression" dxfId="1479" priority="10">
      <formula>IF(+(IF(H10&lt;#REF!,0,IF(H10&gt;#REF!,0,1)))=0,1)</formula>
    </cfRule>
  </conditionalFormatting>
  <conditionalFormatting sqref="H33:H34 H47">
    <cfRule type="cellIs" dxfId="1478" priority="168" stopIfTrue="1" operator="greaterThan">
      <formula>0</formula>
    </cfRule>
  </conditionalFormatting>
  <conditionalFormatting sqref="H51">
    <cfRule type="cellIs" dxfId="1477" priority="61" stopIfTrue="1" operator="greaterThan">
      <formula>$F$64</formula>
    </cfRule>
    <cfRule type="cellIs" dxfId="1476" priority="60" stopIfTrue="1" operator="lessThanOrEqual">
      <formula>0</formula>
    </cfRule>
    <cfRule type="cellIs" dxfId="1475" priority="69" stopIfTrue="1" operator="greaterThan">
      <formula>$F$67</formula>
    </cfRule>
    <cfRule type="cellIs" dxfId="1474" priority="70" stopIfTrue="1" operator="lessThanOrEqual">
      <formula>0</formula>
    </cfRule>
    <cfRule type="cellIs" dxfId="1473" priority="71" stopIfTrue="1" operator="greaterThan">
      <formula>$F$65</formula>
    </cfRule>
  </conditionalFormatting>
  <conditionalFormatting sqref="H51:H52">
    <cfRule type="cellIs" dxfId="1472" priority="72" stopIfTrue="1" operator="lessThanOrEqual">
      <formula>0</formula>
    </cfRule>
  </conditionalFormatting>
  <conditionalFormatting sqref="H52 H54:H55">
    <cfRule type="cellIs" dxfId="1471" priority="98" stopIfTrue="1" operator="lessThanOrEqual">
      <formula>0</formula>
    </cfRule>
  </conditionalFormatting>
  <conditionalFormatting sqref="H52">
    <cfRule type="cellIs" dxfId="1470" priority="97" stopIfTrue="1" operator="greaterThan">
      <formula>$F$65</formula>
    </cfRule>
    <cfRule type="cellIs" dxfId="1469" priority="87" stopIfTrue="1" operator="greaterThan">
      <formula>$F$64</formula>
    </cfRule>
    <cfRule type="cellIs" dxfId="1468" priority="95" stopIfTrue="1" operator="greaterThan">
      <formula>$F$67</formula>
    </cfRule>
    <cfRule type="cellIs" dxfId="1467" priority="96" stopIfTrue="1" operator="lessThanOrEqual">
      <formula>0</formula>
    </cfRule>
  </conditionalFormatting>
  <conditionalFormatting sqref="H53">
    <cfRule type="cellIs" dxfId="1466" priority="37" stopIfTrue="1" operator="lessThanOrEqual">
      <formula>0</formula>
    </cfRule>
    <cfRule type="cellIs" dxfId="1465" priority="28" stopIfTrue="1" operator="greaterThan">
      <formula>$F$66</formula>
    </cfRule>
    <cfRule type="cellIs" dxfId="1464" priority="36" stopIfTrue="1" operator="greaterThan">
      <formula>$F$69</formula>
    </cfRule>
    <cfRule type="cellIs" dxfId="1463" priority="27" stopIfTrue="1" operator="lessThanOrEqual">
      <formula>0</formula>
    </cfRule>
    <cfRule type="cellIs" dxfId="1462" priority="38" stopIfTrue="1" operator="greaterThan">
      <formula>$F$67</formula>
    </cfRule>
    <cfRule type="cellIs" dxfId="1461" priority="39" stopIfTrue="1" operator="lessThanOrEqual">
      <formula>0</formula>
    </cfRule>
  </conditionalFormatting>
  <conditionalFormatting sqref="H54:H55">
    <cfRule type="cellIs" dxfId="1460" priority="100" stopIfTrue="1" operator="greaterThan">
      <formula>$F$64</formula>
    </cfRule>
    <cfRule type="cellIs" dxfId="1459" priority="111" stopIfTrue="1" operator="lessThanOrEqual">
      <formula>0</formula>
    </cfRule>
    <cfRule type="cellIs" dxfId="1458" priority="110" stopIfTrue="1" operator="greaterThan">
      <formula>$F$65</formula>
    </cfRule>
    <cfRule type="cellIs" dxfId="1457" priority="109" stopIfTrue="1" operator="lessThanOrEqual">
      <formula>0</formula>
    </cfRule>
    <cfRule type="cellIs" dxfId="1456" priority="108" stopIfTrue="1" operator="greaterThan">
      <formula>$F$67</formula>
    </cfRule>
  </conditionalFormatting>
  <conditionalFormatting sqref="H56:H57">
    <cfRule type="cellIs" dxfId="1455" priority="135" stopIfTrue="1" operator="lessThanOrEqual">
      <formula>0</formula>
    </cfRule>
    <cfRule type="cellIs" dxfId="1454" priority="144" stopIfTrue="1" operator="greaterThan">
      <formula>#REF!</formula>
    </cfRule>
    <cfRule type="cellIs" dxfId="1453" priority="145" stopIfTrue="1" operator="lessThanOrEqual">
      <formula>0</formula>
    </cfRule>
    <cfRule type="cellIs" dxfId="1452" priority="136" stopIfTrue="1" operator="greaterThan">
      <formula>#REF!</formula>
    </cfRule>
  </conditionalFormatting>
  <conditionalFormatting sqref="H58">
    <cfRule type="cellIs" dxfId="1451" priority="147" stopIfTrue="1" operator="lessThanOrEqual">
      <formula>0</formula>
    </cfRule>
    <cfRule type="cellIs" dxfId="1450" priority="156" stopIfTrue="1" operator="greaterThan">
      <formula>$F$35</formula>
    </cfRule>
    <cfRule type="cellIs" dxfId="1449" priority="157" stopIfTrue="1" operator="lessThanOrEqual">
      <formula>0</formula>
    </cfRule>
    <cfRule type="cellIs" dxfId="1448" priority="158" stopIfTrue="1" operator="greaterThan">
      <formula>$F$33</formula>
    </cfRule>
    <cfRule type="cellIs" dxfId="1447" priority="159" stopIfTrue="1" operator="lessThanOrEqual">
      <formula>0</formula>
    </cfRule>
    <cfRule type="cellIs" dxfId="1446" priority="148" stopIfTrue="1" operator="greaterThan">
      <formula>$F$32</formula>
    </cfRule>
  </conditionalFormatting>
  <conditionalFormatting sqref="H59:H60">
    <cfRule type="cellIs" dxfId="1445" priority="124" stopIfTrue="1" operator="greaterThan">
      <formula>#REF!</formula>
    </cfRule>
    <cfRule type="cellIs" dxfId="1444" priority="132" stopIfTrue="1" operator="greaterThan">
      <formula>#REF!</formula>
    </cfRule>
    <cfRule type="cellIs" dxfId="1443" priority="133" stopIfTrue="1" operator="lessThanOrEqual">
      <formula>0</formula>
    </cfRule>
    <cfRule type="cellIs" dxfId="1442" priority="123" stopIfTrue="1" operator="lessThanOrEqual">
      <formula>0</formula>
    </cfRule>
  </conditionalFormatting>
  <conditionalFormatting sqref="H75 H77:H83">
    <cfRule type="cellIs" dxfId="1441" priority="183" stopIfTrue="1" operator="lessThanOrEqual">
      <formula>0</formula>
    </cfRule>
    <cfRule type="cellIs" dxfId="1440" priority="182" stopIfTrue="1" operator="greaterThan">
      <formula>4.5</formula>
    </cfRule>
  </conditionalFormatting>
  <conditionalFormatting sqref="H51:I51">
    <cfRule type="cellIs" dxfId="1439" priority="62" stopIfTrue="1" operator="lessThanOrEqual">
      <formula>0</formula>
    </cfRule>
  </conditionalFormatting>
  <conditionalFormatting sqref="H51:I52 H54:I55">
    <cfRule type="cellIs" dxfId="1438" priority="59" stopIfTrue="1" operator="greaterThan">
      <formula>$F$66</formula>
    </cfRule>
  </conditionalFormatting>
  <conditionalFormatting sqref="H52:I52">
    <cfRule type="cellIs" dxfId="1437" priority="88" stopIfTrue="1" operator="lessThanOrEqual">
      <formula>0</formula>
    </cfRule>
  </conditionalFormatting>
  <conditionalFormatting sqref="H53:I53">
    <cfRule type="cellIs" dxfId="1436" priority="26" stopIfTrue="1" operator="greaterThan">
      <formula>$F$68</formula>
    </cfRule>
    <cfRule type="cellIs" dxfId="1435" priority="29" stopIfTrue="1" operator="lessThanOrEqual">
      <formula>0</formula>
    </cfRule>
  </conditionalFormatting>
  <conditionalFormatting sqref="H54:I55">
    <cfRule type="cellIs" dxfId="1434" priority="101" stopIfTrue="1" operator="lessThanOrEqual">
      <formula>0</formula>
    </cfRule>
  </conditionalFormatting>
  <conditionalFormatting sqref="H56:I57">
    <cfRule type="cellIs" dxfId="1433" priority="143" stopIfTrue="1" operator="lessThanOrEqual">
      <formula>0</formula>
    </cfRule>
    <cfRule type="cellIs" dxfId="1432" priority="134" stopIfTrue="1" operator="greaterThan">
      <formula>#REF!</formula>
    </cfRule>
    <cfRule type="cellIs" dxfId="1431" priority="137" stopIfTrue="1" operator="lessThanOrEqual">
      <formula>0</formula>
    </cfRule>
    <cfRule type="cellIs" dxfId="1430" priority="142" stopIfTrue="1" operator="greaterThan">
      <formula>#REF!</formula>
    </cfRule>
  </conditionalFormatting>
  <conditionalFormatting sqref="H58:I58">
    <cfRule type="cellIs" dxfId="1429" priority="146" stopIfTrue="1" operator="greaterThan">
      <formula>$F$34</formula>
    </cfRule>
    <cfRule type="cellIs" dxfId="1428" priority="149" stopIfTrue="1" operator="lessThanOrEqual">
      <formula>0</formula>
    </cfRule>
  </conditionalFormatting>
  <conditionalFormatting sqref="H59:I60">
    <cfRule type="cellIs" dxfId="1427" priority="130" stopIfTrue="1" operator="greaterThan">
      <formula>#REF!</formula>
    </cfRule>
    <cfRule type="cellIs" dxfId="1426" priority="122" stopIfTrue="1" operator="greaterThan">
      <formula>#REF!</formula>
    </cfRule>
    <cfRule type="cellIs" dxfId="1425" priority="131" stopIfTrue="1" operator="lessThanOrEqual">
      <formula>0</formula>
    </cfRule>
    <cfRule type="cellIs" dxfId="1424" priority="125" stopIfTrue="1" operator="lessThanOrEqual">
      <formula>0</formula>
    </cfRule>
  </conditionalFormatting>
  <conditionalFormatting sqref="H64:I71">
    <cfRule type="cellIs" dxfId="1423" priority="44" stopIfTrue="1" operator="greaterThan">
      <formula>$J64</formula>
    </cfRule>
    <cfRule type="cellIs" dxfId="1422" priority="45" stopIfTrue="1" operator="lessThanOrEqual">
      <formula>0</formula>
    </cfRule>
  </conditionalFormatting>
  <conditionalFormatting sqref="H72:I72">
    <cfRule type="cellIs" dxfId="1421" priority="52" operator="greaterThan">
      <formula>5.3</formula>
    </cfRule>
  </conditionalFormatting>
  <conditionalFormatting sqref="H73:I73">
    <cfRule type="cellIs" dxfId="1420" priority="50" stopIfTrue="1" operator="greaterThan">
      <formula>$J73</formula>
    </cfRule>
    <cfRule type="cellIs" dxfId="1419" priority="51" stopIfTrue="1" operator="lessThanOrEqual">
      <formula>0</formula>
    </cfRule>
  </conditionalFormatting>
  <conditionalFormatting sqref="I51">
    <cfRule type="cellIs" dxfId="1418" priority="63" stopIfTrue="1" operator="greaterThan">
      <formula>$F$64</formula>
    </cfRule>
    <cfRule type="cellIs" dxfId="1417" priority="68" stopIfTrue="1" operator="lessThanOrEqual">
      <formula>0</formula>
    </cfRule>
    <cfRule type="cellIs" dxfId="1416" priority="67" stopIfTrue="1" operator="greaterThan">
      <formula>$F$64</formula>
    </cfRule>
    <cfRule type="cellIs" dxfId="1415" priority="66" stopIfTrue="1" operator="lessThanOrEqual">
      <formula>0</formula>
    </cfRule>
    <cfRule type="cellIs" dxfId="1414" priority="65" stopIfTrue="1" operator="greaterThan">
      <formula>$F$66</formula>
    </cfRule>
    <cfRule type="cellIs" dxfId="1413" priority="64" stopIfTrue="1" operator="lessThanOrEqual">
      <formula>0</formula>
    </cfRule>
  </conditionalFormatting>
  <conditionalFormatting sqref="I52">
    <cfRule type="cellIs" dxfId="1412" priority="91" stopIfTrue="1" operator="greaterThan">
      <formula>$F$66</formula>
    </cfRule>
    <cfRule type="cellIs" dxfId="1411" priority="94" stopIfTrue="1" operator="lessThanOrEqual">
      <formula>0</formula>
    </cfRule>
    <cfRule type="cellIs" dxfId="1410" priority="89" stopIfTrue="1" operator="greaterThan">
      <formula>$F$64</formula>
    </cfRule>
    <cfRule type="cellIs" dxfId="1409" priority="93" stopIfTrue="1" operator="greaterThan">
      <formula>$F$64</formula>
    </cfRule>
    <cfRule type="cellIs" dxfId="1408" priority="92" stopIfTrue="1" operator="lessThanOrEqual">
      <formula>0</formula>
    </cfRule>
    <cfRule type="cellIs" dxfId="1407" priority="90" stopIfTrue="1" operator="lessThanOrEqual">
      <formula>0</formula>
    </cfRule>
  </conditionalFormatting>
  <conditionalFormatting sqref="I53">
    <cfRule type="cellIs" dxfId="1406" priority="31" stopIfTrue="1" operator="lessThanOrEqual">
      <formula>0</formula>
    </cfRule>
    <cfRule type="cellIs" dxfId="1405" priority="30" stopIfTrue="1" operator="greaterThan">
      <formula>$F$66</formula>
    </cfRule>
    <cfRule type="cellIs" dxfId="1404" priority="35" stopIfTrue="1" operator="lessThanOrEqual">
      <formula>0</formula>
    </cfRule>
    <cfRule type="cellIs" dxfId="1403" priority="33" stopIfTrue="1" operator="lessThanOrEqual">
      <formula>0</formula>
    </cfRule>
    <cfRule type="cellIs" dxfId="1402" priority="32" stopIfTrue="1" operator="greaterThan">
      <formula>$F$68</formula>
    </cfRule>
    <cfRule type="cellIs" dxfId="1401" priority="34" stopIfTrue="1" operator="greaterThan">
      <formula>$F$66</formula>
    </cfRule>
  </conditionalFormatting>
  <conditionalFormatting sqref="I54:I55">
    <cfRule type="cellIs" dxfId="1400" priority="107" stopIfTrue="1" operator="lessThanOrEqual">
      <formula>0</formula>
    </cfRule>
    <cfRule type="cellIs" dxfId="1399" priority="102" stopIfTrue="1" operator="greaterThan">
      <formula>$F$64</formula>
    </cfRule>
    <cfRule type="cellIs" dxfId="1398" priority="104" stopIfTrue="1" operator="greaterThan">
      <formula>$F$66</formula>
    </cfRule>
    <cfRule type="cellIs" dxfId="1397" priority="105" stopIfTrue="1" operator="lessThanOrEqual">
      <formula>0</formula>
    </cfRule>
    <cfRule type="cellIs" dxfId="1396" priority="106" stopIfTrue="1" operator="greaterThan">
      <formula>$F$64</formula>
    </cfRule>
    <cfRule type="cellIs" dxfId="1395" priority="103" stopIfTrue="1" operator="lessThanOrEqual">
      <formula>0</formula>
    </cfRule>
  </conditionalFormatting>
  <conditionalFormatting sqref="I56:I57">
    <cfRule type="cellIs" dxfId="1394" priority="141" stopIfTrue="1" operator="lessThanOrEqual">
      <formula>0</formula>
    </cfRule>
    <cfRule type="cellIs" dxfId="1393" priority="139" stopIfTrue="1" operator="lessThanOrEqual">
      <formula>0</formula>
    </cfRule>
    <cfRule type="cellIs" dxfId="1392" priority="140" stopIfTrue="1" operator="greaterThan">
      <formula>#REF!</formula>
    </cfRule>
    <cfRule type="cellIs" dxfId="1391" priority="138" stopIfTrue="1" operator="greaterThan">
      <formula>#REF!</formula>
    </cfRule>
  </conditionalFormatting>
  <conditionalFormatting sqref="I58">
    <cfRule type="cellIs" dxfId="1390" priority="154" stopIfTrue="1" operator="greaterThan">
      <formula>$F$32</formula>
    </cfRule>
    <cfRule type="cellIs" dxfId="1389" priority="155" stopIfTrue="1" operator="lessThanOrEqual">
      <formula>0</formula>
    </cfRule>
    <cfRule type="cellIs" dxfId="1388" priority="151" stopIfTrue="1" operator="lessThanOrEqual">
      <formula>0</formula>
    </cfRule>
    <cfRule type="cellIs" dxfId="1387" priority="153" stopIfTrue="1" operator="lessThanOrEqual">
      <formula>0</formula>
    </cfRule>
    <cfRule type="cellIs" dxfId="1386" priority="150" stopIfTrue="1" operator="greaterThan">
      <formula>$F$32</formula>
    </cfRule>
    <cfRule type="cellIs" dxfId="1385" priority="152" stopIfTrue="1" operator="greaterThan">
      <formula>$F$34</formula>
    </cfRule>
  </conditionalFormatting>
  <conditionalFormatting sqref="I59:I60">
    <cfRule type="cellIs" dxfId="1384" priority="126" stopIfTrue="1" operator="greaterThan">
      <formula>#REF!</formula>
    </cfRule>
    <cfRule type="cellIs" dxfId="1383" priority="127" stopIfTrue="1" operator="lessThanOrEqual">
      <formula>0</formula>
    </cfRule>
    <cfRule type="cellIs" dxfId="1382" priority="128" stopIfTrue="1" operator="greaterThan">
      <formula>#REF!</formula>
    </cfRule>
    <cfRule type="cellIs" dxfId="1381" priority="129" stopIfTrue="1" operator="lessThanOrEqual">
      <formula>0</formula>
    </cfRule>
  </conditionalFormatting>
  <conditionalFormatting sqref="I75:I83">
    <cfRule type="cellIs" dxfId="1380" priority="179" stopIfTrue="1" operator="lessThanOrEqual">
      <formula>0</formula>
    </cfRule>
    <cfRule type="cellIs" dxfId="1379" priority="178" stopIfTrue="1" operator="greaterThan">
      <formula>4.5</formula>
    </cfRule>
  </conditionalFormatting>
  <conditionalFormatting sqref="I10:J19">
    <cfRule type="cellIs" dxfId="1378" priority="11" operator="lessThan">
      <formula>97.9</formula>
    </cfRule>
  </conditionalFormatting>
  <conditionalFormatting sqref="J22:J24">
    <cfRule type="cellIs" dxfId="1377" priority="25" operator="lessThan">
      <formula>97.95</formula>
    </cfRule>
  </conditionalFormatting>
  <conditionalFormatting sqref="J23:J26">
    <cfRule type="cellIs" dxfId="1376" priority="160" operator="lessThan">
      <formula>97.4</formula>
    </cfRule>
  </conditionalFormatting>
  <conditionalFormatting sqref="J27:J28">
    <cfRule type="cellIs" dxfId="1375" priority="161" operator="lessThan">
      <formula>98</formula>
    </cfRule>
  </conditionalFormatting>
  <conditionalFormatting sqref="J29:J30">
    <cfRule type="cellIs" dxfId="1374" priority="162" stopIfTrue="1" operator="lessThan">
      <formula>96.8</formula>
    </cfRule>
    <cfRule type="cellIs" dxfId="1373" priority="163" stopIfTrue="1" operator="greaterThan">
      <formula>100</formula>
    </cfRule>
  </conditionalFormatting>
  <conditionalFormatting sqref="J29:J31">
    <cfRule type="cellIs" dxfId="1372" priority="164" operator="lessThan">
      <formula>98</formula>
    </cfRule>
  </conditionalFormatting>
  <conditionalFormatting sqref="J60">
    <cfRule type="cellIs" dxfId="1371" priority="119" stopIfTrue="1" operator="lessThanOrEqual">
      <formula>0</formula>
    </cfRule>
    <cfRule type="cellIs" dxfId="1370" priority="121" stopIfTrue="1" operator="lessThanOrEqual">
      <formula>0</formula>
    </cfRule>
    <cfRule type="cellIs" dxfId="1369" priority="120" stopIfTrue="1" operator="greaterThan">
      <formula>#REF!</formula>
    </cfRule>
    <cfRule type="cellIs" dxfId="1368" priority="118" stopIfTrue="1" operator="greaterThan">
      <formula>#REF!</formula>
    </cfRule>
    <cfRule type="cellIs" dxfId="1367" priority="117" stopIfTrue="1" operator="lessThanOrEqual">
      <formula>0</formula>
    </cfRule>
    <cfRule type="cellIs" dxfId="1366" priority="116" stopIfTrue="1" operator="greaterThan">
      <formula>#REF!</formula>
    </cfRule>
    <cfRule type="cellIs" dxfId="1365" priority="115" stopIfTrue="1" operator="lessThanOrEqual">
      <formula>0</formula>
    </cfRule>
    <cfRule type="cellIs" dxfId="1364" priority="114" stopIfTrue="1" operator="greaterThan">
      <formula>#REF!</formula>
    </cfRule>
  </conditionalFormatting>
  <conditionalFormatting sqref="J73">
    <cfRule type="cellIs" dxfId="1363" priority="53" stopIfTrue="1" operator="greaterThan">
      <formula>$F73</formula>
    </cfRule>
    <cfRule type="cellIs" dxfId="1362" priority="54" stopIfTrue="1" operator="lessThanOrEqual">
      <formula>0</formula>
    </cfRule>
  </conditionalFormatting>
  <conditionalFormatting sqref="K10:K19">
    <cfRule type="cellIs" dxfId="1361" priority="12" operator="greaterThan">
      <formula>6</formula>
    </cfRule>
    <cfRule type="cellIs" dxfId="1360" priority="13" operator="lessThan">
      <formula>4</formula>
    </cfRule>
    <cfRule type="cellIs" dxfId="1359" priority="14" operator="greaterThan">
      <formula>6.4</formula>
    </cfRule>
  </conditionalFormatting>
  <conditionalFormatting sqref="K51:K60">
    <cfRule type="cellIs" dxfId="1358" priority="99" stopIfTrue="1" operator="lessThan">
      <formula>100%</formula>
    </cfRule>
  </conditionalFormatting>
  <conditionalFormatting sqref="K64:K72">
    <cfRule type="cellIs" dxfId="1357" priority="43" stopIfTrue="1" operator="lessThan">
      <formula>100%</formula>
    </cfRule>
  </conditionalFormatting>
  <conditionalFormatting sqref="K75:K80">
    <cfRule type="cellIs" dxfId="1356" priority="184" stopIfTrue="1" operator="lessThan">
      <formula>100%</formula>
    </cfRule>
  </conditionalFormatting>
  <conditionalFormatting sqref="K82:K83">
    <cfRule type="cellIs" dxfId="1355" priority="191" stopIfTrue="1" operator="lessThan">
      <formula>100%</formula>
    </cfRule>
  </conditionalFormatting>
  <conditionalFormatting sqref="L10:L19">
    <cfRule type="cellIs" dxfId="1354" priority="15" operator="between">
      <formula>61</formula>
      <formula>65</formula>
    </cfRule>
    <cfRule type="cellIs" dxfId="1353" priority="16" operator="greaterThan">
      <formula>65</formula>
    </cfRule>
  </conditionalFormatting>
  <conditionalFormatting sqref="L22:M33">
    <cfRule type="cellIs" dxfId="1352" priority="24" operator="lessThan">
      <formula>97.95</formula>
    </cfRule>
  </conditionalFormatting>
  <conditionalFormatting sqref="L37:N37">
    <cfRule type="cellIs" dxfId="1351" priority="23" operator="notEqual">
      <formula>#REF!</formula>
    </cfRule>
  </conditionalFormatting>
  <conditionalFormatting sqref="L64:N73">
    <cfRule type="cellIs" dxfId="1350" priority="40" stopIfTrue="1" operator="lessThan">
      <formula>100%</formula>
    </cfRule>
  </conditionalFormatting>
  <conditionalFormatting sqref="L75:N83">
    <cfRule type="cellIs" dxfId="1349" priority="169" stopIfTrue="1" operator="lessThan">
      <formula>100%</formula>
    </cfRule>
  </conditionalFormatting>
  <conditionalFormatting sqref="M19">
    <cfRule type="expression" dxfId="1348" priority="20">
      <formula>IF(+(IF(M19&lt;U19,0,IF(M19&gt;V19,0,1)))=0,1)</formula>
    </cfRule>
  </conditionalFormatting>
  <conditionalFormatting sqref="M10:N18 G13:H17 G18">
    <cfRule type="expression" dxfId="1347" priority="22">
      <formula>IF(+(IF(G10&lt;#REF!,0,IF(G10&gt;#REF!,0,1)))=0,1)</formula>
    </cfRule>
  </conditionalFormatting>
  <conditionalFormatting sqref="N10:N19">
    <cfRule type="expression" dxfId="1346" priority="19">
      <formula>IF(+(IF(N10&lt;W10,0,IF(N10&gt;X10,0,1)))=0,1)</formula>
    </cfRule>
  </conditionalFormatting>
  <conditionalFormatting sqref="P6">
    <cfRule type="cellIs" dxfId="1345" priority="165" operator="greaterThanOrEqual">
      <formula>19</formula>
    </cfRule>
  </conditionalFormatting>
  <dataValidations count="1">
    <dataValidation type="list" allowBlank="1" showInputMessage="1" showErrorMessage="1" sqref="R8" xr:uid="{0ED923DB-7F7C-463A-B0EA-BD9DF7DC6E6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3284-292E-4031-978C-5E67F7AE6BB8}">
  <sheetPr>
    <pageSetUpPr fitToPage="1"/>
  </sheetPr>
  <dimension ref="A1:BE84"/>
  <sheetViews>
    <sheetView zoomScale="85" zoomScaleNormal="85" workbookViewId="0">
      <selection activeCell="B16" sqref="B16:O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[30]Brewhouse!$A814</f>
        <v>CA764</v>
      </c>
      <c r="D10" s="279">
        <f>[30]Brewhouse!$AF814</f>
        <v>49.1</v>
      </c>
      <c r="E10" s="279">
        <f>[30]Brewhouse!$AI814</f>
        <v>49.5</v>
      </c>
      <c r="F10" s="278">
        <f>[30]Brewhouse!$V814</f>
        <v>60</v>
      </c>
      <c r="G10" s="279">
        <f>[30]Brewhouse!AG814</f>
        <v>12</v>
      </c>
      <c r="H10" s="490">
        <v>12.1</v>
      </c>
      <c r="I10" s="368">
        <f>[30]Brewhouse!$AU814</f>
        <v>98.693894286323896</v>
      </c>
      <c r="J10" s="368">
        <f>[30]Brewhouse!$AV814</f>
        <v>99.574203204894033</v>
      </c>
      <c r="K10" s="281">
        <f>[30]Brewhouse!$Q814</f>
        <v>10.407407407407403</v>
      </c>
      <c r="L10" s="276">
        <f>[30]Brewhouse!$P814</f>
        <v>62</v>
      </c>
      <c r="M10" s="374">
        <f>[30]Brewhouse!$U814-[30]Brewhouse!$T814</f>
        <v>0.11597222222222214</v>
      </c>
      <c r="N10" s="370">
        <f>[30]Brewhouse!$Z814</f>
        <v>0.27222222222222214</v>
      </c>
      <c r="O10" s="419" t="str">
        <f>[30]Brewhouse!$AX814</f>
        <v>K. Benjamin</v>
      </c>
      <c r="P10" s="417"/>
      <c r="R10" s="277" t="str">
        <f t="shared" ref="R10:R28" si="0">B10</f>
        <v>CARIB</v>
      </c>
      <c r="S10" s="471">
        <f t="shared" ref="S10:S28" si="1">VLOOKUP($B10,$R$3:$X$9,2,FALSE)</f>
        <v>11.6</v>
      </c>
      <c r="T10" s="471">
        <f t="shared" ref="T10:T28" si="2">VLOOKUP($B10,$R$3:$X$9,3,FALSE)</f>
        <v>12</v>
      </c>
      <c r="U10" s="297">
        <f t="shared" ref="U10:U28" si="3">VLOOKUP($B10,$R$3:$X$9,4,FALSE)</f>
        <v>0</v>
      </c>
      <c r="V10" s="297">
        <f t="shared" ref="V10:V28" si="4">VLOOKUP($B10,$R$3:$X$9,5,FALSE)</f>
        <v>0.118055555555556</v>
      </c>
      <c r="W10" s="297">
        <f t="shared" ref="W10:W28" si="5">VLOOKUP($B10,$R$3:$X$9,6,FALSE)</f>
        <v>0.22569444444444445</v>
      </c>
      <c r="X10" s="297">
        <f t="shared" ref="X10:X28" si="6">VLOOKUP($B10,$R$3:$X$9,7,FALSE)</f>
        <v>0.2638888888888889</v>
      </c>
      <c r="Y10" s="297">
        <f t="shared" ref="Y10:Y28" si="7">VLOOKUP($B10,$R$3:$Z$9,8,FALSE)</f>
        <v>0</v>
      </c>
      <c r="Z10" s="471">
        <f t="shared" ref="Z10:Z28" si="8">VLOOKUP($B10,$R$3:$Z$9,9,FALSE)</f>
        <v>60</v>
      </c>
    </row>
    <row r="11" spans="2:29" ht="15" customHeight="1">
      <c r="B11" s="29" t="s">
        <v>6</v>
      </c>
      <c r="C11" s="366" t="str">
        <f>[30]Brewhouse!$A815</f>
        <v>CA765</v>
      </c>
      <c r="D11" s="279">
        <f>[30]Brewhouse!$AF815</f>
        <v>49.8</v>
      </c>
      <c r="E11" s="279">
        <f>[30]Brewhouse!$AI815</f>
        <v>50.1</v>
      </c>
      <c r="F11" s="278">
        <f>[30]Brewhouse!$V815</f>
        <v>63</v>
      </c>
      <c r="G11" s="279">
        <f>[30]Brewhouse!AG815</f>
        <v>11.8</v>
      </c>
      <c r="H11" s="396">
        <v>11.8</v>
      </c>
      <c r="I11" s="368">
        <f>[30]Brewhouse!$AU815</f>
        <v>98.262539199860527</v>
      </c>
      <c r="J11" s="368">
        <f>[30]Brewhouse!$AV815</f>
        <v>99.138942729360579</v>
      </c>
      <c r="K11" s="281">
        <f>[30]Brewhouse!$Q815</f>
        <v>9.1111111111111143</v>
      </c>
      <c r="L11" s="276">
        <f>[30]Brewhouse!$P815</f>
        <v>59</v>
      </c>
      <c r="M11" s="374">
        <f>[30]Brewhouse!$U815-[30]Brewhouse!$T815</f>
        <v>0.12708333333333338</v>
      </c>
      <c r="N11" s="370">
        <f>[30]Brewhouse!$Z815</f>
        <v>0.29097222222222224</v>
      </c>
      <c r="O11" s="419" t="str">
        <f>[30]Brewhouse!$AX815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[30]Brewhouse!$A816</f>
        <v>CA766</v>
      </c>
      <c r="D12" s="279">
        <f>[30]Brewhouse!$AF816</f>
        <v>48.2</v>
      </c>
      <c r="E12" s="279">
        <f>[30]Brewhouse!$AI816</f>
        <v>49.9</v>
      </c>
      <c r="F12" s="278">
        <f>[30]Brewhouse!$V816</f>
        <v>63</v>
      </c>
      <c r="G12" s="279">
        <f>[30]Brewhouse!AG816</f>
        <v>11.7</v>
      </c>
      <c r="H12" s="396">
        <v>11.7</v>
      </c>
      <c r="I12" s="368">
        <f>[30]Brewhouse!$AU816</f>
        <v>97.239656159599406</v>
      </c>
      <c r="J12" s="368">
        <f>[30]Brewhouse!$AV816</f>
        <v>98.106821614261435</v>
      </c>
      <c r="K12" s="281">
        <f>[30]Brewhouse!$Q816</f>
        <v>12.074074074074066</v>
      </c>
      <c r="L12" s="276">
        <f>[30]Brewhouse!$P816</f>
        <v>60</v>
      </c>
      <c r="M12" s="374">
        <f>[30]Brewhouse!$U816-[30]Brewhouse!$T816</f>
        <v>0.12291666666666667</v>
      </c>
      <c r="N12" s="370">
        <f>[30]Brewhouse!$Z816</f>
        <v>0.29583333333333334</v>
      </c>
      <c r="O12" s="419" t="str">
        <f>[30]Brewhouse!$AX816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[30]Brewhouse!$A817</f>
        <v>CA767</v>
      </c>
      <c r="D13" s="279">
        <f>[30]Brewhouse!$AF817</f>
        <v>42.7</v>
      </c>
      <c r="E13" s="279">
        <f>[30]Brewhouse!$AI817</f>
        <v>43.2</v>
      </c>
      <c r="F13" s="278">
        <f>[30]Brewhouse!$V817</f>
        <v>56</v>
      </c>
      <c r="G13" s="279">
        <f>[30]Brewhouse!AG817</f>
        <v>11.7</v>
      </c>
      <c r="H13" s="396">
        <v>11.8</v>
      </c>
      <c r="I13" s="368">
        <f>[30]Brewhouse!$AU817</f>
        <v>83.765786690009421</v>
      </c>
      <c r="J13" s="368">
        <f>[30]Brewhouse!$AV817</f>
        <v>84.512992250557105</v>
      </c>
      <c r="K13" s="281">
        <f>[30]Brewhouse!$Q817</f>
        <v>22.402957486136778</v>
      </c>
      <c r="L13" s="276">
        <f>[30]Brewhouse!$P817</f>
        <v>60</v>
      </c>
      <c r="M13" s="374">
        <f>[30]Brewhouse!$U817-[30]Brewhouse!$T817</f>
        <v>0.11180555555555549</v>
      </c>
      <c r="N13" s="370">
        <f>[30]Brewhouse!$Z817</f>
        <v>0.25486111111111109</v>
      </c>
      <c r="O13" s="419" t="str">
        <f>[30]Brewhouse!$AX817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[30]Brewhouse!$A818</f>
        <v>CA768</v>
      </c>
      <c r="D14" s="279">
        <f>[30]Brewhouse!$AF818</f>
        <v>45.4</v>
      </c>
      <c r="E14" s="279">
        <f>[30]Brewhouse!$AI818</f>
        <v>50.1</v>
      </c>
      <c r="F14" s="278">
        <f>[30]Brewhouse!$V818</f>
        <v>56</v>
      </c>
      <c r="G14" s="279">
        <f>[30]Brewhouse!AG818</f>
        <v>12</v>
      </c>
      <c r="H14" s="396">
        <v>12</v>
      </c>
      <c r="I14" s="368">
        <f>[30]Brewhouse!$AU818</f>
        <v>99.766292415070296</v>
      </c>
      <c r="J14" s="368">
        <f>[30]Brewhouse!$AV818</f>
        <v>100.65622530286895</v>
      </c>
      <c r="K14" s="281">
        <f>[30]Brewhouse!$Q818</f>
        <v>17.412199630314234</v>
      </c>
      <c r="L14" s="276">
        <f>[30]Brewhouse!$P818</f>
        <v>58</v>
      </c>
      <c r="M14" s="374">
        <f>[30]Brewhouse!$U818-[30]Brewhouse!$T818</f>
        <v>0.10763888888888895</v>
      </c>
      <c r="N14" s="370">
        <f>[30]Brewhouse!$Z818</f>
        <v>0.29166666666666674</v>
      </c>
      <c r="O14" s="419" t="str">
        <f>[30]Brewhouse!$AX818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[30]Brewhouse!$A819</f>
        <v>CA769</v>
      </c>
      <c r="D15" s="279">
        <f>[30]Brewhouse!$AF819</f>
        <v>50.3</v>
      </c>
      <c r="E15" s="279">
        <f>[30]Brewhouse!$AI819</f>
        <v>50.8</v>
      </c>
      <c r="F15" s="278">
        <f>[30]Brewhouse!$V819</f>
        <v>63</v>
      </c>
      <c r="G15" s="279">
        <f>[30]Brewhouse!AG819</f>
        <v>11.8</v>
      </c>
      <c r="H15" s="396">
        <v>11.9</v>
      </c>
      <c r="I15" s="368">
        <f>[30]Brewhouse!$AU819</f>
        <v>99.511739849218969</v>
      </c>
      <c r="J15" s="368">
        <f>[30]Brewhouse!$AV819</f>
        <v>100.39934361361757</v>
      </c>
      <c r="K15" s="281">
        <f>[30]Brewhouse!$Q819</f>
        <v>11.312384473197778</v>
      </c>
      <c r="L15" s="276">
        <f>[30]Brewhouse!$P819</f>
        <v>58</v>
      </c>
      <c r="M15" s="374">
        <f>[30]Brewhouse!$U819-[30]Brewhouse!$T819</f>
        <v>0.11527777777777781</v>
      </c>
      <c r="N15" s="370">
        <f>[30]Brewhouse!$Z819</f>
        <v>0.29791666666666672</v>
      </c>
      <c r="O15" s="419" t="str">
        <f>[30]Brewhouse!$AX819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[30]Brewhouse!$A820</f>
        <v>CA770</v>
      </c>
      <c r="D16" s="279">
        <f>[30]Brewhouse!$AF820</f>
        <v>49.5</v>
      </c>
      <c r="E16" s="279">
        <f>[30]Brewhouse!$AI820</f>
        <v>50.3</v>
      </c>
      <c r="F16" s="278">
        <f>[30]Brewhouse!$V820</f>
        <v>59</v>
      </c>
      <c r="G16" s="279">
        <f>[30]Brewhouse!AG820</f>
        <v>11.7</v>
      </c>
      <c r="H16" s="396">
        <v>11.7</v>
      </c>
      <c r="I16" s="368">
        <f>[30]Brewhouse!$AU820</f>
        <v>97.807901274623262</v>
      </c>
      <c r="J16" s="368">
        <f>[30]Brewhouse!$AV820</f>
        <v>98.52500001825814</v>
      </c>
      <c r="K16" s="281">
        <f>[30]Brewhouse!$Q820</f>
        <v>9.8336414048059151</v>
      </c>
      <c r="L16" s="276">
        <f>[30]Brewhouse!$P820</f>
        <v>60</v>
      </c>
      <c r="M16" s="374">
        <f>[30]Brewhouse!$U820-[30]Brewhouse!$T820</f>
        <v>0.11180555555555549</v>
      </c>
      <c r="N16" s="370">
        <f>[30]Brewhouse!$Z820</f>
        <v>0.26597222222222217</v>
      </c>
      <c r="O16" s="419" t="str">
        <f>[30]Brewhouse!$AX820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29"/>
      <c r="C17" s="366"/>
      <c r="D17" s="279"/>
      <c r="E17" s="279"/>
      <c r="F17" s="278"/>
      <c r="G17" s="279"/>
      <c r="H17" s="490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2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2:26" ht="15" customHeight="1">
      <c r="B19" s="495">
        <v>46305</v>
      </c>
      <c r="C19" s="366"/>
      <c r="D19" s="279"/>
      <c r="E19" s="279"/>
      <c r="F19" s="278"/>
      <c r="G19" s="279"/>
      <c r="H19" s="490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46305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2:26" ht="15" customHeight="1">
      <c r="B20" s="34" t="s">
        <v>12</v>
      </c>
      <c r="C20" s="366" t="str">
        <f>[31]Brewhouse!$A108</f>
        <v>GU085</v>
      </c>
      <c r="D20" s="279">
        <f>[31]Brewhouse!$AF108</f>
        <v>51.5</v>
      </c>
      <c r="E20" s="279">
        <f>[31]Brewhouse!$AI108</f>
        <v>50.3</v>
      </c>
      <c r="F20" s="278">
        <f>[31]Brewhouse!$V108</f>
        <v>56</v>
      </c>
      <c r="G20" s="279">
        <f>[31]Brewhouse!$AG108</f>
        <v>16.7</v>
      </c>
      <c r="H20" s="490">
        <v>16.600000000000001</v>
      </c>
      <c r="I20" s="487">
        <f>[31]Brewhouse!$AU108</f>
        <v>91.975176313227053</v>
      </c>
      <c r="J20" s="487">
        <f>[31]Brewhouse!$AV108</f>
        <v>92.431180354931882</v>
      </c>
      <c r="K20" s="488">
        <f>[31]Brewhouse!$R108</f>
        <v>9.9642857142857117</v>
      </c>
      <c r="L20" s="276">
        <f>[31]Brewhouse!$O108</f>
        <v>58</v>
      </c>
      <c r="M20" s="374">
        <f>[31]Brewhouse!$U108-[31]Brewhouse!$T108</f>
        <v>0.11388888888888893</v>
      </c>
      <c r="N20" s="370">
        <f>[31]Brewhouse!$Z108</f>
        <v>0.27986111111111112</v>
      </c>
      <c r="O20" s="419" t="str">
        <f>[31]Brewhouse!$AW108</f>
        <v>R. Sookram</v>
      </c>
      <c r="P20" s="417"/>
      <c r="R20" s="277" t="str">
        <f t="shared" ref="R20" si="9">B20</f>
        <v>GUINNESS</v>
      </c>
      <c r="S20" s="471">
        <f t="shared" si="1"/>
        <v>17</v>
      </c>
      <c r="T20" s="471">
        <f t="shared" si="2"/>
        <v>17.5</v>
      </c>
      <c r="U20" s="297">
        <f t="shared" si="3"/>
        <v>0</v>
      </c>
      <c r="V20" s="297">
        <f t="shared" si="4"/>
        <v>0.1076388888888889</v>
      </c>
      <c r="W20" s="297">
        <f t="shared" si="5"/>
        <v>0.24652777777777779</v>
      </c>
      <c r="X20" s="297">
        <f t="shared" si="6"/>
        <v>0.28472222222222221</v>
      </c>
      <c r="Y20" s="297">
        <f t="shared" si="7"/>
        <v>0</v>
      </c>
      <c r="Z20" s="471">
        <f t="shared" si="8"/>
        <v>60</v>
      </c>
    </row>
    <row r="21" spans="2:26" ht="15" customHeight="1">
      <c r="B21" s="34" t="s">
        <v>12</v>
      </c>
      <c r="C21" s="366" t="str">
        <f>[31]Brewhouse!$A109</f>
        <v>GU086</v>
      </c>
      <c r="D21" s="279">
        <f>[31]Brewhouse!$AF109</f>
        <v>53</v>
      </c>
      <c r="E21" s="279">
        <f>[31]Brewhouse!$AI109</f>
        <v>51.6</v>
      </c>
      <c r="F21" s="278">
        <f>[31]Brewhouse!$V109</f>
        <v>79</v>
      </c>
      <c r="G21" s="279">
        <f>[31]Brewhouse!$AG109</f>
        <v>17</v>
      </c>
      <c r="H21" s="396">
        <v>17.5</v>
      </c>
      <c r="I21" s="487">
        <f>[31]Brewhouse!$AU109</f>
        <v>96.153490761650957</v>
      </c>
      <c r="J21" s="487">
        <f>[31]Brewhouse!$AV109</f>
        <v>96.630210482872457</v>
      </c>
      <c r="K21" s="488">
        <f>[31]Brewhouse!$R109</f>
        <v>7.2857142857142829</v>
      </c>
      <c r="L21" s="276">
        <f>[31]Brewhouse!$O109</f>
        <v>55</v>
      </c>
      <c r="M21" s="374">
        <f>[31]Brewhouse!$U109-[31]Brewhouse!$T109</f>
        <v>0.14513888888888887</v>
      </c>
      <c r="N21" s="370">
        <f>[31]Brewhouse!$Z109</f>
        <v>0.3208333333333333</v>
      </c>
      <c r="O21" s="419" t="str">
        <f>[31]Brewhouse!$AW109</f>
        <v>R. Sookram</v>
      </c>
      <c r="P21" s="417"/>
      <c r="R21" s="277" t="str">
        <f t="shared" si="0"/>
        <v>GUINNESS</v>
      </c>
      <c r="S21" s="471">
        <f t="shared" si="1"/>
        <v>17</v>
      </c>
      <c r="T21" s="471">
        <f t="shared" si="2"/>
        <v>17.5</v>
      </c>
      <c r="U21" s="297">
        <f t="shared" si="3"/>
        <v>0</v>
      </c>
      <c r="V21" s="297">
        <f t="shared" si="4"/>
        <v>0.1076388888888889</v>
      </c>
      <c r="W21" s="297">
        <f t="shared" si="5"/>
        <v>0.24652777777777779</v>
      </c>
      <c r="X21" s="297">
        <f t="shared" si="6"/>
        <v>0.28472222222222221</v>
      </c>
      <c r="Y21" s="297">
        <f t="shared" si="7"/>
        <v>0</v>
      </c>
      <c r="Z21" s="471">
        <f t="shared" si="8"/>
        <v>60</v>
      </c>
    </row>
    <row r="22" spans="2:26" ht="15" customHeight="1">
      <c r="B22" s="34" t="s">
        <v>12</v>
      </c>
      <c r="C22" s="366" t="str">
        <f>[31]Brewhouse!$A110</f>
        <v>GU087</v>
      </c>
      <c r="D22" s="279">
        <f>[31]Brewhouse!$AF110</f>
        <v>54.6</v>
      </c>
      <c r="E22" s="279">
        <f>[31]Brewhouse!$AI110</f>
        <v>53.1</v>
      </c>
      <c r="F22" s="278">
        <f>[31]Brewhouse!$V110</f>
        <v>72</v>
      </c>
      <c r="G22" s="279">
        <f>[31]Brewhouse!$AG110</f>
        <v>17.600000000000001</v>
      </c>
      <c r="H22" s="490">
        <v>17.600000000000001</v>
      </c>
      <c r="I22" s="487">
        <f>[31]Brewhouse!$AU110</f>
        <v>102.79261976436969</v>
      </c>
      <c r="J22" s="487">
        <f>[31]Brewhouse!$AV110</f>
        <v>103.30216588791079</v>
      </c>
      <c r="K22" s="488">
        <f>[31]Brewhouse!$R110</f>
        <v>7.4509803921568629</v>
      </c>
      <c r="L22" s="276">
        <f>[31]Brewhouse!$O110</f>
        <v>60</v>
      </c>
      <c r="M22" s="374">
        <f>[31]Brewhouse!$U110-[31]Brewhouse!$T110</f>
        <v>0.16319444444444448</v>
      </c>
      <c r="N22" s="370">
        <f>[31]Brewhouse!$Z110</f>
        <v>0.3305555555555556</v>
      </c>
      <c r="O22" s="419" t="str">
        <f>[31]Brewhouse!$AW110</f>
        <v>R. Sookram</v>
      </c>
      <c r="P22" s="417"/>
      <c r="R22" s="277" t="str">
        <f t="shared" si="0"/>
        <v>GUINNESS</v>
      </c>
      <c r="S22" s="471">
        <f t="shared" si="1"/>
        <v>17</v>
      </c>
      <c r="T22" s="471">
        <f t="shared" si="2"/>
        <v>17.5</v>
      </c>
      <c r="U22" s="297">
        <f t="shared" si="3"/>
        <v>0</v>
      </c>
      <c r="V22" s="297">
        <f t="shared" si="4"/>
        <v>0.1076388888888889</v>
      </c>
      <c r="W22" s="297">
        <f t="shared" si="5"/>
        <v>0.24652777777777779</v>
      </c>
      <c r="X22" s="297">
        <f t="shared" si="6"/>
        <v>0.28472222222222221</v>
      </c>
      <c r="Y22" s="297">
        <f t="shared" si="7"/>
        <v>0</v>
      </c>
      <c r="Z22" s="471">
        <f t="shared" si="8"/>
        <v>60</v>
      </c>
    </row>
    <row r="23" spans="2:26" ht="15" customHeight="1">
      <c r="B23" s="34" t="s">
        <v>12</v>
      </c>
      <c r="C23" s="366" t="str">
        <f>[31]Brewhouse!$A111</f>
        <v>GU088</v>
      </c>
      <c r="D23" s="279">
        <f>[31]Brewhouse!$AF111</f>
        <v>53.8</v>
      </c>
      <c r="E23" s="279">
        <f>[31]Brewhouse!$AI111</f>
        <v>52.2</v>
      </c>
      <c r="F23" s="278">
        <f>[31]Brewhouse!$V111</f>
        <v>81</v>
      </c>
      <c r="G23" s="279">
        <f>[31]Brewhouse!$AG111</f>
        <v>17.100000000000001</v>
      </c>
      <c r="H23" s="396">
        <v>17.399999999999999</v>
      </c>
      <c r="I23" s="487">
        <f>[31]Brewhouse!$AU111</f>
        <v>97.680094528624181</v>
      </c>
      <c r="J23" s="487">
        <f>[31]Brewhouse!$AV111</f>
        <v>98.164638069015211</v>
      </c>
      <c r="K23" s="488">
        <f>[31]Brewhouse!$R111</f>
        <v>5.8571428571428594</v>
      </c>
      <c r="L23" s="276">
        <f>[31]Brewhouse!$O111</f>
        <v>59</v>
      </c>
      <c r="M23" s="374">
        <f>[31]Brewhouse!$U111-[31]Brewhouse!$T111</f>
        <v>0.14722222222222225</v>
      </c>
      <c r="N23" s="370">
        <f>[31]Brewhouse!$Z111</f>
        <v>0.33055555555555555</v>
      </c>
      <c r="O23" s="419" t="str">
        <f>[31]Brewhouse!$AW111</f>
        <v>R. Sookram</v>
      </c>
      <c r="P23" s="417"/>
      <c r="R23" s="277" t="str">
        <f t="shared" si="0"/>
        <v>GUINNESS</v>
      </c>
      <c r="S23" s="471">
        <f t="shared" si="1"/>
        <v>17</v>
      </c>
      <c r="T23" s="471">
        <f t="shared" si="2"/>
        <v>17.5</v>
      </c>
      <c r="U23" s="297">
        <f t="shared" si="3"/>
        <v>0</v>
      </c>
      <c r="V23" s="297">
        <f t="shared" si="4"/>
        <v>0.1076388888888889</v>
      </c>
      <c r="W23" s="297">
        <f t="shared" si="5"/>
        <v>0.24652777777777779</v>
      </c>
      <c r="X23" s="297">
        <f t="shared" si="6"/>
        <v>0.28472222222222221</v>
      </c>
      <c r="Y23" s="297">
        <f t="shared" si="7"/>
        <v>0</v>
      </c>
      <c r="Z23" s="471">
        <f t="shared" si="8"/>
        <v>60</v>
      </c>
    </row>
    <row r="24" spans="2:26" ht="15" customHeight="1">
      <c r="B24" s="34" t="s">
        <v>12</v>
      </c>
      <c r="C24" s="366" t="str">
        <f>[31]Brewhouse!$A112</f>
        <v>GU089</v>
      </c>
      <c r="D24" s="279">
        <f>[31]Brewhouse!$AF112</f>
        <v>54.1</v>
      </c>
      <c r="E24" s="279">
        <f>[31]Brewhouse!$AI112</f>
        <v>52.4</v>
      </c>
      <c r="F24" s="278">
        <f>[31]Brewhouse!$V112</f>
        <v>81</v>
      </c>
      <c r="G24" s="279">
        <f>[31]Brewhouse!$AG112</f>
        <v>17.3</v>
      </c>
      <c r="H24" s="396">
        <v>17.3</v>
      </c>
      <c r="I24" s="487">
        <f>[31]Brewhouse!$AU112</f>
        <v>98.815277602756282</v>
      </c>
      <c r="J24" s="487">
        <f>[31]Brewhouse!$AV112</f>
        <v>99.305964606755964</v>
      </c>
      <c r="K24" s="488">
        <f>[31]Brewhouse!$R112</f>
        <v>5.4901960784313699</v>
      </c>
      <c r="L24" s="276">
        <f>[31]Brewhouse!$O112</f>
        <v>58</v>
      </c>
      <c r="M24" s="374">
        <f>[31]Brewhouse!$U112-[31]Brewhouse!$T112</f>
        <v>0.13263888888888886</v>
      </c>
      <c r="N24" s="370">
        <f>[31]Brewhouse!$Z112</f>
        <v>0.31736111111111104</v>
      </c>
      <c r="O24" s="419" t="str">
        <f>[31]Brewhouse!$AW112</f>
        <v>D. Gomaz</v>
      </c>
      <c r="P24" s="417"/>
      <c r="R24" s="277" t="str">
        <f t="shared" si="0"/>
        <v>GUINNESS</v>
      </c>
      <c r="S24" s="471">
        <f t="shared" si="1"/>
        <v>17</v>
      </c>
      <c r="T24" s="471">
        <f t="shared" si="2"/>
        <v>17.5</v>
      </c>
      <c r="U24" s="297">
        <f t="shared" si="3"/>
        <v>0</v>
      </c>
      <c r="V24" s="297">
        <f t="shared" si="4"/>
        <v>0.1076388888888889</v>
      </c>
      <c r="W24" s="297">
        <f t="shared" si="5"/>
        <v>0.24652777777777779</v>
      </c>
      <c r="X24" s="297">
        <f t="shared" si="6"/>
        <v>0.28472222222222221</v>
      </c>
      <c r="Y24" s="297">
        <f t="shared" si="7"/>
        <v>0</v>
      </c>
      <c r="Z24" s="471">
        <f t="shared" si="8"/>
        <v>60</v>
      </c>
    </row>
    <row r="25" spans="2:26" ht="15" customHeight="1">
      <c r="B25" s="34" t="s">
        <v>12</v>
      </c>
      <c r="C25" s="366" t="str">
        <f>[31]Brewhouse!$A113</f>
        <v>GU090</v>
      </c>
      <c r="D25" s="279">
        <f>[31]Brewhouse!$AF113</f>
        <v>53.5</v>
      </c>
      <c r="E25" s="279">
        <f>[31]Brewhouse!$AI113</f>
        <v>52</v>
      </c>
      <c r="F25" s="278">
        <f>[31]Brewhouse!$V113</f>
        <v>61</v>
      </c>
      <c r="G25" s="279">
        <f>[31]Brewhouse!$AG113</f>
        <v>17</v>
      </c>
      <c r="H25" s="396">
        <v>17</v>
      </c>
      <c r="I25" s="487">
        <f>[31]Brewhouse!$AU113</f>
        <v>96.743980175024319</v>
      </c>
      <c r="J25" s="487">
        <f>[31]Brewhouse!$AV113</f>
        <v>97.223796033994319</v>
      </c>
      <c r="K25" s="488">
        <f>[31]Brewhouse!$R113</f>
        <v>6.3928571428571406</v>
      </c>
      <c r="L25" s="276">
        <f>[31]Brewhouse!$O113</f>
        <v>60</v>
      </c>
      <c r="M25" s="374">
        <f>[31]Brewhouse!$U113-[31]Brewhouse!$T113</f>
        <v>0.12986111111111109</v>
      </c>
      <c r="N25" s="370">
        <f>[31]Brewhouse!$Z113</f>
        <v>0.30347222222222225</v>
      </c>
      <c r="O25" s="419" t="str">
        <f>[31]Brewhouse!$AW113</f>
        <v>D. Gomaz</v>
      </c>
      <c r="P25" s="417"/>
      <c r="R25" s="277" t="str">
        <f t="shared" si="0"/>
        <v>GUINNESS</v>
      </c>
      <c r="S25" s="471">
        <f t="shared" si="1"/>
        <v>17</v>
      </c>
      <c r="T25" s="471">
        <f t="shared" si="2"/>
        <v>17.5</v>
      </c>
      <c r="U25" s="297">
        <f t="shared" si="3"/>
        <v>0</v>
      </c>
      <c r="V25" s="297">
        <f t="shared" si="4"/>
        <v>0.1076388888888889</v>
      </c>
      <c r="W25" s="297">
        <f t="shared" si="5"/>
        <v>0.24652777777777779</v>
      </c>
      <c r="X25" s="297">
        <f t="shared" si="6"/>
        <v>0.28472222222222221</v>
      </c>
      <c r="Y25" s="297">
        <f t="shared" si="7"/>
        <v>0</v>
      </c>
      <c r="Z25" s="471">
        <f t="shared" si="8"/>
        <v>60</v>
      </c>
    </row>
    <row r="26" spans="2:26" ht="15" customHeight="1">
      <c r="B26" s="34" t="s">
        <v>12</v>
      </c>
      <c r="C26" s="366" t="str">
        <f>[31]Brewhouse!$A114</f>
        <v>GU091</v>
      </c>
      <c r="D26" s="279">
        <f>[31]Brewhouse!$AF114</f>
        <v>53.7</v>
      </c>
      <c r="E26" s="279">
        <f>[31]Brewhouse!$AI114</f>
        <v>52.4</v>
      </c>
      <c r="F26" s="278">
        <f>[31]Brewhouse!$V114</f>
        <v>63</v>
      </c>
      <c r="G26" s="279">
        <f>[31]Brewhouse!$AG114</f>
        <v>17</v>
      </c>
      <c r="H26" s="396">
        <v>17.100000000000001</v>
      </c>
      <c r="I26" s="487">
        <f>[31]Brewhouse!$AU114</f>
        <v>97.332584883765065</v>
      </c>
      <c r="J26" s="487">
        <f>[31]Brewhouse!$AV114</f>
        <v>97.815489046590557</v>
      </c>
      <c r="K26" s="488">
        <f>[31]Brewhouse!$R114</f>
        <v>6.0357142857142776</v>
      </c>
      <c r="L26" s="276">
        <f>[31]Brewhouse!$O114</f>
        <v>60</v>
      </c>
      <c r="M26" s="374">
        <f>[31]Brewhouse!$U114-[31]Brewhouse!$T114</f>
        <v>0.13819444444444451</v>
      </c>
      <c r="N26" s="370">
        <f>[31]Brewhouse!$Z114</f>
        <v>0.30555555555555558</v>
      </c>
      <c r="O26" s="419" t="str">
        <f>[31]Brewhouse!$AW114</f>
        <v>D. Gomaz</v>
      </c>
      <c r="P26" s="417"/>
      <c r="R26" s="277" t="str">
        <f t="shared" si="0"/>
        <v>GUINNESS</v>
      </c>
      <c r="S26" s="471">
        <f t="shared" si="1"/>
        <v>17</v>
      </c>
      <c r="T26" s="471">
        <f t="shared" si="2"/>
        <v>17.5</v>
      </c>
      <c r="U26" s="297">
        <f t="shared" si="3"/>
        <v>0</v>
      </c>
      <c r="V26" s="297">
        <f t="shared" si="4"/>
        <v>0.1076388888888889</v>
      </c>
      <c r="W26" s="297">
        <f t="shared" si="5"/>
        <v>0.24652777777777779</v>
      </c>
      <c r="X26" s="297">
        <f t="shared" si="6"/>
        <v>0.28472222222222221</v>
      </c>
      <c r="Y26" s="297">
        <f t="shared" si="7"/>
        <v>0</v>
      </c>
      <c r="Z26" s="471">
        <f t="shared" si="8"/>
        <v>60</v>
      </c>
    </row>
    <row r="27" spans="2:26" ht="15" customHeight="1">
      <c r="B27" s="34" t="s">
        <v>12</v>
      </c>
      <c r="C27" s="366" t="str">
        <f>[31]Brewhouse!$A115</f>
        <v>GU092</v>
      </c>
      <c r="D27" s="279">
        <f>[31]Brewhouse!$AF115</f>
        <v>53.7</v>
      </c>
      <c r="E27" s="279">
        <f>[31]Brewhouse!$AI115</f>
        <v>51.9</v>
      </c>
      <c r="F27" s="278">
        <f>[31]Brewhouse!$V115</f>
        <v>63</v>
      </c>
      <c r="G27" s="279">
        <f>[31]Brewhouse!$AG115</f>
        <v>17.100000000000001</v>
      </c>
      <c r="H27" s="396">
        <v>17.100000000000001</v>
      </c>
      <c r="I27" s="487">
        <f>[31]Brewhouse!$AU115</f>
        <v>97.429936670217501</v>
      </c>
      <c r="J27" s="487">
        <f>[31]Brewhouse!$AV115</f>
        <v>97.912899811549678</v>
      </c>
      <c r="K27" s="488">
        <f>[31]Brewhouse!$R115</f>
        <v>6.0357142857142776</v>
      </c>
      <c r="L27" s="276">
        <f>[31]Brewhouse!$O115</f>
        <v>62</v>
      </c>
      <c r="M27" s="374">
        <f>[31]Brewhouse!$U115-[31]Brewhouse!$T115</f>
        <v>0.16666666666666652</v>
      </c>
      <c r="N27" s="370">
        <f>[31]Brewhouse!$Z115</f>
        <v>0.32569444444444429</v>
      </c>
      <c r="O27" s="419" t="str">
        <f>[31]Brewhouse!$AW115</f>
        <v>K. Benjamin</v>
      </c>
      <c r="P27" s="417"/>
      <c r="R27" s="277" t="str">
        <f t="shared" si="0"/>
        <v>GUINNESS</v>
      </c>
      <c r="S27" s="471">
        <f t="shared" si="1"/>
        <v>17</v>
      </c>
      <c r="T27" s="471">
        <f t="shared" si="2"/>
        <v>17.5</v>
      </c>
      <c r="U27" s="297">
        <f t="shared" si="3"/>
        <v>0</v>
      </c>
      <c r="V27" s="297">
        <f t="shared" si="4"/>
        <v>0.1076388888888889</v>
      </c>
      <c r="W27" s="297">
        <f t="shared" si="5"/>
        <v>0.24652777777777779</v>
      </c>
      <c r="X27" s="297">
        <f t="shared" si="6"/>
        <v>0.28472222222222221</v>
      </c>
      <c r="Y27" s="297">
        <f t="shared" si="7"/>
        <v>0</v>
      </c>
      <c r="Z27" s="471">
        <f t="shared" si="8"/>
        <v>60</v>
      </c>
    </row>
    <row r="28" spans="2:26" ht="15" customHeight="1">
      <c r="B28" s="34"/>
      <c r="C28" s="366"/>
      <c r="D28" s="279"/>
      <c r="E28" s="279"/>
      <c r="F28" s="278"/>
      <c r="G28" s="279"/>
      <c r="H28" s="396"/>
      <c r="I28" s="487"/>
      <c r="J28" s="487"/>
      <c r="K28" s="488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4"/>
      <c r="C29" s="366"/>
      <c r="D29" s="279"/>
      <c r="E29" s="279"/>
      <c r="F29" s="278"/>
      <c r="G29" s="279"/>
      <c r="H29" s="396"/>
      <c r="I29" s="487"/>
      <c r="J29" s="487"/>
      <c r="K29" s="488"/>
      <c r="L29" s="276"/>
      <c r="M29" s="374"/>
      <c r="N29" s="370"/>
      <c r="O29" s="419"/>
      <c r="P29" s="417"/>
      <c r="R29" s="277">
        <f t="shared" ref="R29:R44" si="10">B29</f>
        <v>0</v>
      </c>
      <c r="S29" s="471" t="e">
        <f t="shared" ref="S29:S44" si="11">VLOOKUP($B29,$R$3:$X$9,2,FALSE)</f>
        <v>#N/A</v>
      </c>
      <c r="T29" s="471" t="e">
        <f t="shared" ref="T29:T44" si="12">VLOOKUP($B29,$R$3:$X$9,3,FALSE)</f>
        <v>#N/A</v>
      </c>
      <c r="U29" s="297" t="e">
        <f t="shared" ref="U29:U44" si="13">VLOOKUP($B29,$R$3:$X$9,4,FALSE)</f>
        <v>#N/A</v>
      </c>
      <c r="V29" s="297" t="e">
        <f t="shared" ref="V29:V44" si="14">VLOOKUP($B29,$R$3:$X$9,5,FALSE)</f>
        <v>#N/A</v>
      </c>
      <c r="W29" s="297" t="e">
        <f t="shared" ref="W29:W44" si="15">VLOOKUP($B29,$R$3:$X$9,6,FALSE)</f>
        <v>#N/A</v>
      </c>
      <c r="X29" s="297" t="e">
        <f t="shared" ref="X29:X44" si="16">VLOOKUP($B29,$R$3:$X$9,7,FALSE)</f>
        <v>#N/A</v>
      </c>
      <c r="Y29" s="297" t="e">
        <f t="shared" ref="Y29:Y44" si="17">VLOOKUP($B29,$R$3:$Z$9,8,FALSE)</f>
        <v>#N/A</v>
      </c>
      <c r="Z29" s="471" t="e">
        <f t="shared" ref="Z29:Z44" si="18">VLOOKUP($B29,$R$3:$Z$9,9,FALSE)</f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10"/>
        <v>0</v>
      </c>
      <c r="S30" s="471" t="e">
        <f t="shared" si="11"/>
        <v>#N/A</v>
      </c>
      <c r="T30" s="471" t="e">
        <f t="shared" si="12"/>
        <v>#N/A</v>
      </c>
      <c r="U30" s="297" t="e">
        <f t="shared" si="13"/>
        <v>#N/A</v>
      </c>
      <c r="V30" s="297" t="e">
        <f t="shared" si="14"/>
        <v>#N/A</v>
      </c>
      <c r="W30" s="297" t="e">
        <f t="shared" si="15"/>
        <v>#N/A</v>
      </c>
      <c r="X30" s="297" t="e">
        <f t="shared" si="16"/>
        <v>#N/A</v>
      </c>
      <c r="Y30" s="297" t="e">
        <f t="shared" si="17"/>
        <v>#N/A</v>
      </c>
      <c r="Z30" s="471" t="e">
        <f t="shared" si="18"/>
        <v>#N/A</v>
      </c>
    </row>
    <row r="31" spans="2:26" ht="17.25" customHeight="1" thickBot="1">
      <c r="B31" s="358"/>
      <c r="C31" s="358"/>
      <c r="D31" s="358"/>
      <c r="E31" s="358"/>
      <c r="F31" s="294"/>
      <c r="G31" s="294"/>
      <c r="H31" s="348"/>
      <c r="I31" s="624"/>
      <c r="J31" s="624"/>
      <c r="K31" s="624"/>
      <c r="L31" s="624"/>
      <c r="M31" s="624"/>
      <c r="N31" s="624"/>
      <c r="O31" s="1"/>
      <c r="P31" s="12"/>
      <c r="R31" s="277">
        <f t="shared" si="10"/>
        <v>0</v>
      </c>
      <c r="S31" s="471" t="e">
        <f t="shared" si="11"/>
        <v>#N/A</v>
      </c>
      <c r="T31" s="471" t="e">
        <f t="shared" si="12"/>
        <v>#N/A</v>
      </c>
      <c r="U31" s="297" t="e">
        <f t="shared" si="13"/>
        <v>#N/A</v>
      </c>
      <c r="V31" s="297" t="e">
        <f t="shared" si="14"/>
        <v>#N/A</v>
      </c>
      <c r="W31" s="297" t="e">
        <f t="shared" si="15"/>
        <v>#N/A</v>
      </c>
      <c r="X31" s="297" t="e">
        <f t="shared" si="16"/>
        <v>#N/A</v>
      </c>
      <c r="Y31" s="297" t="e">
        <f t="shared" si="17"/>
        <v>#N/A</v>
      </c>
      <c r="Z31" s="471" t="e">
        <f t="shared" si="18"/>
        <v>#N/A</v>
      </c>
    </row>
    <row r="32" spans="2:26" ht="17.25" customHeight="1" thickBot="1">
      <c r="B32" s="482" t="s">
        <v>162</v>
      </c>
      <c r="C32" s="388"/>
      <c r="D32" s="539" t="s">
        <v>35</v>
      </c>
      <c r="E32" s="540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10"/>
        <v xml:space="preserve">BRAND 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27" ht="17.25" customHeight="1">
      <c r="A33" s="28"/>
      <c r="B33" s="620"/>
      <c r="C33" s="483"/>
      <c r="D33" s="565"/>
      <c r="E33" s="566"/>
      <c r="F33" s="294"/>
      <c r="G33" s="294"/>
      <c r="H33" s="348"/>
      <c r="I33" s="29" t="s">
        <v>6</v>
      </c>
      <c r="J33" s="323">
        <f>AVERAGE(I10:I16)</f>
        <v>96.43540141067227</v>
      </c>
      <c r="K33" s="284">
        <f>COUNTA([30]Brewhouse!$A$789:$A$820)</f>
        <v>32</v>
      </c>
      <c r="L33" s="305">
        <f>AVERAGE([30]Brewhouse!$AU$789:$AU$820)</f>
        <v>97.19542619578651</v>
      </c>
      <c r="M33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$820)</f>
        <v>98.283559098193749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27" ht="15" customHeight="1">
      <c r="A34" s="28"/>
      <c r="B34" s="563"/>
      <c r="C34" s="362"/>
      <c r="D34" s="567"/>
      <c r="E34" s="568"/>
      <c r="F34" s="294"/>
      <c r="G34" s="294"/>
      <c r="H34" s="348"/>
      <c r="I34" s="33" t="s">
        <v>9</v>
      </c>
      <c r="J34" s="323"/>
      <c r="K34" s="284">
        <f>COUNTA([29]Brewhouse!$A$390:$A$405)</f>
        <v>16</v>
      </c>
      <c r="L34" s="302">
        <f>AVERAGE([29]Brewhouse!$AS$390:$AS$405)</f>
        <v>97.859147509759907</v>
      </c>
      <c r="M34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$405)</f>
        <v>98.292263066454069</v>
      </c>
      <c r="N34" s="30">
        <v>98</v>
      </c>
      <c r="O34" s="11"/>
      <c r="P34" s="31"/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27" ht="14.65" customHeight="1">
      <c r="A35" s="28"/>
      <c r="B35" s="563"/>
      <c r="C35" s="362"/>
      <c r="D35" s="616"/>
      <c r="E35" s="617"/>
      <c r="F35" s="294"/>
      <c r="G35" s="294"/>
      <c r="H35" s="348"/>
      <c r="I35" s="34" t="s">
        <v>12</v>
      </c>
      <c r="J35" s="323">
        <f>AVERAGE(I20:I27)</f>
        <v>97.365395087454402</v>
      </c>
      <c r="K35" s="284">
        <f>COUNTA([31]Brewhouse!$A$108:$A$115)</f>
        <v>8</v>
      </c>
      <c r="L35" s="302">
        <f>AVERAGE([31]Brewhouse!$AU$108:$AU$115)</f>
        <v>97.365395087454402</v>
      </c>
      <c r="M35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27" ht="14.65" customHeight="1">
      <c r="A36" s="28"/>
      <c r="B36" s="563"/>
      <c r="C36" s="362"/>
      <c r="D36" s="580"/>
      <c r="E36" s="568"/>
      <c r="F36" s="294"/>
      <c r="G36" s="294"/>
      <c r="H36" s="348"/>
      <c r="I36" s="22" t="s">
        <v>33</v>
      </c>
      <c r="J36" s="280"/>
      <c r="K36" s="284"/>
      <c r="L36" s="302"/>
      <c r="M36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</row>
    <row r="37" spans="1:27" ht="14.65" customHeight="1">
      <c r="A37" s="28"/>
      <c r="B37" s="563"/>
      <c r="C37" s="362"/>
      <c r="D37" s="616"/>
      <c r="E37" s="617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</row>
    <row r="38" spans="1:27" ht="14.65" customHeight="1">
      <c r="A38" s="28"/>
      <c r="B38" s="563"/>
      <c r="C38" s="362"/>
      <c r="D38" s="580"/>
      <c r="E38" s="568"/>
      <c r="F38" s="416"/>
      <c r="G38" s="294"/>
      <c r="H38" s="348"/>
      <c r="I38" s="36" t="s">
        <v>15</v>
      </c>
      <c r="J38" s="323"/>
      <c r="K38" s="284"/>
      <c r="L38" s="302"/>
      <c r="M38" s="302">
        <f>AVERAGE([33]Brewhouse!$AT$4:$AT$11,[33]Brewhouse!$AT$13:$AT$16,[33]Brewhouse!$AT$18:$AT$30)</f>
        <v>93.22262799886262</v>
      </c>
      <c r="N38" s="3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</row>
    <row r="39" spans="1:27" ht="14.65" customHeight="1">
      <c r="A39" s="28"/>
      <c r="B39" s="563"/>
      <c r="C39" s="362"/>
      <c r="D39" s="616"/>
      <c r="E39" s="617"/>
      <c r="F39" s="416"/>
      <c r="G39" s="294"/>
      <c r="H39" s="348"/>
      <c r="I39" s="37" t="s">
        <v>16</v>
      </c>
      <c r="J39" s="323"/>
      <c r="K39" s="284"/>
      <c r="L39" s="302"/>
      <c r="M39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39" s="30">
        <v>98</v>
      </c>
      <c r="O39" s="11"/>
      <c r="P39" s="31" t="s">
        <v>41</v>
      </c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</row>
    <row r="40" spans="1:27" ht="14.65" customHeight="1">
      <c r="A40" s="28"/>
      <c r="B40" s="563"/>
      <c r="C40" s="362"/>
      <c r="D40" s="580"/>
      <c r="E40" s="568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10"/>
        <v>0</v>
      </c>
      <c r="S40" s="471" t="e">
        <f t="shared" si="11"/>
        <v>#N/A</v>
      </c>
      <c r="T40" s="471" t="e">
        <f t="shared" si="12"/>
        <v>#N/A</v>
      </c>
      <c r="U40" s="297" t="e">
        <f t="shared" si="13"/>
        <v>#N/A</v>
      </c>
      <c r="V40" s="297" t="e">
        <f t="shared" si="14"/>
        <v>#N/A</v>
      </c>
      <c r="W40" s="297" t="e">
        <f t="shared" si="15"/>
        <v>#N/A</v>
      </c>
      <c r="X40" s="297" t="e">
        <f t="shared" si="16"/>
        <v>#N/A</v>
      </c>
      <c r="Y40" s="297" t="e">
        <f t="shared" si="17"/>
        <v>#N/A</v>
      </c>
      <c r="Z40" s="471" t="e">
        <f t="shared" si="18"/>
        <v>#N/A</v>
      </c>
    </row>
    <row r="41" spans="1:27" ht="14.65" customHeight="1">
      <c r="A41" s="28"/>
      <c r="B41" s="563"/>
      <c r="C41" s="362"/>
      <c r="D41" s="616"/>
      <c r="E41" s="617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1"/>
        <v>#N/A</v>
      </c>
      <c r="T41" s="471" t="e">
        <f t="shared" si="12"/>
        <v>#N/A</v>
      </c>
      <c r="U41" s="297" t="e">
        <f t="shared" si="13"/>
        <v>#N/A</v>
      </c>
      <c r="V41" s="297" t="e">
        <f t="shared" si="14"/>
        <v>#N/A</v>
      </c>
      <c r="W41" s="297" t="e">
        <f t="shared" si="15"/>
        <v>#N/A</v>
      </c>
      <c r="X41" s="297" t="e">
        <f t="shared" si="16"/>
        <v>#N/A</v>
      </c>
      <c r="Y41" s="297" t="e">
        <f t="shared" si="17"/>
        <v>#N/A</v>
      </c>
      <c r="Z41" s="471" t="e">
        <f t="shared" si="18"/>
        <v>#N/A</v>
      </c>
      <c r="AA41" s="471"/>
    </row>
    <row r="42" spans="1:27" ht="15" customHeight="1" thickBot="1">
      <c r="A42" s="28"/>
      <c r="B42" s="563"/>
      <c r="C42" s="362"/>
      <c r="D42" s="580"/>
      <c r="E42" s="568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10"/>
        <v>0</v>
      </c>
      <c r="S42" s="471" t="e">
        <f t="shared" si="11"/>
        <v>#N/A</v>
      </c>
      <c r="T42" s="471" t="e">
        <f t="shared" si="12"/>
        <v>#N/A</v>
      </c>
      <c r="U42" s="297" t="e">
        <f t="shared" si="13"/>
        <v>#N/A</v>
      </c>
      <c r="V42" s="297" t="e">
        <f t="shared" si="14"/>
        <v>#N/A</v>
      </c>
      <c r="W42" s="297" t="e">
        <f t="shared" si="15"/>
        <v>#N/A</v>
      </c>
      <c r="X42" s="297" t="e">
        <f t="shared" si="16"/>
        <v>#N/A</v>
      </c>
      <c r="Y42" s="297" t="e">
        <f t="shared" si="17"/>
        <v>#N/A</v>
      </c>
      <c r="Z42" s="471" t="e">
        <f t="shared" si="18"/>
        <v>#N/A</v>
      </c>
      <c r="AA42" s="471"/>
    </row>
    <row r="43" spans="1:27" ht="15" customHeight="1" thickBot="1">
      <c r="A43" s="28"/>
      <c r="B43" s="563"/>
      <c r="C43" s="349"/>
      <c r="D43" s="565"/>
      <c r="E43" s="566"/>
      <c r="F43" s="294"/>
      <c r="G43" s="294"/>
      <c r="H43" s="348"/>
      <c r="I43" s="1"/>
      <c r="J43" s="39"/>
      <c r="K43" s="403">
        <f>SUM(K33:K42)</f>
        <v>56</v>
      </c>
      <c r="L43" s="404">
        <f>((L33*K33)+(L34*K34)+(L35*K35)+(L36*K36)+(L37*K37)+(K40*L40)+(L38*K38)+(L39*K39)+(L42*K42))/(K43)</f>
        <v>97.409342127160031</v>
      </c>
      <c r="M43" s="404">
        <f>AVERAGE('[35]Jan30th-31st'!$L$42,'[36]Feb 27th-28th'!$L$45,'[37]Mar 31st'!$L$42,'[38]Apr 30th'!$L$41,'[39]May 29th '!$L$35,'[40]June 30th'!$L$32,[41]July31st!$L$36,'[42]Aug 31st'!$L$32,L43)</f>
        <v>97.911645009787449</v>
      </c>
      <c r="N43" s="40">
        <v>98</v>
      </c>
      <c r="O43" s="11"/>
      <c r="P43" s="31"/>
      <c r="R43" s="277">
        <f t="shared" si="10"/>
        <v>0</v>
      </c>
      <c r="S43" s="471" t="e">
        <f t="shared" si="11"/>
        <v>#N/A</v>
      </c>
      <c r="T43" s="471" t="e">
        <f t="shared" si="12"/>
        <v>#N/A</v>
      </c>
      <c r="U43" s="297" t="e">
        <f t="shared" si="13"/>
        <v>#N/A</v>
      </c>
      <c r="V43" s="297" t="e">
        <f t="shared" si="14"/>
        <v>#N/A</v>
      </c>
      <c r="W43" s="297" t="e">
        <f t="shared" si="15"/>
        <v>#N/A</v>
      </c>
      <c r="X43" s="297" t="e">
        <f t="shared" si="16"/>
        <v>#N/A</v>
      </c>
      <c r="Y43" s="297" t="e">
        <f t="shared" si="17"/>
        <v>#N/A</v>
      </c>
      <c r="Z43" s="471" t="e">
        <f t="shared" si="18"/>
        <v>#N/A</v>
      </c>
      <c r="AA43" s="471"/>
    </row>
    <row r="44" spans="1:27" ht="15.75" thickBot="1">
      <c r="B44" s="621"/>
      <c r="C44" s="350"/>
      <c r="D44" s="567"/>
      <c r="E44" s="568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10"/>
        <v>0</v>
      </c>
      <c r="S44" s="471" t="e">
        <f t="shared" si="11"/>
        <v>#N/A</v>
      </c>
      <c r="T44" s="471" t="e">
        <f t="shared" si="12"/>
        <v>#N/A</v>
      </c>
      <c r="U44" s="297" t="e">
        <f t="shared" si="13"/>
        <v>#N/A</v>
      </c>
      <c r="V44" s="297" t="e">
        <f t="shared" si="14"/>
        <v>#N/A</v>
      </c>
      <c r="W44" s="297" t="e">
        <f t="shared" si="15"/>
        <v>#N/A</v>
      </c>
      <c r="X44" s="297" t="e">
        <f t="shared" si="16"/>
        <v>#N/A</v>
      </c>
      <c r="Y44" s="297" t="e">
        <f t="shared" si="17"/>
        <v>#N/A</v>
      </c>
      <c r="Z44" s="471" t="e">
        <f t="shared" si="18"/>
        <v>#N/A</v>
      </c>
      <c r="AA44" s="471"/>
    </row>
    <row r="45" spans="1:27" ht="15.75" thickBot="1">
      <c r="B45" s="612"/>
      <c r="C45" s="362"/>
      <c r="D45" s="565"/>
      <c r="E45" s="566"/>
      <c r="F45" s="294"/>
      <c r="G45" s="42"/>
      <c r="H45" s="41"/>
      <c r="I45" s="42"/>
      <c r="J45" s="615" t="s">
        <v>129</v>
      </c>
      <c r="K45" s="615"/>
      <c r="L45" s="294"/>
      <c r="M45" s="294"/>
      <c r="N45" s="294"/>
      <c r="O45" s="294"/>
      <c r="P45" s="12"/>
    </row>
    <row r="46" spans="1:27" ht="15.75" thickBot="1">
      <c r="B46" s="613"/>
      <c r="C46" s="362"/>
      <c r="D46" s="567"/>
      <c r="E46" s="568"/>
      <c r="F46" s="294"/>
      <c r="G46" s="42"/>
      <c r="H46" s="42"/>
      <c r="I46" s="292" t="s">
        <v>17</v>
      </c>
      <c r="J46" s="293" t="s">
        <v>177</v>
      </c>
      <c r="K46" s="293" t="s">
        <v>178</v>
      </c>
      <c r="L46" s="582" t="s">
        <v>136</v>
      </c>
      <c r="M46" s="582"/>
      <c r="N46" s="583"/>
      <c r="O46" s="294"/>
      <c r="P46" s="12"/>
    </row>
    <row r="47" spans="1:27" ht="15" customHeight="1" thickBot="1">
      <c r="B47" s="613"/>
      <c r="C47" s="349"/>
      <c r="D47" s="616"/>
      <c r="E47" s="617"/>
      <c r="F47" s="294"/>
      <c r="G47" s="42"/>
      <c r="H47" s="42"/>
      <c r="I47" s="287" t="s">
        <v>6</v>
      </c>
      <c r="J47" s="324">
        <v>7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613"/>
      <c r="C48" s="349"/>
      <c r="D48" s="580"/>
      <c r="E48" s="568"/>
      <c r="F48" s="294"/>
      <c r="G48" s="42"/>
      <c r="H48" s="42"/>
      <c r="I48" s="345" t="s">
        <v>9</v>
      </c>
      <c r="J48" s="324"/>
      <c r="K48" s="324"/>
      <c r="L48" s="484">
        <f>AVERAGE('Oct 1st'!K52,'Oct 2nd'!K44,'Oct 5th'!K51,'Oct 6th'!K58,'Oct 7th'!K47,'Oct 8th '!K46,'Oct 9th-10th'!J57,K57)</f>
        <v>7</v>
      </c>
      <c r="M48" s="485">
        <f>AVERAGE('[35]Jan30th-31st'!$L$47,L48,'[36]Feb 26th '!$L$39,'[37]Mar 31st'!$L$47,'[38]Apr 30th'!$L$46,'[39]May 29th '!$L$40,'[40]June 30th'!$L$39,[41]July31st!$L$41,'[42]Aug 31st'!$L$37,'[43]Sept 30th'!$L$37)</f>
        <v>6.5735341470124071</v>
      </c>
      <c r="N48" s="415">
        <v>9.1999999999999993</v>
      </c>
      <c r="O48" s="294"/>
      <c r="P48" s="12"/>
    </row>
    <row r="49" spans="2:57" ht="15" customHeight="1">
      <c r="B49" s="613"/>
      <c r="C49" s="349"/>
      <c r="D49" s="616"/>
      <c r="E49" s="617"/>
      <c r="F49" s="294"/>
      <c r="G49" s="42"/>
      <c r="H49" s="42"/>
      <c r="I49" s="288" t="s">
        <v>40</v>
      </c>
      <c r="J49" s="324"/>
      <c r="K49" s="324">
        <v>8</v>
      </c>
      <c r="L49" s="294"/>
      <c r="M49" s="294"/>
      <c r="N49" s="294"/>
      <c r="O49" s="294"/>
      <c r="P49" s="12"/>
    </row>
    <row r="50" spans="2:57" ht="15" customHeight="1">
      <c r="B50" s="613"/>
      <c r="C50" s="349"/>
      <c r="D50" s="580"/>
      <c r="E50" s="568"/>
      <c r="F50" s="294"/>
      <c r="G50" s="42"/>
      <c r="H50" s="42"/>
      <c r="I50" s="289" t="s">
        <v>33</v>
      </c>
      <c r="J50" s="324"/>
      <c r="K50" s="324"/>
      <c r="L50" s="294"/>
      <c r="M50" s="294"/>
      <c r="N50" s="294"/>
      <c r="O50" s="294"/>
      <c r="P50" s="12"/>
    </row>
    <row r="51" spans="2:57" ht="15">
      <c r="B51" s="613"/>
      <c r="C51" s="349"/>
      <c r="D51" s="616"/>
      <c r="E51" s="617"/>
      <c r="F51" s="294"/>
      <c r="G51" s="42"/>
      <c r="H51" s="42"/>
      <c r="I51" s="290" t="s">
        <v>16</v>
      </c>
      <c r="J51" s="324"/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613"/>
      <c r="C52" s="349"/>
      <c r="D52" s="580"/>
      <c r="E52" s="568"/>
      <c r="F52" s="294"/>
      <c r="G52" s="42"/>
      <c r="H52" s="42"/>
      <c r="I52" s="291" t="s">
        <v>15</v>
      </c>
      <c r="J52" s="324"/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613"/>
      <c r="C53" s="349"/>
      <c r="D53" s="616"/>
      <c r="E53" s="617"/>
      <c r="F53" s="294"/>
      <c r="G53" s="42"/>
      <c r="H53" s="42"/>
      <c r="I53" s="291" t="s">
        <v>149</v>
      </c>
      <c r="J53" s="324"/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614"/>
      <c r="C54" s="350"/>
      <c r="D54" s="618"/>
      <c r="E54" s="619"/>
      <c r="F54" s="294" t="s">
        <v>165</v>
      </c>
      <c r="G54" s="42"/>
      <c r="H54" s="42"/>
      <c r="I54" s="291" t="s">
        <v>148</v>
      </c>
      <c r="J54" s="324"/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610"/>
      <c r="E55" s="611"/>
      <c r="F55" s="294"/>
      <c r="I55" s="295" t="s">
        <v>134</v>
      </c>
      <c r="J55" s="324"/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295" t="s">
        <v>131</v>
      </c>
      <c r="J56" s="324"/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346" t="s">
        <v>130</v>
      </c>
      <c r="J57" s="324">
        <f>SUM(J47:J56)</f>
        <v>7</v>
      </c>
      <c r="K57" s="324">
        <f>SUM(K47:K56)</f>
        <v>8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90" t="s">
        <v>17</v>
      </c>
      <c r="C60" s="590" t="s">
        <v>44</v>
      </c>
      <c r="D60" s="592" t="s">
        <v>45</v>
      </c>
      <c r="E60" s="547" t="s">
        <v>46</v>
      </c>
      <c r="F60" s="607" t="s">
        <v>47</v>
      </c>
      <c r="G60" s="601" t="s">
        <v>48</v>
      </c>
      <c r="H60" s="590" t="s">
        <v>49</v>
      </c>
      <c r="I60" s="590" t="s">
        <v>50</v>
      </c>
      <c r="J60" s="595" t="s">
        <v>28</v>
      </c>
      <c r="K60" s="545" t="s">
        <v>51</v>
      </c>
      <c r="L60" s="557" t="s">
        <v>52</v>
      </c>
      <c r="M60" s="595" t="s">
        <v>53</v>
      </c>
      <c r="N60" s="13"/>
      <c r="O60" s="13"/>
      <c r="P60" s="50"/>
    </row>
    <row r="61" spans="2:57" ht="28.5" customHeight="1" thickTop="1" thickBot="1">
      <c r="B61" s="609"/>
      <c r="C61" s="591"/>
      <c r="D61" s="593"/>
      <c r="E61" s="594"/>
      <c r="F61" s="608"/>
      <c r="G61" s="602"/>
      <c r="H61" s="609"/>
      <c r="I61" s="609"/>
      <c r="J61" s="596"/>
      <c r="K61" s="605"/>
      <c r="L61" s="606"/>
      <c r="M61" s="596"/>
      <c r="N61" s="13"/>
      <c r="O61" s="13"/>
      <c r="P61" s="50"/>
      <c r="Q61" s="355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customHeight="1" thickBot="1">
      <c r="B62" s="489" t="str">
        <f>I34</f>
        <v>STAG</v>
      </c>
      <c r="C62" s="478">
        <v>46304</v>
      </c>
      <c r="D62" s="444">
        <f>[8]October_2026!$L$13</f>
        <v>101.1</v>
      </c>
      <c r="E62" s="442"/>
      <c r="F62" s="443"/>
      <c r="G62" s="443">
        <f>[8]October_2026!$L$17</f>
        <v>95.2</v>
      </c>
      <c r="H62" s="457"/>
      <c r="I62" s="457"/>
      <c r="J62" s="447" t="s">
        <v>150</v>
      </c>
      <c r="K62" s="448">
        <f>[9]October_2026!$L$25</f>
        <v>0.33403508771929824</v>
      </c>
      <c r="L62" s="456">
        <f>(((D62+E62)-G62)/(D62+E62))*100</f>
        <v>5.8358061325420296</v>
      </c>
      <c r="M62" s="454" t="s">
        <v>172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[27]January_2019!L5</f>
        <v>0</v>
      </c>
      <c r="AC62" s="57">
        <f>[27]January_2019!M5</f>
        <v>0</v>
      </c>
      <c r="AD62" s="57">
        <f>[27]January_2019!N5</f>
        <v>0</v>
      </c>
      <c r="AE62" s="57">
        <f>[27]January_2019!O5</f>
        <v>0</v>
      </c>
      <c r="AF62" s="57">
        <f>[27]January_2019!P5</f>
        <v>0</v>
      </c>
      <c r="AG62" s="57">
        <f>[27]January_2019!Q5</f>
        <v>0</v>
      </c>
      <c r="AH62" s="57">
        <f>[27]January_2019!R5</f>
        <v>0</v>
      </c>
      <c r="AI62" s="57">
        <f>[27]January_2019!S5</f>
        <v>0</v>
      </c>
      <c r="AJ62" s="57">
        <f>[27]January_2019!T5</f>
        <v>0</v>
      </c>
      <c r="AK62" s="57">
        <f>[27]January_2019!U5</f>
        <v>0</v>
      </c>
      <c r="AL62" s="57">
        <f>[27]January_2019!V5</f>
        <v>0</v>
      </c>
      <c r="AM62" s="57">
        <f>[27]January_2019!W5</f>
        <v>0</v>
      </c>
      <c r="AN62" s="57">
        <f>[27]January_2019!X5</f>
        <v>0</v>
      </c>
      <c r="AO62" s="57">
        <f>[27]January_2019!Y5</f>
        <v>0</v>
      </c>
      <c r="AP62" s="57">
        <f>[27]January_2019!Z5</f>
        <v>0</v>
      </c>
      <c r="AQ62" s="57">
        <f>[27]January_2019!AA5</f>
        <v>0</v>
      </c>
      <c r="AR62" s="57">
        <f>[27]January_2019!AB5</f>
        <v>0</v>
      </c>
      <c r="AS62" s="57">
        <f>[27]January_2019!AC5</f>
        <v>0</v>
      </c>
      <c r="AT62" s="57">
        <f>[27]January_2019!AD5</f>
        <v>0</v>
      </c>
      <c r="AU62" s="57">
        <f>[27]January_2019!AE5</f>
        <v>0</v>
      </c>
      <c r="AV62" s="57">
        <f>[27]January_2019!AF5</f>
        <v>0</v>
      </c>
      <c r="AW62" s="57">
        <f>[27]January_2019!AG5</f>
        <v>0</v>
      </c>
      <c r="AX62" s="277">
        <f>[27]January_2019!AH5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hidden="1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[27]January_2019!L6</f>
        <v>0</v>
      </c>
      <c r="AC63" s="57">
        <f>[27]January_2019!M6</f>
        <v>0</v>
      </c>
      <c r="AD63" s="57">
        <f>[27]January_2019!N6</f>
        <v>0</v>
      </c>
      <c r="AE63" s="57">
        <f>[27]January_2019!O6</f>
        <v>0</v>
      </c>
      <c r="AF63" s="57">
        <f>[27]January_2019!P6</f>
        <v>0</v>
      </c>
      <c r="AG63" s="57">
        <f>[27]January_2019!Q6</f>
        <v>0</v>
      </c>
      <c r="AH63" s="57">
        <f>[27]January_2019!R6</f>
        <v>0</v>
      </c>
      <c r="AI63" s="57">
        <f>[27]January_2019!S6</f>
        <v>0</v>
      </c>
      <c r="AJ63" s="57">
        <f>[27]January_2019!T6</f>
        <v>0</v>
      </c>
      <c r="AK63" s="57">
        <f>[27]January_2019!U6</f>
        <v>0</v>
      </c>
      <c r="AL63" s="57">
        <f>[27]January_2019!V6</f>
        <v>0</v>
      </c>
      <c r="AM63" s="57">
        <f>[27]January_2019!W6</f>
        <v>0</v>
      </c>
      <c r="AN63" s="57">
        <f>[27]January_2019!X6</f>
        <v>0</v>
      </c>
      <c r="AO63" s="57">
        <f>[27]January_2019!Y6</f>
        <v>0</v>
      </c>
      <c r="AP63" s="57">
        <f>[27]January_2019!Z6</f>
        <v>0</v>
      </c>
      <c r="AQ63" s="57">
        <f>[27]January_2019!AA6</f>
        <v>0</v>
      </c>
      <c r="AR63" s="57">
        <f>[27]January_2019!AB6</f>
        <v>0</v>
      </c>
      <c r="AS63" s="57">
        <f>[27]January_2019!AC6</f>
        <v>0</v>
      </c>
      <c r="AT63" s="57">
        <f>[27]January_2019!AD6</f>
        <v>0</v>
      </c>
      <c r="AU63" s="57">
        <f>[27]January_2019!AE6</f>
        <v>0</v>
      </c>
      <c r="AV63" s="57">
        <f>[27]January_2019!AF6</f>
        <v>0</v>
      </c>
      <c r="AW63" s="57">
        <f>[27]January_2019!AG6</f>
        <v>0</v>
      </c>
      <c r="AX63" s="277">
        <f>[27]January_2019!AH6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 thickBot="1">
      <c r="B64" s="489">
        <f>J48</f>
        <v>0</v>
      </c>
      <c r="C64" s="478">
        <v>46303</v>
      </c>
      <c r="D64" s="441">
        <f>[8]October_2026!$K$13</f>
        <v>292</v>
      </c>
      <c r="E64" s="442"/>
      <c r="F64" s="443"/>
      <c r="G64" s="443">
        <f>[8]October_2026!$K$17</f>
        <v>278</v>
      </c>
      <c r="H64" s="445"/>
      <c r="I64" s="445"/>
      <c r="J64" s="447" t="s">
        <v>150</v>
      </c>
      <c r="K64" s="448">
        <f>[9]October_2026!$K$25</f>
        <v>0.9754385964912281</v>
      </c>
      <c r="L64" s="456">
        <f>(((D64+E64)-G64)/(D64+E64))*100</f>
        <v>4.7945205479452051</v>
      </c>
      <c r="M64" s="454" t="s">
        <v>176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[27]January_2019!L7</f>
        <v>285.8</v>
      </c>
      <c r="AC64" s="57">
        <f>[27]January_2019!M7</f>
        <v>508.1</v>
      </c>
      <c r="AD64" s="57">
        <f>[27]January_2019!N7</f>
        <v>0</v>
      </c>
      <c r="AE64" s="57">
        <f>[27]January_2019!O7</f>
        <v>0</v>
      </c>
      <c r="AF64" s="57">
        <f>[27]January_2019!P7</f>
        <v>109.56666666666666</v>
      </c>
      <c r="AG64" s="57">
        <f>[27]January_2019!Q7</f>
        <v>297.64999999999998</v>
      </c>
      <c r="AH64" s="57">
        <f>[27]January_2019!R7</f>
        <v>122.3</v>
      </c>
      <c r="AI64" s="57">
        <f>[27]January_2019!S7</f>
        <v>0</v>
      </c>
      <c r="AJ64" s="57">
        <f>[27]January_2019!T7</f>
        <v>294.7</v>
      </c>
      <c r="AK64" s="57">
        <f>[27]January_2019!U7</f>
        <v>280.5</v>
      </c>
      <c r="AL64" s="57">
        <f>[27]January_2019!V7</f>
        <v>0</v>
      </c>
      <c r="AM64" s="57">
        <f>[27]January_2019!W7</f>
        <v>0</v>
      </c>
      <c r="AN64" s="57">
        <f>[27]January_2019!X7</f>
        <v>188.25</v>
      </c>
      <c r="AO64" s="57">
        <f>[27]January_2019!Y7</f>
        <v>295.7</v>
      </c>
      <c r="AP64" s="57">
        <f>[27]January_2019!Z7</f>
        <v>257.8</v>
      </c>
      <c r="AQ64" s="57">
        <f>[27]January_2019!AA7</f>
        <v>291.2</v>
      </c>
      <c r="AR64" s="57">
        <f>[27]January_2019!AB7</f>
        <v>187</v>
      </c>
      <c r="AS64" s="57">
        <f>[27]January_2019!AC7</f>
        <v>0</v>
      </c>
      <c r="AT64" s="57">
        <f>[27]January_2019!AD7</f>
        <v>0</v>
      </c>
      <c r="AU64" s="57">
        <f>[27]January_2019!AE7</f>
        <v>485.1</v>
      </c>
      <c r="AV64" s="57">
        <f>[27]January_2019!AF7</f>
        <v>171.55</v>
      </c>
      <c r="AW64" s="57">
        <f>[27]January_2019!AG7</f>
        <v>423.8</v>
      </c>
      <c r="AX64" s="277">
        <f>[27]January_2019!AH7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" hidden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21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14"/>
      <c r="AC69" s="414"/>
      <c r="AD69" s="414"/>
      <c r="AE69" s="414"/>
      <c r="AF69" s="414"/>
      <c r="AG69" s="414"/>
      <c r="AH69" s="414"/>
      <c r="AI69" s="414"/>
      <c r="AJ69" s="414"/>
      <c r="AK69" s="414"/>
      <c r="AL69" s="414"/>
      <c r="AM69" s="414"/>
      <c r="AN69" s="414"/>
      <c r="AO69" s="414"/>
      <c r="AP69" s="414"/>
      <c r="AQ69" s="414"/>
      <c r="AR69" s="414"/>
      <c r="AS69" s="414"/>
      <c r="AT69" s="414"/>
      <c r="AU69" s="414"/>
      <c r="AV69" s="414"/>
      <c r="AW69" s="414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hidden="1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597" t="s">
        <v>55</v>
      </c>
      <c r="C73" s="598"/>
      <c r="D73" s="598"/>
      <c r="E73" s="598"/>
      <c r="F73" s="599"/>
      <c r="G73" s="597" t="s">
        <v>56</v>
      </c>
      <c r="H73" s="598"/>
      <c r="I73" s="598"/>
      <c r="J73" s="599"/>
      <c r="K73" s="597" t="s">
        <v>51</v>
      </c>
      <c r="L73" s="598"/>
      <c r="M73" s="598"/>
      <c r="N73" s="600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4.8715736377513839</v>
      </c>
      <c r="E75" s="76">
        <v>6.3670919619142783</v>
      </c>
      <c r="F75" s="66">
        <v>4.8</v>
      </c>
      <c r="G75" s="65"/>
      <c r="H75" s="476">
        <v>5.5174131398167194</v>
      </c>
      <c r="I75" s="476">
        <v>6.4839783214202455</v>
      </c>
      <c r="J75" s="66">
        <v>4.8</v>
      </c>
      <c r="K75" s="67"/>
      <c r="L75" s="194">
        <v>0.78289473684210531</v>
      </c>
      <c r="M75" s="194">
        <v>0.55230551648688719</v>
      </c>
      <c r="N75" s="68">
        <v>1</v>
      </c>
      <c r="O75" s="56"/>
      <c r="P75" s="69"/>
    </row>
    <row r="76" spans="2:57" ht="15">
      <c r="B76" s="33" t="s">
        <v>9</v>
      </c>
      <c r="C76" s="65">
        <f>L62</f>
        <v>5.8358061325420296</v>
      </c>
      <c r="D76" s="76">
        <v>5.062325108114992</v>
      </c>
      <c r="E76" s="76">
        <v>6.0120934601385283</v>
      </c>
      <c r="F76" s="66">
        <v>4.8</v>
      </c>
      <c r="G76" s="65">
        <f>[8]October_2026!$L$21</f>
        <v>6.6677789297645509</v>
      </c>
      <c r="H76" s="76">
        <v>5.6760230336831157</v>
      </c>
      <c r="I76" s="76">
        <v>5.9217471497494181</v>
      </c>
      <c r="J76" s="66">
        <v>4.8</v>
      </c>
      <c r="K76" s="67">
        <f>K62</f>
        <v>0.33403508771929824</v>
      </c>
      <c r="L76" s="194">
        <v>0.65473684210526317</v>
      </c>
      <c r="M76" s="194">
        <v>0.68123957181115813</v>
      </c>
      <c r="N76" s="68">
        <v>1</v>
      </c>
      <c r="P76" s="69"/>
    </row>
    <row r="77" spans="2:57" ht="15">
      <c r="B77" s="34" t="s">
        <v>40</v>
      </c>
      <c r="C77" s="65"/>
      <c r="D77" s="76"/>
      <c r="E77" s="76">
        <v>10.890214570112384</v>
      </c>
      <c r="F77" s="66">
        <v>5.5</v>
      </c>
      <c r="G77" s="65"/>
      <c r="H77" s="76"/>
      <c r="I77" s="76">
        <v>11.797659278069149</v>
      </c>
      <c r="J77" s="66">
        <v>5.5</v>
      </c>
      <c r="K77" s="67"/>
      <c r="L77" s="194"/>
      <c r="M77" s="194">
        <v>0.35370190356844494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4.0562064167659644</v>
      </c>
      <c r="I78" s="76">
        <v>4.7835858167498584</v>
      </c>
      <c r="J78" s="66">
        <v>3.3</v>
      </c>
      <c r="K78" s="67"/>
      <c r="L78" s="194">
        <v>1.3649122807017544</v>
      </c>
      <c r="M78" s="194">
        <v>0.83244019138755987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/>
      <c r="E81" s="76">
        <v>3.9973372218347856</v>
      </c>
      <c r="F81" s="66">
        <v>3.3</v>
      </c>
      <c r="G81" s="282"/>
      <c r="H81" s="76"/>
      <c r="I81" s="76">
        <v>5.1096183510504902</v>
      </c>
      <c r="J81" s="66">
        <v>3.3</v>
      </c>
      <c r="K81" s="67"/>
      <c r="L81" s="194"/>
      <c r="M81" s="194">
        <v>0.89057130004498408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4.5123409807545745</v>
      </c>
      <c r="E84" s="76">
        <v>6.2979208197735534</v>
      </c>
      <c r="F84" s="341">
        <v>5.5</v>
      </c>
      <c r="H84" s="76">
        <v>5.2060653792993694</v>
      </c>
      <c r="I84" s="76">
        <v>6.6038486315151728</v>
      </c>
      <c r="J84" s="341">
        <v>5.5</v>
      </c>
      <c r="L84" s="194">
        <v>0.81908382066276797</v>
      </c>
      <c r="M84" s="194">
        <v>0.6057128583457968</v>
      </c>
      <c r="N84" s="386">
        <v>1</v>
      </c>
    </row>
  </sheetData>
  <mergeCells count="51"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F60:F61"/>
    <mergeCell ref="D55:E55"/>
    <mergeCell ref="B60:B61"/>
    <mergeCell ref="C60:C61"/>
    <mergeCell ref="D60:D61"/>
    <mergeCell ref="E60:E61"/>
    <mergeCell ref="B45:B54"/>
    <mergeCell ref="D45:E46"/>
    <mergeCell ref="J45:K45"/>
    <mergeCell ref="L46:N46"/>
    <mergeCell ref="D47:E48"/>
    <mergeCell ref="D49:E50"/>
    <mergeCell ref="D51:E52"/>
    <mergeCell ref="D53:E54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5:B56">
    <cfRule type="cellIs" dxfId="1344" priority="115" operator="notBetween">
      <formula>#REF!</formula>
      <formula>#REF!</formula>
    </cfRule>
  </conditionalFormatting>
  <conditionalFormatting sqref="C59">
    <cfRule type="cellIs" dxfId="1343" priority="198" stopIfTrue="1" operator="greaterThan">
      <formula>100</formula>
    </cfRule>
    <cfRule type="cellIs" dxfId="1342" priority="197" stopIfTrue="1" operator="lessThan">
      <formula>96</formula>
    </cfRule>
  </conditionalFormatting>
  <conditionalFormatting sqref="C75:C76">
    <cfRule type="cellIs" dxfId="1341" priority="79" stopIfTrue="1" operator="lessThanOrEqual">
      <formula>0</formula>
    </cfRule>
    <cfRule type="cellIs" dxfId="1340" priority="78" stopIfTrue="1" operator="greaterThan">
      <formula>$F75</formula>
    </cfRule>
    <cfRule type="cellIs" dxfId="1339" priority="80" stopIfTrue="1" operator="greaterThan">
      <formula>$F75</formula>
    </cfRule>
    <cfRule type="cellIs" dxfId="1338" priority="81" stopIfTrue="1" operator="lessThanOrEqual">
      <formula>0</formula>
    </cfRule>
  </conditionalFormatting>
  <conditionalFormatting sqref="C77:C79 C81:C83">
    <cfRule type="cellIs" dxfId="1337" priority="87" stopIfTrue="1" operator="greaterThan">
      <formula>$F80</formula>
    </cfRule>
  </conditionalFormatting>
  <conditionalFormatting sqref="C77:C79">
    <cfRule type="cellIs" dxfId="1336" priority="88" stopIfTrue="1" operator="lessThanOrEqual">
      <formula>0</formula>
    </cfRule>
  </conditionalFormatting>
  <conditionalFormatting sqref="C80">
    <cfRule type="cellIs" dxfId="1335" priority="202" stopIfTrue="1" operator="lessThanOrEqual">
      <formula>0</formula>
    </cfRule>
    <cfRule type="cellIs" dxfId="1334" priority="201" stopIfTrue="1" operator="greaterThan">
      <formula>$F75</formula>
    </cfRule>
    <cfRule type="cellIs" dxfId="1333" priority="200" stopIfTrue="1" operator="lessThanOrEqual">
      <formula>0</formula>
    </cfRule>
    <cfRule type="cellIs" dxfId="1332" priority="199" stopIfTrue="1" operator="greaterThan">
      <formula>$F75</formula>
    </cfRule>
  </conditionalFormatting>
  <conditionalFormatting sqref="C81:C83">
    <cfRule type="cellIs" dxfId="1331" priority="89" stopIfTrue="1" operator="lessThanOrEqual">
      <formula>0</formula>
    </cfRule>
  </conditionalFormatting>
  <conditionalFormatting sqref="C86:C90">
    <cfRule type="cellIs" dxfId="1330" priority="189" stopIfTrue="1" operator="lessThanOrEqual">
      <formula>0</formula>
    </cfRule>
  </conditionalFormatting>
  <conditionalFormatting sqref="C87:C90">
    <cfRule type="cellIs" dxfId="1329" priority="188" stopIfTrue="1" operator="greaterThan">
      <formula>$F$86</formula>
    </cfRule>
  </conditionalFormatting>
  <conditionalFormatting sqref="C92">
    <cfRule type="cellIs" dxfId="1328" priority="190" stopIfTrue="1" operator="greaterThan">
      <formula>$F$86</formula>
    </cfRule>
    <cfRule type="cellIs" dxfId="1327" priority="191" stopIfTrue="1" operator="lessThanOrEqual">
      <formula>0</formula>
    </cfRule>
  </conditionalFormatting>
  <conditionalFormatting sqref="C80:D80">
    <cfRule type="cellIs" dxfId="1326" priority="77" stopIfTrue="1" operator="lessThanOrEqual">
      <formula>0</formula>
    </cfRule>
    <cfRule type="cellIs" dxfId="1325" priority="76" stopIfTrue="1" operator="greaterThan">
      <formula>$J80</formula>
    </cfRule>
  </conditionalFormatting>
  <conditionalFormatting sqref="C86:D86 D88:D94">
    <cfRule type="cellIs" dxfId="1324" priority="183" stopIfTrue="1" operator="greaterThan">
      <formula>4.5</formula>
    </cfRule>
  </conditionalFormatting>
  <conditionalFormatting sqref="D55:D56">
    <cfRule type="cellIs" dxfId="1323" priority="116" operator="notBetween">
      <formula>#REF!</formula>
      <formula>#REF!</formula>
    </cfRule>
  </conditionalFormatting>
  <conditionalFormatting sqref="D75:D79 D81:D82">
    <cfRule type="cellIs" dxfId="1322" priority="86" stopIfTrue="1" operator="lessThanOrEqual">
      <formula>0</formula>
    </cfRule>
  </conditionalFormatting>
  <conditionalFormatting sqref="D75:D79 D81:D84">
    <cfRule type="cellIs" dxfId="1321" priority="83" stopIfTrue="1" operator="greaterThan">
      <formula>$F75</formula>
    </cfRule>
    <cfRule type="cellIs" dxfId="1320" priority="82" stopIfTrue="1" operator="lessThanOrEqual">
      <formula>0</formula>
    </cfRule>
  </conditionalFormatting>
  <conditionalFormatting sqref="D83:D84">
    <cfRule type="cellIs" dxfId="1319" priority="84" stopIfTrue="1" operator="lessThanOrEqual">
      <formula>0</formula>
    </cfRule>
  </conditionalFormatting>
  <conditionalFormatting sqref="D84">
    <cfRule type="cellIs" dxfId="1318" priority="85" stopIfTrue="1" operator="lessThanOrEqual">
      <formula>0</formula>
    </cfRule>
  </conditionalFormatting>
  <conditionalFormatting sqref="D86 D88:D94">
    <cfRule type="cellIs" dxfId="1317" priority="184" stopIfTrue="1" operator="lessThanOrEqual">
      <formula>0</formula>
    </cfRule>
  </conditionalFormatting>
  <conditionalFormatting sqref="D87">
    <cfRule type="cellIs" dxfId="1316" priority="176" stopIfTrue="1" operator="lessThanOrEqual">
      <formula>0</formula>
    </cfRule>
    <cfRule type="cellIs" dxfId="1315" priority="175" stopIfTrue="1" operator="greaterThan">
      <formula>$F$86</formula>
    </cfRule>
  </conditionalFormatting>
  <conditionalFormatting sqref="E10:E30">
    <cfRule type="cellIs" dxfId="1314" priority="7" operator="lessThan">
      <formula>48</formula>
    </cfRule>
  </conditionalFormatting>
  <conditionalFormatting sqref="E58 E59:F59">
    <cfRule type="cellIs" dxfId="1313" priority="180" stopIfTrue="1" operator="greaterThan">
      <formula>100</formula>
    </cfRule>
  </conditionalFormatting>
  <conditionalFormatting sqref="E59">
    <cfRule type="cellIs" dxfId="1312" priority="178" stopIfTrue="1" operator="greaterThan">
      <formula>100</formula>
    </cfRule>
    <cfRule type="cellIs" dxfId="1311" priority="177" stopIfTrue="1" operator="lessThan">
      <formula>96.8</formula>
    </cfRule>
  </conditionalFormatting>
  <conditionalFormatting sqref="E75:E83">
    <cfRule type="cellIs" dxfId="1310" priority="49" stopIfTrue="1" operator="lessThanOrEqual">
      <formula>0</formula>
    </cfRule>
  </conditionalFormatting>
  <conditionalFormatting sqref="E75:E84">
    <cfRule type="cellIs" dxfId="1309" priority="50" stopIfTrue="1" operator="greaterThan">
      <formula>$F75</formula>
    </cfRule>
    <cfRule type="cellIs" dxfId="1308" priority="51" stopIfTrue="1" operator="lessThanOrEqual">
      <formula>0</formula>
    </cfRule>
  </conditionalFormatting>
  <conditionalFormatting sqref="E84">
    <cfRule type="cellIs" dxfId="1307" priority="52" stopIfTrue="1" operator="lessThanOrEqual">
      <formula>0</formula>
    </cfRule>
  </conditionalFormatting>
  <conditionalFormatting sqref="E86:E94">
    <cfRule type="cellIs" dxfId="1306" priority="170" stopIfTrue="1" operator="lessThanOrEqual">
      <formula>0</formula>
    </cfRule>
    <cfRule type="cellIs" dxfId="1305" priority="169" stopIfTrue="1" operator="greaterThan">
      <formula>4.5</formula>
    </cfRule>
  </conditionalFormatting>
  <conditionalFormatting sqref="E59:F59 E58">
    <cfRule type="cellIs" dxfId="1304" priority="179" stopIfTrue="1" operator="lessThan">
      <formula>96.5</formula>
    </cfRule>
  </conditionalFormatting>
  <conditionalFormatting sqref="F10:F30">
    <cfRule type="cellIs" dxfId="1303" priority="8" operator="greaterThan">
      <formula>60</formula>
    </cfRule>
  </conditionalFormatting>
  <conditionalFormatting sqref="F59">
    <cfRule type="cellIs" dxfId="1302" priority="195" stopIfTrue="1" operator="lessThan">
      <formula>96.8</formula>
    </cfRule>
    <cfRule type="cellIs" dxfId="1301" priority="196" stopIfTrue="1" operator="greaterThan">
      <formula>100</formula>
    </cfRule>
  </conditionalFormatting>
  <conditionalFormatting sqref="G20:G30">
    <cfRule type="expression" dxfId="1300" priority="10">
      <formula>IF(+(IF(G20&lt;S20,0,IF(G20&gt;T20,0,1)))=0,1)</formula>
    </cfRule>
  </conditionalFormatting>
  <conditionalFormatting sqref="G75:G78 F84">
    <cfRule type="cellIs" dxfId="1299" priority="58" stopIfTrue="1" operator="greaterThan">
      <formula>$F75</formula>
    </cfRule>
    <cfRule type="cellIs" dxfId="1298" priority="59" stopIfTrue="1" operator="lessThanOrEqual">
      <formula>0</formula>
    </cfRule>
  </conditionalFormatting>
  <conditionalFormatting sqref="G77:G78">
    <cfRule type="cellIs" dxfId="1297" priority="44" stopIfTrue="1" operator="greaterThan">
      <formula>$F77</formula>
    </cfRule>
    <cfRule type="cellIs" dxfId="1296" priority="45" stopIfTrue="1" operator="lessThanOrEqual">
      <formula>0</formula>
    </cfRule>
  </conditionalFormatting>
  <conditionalFormatting sqref="G79:G83">
    <cfRule type="cellIs" dxfId="1295" priority="60" stopIfTrue="1" operator="greaterThan">
      <formula>$J79</formula>
    </cfRule>
    <cfRule type="cellIs" dxfId="1294" priority="61" stopIfTrue="1" operator="lessThanOrEqual">
      <formula>0</formula>
    </cfRule>
  </conditionalFormatting>
  <conditionalFormatting sqref="G80">
    <cfRule type="cellIs" dxfId="1293" priority="203" stopIfTrue="1" operator="greaterThan">
      <formula>$F75</formula>
    </cfRule>
    <cfRule type="cellIs" dxfId="1292" priority="204" stopIfTrue="1" operator="lessThanOrEqual">
      <formula>0</formula>
    </cfRule>
  </conditionalFormatting>
  <conditionalFormatting sqref="G88:G93 C91 C93">
    <cfRule type="cellIs" dxfId="1291" priority="193" stopIfTrue="1" operator="lessThanOrEqual">
      <formula>0</formula>
    </cfRule>
    <cfRule type="cellIs" dxfId="1290" priority="192" stopIfTrue="1" operator="greaterThan">
      <formula>4.5</formula>
    </cfRule>
  </conditionalFormatting>
  <conditionalFormatting sqref="G10:H19 M10:N19">
    <cfRule type="expression" dxfId="1289" priority="13">
      <formula>IF(+(IF(G10&lt;#REF!,0,IF(G10&gt;#REF!,0,1)))=0,1)</formula>
    </cfRule>
  </conditionalFormatting>
  <conditionalFormatting sqref="G87:H87">
    <cfRule type="cellIs" dxfId="1288" priority="174" stopIfTrue="1" operator="lessThanOrEqual">
      <formula>0</formula>
    </cfRule>
    <cfRule type="cellIs" dxfId="1287" priority="173" stopIfTrue="1" operator="greaterThan">
      <formula>$F$86</formula>
    </cfRule>
  </conditionalFormatting>
  <conditionalFormatting sqref="H20:H30">
    <cfRule type="expression" dxfId="1286" priority="11">
      <formula>IF(+(IF(H20&lt;#REF!,0,IF(H20&gt;#REF!,0,1)))=0,1)</formula>
    </cfRule>
  </conditionalFormatting>
  <conditionalFormatting sqref="H44:H45 H58">
    <cfRule type="cellIs" dxfId="1285" priority="171" stopIfTrue="1" operator="greaterThan">
      <formula>0</formula>
    </cfRule>
  </conditionalFormatting>
  <conditionalFormatting sqref="H62">
    <cfRule type="cellIs" dxfId="1284" priority="73" stopIfTrue="1" operator="lessThanOrEqual">
      <formula>0</formula>
    </cfRule>
    <cfRule type="cellIs" dxfId="1283" priority="72" stopIfTrue="1" operator="greaterThan">
      <formula>$F$78</formula>
    </cfRule>
    <cfRule type="cellIs" dxfId="1282" priority="63" stopIfTrue="1" operator="lessThanOrEqual">
      <formula>0</formula>
    </cfRule>
    <cfRule type="cellIs" dxfId="1281" priority="74" stopIfTrue="1" operator="greaterThan">
      <formula>$F$76</formula>
    </cfRule>
    <cfRule type="cellIs" dxfId="1280" priority="64" stopIfTrue="1" operator="greaterThan">
      <formula>$F$75</formula>
    </cfRule>
  </conditionalFormatting>
  <conditionalFormatting sqref="H62:H63">
    <cfRule type="cellIs" dxfId="1279" priority="75" stopIfTrue="1" operator="lessThanOrEqual">
      <formula>0</formula>
    </cfRule>
  </conditionalFormatting>
  <conditionalFormatting sqref="H63 H65:H66">
    <cfRule type="cellIs" dxfId="1278" priority="101" stopIfTrue="1" operator="lessThanOrEqual">
      <formula>0</formula>
    </cfRule>
  </conditionalFormatting>
  <conditionalFormatting sqref="H63">
    <cfRule type="cellIs" dxfId="1277" priority="90" stopIfTrue="1" operator="greaterThan">
      <formula>$F$75</formula>
    </cfRule>
    <cfRule type="cellIs" dxfId="1276" priority="99" stopIfTrue="1" operator="lessThanOrEqual">
      <formula>0</formula>
    </cfRule>
    <cfRule type="cellIs" dxfId="1275" priority="98" stopIfTrue="1" operator="greaterThan">
      <formula>$F$78</formula>
    </cfRule>
    <cfRule type="cellIs" dxfId="1274" priority="100" stopIfTrue="1" operator="greaterThan">
      <formula>$F$76</formula>
    </cfRule>
  </conditionalFormatting>
  <conditionalFormatting sqref="H64">
    <cfRule type="cellIs" dxfId="1273" priority="42" stopIfTrue="1" operator="lessThanOrEqual">
      <formula>0</formula>
    </cfRule>
    <cfRule type="cellIs" dxfId="1272" priority="30" stopIfTrue="1" operator="lessThanOrEqual">
      <formula>0</formula>
    </cfRule>
    <cfRule type="cellIs" dxfId="1271" priority="31" stopIfTrue="1" operator="greaterThan">
      <formula>$F$77</formula>
    </cfRule>
    <cfRule type="cellIs" dxfId="1270" priority="39" stopIfTrue="1" operator="greaterThan">
      <formula>$F$80</formula>
    </cfRule>
    <cfRule type="cellIs" dxfId="1269" priority="40" stopIfTrue="1" operator="lessThanOrEqual">
      <formula>0</formula>
    </cfRule>
    <cfRule type="cellIs" dxfId="1268" priority="41" stopIfTrue="1" operator="greaterThan">
      <formula>$F$78</formula>
    </cfRule>
  </conditionalFormatting>
  <conditionalFormatting sqref="H65:H66">
    <cfRule type="cellIs" dxfId="1267" priority="103" stopIfTrue="1" operator="greaterThan">
      <formula>$F$75</formula>
    </cfRule>
    <cfRule type="cellIs" dxfId="1266" priority="114" stopIfTrue="1" operator="lessThanOrEqual">
      <formula>0</formula>
    </cfRule>
    <cfRule type="cellIs" dxfId="1265" priority="113" stopIfTrue="1" operator="greaterThan">
      <formula>$F$76</formula>
    </cfRule>
    <cfRule type="cellIs" dxfId="1264" priority="112" stopIfTrue="1" operator="lessThanOrEqual">
      <formula>0</formula>
    </cfRule>
    <cfRule type="cellIs" dxfId="1263" priority="111" stopIfTrue="1" operator="greaterThan">
      <formula>$F$78</formula>
    </cfRule>
  </conditionalFormatting>
  <conditionalFormatting sqref="H67:H68">
    <cfRule type="cellIs" dxfId="1262" priority="139" stopIfTrue="1" operator="greaterThan">
      <formula>#REF!</formula>
    </cfRule>
    <cfRule type="cellIs" dxfId="1261" priority="138" stopIfTrue="1" operator="lessThanOrEqual">
      <formula>0</formula>
    </cfRule>
    <cfRule type="cellIs" dxfId="1260" priority="148" stopIfTrue="1" operator="lessThanOrEqual">
      <formula>0</formula>
    </cfRule>
    <cfRule type="cellIs" dxfId="1259" priority="147" stopIfTrue="1" operator="greaterThan">
      <formula>#REF!</formula>
    </cfRule>
  </conditionalFormatting>
  <conditionalFormatting sqref="H69">
    <cfRule type="cellIs" dxfId="1258" priority="161" stopIfTrue="1" operator="greaterThan">
      <formula>$F$44</formula>
    </cfRule>
    <cfRule type="cellIs" dxfId="1257" priority="160" stopIfTrue="1" operator="lessThanOrEqual">
      <formula>0</formula>
    </cfRule>
    <cfRule type="cellIs" dxfId="1256" priority="162" stopIfTrue="1" operator="lessThanOrEqual">
      <formula>0</formula>
    </cfRule>
    <cfRule type="cellIs" dxfId="1255" priority="151" stopIfTrue="1" operator="greaterThan">
      <formula>$F$43</formula>
    </cfRule>
    <cfRule type="cellIs" dxfId="1254" priority="150" stopIfTrue="1" operator="lessThanOrEqual">
      <formula>0</formula>
    </cfRule>
    <cfRule type="cellIs" dxfId="1253" priority="159" stopIfTrue="1" operator="greaterThan">
      <formula>$F$46</formula>
    </cfRule>
  </conditionalFormatting>
  <conditionalFormatting sqref="H70:H71">
    <cfRule type="cellIs" dxfId="1252" priority="135" stopIfTrue="1" operator="greaterThan">
      <formula>#REF!</formula>
    </cfRule>
    <cfRule type="cellIs" dxfId="1251" priority="127" stopIfTrue="1" operator="greaterThan">
      <formula>#REF!</formula>
    </cfRule>
    <cfRule type="cellIs" dxfId="1250" priority="136" stopIfTrue="1" operator="lessThanOrEqual">
      <formula>0</formula>
    </cfRule>
    <cfRule type="cellIs" dxfId="1249" priority="126" stopIfTrue="1" operator="lessThanOrEqual">
      <formula>0</formula>
    </cfRule>
  </conditionalFormatting>
  <conditionalFormatting sqref="H86 H88:H94">
    <cfRule type="cellIs" dxfId="1248" priority="185" stopIfTrue="1" operator="greaterThan">
      <formula>4.5</formula>
    </cfRule>
    <cfRule type="cellIs" dxfId="1247" priority="186" stopIfTrue="1" operator="lessThanOrEqual">
      <formula>0</formula>
    </cfRule>
  </conditionalFormatting>
  <conditionalFormatting sqref="H62:I62">
    <cfRule type="cellIs" dxfId="1246" priority="65" stopIfTrue="1" operator="lessThanOrEqual">
      <formula>0</formula>
    </cfRule>
  </conditionalFormatting>
  <conditionalFormatting sqref="H62:I63 H65:I66">
    <cfRule type="cellIs" dxfId="1245" priority="62" stopIfTrue="1" operator="greaterThan">
      <formula>$F$77</formula>
    </cfRule>
  </conditionalFormatting>
  <conditionalFormatting sqref="H63:I63">
    <cfRule type="cellIs" dxfId="1244" priority="91" stopIfTrue="1" operator="lessThanOrEqual">
      <formula>0</formula>
    </cfRule>
  </conditionalFormatting>
  <conditionalFormatting sqref="H64:I64">
    <cfRule type="cellIs" dxfId="1243" priority="32" stopIfTrue="1" operator="lessThanOrEqual">
      <formula>0</formula>
    </cfRule>
    <cfRule type="cellIs" dxfId="1242" priority="29" stopIfTrue="1" operator="greaterThan">
      <formula>$F$79</formula>
    </cfRule>
  </conditionalFormatting>
  <conditionalFormatting sqref="H65:I66">
    <cfRule type="cellIs" dxfId="1241" priority="104" stopIfTrue="1" operator="lessThanOrEqual">
      <formula>0</formula>
    </cfRule>
  </conditionalFormatting>
  <conditionalFormatting sqref="H67:I68">
    <cfRule type="cellIs" dxfId="1240" priority="140" stopIfTrue="1" operator="lessThanOrEqual">
      <formula>0</formula>
    </cfRule>
    <cfRule type="cellIs" dxfId="1239" priority="137" stopIfTrue="1" operator="greaterThan">
      <formula>#REF!</formula>
    </cfRule>
    <cfRule type="cellIs" dxfId="1238" priority="145" stopIfTrue="1" operator="greaterThan">
      <formula>#REF!</formula>
    </cfRule>
    <cfRule type="cellIs" dxfId="1237" priority="146" stopIfTrue="1" operator="lessThanOrEqual">
      <formula>0</formula>
    </cfRule>
  </conditionalFormatting>
  <conditionalFormatting sqref="H69:I69">
    <cfRule type="cellIs" dxfId="1236" priority="152" stopIfTrue="1" operator="lessThanOrEqual">
      <formula>0</formula>
    </cfRule>
    <cfRule type="cellIs" dxfId="1235" priority="149" stopIfTrue="1" operator="greaterThan">
      <formula>$F$45</formula>
    </cfRule>
  </conditionalFormatting>
  <conditionalFormatting sqref="H70:I71">
    <cfRule type="cellIs" dxfId="1234" priority="128" stopIfTrue="1" operator="lessThanOrEqual">
      <formula>0</formula>
    </cfRule>
    <cfRule type="cellIs" dxfId="1233" priority="134" stopIfTrue="1" operator="lessThanOrEqual">
      <formula>0</formula>
    </cfRule>
    <cfRule type="cellIs" dxfId="1232" priority="133" stopIfTrue="1" operator="greaterThan">
      <formula>#REF!</formula>
    </cfRule>
    <cfRule type="cellIs" dxfId="1231" priority="125" stopIfTrue="1" operator="greaterThan">
      <formula>#REF!</formula>
    </cfRule>
  </conditionalFormatting>
  <conditionalFormatting sqref="H75:I82">
    <cfRule type="cellIs" dxfId="1230" priority="47" stopIfTrue="1" operator="greaterThan">
      <formula>$J75</formula>
    </cfRule>
    <cfRule type="cellIs" dxfId="1229" priority="48" stopIfTrue="1" operator="lessThanOrEqual">
      <formula>0</formula>
    </cfRule>
  </conditionalFormatting>
  <conditionalFormatting sqref="H83:I83">
    <cfRule type="cellIs" dxfId="1228" priority="55" operator="greaterThan">
      <formula>5.3</formula>
    </cfRule>
  </conditionalFormatting>
  <conditionalFormatting sqref="H84:I84">
    <cfRule type="cellIs" dxfId="1227" priority="53" stopIfTrue="1" operator="greaterThan">
      <formula>$J84</formula>
    </cfRule>
    <cfRule type="cellIs" dxfId="1226" priority="54" stopIfTrue="1" operator="lessThanOrEqual">
      <formula>0</formula>
    </cfRule>
  </conditionalFormatting>
  <conditionalFormatting sqref="I62">
    <cfRule type="cellIs" dxfId="1225" priority="68" stopIfTrue="1" operator="greaterThan">
      <formula>$F$77</formula>
    </cfRule>
    <cfRule type="cellIs" dxfId="1224" priority="67" stopIfTrue="1" operator="lessThanOrEqual">
      <formula>0</formula>
    </cfRule>
    <cfRule type="cellIs" dxfId="1223" priority="66" stopIfTrue="1" operator="greaterThan">
      <formula>$F$75</formula>
    </cfRule>
    <cfRule type="cellIs" dxfId="1222" priority="71" stopIfTrue="1" operator="lessThanOrEqual">
      <formula>0</formula>
    </cfRule>
    <cfRule type="cellIs" dxfId="1221" priority="70" stopIfTrue="1" operator="greaterThan">
      <formula>$F$75</formula>
    </cfRule>
    <cfRule type="cellIs" dxfId="1220" priority="69" stopIfTrue="1" operator="lessThanOrEqual">
      <formula>0</formula>
    </cfRule>
  </conditionalFormatting>
  <conditionalFormatting sqref="I63">
    <cfRule type="cellIs" dxfId="1219" priority="93" stopIfTrue="1" operator="lessThanOrEqual">
      <formula>0</formula>
    </cfRule>
    <cfRule type="cellIs" dxfId="1218" priority="92" stopIfTrue="1" operator="greaterThan">
      <formula>$F$75</formula>
    </cfRule>
    <cfRule type="cellIs" dxfId="1217" priority="94" stopIfTrue="1" operator="greaterThan">
      <formula>$F$77</formula>
    </cfRule>
    <cfRule type="cellIs" dxfId="1216" priority="95" stopIfTrue="1" operator="lessThanOrEqual">
      <formula>0</formula>
    </cfRule>
    <cfRule type="cellIs" dxfId="1215" priority="97" stopIfTrue="1" operator="lessThanOrEqual">
      <formula>0</formula>
    </cfRule>
    <cfRule type="cellIs" dxfId="1214" priority="96" stopIfTrue="1" operator="greaterThan">
      <formula>$F$75</formula>
    </cfRule>
  </conditionalFormatting>
  <conditionalFormatting sqref="I64">
    <cfRule type="cellIs" dxfId="1213" priority="37" stopIfTrue="1" operator="greaterThan">
      <formula>$F$77</formula>
    </cfRule>
    <cfRule type="cellIs" dxfId="1212" priority="33" stopIfTrue="1" operator="greaterThan">
      <formula>$F$77</formula>
    </cfRule>
    <cfRule type="cellIs" dxfId="1211" priority="35" stopIfTrue="1" operator="greaterThan">
      <formula>$F$79</formula>
    </cfRule>
    <cfRule type="cellIs" dxfId="1210" priority="36" stopIfTrue="1" operator="lessThanOrEqual">
      <formula>0</formula>
    </cfRule>
    <cfRule type="cellIs" dxfId="1209" priority="38" stopIfTrue="1" operator="lessThanOrEqual">
      <formula>0</formula>
    </cfRule>
    <cfRule type="cellIs" dxfId="1208" priority="34" stopIfTrue="1" operator="lessThanOrEqual">
      <formula>0</formula>
    </cfRule>
  </conditionalFormatting>
  <conditionalFormatting sqref="I65:I66">
    <cfRule type="cellIs" dxfId="1207" priority="108" stopIfTrue="1" operator="lessThanOrEqual">
      <formula>0</formula>
    </cfRule>
    <cfRule type="cellIs" dxfId="1206" priority="109" stopIfTrue="1" operator="greaterThan">
      <formula>$F$75</formula>
    </cfRule>
    <cfRule type="cellIs" dxfId="1205" priority="107" stopIfTrue="1" operator="greaterThan">
      <formula>$F$77</formula>
    </cfRule>
    <cfRule type="cellIs" dxfId="1204" priority="106" stopIfTrue="1" operator="lessThanOrEqual">
      <formula>0</formula>
    </cfRule>
    <cfRule type="cellIs" dxfId="1203" priority="105" stopIfTrue="1" operator="greaterThan">
      <formula>$F$75</formula>
    </cfRule>
    <cfRule type="cellIs" dxfId="1202" priority="110" stopIfTrue="1" operator="lessThanOrEqual">
      <formula>0</formula>
    </cfRule>
  </conditionalFormatting>
  <conditionalFormatting sqref="I67:I68">
    <cfRule type="cellIs" dxfId="1201" priority="144" stopIfTrue="1" operator="lessThanOrEqual">
      <formula>0</formula>
    </cfRule>
    <cfRule type="cellIs" dxfId="1200" priority="143" stopIfTrue="1" operator="greaterThan">
      <formula>#REF!</formula>
    </cfRule>
    <cfRule type="cellIs" dxfId="1199" priority="142" stopIfTrue="1" operator="lessThanOrEqual">
      <formula>0</formula>
    </cfRule>
    <cfRule type="cellIs" dxfId="1198" priority="141" stopIfTrue="1" operator="greaterThan">
      <formula>#REF!</formula>
    </cfRule>
  </conditionalFormatting>
  <conditionalFormatting sqref="I69">
    <cfRule type="cellIs" dxfId="1197" priority="157" stopIfTrue="1" operator="greaterThan">
      <formula>$F$43</formula>
    </cfRule>
    <cfRule type="cellIs" dxfId="1196" priority="158" stopIfTrue="1" operator="lessThanOrEqual">
      <formula>0</formula>
    </cfRule>
    <cfRule type="cellIs" dxfId="1195" priority="153" stopIfTrue="1" operator="greaterThan">
      <formula>$F$43</formula>
    </cfRule>
    <cfRule type="cellIs" dxfId="1194" priority="154" stopIfTrue="1" operator="lessThanOrEqual">
      <formula>0</formula>
    </cfRule>
    <cfRule type="cellIs" dxfId="1193" priority="155" stopIfTrue="1" operator="greaterThan">
      <formula>$F$45</formula>
    </cfRule>
    <cfRule type="cellIs" dxfId="1192" priority="156" stopIfTrue="1" operator="lessThanOrEqual">
      <formula>0</formula>
    </cfRule>
  </conditionalFormatting>
  <conditionalFormatting sqref="I70:I71">
    <cfRule type="cellIs" dxfId="1191" priority="129" stopIfTrue="1" operator="greaterThan">
      <formula>#REF!</formula>
    </cfRule>
    <cfRule type="cellIs" dxfId="1190" priority="130" stopIfTrue="1" operator="lessThanOrEqual">
      <formula>0</formula>
    </cfRule>
    <cfRule type="cellIs" dxfId="1189" priority="131" stopIfTrue="1" operator="greaterThan">
      <formula>#REF!</formula>
    </cfRule>
    <cfRule type="cellIs" dxfId="1188" priority="132" stopIfTrue="1" operator="lessThanOrEqual">
      <formula>0</formula>
    </cfRule>
  </conditionalFormatting>
  <conditionalFormatting sqref="I86:I94">
    <cfRule type="cellIs" dxfId="1187" priority="181" stopIfTrue="1" operator="greaterThan">
      <formula>4.5</formula>
    </cfRule>
    <cfRule type="cellIs" dxfId="1186" priority="182" stopIfTrue="1" operator="lessThanOrEqual">
      <formula>0</formula>
    </cfRule>
  </conditionalFormatting>
  <conditionalFormatting sqref="I10:J30">
    <cfRule type="cellIs" dxfId="1185" priority="1" operator="lessThan">
      <formula>97.9</formula>
    </cfRule>
  </conditionalFormatting>
  <conditionalFormatting sqref="J33:J35">
    <cfRule type="cellIs" dxfId="1184" priority="28" operator="lessThan">
      <formula>97.95</formula>
    </cfRule>
  </conditionalFormatting>
  <conditionalFormatting sqref="J34:J37">
    <cfRule type="cellIs" dxfId="1183" priority="163" operator="lessThan">
      <formula>97.4</formula>
    </cfRule>
  </conditionalFormatting>
  <conditionalFormatting sqref="J38:J39">
    <cfRule type="cellIs" dxfId="1182" priority="164" operator="lessThan">
      <formula>98</formula>
    </cfRule>
  </conditionalFormatting>
  <conditionalFormatting sqref="J40:J41">
    <cfRule type="cellIs" dxfId="1181" priority="166" stopIfTrue="1" operator="greaterThan">
      <formula>100</formula>
    </cfRule>
    <cfRule type="cellIs" dxfId="1180" priority="165" stopIfTrue="1" operator="lessThan">
      <formula>96.8</formula>
    </cfRule>
  </conditionalFormatting>
  <conditionalFormatting sqref="J40:J42">
    <cfRule type="cellIs" dxfId="1179" priority="167" operator="lessThan">
      <formula>98</formula>
    </cfRule>
  </conditionalFormatting>
  <conditionalFormatting sqref="J71">
    <cfRule type="cellIs" dxfId="1178" priority="117" stopIfTrue="1" operator="greaterThan">
      <formula>#REF!</formula>
    </cfRule>
    <cfRule type="cellIs" dxfId="1177" priority="118" stopIfTrue="1" operator="lessThanOrEqual">
      <formula>0</formula>
    </cfRule>
    <cfRule type="cellIs" dxfId="1176" priority="119" stopIfTrue="1" operator="greaterThan">
      <formula>#REF!</formula>
    </cfRule>
    <cfRule type="cellIs" dxfId="1175" priority="120" stopIfTrue="1" operator="lessThanOrEqual">
      <formula>0</formula>
    </cfRule>
    <cfRule type="cellIs" dxfId="1174" priority="121" stopIfTrue="1" operator="greaterThan">
      <formula>#REF!</formula>
    </cfRule>
    <cfRule type="cellIs" dxfId="1173" priority="122" stopIfTrue="1" operator="lessThanOrEqual">
      <formula>0</formula>
    </cfRule>
    <cfRule type="cellIs" dxfId="1172" priority="123" stopIfTrue="1" operator="greaterThan">
      <formula>#REF!</formula>
    </cfRule>
    <cfRule type="cellIs" dxfId="1171" priority="124" stopIfTrue="1" operator="lessThanOrEqual">
      <formula>0</formula>
    </cfRule>
  </conditionalFormatting>
  <conditionalFormatting sqref="J84">
    <cfRule type="cellIs" dxfId="1170" priority="56" stopIfTrue="1" operator="greaterThan">
      <formula>$F84</formula>
    </cfRule>
    <cfRule type="cellIs" dxfId="1169" priority="57" stopIfTrue="1" operator="lessThanOrEqual">
      <formula>0</formula>
    </cfRule>
  </conditionalFormatting>
  <conditionalFormatting sqref="K10:K30">
    <cfRule type="cellIs" dxfId="1168" priority="4" operator="greaterThan">
      <formula>6.4</formula>
    </cfRule>
    <cfRule type="cellIs" dxfId="1167" priority="2" operator="greaterThan">
      <formula>6</formula>
    </cfRule>
    <cfRule type="cellIs" dxfId="1166" priority="3" operator="lessThan">
      <formula>4</formula>
    </cfRule>
  </conditionalFormatting>
  <conditionalFormatting sqref="K62:K71">
    <cfRule type="cellIs" dxfId="1165" priority="102" stopIfTrue="1" operator="lessThan">
      <formula>100%</formula>
    </cfRule>
  </conditionalFormatting>
  <conditionalFormatting sqref="K75:K83">
    <cfRule type="cellIs" dxfId="1164" priority="46" stopIfTrue="1" operator="lessThan">
      <formula>100%</formula>
    </cfRule>
  </conditionalFormatting>
  <conditionalFormatting sqref="K86:K91">
    <cfRule type="cellIs" dxfId="1163" priority="187" stopIfTrue="1" operator="lessThan">
      <formula>100%</formula>
    </cfRule>
  </conditionalFormatting>
  <conditionalFormatting sqref="K93:K94">
    <cfRule type="cellIs" dxfId="1162" priority="194" stopIfTrue="1" operator="lessThan">
      <formula>100%</formula>
    </cfRule>
  </conditionalFormatting>
  <conditionalFormatting sqref="L10:L30">
    <cfRule type="cellIs" dxfId="1161" priority="6" operator="greaterThan">
      <formula>65</formula>
    </cfRule>
    <cfRule type="cellIs" dxfId="1160" priority="5" operator="between">
      <formula>61</formula>
      <formula>65</formula>
    </cfRule>
  </conditionalFormatting>
  <conditionalFormatting sqref="L33:M44">
    <cfRule type="cellIs" dxfId="1159" priority="27" operator="lessThan">
      <formula>97.95</formula>
    </cfRule>
  </conditionalFormatting>
  <conditionalFormatting sqref="L48:N48">
    <cfRule type="cellIs" dxfId="1158" priority="26" operator="notEqual">
      <formula>#REF!</formula>
    </cfRule>
  </conditionalFormatting>
  <conditionalFormatting sqref="L75:N84">
    <cfRule type="cellIs" dxfId="1157" priority="43" stopIfTrue="1" operator="lessThan">
      <formula>100%</formula>
    </cfRule>
  </conditionalFormatting>
  <conditionalFormatting sqref="L86:N94">
    <cfRule type="cellIs" dxfId="1156" priority="172" stopIfTrue="1" operator="lessThan">
      <formula>100%</formula>
    </cfRule>
  </conditionalFormatting>
  <conditionalFormatting sqref="M20:M30">
    <cfRule type="expression" dxfId="1155" priority="9">
      <formula>IF(+(IF(M20&lt;U20,0,IF(M20&gt;V20,0,1)))=0,1)</formula>
    </cfRule>
  </conditionalFormatting>
  <conditionalFormatting sqref="N10:N30">
    <cfRule type="expression" dxfId="1154" priority="12">
      <formula>IF(+(IF(N10&lt;W10,0,IF(N10&gt;X10,0,1)))=0,1)</formula>
    </cfRule>
  </conditionalFormatting>
  <conditionalFormatting sqref="P6">
    <cfRule type="cellIs" dxfId="1153" priority="168" operator="greaterThanOrEqual">
      <formula>19</formula>
    </cfRule>
  </conditionalFormatting>
  <dataValidations count="1">
    <dataValidation type="list" allowBlank="1" showInputMessage="1" showErrorMessage="1" sqref="R8" xr:uid="{33071A7C-A5F9-4311-A789-B78E1586139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42663-6423-45B0-B3C7-1E6918378728}">
  <sheetPr>
    <pageSetUpPr fitToPage="1"/>
  </sheetPr>
  <dimension ref="A1:BE77"/>
  <sheetViews>
    <sheetView topLeftCell="B1" zoomScale="85" zoomScaleNormal="85" workbookViewId="0">
      <selection activeCell="C22" sqref="C22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46307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[29]Brewhouse!$A406</f>
        <v>ST347</v>
      </c>
      <c r="D10" s="279">
        <f>[29]Brewhouse!$AB406</f>
        <v>49</v>
      </c>
      <c r="E10" s="279">
        <f>[29]Brewhouse!$AG406</f>
        <v>45.8</v>
      </c>
      <c r="F10" s="278">
        <f>[29]Brewhouse!$V406</f>
        <v>53</v>
      </c>
      <c r="G10" s="279">
        <f>[29]Brewhouse!$AE406</f>
        <v>11.6</v>
      </c>
      <c r="H10" s="396">
        <v>11.8</v>
      </c>
      <c r="I10" s="368">
        <f>[29]Brewhouse!$AS406</f>
        <v>95.286967895266628</v>
      </c>
      <c r="J10" s="368">
        <f>[29]Brewhouse!$AT406</f>
        <v>95.739220420834755</v>
      </c>
      <c r="K10" s="281">
        <f>[29]Brewhouse!$Q406</f>
        <v>10.357142857142849</v>
      </c>
      <c r="L10" s="276">
        <f>[29]Brewhouse!$P406</f>
        <v>59</v>
      </c>
      <c r="M10" s="374">
        <f>[29]Brewhouse!$U406-[29]Brewhouse!$T406</f>
        <v>0.13680555555555557</v>
      </c>
      <c r="N10" s="370">
        <f>[29]Brewhouse!$AW406</f>
        <v>0.28611111111111109</v>
      </c>
      <c r="O10" s="419" t="str">
        <f>[29]Brewhouse!$AV406</f>
        <v>R.Sookram</v>
      </c>
      <c r="P10" s="417"/>
      <c r="R10" s="277" t="str">
        <f t="shared" ref="R10:R37" si="0">B10</f>
        <v>STAG</v>
      </c>
      <c r="S10" s="471">
        <f t="shared" ref="S10:S37" si="1">VLOOKUP($B10,$R$3:$X$9,2,FALSE)</f>
        <v>11.6</v>
      </c>
      <c r="T10" s="471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1">
        <f t="shared" ref="Z10:Z37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19"/>
      <c r="P11" s="417"/>
      <c r="R11" s="277">
        <f t="shared" si="0"/>
        <v>0</v>
      </c>
      <c r="S11" s="471" t="e">
        <f t="shared" si="1"/>
        <v>#N/A</v>
      </c>
      <c r="T11" s="471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1" t="e">
        <f t="shared" si="8"/>
        <v>#N/A</v>
      </c>
    </row>
    <row r="12" spans="2:29" ht="15" hidden="1" customHeight="1">
      <c r="B12" s="37" t="s">
        <v>16</v>
      </c>
      <c r="C12" s="366" t="str">
        <f>[34]Brewhouse!$A112</f>
        <v>SM099</v>
      </c>
      <c r="D12" s="279">
        <f>[34]Brewhouse!$AH112</f>
        <v>53</v>
      </c>
      <c r="E12" s="279">
        <f>[34]Brewhouse!$AM112</f>
        <v>51.1</v>
      </c>
      <c r="F12" s="278">
        <f>[34]Brewhouse!$Z112</f>
        <v>90</v>
      </c>
      <c r="G12" s="279">
        <f>[34]Brewhouse!$AK112</f>
        <v>17</v>
      </c>
      <c r="H12" s="396"/>
      <c r="I12" s="368">
        <f>[34]Brewhouse!$AY112</f>
        <v>97.214271955083348</v>
      </c>
      <c r="J12" s="368">
        <f>[34]Brewhouse!$AZ112</f>
        <v>97.481077972249778</v>
      </c>
      <c r="K12" s="281">
        <f>[34]Brewhouse!$U112</f>
        <v>6.754716981132086</v>
      </c>
      <c r="L12" s="276">
        <f>[34]Brewhouse!$T112</f>
        <v>60</v>
      </c>
      <c r="M12" s="374">
        <f>[34]Brewhouse!$Y112-[34]Brewhouse!$X112</f>
        <v>0.17291666666666661</v>
      </c>
      <c r="N12" s="370">
        <f>[34]Brewhouse!$AD112</f>
        <v>0.33958333333333335</v>
      </c>
      <c r="O12" s="371" t="str">
        <f>[34]Brewhouse!$BC112</f>
        <v>D. Gomaz</v>
      </c>
      <c r="P12" s="417"/>
      <c r="R12" s="277" t="str">
        <f t="shared" si="0"/>
        <v>STARMALT</v>
      </c>
      <c r="S12" s="471">
        <f t="shared" si="1"/>
        <v>17</v>
      </c>
      <c r="T12" s="471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1">
        <f t="shared" si="8"/>
        <v>85</v>
      </c>
    </row>
    <row r="13" spans="2:29" ht="15" hidden="1" customHeight="1">
      <c r="B13" s="37" t="s">
        <v>16</v>
      </c>
      <c r="C13" s="366" t="str">
        <f>[34]Brewhouse!$A113</f>
        <v>SM100</v>
      </c>
      <c r="D13" s="279">
        <f>[34]Brewhouse!$AH113</f>
        <v>53</v>
      </c>
      <c r="E13" s="279">
        <f>[34]Brewhouse!$AM113</f>
        <v>51.4</v>
      </c>
      <c r="F13" s="278">
        <f>[34]Brewhouse!$Z113</f>
        <v>69</v>
      </c>
      <c r="G13" s="279">
        <f>[34]Brewhouse!$AK113</f>
        <v>17.3</v>
      </c>
      <c r="H13" s="396"/>
      <c r="I13" s="368">
        <f>[34]Brewhouse!$AY113</f>
        <v>98.862710164301788</v>
      </c>
      <c r="J13" s="368">
        <f>[34]Brewhouse!$AZ113</f>
        <v>99.136679966905078</v>
      </c>
      <c r="K13" s="281">
        <f>[34]Brewhouse!$U113</f>
        <v>7.8867924528301883</v>
      </c>
      <c r="L13" s="276">
        <f>[34]Brewhouse!$T113</f>
        <v>61</v>
      </c>
      <c r="M13" s="374">
        <f>[34]Brewhouse!$Y113-[34]Brewhouse!$X113</f>
        <v>0.13819444444444451</v>
      </c>
      <c r="N13" s="370">
        <f>[34]Brewhouse!$AD113</f>
        <v>0.32152777777777786</v>
      </c>
      <c r="O13" s="371" t="str">
        <f>[34]Brewhouse!$BC113</f>
        <v>D. Gomaz</v>
      </c>
      <c r="P13" s="417"/>
      <c r="R13" s="277" t="str">
        <f t="shared" si="0"/>
        <v>STARMALT</v>
      </c>
      <c r="S13" s="471">
        <f t="shared" si="1"/>
        <v>17</v>
      </c>
      <c r="T13" s="471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1">
        <f t="shared" si="8"/>
        <v>85</v>
      </c>
    </row>
    <row r="14" spans="2:29" ht="15" hidden="1" customHeight="1">
      <c r="B14" s="37" t="s">
        <v>16</v>
      </c>
      <c r="C14" s="366" t="str">
        <f>[34]Brewhouse!$A114</f>
        <v>SM101</v>
      </c>
      <c r="D14" s="279">
        <f>[34]Brewhouse!$AH114</f>
        <v>53</v>
      </c>
      <c r="E14" s="279">
        <f>[34]Brewhouse!$AM114</f>
        <v>51.7</v>
      </c>
      <c r="F14" s="278">
        <f>[34]Brewhouse!$Z114</f>
        <v>70</v>
      </c>
      <c r="G14" s="279">
        <f>[34]Brewhouse!$AK114</f>
        <v>17.3</v>
      </c>
      <c r="H14" s="396"/>
      <c r="I14" s="368">
        <f>[34]Brewhouse!$AY114</f>
        <v>99.439729873431943</v>
      </c>
      <c r="J14" s="368">
        <f>[34]Brewhouse!$AZ114</f>
        <v>99.715298721575735</v>
      </c>
      <c r="K14" s="281">
        <f>[34]Brewhouse!$U114</f>
        <v>4.1132075471698109</v>
      </c>
      <c r="L14" s="276">
        <f>[34]Brewhouse!$T114</f>
        <v>57</v>
      </c>
      <c r="M14" s="374">
        <f>[34]Brewhouse!$Y114-[34]Brewhouse!$X114</f>
        <v>0.14861111111111125</v>
      </c>
      <c r="N14" s="370">
        <f>[34]Brewhouse!$AD114</f>
        <v>0.34444444444444444</v>
      </c>
      <c r="O14" s="371" t="str">
        <f>[34]Brewhouse!$BC114</f>
        <v>D. Gomaz</v>
      </c>
      <c r="P14" s="417"/>
      <c r="R14" s="277" t="str">
        <f t="shared" si="0"/>
        <v>STARMALT</v>
      </c>
      <c r="S14" s="471">
        <f t="shared" si="1"/>
        <v>17</v>
      </c>
      <c r="T14" s="471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1">
        <f t="shared" si="8"/>
        <v>85</v>
      </c>
    </row>
    <row r="15" spans="2:29" ht="15" hidden="1" customHeight="1">
      <c r="B15" s="37" t="s">
        <v>16</v>
      </c>
      <c r="C15" s="366" t="str">
        <f>[34]Brewhouse!$A115</f>
        <v>SM102</v>
      </c>
      <c r="D15" s="279">
        <f>[34]Brewhouse!$AH115</f>
        <v>53</v>
      </c>
      <c r="E15" s="279">
        <f>[34]Brewhouse!$AM115</f>
        <v>51</v>
      </c>
      <c r="F15" s="278">
        <f>[34]Brewhouse!$Z115</f>
        <v>67</v>
      </c>
      <c r="G15" s="279">
        <f>[34]Brewhouse!$AK115</f>
        <v>17.3</v>
      </c>
      <c r="H15" s="396"/>
      <c r="I15" s="368">
        <f>[34]Brewhouse!$AY115</f>
        <v>98.013898306372198</v>
      </c>
      <c r="J15" s="368">
        <f>[34]Brewhouse!$AZ115</f>
        <v>98.285775240901714</v>
      </c>
      <c r="K15" s="281">
        <f>[34]Brewhouse!$U115</f>
        <v>7.3207547169811367</v>
      </c>
      <c r="L15" s="276">
        <f>[34]Brewhouse!$T115</f>
        <v>60</v>
      </c>
      <c r="M15" s="374">
        <f>[34]Brewhouse!$Y115-[34]Brewhouse!$X115</f>
        <v>0.15625</v>
      </c>
      <c r="N15" s="370">
        <f>[34]Brewhouse!$AD115</f>
        <v>0.35694444444444429</v>
      </c>
      <c r="O15" s="371" t="str">
        <f>[34]Brewhouse!$BC115</f>
        <v>R.Sookram</v>
      </c>
      <c r="P15" s="417"/>
      <c r="R15" s="277" t="str">
        <f t="shared" si="0"/>
        <v>STARMALT</v>
      </c>
      <c r="S15" s="471">
        <f t="shared" si="1"/>
        <v>17</v>
      </c>
      <c r="T15" s="471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1">
        <f t="shared" si="8"/>
        <v>85</v>
      </c>
    </row>
    <row r="16" spans="2:29" ht="15" hidden="1" customHeight="1">
      <c r="B16" s="37" t="s">
        <v>16</v>
      </c>
      <c r="C16" s="366" t="str">
        <f>[34]Brewhouse!$A116</f>
        <v>SM103</v>
      </c>
      <c r="D16" s="279">
        <f>[34]Brewhouse!$AH116</f>
        <v>53</v>
      </c>
      <c r="E16" s="279">
        <f>[34]Brewhouse!$AM116</f>
        <v>51.9</v>
      </c>
      <c r="F16" s="278">
        <f>[34]Brewhouse!$Z116</f>
        <v>65</v>
      </c>
      <c r="G16" s="279">
        <f>[34]Brewhouse!$AK116</f>
        <v>17.36</v>
      </c>
      <c r="H16" s="396"/>
      <c r="I16" s="368">
        <f>[34]Brewhouse!$AY116</f>
        <v>95.022046186828362</v>
      </c>
      <c r="J16" s="368">
        <f>[34]Brewhouse!$AZ116</f>
        <v>95.285372684690913</v>
      </c>
      <c r="K16" s="281">
        <f>[34]Brewhouse!$U116</f>
        <v>5.0566037735849045</v>
      </c>
      <c r="L16" s="276">
        <f>[34]Brewhouse!$T116</f>
        <v>60</v>
      </c>
      <c r="M16" s="374">
        <f>[34]Brewhouse!$Y116-[34]Brewhouse!$X116</f>
        <v>0.14861111111111108</v>
      </c>
      <c r="N16" s="370">
        <f>[34]Brewhouse!$AD116</f>
        <v>0.39444444444444443</v>
      </c>
      <c r="O16" s="371" t="str">
        <f>[34]Brewhouse!$BC116</f>
        <v>R.Sookram</v>
      </c>
      <c r="P16" s="417"/>
      <c r="R16" s="277" t="str">
        <f t="shared" si="0"/>
        <v>STARMALT</v>
      </c>
      <c r="S16" s="471">
        <f t="shared" si="1"/>
        <v>17</v>
      </c>
      <c r="T16" s="471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1">
        <f t="shared" si="8"/>
        <v>85</v>
      </c>
    </row>
    <row r="17" spans="1:26" ht="15" hidden="1" customHeight="1">
      <c r="B17" s="37" t="s">
        <v>16</v>
      </c>
      <c r="C17" s="366" t="str">
        <f>[34]Brewhouse!$A117</f>
        <v>SM104</v>
      </c>
      <c r="D17" s="279">
        <f>[34]Brewhouse!$AH117</f>
        <v>53</v>
      </c>
      <c r="E17" s="279">
        <f>[34]Brewhouse!$AM117</f>
        <v>51.9</v>
      </c>
      <c r="F17" s="278">
        <f>[34]Brewhouse!$Z117</f>
        <v>73</v>
      </c>
      <c r="G17" s="279">
        <f>[34]Brewhouse!$AK117</f>
        <v>17.399999999999999</v>
      </c>
      <c r="H17" s="396"/>
      <c r="I17" s="368">
        <f>[34]Brewhouse!$AY117</f>
        <v>95.022046186828362</v>
      </c>
      <c r="J17" s="368">
        <f>[34]Brewhouse!$AZ117</f>
        <v>95.285372684690913</v>
      </c>
      <c r="K17" s="281">
        <f>[34]Brewhouse!$U117</f>
        <v>6.754716981132086</v>
      </c>
      <c r="L17" s="276">
        <f>[34]Brewhouse!$T117</f>
        <v>60</v>
      </c>
      <c r="M17" s="374">
        <f>[34]Brewhouse!$Y117-[34]Brewhouse!$X117</f>
        <v>0.26458333333333334</v>
      </c>
      <c r="N17" s="370">
        <f>[34]Brewhouse!$AD117</f>
        <v>0.42083333333333334</v>
      </c>
      <c r="O17" s="371" t="str">
        <f>[34]Brewhouse!$BC117</f>
        <v>R.Sookram</v>
      </c>
      <c r="P17" s="417"/>
      <c r="R17" s="277" t="str">
        <f t="shared" si="0"/>
        <v>STARMALT</v>
      </c>
      <c r="S17" s="471">
        <f t="shared" si="1"/>
        <v>17</v>
      </c>
      <c r="T17" s="471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1">
        <f t="shared" si="8"/>
        <v>85</v>
      </c>
    </row>
    <row r="18" spans="1:26" ht="15" hidden="1" customHeight="1">
      <c r="B18" s="37" t="s">
        <v>16</v>
      </c>
      <c r="C18" s="366" t="str">
        <f>[34]Brewhouse!$A118</f>
        <v>SM105</v>
      </c>
      <c r="D18" s="279">
        <f>[34]Brewhouse!$AH118</f>
        <v>50</v>
      </c>
      <c r="E18" s="279">
        <f>[34]Brewhouse!$AM118</f>
        <v>49.3</v>
      </c>
      <c r="F18" s="278">
        <f>[34]Brewhouse!$Z118</f>
        <v>70</v>
      </c>
      <c r="G18" s="279">
        <f>[34]Brewhouse!$AK118</f>
        <v>17.399999999999999</v>
      </c>
      <c r="H18" s="396"/>
      <c r="I18" s="368">
        <f>[34]Brewhouse!$AY118</f>
        <v>90.335017111661628</v>
      </c>
      <c r="J18" s="368">
        <f>[34]Brewhouse!$AZ118</f>
        <v>90.585115407273193</v>
      </c>
      <c r="K18" s="281">
        <f>[34]Brewhouse!$U118</f>
        <v>2.960000000000008</v>
      </c>
      <c r="L18" s="276">
        <f>[34]Brewhouse!$T118</f>
        <v>57</v>
      </c>
      <c r="M18" s="374">
        <f>[34]Brewhouse!$Y118-[34]Brewhouse!$X118</f>
        <v>0.15555555555555556</v>
      </c>
      <c r="N18" s="370">
        <f>[34]Brewhouse!$AD118</f>
        <v>0.36180555555555549</v>
      </c>
      <c r="O18" s="371" t="str">
        <f>[34]Brewhouse!$BC118</f>
        <v>K. Benjamin</v>
      </c>
      <c r="P18" s="417"/>
      <c r="R18" s="277" t="str">
        <f t="shared" si="0"/>
        <v>STARMALT</v>
      </c>
      <c r="S18" s="471">
        <f t="shared" si="1"/>
        <v>17</v>
      </c>
      <c r="T18" s="471">
        <f t="shared" si="2"/>
        <v>17.399999999999999</v>
      </c>
      <c r="U18" s="297">
        <f t="shared" si="3"/>
        <v>0</v>
      </c>
      <c r="V18" s="297">
        <f t="shared" si="4"/>
        <v>0.13605324074074074</v>
      </c>
      <c r="W18" s="297">
        <f t="shared" si="5"/>
        <v>0.27430555555555552</v>
      </c>
      <c r="X18" s="297">
        <f t="shared" si="6"/>
        <v>0.30902777777777779</v>
      </c>
      <c r="Y18" s="297">
        <f t="shared" si="7"/>
        <v>0</v>
      </c>
      <c r="Z18" s="471">
        <f t="shared" si="8"/>
        <v>85</v>
      </c>
    </row>
    <row r="19" spans="1:26" ht="15" hidden="1" customHeight="1">
      <c r="B19" s="37" t="s">
        <v>16</v>
      </c>
      <c r="C19" s="366" t="str">
        <f>[34]Brewhouse!$A119</f>
        <v>SM106</v>
      </c>
      <c r="D19" s="279">
        <f>[34]Brewhouse!$AH119</f>
        <v>53</v>
      </c>
      <c r="E19" s="279">
        <f>[34]Brewhouse!$AM119</f>
        <v>55.3</v>
      </c>
      <c r="F19" s="278">
        <f>[34]Brewhouse!$Z119</f>
        <v>104</v>
      </c>
      <c r="G19" s="279">
        <f>[34]Brewhouse!$AK119</f>
        <v>17.399999999999999</v>
      </c>
      <c r="H19" s="396"/>
      <c r="I19" s="368">
        <f>[34]Brewhouse!$AY119</f>
        <v>100.75694228020136</v>
      </c>
      <c r="J19" s="368">
        <f>[34]Brewhouse!$AZ119</f>
        <v>101.03775475944533</v>
      </c>
      <c r="K19" s="281">
        <f>[34]Brewhouse!$U119</f>
        <v>-0.41509433962263936</v>
      </c>
      <c r="L19" s="276">
        <f>[34]Brewhouse!$T119</f>
        <v>60</v>
      </c>
      <c r="M19" s="374">
        <f>[34]Brewhouse!$Y119-[34]Brewhouse!$X119</f>
        <v>0.1777777777777777</v>
      </c>
      <c r="N19" s="370">
        <f>[34]Brewhouse!$AD119</f>
        <v>0.39027777777777772</v>
      </c>
      <c r="O19" s="371" t="str">
        <f>[34]Brewhouse!$BC119</f>
        <v>K. Benjamin</v>
      </c>
      <c r="P19" s="417"/>
      <c r="R19" s="277" t="str">
        <f t="shared" si="0"/>
        <v>STARMALT</v>
      </c>
      <c r="S19" s="471">
        <f t="shared" si="1"/>
        <v>17</v>
      </c>
      <c r="T19" s="471">
        <f t="shared" si="2"/>
        <v>17.399999999999999</v>
      </c>
      <c r="U19" s="297">
        <f t="shared" si="3"/>
        <v>0</v>
      </c>
      <c r="V19" s="297">
        <f t="shared" si="4"/>
        <v>0.13605324074074074</v>
      </c>
      <c r="W19" s="297">
        <f t="shared" si="5"/>
        <v>0.27430555555555552</v>
      </c>
      <c r="X19" s="297">
        <f t="shared" si="6"/>
        <v>0.30902777777777779</v>
      </c>
      <c r="Y19" s="297">
        <f t="shared" si="7"/>
        <v>0</v>
      </c>
      <c r="Z19" s="471">
        <f t="shared" si="8"/>
        <v>85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customHeight="1">
      <c r="B22" s="34"/>
      <c r="C22" s="366"/>
      <c r="D22" s="279"/>
      <c r="E22" s="279"/>
      <c r="F22" s="278"/>
      <c r="G22" s="279"/>
      <c r="H22" s="396"/>
      <c r="I22" s="487"/>
      <c r="J22" s="487"/>
      <c r="K22" s="488"/>
      <c r="L22" s="276"/>
      <c r="M22" s="374"/>
      <c r="N22" s="370"/>
      <c r="O22" s="419"/>
      <c r="P22" s="417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customHeight="1">
      <c r="B23" s="34"/>
      <c r="C23" s="366"/>
      <c r="D23" s="279"/>
      <c r="E23" s="279"/>
      <c r="F23" s="278"/>
      <c r="G23" s="279"/>
      <c r="H23" s="396"/>
      <c r="I23" s="487"/>
      <c r="J23" s="487"/>
      <c r="K23" s="488"/>
      <c r="L23" s="276"/>
      <c r="M23" s="374"/>
      <c r="N23" s="370"/>
      <c r="O23" s="419"/>
      <c r="P23" s="417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624"/>
      <c r="J24" s="624"/>
      <c r="K24" s="624"/>
      <c r="L24" s="624"/>
      <c r="M24" s="624"/>
      <c r="N24" s="624"/>
      <c r="O24" s="1"/>
      <c r="P24" s="12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7.25" customHeight="1" thickBot="1">
      <c r="B25" s="482" t="s">
        <v>162</v>
      </c>
      <c r="C25" s="388"/>
      <c r="D25" s="539" t="s">
        <v>35</v>
      </c>
      <c r="E25" s="540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0"/>
        <v xml:space="preserve">BRAND 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>
      <c r="A26" s="28"/>
      <c r="B26" s="620"/>
      <c r="C26" s="483"/>
      <c r="D26" s="565"/>
      <c r="E26" s="566"/>
      <c r="F26" s="294"/>
      <c r="G26" s="294"/>
      <c r="H26" s="348"/>
      <c r="I26" s="29" t="s">
        <v>6</v>
      </c>
      <c r="J26" s="323"/>
      <c r="K26" s="284">
        <f>COUNTA([30]Brewhouse!$A$789:$A$820)</f>
        <v>32</v>
      </c>
      <c r="L26" s="305">
        <f>AVERAGE([30]Brewhouse!$AU$789:$AU$820)</f>
        <v>97.19542619578651</v>
      </c>
      <c r="M26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$820)</f>
        <v>98.283559098193749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5" customHeight="1">
      <c r="A27" s="28"/>
      <c r="B27" s="563"/>
      <c r="C27" s="362"/>
      <c r="D27" s="567"/>
      <c r="E27" s="568"/>
      <c r="F27" s="294"/>
      <c r="G27" s="294"/>
      <c r="H27" s="348"/>
      <c r="I27" s="33" t="s">
        <v>9</v>
      </c>
      <c r="J27" s="323">
        <f>I10</f>
        <v>95.286967895266628</v>
      </c>
      <c r="K27" s="284">
        <f>COUNTA([29]Brewhouse!$A$390:$A$406)</f>
        <v>17</v>
      </c>
      <c r="L27" s="302">
        <f>AVERAGE([29]Brewhouse!$AS$390:$AS$406)</f>
        <v>97.707842826554412</v>
      </c>
      <c r="M27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$406)</f>
        <v>98.285743987991637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4.65" customHeight="1">
      <c r="A28" s="28"/>
      <c r="B28" s="563"/>
      <c r="C28" s="362"/>
      <c r="D28" s="616"/>
      <c r="E28" s="617"/>
      <c r="F28" s="294"/>
      <c r="G28" s="294"/>
      <c r="H28" s="348"/>
      <c r="I28" s="34" t="s">
        <v>12</v>
      </c>
      <c r="J28" s="323"/>
      <c r="K28" s="284">
        <f>COUNTA([31]Brewhouse!$A$108:$A$115)</f>
        <v>8</v>
      </c>
      <c r="L28" s="302">
        <f>AVERAGE([31]Brewhouse!$AU$108:$AU$115)</f>
        <v>97.365395087454402</v>
      </c>
      <c r="M28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4.65" customHeight="1">
      <c r="A29" s="28"/>
      <c r="B29" s="563"/>
      <c r="C29" s="362"/>
      <c r="D29" s="580"/>
      <c r="E29" s="568"/>
      <c r="F29" s="294"/>
      <c r="G29" s="294"/>
      <c r="H29" s="348"/>
      <c r="I29" s="22" t="s">
        <v>33</v>
      </c>
      <c r="J29" s="280"/>
      <c r="K29" s="284"/>
      <c r="L29" s="302"/>
      <c r="M29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63"/>
      <c r="C30" s="362"/>
      <c r="D30" s="616"/>
      <c r="E30" s="617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63"/>
      <c r="C31" s="362"/>
      <c r="D31" s="580"/>
      <c r="E31" s="568"/>
      <c r="F31" s="416"/>
      <c r="G31" s="294"/>
      <c r="H31" s="348"/>
      <c r="I31" s="36" t="s">
        <v>15</v>
      </c>
      <c r="J31" s="323"/>
      <c r="K31" s="284"/>
      <c r="L31" s="302"/>
      <c r="M31" s="302">
        <f>AVERAGE([33]Brewhouse!$AT$4:$AT$11,[33]Brewhouse!$AT$13:$AT$16,[33]Brewhouse!$AT$18:$AT$30)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6" ht="14.65" customHeight="1">
      <c r="A32" s="28"/>
      <c r="B32" s="563"/>
      <c r="C32" s="362"/>
      <c r="D32" s="616"/>
      <c r="E32" s="617"/>
      <c r="F32" s="416"/>
      <c r="G32" s="294"/>
      <c r="H32" s="348"/>
      <c r="I32" s="37" t="s">
        <v>16</v>
      </c>
      <c r="J32" s="323"/>
      <c r="K32" s="284"/>
      <c r="L32" s="302"/>
      <c r="M32" s="302">
        <f>AVERAGE([34]Brewhouse!$AY$5:$AY$14,[34]Brewhouse!$AY$16:$AY$23,[34]Brewhouse!$AY$42,[34]Brewhouse!$AY$44:$AY$51,[34]Brewhouse!$AY$53:$AY$64,[34]Brewhouse!$AY$66:$AY$73,[34]Brewhouse!$AY$75:$AY$82,[34]Brewhouse!$AY$84:$AY$101,[34]Brewhouse!$AY$103:$AY$110)</f>
        <v>97.792958274585203</v>
      </c>
      <c r="N32" s="30">
        <v>98</v>
      </c>
      <c r="O32" s="11"/>
      <c r="P32" s="31" t="s">
        <v>41</v>
      </c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56" ht="14.65" customHeight="1">
      <c r="A33" s="28"/>
      <c r="B33" s="563"/>
      <c r="C33" s="362"/>
      <c r="D33" s="580"/>
      <c r="E33" s="568"/>
      <c r="F33" s="294"/>
      <c r="G33" s="294"/>
      <c r="H33" s="348"/>
      <c r="I33" s="410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56" ht="14.65" customHeight="1">
      <c r="A34" s="28"/>
      <c r="B34" s="563"/>
      <c r="C34" s="362"/>
      <c r="D34" s="616"/>
      <c r="E34" s="617"/>
      <c r="F34" s="294"/>
      <c r="G34" s="294"/>
      <c r="H34" s="348"/>
      <c r="I34" s="409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" customHeight="1" thickBot="1">
      <c r="A35" s="28"/>
      <c r="B35" s="563"/>
      <c r="C35" s="362"/>
      <c r="D35" s="580"/>
      <c r="E35" s="568"/>
      <c r="F35" s="294"/>
      <c r="G35" s="294"/>
      <c r="H35" s="348"/>
      <c r="I35" s="405" t="s">
        <v>156</v>
      </c>
      <c r="J35" s="327"/>
      <c r="K35" s="406"/>
      <c r="L35" s="407"/>
      <c r="M35" s="407"/>
      <c r="N35" s="408">
        <v>98</v>
      </c>
      <c r="O35" s="11"/>
      <c r="P35" s="31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" customHeight="1" thickBot="1">
      <c r="A36" s="28"/>
      <c r="B36" s="563"/>
      <c r="C36" s="349"/>
      <c r="D36" s="565"/>
      <c r="E36" s="566"/>
      <c r="F36" s="294"/>
      <c r="G36" s="294"/>
      <c r="H36" s="348"/>
      <c r="I36" s="1"/>
      <c r="J36" s="39"/>
      <c r="K36" s="403">
        <f>SUM(K26:K35)</f>
        <v>57</v>
      </c>
      <c r="L36" s="404">
        <f>((L26*K26)+(L27*K27)+(L28*K28)+(L29*K29)+(L30*K30)+(K33*L33)+(L31*K31)+(L32*K32)+(L35*K35))/(K36)</f>
        <v>97.372107491512779</v>
      </c>
      <c r="M36" s="404">
        <f>AVERAGE('[35]Jan30th-31st'!$L$42,'[36]Feb 27th-28th'!$L$45,'[37]Mar 31st'!$L$42,'[38]Apr 30th'!$L$41,'[39]May 29th '!$L$35,'[40]June 30th'!$L$32,[41]July31st!$L$36,'[42]Aug 31st'!$L$32,L36)</f>
        <v>97.906990680331546</v>
      </c>
      <c r="N36" s="40">
        <v>98</v>
      </c>
      <c r="O36" s="11"/>
      <c r="P36" s="31"/>
      <c r="R36" s="277">
        <f t="shared" si="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  <c r="AA36" s="471"/>
    </row>
    <row r="37" spans="1:56" ht="15.75" thickBot="1">
      <c r="B37" s="621"/>
      <c r="C37" s="350"/>
      <c r="D37" s="567"/>
      <c r="E37" s="568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  <c r="AA37" s="471"/>
    </row>
    <row r="38" spans="1:56" ht="15.75" thickBot="1">
      <c r="B38" s="612"/>
      <c r="C38" s="362"/>
      <c r="D38" s="565"/>
      <c r="E38" s="566"/>
      <c r="F38" s="294"/>
      <c r="G38" s="42"/>
      <c r="H38" s="41"/>
      <c r="I38" s="42"/>
      <c r="J38" s="615" t="s">
        <v>129</v>
      </c>
      <c r="K38" s="615"/>
      <c r="L38" s="294"/>
      <c r="M38" s="294"/>
      <c r="N38" s="294"/>
      <c r="O38" s="294"/>
      <c r="P38" s="12"/>
    </row>
    <row r="39" spans="1:56" ht="15.75" thickBot="1">
      <c r="B39" s="613"/>
      <c r="C39" s="362"/>
      <c r="D39" s="567"/>
      <c r="E39" s="568"/>
      <c r="F39" s="294"/>
      <c r="G39" s="42"/>
      <c r="H39" s="42"/>
      <c r="I39" s="42"/>
      <c r="J39" s="292" t="s">
        <v>17</v>
      </c>
      <c r="K39" s="293"/>
      <c r="L39" s="582" t="s">
        <v>136</v>
      </c>
      <c r="M39" s="582"/>
      <c r="N39" s="583"/>
      <c r="O39" s="294"/>
      <c r="P39" s="12"/>
    </row>
    <row r="40" spans="1:56" ht="15" customHeight="1" thickBot="1">
      <c r="B40" s="613"/>
      <c r="C40" s="349"/>
      <c r="D40" s="616"/>
      <c r="E40" s="617"/>
      <c r="F40" s="294"/>
      <c r="G40" s="42"/>
      <c r="H40" s="42"/>
      <c r="I40" s="42"/>
      <c r="J40" s="287" t="s">
        <v>6</v>
      </c>
      <c r="K40" s="324"/>
      <c r="L40" s="472" t="s">
        <v>37</v>
      </c>
      <c r="M40" s="473" t="s">
        <v>38</v>
      </c>
      <c r="N40" s="473" t="s">
        <v>84</v>
      </c>
      <c r="O40" s="294"/>
      <c r="P40" s="12"/>
    </row>
    <row r="41" spans="1:56" ht="15.75" customHeight="1" thickBot="1">
      <c r="B41" s="613"/>
      <c r="C41" s="349"/>
      <c r="D41" s="580"/>
      <c r="E41" s="568"/>
      <c r="F41" s="294"/>
      <c r="G41" s="42"/>
      <c r="H41" s="42"/>
      <c r="I41" s="42"/>
      <c r="J41" s="345" t="s">
        <v>9</v>
      </c>
      <c r="K41" s="324">
        <v>1</v>
      </c>
      <c r="L41" s="484">
        <f>AVERAGE('Oct 1st'!K52,'Oct 2nd'!K44,'Oct 5th'!K51,'Oct 6th'!K58,'Oct 7th'!K47,'Oct 8th '!K46,'Oct 9th-10th'!J57,'Oct 9th-10th'!K57,K50)</f>
        <v>6.333333333333333</v>
      </c>
      <c r="M41" s="485">
        <f>AVERAGE('[35]Jan30th-31st'!$L$47,L41,'[36]Feb 26th '!$L$39,'[37]Mar 31st'!$L$47,'[38]Apr 30th'!$L$46,'[39]May 29th '!$L$40,'[40]June 30th'!$L$39,[41]July31st!$L$41,'[42]Aug 31st'!$L$37,'[43]Sept 30th'!$L$37)</f>
        <v>6.5068674803457416</v>
      </c>
      <c r="N41" s="415">
        <v>9.1999999999999993</v>
      </c>
      <c r="O41" s="294"/>
      <c r="P41" s="12"/>
    </row>
    <row r="42" spans="1:56" ht="15" customHeight="1">
      <c r="B42" s="613"/>
      <c r="C42" s="349"/>
      <c r="D42" s="616"/>
      <c r="E42" s="617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613"/>
      <c r="C43" s="349"/>
      <c r="D43" s="580"/>
      <c r="E43" s="568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613"/>
      <c r="C44" s="349"/>
      <c r="D44" s="616"/>
      <c r="E44" s="617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613"/>
      <c r="C45" s="349"/>
      <c r="D45" s="580"/>
      <c r="E45" s="568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613"/>
      <c r="C46" s="349"/>
      <c r="D46" s="616"/>
      <c r="E46" s="617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614"/>
      <c r="C47" s="350"/>
      <c r="D47" s="618"/>
      <c r="E47" s="619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610"/>
      <c r="E48" s="611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1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90" t="s">
        <v>17</v>
      </c>
      <c r="C53" s="590" t="s">
        <v>44</v>
      </c>
      <c r="D53" s="592" t="s">
        <v>45</v>
      </c>
      <c r="E53" s="547" t="s">
        <v>46</v>
      </c>
      <c r="F53" s="607" t="s">
        <v>47</v>
      </c>
      <c r="G53" s="601" t="s">
        <v>48</v>
      </c>
      <c r="H53" s="590" t="s">
        <v>49</v>
      </c>
      <c r="I53" s="590" t="s">
        <v>50</v>
      </c>
      <c r="J53" s="595" t="s">
        <v>28</v>
      </c>
      <c r="K53" s="545" t="s">
        <v>51</v>
      </c>
      <c r="L53" s="557" t="s">
        <v>52</v>
      </c>
      <c r="M53" s="595" t="s">
        <v>53</v>
      </c>
      <c r="N53" s="13"/>
      <c r="O53" s="13"/>
      <c r="P53" s="50"/>
    </row>
    <row r="54" spans="2:57" ht="28.5" customHeight="1" thickTop="1" thickBot="1">
      <c r="B54" s="609"/>
      <c r="C54" s="591"/>
      <c r="D54" s="593"/>
      <c r="E54" s="594"/>
      <c r="F54" s="608"/>
      <c r="G54" s="602"/>
      <c r="H54" s="609"/>
      <c r="I54" s="609"/>
      <c r="J54" s="596"/>
      <c r="K54" s="605"/>
      <c r="L54" s="606"/>
      <c r="M54" s="596"/>
      <c r="N54" s="13"/>
      <c r="O54" s="13"/>
      <c r="P54" s="50"/>
      <c r="Q54" s="355"/>
      <c r="AB54" s="474">
        <v>43474</v>
      </c>
      <c r="AC54" s="474">
        <v>43475</v>
      </c>
      <c r="AD54" s="474">
        <v>43476</v>
      </c>
      <c r="AE54" s="474">
        <v>43477</v>
      </c>
      <c r="AF54" s="474">
        <v>43478</v>
      </c>
      <c r="AG54" s="474">
        <v>43479</v>
      </c>
      <c r="AH54" s="474">
        <v>43480</v>
      </c>
      <c r="AI54" s="474">
        <v>43481</v>
      </c>
      <c r="AJ54" s="474">
        <v>43482</v>
      </c>
      <c r="AK54" s="474">
        <v>43483</v>
      </c>
      <c r="AL54" s="474">
        <v>43484</v>
      </c>
      <c r="AM54" s="474">
        <v>43485</v>
      </c>
      <c r="AN54" s="474">
        <v>43486</v>
      </c>
      <c r="AO54" s="474">
        <v>43487</v>
      </c>
      <c r="AP54" s="474">
        <v>43488</v>
      </c>
      <c r="AQ54" s="474">
        <v>43489</v>
      </c>
      <c r="AR54" s="474">
        <v>43490</v>
      </c>
      <c r="AS54" s="474">
        <v>43491</v>
      </c>
      <c r="AT54" s="474">
        <v>43492</v>
      </c>
      <c r="AU54" s="474">
        <v>43493</v>
      </c>
      <c r="AV54" s="474">
        <v>43494</v>
      </c>
      <c r="AW54" s="474">
        <v>43495</v>
      </c>
      <c r="AX54" s="474">
        <v>43496</v>
      </c>
    </row>
    <row r="55" spans="2:57" s="54" customFormat="1" ht="36.75" customHeight="1" thickBot="1">
      <c r="B55" s="455" t="str">
        <f>I26</f>
        <v>CARIB</v>
      </c>
      <c r="C55" s="478">
        <v>46307</v>
      </c>
      <c r="D55" s="444">
        <f>[8]October_2026!$O$3</f>
        <v>405.7</v>
      </c>
      <c r="E55" s="442"/>
      <c r="F55" s="443"/>
      <c r="G55" s="443">
        <f>[8]October_2026!$O$7</f>
        <v>382.3</v>
      </c>
      <c r="H55" s="457"/>
      <c r="I55" s="457"/>
      <c r="J55" s="447" t="s">
        <v>173</v>
      </c>
      <c r="K55" s="448">
        <f>[9]October_2026!$O$18</f>
        <v>0.67070175438596491</v>
      </c>
      <c r="L55" s="456">
        <f>(((D55+E55)-G55)/(D55+E55))*100</f>
        <v>5.7678087256593482</v>
      </c>
      <c r="M55" s="454" t="s">
        <v>171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[27]January_2019!L5</f>
        <v>0</v>
      </c>
      <c r="AC55" s="57">
        <f>[27]January_2019!M5</f>
        <v>0</v>
      </c>
      <c r="AD55" s="57">
        <f>[27]January_2019!N5</f>
        <v>0</v>
      </c>
      <c r="AE55" s="57">
        <f>[27]January_2019!O5</f>
        <v>0</v>
      </c>
      <c r="AF55" s="57">
        <f>[27]January_2019!P5</f>
        <v>0</v>
      </c>
      <c r="AG55" s="57">
        <f>[27]January_2019!Q5</f>
        <v>0</v>
      </c>
      <c r="AH55" s="57">
        <f>[27]January_2019!R5</f>
        <v>0</v>
      </c>
      <c r="AI55" s="57">
        <f>[27]January_2019!S5</f>
        <v>0</v>
      </c>
      <c r="AJ55" s="57">
        <f>[27]January_2019!T5</f>
        <v>0</v>
      </c>
      <c r="AK55" s="57">
        <f>[27]January_2019!U5</f>
        <v>0</v>
      </c>
      <c r="AL55" s="57">
        <f>[27]January_2019!V5</f>
        <v>0</v>
      </c>
      <c r="AM55" s="57">
        <f>[27]January_2019!W5</f>
        <v>0</v>
      </c>
      <c r="AN55" s="57">
        <f>[27]January_2019!X5</f>
        <v>0</v>
      </c>
      <c r="AO55" s="57">
        <f>[27]January_2019!Y5</f>
        <v>0</v>
      </c>
      <c r="AP55" s="57">
        <f>[27]January_2019!Z5</f>
        <v>0</v>
      </c>
      <c r="AQ55" s="57">
        <f>[27]January_2019!AA5</f>
        <v>0</v>
      </c>
      <c r="AR55" s="57">
        <f>[27]January_2019!AB5</f>
        <v>0</v>
      </c>
      <c r="AS55" s="57">
        <f>[27]January_2019!AC5</f>
        <v>0</v>
      </c>
      <c r="AT55" s="57">
        <f>[27]January_2019!AD5</f>
        <v>0</v>
      </c>
      <c r="AU55" s="57">
        <f>[27]January_2019!AE5</f>
        <v>0</v>
      </c>
      <c r="AV55" s="57">
        <f>[27]January_2019!AF5</f>
        <v>0</v>
      </c>
      <c r="AW55" s="57">
        <f>[27]January_2019!AG5</f>
        <v>0</v>
      </c>
      <c r="AX55" s="277">
        <f>[27]January_2019!AH5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79"/>
      <c r="C56" s="478"/>
      <c r="D56" s="441"/>
      <c r="E56" s="442"/>
      <c r="F56" s="443"/>
      <c r="G56" s="444"/>
      <c r="H56" s="457"/>
      <c r="I56" s="457"/>
      <c r="J56" s="475"/>
      <c r="K56" s="44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[27]January_2019!L6</f>
        <v>0</v>
      </c>
      <c r="AC56" s="57">
        <f>[27]January_2019!M6</f>
        <v>0</v>
      </c>
      <c r="AD56" s="57">
        <f>[27]January_2019!N6</f>
        <v>0</v>
      </c>
      <c r="AE56" s="57">
        <f>[27]January_2019!O6</f>
        <v>0</v>
      </c>
      <c r="AF56" s="57">
        <f>[27]January_2019!P6</f>
        <v>0</v>
      </c>
      <c r="AG56" s="57">
        <f>[27]January_2019!Q6</f>
        <v>0</v>
      </c>
      <c r="AH56" s="57">
        <f>[27]January_2019!R6</f>
        <v>0</v>
      </c>
      <c r="AI56" s="57">
        <f>[27]January_2019!S6</f>
        <v>0</v>
      </c>
      <c r="AJ56" s="57">
        <f>[27]January_2019!T6</f>
        <v>0</v>
      </c>
      <c r="AK56" s="57">
        <f>[27]January_2019!U6</f>
        <v>0</v>
      </c>
      <c r="AL56" s="57">
        <f>[27]January_2019!V6</f>
        <v>0</v>
      </c>
      <c r="AM56" s="57">
        <f>[27]January_2019!W6</f>
        <v>0</v>
      </c>
      <c r="AN56" s="57">
        <f>[27]January_2019!X6</f>
        <v>0</v>
      </c>
      <c r="AO56" s="57">
        <f>[27]January_2019!Y6</f>
        <v>0</v>
      </c>
      <c r="AP56" s="57">
        <f>[27]January_2019!Z6</f>
        <v>0</v>
      </c>
      <c r="AQ56" s="57">
        <f>[27]January_2019!AA6</f>
        <v>0</v>
      </c>
      <c r="AR56" s="57">
        <f>[27]January_2019!AB6</f>
        <v>0</v>
      </c>
      <c r="AS56" s="57">
        <f>[27]January_2019!AC6</f>
        <v>0</v>
      </c>
      <c r="AT56" s="57">
        <f>[27]January_2019!AD6</f>
        <v>0</v>
      </c>
      <c r="AU56" s="57">
        <f>[27]January_2019!AE6</f>
        <v>0</v>
      </c>
      <c r="AV56" s="57">
        <f>[27]January_2019!AF6</f>
        <v>0</v>
      </c>
      <c r="AW56" s="57">
        <f>[27]January_2019!AG6</f>
        <v>0</v>
      </c>
      <c r="AX56" s="277">
        <f>[27]January_2019!AH6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9" t="str">
        <f>J41</f>
        <v>STAG</v>
      </c>
      <c r="C57" s="478">
        <v>46303</v>
      </c>
      <c r="D57" s="441">
        <f>[8]October_2026!$K$13</f>
        <v>292</v>
      </c>
      <c r="E57" s="442"/>
      <c r="F57" s="443"/>
      <c r="G57" s="443">
        <f>[8]October_2026!$K$17</f>
        <v>278</v>
      </c>
      <c r="H57" s="445"/>
      <c r="I57" s="445"/>
      <c r="J57" s="447" t="s">
        <v>150</v>
      </c>
      <c r="K57" s="448">
        <f>[9]October_2026!$K$25</f>
        <v>0.9754385964912281</v>
      </c>
      <c r="L57" s="456">
        <f>(((D57+E57)-G57)/(D57+E57))*100</f>
        <v>4.7945205479452051</v>
      </c>
      <c r="M57" s="454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[27]January_2019!L7</f>
        <v>285.8</v>
      </c>
      <c r="AC57" s="57">
        <f>[27]January_2019!M7</f>
        <v>508.1</v>
      </c>
      <c r="AD57" s="57">
        <f>[27]January_2019!N7</f>
        <v>0</v>
      </c>
      <c r="AE57" s="57">
        <f>[27]January_2019!O7</f>
        <v>0</v>
      </c>
      <c r="AF57" s="57">
        <f>[27]January_2019!P7</f>
        <v>109.56666666666666</v>
      </c>
      <c r="AG57" s="57">
        <f>[27]January_2019!Q7</f>
        <v>297.64999999999998</v>
      </c>
      <c r="AH57" s="57">
        <f>[27]January_2019!R7</f>
        <v>122.3</v>
      </c>
      <c r="AI57" s="57">
        <f>[27]January_2019!S7</f>
        <v>0</v>
      </c>
      <c r="AJ57" s="57">
        <f>[27]January_2019!T7</f>
        <v>294.7</v>
      </c>
      <c r="AK57" s="57">
        <f>[27]January_2019!U7</f>
        <v>280.5</v>
      </c>
      <c r="AL57" s="57">
        <f>[27]January_2019!V7</f>
        <v>0</v>
      </c>
      <c r="AM57" s="57">
        <f>[27]January_2019!W7</f>
        <v>0</v>
      </c>
      <c r="AN57" s="57">
        <f>[27]January_2019!X7</f>
        <v>188.25</v>
      </c>
      <c r="AO57" s="57">
        <f>[27]January_2019!Y7</f>
        <v>295.7</v>
      </c>
      <c r="AP57" s="57">
        <f>[27]January_2019!Z7</f>
        <v>257.8</v>
      </c>
      <c r="AQ57" s="57">
        <f>[27]January_2019!AA7</f>
        <v>291.2</v>
      </c>
      <c r="AR57" s="57">
        <f>[27]January_2019!AB7</f>
        <v>187</v>
      </c>
      <c r="AS57" s="57">
        <f>[27]January_2019!AC7</f>
        <v>0</v>
      </c>
      <c r="AT57" s="57">
        <f>[27]January_2019!AD7</f>
        <v>0</v>
      </c>
      <c r="AU57" s="57">
        <f>[27]January_2019!AE7</f>
        <v>485.1</v>
      </c>
      <c r="AV57" s="57">
        <f>[27]January_2019!AF7</f>
        <v>171.55</v>
      </c>
      <c r="AW57" s="57">
        <f>[27]January_2019!AG7</f>
        <v>423.8</v>
      </c>
      <c r="AX57" s="277">
        <f>[27]January_2019!AH7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7"/>
      <c r="C58" s="429"/>
      <c r="D58" s="430"/>
      <c r="E58" s="431"/>
      <c r="F58" s="432"/>
      <c r="G58" s="433"/>
      <c r="H58" s="457"/>
      <c r="I58" s="457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6"/>
      <c r="C59" s="478"/>
      <c r="D59" s="441"/>
      <c r="E59" s="442"/>
      <c r="F59" s="443"/>
      <c r="G59" s="444"/>
      <c r="H59" s="457"/>
      <c r="I59" s="457"/>
      <c r="J59" s="447"/>
      <c r="K59" s="45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2"/>
      <c r="C60" s="429"/>
      <c r="D60" s="430"/>
      <c r="E60" s="431"/>
      <c r="F60" s="432"/>
      <c r="G60" s="433"/>
      <c r="H60" s="434"/>
      <c r="I60" s="449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0"/>
      <c r="C61" s="478"/>
      <c r="D61" s="441"/>
      <c r="E61" s="442"/>
      <c r="F61" s="443"/>
      <c r="G61" s="444"/>
      <c r="H61" s="445"/>
      <c r="I61" s="446"/>
      <c r="J61" s="447"/>
      <c r="K61" s="44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6"/>
      <c r="C62" s="422"/>
      <c r="D62" s="423"/>
      <c r="E62" s="424"/>
      <c r="F62" s="425"/>
      <c r="G62" s="426"/>
      <c r="H62" s="427"/>
      <c r="I62" s="437"/>
      <c r="J62" s="438"/>
      <c r="K62" s="428"/>
      <c r="L62" s="439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4"/>
      <c r="AC62" s="414"/>
      <c r="AD62" s="414"/>
      <c r="AE62" s="414"/>
      <c r="AF62" s="414"/>
      <c r="AG62" s="414"/>
      <c r="AH62" s="414"/>
      <c r="AI62" s="414"/>
      <c r="AJ62" s="414"/>
      <c r="AK62" s="414"/>
      <c r="AL62" s="414"/>
      <c r="AM62" s="414"/>
      <c r="AN62" s="414"/>
      <c r="AO62" s="414"/>
      <c r="AP62" s="414"/>
      <c r="AQ62" s="414"/>
      <c r="AR62" s="414"/>
      <c r="AS62" s="414"/>
      <c r="AT62" s="414"/>
      <c r="AU62" s="414"/>
      <c r="AV62" s="414"/>
      <c r="AW62" s="414"/>
    </row>
    <row r="63" spans="2:57" s="54" customFormat="1" ht="37.15" hidden="1" customHeight="1" thickBot="1">
      <c r="B63" s="455"/>
      <c r="C63" s="440"/>
      <c r="D63" s="441"/>
      <c r="E63" s="442"/>
      <c r="F63" s="443"/>
      <c r="G63" s="444"/>
      <c r="H63" s="445"/>
      <c r="I63" s="446"/>
      <c r="J63" s="447"/>
      <c r="K63" s="448"/>
      <c r="L63" s="456"/>
      <c r="M63" s="453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>
      <c r="B64" s="465"/>
      <c r="C64" s="429"/>
      <c r="D64" s="459"/>
      <c r="E64" s="460"/>
      <c r="F64" s="461"/>
      <c r="G64" s="459"/>
      <c r="H64" s="462"/>
      <c r="I64" s="462"/>
      <c r="J64" s="462"/>
      <c r="K64" s="463"/>
      <c r="L64" s="464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97" t="s">
        <v>55</v>
      </c>
      <c r="C66" s="598"/>
      <c r="D66" s="598"/>
      <c r="E66" s="598"/>
      <c r="F66" s="599"/>
      <c r="G66" s="597" t="s">
        <v>56</v>
      </c>
      <c r="H66" s="598"/>
      <c r="I66" s="598"/>
      <c r="J66" s="599"/>
      <c r="K66" s="597" t="s">
        <v>51</v>
      </c>
      <c r="L66" s="598"/>
      <c r="M66" s="598"/>
      <c r="N66" s="600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L55</f>
        <v>5.7678087256593482</v>
      </c>
      <c r="D68" s="76">
        <v>5.0617025726835605</v>
      </c>
      <c r="E68" s="76">
        <v>6.3604414265175544</v>
      </c>
      <c r="F68" s="66">
        <v>4.8</v>
      </c>
      <c r="G68" s="65">
        <f>[8]October_2026!$O$11</f>
        <v>6.8300073390577118</v>
      </c>
      <c r="H68" s="476">
        <v>5.7985102036843639</v>
      </c>
      <c r="I68" s="476">
        <v>6.4878376975724041</v>
      </c>
      <c r="J68" s="66">
        <v>4.8</v>
      </c>
      <c r="K68" s="67">
        <f>K55</f>
        <v>0.67070175438596491</v>
      </c>
      <c r="L68" s="194">
        <v>0.76686716791979959</v>
      </c>
      <c r="M68" s="194">
        <v>0.55336583801067774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5.062325108114992</v>
      </c>
      <c r="E69" s="76">
        <v>6.0120934601385283</v>
      </c>
      <c r="F69" s="66">
        <v>4.8</v>
      </c>
      <c r="G69" s="65"/>
      <c r="H69" s="76">
        <v>5.6760230336831157</v>
      </c>
      <c r="I69" s="76">
        <v>5.9217471497494181</v>
      </c>
      <c r="J69" s="66">
        <v>4.8</v>
      </c>
      <c r="K69" s="67"/>
      <c r="L69" s="194">
        <v>0.65473684210526317</v>
      </c>
      <c r="M69" s="194">
        <v>0.68123957181115813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10.890214570112384</v>
      </c>
      <c r="F70" s="66">
        <v>5.5</v>
      </c>
      <c r="G70" s="65"/>
      <c r="H70" s="76"/>
      <c r="I70" s="76">
        <v>11.797659278069149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>
        <v>2.6160971335586405</v>
      </c>
      <c r="E71" s="76">
        <v>4.6053599467161712</v>
      </c>
      <c r="F71" s="66">
        <v>3.3</v>
      </c>
      <c r="G71" s="65"/>
      <c r="H71" s="76">
        <v>4.0562064167659644</v>
      </c>
      <c r="I71" s="76">
        <v>4.7835858167498584</v>
      </c>
      <c r="J71" s="66">
        <v>3.3</v>
      </c>
      <c r="K71" s="67"/>
      <c r="L71" s="194">
        <v>1.3649122807017544</v>
      </c>
      <c r="M71" s="194">
        <v>0.83244019138755987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6.3233965672990236</v>
      </c>
      <c r="F73" s="70">
        <v>5.5</v>
      </c>
      <c r="G73" s="65"/>
      <c r="H73" s="76"/>
      <c r="I73" s="76">
        <v>7.9667553186446929</v>
      </c>
      <c r="J73" s="66">
        <v>5.5</v>
      </c>
      <c r="K73" s="67"/>
      <c r="L73" s="194"/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1"/>
      <c r="D74" s="76"/>
      <c r="E74" s="76">
        <v>3.9973372218347856</v>
      </c>
      <c r="F74" s="66">
        <v>3.3</v>
      </c>
      <c r="G74" s="282"/>
      <c r="H74" s="76"/>
      <c r="I74" s="76">
        <v>5.1096183510504902</v>
      </c>
      <c r="J74" s="66">
        <v>3.3</v>
      </c>
      <c r="K74" s="67"/>
      <c r="L74" s="194"/>
      <c r="M74" s="194">
        <v>0.89057130004498408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3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4.7006414166620489</v>
      </c>
      <c r="E77" s="76">
        <v>6.2947585755243551</v>
      </c>
      <c r="F77" s="341">
        <v>5.5</v>
      </c>
      <c r="H77" s="76">
        <v>5.4371284316169559</v>
      </c>
      <c r="I77" s="76">
        <v>6.6050831455670282</v>
      </c>
      <c r="J77" s="341">
        <v>5.5</v>
      </c>
      <c r="L77" s="194">
        <v>0.80424561403508787</v>
      </c>
      <c r="M77" s="194">
        <v>0.60603788058401398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1152" priority="123" operator="notBetween">
      <formula>#REF!</formula>
      <formula>#REF!</formula>
    </cfRule>
  </conditionalFormatting>
  <conditionalFormatting sqref="C52">
    <cfRule type="cellIs" dxfId="1151" priority="206" stopIfTrue="1" operator="greaterThan">
      <formula>100</formula>
    </cfRule>
    <cfRule type="cellIs" dxfId="1150" priority="205" stopIfTrue="1" operator="lessThan">
      <formula>96</formula>
    </cfRule>
  </conditionalFormatting>
  <conditionalFormatting sqref="C68:C69">
    <cfRule type="cellIs" dxfId="1149" priority="88" stopIfTrue="1" operator="greaterThan">
      <formula>$F68</formula>
    </cfRule>
    <cfRule type="cellIs" dxfId="1148" priority="89" stopIfTrue="1" operator="lessThanOrEqual">
      <formula>0</formula>
    </cfRule>
    <cfRule type="cellIs" dxfId="1147" priority="86" stopIfTrue="1" operator="greaterThan">
      <formula>$F68</formula>
    </cfRule>
    <cfRule type="cellIs" dxfId="1146" priority="87" stopIfTrue="1" operator="lessThanOrEqual">
      <formula>0</formula>
    </cfRule>
  </conditionalFormatting>
  <conditionalFormatting sqref="C70:C72 C74:C76">
    <cfRule type="cellIs" dxfId="1145" priority="95" stopIfTrue="1" operator="greaterThan">
      <formula>$F73</formula>
    </cfRule>
  </conditionalFormatting>
  <conditionalFormatting sqref="C70:C72">
    <cfRule type="cellIs" dxfId="1144" priority="96" stopIfTrue="1" operator="lessThanOrEqual">
      <formula>0</formula>
    </cfRule>
  </conditionalFormatting>
  <conditionalFormatting sqref="C73">
    <cfRule type="cellIs" dxfId="1143" priority="209" stopIfTrue="1" operator="greaterThan">
      <formula>$F68</formula>
    </cfRule>
    <cfRule type="cellIs" dxfId="1142" priority="210" stopIfTrue="1" operator="lessThanOrEqual">
      <formula>0</formula>
    </cfRule>
    <cfRule type="cellIs" dxfId="1141" priority="208" stopIfTrue="1" operator="lessThanOrEqual">
      <formula>0</formula>
    </cfRule>
    <cfRule type="cellIs" dxfId="1140" priority="207" stopIfTrue="1" operator="greaterThan">
      <formula>$F68</formula>
    </cfRule>
  </conditionalFormatting>
  <conditionalFormatting sqref="C74:C76">
    <cfRule type="cellIs" dxfId="1139" priority="97" stopIfTrue="1" operator="lessThanOrEqual">
      <formula>0</formula>
    </cfRule>
  </conditionalFormatting>
  <conditionalFormatting sqref="C79:C83">
    <cfRule type="cellIs" dxfId="1138" priority="197" stopIfTrue="1" operator="lessThanOrEqual">
      <formula>0</formula>
    </cfRule>
  </conditionalFormatting>
  <conditionalFormatting sqref="C80:C83">
    <cfRule type="cellIs" dxfId="1137" priority="196" stopIfTrue="1" operator="greaterThan">
      <formula>$F$79</formula>
    </cfRule>
  </conditionalFormatting>
  <conditionalFormatting sqref="C85">
    <cfRule type="cellIs" dxfId="1136" priority="199" stopIfTrue="1" operator="lessThanOrEqual">
      <formula>0</formula>
    </cfRule>
    <cfRule type="cellIs" dxfId="1135" priority="198" stopIfTrue="1" operator="greaterThan">
      <formula>$F$79</formula>
    </cfRule>
  </conditionalFormatting>
  <conditionalFormatting sqref="C73:D73">
    <cfRule type="cellIs" dxfId="1134" priority="84" stopIfTrue="1" operator="greaterThan">
      <formula>$J73</formula>
    </cfRule>
    <cfRule type="cellIs" dxfId="1133" priority="85" stopIfTrue="1" operator="lessThanOrEqual">
      <formula>0</formula>
    </cfRule>
  </conditionalFormatting>
  <conditionalFormatting sqref="C79:D79 D81:D87">
    <cfRule type="cellIs" dxfId="1132" priority="191" stopIfTrue="1" operator="greaterThan">
      <formula>4.5</formula>
    </cfRule>
  </conditionalFormatting>
  <conditionalFormatting sqref="D48:D49">
    <cfRule type="cellIs" dxfId="1131" priority="124" operator="notBetween">
      <formula>#REF!</formula>
      <formula>#REF!</formula>
    </cfRule>
  </conditionalFormatting>
  <conditionalFormatting sqref="D68:D72 D74:D75">
    <cfRule type="cellIs" dxfId="1130" priority="94" stopIfTrue="1" operator="lessThanOrEqual">
      <formula>0</formula>
    </cfRule>
  </conditionalFormatting>
  <conditionalFormatting sqref="D68:D72 D74:D77">
    <cfRule type="cellIs" dxfId="1129" priority="91" stopIfTrue="1" operator="greaterThan">
      <formula>$F68</formula>
    </cfRule>
    <cfRule type="cellIs" dxfId="1128" priority="90" stopIfTrue="1" operator="lessThanOrEqual">
      <formula>0</formula>
    </cfRule>
  </conditionalFormatting>
  <conditionalFormatting sqref="D76:D77">
    <cfRule type="cellIs" dxfId="1127" priority="92" stopIfTrue="1" operator="lessThanOrEqual">
      <formula>0</formula>
    </cfRule>
  </conditionalFormatting>
  <conditionalFormatting sqref="D77">
    <cfRule type="cellIs" dxfId="1126" priority="93" stopIfTrue="1" operator="lessThanOrEqual">
      <formula>0</formula>
    </cfRule>
  </conditionalFormatting>
  <conditionalFormatting sqref="D79 D81:D87">
    <cfRule type="cellIs" dxfId="1125" priority="192" stopIfTrue="1" operator="lessThanOrEqual">
      <formula>0</formula>
    </cfRule>
  </conditionalFormatting>
  <conditionalFormatting sqref="D80">
    <cfRule type="cellIs" dxfId="1124" priority="183" stopIfTrue="1" operator="greaterThan">
      <formula>$F$79</formula>
    </cfRule>
    <cfRule type="cellIs" dxfId="1123" priority="184" stopIfTrue="1" operator="lessThanOrEqual">
      <formula>0</formula>
    </cfRule>
  </conditionalFormatting>
  <conditionalFormatting sqref="E10:E23">
    <cfRule type="cellIs" dxfId="1122" priority="17" operator="lessThan">
      <formula>48</formula>
    </cfRule>
  </conditionalFormatting>
  <conditionalFormatting sqref="E51 E52:F52">
    <cfRule type="cellIs" dxfId="1121" priority="188" stopIfTrue="1" operator="greaterThan">
      <formula>100</formula>
    </cfRule>
  </conditionalFormatting>
  <conditionalFormatting sqref="E52">
    <cfRule type="cellIs" dxfId="1120" priority="186" stopIfTrue="1" operator="greaterThan">
      <formula>100</formula>
    </cfRule>
    <cfRule type="cellIs" dxfId="1119" priority="185" stopIfTrue="1" operator="lessThan">
      <formula>96.8</formula>
    </cfRule>
  </conditionalFormatting>
  <conditionalFormatting sqref="E68:E76">
    <cfRule type="cellIs" dxfId="1118" priority="57" stopIfTrue="1" operator="lessThanOrEqual">
      <formula>0</formula>
    </cfRule>
  </conditionalFormatting>
  <conditionalFormatting sqref="E68:E77">
    <cfRule type="cellIs" dxfId="1117" priority="59" stopIfTrue="1" operator="lessThanOrEqual">
      <formula>0</formula>
    </cfRule>
    <cfRule type="cellIs" dxfId="1116" priority="58" stopIfTrue="1" operator="greaterThan">
      <formula>$F68</formula>
    </cfRule>
  </conditionalFormatting>
  <conditionalFormatting sqref="E77">
    <cfRule type="cellIs" dxfId="1115" priority="60" stopIfTrue="1" operator="lessThanOrEqual">
      <formula>0</formula>
    </cfRule>
  </conditionalFormatting>
  <conditionalFormatting sqref="E79:E87">
    <cfRule type="cellIs" dxfId="1114" priority="177" stopIfTrue="1" operator="greaterThan">
      <formula>4.5</formula>
    </cfRule>
    <cfRule type="cellIs" dxfId="1113" priority="178" stopIfTrue="1" operator="lessThanOrEqual">
      <formula>0</formula>
    </cfRule>
  </conditionalFormatting>
  <conditionalFormatting sqref="E52:F52 E51">
    <cfRule type="cellIs" dxfId="1112" priority="187" stopIfTrue="1" operator="lessThan">
      <formula>96.5</formula>
    </cfRule>
  </conditionalFormatting>
  <conditionalFormatting sqref="F10:F11">
    <cfRule type="cellIs" dxfId="1111" priority="18" operator="greaterThan">
      <formula>60</formula>
    </cfRule>
  </conditionalFormatting>
  <conditionalFormatting sqref="F21:F23">
    <cfRule type="cellIs" dxfId="1110" priority="28" operator="greaterThan">
      <formula>60</formula>
    </cfRule>
  </conditionalFormatting>
  <conditionalFormatting sqref="F52">
    <cfRule type="cellIs" dxfId="1109" priority="204" stopIfTrue="1" operator="greaterThan">
      <formula>100</formula>
    </cfRule>
    <cfRule type="cellIs" dxfId="1108" priority="203" stopIfTrue="1" operator="lessThan">
      <formula>96.8</formula>
    </cfRule>
  </conditionalFormatting>
  <conditionalFormatting sqref="G12:G23">
    <cfRule type="expression" dxfId="1107" priority="30">
      <formula>IF(+(IF(G12&lt;S12,0,IF(G12&gt;T12,0,1)))=0,1)</formula>
    </cfRule>
  </conditionalFormatting>
  <conditionalFormatting sqref="G68:G71 F77">
    <cfRule type="cellIs" dxfId="1106" priority="67" stopIfTrue="1" operator="lessThanOrEqual">
      <formula>0</formula>
    </cfRule>
    <cfRule type="cellIs" dxfId="1105" priority="66" stopIfTrue="1" operator="greaterThan">
      <formula>$F68</formula>
    </cfRule>
  </conditionalFormatting>
  <conditionalFormatting sqref="G70:G71">
    <cfRule type="cellIs" dxfId="1104" priority="52" stopIfTrue="1" operator="greaterThan">
      <formula>$F70</formula>
    </cfRule>
    <cfRule type="cellIs" dxfId="1103" priority="53" stopIfTrue="1" operator="lessThanOrEqual">
      <formula>0</formula>
    </cfRule>
  </conditionalFormatting>
  <conditionalFormatting sqref="G72:G76">
    <cfRule type="cellIs" dxfId="1102" priority="69" stopIfTrue="1" operator="lessThanOrEqual">
      <formula>0</formula>
    </cfRule>
    <cfRule type="cellIs" dxfId="1101" priority="68" stopIfTrue="1" operator="greaterThan">
      <formula>$J72</formula>
    </cfRule>
  </conditionalFormatting>
  <conditionalFormatting sqref="G73">
    <cfRule type="cellIs" dxfId="1100" priority="211" stopIfTrue="1" operator="greaterThan">
      <formula>$F68</formula>
    </cfRule>
    <cfRule type="cellIs" dxfId="1099" priority="212" stopIfTrue="1" operator="lessThanOrEqual">
      <formula>0</formula>
    </cfRule>
  </conditionalFormatting>
  <conditionalFormatting sqref="G81:G86 C84 C86">
    <cfRule type="cellIs" dxfId="1098" priority="201" stopIfTrue="1" operator="lessThanOrEqual">
      <formula>0</formula>
    </cfRule>
    <cfRule type="cellIs" dxfId="1097" priority="200" stopIfTrue="1" operator="greaterThan">
      <formula>4.5</formula>
    </cfRule>
  </conditionalFormatting>
  <conditionalFormatting sqref="G11:H11">
    <cfRule type="expression" dxfId="1096" priority="33">
      <formula>IF(+(IF(G11&lt;#REF!,0,IF(G11&gt;#REF!,0,1)))=0,1)</formula>
    </cfRule>
  </conditionalFormatting>
  <conditionalFormatting sqref="G80:H80">
    <cfRule type="cellIs" dxfId="1095" priority="181" stopIfTrue="1" operator="greaterThan">
      <formula>$F$79</formula>
    </cfRule>
    <cfRule type="cellIs" dxfId="1094" priority="182" stopIfTrue="1" operator="lessThanOrEqual">
      <formula>0</formula>
    </cfRule>
  </conditionalFormatting>
  <conditionalFormatting sqref="H10 M10:N11">
    <cfRule type="expression" dxfId="1093" priority="20">
      <formula>IF(+(IF(H10&lt;#REF!,0,IF(H10&gt;#REF!,0,1)))=0,1)</formula>
    </cfRule>
  </conditionalFormatting>
  <conditionalFormatting sqref="H12:H23">
    <cfRule type="expression" dxfId="1092" priority="31">
      <formula>IF(+(IF(H12&lt;#REF!,0,IF(H12&gt;#REF!,0,1)))=0,1)</formula>
    </cfRule>
  </conditionalFormatting>
  <conditionalFormatting sqref="H37:H38 H51">
    <cfRule type="cellIs" dxfId="1091" priority="179" stopIfTrue="1" operator="greaterThan">
      <formula>0</formula>
    </cfRule>
  </conditionalFormatting>
  <conditionalFormatting sqref="H55">
    <cfRule type="cellIs" dxfId="1090" priority="82" stopIfTrue="1" operator="greaterThan">
      <formula>$F$69</formula>
    </cfRule>
    <cfRule type="cellIs" dxfId="1089" priority="81" stopIfTrue="1" operator="lessThanOrEqual">
      <formula>0</formula>
    </cfRule>
    <cfRule type="cellIs" dxfId="1088" priority="80" stopIfTrue="1" operator="greaterThan">
      <formula>$F$71</formula>
    </cfRule>
    <cfRule type="cellIs" dxfId="1087" priority="71" stopIfTrue="1" operator="lessThanOrEqual">
      <formula>0</formula>
    </cfRule>
    <cfRule type="cellIs" dxfId="1086" priority="72" stopIfTrue="1" operator="greaterThan">
      <formula>$F$68</formula>
    </cfRule>
  </conditionalFormatting>
  <conditionalFormatting sqref="H55:H56">
    <cfRule type="cellIs" dxfId="1085" priority="83" stopIfTrue="1" operator="lessThanOrEqual">
      <formula>0</formula>
    </cfRule>
  </conditionalFormatting>
  <conditionalFormatting sqref="H56 H58:H59">
    <cfRule type="cellIs" dxfId="1084" priority="109" stopIfTrue="1" operator="lessThanOrEqual">
      <formula>0</formula>
    </cfRule>
  </conditionalFormatting>
  <conditionalFormatting sqref="H56">
    <cfRule type="cellIs" dxfId="1083" priority="106" stopIfTrue="1" operator="greaterThan">
      <formula>$F$71</formula>
    </cfRule>
    <cfRule type="cellIs" dxfId="1082" priority="98" stopIfTrue="1" operator="greaterThan">
      <formula>$F$68</formula>
    </cfRule>
    <cfRule type="cellIs" dxfId="1081" priority="107" stopIfTrue="1" operator="lessThanOrEqual">
      <formula>0</formula>
    </cfRule>
    <cfRule type="cellIs" dxfId="1080" priority="108" stopIfTrue="1" operator="greaterThan">
      <formula>$F$69</formula>
    </cfRule>
  </conditionalFormatting>
  <conditionalFormatting sqref="H57">
    <cfRule type="cellIs" dxfId="1079" priority="38" stopIfTrue="1" operator="lessThanOrEqual">
      <formula>0</formula>
    </cfRule>
    <cfRule type="cellIs" dxfId="1078" priority="39" stopIfTrue="1" operator="greaterThan">
      <formula>$F$70</formula>
    </cfRule>
    <cfRule type="cellIs" dxfId="1077" priority="47" stopIfTrue="1" operator="greaterThan">
      <formula>$F$73</formula>
    </cfRule>
    <cfRule type="cellIs" dxfId="1076" priority="48" stopIfTrue="1" operator="lessThanOrEqual">
      <formula>0</formula>
    </cfRule>
    <cfRule type="cellIs" dxfId="1075" priority="49" stopIfTrue="1" operator="greaterThan">
      <formula>$F$71</formula>
    </cfRule>
    <cfRule type="cellIs" dxfId="1074" priority="50" stopIfTrue="1" operator="lessThanOrEqual">
      <formula>0</formula>
    </cfRule>
  </conditionalFormatting>
  <conditionalFormatting sqref="H58:H59">
    <cfRule type="cellIs" dxfId="1073" priority="119" stopIfTrue="1" operator="greaterThan">
      <formula>$F$71</formula>
    </cfRule>
    <cfRule type="cellIs" dxfId="1072" priority="111" stopIfTrue="1" operator="greaterThan">
      <formula>$F$68</formula>
    </cfRule>
    <cfRule type="cellIs" dxfId="1071" priority="121" stopIfTrue="1" operator="greaterThan">
      <formula>$F$69</formula>
    </cfRule>
    <cfRule type="cellIs" dxfId="1070" priority="122" stopIfTrue="1" operator="lessThanOrEqual">
      <formula>0</formula>
    </cfRule>
    <cfRule type="cellIs" dxfId="1069" priority="120" stopIfTrue="1" operator="lessThanOrEqual">
      <formula>0</formula>
    </cfRule>
  </conditionalFormatting>
  <conditionalFormatting sqref="H60:H61">
    <cfRule type="cellIs" dxfId="1068" priority="147" stopIfTrue="1" operator="greaterThan">
      <formula>#REF!</formula>
    </cfRule>
    <cfRule type="cellIs" dxfId="1067" priority="146" stopIfTrue="1" operator="lessThanOrEqual">
      <formula>0</formula>
    </cfRule>
    <cfRule type="cellIs" dxfId="1066" priority="155" stopIfTrue="1" operator="greaterThan">
      <formula>#REF!</formula>
    </cfRule>
    <cfRule type="cellIs" dxfId="1065" priority="156" stopIfTrue="1" operator="lessThanOrEqual">
      <formula>0</formula>
    </cfRule>
  </conditionalFormatting>
  <conditionalFormatting sqref="H62">
    <cfRule type="cellIs" dxfId="1064" priority="170" stopIfTrue="1" operator="lessThanOrEqual">
      <formula>0</formula>
    </cfRule>
    <cfRule type="cellIs" dxfId="1063" priority="167" stopIfTrue="1" operator="greaterThan">
      <formula>$F$39</formula>
    </cfRule>
    <cfRule type="cellIs" dxfId="1062" priority="158" stopIfTrue="1" operator="lessThanOrEqual">
      <formula>0</formula>
    </cfRule>
    <cfRule type="cellIs" dxfId="1061" priority="159" stopIfTrue="1" operator="greaterThan">
      <formula>$F$36</formula>
    </cfRule>
    <cfRule type="cellIs" dxfId="1060" priority="168" stopIfTrue="1" operator="lessThanOrEqual">
      <formula>0</formula>
    </cfRule>
    <cfRule type="cellIs" dxfId="1059" priority="169" stopIfTrue="1" operator="greaterThan">
      <formula>$F$37</formula>
    </cfRule>
  </conditionalFormatting>
  <conditionalFormatting sqref="H63:H64">
    <cfRule type="cellIs" dxfId="1058" priority="134" stopIfTrue="1" operator="lessThanOrEqual">
      <formula>0</formula>
    </cfRule>
    <cfRule type="cellIs" dxfId="1057" priority="143" stopIfTrue="1" operator="greaterThan">
      <formula>#REF!</formula>
    </cfRule>
    <cfRule type="cellIs" dxfId="1056" priority="135" stopIfTrue="1" operator="greaterThan">
      <formula>#REF!</formula>
    </cfRule>
    <cfRule type="cellIs" dxfId="1055" priority="144" stopIfTrue="1" operator="lessThanOrEqual">
      <formula>0</formula>
    </cfRule>
  </conditionalFormatting>
  <conditionalFormatting sqref="H79 H81:H87">
    <cfRule type="cellIs" dxfId="1054" priority="193" stopIfTrue="1" operator="greaterThan">
      <formula>4.5</formula>
    </cfRule>
    <cfRule type="cellIs" dxfId="1053" priority="194" stopIfTrue="1" operator="lessThanOrEqual">
      <formula>0</formula>
    </cfRule>
  </conditionalFormatting>
  <conditionalFormatting sqref="H55:I55">
    <cfRule type="cellIs" dxfId="1052" priority="73" stopIfTrue="1" operator="lessThanOrEqual">
      <formula>0</formula>
    </cfRule>
  </conditionalFormatting>
  <conditionalFormatting sqref="H55:I56 H58:I59">
    <cfRule type="cellIs" dxfId="1051" priority="70" stopIfTrue="1" operator="greaterThan">
      <formula>$F$70</formula>
    </cfRule>
  </conditionalFormatting>
  <conditionalFormatting sqref="H56:I56">
    <cfRule type="cellIs" dxfId="1050" priority="99" stopIfTrue="1" operator="lessThanOrEqual">
      <formula>0</formula>
    </cfRule>
  </conditionalFormatting>
  <conditionalFormatting sqref="H57:I57">
    <cfRule type="cellIs" dxfId="1049" priority="37" stopIfTrue="1" operator="greaterThan">
      <formula>$F$72</formula>
    </cfRule>
    <cfRule type="cellIs" dxfId="1048" priority="40" stopIfTrue="1" operator="lessThanOrEqual">
      <formula>0</formula>
    </cfRule>
  </conditionalFormatting>
  <conditionalFormatting sqref="H58:I59">
    <cfRule type="cellIs" dxfId="1047" priority="112" stopIfTrue="1" operator="lessThanOrEqual">
      <formula>0</formula>
    </cfRule>
  </conditionalFormatting>
  <conditionalFormatting sqref="H60:I61">
    <cfRule type="cellIs" dxfId="1046" priority="145" stopIfTrue="1" operator="greaterThan">
      <formula>#REF!</formula>
    </cfRule>
    <cfRule type="cellIs" dxfId="1045" priority="154" stopIfTrue="1" operator="lessThanOrEqual">
      <formula>0</formula>
    </cfRule>
    <cfRule type="cellIs" dxfId="1044" priority="148" stopIfTrue="1" operator="lessThanOrEqual">
      <formula>0</formula>
    </cfRule>
    <cfRule type="cellIs" dxfId="1043" priority="153" stopIfTrue="1" operator="greaterThan">
      <formula>#REF!</formula>
    </cfRule>
  </conditionalFormatting>
  <conditionalFormatting sqref="H62:I62">
    <cfRule type="cellIs" dxfId="1042" priority="160" stopIfTrue="1" operator="lessThanOrEqual">
      <formula>0</formula>
    </cfRule>
    <cfRule type="cellIs" dxfId="1041" priority="157" stopIfTrue="1" operator="greaterThan">
      <formula>$F$38</formula>
    </cfRule>
  </conditionalFormatting>
  <conditionalFormatting sqref="H63:I64">
    <cfRule type="cellIs" dxfId="1040" priority="136" stopIfTrue="1" operator="lessThanOrEqual">
      <formula>0</formula>
    </cfRule>
    <cfRule type="cellIs" dxfId="1039" priority="142" stopIfTrue="1" operator="lessThanOrEqual">
      <formula>0</formula>
    </cfRule>
    <cfRule type="cellIs" dxfId="1038" priority="141" stopIfTrue="1" operator="greaterThan">
      <formula>#REF!</formula>
    </cfRule>
    <cfRule type="cellIs" dxfId="1037" priority="133" stopIfTrue="1" operator="greaterThan">
      <formula>#REF!</formula>
    </cfRule>
  </conditionalFormatting>
  <conditionalFormatting sqref="H68:I75">
    <cfRule type="cellIs" dxfId="1036" priority="55" stopIfTrue="1" operator="greaterThan">
      <formula>$J68</formula>
    </cfRule>
    <cfRule type="cellIs" dxfId="1035" priority="56" stopIfTrue="1" operator="lessThanOrEqual">
      <formula>0</formula>
    </cfRule>
  </conditionalFormatting>
  <conditionalFormatting sqref="H76:I76">
    <cfRule type="cellIs" dxfId="1034" priority="63" operator="greaterThan">
      <formula>5.3</formula>
    </cfRule>
  </conditionalFormatting>
  <conditionalFormatting sqref="H77:I77">
    <cfRule type="cellIs" dxfId="1033" priority="62" stopIfTrue="1" operator="lessThanOrEqual">
      <formula>0</formula>
    </cfRule>
    <cfRule type="cellIs" dxfId="1032" priority="61" stopIfTrue="1" operator="greaterThan">
      <formula>$J77</formula>
    </cfRule>
  </conditionalFormatting>
  <conditionalFormatting sqref="I55">
    <cfRule type="cellIs" dxfId="1031" priority="78" stopIfTrue="1" operator="greaterThan">
      <formula>$F$68</formula>
    </cfRule>
    <cfRule type="cellIs" dxfId="1030" priority="77" stopIfTrue="1" operator="lessThanOrEqual">
      <formula>0</formula>
    </cfRule>
    <cfRule type="cellIs" dxfId="1029" priority="76" stopIfTrue="1" operator="greaterThan">
      <formula>$F$70</formula>
    </cfRule>
    <cfRule type="cellIs" dxfId="1028" priority="75" stopIfTrue="1" operator="lessThanOrEqual">
      <formula>0</formula>
    </cfRule>
    <cfRule type="cellIs" dxfId="1027" priority="74" stopIfTrue="1" operator="greaterThan">
      <formula>$F$68</formula>
    </cfRule>
    <cfRule type="cellIs" dxfId="1026" priority="79" stopIfTrue="1" operator="lessThanOrEqual">
      <formula>0</formula>
    </cfRule>
  </conditionalFormatting>
  <conditionalFormatting sqref="I56">
    <cfRule type="cellIs" dxfId="1025" priority="100" stopIfTrue="1" operator="greaterThan">
      <formula>$F$68</formula>
    </cfRule>
    <cfRule type="cellIs" dxfId="1024" priority="101" stopIfTrue="1" operator="lessThanOrEqual">
      <formula>0</formula>
    </cfRule>
    <cfRule type="cellIs" dxfId="1023" priority="103" stopIfTrue="1" operator="lessThanOrEqual">
      <formula>0</formula>
    </cfRule>
    <cfRule type="cellIs" dxfId="1022" priority="105" stopIfTrue="1" operator="lessThanOrEqual">
      <formula>0</formula>
    </cfRule>
    <cfRule type="cellIs" dxfId="1021" priority="104" stopIfTrue="1" operator="greaterThan">
      <formula>$F$68</formula>
    </cfRule>
    <cfRule type="cellIs" dxfId="1020" priority="102" stopIfTrue="1" operator="greaterThan">
      <formula>$F$70</formula>
    </cfRule>
  </conditionalFormatting>
  <conditionalFormatting sqref="I57">
    <cfRule type="cellIs" dxfId="1019" priority="42" stopIfTrue="1" operator="lessThanOrEqual">
      <formula>0</formula>
    </cfRule>
    <cfRule type="cellIs" dxfId="1018" priority="41" stopIfTrue="1" operator="greaterThan">
      <formula>$F$70</formula>
    </cfRule>
    <cfRule type="cellIs" dxfId="1017" priority="43" stopIfTrue="1" operator="greaterThan">
      <formula>$F$72</formula>
    </cfRule>
    <cfRule type="cellIs" dxfId="1016" priority="44" stopIfTrue="1" operator="lessThanOrEqual">
      <formula>0</formula>
    </cfRule>
    <cfRule type="cellIs" dxfId="1015" priority="45" stopIfTrue="1" operator="greaterThan">
      <formula>$F$70</formula>
    </cfRule>
    <cfRule type="cellIs" dxfId="1014" priority="46" stopIfTrue="1" operator="lessThanOrEqual">
      <formula>0</formula>
    </cfRule>
  </conditionalFormatting>
  <conditionalFormatting sqref="I58:I59">
    <cfRule type="cellIs" dxfId="1013" priority="114" stopIfTrue="1" operator="lessThanOrEqual">
      <formula>0</formula>
    </cfRule>
    <cfRule type="cellIs" dxfId="1012" priority="113" stopIfTrue="1" operator="greaterThan">
      <formula>$F$68</formula>
    </cfRule>
    <cfRule type="cellIs" dxfId="1011" priority="115" stopIfTrue="1" operator="greaterThan">
      <formula>$F$70</formula>
    </cfRule>
    <cfRule type="cellIs" dxfId="1010" priority="118" stopIfTrue="1" operator="lessThanOrEqual">
      <formula>0</formula>
    </cfRule>
    <cfRule type="cellIs" dxfId="1009" priority="117" stopIfTrue="1" operator="greaterThan">
      <formula>$F$68</formula>
    </cfRule>
    <cfRule type="cellIs" dxfId="1008" priority="116" stopIfTrue="1" operator="lessThanOrEqual">
      <formula>0</formula>
    </cfRule>
  </conditionalFormatting>
  <conditionalFormatting sqref="I60:I61">
    <cfRule type="cellIs" dxfId="1007" priority="152" stopIfTrue="1" operator="lessThanOrEqual">
      <formula>0</formula>
    </cfRule>
    <cfRule type="cellIs" dxfId="1006" priority="151" stopIfTrue="1" operator="greaterThan">
      <formula>#REF!</formula>
    </cfRule>
    <cfRule type="cellIs" dxfId="1005" priority="149" stopIfTrue="1" operator="greaterThan">
      <formula>#REF!</formula>
    </cfRule>
    <cfRule type="cellIs" dxfId="1004" priority="150" stopIfTrue="1" operator="lessThanOrEqual">
      <formula>0</formula>
    </cfRule>
  </conditionalFormatting>
  <conditionalFormatting sqref="I62">
    <cfRule type="cellIs" dxfId="1003" priority="161" stopIfTrue="1" operator="greaterThan">
      <formula>$F$36</formula>
    </cfRule>
    <cfRule type="cellIs" dxfId="1002" priority="162" stopIfTrue="1" operator="lessThanOrEqual">
      <formula>0</formula>
    </cfRule>
    <cfRule type="cellIs" dxfId="1001" priority="163" stopIfTrue="1" operator="greaterThan">
      <formula>$F$38</formula>
    </cfRule>
    <cfRule type="cellIs" dxfId="1000" priority="164" stopIfTrue="1" operator="lessThanOrEqual">
      <formula>0</formula>
    </cfRule>
    <cfRule type="cellIs" dxfId="999" priority="165" stopIfTrue="1" operator="greaterThan">
      <formula>$F$36</formula>
    </cfRule>
    <cfRule type="cellIs" dxfId="998" priority="166" stopIfTrue="1" operator="lessThanOrEqual">
      <formula>0</formula>
    </cfRule>
  </conditionalFormatting>
  <conditionalFormatting sqref="I63:I64">
    <cfRule type="cellIs" dxfId="997" priority="138" stopIfTrue="1" operator="lessThanOrEqual">
      <formula>0</formula>
    </cfRule>
    <cfRule type="cellIs" dxfId="996" priority="137" stopIfTrue="1" operator="greaterThan">
      <formula>#REF!</formula>
    </cfRule>
    <cfRule type="cellIs" dxfId="995" priority="139" stopIfTrue="1" operator="greaterThan">
      <formula>#REF!</formula>
    </cfRule>
    <cfRule type="cellIs" dxfId="994" priority="140" stopIfTrue="1" operator="lessThanOrEqual">
      <formula>0</formula>
    </cfRule>
  </conditionalFormatting>
  <conditionalFormatting sqref="I79:I87">
    <cfRule type="cellIs" dxfId="993" priority="190" stopIfTrue="1" operator="lessThanOrEqual">
      <formula>0</formula>
    </cfRule>
    <cfRule type="cellIs" dxfId="992" priority="189" stopIfTrue="1" operator="greaterThan">
      <formula>4.5</formula>
    </cfRule>
  </conditionalFormatting>
  <conditionalFormatting sqref="I10:J23">
    <cfRule type="cellIs" dxfId="991" priority="11" operator="lessThan">
      <formula>97.9</formula>
    </cfRule>
  </conditionalFormatting>
  <conditionalFormatting sqref="J26:J28">
    <cfRule type="cellIs" dxfId="990" priority="36" operator="lessThan">
      <formula>97.95</formula>
    </cfRule>
  </conditionalFormatting>
  <conditionalFormatting sqref="J27:J30">
    <cfRule type="cellIs" dxfId="989" priority="171" operator="lessThan">
      <formula>97.4</formula>
    </cfRule>
  </conditionalFormatting>
  <conditionalFormatting sqref="J31:J32">
    <cfRule type="cellIs" dxfId="988" priority="172" operator="lessThan">
      <formula>98</formula>
    </cfRule>
  </conditionalFormatting>
  <conditionalFormatting sqref="J33:J34">
    <cfRule type="cellIs" dxfId="987" priority="174" stopIfTrue="1" operator="greaterThan">
      <formula>100</formula>
    </cfRule>
    <cfRule type="cellIs" dxfId="986" priority="173" stopIfTrue="1" operator="lessThan">
      <formula>96.8</formula>
    </cfRule>
  </conditionalFormatting>
  <conditionalFormatting sqref="J33:J35">
    <cfRule type="cellIs" dxfId="985" priority="175" operator="lessThan">
      <formula>98</formula>
    </cfRule>
  </conditionalFormatting>
  <conditionalFormatting sqref="J64">
    <cfRule type="cellIs" dxfId="984" priority="125" stopIfTrue="1" operator="greaterThan">
      <formula>#REF!</formula>
    </cfRule>
    <cfRule type="cellIs" dxfId="983" priority="126" stopIfTrue="1" operator="lessThanOrEqual">
      <formula>0</formula>
    </cfRule>
    <cfRule type="cellIs" dxfId="982" priority="127" stopIfTrue="1" operator="greaterThan">
      <formula>#REF!</formula>
    </cfRule>
    <cfRule type="cellIs" dxfId="981" priority="132" stopIfTrue="1" operator="lessThanOrEqual">
      <formula>0</formula>
    </cfRule>
    <cfRule type="cellIs" dxfId="980" priority="131" stopIfTrue="1" operator="greaterThan">
      <formula>#REF!</formula>
    </cfRule>
    <cfRule type="cellIs" dxfId="979" priority="129" stopIfTrue="1" operator="greaterThan">
      <formula>#REF!</formula>
    </cfRule>
    <cfRule type="cellIs" dxfId="978" priority="130" stopIfTrue="1" operator="lessThanOrEqual">
      <formula>0</formula>
    </cfRule>
    <cfRule type="cellIs" dxfId="977" priority="128" stopIfTrue="1" operator="lessThanOrEqual">
      <formula>0</formula>
    </cfRule>
  </conditionalFormatting>
  <conditionalFormatting sqref="J77">
    <cfRule type="cellIs" dxfId="976" priority="64" stopIfTrue="1" operator="greaterThan">
      <formula>$F77</formula>
    </cfRule>
    <cfRule type="cellIs" dxfId="975" priority="65" stopIfTrue="1" operator="lessThanOrEqual">
      <formula>0</formula>
    </cfRule>
  </conditionalFormatting>
  <conditionalFormatting sqref="K10:K23">
    <cfRule type="cellIs" dxfId="974" priority="14" operator="greaterThan">
      <formula>6.4</formula>
    </cfRule>
    <cfRule type="cellIs" dxfId="973" priority="13" operator="lessThan">
      <formula>4</formula>
    </cfRule>
    <cfRule type="cellIs" dxfId="972" priority="12" operator="greaterThan">
      <formula>6</formula>
    </cfRule>
  </conditionalFormatting>
  <conditionalFormatting sqref="K55:K64">
    <cfRule type="cellIs" dxfId="971" priority="110" stopIfTrue="1" operator="lessThan">
      <formula>100%</formula>
    </cfRule>
  </conditionalFormatting>
  <conditionalFormatting sqref="K68:K76">
    <cfRule type="cellIs" dxfId="970" priority="54" stopIfTrue="1" operator="lessThan">
      <formula>100%</formula>
    </cfRule>
  </conditionalFormatting>
  <conditionalFormatting sqref="K79:K84">
    <cfRule type="cellIs" dxfId="969" priority="195" stopIfTrue="1" operator="lessThan">
      <formula>100%</formula>
    </cfRule>
  </conditionalFormatting>
  <conditionalFormatting sqref="K86:K87">
    <cfRule type="cellIs" dxfId="968" priority="202" stopIfTrue="1" operator="lessThan">
      <formula>100%</formula>
    </cfRule>
  </conditionalFormatting>
  <conditionalFormatting sqref="L10:L23">
    <cfRule type="cellIs" dxfId="967" priority="16" operator="greaterThan">
      <formula>65</formula>
    </cfRule>
    <cfRule type="cellIs" dxfId="966" priority="15" operator="between">
      <formula>61</formula>
      <formula>65</formula>
    </cfRule>
  </conditionalFormatting>
  <conditionalFormatting sqref="L26:M37">
    <cfRule type="cellIs" dxfId="965" priority="35" operator="lessThan">
      <formula>97.95</formula>
    </cfRule>
  </conditionalFormatting>
  <conditionalFormatting sqref="L41:N41">
    <cfRule type="cellIs" dxfId="964" priority="34" operator="notEqual">
      <formula>#REF!</formula>
    </cfRule>
  </conditionalFormatting>
  <conditionalFormatting sqref="L68:N77">
    <cfRule type="cellIs" dxfId="963" priority="51" stopIfTrue="1" operator="lessThan">
      <formula>100%</formula>
    </cfRule>
  </conditionalFormatting>
  <conditionalFormatting sqref="L79:N87">
    <cfRule type="cellIs" dxfId="962" priority="180" stopIfTrue="1" operator="lessThan">
      <formula>100%</formula>
    </cfRule>
  </conditionalFormatting>
  <conditionalFormatting sqref="M21:M23">
    <cfRule type="expression" dxfId="961" priority="29">
      <formula>IF(+(IF(M21&lt;U21,0,IF(M21&gt;V21,0,1)))=0,1)</formula>
    </cfRule>
  </conditionalFormatting>
  <conditionalFormatting sqref="M12:N20 N21:N23">
    <cfRule type="expression" dxfId="960" priority="32">
      <formula>IF(+(IF(M12&lt;V12,0,IF(M12&gt;W12,0,1)))=0,1)</formula>
    </cfRule>
  </conditionalFormatting>
  <conditionalFormatting sqref="N10:N11">
    <cfRule type="expression" dxfId="959" priority="19">
      <formula>IF(+(IF(N10&lt;W10,0,IF(N10&gt;X10,0,1)))=0,1)</formula>
    </cfRule>
  </conditionalFormatting>
  <conditionalFormatting sqref="P6">
    <cfRule type="cellIs" dxfId="958" priority="176" operator="greaterThanOrEqual">
      <formula>19</formula>
    </cfRule>
  </conditionalFormatting>
  <dataValidations count="1">
    <dataValidation type="list" allowBlank="1" showInputMessage="1" showErrorMessage="1" sqref="R8" xr:uid="{C1202B3E-04B8-48FD-BB78-F3CBCF8929B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FB7A-93BE-4CFB-BA94-8FC0B2E87727}">
  <sheetPr>
    <pageSetUpPr fitToPage="1"/>
  </sheetPr>
  <dimension ref="A1:BE75"/>
  <sheetViews>
    <sheetView topLeftCell="A5" zoomScale="85" zoomScaleNormal="85" workbookViewId="0">
      <selection activeCell="M30" sqref="L30:M3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46309</v>
      </c>
      <c r="J4" s="397" t="s">
        <v>153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7" t="s">
        <v>16</v>
      </c>
      <c r="C10" s="366" t="str">
        <f>[34]Brewhouse!$A112</f>
        <v>SM099</v>
      </c>
      <c r="D10" s="279">
        <f>[34]Brewhouse!$AH112</f>
        <v>53</v>
      </c>
      <c r="E10" s="279">
        <f>[34]Brewhouse!$AM112</f>
        <v>51.1</v>
      </c>
      <c r="F10" s="278">
        <f>[34]Brewhouse!$Z112</f>
        <v>90</v>
      </c>
      <c r="G10" s="279">
        <f>[34]Brewhouse!$AK112</f>
        <v>17</v>
      </c>
      <c r="H10" s="396">
        <v>17</v>
      </c>
      <c r="I10" s="368">
        <f>[34]Brewhouse!$AY112</f>
        <v>97.214271955083348</v>
      </c>
      <c r="J10" s="368">
        <f>[34]Brewhouse!$AZ112</f>
        <v>97.481077972249778</v>
      </c>
      <c r="K10" s="281">
        <f>[34]Brewhouse!$U112</f>
        <v>6.754716981132086</v>
      </c>
      <c r="L10" s="276">
        <f>[34]Brewhouse!$T112</f>
        <v>60</v>
      </c>
      <c r="M10" s="374">
        <f>[34]Brewhouse!$Y112-[34]Brewhouse!$X112</f>
        <v>0.17291666666666661</v>
      </c>
      <c r="N10" s="370">
        <f>[34]Brewhouse!$AD112</f>
        <v>0.33958333333333335</v>
      </c>
      <c r="O10" s="371" t="str">
        <f>[34]Brewhouse!$BC112</f>
        <v>D. Gomaz</v>
      </c>
      <c r="P10" s="417"/>
      <c r="R10" s="277" t="str">
        <f t="shared" ref="R10:R35" si="0">B10</f>
        <v>STARMALT</v>
      </c>
      <c r="S10" s="471">
        <f t="shared" ref="S10:S35" si="1">VLOOKUP($B10,$R$3:$X$9,2,FALSE)</f>
        <v>17</v>
      </c>
      <c r="T10" s="471">
        <f t="shared" ref="T10:T35" si="2">VLOOKUP($B10,$R$3:$X$9,3,FALSE)</f>
        <v>17.399999999999999</v>
      </c>
      <c r="U10" s="297">
        <f t="shared" ref="U10:U35" si="3">VLOOKUP($B10,$R$3:$X$9,4,FALSE)</f>
        <v>0</v>
      </c>
      <c r="V10" s="297">
        <f t="shared" ref="V10:V35" si="4">VLOOKUP($B10,$R$3:$X$9,5,FALSE)</f>
        <v>0.13605324074074074</v>
      </c>
      <c r="W10" s="297">
        <f t="shared" ref="W10:W35" si="5">VLOOKUP($B10,$R$3:$X$9,6,FALSE)</f>
        <v>0.27430555555555552</v>
      </c>
      <c r="X10" s="297">
        <f t="shared" ref="X10:X35" si="6">VLOOKUP($B10,$R$3:$X$9,7,FALSE)</f>
        <v>0.30902777777777779</v>
      </c>
      <c r="Y10" s="297">
        <f t="shared" ref="Y10:Y35" si="7">VLOOKUP($B10,$R$3:$Z$9,8,FALSE)</f>
        <v>0</v>
      </c>
      <c r="Z10" s="471">
        <f t="shared" ref="Z10:Z35" si="8">VLOOKUP($B10,$R$3:$Z$9,9,FALSE)</f>
        <v>85</v>
      </c>
    </row>
    <row r="11" spans="2:29" ht="15" customHeight="1">
      <c r="B11" s="37" t="s">
        <v>16</v>
      </c>
      <c r="C11" s="366" t="str">
        <f>[34]Brewhouse!$A113</f>
        <v>SM100</v>
      </c>
      <c r="D11" s="279">
        <f>[34]Brewhouse!$AH113</f>
        <v>53</v>
      </c>
      <c r="E11" s="279">
        <f>[34]Brewhouse!$AM113</f>
        <v>51.4</v>
      </c>
      <c r="F11" s="278">
        <f>[34]Brewhouse!$Z113</f>
        <v>69</v>
      </c>
      <c r="G11" s="279">
        <f>[34]Brewhouse!$AK113</f>
        <v>17.3</v>
      </c>
      <c r="H11" s="396">
        <v>17.3</v>
      </c>
      <c r="I11" s="368">
        <f>[34]Brewhouse!$AY113</f>
        <v>98.862710164301788</v>
      </c>
      <c r="J11" s="368">
        <f>[34]Brewhouse!$AZ113</f>
        <v>99.136679966905078</v>
      </c>
      <c r="K11" s="281">
        <f>[34]Brewhouse!$U113</f>
        <v>7.8867924528301883</v>
      </c>
      <c r="L11" s="276">
        <f>[34]Brewhouse!$T113</f>
        <v>61</v>
      </c>
      <c r="M11" s="374">
        <f>[34]Brewhouse!$Y113-[34]Brewhouse!$X113</f>
        <v>0.13819444444444451</v>
      </c>
      <c r="N11" s="370">
        <f>[34]Brewhouse!$AD113</f>
        <v>0.32152777777777786</v>
      </c>
      <c r="O11" s="371" t="str">
        <f>[34]Brewhouse!$BC113</f>
        <v>D. Gomaz</v>
      </c>
      <c r="P11" s="417"/>
      <c r="R11" s="277" t="str">
        <f t="shared" si="0"/>
        <v>STARMALT</v>
      </c>
      <c r="S11" s="471">
        <f t="shared" si="1"/>
        <v>17</v>
      </c>
      <c r="T11" s="471">
        <f t="shared" si="2"/>
        <v>17.399999999999999</v>
      </c>
      <c r="U11" s="297">
        <f t="shared" si="3"/>
        <v>0</v>
      </c>
      <c r="V11" s="297">
        <f t="shared" si="4"/>
        <v>0.13605324074074074</v>
      </c>
      <c r="W11" s="297">
        <f t="shared" si="5"/>
        <v>0.27430555555555552</v>
      </c>
      <c r="X11" s="297">
        <f t="shared" si="6"/>
        <v>0.30902777777777779</v>
      </c>
      <c r="Y11" s="297">
        <f t="shared" si="7"/>
        <v>0</v>
      </c>
      <c r="Z11" s="471">
        <f t="shared" si="8"/>
        <v>85</v>
      </c>
    </row>
    <row r="12" spans="2:29" ht="15" customHeight="1">
      <c r="B12" s="37" t="s">
        <v>16</v>
      </c>
      <c r="C12" s="366" t="str">
        <f>[34]Brewhouse!$A114</f>
        <v>SM101</v>
      </c>
      <c r="D12" s="279">
        <f>[34]Brewhouse!$AH114</f>
        <v>53</v>
      </c>
      <c r="E12" s="279">
        <f>[34]Brewhouse!$AM114</f>
        <v>51.7</v>
      </c>
      <c r="F12" s="278">
        <f>[34]Brewhouse!$Z114</f>
        <v>70</v>
      </c>
      <c r="G12" s="279">
        <f>[34]Brewhouse!$AK114</f>
        <v>17.3</v>
      </c>
      <c r="H12" s="396">
        <v>17.2</v>
      </c>
      <c r="I12" s="368">
        <f>[34]Brewhouse!$AY114</f>
        <v>99.439729873431943</v>
      </c>
      <c r="J12" s="368">
        <f>[34]Brewhouse!$AZ114</f>
        <v>99.715298721575735</v>
      </c>
      <c r="K12" s="281">
        <f>[34]Brewhouse!$U114</f>
        <v>4.1132075471698109</v>
      </c>
      <c r="L12" s="276">
        <f>[34]Brewhouse!$T114</f>
        <v>57</v>
      </c>
      <c r="M12" s="374">
        <f>[34]Brewhouse!$Y114-[34]Brewhouse!$X114</f>
        <v>0.14861111111111125</v>
      </c>
      <c r="N12" s="370">
        <f>[34]Brewhouse!$AD114</f>
        <v>0.34444444444444444</v>
      </c>
      <c r="O12" s="371" t="str">
        <f>[34]Brewhouse!$BC114</f>
        <v>D. Gomaz</v>
      </c>
      <c r="P12" s="417"/>
      <c r="R12" s="277" t="str">
        <f t="shared" si="0"/>
        <v>STARMALT</v>
      </c>
      <c r="S12" s="471">
        <f t="shared" si="1"/>
        <v>17</v>
      </c>
      <c r="T12" s="471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1">
        <f t="shared" si="8"/>
        <v>85</v>
      </c>
    </row>
    <row r="13" spans="2:29" ht="15" customHeight="1">
      <c r="B13" s="37" t="s">
        <v>16</v>
      </c>
      <c r="C13" s="366" t="str">
        <f>[34]Brewhouse!$A115</f>
        <v>SM102</v>
      </c>
      <c r="D13" s="279">
        <f>[34]Brewhouse!$AH115</f>
        <v>53</v>
      </c>
      <c r="E13" s="279">
        <f>[34]Brewhouse!$AM115</f>
        <v>51</v>
      </c>
      <c r="F13" s="278">
        <f>[34]Brewhouse!$Z115</f>
        <v>67</v>
      </c>
      <c r="G13" s="279">
        <f>[34]Brewhouse!$AK115</f>
        <v>17.3</v>
      </c>
      <c r="H13" s="396">
        <v>17.3</v>
      </c>
      <c r="I13" s="368">
        <f>[34]Brewhouse!$AY115</f>
        <v>98.013898306372198</v>
      </c>
      <c r="J13" s="368">
        <f>[34]Brewhouse!$AZ115</f>
        <v>98.285775240901714</v>
      </c>
      <c r="K13" s="281">
        <f>[34]Brewhouse!$U115</f>
        <v>7.3207547169811367</v>
      </c>
      <c r="L13" s="276">
        <f>[34]Brewhouse!$T115</f>
        <v>60</v>
      </c>
      <c r="M13" s="374">
        <f>[34]Brewhouse!$Y115-[34]Brewhouse!$X115</f>
        <v>0.15625</v>
      </c>
      <c r="N13" s="370">
        <f>[34]Brewhouse!$AD115</f>
        <v>0.35694444444444429</v>
      </c>
      <c r="O13" s="371" t="str">
        <f>[34]Brewhouse!$BC115</f>
        <v>R.Sookram</v>
      </c>
      <c r="P13" s="417"/>
      <c r="R13" s="277" t="str">
        <f t="shared" si="0"/>
        <v>STARMALT</v>
      </c>
      <c r="S13" s="471">
        <f t="shared" si="1"/>
        <v>17</v>
      </c>
      <c r="T13" s="471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1">
        <f t="shared" si="8"/>
        <v>85</v>
      </c>
    </row>
    <row r="14" spans="2:29" ht="15" customHeight="1">
      <c r="B14" s="37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371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7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371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hidden="1" customHeight="1">
      <c r="B16" s="37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371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hidden="1" customHeight="1">
      <c r="B17" s="37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hidden="1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hidden="1" customHeight="1">
      <c r="B19" s="34"/>
      <c r="C19" s="366"/>
      <c r="D19" s="279"/>
      <c r="E19" s="279"/>
      <c r="F19" s="278"/>
      <c r="G19" s="279"/>
      <c r="H19" s="396"/>
      <c r="I19" s="487"/>
      <c r="J19" s="487"/>
      <c r="K19" s="488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hidden="1" customHeight="1">
      <c r="B20" s="34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hidden="1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624"/>
      <c r="J22" s="624"/>
      <c r="K22" s="624"/>
      <c r="L22" s="624"/>
      <c r="M22" s="624"/>
      <c r="N22" s="62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9" t="s">
        <v>35</v>
      </c>
      <c r="E23" s="540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75" t="str">
        <f>I24</f>
        <v>CARIB</v>
      </c>
      <c r="C24" s="483">
        <f>[30]Process!D727</f>
        <v>11.6</v>
      </c>
      <c r="D24" s="565">
        <v>11.74</v>
      </c>
      <c r="E24" s="566"/>
      <c r="F24" s="294"/>
      <c r="G24" s="294"/>
      <c r="H24" s="348"/>
      <c r="I24" s="29" t="s">
        <v>6</v>
      </c>
      <c r="J24" s="323"/>
      <c r="K24" s="284">
        <f>COUNTA([30]Brewhouse!$A$789:$A$820)</f>
        <v>32</v>
      </c>
      <c r="L24" s="305">
        <f>AVERAGE([30]Brewhouse!$AU$789:$AU$820)</f>
        <v>97.19542619578651</v>
      </c>
      <c r="M24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76"/>
      <c r="C25" s="362">
        <f>[30]Process!D728</f>
        <v>11.6</v>
      </c>
      <c r="D25" s="567"/>
      <c r="E25" s="568"/>
      <c r="F25" s="294"/>
      <c r="G25" s="294"/>
      <c r="H25" s="348"/>
      <c r="I25" s="33" t="s">
        <v>9</v>
      </c>
      <c r="J25" s="323"/>
      <c r="K25" s="284">
        <f>COUNTA([29]Brewhouse!$A$390:$A$406)</f>
        <v>17</v>
      </c>
      <c r="L25" s="302">
        <f>AVERAGE([29]Brewhouse!$AS$390:$AS$406)</f>
        <v>97.707842826554412</v>
      </c>
      <c r="M25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$406)</f>
        <v>98.285743987991637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76"/>
      <c r="C26" s="362">
        <f>[30]Process!D729</f>
        <v>11.8</v>
      </c>
      <c r="D26" s="616">
        <v>11.63</v>
      </c>
      <c r="E26" s="617"/>
      <c r="F26" s="294"/>
      <c r="G26" s="294"/>
      <c r="H26" s="348"/>
      <c r="I26" s="34" t="s">
        <v>12</v>
      </c>
      <c r="J26" s="323"/>
      <c r="K26" s="284">
        <f>COUNTA([31]Brewhouse!$A$108:$A$115)</f>
        <v>8</v>
      </c>
      <c r="L26" s="302">
        <f>AVERAGE([31]Brewhouse!$AU$108:$AU$115)</f>
        <v>97.365395087454402</v>
      </c>
      <c r="M26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76"/>
      <c r="C27" s="362">
        <f>[30]Process!D730</f>
        <v>11.6</v>
      </c>
      <c r="D27" s="580"/>
      <c r="E27" s="568"/>
      <c r="F27" s="294"/>
      <c r="G27" s="294"/>
      <c r="H27" s="348"/>
      <c r="I27" s="22" t="s">
        <v>33</v>
      </c>
      <c r="J27" s="280"/>
      <c r="K27" s="284"/>
      <c r="L27" s="302"/>
      <c r="M27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76"/>
      <c r="C28" s="362">
        <f>[30]Process!D731</f>
        <v>11.7</v>
      </c>
      <c r="D28" s="616">
        <v>11.72</v>
      </c>
      <c r="E28" s="617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76"/>
      <c r="C29" s="362">
        <f>[30]Process!D732</f>
        <v>11.7</v>
      </c>
      <c r="D29" s="580"/>
      <c r="E29" s="568"/>
      <c r="F29" s="416"/>
      <c r="G29" s="294"/>
      <c r="H29" s="348"/>
      <c r="I29" s="36" t="s">
        <v>15</v>
      </c>
      <c r="J29" s="323"/>
      <c r="K29" s="284"/>
      <c r="L29" s="302"/>
      <c r="M29" s="302">
        <f>AVERAGE([33]Brewhouse!$AT$4:$AT$11,[33]Brewhouse!$AT$13:$AT$16,[33]Brewhouse!$AT$18:$AT$30)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76"/>
      <c r="C30" s="362">
        <f>[30]Process!D733</f>
        <v>11.3</v>
      </c>
      <c r="D30" s="616">
        <v>11.68</v>
      </c>
      <c r="E30" s="617"/>
      <c r="F30" s="416"/>
      <c r="G30" s="294"/>
      <c r="H30" s="348"/>
      <c r="I30" s="37" t="s">
        <v>16</v>
      </c>
      <c r="J30" s="323">
        <f>AVERAGE(I10:I13)</f>
        <v>98.382652574797319</v>
      </c>
      <c r="K30" s="284">
        <f>COUNTA([34]Brewhouse!$A$112:$A$115)</f>
        <v>4</v>
      </c>
      <c r="L30" s="302">
        <f>AVERAGE([34]Brewhouse!$AY$112:$AY$115)</f>
        <v>98.382652574797319</v>
      </c>
      <c r="M30" s="302">
        <f>AVERAGE([34]Brewhouse!$AY$5:$AY$14,[34]Brewhouse!$AY$16:$AY$23,[34]Brewhouse!$AY$42,[34]Brewhouse!$AY$44:$AY$51,[34]Brewhouse!$AY$53:$AY$64,[34]Brewhouse!$AY$66:$AY$73,[34]Brewhouse!$AY$75:$AY$82,[34]Brewhouse!$AY$84:$AY$101,[34]Brewhouse!$AY$103:$AY$110,[34]Brewhouse!$AY$112:$AY$115)</f>
        <v>97.82070859459516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76"/>
      <c r="C31" s="362">
        <f>[30]Process!D734</f>
        <v>12.5</v>
      </c>
      <c r="D31" s="580"/>
      <c r="E31" s="568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76"/>
      <c r="C32" s="362"/>
      <c r="D32" s="616"/>
      <c r="E32" s="617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76"/>
      <c r="C33" s="362"/>
      <c r="D33" s="580"/>
      <c r="E33" s="568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76"/>
      <c r="C34" s="349"/>
      <c r="D34" s="565"/>
      <c r="E34" s="566"/>
      <c r="F34" s="294"/>
      <c r="G34" s="294"/>
      <c r="H34" s="348"/>
      <c r="I34" s="1"/>
      <c r="J34" s="39"/>
      <c r="K34" s="403">
        <f>SUM(K24:K33)</f>
        <v>61</v>
      </c>
      <c r="L34" s="404">
        <f>((L24*K24)+(L25*K25)+(L26*K26)+(L27*K27)+(L28*K28)+(K31*L31)+(L29*K29)+(L30*K30)+(L33*K33))/(K34)</f>
        <v>97.4383727428757</v>
      </c>
      <c r="M34" s="404">
        <f>AVERAGE('[35]Jan30th-31st'!$L$42,'[36]Feb 27th-28th'!$L$45,'[37]Mar 31st'!$L$42,'[38]Apr 30th'!$L$41,'[39]May 29th '!$L$35,'[40]June 30th'!$L$32,[41]July31st!$L$36,'[42]Aug 31st'!$L$32,L34)</f>
        <v>97.915273836751908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625"/>
      <c r="C35" s="350"/>
      <c r="D35" s="567"/>
      <c r="E35" s="568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612"/>
      <c r="C36" s="362"/>
      <c r="D36" s="565"/>
      <c r="E36" s="566"/>
      <c r="F36" s="294"/>
      <c r="G36" s="42"/>
      <c r="H36" s="41"/>
      <c r="I36" s="42"/>
      <c r="J36" s="615" t="s">
        <v>129</v>
      </c>
      <c r="K36" s="615"/>
      <c r="L36" s="294"/>
      <c r="M36" s="294"/>
      <c r="N36" s="294"/>
      <c r="O36" s="294"/>
      <c r="P36" s="12"/>
    </row>
    <row r="37" spans="1:56" ht="15.75" thickBot="1">
      <c r="B37" s="613"/>
      <c r="C37" s="362"/>
      <c r="D37" s="567"/>
      <c r="E37" s="568"/>
      <c r="F37" s="294"/>
      <c r="G37" s="42"/>
      <c r="H37" s="42"/>
      <c r="I37" s="42"/>
      <c r="J37" s="292" t="s">
        <v>17</v>
      </c>
      <c r="K37" s="293"/>
      <c r="L37" s="582" t="s">
        <v>136</v>
      </c>
      <c r="M37" s="582"/>
      <c r="N37" s="583"/>
      <c r="O37" s="294"/>
      <c r="P37" s="12"/>
    </row>
    <row r="38" spans="1:56" ht="15" customHeight="1" thickBot="1">
      <c r="B38" s="613"/>
      <c r="C38" s="349"/>
      <c r="D38" s="616"/>
      <c r="E38" s="617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613"/>
      <c r="C39" s="349"/>
      <c r="D39" s="580"/>
      <c r="E39" s="568"/>
      <c r="F39" s="294"/>
      <c r="G39" s="42"/>
      <c r="H39" s="42"/>
      <c r="I39" s="42"/>
      <c r="J39" s="345" t="s">
        <v>9</v>
      </c>
      <c r="K39" s="324"/>
      <c r="L39" s="484">
        <f>AVERAGE('Oct 1st'!K52,'Oct 2nd'!K44,'Oct 5th'!K51,'Oct 6th'!K58,'Oct 7th'!K47,'Oct 8th '!K46,'Oct 9th-10th'!J57,'Oct 9th-10th'!K57,'Oct 12th'!K50,K48)</f>
        <v>6.1</v>
      </c>
      <c r="M39" s="485">
        <f>AVERAGE('[35]Jan30th-31st'!$L$47,L39,'[36]Feb 26th '!$L$39,'[37]Mar 31st'!$L$47,'[38]Apr 30th'!$L$46,'[39]May 29th '!$L$40,'[40]June 30th'!$L$39,[41]July31st!$L$41,'[42]Aug 31st'!$L$37,'[43]Sept 30th'!$L$37)</f>
        <v>6.4835341470124082</v>
      </c>
      <c r="N39" s="415">
        <v>9.1999999999999993</v>
      </c>
      <c r="O39" s="294"/>
      <c r="P39" s="12"/>
    </row>
    <row r="40" spans="1:56" ht="15" customHeight="1">
      <c r="B40" s="613"/>
      <c r="C40" s="349"/>
      <c r="D40" s="616"/>
      <c r="E40" s="617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613"/>
      <c r="C41" s="349"/>
      <c r="D41" s="580"/>
      <c r="E41" s="568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613"/>
      <c r="C42" s="349"/>
      <c r="D42" s="616"/>
      <c r="E42" s="617"/>
      <c r="F42" s="294"/>
      <c r="G42" s="42"/>
      <c r="H42" s="42"/>
      <c r="I42" s="42"/>
      <c r="J42" s="290" t="s">
        <v>16</v>
      </c>
      <c r="K42" s="324">
        <v>4</v>
      </c>
      <c r="L42" s="294"/>
      <c r="M42" s="294"/>
      <c r="N42" s="294"/>
      <c r="O42" s="294"/>
      <c r="P42" s="12"/>
      <c r="BC42" s="44"/>
      <c r="BD42" s="44"/>
    </row>
    <row r="43" spans="1:56" ht="15">
      <c r="B43" s="613"/>
      <c r="C43" s="349"/>
      <c r="D43" s="580"/>
      <c r="E43" s="568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613"/>
      <c r="C44" s="349"/>
      <c r="D44" s="616"/>
      <c r="E44" s="617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614"/>
      <c r="C45" s="350"/>
      <c r="D45" s="618"/>
      <c r="E45" s="619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610"/>
      <c r="E46" s="611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4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90" t="s">
        <v>17</v>
      </c>
      <c r="C51" s="590" t="s">
        <v>44</v>
      </c>
      <c r="D51" s="592" t="s">
        <v>45</v>
      </c>
      <c r="E51" s="547" t="s">
        <v>46</v>
      </c>
      <c r="F51" s="607" t="s">
        <v>47</v>
      </c>
      <c r="G51" s="601" t="s">
        <v>48</v>
      </c>
      <c r="H51" s="590" t="s">
        <v>49</v>
      </c>
      <c r="I51" s="590" t="s">
        <v>50</v>
      </c>
      <c r="J51" s="595" t="s">
        <v>28</v>
      </c>
      <c r="K51" s="545" t="s">
        <v>51</v>
      </c>
      <c r="L51" s="557" t="s">
        <v>52</v>
      </c>
      <c r="M51" s="595" t="s">
        <v>53</v>
      </c>
      <c r="N51" s="13"/>
      <c r="O51" s="13"/>
      <c r="P51" s="50"/>
    </row>
    <row r="52" spans="2:57" ht="28.5" customHeight="1" thickTop="1" thickBot="1">
      <c r="B52" s="609"/>
      <c r="C52" s="591"/>
      <c r="D52" s="593"/>
      <c r="E52" s="594"/>
      <c r="F52" s="608"/>
      <c r="G52" s="602"/>
      <c r="H52" s="609"/>
      <c r="I52" s="609"/>
      <c r="J52" s="596"/>
      <c r="K52" s="605"/>
      <c r="L52" s="606"/>
      <c r="M52" s="596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46308</v>
      </c>
      <c r="D53" s="444">
        <f>[8]October_2026!$P$3</f>
        <v>403.29999999999995</v>
      </c>
      <c r="E53" s="442"/>
      <c r="F53" s="443"/>
      <c r="G53" s="443">
        <f>[8]October_2026!$P$7</f>
        <v>381.9</v>
      </c>
      <c r="H53" s="457"/>
      <c r="I53" s="457"/>
      <c r="J53" s="447" t="s">
        <v>150</v>
      </c>
      <c r="K53" s="448">
        <f>[9]October_2026!$P$18</f>
        <v>1.3399999999999999</v>
      </c>
      <c r="L53" s="456">
        <f>(((D53+E53)-G53)/(D53+E53))*100</f>
        <v>5.3062236548475026</v>
      </c>
      <c r="M53" s="454" t="s">
        <v>172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[27]January_2019!L5</f>
        <v>0</v>
      </c>
      <c r="AC53" s="57">
        <f>[27]January_2019!M5</f>
        <v>0</v>
      </c>
      <c r="AD53" s="57">
        <f>[27]January_2019!N5</f>
        <v>0</v>
      </c>
      <c r="AE53" s="57">
        <f>[27]January_2019!O5</f>
        <v>0</v>
      </c>
      <c r="AF53" s="57">
        <f>[27]January_2019!P5</f>
        <v>0</v>
      </c>
      <c r="AG53" s="57">
        <f>[27]January_2019!Q5</f>
        <v>0</v>
      </c>
      <c r="AH53" s="57">
        <f>[27]January_2019!R5</f>
        <v>0</v>
      </c>
      <c r="AI53" s="57">
        <f>[27]January_2019!S5</f>
        <v>0</v>
      </c>
      <c r="AJ53" s="57">
        <f>[27]January_2019!T5</f>
        <v>0</v>
      </c>
      <c r="AK53" s="57">
        <f>[27]January_2019!U5</f>
        <v>0</v>
      </c>
      <c r="AL53" s="57">
        <f>[27]January_2019!V5</f>
        <v>0</v>
      </c>
      <c r="AM53" s="57">
        <f>[27]January_2019!W5</f>
        <v>0</v>
      </c>
      <c r="AN53" s="57">
        <f>[27]January_2019!X5</f>
        <v>0</v>
      </c>
      <c r="AO53" s="57">
        <f>[27]January_2019!Y5</f>
        <v>0</v>
      </c>
      <c r="AP53" s="57">
        <f>[27]January_2019!Z5</f>
        <v>0</v>
      </c>
      <c r="AQ53" s="57">
        <f>[27]January_2019!AA5</f>
        <v>0</v>
      </c>
      <c r="AR53" s="57">
        <f>[27]January_2019!AB5</f>
        <v>0</v>
      </c>
      <c r="AS53" s="57">
        <f>[27]January_2019!AC5</f>
        <v>0</v>
      </c>
      <c r="AT53" s="57">
        <f>[27]January_2019!AD5</f>
        <v>0</v>
      </c>
      <c r="AU53" s="57">
        <f>[27]January_2019!AE5</f>
        <v>0</v>
      </c>
      <c r="AV53" s="57">
        <f>[27]January_2019!AF5</f>
        <v>0</v>
      </c>
      <c r="AW53" s="57">
        <f>[27]January_2019!AG5</f>
        <v>0</v>
      </c>
      <c r="AX53" s="277">
        <f>[27]January_2019!AH5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hidden="1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[27]January_2019!L6</f>
        <v>0</v>
      </c>
      <c r="AC54" s="57">
        <f>[27]January_2019!M6</f>
        <v>0</v>
      </c>
      <c r="AD54" s="57">
        <f>[27]January_2019!N6</f>
        <v>0</v>
      </c>
      <c r="AE54" s="57">
        <f>[27]January_2019!O6</f>
        <v>0</v>
      </c>
      <c r="AF54" s="57">
        <f>[27]January_2019!P6</f>
        <v>0</v>
      </c>
      <c r="AG54" s="57">
        <f>[27]January_2019!Q6</f>
        <v>0</v>
      </c>
      <c r="AH54" s="57">
        <f>[27]January_2019!R6</f>
        <v>0</v>
      </c>
      <c r="AI54" s="57">
        <f>[27]January_2019!S6</f>
        <v>0</v>
      </c>
      <c r="AJ54" s="57">
        <f>[27]January_2019!T6</f>
        <v>0</v>
      </c>
      <c r="AK54" s="57">
        <f>[27]January_2019!U6</f>
        <v>0</v>
      </c>
      <c r="AL54" s="57">
        <f>[27]January_2019!V6</f>
        <v>0</v>
      </c>
      <c r="AM54" s="57">
        <f>[27]January_2019!W6</f>
        <v>0</v>
      </c>
      <c r="AN54" s="57">
        <f>[27]January_2019!X6</f>
        <v>0</v>
      </c>
      <c r="AO54" s="57">
        <f>[27]January_2019!Y6</f>
        <v>0</v>
      </c>
      <c r="AP54" s="57">
        <f>[27]January_2019!Z6</f>
        <v>0</v>
      </c>
      <c r="AQ54" s="57">
        <f>[27]January_2019!AA6</f>
        <v>0</v>
      </c>
      <c r="AR54" s="57">
        <f>[27]January_2019!AB6</f>
        <v>0</v>
      </c>
      <c r="AS54" s="57">
        <f>[27]January_2019!AC6</f>
        <v>0</v>
      </c>
      <c r="AT54" s="57">
        <f>[27]January_2019!AD6</f>
        <v>0</v>
      </c>
      <c r="AU54" s="57">
        <f>[27]January_2019!AE6</f>
        <v>0</v>
      </c>
      <c r="AV54" s="57">
        <f>[27]January_2019!AF6</f>
        <v>0</v>
      </c>
      <c r="AW54" s="57">
        <f>[27]January_2019!AG6</f>
        <v>0</v>
      </c>
      <c r="AX54" s="277">
        <f>[27]January_2019!AH6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9" t="str">
        <f>J39</f>
        <v>STAG</v>
      </c>
      <c r="C55" s="478">
        <v>46303</v>
      </c>
      <c r="D55" s="441">
        <f>[8]October_2026!$K$13</f>
        <v>292</v>
      </c>
      <c r="E55" s="442"/>
      <c r="F55" s="443"/>
      <c r="G55" s="443">
        <f>[8]October_2026!$K$17</f>
        <v>278</v>
      </c>
      <c r="H55" s="445"/>
      <c r="I55" s="445"/>
      <c r="J55" s="447" t="s">
        <v>150</v>
      </c>
      <c r="K55" s="448">
        <f>[9]October_2026!$K$25</f>
        <v>0.9754385964912281</v>
      </c>
      <c r="L55" s="456">
        <f>(((D55+E55)-G55)/(D55+E55))*100</f>
        <v>4.7945205479452051</v>
      </c>
      <c r="M55" s="454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[27]January_2019!L7</f>
        <v>285.8</v>
      </c>
      <c r="AC55" s="57">
        <f>[27]January_2019!M7</f>
        <v>508.1</v>
      </c>
      <c r="AD55" s="57">
        <f>[27]January_2019!N7</f>
        <v>0</v>
      </c>
      <c r="AE55" s="57">
        <f>[27]January_2019!O7</f>
        <v>0</v>
      </c>
      <c r="AF55" s="57">
        <f>[27]January_2019!P7</f>
        <v>109.56666666666666</v>
      </c>
      <c r="AG55" s="57">
        <f>[27]January_2019!Q7</f>
        <v>297.64999999999998</v>
      </c>
      <c r="AH55" s="57">
        <f>[27]January_2019!R7</f>
        <v>122.3</v>
      </c>
      <c r="AI55" s="57">
        <f>[27]January_2019!S7</f>
        <v>0</v>
      </c>
      <c r="AJ55" s="57">
        <f>[27]January_2019!T7</f>
        <v>294.7</v>
      </c>
      <c r="AK55" s="57">
        <f>[27]January_2019!U7</f>
        <v>280.5</v>
      </c>
      <c r="AL55" s="57">
        <f>[27]January_2019!V7</f>
        <v>0</v>
      </c>
      <c r="AM55" s="57">
        <f>[27]January_2019!W7</f>
        <v>0</v>
      </c>
      <c r="AN55" s="57">
        <f>[27]January_2019!X7</f>
        <v>188.25</v>
      </c>
      <c r="AO55" s="57">
        <f>[27]January_2019!Y7</f>
        <v>295.7</v>
      </c>
      <c r="AP55" s="57">
        <f>[27]January_2019!Z7</f>
        <v>257.8</v>
      </c>
      <c r="AQ55" s="57">
        <f>[27]January_2019!AA7</f>
        <v>291.2</v>
      </c>
      <c r="AR55" s="57">
        <f>[27]January_2019!AB7</f>
        <v>187</v>
      </c>
      <c r="AS55" s="57">
        <f>[27]January_2019!AC7</f>
        <v>0</v>
      </c>
      <c r="AT55" s="57">
        <f>[27]January_2019!AD7</f>
        <v>0</v>
      </c>
      <c r="AU55" s="57">
        <f>[27]January_2019!AE7</f>
        <v>485.1</v>
      </c>
      <c r="AV55" s="57">
        <f>[27]January_2019!AF7</f>
        <v>171.55</v>
      </c>
      <c r="AW55" s="57">
        <f>[27]January_2019!AG7</f>
        <v>423.8</v>
      </c>
      <c r="AX55" s="277">
        <f>[27]January_2019!AH7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97" t="s">
        <v>55</v>
      </c>
      <c r="C64" s="598"/>
      <c r="D64" s="598"/>
      <c r="E64" s="598"/>
      <c r="F64" s="599"/>
      <c r="G64" s="597" t="s">
        <v>56</v>
      </c>
      <c r="H64" s="598"/>
      <c r="I64" s="598"/>
      <c r="J64" s="599"/>
      <c r="K64" s="597" t="s">
        <v>51</v>
      </c>
      <c r="L64" s="598"/>
      <c r="M64" s="598"/>
      <c r="N64" s="600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5.3062236548475026</v>
      </c>
      <c r="D66" s="76">
        <v>5.1042881202228392</v>
      </c>
      <c r="E66" s="76">
        <v>6.3489383714896226</v>
      </c>
      <c r="F66" s="66">
        <v>4.8</v>
      </c>
      <c r="G66" s="65">
        <f>[8]October_2026!$P$11</f>
        <v>5.6924136073155003</v>
      </c>
      <c r="H66" s="476">
        <v>5.7800862786879019</v>
      </c>
      <c r="I66" s="476">
        <v>6.4792264099398515</v>
      </c>
      <c r="J66" s="66">
        <v>4.8</v>
      </c>
      <c r="K66" s="67">
        <f>K53</f>
        <v>1.3399999999999999</v>
      </c>
      <c r="L66" s="194">
        <v>0.83850877192982465</v>
      </c>
      <c r="M66" s="194">
        <v>0.56034816813416244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/>
      <c r="D72" s="76"/>
      <c r="E72" s="76">
        <v>3.9973372218347856</v>
      </c>
      <c r="F72" s="66">
        <v>3.3</v>
      </c>
      <c r="G72" s="282"/>
      <c r="H72" s="76"/>
      <c r="I72" s="76">
        <v>5.1096183510504902</v>
      </c>
      <c r="J72" s="66">
        <v>3.3</v>
      </c>
      <c r="K72" s="67"/>
      <c r="L72" s="194"/>
      <c r="M72" s="194">
        <v>0.89057130004498408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4.7792166009812664</v>
      </c>
      <c r="E75" s="76">
        <v>6.288931170676876</v>
      </c>
      <c r="F75" s="341">
        <v>5.5</v>
      </c>
      <c r="H75" s="76">
        <v>5.4684048546829418</v>
      </c>
      <c r="I75" s="76">
        <v>6.6002205481880569</v>
      </c>
      <c r="J75" s="341">
        <v>5.5</v>
      </c>
      <c r="L75" s="194">
        <v>0.85295055821371613</v>
      </c>
      <c r="M75" s="194">
        <v>0.60969030287174719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957" priority="106" operator="notBetween">
      <formula>#REF!</formula>
      <formula>#REF!</formula>
    </cfRule>
  </conditionalFormatting>
  <conditionalFormatting sqref="C50">
    <cfRule type="cellIs" dxfId="956" priority="189" stopIfTrue="1" operator="greaterThan">
      <formula>100</formula>
    </cfRule>
    <cfRule type="cellIs" dxfId="955" priority="188" stopIfTrue="1" operator="lessThan">
      <formula>96</formula>
    </cfRule>
  </conditionalFormatting>
  <conditionalFormatting sqref="C66:C67">
    <cfRule type="cellIs" dxfId="954" priority="69" stopIfTrue="1" operator="greaterThan">
      <formula>$F66</formula>
    </cfRule>
    <cfRule type="cellIs" dxfId="953" priority="71" stopIfTrue="1" operator="greaterThan">
      <formula>$F66</formula>
    </cfRule>
    <cfRule type="cellIs" dxfId="952" priority="72" stopIfTrue="1" operator="lessThanOrEqual">
      <formula>0</formula>
    </cfRule>
    <cfRule type="cellIs" dxfId="951" priority="70" stopIfTrue="1" operator="lessThanOrEqual">
      <formula>0</formula>
    </cfRule>
  </conditionalFormatting>
  <conditionalFormatting sqref="C68:C70 C72:C74">
    <cfRule type="cellIs" dxfId="950" priority="78" stopIfTrue="1" operator="greaterThan">
      <formula>$F71</formula>
    </cfRule>
  </conditionalFormatting>
  <conditionalFormatting sqref="C68:C70">
    <cfRule type="cellIs" dxfId="949" priority="79" stopIfTrue="1" operator="lessThanOrEqual">
      <formula>0</formula>
    </cfRule>
  </conditionalFormatting>
  <conditionalFormatting sqref="C71">
    <cfRule type="cellIs" dxfId="948" priority="190" stopIfTrue="1" operator="greaterThan">
      <formula>$F66</formula>
    </cfRule>
    <cfRule type="cellIs" dxfId="947" priority="193" stopIfTrue="1" operator="lessThanOrEqual">
      <formula>0</formula>
    </cfRule>
    <cfRule type="cellIs" dxfId="946" priority="192" stopIfTrue="1" operator="greaterThan">
      <formula>$F66</formula>
    </cfRule>
    <cfRule type="cellIs" dxfId="945" priority="191" stopIfTrue="1" operator="lessThanOrEqual">
      <formula>0</formula>
    </cfRule>
  </conditionalFormatting>
  <conditionalFormatting sqref="C72:C74">
    <cfRule type="cellIs" dxfId="944" priority="80" stopIfTrue="1" operator="lessThanOrEqual">
      <formula>0</formula>
    </cfRule>
  </conditionalFormatting>
  <conditionalFormatting sqref="C77:C81">
    <cfRule type="cellIs" dxfId="943" priority="180" stopIfTrue="1" operator="lessThanOrEqual">
      <formula>0</formula>
    </cfRule>
  </conditionalFormatting>
  <conditionalFormatting sqref="C78:C81">
    <cfRule type="cellIs" dxfId="942" priority="179" stopIfTrue="1" operator="greaterThan">
      <formula>$F$77</formula>
    </cfRule>
  </conditionalFormatting>
  <conditionalFormatting sqref="C83">
    <cfRule type="cellIs" dxfId="941" priority="181" stopIfTrue="1" operator="greaterThan">
      <formula>$F$77</formula>
    </cfRule>
    <cfRule type="cellIs" dxfId="940" priority="182" stopIfTrue="1" operator="lessThanOrEqual">
      <formula>0</formula>
    </cfRule>
  </conditionalFormatting>
  <conditionalFormatting sqref="C71:D71">
    <cfRule type="cellIs" dxfId="939" priority="67" stopIfTrue="1" operator="greaterThan">
      <formula>$J71</formula>
    </cfRule>
    <cfRule type="cellIs" dxfId="938" priority="68" stopIfTrue="1" operator="lessThanOrEqual">
      <formula>0</formula>
    </cfRule>
  </conditionalFormatting>
  <conditionalFormatting sqref="C77:D77 D79:D85">
    <cfRule type="cellIs" dxfId="937" priority="174" stopIfTrue="1" operator="greaterThan">
      <formula>4.5</formula>
    </cfRule>
  </conditionalFormatting>
  <conditionalFormatting sqref="D46:D47">
    <cfRule type="cellIs" dxfId="936" priority="107" operator="notBetween">
      <formula>#REF!</formula>
      <formula>#REF!</formula>
    </cfRule>
  </conditionalFormatting>
  <conditionalFormatting sqref="D66:D70 D72:D73">
    <cfRule type="cellIs" dxfId="935" priority="77" stopIfTrue="1" operator="lessThanOrEqual">
      <formula>0</formula>
    </cfRule>
  </conditionalFormatting>
  <conditionalFormatting sqref="D66:D70 D72:D75">
    <cfRule type="cellIs" dxfId="934" priority="74" stopIfTrue="1" operator="greaterThan">
      <formula>$F66</formula>
    </cfRule>
    <cfRule type="cellIs" dxfId="933" priority="73" stopIfTrue="1" operator="lessThanOrEqual">
      <formula>0</formula>
    </cfRule>
  </conditionalFormatting>
  <conditionalFormatting sqref="D74:D75">
    <cfRule type="cellIs" dxfId="932" priority="75" stopIfTrue="1" operator="lessThanOrEqual">
      <formula>0</formula>
    </cfRule>
  </conditionalFormatting>
  <conditionalFormatting sqref="D75">
    <cfRule type="cellIs" dxfId="931" priority="76" stopIfTrue="1" operator="lessThanOrEqual">
      <formula>0</formula>
    </cfRule>
  </conditionalFormatting>
  <conditionalFormatting sqref="D77 D79:D85">
    <cfRule type="cellIs" dxfId="930" priority="175" stopIfTrue="1" operator="lessThanOrEqual">
      <formula>0</formula>
    </cfRule>
  </conditionalFormatting>
  <conditionalFormatting sqref="D78">
    <cfRule type="cellIs" dxfId="929" priority="166" stopIfTrue="1" operator="greaterThan">
      <formula>$F$77</formula>
    </cfRule>
    <cfRule type="cellIs" dxfId="928" priority="167" stopIfTrue="1" operator="lessThanOrEqual">
      <formula>0</formula>
    </cfRule>
  </conditionalFormatting>
  <conditionalFormatting sqref="E10:E21">
    <cfRule type="cellIs" dxfId="927" priority="7" operator="lessThan">
      <formula>48</formula>
    </cfRule>
  </conditionalFormatting>
  <conditionalFormatting sqref="E49 E50:F50">
    <cfRule type="cellIs" dxfId="926" priority="171" stopIfTrue="1" operator="greaterThan">
      <formula>100</formula>
    </cfRule>
  </conditionalFormatting>
  <conditionalFormatting sqref="E50">
    <cfRule type="cellIs" dxfId="925" priority="169" stopIfTrue="1" operator="greaterThan">
      <formula>100</formula>
    </cfRule>
    <cfRule type="cellIs" dxfId="924" priority="168" stopIfTrue="1" operator="lessThan">
      <formula>96.8</formula>
    </cfRule>
  </conditionalFormatting>
  <conditionalFormatting sqref="E66:E74">
    <cfRule type="cellIs" dxfId="923" priority="40" stopIfTrue="1" operator="lessThanOrEqual">
      <formula>0</formula>
    </cfRule>
  </conditionalFormatting>
  <conditionalFormatting sqref="E66:E75">
    <cfRule type="cellIs" dxfId="922" priority="41" stopIfTrue="1" operator="greaterThan">
      <formula>$F66</formula>
    </cfRule>
    <cfRule type="cellIs" dxfId="921" priority="42" stopIfTrue="1" operator="lessThanOrEqual">
      <formula>0</formula>
    </cfRule>
  </conditionalFormatting>
  <conditionalFormatting sqref="E75">
    <cfRule type="cellIs" dxfId="920" priority="43" stopIfTrue="1" operator="lessThanOrEqual">
      <formula>0</formula>
    </cfRule>
  </conditionalFormatting>
  <conditionalFormatting sqref="E77:E85">
    <cfRule type="cellIs" dxfId="919" priority="160" stopIfTrue="1" operator="greaterThan">
      <formula>4.5</formula>
    </cfRule>
    <cfRule type="cellIs" dxfId="918" priority="161" stopIfTrue="1" operator="lessThanOrEqual">
      <formula>0</formula>
    </cfRule>
  </conditionalFormatting>
  <conditionalFormatting sqref="E50:F50 E49">
    <cfRule type="cellIs" dxfId="917" priority="170" stopIfTrue="1" operator="lessThan">
      <formula>96.5</formula>
    </cfRule>
  </conditionalFormatting>
  <conditionalFormatting sqref="F19:F21">
    <cfRule type="cellIs" dxfId="916" priority="11" operator="greaterThan">
      <formula>60</formula>
    </cfRule>
  </conditionalFormatting>
  <conditionalFormatting sqref="F50">
    <cfRule type="cellIs" dxfId="915" priority="186" stopIfTrue="1" operator="lessThan">
      <formula>96.8</formula>
    </cfRule>
    <cfRule type="cellIs" dxfId="914" priority="187" stopIfTrue="1" operator="greaterThan">
      <formula>100</formula>
    </cfRule>
  </conditionalFormatting>
  <conditionalFormatting sqref="G10:G21">
    <cfRule type="expression" dxfId="913" priority="13">
      <formula>IF(+(IF(G10&lt;S10,0,IF(G10&gt;T10,0,1)))=0,1)</formula>
    </cfRule>
  </conditionalFormatting>
  <conditionalFormatting sqref="G66:G69 F75">
    <cfRule type="cellIs" dxfId="912" priority="49" stopIfTrue="1" operator="greaterThan">
      <formula>$F66</formula>
    </cfRule>
    <cfRule type="cellIs" dxfId="911" priority="50" stopIfTrue="1" operator="lessThanOrEqual">
      <formula>0</formula>
    </cfRule>
  </conditionalFormatting>
  <conditionalFormatting sqref="G68:G69">
    <cfRule type="cellIs" dxfId="910" priority="36" stopIfTrue="1" operator="lessThanOrEqual">
      <formula>0</formula>
    </cfRule>
    <cfRule type="cellIs" dxfId="909" priority="35" stopIfTrue="1" operator="greaterThan">
      <formula>$F68</formula>
    </cfRule>
  </conditionalFormatting>
  <conditionalFormatting sqref="G70:G74">
    <cfRule type="cellIs" dxfId="908" priority="52" stopIfTrue="1" operator="lessThanOrEqual">
      <formula>0</formula>
    </cfRule>
    <cfRule type="cellIs" dxfId="907" priority="51" stopIfTrue="1" operator="greaterThan">
      <formula>$J70</formula>
    </cfRule>
  </conditionalFormatting>
  <conditionalFormatting sqref="G71">
    <cfRule type="cellIs" dxfId="906" priority="194" stopIfTrue="1" operator="greaterThan">
      <formula>$F66</formula>
    </cfRule>
    <cfRule type="cellIs" dxfId="905" priority="195" stopIfTrue="1" operator="lessThanOrEqual">
      <formula>0</formula>
    </cfRule>
  </conditionalFormatting>
  <conditionalFormatting sqref="G79:G84 C82 C84">
    <cfRule type="cellIs" dxfId="904" priority="184" stopIfTrue="1" operator="lessThanOrEqual">
      <formula>0</formula>
    </cfRule>
    <cfRule type="cellIs" dxfId="903" priority="183" stopIfTrue="1" operator="greaterThan">
      <formula>4.5</formula>
    </cfRule>
  </conditionalFormatting>
  <conditionalFormatting sqref="G78:H78">
    <cfRule type="cellIs" dxfId="902" priority="165" stopIfTrue="1" operator="lessThanOrEqual">
      <formula>0</formula>
    </cfRule>
    <cfRule type="cellIs" dxfId="901" priority="164" stopIfTrue="1" operator="greaterThan">
      <formula>$F$77</formula>
    </cfRule>
  </conditionalFormatting>
  <conditionalFormatting sqref="H10:H21">
    <cfRule type="expression" dxfId="900" priority="14">
      <formula>IF(+(IF(H10&lt;#REF!,0,IF(H10&gt;#REF!,0,1)))=0,1)</formula>
    </cfRule>
  </conditionalFormatting>
  <conditionalFormatting sqref="H35:H36 H49">
    <cfRule type="cellIs" dxfId="899" priority="162" stopIfTrue="1" operator="greaterThan">
      <formula>0</formula>
    </cfRule>
  </conditionalFormatting>
  <conditionalFormatting sqref="H53">
    <cfRule type="cellIs" dxfId="898" priority="55" stopIfTrue="1" operator="greaterThan">
      <formula>$F$66</formula>
    </cfRule>
    <cfRule type="cellIs" dxfId="897" priority="63" stopIfTrue="1" operator="greaterThan">
      <formula>$F$69</formula>
    </cfRule>
    <cfRule type="cellIs" dxfId="896" priority="64" stopIfTrue="1" operator="lessThanOrEqual">
      <formula>0</formula>
    </cfRule>
    <cfRule type="cellIs" dxfId="895" priority="65" stopIfTrue="1" operator="greaterThan">
      <formula>$F$67</formula>
    </cfRule>
    <cfRule type="cellIs" dxfId="894" priority="54" stopIfTrue="1" operator="lessThanOrEqual">
      <formula>0</formula>
    </cfRule>
  </conditionalFormatting>
  <conditionalFormatting sqref="H53:H54">
    <cfRule type="cellIs" dxfId="893" priority="66" stopIfTrue="1" operator="lessThanOrEqual">
      <formula>0</formula>
    </cfRule>
  </conditionalFormatting>
  <conditionalFormatting sqref="H54 H56:H57">
    <cfRule type="cellIs" dxfId="892" priority="92" stopIfTrue="1" operator="lessThanOrEqual">
      <formula>0</formula>
    </cfRule>
  </conditionalFormatting>
  <conditionalFormatting sqref="H54">
    <cfRule type="cellIs" dxfId="891" priority="89" stopIfTrue="1" operator="greaterThan">
      <formula>$F$69</formula>
    </cfRule>
    <cfRule type="cellIs" dxfId="890" priority="91" stopIfTrue="1" operator="greaterThan">
      <formula>$F$67</formula>
    </cfRule>
    <cfRule type="cellIs" dxfId="889" priority="90" stopIfTrue="1" operator="lessThanOrEqual">
      <formula>0</formula>
    </cfRule>
    <cfRule type="cellIs" dxfId="888" priority="81" stopIfTrue="1" operator="greaterThan">
      <formula>$F$66</formula>
    </cfRule>
  </conditionalFormatting>
  <conditionalFormatting sqref="H55">
    <cfRule type="cellIs" dxfId="887" priority="21" stopIfTrue="1" operator="lessThanOrEqual">
      <formula>0</formula>
    </cfRule>
    <cfRule type="cellIs" dxfId="886" priority="22" stopIfTrue="1" operator="greaterThan">
      <formula>$F$68</formula>
    </cfRule>
    <cfRule type="cellIs" dxfId="885" priority="30" stopIfTrue="1" operator="greaterThan">
      <formula>$F$71</formula>
    </cfRule>
    <cfRule type="cellIs" dxfId="884" priority="31" stopIfTrue="1" operator="lessThanOrEqual">
      <formula>0</formula>
    </cfRule>
    <cfRule type="cellIs" dxfId="883" priority="32" stopIfTrue="1" operator="greaterThan">
      <formula>$F$69</formula>
    </cfRule>
    <cfRule type="cellIs" dxfId="882" priority="33" stopIfTrue="1" operator="lessThanOrEqual">
      <formula>0</formula>
    </cfRule>
  </conditionalFormatting>
  <conditionalFormatting sqref="H56:H57">
    <cfRule type="cellIs" dxfId="881" priority="104" stopIfTrue="1" operator="greaterThan">
      <formula>$F$67</formula>
    </cfRule>
    <cfRule type="cellIs" dxfId="880" priority="103" stopIfTrue="1" operator="lessThanOrEqual">
      <formula>0</formula>
    </cfRule>
    <cfRule type="cellIs" dxfId="879" priority="102" stopIfTrue="1" operator="greaterThan">
      <formula>$F$69</formula>
    </cfRule>
    <cfRule type="cellIs" dxfId="878" priority="94" stopIfTrue="1" operator="greaterThan">
      <formula>$F$66</formula>
    </cfRule>
    <cfRule type="cellIs" dxfId="877" priority="105" stopIfTrue="1" operator="lessThanOrEqual">
      <formula>0</formula>
    </cfRule>
  </conditionalFormatting>
  <conditionalFormatting sqref="H58:H59">
    <cfRule type="cellIs" dxfId="876" priority="129" stopIfTrue="1" operator="lessThanOrEqual">
      <formula>0</formula>
    </cfRule>
    <cfRule type="cellIs" dxfId="875" priority="138" stopIfTrue="1" operator="greaterThan">
      <formula>#REF!</formula>
    </cfRule>
    <cfRule type="cellIs" dxfId="874" priority="139" stopIfTrue="1" operator="lessThanOrEqual">
      <formula>0</formula>
    </cfRule>
    <cfRule type="cellIs" dxfId="873" priority="130" stopIfTrue="1" operator="greaterThan">
      <formula>#REF!</formula>
    </cfRule>
  </conditionalFormatting>
  <conditionalFormatting sqref="H60">
    <cfRule type="cellIs" dxfId="872" priority="153" stopIfTrue="1" operator="lessThanOrEqual">
      <formula>0</formula>
    </cfRule>
    <cfRule type="cellIs" dxfId="871" priority="141" stopIfTrue="1" operator="lessThanOrEqual">
      <formula>0</formula>
    </cfRule>
    <cfRule type="cellIs" dxfId="870" priority="142" stopIfTrue="1" operator="greaterThan">
      <formula>$F$34</formula>
    </cfRule>
    <cfRule type="cellIs" dxfId="869" priority="152" stopIfTrue="1" operator="greaterThan">
      <formula>$F$35</formula>
    </cfRule>
    <cfRule type="cellIs" dxfId="868" priority="151" stopIfTrue="1" operator="lessThanOrEqual">
      <formula>0</formula>
    </cfRule>
    <cfRule type="cellIs" dxfId="867" priority="150" stopIfTrue="1" operator="greaterThan">
      <formula>$F$37</formula>
    </cfRule>
  </conditionalFormatting>
  <conditionalFormatting sqref="H61:H62">
    <cfRule type="cellIs" dxfId="866" priority="126" stopIfTrue="1" operator="greaterThan">
      <formula>#REF!</formula>
    </cfRule>
    <cfRule type="cellIs" dxfId="865" priority="118" stopIfTrue="1" operator="greaterThan">
      <formula>#REF!</formula>
    </cfRule>
    <cfRule type="cellIs" dxfId="864" priority="117" stopIfTrue="1" operator="lessThanOrEqual">
      <formula>0</formula>
    </cfRule>
    <cfRule type="cellIs" dxfId="863" priority="127" stopIfTrue="1" operator="lessThanOrEqual">
      <formula>0</formula>
    </cfRule>
  </conditionalFormatting>
  <conditionalFormatting sqref="H77 H79:H85">
    <cfRule type="cellIs" dxfId="862" priority="176" stopIfTrue="1" operator="greaterThan">
      <formula>4.5</formula>
    </cfRule>
    <cfRule type="cellIs" dxfId="861" priority="177" stopIfTrue="1" operator="lessThanOrEqual">
      <formula>0</formula>
    </cfRule>
  </conditionalFormatting>
  <conditionalFormatting sqref="H53:I53">
    <cfRule type="cellIs" dxfId="860" priority="56" stopIfTrue="1" operator="lessThanOrEqual">
      <formula>0</formula>
    </cfRule>
  </conditionalFormatting>
  <conditionalFormatting sqref="H53:I54 H56:I57">
    <cfRule type="cellIs" dxfId="859" priority="53" stopIfTrue="1" operator="greaterThan">
      <formula>$F$68</formula>
    </cfRule>
  </conditionalFormatting>
  <conditionalFormatting sqref="H54:I54">
    <cfRule type="cellIs" dxfId="858" priority="82" stopIfTrue="1" operator="lessThanOrEqual">
      <formula>0</formula>
    </cfRule>
  </conditionalFormatting>
  <conditionalFormatting sqref="H55:I55">
    <cfRule type="cellIs" dxfId="857" priority="20" stopIfTrue="1" operator="greaterThan">
      <formula>$F$70</formula>
    </cfRule>
    <cfRule type="cellIs" dxfId="856" priority="23" stopIfTrue="1" operator="lessThanOrEqual">
      <formula>0</formula>
    </cfRule>
  </conditionalFormatting>
  <conditionalFormatting sqref="H56:I57">
    <cfRule type="cellIs" dxfId="855" priority="95" stopIfTrue="1" operator="lessThanOrEqual">
      <formula>0</formula>
    </cfRule>
  </conditionalFormatting>
  <conditionalFormatting sqref="H58:I59">
    <cfRule type="cellIs" dxfId="854" priority="136" stopIfTrue="1" operator="greaterThan">
      <formula>#REF!</formula>
    </cfRule>
    <cfRule type="cellIs" dxfId="853" priority="131" stopIfTrue="1" operator="lessThanOrEqual">
      <formula>0</formula>
    </cfRule>
    <cfRule type="cellIs" dxfId="852" priority="137" stopIfTrue="1" operator="lessThanOrEqual">
      <formula>0</formula>
    </cfRule>
    <cfRule type="cellIs" dxfId="851" priority="128" stopIfTrue="1" operator="greaterThan">
      <formula>#REF!</formula>
    </cfRule>
  </conditionalFormatting>
  <conditionalFormatting sqref="H60:I60">
    <cfRule type="cellIs" dxfId="850" priority="140" stopIfTrue="1" operator="greaterThan">
      <formula>$F$36</formula>
    </cfRule>
    <cfRule type="cellIs" dxfId="849" priority="143" stopIfTrue="1" operator="lessThanOrEqual">
      <formula>0</formula>
    </cfRule>
  </conditionalFormatting>
  <conditionalFormatting sqref="H61:I62">
    <cfRule type="cellIs" dxfId="848" priority="116" stopIfTrue="1" operator="greaterThan">
      <formula>#REF!</formula>
    </cfRule>
    <cfRule type="cellIs" dxfId="847" priority="119" stopIfTrue="1" operator="lessThanOrEqual">
      <formula>0</formula>
    </cfRule>
    <cfRule type="cellIs" dxfId="846" priority="124" stopIfTrue="1" operator="greaterThan">
      <formula>#REF!</formula>
    </cfRule>
    <cfRule type="cellIs" dxfId="845" priority="125" stopIfTrue="1" operator="lessThanOrEqual">
      <formula>0</formula>
    </cfRule>
  </conditionalFormatting>
  <conditionalFormatting sqref="H66:I73">
    <cfRule type="cellIs" dxfId="844" priority="39" stopIfTrue="1" operator="lessThanOrEqual">
      <formula>0</formula>
    </cfRule>
    <cfRule type="cellIs" dxfId="843" priority="38" stopIfTrue="1" operator="greaterThan">
      <formula>$J66</formula>
    </cfRule>
  </conditionalFormatting>
  <conditionalFormatting sqref="H74:I74">
    <cfRule type="cellIs" dxfId="842" priority="46" operator="greaterThan">
      <formula>5.3</formula>
    </cfRule>
  </conditionalFormatting>
  <conditionalFormatting sqref="H75:I75">
    <cfRule type="cellIs" dxfId="841" priority="45" stopIfTrue="1" operator="lessThanOrEqual">
      <formula>0</formula>
    </cfRule>
    <cfRule type="cellIs" dxfId="840" priority="44" stopIfTrue="1" operator="greaterThan">
      <formula>$J75</formula>
    </cfRule>
  </conditionalFormatting>
  <conditionalFormatting sqref="I53">
    <cfRule type="cellIs" dxfId="839" priority="59" stopIfTrue="1" operator="greaterThan">
      <formula>$F$68</formula>
    </cfRule>
    <cfRule type="cellIs" dxfId="838" priority="58" stopIfTrue="1" operator="lessThanOrEqual">
      <formula>0</formula>
    </cfRule>
    <cfRule type="cellIs" dxfId="837" priority="57" stopIfTrue="1" operator="greaterThan">
      <formula>$F$66</formula>
    </cfRule>
    <cfRule type="cellIs" dxfId="836" priority="62" stopIfTrue="1" operator="lessThanOrEqual">
      <formula>0</formula>
    </cfRule>
    <cfRule type="cellIs" dxfId="835" priority="61" stopIfTrue="1" operator="greaterThan">
      <formula>$F$66</formula>
    </cfRule>
    <cfRule type="cellIs" dxfId="834" priority="60" stopIfTrue="1" operator="lessThanOrEqual">
      <formula>0</formula>
    </cfRule>
  </conditionalFormatting>
  <conditionalFormatting sqref="I54">
    <cfRule type="cellIs" dxfId="833" priority="84" stopIfTrue="1" operator="lessThanOrEqual">
      <formula>0</formula>
    </cfRule>
    <cfRule type="cellIs" dxfId="832" priority="83" stopIfTrue="1" operator="greaterThan">
      <formula>$F$66</formula>
    </cfRule>
    <cfRule type="cellIs" dxfId="831" priority="88" stopIfTrue="1" operator="lessThanOrEqual">
      <formula>0</formula>
    </cfRule>
    <cfRule type="cellIs" dxfId="830" priority="87" stopIfTrue="1" operator="greaterThan">
      <formula>$F$66</formula>
    </cfRule>
    <cfRule type="cellIs" dxfId="829" priority="86" stopIfTrue="1" operator="lessThanOrEqual">
      <formula>0</formula>
    </cfRule>
    <cfRule type="cellIs" dxfId="828" priority="85" stopIfTrue="1" operator="greaterThan">
      <formula>$F$68</formula>
    </cfRule>
  </conditionalFormatting>
  <conditionalFormatting sqref="I55">
    <cfRule type="cellIs" dxfId="827" priority="28" stopIfTrue="1" operator="greaterThan">
      <formula>$F$68</formula>
    </cfRule>
    <cfRule type="cellIs" dxfId="826" priority="27" stopIfTrue="1" operator="lessThanOrEqual">
      <formula>0</formula>
    </cfRule>
    <cfRule type="cellIs" dxfId="825" priority="26" stopIfTrue="1" operator="greaterThan">
      <formula>$F$70</formula>
    </cfRule>
    <cfRule type="cellIs" dxfId="824" priority="25" stopIfTrue="1" operator="lessThanOrEqual">
      <formula>0</formula>
    </cfRule>
    <cfRule type="cellIs" dxfId="823" priority="24" stopIfTrue="1" operator="greaterThan">
      <formula>$F$68</formula>
    </cfRule>
    <cfRule type="cellIs" dxfId="822" priority="29" stopIfTrue="1" operator="lessThanOrEqual">
      <formula>0</formula>
    </cfRule>
  </conditionalFormatting>
  <conditionalFormatting sqref="I56:I57">
    <cfRule type="cellIs" dxfId="821" priority="99" stopIfTrue="1" operator="lessThanOrEqual">
      <formula>0</formula>
    </cfRule>
    <cfRule type="cellIs" dxfId="820" priority="100" stopIfTrue="1" operator="greaterThan">
      <formula>$F$66</formula>
    </cfRule>
    <cfRule type="cellIs" dxfId="819" priority="101" stopIfTrue="1" operator="lessThanOrEqual">
      <formula>0</formula>
    </cfRule>
    <cfRule type="cellIs" dxfId="818" priority="96" stopIfTrue="1" operator="greaterThan">
      <formula>$F$66</formula>
    </cfRule>
    <cfRule type="cellIs" dxfId="817" priority="97" stopIfTrue="1" operator="lessThanOrEqual">
      <formula>0</formula>
    </cfRule>
    <cfRule type="cellIs" dxfId="816" priority="98" stopIfTrue="1" operator="greaterThan">
      <formula>$F$68</formula>
    </cfRule>
  </conditionalFormatting>
  <conditionalFormatting sqref="I58:I59">
    <cfRule type="cellIs" dxfId="815" priority="132" stopIfTrue="1" operator="greaterThan">
      <formula>#REF!</formula>
    </cfRule>
    <cfRule type="cellIs" dxfId="814" priority="135" stopIfTrue="1" operator="lessThanOrEqual">
      <formula>0</formula>
    </cfRule>
    <cfRule type="cellIs" dxfId="813" priority="134" stopIfTrue="1" operator="greaterThan">
      <formula>#REF!</formula>
    </cfRule>
    <cfRule type="cellIs" dxfId="812" priority="133" stopIfTrue="1" operator="lessThanOrEqual">
      <formula>0</formula>
    </cfRule>
  </conditionalFormatting>
  <conditionalFormatting sqref="I60">
    <cfRule type="cellIs" dxfId="811" priority="147" stopIfTrue="1" operator="lessThanOrEqual">
      <formula>0</formula>
    </cfRule>
    <cfRule type="cellIs" dxfId="810" priority="148" stopIfTrue="1" operator="greaterThan">
      <formula>$F$34</formula>
    </cfRule>
    <cfRule type="cellIs" dxfId="809" priority="149" stopIfTrue="1" operator="lessThanOrEqual">
      <formula>0</formula>
    </cfRule>
    <cfRule type="cellIs" dxfId="808" priority="146" stopIfTrue="1" operator="greaterThan">
      <formula>$F$36</formula>
    </cfRule>
    <cfRule type="cellIs" dxfId="807" priority="145" stopIfTrue="1" operator="lessThanOrEqual">
      <formula>0</formula>
    </cfRule>
    <cfRule type="cellIs" dxfId="806" priority="144" stopIfTrue="1" operator="greaterThan">
      <formula>$F$34</formula>
    </cfRule>
  </conditionalFormatting>
  <conditionalFormatting sqref="I61:I62">
    <cfRule type="cellIs" dxfId="805" priority="120" stopIfTrue="1" operator="greaterThan">
      <formula>#REF!</formula>
    </cfRule>
    <cfRule type="cellIs" dxfId="804" priority="121" stopIfTrue="1" operator="lessThanOrEqual">
      <formula>0</formula>
    </cfRule>
    <cfRule type="cellIs" dxfId="803" priority="122" stopIfTrue="1" operator="greaterThan">
      <formula>#REF!</formula>
    </cfRule>
    <cfRule type="cellIs" dxfId="802" priority="123" stopIfTrue="1" operator="lessThanOrEqual">
      <formula>0</formula>
    </cfRule>
  </conditionalFormatting>
  <conditionalFormatting sqref="I77:I85">
    <cfRule type="cellIs" dxfId="801" priority="173" stopIfTrue="1" operator="lessThanOrEqual">
      <formula>0</formula>
    </cfRule>
    <cfRule type="cellIs" dxfId="800" priority="172" stopIfTrue="1" operator="greaterThan">
      <formula>4.5</formula>
    </cfRule>
  </conditionalFormatting>
  <conditionalFormatting sqref="I10:J21">
    <cfRule type="cellIs" dxfId="799" priority="1" operator="lessThan">
      <formula>97.9</formula>
    </cfRule>
  </conditionalFormatting>
  <conditionalFormatting sqref="J24:J26">
    <cfRule type="cellIs" dxfId="798" priority="19" operator="lessThan">
      <formula>97.95</formula>
    </cfRule>
  </conditionalFormatting>
  <conditionalFormatting sqref="J25:J28">
    <cfRule type="cellIs" dxfId="797" priority="154" operator="lessThan">
      <formula>97.4</formula>
    </cfRule>
  </conditionalFormatting>
  <conditionalFormatting sqref="J29:J30">
    <cfRule type="cellIs" dxfId="796" priority="155" operator="lessThan">
      <formula>98</formula>
    </cfRule>
  </conditionalFormatting>
  <conditionalFormatting sqref="J31:J32">
    <cfRule type="cellIs" dxfId="795" priority="156" stopIfTrue="1" operator="lessThan">
      <formula>96.8</formula>
    </cfRule>
    <cfRule type="cellIs" dxfId="794" priority="157" stopIfTrue="1" operator="greaterThan">
      <formula>100</formula>
    </cfRule>
  </conditionalFormatting>
  <conditionalFormatting sqref="J31:J33">
    <cfRule type="cellIs" dxfId="793" priority="158" operator="lessThan">
      <formula>98</formula>
    </cfRule>
  </conditionalFormatting>
  <conditionalFormatting sqref="J62">
    <cfRule type="cellIs" dxfId="792" priority="112" stopIfTrue="1" operator="greaterThan">
      <formula>#REF!</formula>
    </cfRule>
    <cfRule type="cellIs" dxfId="791" priority="113" stopIfTrue="1" operator="lessThanOrEqual">
      <formula>0</formula>
    </cfRule>
    <cfRule type="cellIs" dxfId="790" priority="114" stopIfTrue="1" operator="greaterThan">
      <formula>#REF!</formula>
    </cfRule>
    <cfRule type="cellIs" dxfId="789" priority="115" stopIfTrue="1" operator="lessThanOrEqual">
      <formula>0</formula>
    </cfRule>
    <cfRule type="cellIs" dxfId="788" priority="108" stopIfTrue="1" operator="greaterThan">
      <formula>#REF!</formula>
    </cfRule>
    <cfRule type="cellIs" dxfId="787" priority="109" stopIfTrue="1" operator="lessThanOrEqual">
      <formula>0</formula>
    </cfRule>
    <cfRule type="cellIs" dxfId="786" priority="110" stopIfTrue="1" operator="greaterThan">
      <formula>#REF!</formula>
    </cfRule>
    <cfRule type="cellIs" dxfId="785" priority="111" stopIfTrue="1" operator="lessThanOrEqual">
      <formula>0</formula>
    </cfRule>
  </conditionalFormatting>
  <conditionalFormatting sqref="J75">
    <cfRule type="cellIs" dxfId="784" priority="47" stopIfTrue="1" operator="greaterThan">
      <formula>$F75</formula>
    </cfRule>
    <cfRule type="cellIs" dxfId="783" priority="48" stopIfTrue="1" operator="lessThanOrEqual">
      <formula>0</formula>
    </cfRule>
  </conditionalFormatting>
  <conditionalFormatting sqref="K10:K21">
    <cfRule type="cellIs" dxfId="782" priority="3" operator="lessThan">
      <formula>4</formula>
    </cfRule>
    <cfRule type="cellIs" dxfId="781" priority="2" operator="greaterThan">
      <formula>6</formula>
    </cfRule>
    <cfRule type="cellIs" dxfId="780" priority="4" operator="greaterThan">
      <formula>6.4</formula>
    </cfRule>
  </conditionalFormatting>
  <conditionalFormatting sqref="K53:K62">
    <cfRule type="cellIs" dxfId="779" priority="93" stopIfTrue="1" operator="lessThan">
      <formula>100%</formula>
    </cfRule>
  </conditionalFormatting>
  <conditionalFormatting sqref="K66:K74">
    <cfRule type="cellIs" dxfId="778" priority="37" stopIfTrue="1" operator="lessThan">
      <formula>100%</formula>
    </cfRule>
  </conditionalFormatting>
  <conditionalFormatting sqref="K77:K82">
    <cfRule type="cellIs" dxfId="777" priority="178" stopIfTrue="1" operator="lessThan">
      <formula>100%</formula>
    </cfRule>
  </conditionalFormatting>
  <conditionalFormatting sqref="K84:K85">
    <cfRule type="cellIs" dxfId="776" priority="185" stopIfTrue="1" operator="lessThan">
      <formula>100%</formula>
    </cfRule>
  </conditionalFormatting>
  <conditionalFormatting sqref="L10:L21">
    <cfRule type="cellIs" dxfId="775" priority="5" operator="between">
      <formula>61</formula>
      <formula>65</formula>
    </cfRule>
    <cfRule type="cellIs" dxfId="774" priority="6" operator="greaterThan">
      <formula>65</formula>
    </cfRule>
  </conditionalFormatting>
  <conditionalFormatting sqref="L24:M35">
    <cfRule type="cellIs" dxfId="773" priority="18" operator="lessThan">
      <formula>97.95</formula>
    </cfRule>
  </conditionalFormatting>
  <conditionalFormatting sqref="L39:N39">
    <cfRule type="cellIs" dxfId="772" priority="17" operator="notEqual">
      <formula>#REF!</formula>
    </cfRule>
  </conditionalFormatting>
  <conditionalFormatting sqref="L66:N75">
    <cfRule type="cellIs" dxfId="771" priority="34" stopIfTrue="1" operator="lessThan">
      <formula>100%</formula>
    </cfRule>
  </conditionalFormatting>
  <conditionalFormatting sqref="L77:N85">
    <cfRule type="cellIs" dxfId="770" priority="163" stopIfTrue="1" operator="lessThan">
      <formula>100%</formula>
    </cfRule>
  </conditionalFormatting>
  <conditionalFormatting sqref="M19:M21">
    <cfRule type="expression" dxfId="769" priority="12">
      <formula>IF(+(IF(M19&lt;U19,0,IF(M19&gt;V19,0,1)))=0,1)</formula>
    </cfRule>
  </conditionalFormatting>
  <conditionalFormatting sqref="M10:N18 N19:N21">
    <cfRule type="expression" dxfId="768" priority="15">
      <formula>IF(+(IF(M10&lt;V10,0,IF(M10&gt;W10,0,1)))=0,1)</formula>
    </cfRule>
  </conditionalFormatting>
  <conditionalFormatting sqref="P6">
    <cfRule type="cellIs" dxfId="767" priority="159" operator="greaterThanOrEqual">
      <formula>19</formula>
    </cfRule>
  </conditionalFormatting>
  <dataValidations count="1">
    <dataValidation type="list" allowBlank="1" showInputMessage="1" showErrorMessage="1" sqref="R8" xr:uid="{6D74642B-8D7A-4722-9E78-DF93675F8D4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5D4E9-E8ED-4EC0-93B9-81F35DB837D6}">
  <sheetPr>
    <pageSetUpPr fitToPage="1"/>
  </sheetPr>
  <dimension ref="A1:BE75"/>
  <sheetViews>
    <sheetView topLeftCell="B1" zoomScale="85" zoomScaleNormal="85" workbookViewId="0">
      <selection activeCell="C20" sqref="C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46310</v>
      </c>
      <c r="J4" s="397" t="s">
        <v>180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hidden="1" customHeight="1">
      <c r="B10" s="37"/>
      <c r="C10" s="366"/>
      <c r="D10" s="279"/>
      <c r="E10" s="279"/>
      <c r="F10" s="278"/>
      <c r="G10" s="279"/>
      <c r="H10" s="396"/>
      <c r="I10" s="368"/>
      <c r="J10" s="368"/>
      <c r="K10" s="281"/>
      <c r="L10" s="276"/>
      <c r="M10" s="374"/>
      <c r="N10" s="370"/>
      <c r="O10" s="371"/>
      <c r="P10" s="417"/>
      <c r="R10" s="277">
        <f t="shared" ref="R10:R35" si="0">B10</f>
        <v>0</v>
      </c>
      <c r="S10" s="471" t="e">
        <f t="shared" ref="S10:S35" si="1">VLOOKUP($B10,$R$3:$X$9,2,FALSE)</f>
        <v>#N/A</v>
      </c>
      <c r="T10" s="471" t="e">
        <f t="shared" ref="T10:T35" si="2">VLOOKUP($B10,$R$3:$X$9,3,FALSE)</f>
        <v>#N/A</v>
      </c>
      <c r="U10" s="297" t="e">
        <f t="shared" ref="U10:U35" si="3">VLOOKUP($B10,$R$3:$X$9,4,FALSE)</f>
        <v>#N/A</v>
      </c>
      <c r="V10" s="297" t="e">
        <f t="shared" ref="V10:V35" si="4">VLOOKUP($B10,$R$3:$X$9,5,FALSE)</f>
        <v>#N/A</v>
      </c>
      <c r="W10" s="297" t="e">
        <f t="shared" ref="W10:W35" si="5">VLOOKUP($B10,$R$3:$X$9,6,FALSE)</f>
        <v>#N/A</v>
      </c>
      <c r="X10" s="297" t="e">
        <f t="shared" ref="X10:X35" si="6">VLOOKUP($B10,$R$3:$X$9,7,FALSE)</f>
        <v>#N/A</v>
      </c>
      <c r="Y10" s="297" t="e">
        <f t="shared" ref="Y10:Y35" si="7">VLOOKUP($B10,$R$3:$Z$9,8,FALSE)</f>
        <v>#N/A</v>
      </c>
      <c r="Z10" s="471" t="e">
        <f t="shared" ref="Z10:Z35" si="8">VLOOKUP($B10,$R$3:$Z$9,9,FALSE)</f>
        <v>#N/A</v>
      </c>
    </row>
    <row r="11" spans="2:29" ht="15" hidden="1" customHeight="1">
      <c r="B11" s="37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371"/>
      <c r="P11" s="417"/>
      <c r="R11" s="277">
        <f t="shared" si="0"/>
        <v>0</v>
      </c>
      <c r="S11" s="471" t="e">
        <f t="shared" si="1"/>
        <v>#N/A</v>
      </c>
      <c r="T11" s="471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1" t="e">
        <f t="shared" si="8"/>
        <v>#N/A</v>
      </c>
    </row>
    <row r="12" spans="2:29" ht="15" hidden="1" customHeight="1">
      <c r="B12" s="37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371"/>
      <c r="P12" s="417"/>
      <c r="R12" s="277">
        <f t="shared" si="0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hidden="1" customHeight="1">
      <c r="B13" s="37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371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7" t="s">
        <v>16</v>
      </c>
      <c r="C14" s="366" t="str">
        <f>[34]Brewhouse!$A116</f>
        <v>SM103</v>
      </c>
      <c r="D14" s="279">
        <f>[34]Brewhouse!$AH116</f>
        <v>53</v>
      </c>
      <c r="E14" s="279">
        <f>[34]Brewhouse!$AM116</f>
        <v>51.9</v>
      </c>
      <c r="F14" s="278">
        <f>[34]Brewhouse!$Z116</f>
        <v>65</v>
      </c>
      <c r="G14" s="279">
        <f>[34]Brewhouse!$AK116</f>
        <v>17.36</v>
      </c>
      <c r="H14" s="396">
        <v>17.3</v>
      </c>
      <c r="I14" s="368">
        <f>[34]Brewhouse!$AY116</f>
        <v>95.022046186828362</v>
      </c>
      <c r="J14" s="368">
        <f>[34]Brewhouse!$AZ116</f>
        <v>95.285372684690913</v>
      </c>
      <c r="K14" s="281">
        <f>[34]Brewhouse!$U116</f>
        <v>5.0566037735849045</v>
      </c>
      <c r="L14" s="276">
        <f>[34]Brewhouse!$T116</f>
        <v>60</v>
      </c>
      <c r="M14" s="374">
        <f>[34]Brewhouse!$Y116-[34]Brewhouse!$X116</f>
        <v>0.14861111111111108</v>
      </c>
      <c r="N14" s="370">
        <f>[34]Brewhouse!$AD116</f>
        <v>0.39444444444444443</v>
      </c>
      <c r="O14" s="371" t="str">
        <f>[34]Brewhouse!$BC116</f>
        <v>R.Sookram</v>
      </c>
      <c r="P14" s="417"/>
      <c r="R14" s="277" t="str">
        <f t="shared" si="0"/>
        <v>STARMALT</v>
      </c>
      <c r="S14" s="471">
        <f t="shared" si="1"/>
        <v>17</v>
      </c>
      <c r="T14" s="471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1">
        <f t="shared" si="8"/>
        <v>85</v>
      </c>
    </row>
    <row r="15" spans="2:29" ht="15" customHeight="1">
      <c r="B15" s="37" t="s">
        <v>16</v>
      </c>
      <c r="C15" s="366" t="str">
        <f>[34]Brewhouse!$A117</f>
        <v>SM104</v>
      </c>
      <c r="D15" s="279">
        <f>[34]Brewhouse!$AH117</f>
        <v>53</v>
      </c>
      <c r="E15" s="279">
        <f>[34]Brewhouse!$AM117</f>
        <v>51.9</v>
      </c>
      <c r="F15" s="278">
        <f>[34]Brewhouse!$Z117</f>
        <v>73</v>
      </c>
      <c r="G15" s="279">
        <f>[34]Brewhouse!$AK117</f>
        <v>17.399999999999999</v>
      </c>
      <c r="H15" s="396">
        <v>17.2</v>
      </c>
      <c r="I15" s="368">
        <f>[34]Brewhouse!$AY117</f>
        <v>95.022046186828362</v>
      </c>
      <c r="J15" s="368">
        <f>[34]Brewhouse!$AZ117</f>
        <v>95.285372684690913</v>
      </c>
      <c r="K15" s="281">
        <f>[34]Brewhouse!$U117</f>
        <v>6.754716981132086</v>
      </c>
      <c r="L15" s="276">
        <f>[34]Brewhouse!$T117</f>
        <v>60</v>
      </c>
      <c r="M15" s="374">
        <f>[34]Brewhouse!$Y117-[34]Brewhouse!$X117</f>
        <v>0.26458333333333334</v>
      </c>
      <c r="N15" s="370">
        <f>[34]Brewhouse!$AD117</f>
        <v>0.42083333333333334</v>
      </c>
      <c r="O15" s="371" t="str">
        <f>[34]Brewhouse!$BC117</f>
        <v>R.Sookram</v>
      </c>
      <c r="P15" s="417"/>
      <c r="R15" s="277" t="str">
        <f t="shared" si="0"/>
        <v>STARMALT</v>
      </c>
      <c r="S15" s="471">
        <f t="shared" si="1"/>
        <v>17</v>
      </c>
      <c r="T15" s="471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1">
        <f t="shared" si="8"/>
        <v>85</v>
      </c>
    </row>
    <row r="16" spans="2:29" ht="15" customHeight="1">
      <c r="B16" s="37" t="s">
        <v>16</v>
      </c>
      <c r="C16" s="366" t="str">
        <f>[34]Brewhouse!$A118</f>
        <v>SM105</v>
      </c>
      <c r="D16" s="279">
        <f>[34]Brewhouse!$AH118</f>
        <v>50</v>
      </c>
      <c r="E16" s="279">
        <f>[34]Brewhouse!$AM118</f>
        <v>49.3</v>
      </c>
      <c r="F16" s="278">
        <f>[34]Brewhouse!$Z118</f>
        <v>70</v>
      </c>
      <c r="G16" s="279">
        <f>[34]Brewhouse!$AK118</f>
        <v>17.399999999999999</v>
      </c>
      <c r="H16" s="396">
        <v>17.3</v>
      </c>
      <c r="I16" s="368">
        <f>[34]Brewhouse!$AY118</f>
        <v>90.335017111661628</v>
      </c>
      <c r="J16" s="368">
        <f>[34]Brewhouse!$AZ118</f>
        <v>90.585115407273193</v>
      </c>
      <c r="K16" s="281">
        <f>[34]Brewhouse!$U118</f>
        <v>2.960000000000008</v>
      </c>
      <c r="L16" s="276">
        <f>[34]Brewhouse!$T118</f>
        <v>57</v>
      </c>
      <c r="M16" s="374">
        <f>[34]Brewhouse!$Y118-[34]Brewhouse!$X118</f>
        <v>0.15555555555555556</v>
      </c>
      <c r="N16" s="370">
        <f>[34]Brewhouse!$AD118</f>
        <v>0.36180555555555549</v>
      </c>
      <c r="O16" s="371" t="str">
        <f>[34]Brewhouse!$BC118</f>
        <v>K. Benjamin</v>
      </c>
      <c r="P16" s="417"/>
      <c r="R16" s="277" t="str">
        <f t="shared" si="0"/>
        <v>STARMALT</v>
      </c>
      <c r="S16" s="471">
        <f t="shared" si="1"/>
        <v>17</v>
      </c>
      <c r="T16" s="471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1">
        <f t="shared" si="8"/>
        <v>85</v>
      </c>
    </row>
    <row r="17" spans="1:27" ht="15" customHeight="1">
      <c r="B17" s="37" t="s">
        <v>16</v>
      </c>
      <c r="C17" s="366" t="str">
        <f>[34]Brewhouse!$A119</f>
        <v>SM106</v>
      </c>
      <c r="D17" s="279">
        <f>[34]Brewhouse!$AH119</f>
        <v>53</v>
      </c>
      <c r="E17" s="279">
        <f>[34]Brewhouse!$AM119</f>
        <v>55.3</v>
      </c>
      <c r="F17" s="278">
        <f>[34]Brewhouse!$Z119</f>
        <v>104</v>
      </c>
      <c r="G17" s="279">
        <f>[34]Brewhouse!$AK119</f>
        <v>17.399999999999999</v>
      </c>
      <c r="H17" s="396">
        <v>17.399999999999999</v>
      </c>
      <c r="I17" s="368">
        <f>[34]Brewhouse!$AY119</f>
        <v>100.75694228020136</v>
      </c>
      <c r="J17" s="368">
        <f>[34]Brewhouse!$AZ119</f>
        <v>101.03775475944533</v>
      </c>
      <c r="K17" s="281">
        <f>[34]Brewhouse!$U119</f>
        <v>-0.41509433962263936</v>
      </c>
      <c r="L17" s="276">
        <f>[34]Brewhouse!$T119</f>
        <v>60</v>
      </c>
      <c r="M17" s="374">
        <f>[34]Brewhouse!$Y119-[34]Brewhouse!$X119</f>
        <v>0.1777777777777777</v>
      </c>
      <c r="N17" s="370">
        <f>[34]Brewhouse!$AD119</f>
        <v>0.39027777777777772</v>
      </c>
      <c r="O17" s="371" t="str">
        <f>[34]Brewhouse!$BC119</f>
        <v>K. Benjamin</v>
      </c>
      <c r="P17" s="417"/>
      <c r="R17" s="277" t="str">
        <f t="shared" si="0"/>
        <v>STARMALT</v>
      </c>
      <c r="S17" s="471">
        <f t="shared" si="1"/>
        <v>17</v>
      </c>
      <c r="T17" s="471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1">
        <f t="shared" si="8"/>
        <v>85</v>
      </c>
    </row>
    <row r="18" spans="1:27" ht="15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33" t="s">
        <v>9</v>
      </c>
      <c r="C19" s="366" t="str">
        <f>[29]Brewhouse!$A407</f>
        <v>ST348</v>
      </c>
      <c r="D19" s="279">
        <f>[29]Brewhouse!$AB407</f>
        <v>53.1</v>
      </c>
      <c r="E19" s="279">
        <f>[29]Brewhouse!$AG407</f>
        <v>47.3</v>
      </c>
      <c r="F19" s="278">
        <f>[29]Brewhouse!$V407</f>
        <v>59</v>
      </c>
      <c r="G19" s="279">
        <f>[29]Brewhouse!$AE407</f>
        <v>11.6</v>
      </c>
      <c r="H19" s="396"/>
      <c r="I19" s="368">
        <f>[29]Brewhouse!$AS407</f>
        <v>93.170349872577006</v>
      </c>
      <c r="J19" s="368">
        <f>[29]Brewhouse!$AT407</f>
        <v>93.619008736833493</v>
      </c>
      <c r="K19" s="281">
        <f>[29]Brewhouse!$Q407</f>
        <v>11.440677966101701</v>
      </c>
      <c r="L19" s="276">
        <f>[29]Brewhouse!$P407</f>
        <v>59</v>
      </c>
      <c r="M19" s="374">
        <f>[29]Brewhouse!$U407-[29]Brewhouse!$T407</f>
        <v>0.12222222222222234</v>
      </c>
      <c r="N19" s="370">
        <f>[29]Brewhouse!$AW407</f>
        <v>0.28055555555555567</v>
      </c>
      <c r="O19" s="419" t="str">
        <f>[29]Brewhouse!$AV407</f>
        <v>D.Gomaz</v>
      </c>
      <c r="P19" s="417"/>
      <c r="R19" s="277" t="str">
        <f t="shared" si="0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1:27" ht="15" customHeight="1">
      <c r="B20" s="33" t="s">
        <v>9</v>
      </c>
      <c r="C20" s="366" t="str">
        <f>[29]Brewhouse!$A408</f>
        <v>ST349</v>
      </c>
      <c r="D20" s="279">
        <f>[29]Brewhouse!$AB408</f>
        <v>53.1</v>
      </c>
      <c r="E20" s="279">
        <f>[29]Brewhouse!$AG408</f>
        <v>48.7</v>
      </c>
      <c r="F20" s="278">
        <f>[29]Brewhouse!$V408</f>
        <v>57</v>
      </c>
      <c r="G20" s="279">
        <f>[29]Brewhouse!$AE408</f>
        <v>11.8</v>
      </c>
      <c r="H20" s="396"/>
      <c r="I20" s="368">
        <f>[29]Brewhouse!$AS408</f>
        <v>96.447153396190089</v>
      </c>
      <c r="J20" s="368">
        <f>[29]Brewhouse!$AT408</f>
        <v>96.913078535720061</v>
      </c>
      <c r="K20" s="281">
        <f>[29]Brewhouse!$Q408</f>
        <v>10.499058380414318</v>
      </c>
      <c r="L20" s="276">
        <f>[29]Brewhouse!$P408</f>
        <v>60</v>
      </c>
      <c r="M20" s="374">
        <f>[29]Brewhouse!$U408-[29]Brewhouse!$T408</f>
        <v>0.11875000000000013</v>
      </c>
      <c r="N20" s="370">
        <f>[29]Brewhouse!$AW408</f>
        <v>0.28263888888888888</v>
      </c>
      <c r="O20" s="419" t="str">
        <f>[29]Brewhouse!$AV408</f>
        <v>D.Gomaz</v>
      </c>
      <c r="P20" s="417"/>
      <c r="R20" s="277" t="str">
        <f t="shared" si="0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1:27" ht="15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624"/>
      <c r="J22" s="624"/>
      <c r="K22" s="624"/>
      <c r="L22" s="624"/>
      <c r="M22" s="624"/>
      <c r="N22" s="62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9" t="s">
        <v>35</v>
      </c>
      <c r="E23" s="540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75" t="str">
        <f>I24</f>
        <v>CARIB</v>
      </c>
      <c r="C24" s="483">
        <f>[30]Process!D755</f>
        <v>11.9</v>
      </c>
      <c r="D24" s="565">
        <v>11.85</v>
      </c>
      <c r="E24" s="566"/>
      <c r="F24" s="294"/>
      <c r="G24" s="294"/>
      <c r="H24" s="348"/>
      <c r="I24" s="29" t="s">
        <v>6</v>
      </c>
      <c r="J24" s="323"/>
      <c r="K24" s="284">
        <f>COUNTA([30]Brewhouse!$A$789:$A$820)</f>
        <v>32</v>
      </c>
      <c r="L24" s="305">
        <f>AVERAGE([30]Brewhouse!$AU$789:$AU$820)</f>
        <v>97.19542619578651</v>
      </c>
      <c r="M24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76"/>
      <c r="C25" s="362">
        <f>[30]Process!D756</f>
        <v>11.7</v>
      </c>
      <c r="D25" s="567"/>
      <c r="E25" s="568"/>
      <c r="F25" s="294"/>
      <c r="G25" s="294"/>
      <c r="H25" s="348"/>
      <c r="I25" s="33" t="s">
        <v>9</v>
      </c>
      <c r="J25" s="323"/>
      <c r="K25" s="284">
        <f>COUNTA([29]Brewhouse!$A$390:$A$406)</f>
        <v>17</v>
      </c>
      <c r="L25" s="302">
        <f>AVERAGE([29]Brewhouse!$AS$390:$AS$406)</f>
        <v>97.707842826554412</v>
      </c>
      <c r="M25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$406)</f>
        <v>98.285743987991637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76"/>
      <c r="C26" s="362">
        <f>[30]Process!D757</f>
        <v>11.9</v>
      </c>
      <c r="D26" s="616">
        <v>11.79</v>
      </c>
      <c r="E26" s="617"/>
      <c r="F26" s="294"/>
      <c r="G26" s="294"/>
      <c r="H26" s="348"/>
      <c r="I26" s="34" t="s">
        <v>12</v>
      </c>
      <c r="J26" s="323"/>
      <c r="K26" s="284">
        <f>COUNTA([31]Brewhouse!$A$108:$A$115)</f>
        <v>8</v>
      </c>
      <c r="L26" s="302">
        <f>AVERAGE([31]Brewhouse!$AU$108:$AU$115)</f>
        <v>97.365395087454402</v>
      </c>
      <c r="M26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76"/>
      <c r="C27" s="362">
        <f>[30]Process!D758</f>
        <v>12</v>
      </c>
      <c r="D27" s="580"/>
      <c r="E27" s="568"/>
      <c r="F27" s="294"/>
      <c r="G27" s="294"/>
      <c r="H27" s="348"/>
      <c r="I27" s="22" t="s">
        <v>33</v>
      </c>
      <c r="J27" s="280"/>
      <c r="K27" s="284"/>
      <c r="L27" s="302"/>
      <c r="M27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76"/>
      <c r="C28" s="362">
        <f>[30]Process!D759</f>
        <v>11.9</v>
      </c>
      <c r="D28" s="616">
        <v>11.81</v>
      </c>
      <c r="E28" s="617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76"/>
      <c r="C29" s="362">
        <f>[30]Process!D760</f>
        <v>12</v>
      </c>
      <c r="D29" s="580"/>
      <c r="E29" s="568"/>
      <c r="F29" s="416"/>
      <c r="G29" s="294"/>
      <c r="H29" s="348"/>
      <c r="I29" s="36" t="s">
        <v>15</v>
      </c>
      <c r="J29" s="323"/>
      <c r="K29" s="284"/>
      <c r="L29" s="302"/>
      <c r="M29" s="302">
        <f>AVERAGE([33]Brewhouse!$AT$4:$AT$11,[33]Brewhouse!$AT$13:$AT$16,[33]Brewhouse!$AT$18:$AT$30)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76"/>
      <c r="C30" s="362">
        <f>[30]Process!D761</f>
        <v>11.9</v>
      </c>
      <c r="D30" s="616">
        <v>11.7</v>
      </c>
      <c r="E30" s="617"/>
      <c r="F30" s="416"/>
      <c r="G30" s="294"/>
      <c r="H30" s="348"/>
      <c r="I30" s="37" t="s">
        <v>16</v>
      </c>
      <c r="J30" s="323">
        <f>AVERAGE(I14:I17)</f>
        <v>95.284012941379927</v>
      </c>
      <c r="K30" s="284">
        <f>COUNTA([34]Brewhouse!$A$112:$A$119)</f>
        <v>8</v>
      </c>
      <c r="L30" s="302">
        <f>AVERAGE([34]Brewhouse!$AY$112:$AY$119)</f>
        <v>96.833332758088616</v>
      </c>
      <c r="M30" s="302">
        <f>AVERAGE([34]Brewhouse!$AY$5:$AY$14,[34]Brewhouse!$AY$16:$AY$23,[34]Brewhouse!$AY$42,[34]Brewhouse!$AY$44:$AY$51,[34]Brewhouse!$AY$53:$AY$64,[34]Brewhouse!$AY$66:$AY$73,[34]Brewhouse!$AY$75:$AY$82,[34]Brewhouse!$AY$84:$AY$101,[34]Brewhouse!$AY$103:$AY$110,[34]Brewhouse!$AY$112:$AY$119)</f>
        <v>97.706699801192229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76"/>
      <c r="C31" s="362">
        <f>[30]Process!D762</f>
        <v>12</v>
      </c>
      <c r="D31" s="580"/>
      <c r="E31" s="568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76"/>
      <c r="C32" s="362"/>
      <c r="D32" s="616"/>
      <c r="E32" s="617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76"/>
      <c r="C33" s="362"/>
      <c r="D33" s="580"/>
      <c r="E33" s="568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76"/>
      <c r="C34" s="349"/>
      <c r="D34" s="565"/>
      <c r="E34" s="566"/>
      <c r="F34" s="294"/>
      <c r="G34" s="294"/>
      <c r="H34" s="348"/>
      <c r="I34" s="1"/>
      <c r="J34" s="39"/>
      <c r="K34" s="403">
        <f>SUM(K24:K33)</f>
        <v>65</v>
      </c>
      <c r="L34" s="404">
        <f>((L24*K24)+(L25*K25)+(L26*K26)+(L27*K27)+(L28*K28)+(K31*L31)+(L29*K29)+(L30*K30)+(L33*K33))/(K34)</f>
        <v>97.30579675509135</v>
      </c>
      <c r="M34" s="404">
        <f>AVERAGE('[35]Jan30th-31st'!$L$42,'[36]Feb 27th-28th'!$L$45,'[37]Mar 31st'!$L$42,'[38]Apr 30th'!$L$41,'[39]May 29th '!$L$35,'[40]June 30th'!$L$32,[41]July31st!$L$36,'[42]Aug 31st'!$L$32,L34)</f>
        <v>97.898701838278868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625"/>
      <c r="C35" s="350"/>
      <c r="D35" s="567"/>
      <c r="E35" s="568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612"/>
      <c r="C36" s="362"/>
      <c r="D36" s="565"/>
      <c r="E36" s="566"/>
      <c r="F36" s="294"/>
      <c r="G36" s="42"/>
      <c r="H36" s="41"/>
      <c r="I36" s="42"/>
      <c r="J36" s="615" t="s">
        <v>129</v>
      </c>
      <c r="K36" s="615"/>
      <c r="L36" s="294"/>
      <c r="M36" s="294"/>
      <c r="N36" s="294"/>
      <c r="O36" s="294"/>
      <c r="P36" s="12"/>
    </row>
    <row r="37" spans="1:56" ht="15.75" thickBot="1">
      <c r="B37" s="613"/>
      <c r="C37" s="362"/>
      <c r="D37" s="567"/>
      <c r="E37" s="568"/>
      <c r="F37" s="294"/>
      <c r="G37" s="42"/>
      <c r="H37" s="42"/>
      <c r="I37" s="42"/>
      <c r="J37" s="292" t="s">
        <v>17</v>
      </c>
      <c r="K37" s="293"/>
      <c r="L37" s="582" t="s">
        <v>136</v>
      </c>
      <c r="M37" s="582"/>
      <c r="N37" s="583"/>
      <c r="O37" s="294"/>
      <c r="P37" s="12"/>
    </row>
    <row r="38" spans="1:56" ht="15" customHeight="1" thickBot="1">
      <c r="B38" s="613"/>
      <c r="C38" s="349"/>
      <c r="D38" s="616"/>
      <c r="E38" s="617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613"/>
      <c r="C39" s="349"/>
      <c r="D39" s="580"/>
      <c r="E39" s="568"/>
      <c r="F39" s="294"/>
      <c r="G39" s="42"/>
      <c r="H39" s="42"/>
      <c r="I39" s="42"/>
      <c r="J39" s="345" t="s">
        <v>9</v>
      </c>
      <c r="K39" s="324">
        <v>2</v>
      </c>
      <c r="L39" s="484">
        <f>AVERAGE('Oct 1st'!K52,'Oct 2nd'!K44,'Oct 5th'!K51,'Oct 6th'!K58,'Oct 7th'!K47,'Oct 8th '!K46,'Oct 9th-10th'!J57,'Oct 9th-10th'!K57,K48)</f>
        <v>6.8888888888888893</v>
      </c>
      <c r="M39" s="485">
        <f>AVERAGE('[35]Jan30th-31st'!$L$47,L39,'[36]Feb 26th '!$L$39,'[37]Mar 31st'!$L$47,'[38]Apr 30th'!$L$46,'[39]May 29th '!$L$40,'[40]June 30th'!$L$39,[41]July31st!$L$41,'[42]Aug 31st'!$L$37,'[43]Sept 30th'!$L$37)</f>
        <v>6.5624230359012969</v>
      </c>
      <c r="N39" s="415">
        <v>9.1999999999999993</v>
      </c>
      <c r="O39" s="294"/>
      <c r="P39" s="12"/>
    </row>
    <row r="40" spans="1:56" ht="15" customHeight="1">
      <c r="B40" s="613"/>
      <c r="C40" s="349"/>
      <c r="D40" s="616"/>
      <c r="E40" s="617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613"/>
      <c r="C41" s="349"/>
      <c r="D41" s="580"/>
      <c r="E41" s="568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613"/>
      <c r="C42" s="349"/>
      <c r="D42" s="616"/>
      <c r="E42" s="617"/>
      <c r="F42" s="294"/>
      <c r="G42" s="42"/>
      <c r="H42" s="42"/>
      <c r="I42" s="42"/>
      <c r="J42" s="290" t="s">
        <v>16</v>
      </c>
      <c r="K42" s="324">
        <v>4</v>
      </c>
      <c r="L42" s="294"/>
      <c r="M42" s="294"/>
      <c r="N42" s="294"/>
      <c r="O42" s="294"/>
      <c r="P42" s="12"/>
      <c r="BC42" s="44"/>
      <c r="BD42" s="44"/>
    </row>
    <row r="43" spans="1:56" ht="15">
      <c r="B43" s="613"/>
      <c r="C43" s="349"/>
      <c r="D43" s="580"/>
      <c r="E43" s="568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613"/>
      <c r="C44" s="349"/>
      <c r="D44" s="616"/>
      <c r="E44" s="617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614"/>
      <c r="C45" s="350"/>
      <c r="D45" s="618"/>
      <c r="E45" s="619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610"/>
      <c r="E46" s="611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90" t="s">
        <v>17</v>
      </c>
      <c r="C51" s="590" t="s">
        <v>44</v>
      </c>
      <c r="D51" s="592" t="s">
        <v>45</v>
      </c>
      <c r="E51" s="547" t="s">
        <v>46</v>
      </c>
      <c r="F51" s="607" t="s">
        <v>47</v>
      </c>
      <c r="G51" s="601" t="s">
        <v>48</v>
      </c>
      <c r="H51" s="590" t="s">
        <v>49</v>
      </c>
      <c r="I51" s="590" t="s">
        <v>50</v>
      </c>
      <c r="J51" s="595" t="s">
        <v>28</v>
      </c>
      <c r="K51" s="545" t="s">
        <v>51</v>
      </c>
      <c r="L51" s="557" t="s">
        <v>52</v>
      </c>
      <c r="M51" s="595" t="s">
        <v>53</v>
      </c>
      <c r="N51" s="13"/>
      <c r="O51" s="13"/>
      <c r="P51" s="50"/>
    </row>
    <row r="52" spans="2:57" ht="28.5" customHeight="1" thickTop="1" thickBot="1">
      <c r="B52" s="609"/>
      <c r="C52" s="591"/>
      <c r="D52" s="593"/>
      <c r="E52" s="594"/>
      <c r="F52" s="608"/>
      <c r="G52" s="602"/>
      <c r="H52" s="609"/>
      <c r="I52" s="609"/>
      <c r="J52" s="596"/>
      <c r="K52" s="605"/>
      <c r="L52" s="606"/>
      <c r="M52" s="596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46309</v>
      </c>
      <c r="D53" s="444">
        <f>[8]October_2026!$Q$3</f>
        <v>399.1</v>
      </c>
      <c r="E53" s="442"/>
      <c r="F53" s="443"/>
      <c r="G53" s="443">
        <f>[8]October_2026!$Q$7</f>
        <v>384.7</v>
      </c>
      <c r="H53" s="457"/>
      <c r="I53" s="457"/>
      <c r="J53" s="447" t="s">
        <v>150</v>
      </c>
      <c r="K53" s="448">
        <f>[9]October_2026!$Q$18</f>
        <v>1.3498245614035087</v>
      </c>
      <c r="L53" s="456">
        <f>(((D53+E53)-G53)/(D53+E53))*100</f>
        <v>3.6081182660987303</v>
      </c>
      <c r="M53" s="454" t="s">
        <v>172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[27]January_2019!L5</f>
        <v>0</v>
      </c>
      <c r="AC53" s="57">
        <f>[27]January_2019!M5</f>
        <v>0</v>
      </c>
      <c r="AD53" s="57">
        <f>[27]January_2019!N5</f>
        <v>0</v>
      </c>
      <c r="AE53" s="57">
        <f>[27]January_2019!O5</f>
        <v>0</v>
      </c>
      <c r="AF53" s="57">
        <f>[27]January_2019!P5</f>
        <v>0</v>
      </c>
      <c r="AG53" s="57">
        <f>[27]January_2019!Q5</f>
        <v>0</v>
      </c>
      <c r="AH53" s="57">
        <f>[27]January_2019!R5</f>
        <v>0</v>
      </c>
      <c r="AI53" s="57">
        <f>[27]January_2019!S5</f>
        <v>0</v>
      </c>
      <c r="AJ53" s="57">
        <f>[27]January_2019!T5</f>
        <v>0</v>
      </c>
      <c r="AK53" s="57">
        <f>[27]January_2019!U5</f>
        <v>0</v>
      </c>
      <c r="AL53" s="57">
        <f>[27]January_2019!V5</f>
        <v>0</v>
      </c>
      <c r="AM53" s="57">
        <f>[27]January_2019!W5</f>
        <v>0</v>
      </c>
      <c r="AN53" s="57">
        <f>[27]January_2019!X5</f>
        <v>0</v>
      </c>
      <c r="AO53" s="57">
        <f>[27]January_2019!Y5</f>
        <v>0</v>
      </c>
      <c r="AP53" s="57">
        <f>[27]January_2019!Z5</f>
        <v>0</v>
      </c>
      <c r="AQ53" s="57">
        <f>[27]January_2019!AA5</f>
        <v>0</v>
      </c>
      <c r="AR53" s="57">
        <f>[27]January_2019!AB5</f>
        <v>0</v>
      </c>
      <c r="AS53" s="57">
        <f>[27]January_2019!AC5</f>
        <v>0</v>
      </c>
      <c r="AT53" s="57">
        <f>[27]January_2019!AD5</f>
        <v>0</v>
      </c>
      <c r="AU53" s="57">
        <f>[27]January_2019!AE5</f>
        <v>0</v>
      </c>
      <c r="AV53" s="57">
        <f>[27]January_2019!AF5</f>
        <v>0</v>
      </c>
      <c r="AW53" s="57">
        <f>[27]January_2019!AG5</f>
        <v>0</v>
      </c>
      <c r="AX53" s="277">
        <f>[27]January_2019!AH5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hidden="1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[27]January_2019!L6</f>
        <v>0</v>
      </c>
      <c r="AC54" s="57">
        <f>[27]January_2019!M6</f>
        <v>0</v>
      </c>
      <c r="AD54" s="57">
        <f>[27]January_2019!N6</f>
        <v>0</v>
      </c>
      <c r="AE54" s="57">
        <f>[27]January_2019!O6</f>
        <v>0</v>
      </c>
      <c r="AF54" s="57">
        <f>[27]January_2019!P6</f>
        <v>0</v>
      </c>
      <c r="AG54" s="57">
        <f>[27]January_2019!Q6</f>
        <v>0</v>
      </c>
      <c r="AH54" s="57">
        <f>[27]January_2019!R6</f>
        <v>0</v>
      </c>
      <c r="AI54" s="57">
        <f>[27]January_2019!S6</f>
        <v>0</v>
      </c>
      <c r="AJ54" s="57">
        <f>[27]January_2019!T6</f>
        <v>0</v>
      </c>
      <c r="AK54" s="57">
        <f>[27]January_2019!U6</f>
        <v>0</v>
      </c>
      <c r="AL54" s="57">
        <f>[27]January_2019!V6</f>
        <v>0</v>
      </c>
      <c r="AM54" s="57">
        <f>[27]January_2019!W6</f>
        <v>0</v>
      </c>
      <c r="AN54" s="57">
        <f>[27]January_2019!X6</f>
        <v>0</v>
      </c>
      <c r="AO54" s="57">
        <f>[27]January_2019!Y6</f>
        <v>0</v>
      </c>
      <c r="AP54" s="57">
        <f>[27]January_2019!Z6</f>
        <v>0</v>
      </c>
      <c r="AQ54" s="57">
        <f>[27]January_2019!AA6</f>
        <v>0</v>
      </c>
      <c r="AR54" s="57">
        <f>[27]January_2019!AB6</f>
        <v>0</v>
      </c>
      <c r="AS54" s="57">
        <f>[27]January_2019!AC6</f>
        <v>0</v>
      </c>
      <c r="AT54" s="57">
        <f>[27]January_2019!AD6</f>
        <v>0</v>
      </c>
      <c r="AU54" s="57">
        <f>[27]January_2019!AE6</f>
        <v>0</v>
      </c>
      <c r="AV54" s="57">
        <f>[27]January_2019!AF6</f>
        <v>0</v>
      </c>
      <c r="AW54" s="57">
        <f>[27]January_2019!AG6</f>
        <v>0</v>
      </c>
      <c r="AX54" s="277">
        <f>[27]January_2019!AH6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9" t="str">
        <f>J39</f>
        <v>STAG</v>
      </c>
      <c r="C55" s="478">
        <v>46303</v>
      </c>
      <c r="D55" s="441">
        <f>[8]October_2026!$K$13</f>
        <v>292</v>
      </c>
      <c r="E55" s="442"/>
      <c r="F55" s="443"/>
      <c r="G55" s="443">
        <f>[8]October_2026!$K$17</f>
        <v>278</v>
      </c>
      <c r="H55" s="445"/>
      <c r="I55" s="445"/>
      <c r="J55" s="447" t="s">
        <v>150</v>
      </c>
      <c r="K55" s="448">
        <f>[9]October_2026!$K$25</f>
        <v>0.9754385964912281</v>
      </c>
      <c r="L55" s="456">
        <f>(((D55+E55)-G55)/(D55+E55))*100</f>
        <v>4.7945205479452051</v>
      </c>
      <c r="M55" s="454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[27]January_2019!L7</f>
        <v>285.8</v>
      </c>
      <c r="AC55" s="57">
        <f>[27]January_2019!M7</f>
        <v>508.1</v>
      </c>
      <c r="AD55" s="57">
        <f>[27]January_2019!N7</f>
        <v>0</v>
      </c>
      <c r="AE55" s="57">
        <f>[27]January_2019!O7</f>
        <v>0</v>
      </c>
      <c r="AF55" s="57">
        <f>[27]January_2019!P7</f>
        <v>109.56666666666666</v>
      </c>
      <c r="AG55" s="57">
        <f>[27]January_2019!Q7</f>
        <v>297.64999999999998</v>
      </c>
      <c r="AH55" s="57">
        <f>[27]January_2019!R7</f>
        <v>122.3</v>
      </c>
      <c r="AI55" s="57">
        <f>[27]January_2019!S7</f>
        <v>0</v>
      </c>
      <c r="AJ55" s="57">
        <f>[27]January_2019!T7</f>
        <v>294.7</v>
      </c>
      <c r="AK55" s="57">
        <f>[27]January_2019!U7</f>
        <v>280.5</v>
      </c>
      <c r="AL55" s="57">
        <f>[27]January_2019!V7</f>
        <v>0</v>
      </c>
      <c r="AM55" s="57">
        <f>[27]January_2019!W7</f>
        <v>0</v>
      </c>
      <c r="AN55" s="57">
        <f>[27]January_2019!X7</f>
        <v>188.25</v>
      </c>
      <c r="AO55" s="57">
        <f>[27]January_2019!Y7</f>
        <v>295.7</v>
      </c>
      <c r="AP55" s="57">
        <f>[27]January_2019!Z7</f>
        <v>257.8</v>
      </c>
      <c r="AQ55" s="57">
        <f>[27]January_2019!AA7</f>
        <v>291.2</v>
      </c>
      <c r="AR55" s="57">
        <f>[27]January_2019!AB7</f>
        <v>187</v>
      </c>
      <c r="AS55" s="57">
        <f>[27]January_2019!AC7</f>
        <v>0</v>
      </c>
      <c r="AT55" s="57">
        <f>[27]January_2019!AD7</f>
        <v>0</v>
      </c>
      <c r="AU55" s="57">
        <f>[27]January_2019!AE7</f>
        <v>485.1</v>
      </c>
      <c r="AV55" s="57">
        <f>[27]January_2019!AF7</f>
        <v>171.55</v>
      </c>
      <c r="AW55" s="57">
        <f>[27]January_2019!AG7</f>
        <v>423.8</v>
      </c>
      <c r="AX55" s="277">
        <f>[27]January_2019!AH7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97" t="s">
        <v>55</v>
      </c>
      <c r="C64" s="598"/>
      <c r="D64" s="598"/>
      <c r="E64" s="598"/>
      <c r="F64" s="599"/>
      <c r="G64" s="597" t="s">
        <v>56</v>
      </c>
      <c r="H64" s="598"/>
      <c r="I64" s="598"/>
      <c r="J64" s="599"/>
      <c r="K64" s="597" t="s">
        <v>51</v>
      </c>
      <c r="L64" s="598"/>
      <c r="M64" s="598"/>
      <c r="N64" s="600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3.6081182660987303</v>
      </c>
      <c r="D66" s="76">
        <v>4.8843377044349463</v>
      </c>
      <c r="E66" s="76">
        <v>6.3196596167476651</v>
      </c>
      <c r="F66" s="66">
        <v>4.8</v>
      </c>
      <c r="G66" s="65">
        <f>[8]October_2026!$Q$11</f>
        <v>6.0063111503290374</v>
      </c>
      <c r="H66" s="476">
        <v>5.8137215288910422</v>
      </c>
      <c r="I66" s="476">
        <v>6.4741327412302496</v>
      </c>
      <c r="J66" s="66">
        <v>4.8</v>
      </c>
      <c r="K66" s="67">
        <f>K53</f>
        <v>1.3498245614035087</v>
      </c>
      <c r="L66" s="194">
        <v>0.89532163742690063</v>
      </c>
      <c r="M66" s="194">
        <v>0.56729407318690295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/>
      <c r="D72" s="76"/>
      <c r="E72" s="76">
        <v>3.9973372218347856</v>
      </c>
      <c r="F72" s="66">
        <v>3.3</v>
      </c>
      <c r="G72" s="282"/>
      <c r="H72" s="76"/>
      <c r="I72" s="76">
        <v>5.1096183510504902</v>
      </c>
      <c r="J72" s="66">
        <v>3.3</v>
      </c>
      <c r="K72" s="67"/>
      <c r="L72" s="194"/>
      <c r="M72" s="194">
        <v>0.89057130004498408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4.6459577743880658</v>
      </c>
      <c r="E75" s="76">
        <v>6.2733830806368092</v>
      </c>
      <c r="F75" s="341">
        <v>5.5</v>
      </c>
      <c r="H75" s="76">
        <v>5.5274134543295537</v>
      </c>
      <c r="I75" s="76">
        <v>6.5970551006743632</v>
      </c>
      <c r="J75" s="341">
        <v>5.5</v>
      </c>
      <c r="L75" s="194">
        <v>0.89435672514619879</v>
      </c>
      <c r="M75" s="194">
        <v>0.61335520196054827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766" priority="113" operator="notBetween">
      <formula>#REF!</formula>
      <formula>#REF!</formula>
    </cfRule>
  </conditionalFormatting>
  <conditionalFormatting sqref="C50">
    <cfRule type="cellIs" dxfId="765" priority="195" stopIfTrue="1" operator="lessThan">
      <formula>96</formula>
    </cfRule>
    <cfRule type="cellIs" dxfId="764" priority="196" stopIfTrue="1" operator="greaterThan">
      <formula>100</formula>
    </cfRule>
  </conditionalFormatting>
  <conditionalFormatting sqref="C66:C67">
    <cfRule type="cellIs" dxfId="763" priority="77" stopIfTrue="1" operator="lessThanOrEqual">
      <formula>0</formula>
    </cfRule>
    <cfRule type="cellIs" dxfId="762" priority="78" stopIfTrue="1" operator="greaterThan">
      <formula>$F66</formula>
    </cfRule>
    <cfRule type="cellIs" dxfId="761" priority="79" stopIfTrue="1" operator="lessThanOrEqual">
      <formula>0</formula>
    </cfRule>
    <cfRule type="cellIs" dxfId="760" priority="76" stopIfTrue="1" operator="greaterThan">
      <formula>$F66</formula>
    </cfRule>
  </conditionalFormatting>
  <conditionalFormatting sqref="C68:C70 C72:C74">
    <cfRule type="cellIs" dxfId="759" priority="85" stopIfTrue="1" operator="greaterThan">
      <formula>$F71</formula>
    </cfRule>
  </conditionalFormatting>
  <conditionalFormatting sqref="C68:C70">
    <cfRule type="cellIs" dxfId="758" priority="86" stopIfTrue="1" operator="lessThanOrEqual">
      <formula>0</formula>
    </cfRule>
  </conditionalFormatting>
  <conditionalFormatting sqref="C71">
    <cfRule type="cellIs" dxfId="757" priority="199" stopIfTrue="1" operator="greaterThan">
      <formula>$F66</formula>
    </cfRule>
    <cfRule type="cellIs" dxfId="756" priority="200" stopIfTrue="1" operator="lessThanOrEqual">
      <formula>0</formula>
    </cfRule>
    <cfRule type="cellIs" dxfId="755" priority="197" stopIfTrue="1" operator="greaterThan">
      <formula>$F66</formula>
    </cfRule>
    <cfRule type="cellIs" dxfId="754" priority="198" stopIfTrue="1" operator="lessThanOrEqual">
      <formula>0</formula>
    </cfRule>
  </conditionalFormatting>
  <conditionalFormatting sqref="C72:C74">
    <cfRule type="cellIs" dxfId="753" priority="87" stopIfTrue="1" operator="lessThanOrEqual">
      <formula>0</formula>
    </cfRule>
  </conditionalFormatting>
  <conditionalFormatting sqref="C77:C81">
    <cfRule type="cellIs" dxfId="752" priority="187" stopIfTrue="1" operator="lessThanOrEqual">
      <formula>0</formula>
    </cfRule>
  </conditionalFormatting>
  <conditionalFormatting sqref="C78:C81">
    <cfRule type="cellIs" dxfId="751" priority="186" stopIfTrue="1" operator="greaterThan">
      <formula>$F$77</formula>
    </cfRule>
  </conditionalFormatting>
  <conditionalFormatting sqref="C83">
    <cfRule type="cellIs" dxfId="750" priority="188" stopIfTrue="1" operator="greaterThan">
      <formula>$F$77</formula>
    </cfRule>
    <cfRule type="cellIs" dxfId="749" priority="189" stopIfTrue="1" operator="lessThanOrEqual">
      <formula>0</formula>
    </cfRule>
  </conditionalFormatting>
  <conditionalFormatting sqref="C71:D71">
    <cfRule type="cellIs" dxfId="748" priority="74" stopIfTrue="1" operator="greaterThan">
      <formula>$J71</formula>
    </cfRule>
    <cfRule type="cellIs" dxfId="747" priority="75" stopIfTrue="1" operator="lessThanOrEqual">
      <formula>0</formula>
    </cfRule>
  </conditionalFormatting>
  <conditionalFormatting sqref="C77:D77 D79:D85">
    <cfRule type="cellIs" dxfId="746" priority="181" stopIfTrue="1" operator="greaterThan">
      <formula>4.5</formula>
    </cfRule>
  </conditionalFormatting>
  <conditionalFormatting sqref="D46:D47">
    <cfRule type="cellIs" dxfId="745" priority="114" operator="notBetween">
      <formula>#REF!</formula>
      <formula>#REF!</formula>
    </cfRule>
  </conditionalFormatting>
  <conditionalFormatting sqref="D66:D70 D72:D73">
    <cfRule type="cellIs" dxfId="744" priority="84" stopIfTrue="1" operator="lessThanOrEqual">
      <formula>0</formula>
    </cfRule>
  </conditionalFormatting>
  <conditionalFormatting sqref="D66:D70 D72:D75">
    <cfRule type="cellIs" dxfId="743" priority="81" stopIfTrue="1" operator="greaterThan">
      <formula>$F66</formula>
    </cfRule>
    <cfRule type="cellIs" dxfId="742" priority="80" stopIfTrue="1" operator="lessThanOrEqual">
      <formula>0</formula>
    </cfRule>
  </conditionalFormatting>
  <conditionalFormatting sqref="D74:D75">
    <cfRule type="cellIs" dxfId="741" priority="82" stopIfTrue="1" operator="lessThanOrEqual">
      <formula>0</formula>
    </cfRule>
  </conditionalFormatting>
  <conditionalFormatting sqref="D75">
    <cfRule type="cellIs" dxfId="740" priority="83" stopIfTrue="1" operator="lessThanOrEqual">
      <formula>0</formula>
    </cfRule>
  </conditionalFormatting>
  <conditionalFormatting sqref="D77 D79:D85">
    <cfRule type="cellIs" dxfId="739" priority="182" stopIfTrue="1" operator="lessThanOrEqual">
      <formula>0</formula>
    </cfRule>
  </conditionalFormatting>
  <conditionalFormatting sqref="D78">
    <cfRule type="cellIs" dxfId="738" priority="174" stopIfTrue="1" operator="lessThanOrEqual">
      <formula>0</formula>
    </cfRule>
    <cfRule type="cellIs" dxfId="737" priority="173" stopIfTrue="1" operator="greaterThan">
      <formula>$F$77</formula>
    </cfRule>
  </conditionalFormatting>
  <conditionalFormatting sqref="E10:E21">
    <cfRule type="cellIs" dxfId="736" priority="8" operator="lessThan">
      <formula>48</formula>
    </cfRule>
  </conditionalFormatting>
  <conditionalFormatting sqref="E49 E50:F50">
    <cfRule type="cellIs" dxfId="735" priority="178" stopIfTrue="1" operator="greaterThan">
      <formula>100</formula>
    </cfRule>
  </conditionalFormatting>
  <conditionalFormatting sqref="E50">
    <cfRule type="cellIs" dxfId="734" priority="175" stopIfTrue="1" operator="lessThan">
      <formula>96.8</formula>
    </cfRule>
    <cfRule type="cellIs" dxfId="733" priority="176" stopIfTrue="1" operator="greaterThan">
      <formula>100</formula>
    </cfRule>
  </conditionalFormatting>
  <conditionalFormatting sqref="E66:E74">
    <cfRule type="cellIs" dxfId="732" priority="47" stopIfTrue="1" operator="lessThanOrEqual">
      <formula>0</formula>
    </cfRule>
  </conditionalFormatting>
  <conditionalFormatting sqref="E66:E75">
    <cfRule type="cellIs" dxfId="731" priority="49" stopIfTrue="1" operator="lessThanOrEqual">
      <formula>0</formula>
    </cfRule>
    <cfRule type="cellIs" dxfId="730" priority="48" stopIfTrue="1" operator="greaterThan">
      <formula>$F66</formula>
    </cfRule>
  </conditionalFormatting>
  <conditionalFormatting sqref="E75">
    <cfRule type="cellIs" dxfId="729" priority="50" stopIfTrue="1" operator="lessThanOrEqual">
      <formula>0</formula>
    </cfRule>
  </conditionalFormatting>
  <conditionalFormatting sqref="E77:E85">
    <cfRule type="cellIs" dxfId="728" priority="167" stopIfTrue="1" operator="greaterThan">
      <formula>4.5</formula>
    </cfRule>
    <cfRule type="cellIs" dxfId="727" priority="168" stopIfTrue="1" operator="lessThanOrEqual">
      <formula>0</formula>
    </cfRule>
  </conditionalFormatting>
  <conditionalFormatting sqref="E50:F50 E49">
    <cfRule type="cellIs" dxfId="726" priority="177" stopIfTrue="1" operator="lessThan">
      <formula>96.5</formula>
    </cfRule>
  </conditionalFormatting>
  <conditionalFormatting sqref="F19:F21">
    <cfRule type="cellIs" dxfId="725" priority="9" operator="greaterThan">
      <formula>60</formula>
    </cfRule>
  </conditionalFormatting>
  <conditionalFormatting sqref="F50">
    <cfRule type="cellIs" dxfId="724" priority="194" stopIfTrue="1" operator="greaterThan">
      <formula>100</formula>
    </cfRule>
    <cfRule type="cellIs" dxfId="723" priority="193" stopIfTrue="1" operator="lessThan">
      <formula>96.8</formula>
    </cfRule>
  </conditionalFormatting>
  <conditionalFormatting sqref="G10:G18 G21">
    <cfRule type="expression" dxfId="722" priority="21">
      <formula>IF(+(IF(G10&lt;S10,0,IF(G10&gt;T10,0,1)))=0,1)</formula>
    </cfRule>
  </conditionalFormatting>
  <conditionalFormatting sqref="G66:G69 F75">
    <cfRule type="cellIs" dxfId="721" priority="56" stopIfTrue="1" operator="greaterThan">
      <formula>$F66</formula>
    </cfRule>
    <cfRule type="cellIs" dxfId="720" priority="57" stopIfTrue="1" operator="lessThanOrEqual">
      <formula>0</formula>
    </cfRule>
  </conditionalFormatting>
  <conditionalFormatting sqref="G68:G69">
    <cfRule type="cellIs" dxfId="719" priority="42" stopIfTrue="1" operator="greaterThan">
      <formula>$F68</formula>
    </cfRule>
    <cfRule type="cellIs" dxfId="718" priority="43" stopIfTrue="1" operator="lessThanOrEqual">
      <formula>0</formula>
    </cfRule>
  </conditionalFormatting>
  <conditionalFormatting sqref="G70:G74">
    <cfRule type="cellIs" dxfId="717" priority="59" stopIfTrue="1" operator="lessThanOrEqual">
      <formula>0</formula>
    </cfRule>
    <cfRule type="cellIs" dxfId="716" priority="58" stopIfTrue="1" operator="greaterThan">
      <formula>$J70</formula>
    </cfRule>
  </conditionalFormatting>
  <conditionalFormatting sqref="G71">
    <cfRule type="cellIs" dxfId="715" priority="202" stopIfTrue="1" operator="lessThanOrEqual">
      <formula>0</formula>
    </cfRule>
    <cfRule type="cellIs" dxfId="714" priority="201" stopIfTrue="1" operator="greaterThan">
      <formula>$F66</formula>
    </cfRule>
  </conditionalFormatting>
  <conditionalFormatting sqref="G79:G84 C82 C84">
    <cfRule type="cellIs" dxfId="713" priority="191" stopIfTrue="1" operator="lessThanOrEqual">
      <formula>0</formula>
    </cfRule>
    <cfRule type="cellIs" dxfId="712" priority="190" stopIfTrue="1" operator="greaterThan">
      <formula>4.5</formula>
    </cfRule>
  </conditionalFormatting>
  <conditionalFormatting sqref="G78:H78">
    <cfRule type="cellIs" dxfId="711" priority="171" stopIfTrue="1" operator="greaterThan">
      <formula>$F$77</formula>
    </cfRule>
    <cfRule type="cellIs" dxfId="710" priority="172" stopIfTrue="1" operator="lessThanOrEqual">
      <formula>0</formula>
    </cfRule>
  </conditionalFormatting>
  <conditionalFormatting sqref="H10:H21 M19:N20">
    <cfRule type="expression" dxfId="709" priority="11">
      <formula>IF(+(IF(H10&lt;#REF!,0,IF(H10&gt;#REF!,0,1)))=0,1)</formula>
    </cfRule>
  </conditionalFormatting>
  <conditionalFormatting sqref="H35:H36 H49">
    <cfRule type="cellIs" dxfId="708" priority="169" stopIfTrue="1" operator="greaterThan">
      <formula>0</formula>
    </cfRule>
  </conditionalFormatting>
  <conditionalFormatting sqref="H53">
    <cfRule type="cellIs" dxfId="707" priority="62" stopIfTrue="1" operator="greaterThan">
      <formula>$F$66</formula>
    </cfRule>
    <cfRule type="cellIs" dxfId="706" priority="71" stopIfTrue="1" operator="lessThanOrEqual">
      <formula>0</formula>
    </cfRule>
    <cfRule type="cellIs" dxfId="705" priority="70" stopIfTrue="1" operator="greaterThan">
      <formula>$F$69</formula>
    </cfRule>
    <cfRule type="cellIs" dxfId="704" priority="72" stopIfTrue="1" operator="greaterThan">
      <formula>$F$67</formula>
    </cfRule>
    <cfRule type="cellIs" dxfId="703" priority="61" stopIfTrue="1" operator="lessThanOrEqual">
      <formula>0</formula>
    </cfRule>
  </conditionalFormatting>
  <conditionalFormatting sqref="H53:H54">
    <cfRule type="cellIs" dxfId="702" priority="73" stopIfTrue="1" operator="lessThanOrEqual">
      <formula>0</formula>
    </cfRule>
  </conditionalFormatting>
  <conditionalFormatting sqref="H54 H56:H57">
    <cfRule type="cellIs" dxfId="701" priority="99" stopIfTrue="1" operator="lessThanOrEqual">
      <formula>0</formula>
    </cfRule>
  </conditionalFormatting>
  <conditionalFormatting sqref="H54">
    <cfRule type="cellIs" dxfId="700" priority="88" stopIfTrue="1" operator="greaterThan">
      <formula>$F$66</formula>
    </cfRule>
    <cfRule type="cellIs" dxfId="699" priority="96" stopIfTrue="1" operator="greaterThan">
      <formula>$F$69</formula>
    </cfRule>
    <cfRule type="cellIs" dxfId="698" priority="97" stopIfTrue="1" operator="lessThanOrEqual">
      <formula>0</formula>
    </cfRule>
    <cfRule type="cellIs" dxfId="697" priority="98" stopIfTrue="1" operator="greaterThan">
      <formula>$F$67</formula>
    </cfRule>
  </conditionalFormatting>
  <conditionalFormatting sqref="H55">
    <cfRule type="cellIs" dxfId="696" priority="28" stopIfTrue="1" operator="lessThanOrEqual">
      <formula>0</formula>
    </cfRule>
    <cfRule type="cellIs" dxfId="695" priority="39" stopIfTrue="1" operator="greaterThan">
      <formula>$F$69</formula>
    </cfRule>
    <cfRule type="cellIs" dxfId="694" priority="38" stopIfTrue="1" operator="lessThanOrEqual">
      <formula>0</formula>
    </cfRule>
    <cfRule type="cellIs" dxfId="693" priority="37" stopIfTrue="1" operator="greaterThan">
      <formula>$F$71</formula>
    </cfRule>
    <cfRule type="cellIs" dxfId="692" priority="29" stopIfTrue="1" operator="greaterThan">
      <formula>$F$68</formula>
    </cfRule>
    <cfRule type="cellIs" dxfId="691" priority="40" stopIfTrue="1" operator="lessThanOrEqual">
      <formula>0</formula>
    </cfRule>
  </conditionalFormatting>
  <conditionalFormatting sqref="H56:H57">
    <cfRule type="cellIs" dxfId="690" priority="112" stopIfTrue="1" operator="lessThanOrEqual">
      <formula>0</formula>
    </cfRule>
    <cfRule type="cellIs" dxfId="689" priority="111" stopIfTrue="1" operator="greaterThan">
      <formula>$F$67</formula>
    </cfRule>
    <cfRule type="cellIs" dxfId="688" priority="110" stopIfTrue="1" operator="lessThanOrEqual">
      <formula>0</formula>
    </cfRule>
    <cfRule type="cellIs" dxfId="687" priority="109" stopIfTrue="1" operator="greaterThan">
      <formula>$F$69</formula>
    </cfRule>
    <cfRule type="cellIs" dxfId="686" priority="101" stopIfTrue="1" operator="greaterThan">
      <formula>$F$66</formula>
    </cfRule>
  </conditionalFormatting>
  <conditionalFormatting sqref="H58:H59">
    <cfRule type="cellIs" dxfId="685" priority="136" stopIfTrue="1" operator="lessThanOrEqual">
      <formula>0</formula>
    </cfRule>
    <cfRule type="cellIs" dxfId="684" priority="145" stopIfTrue="1" operator="greaterThan">
      <formula>#REF!</formula>
    </cfRule>
    <cfRule type="cellIs" dxfId="683" priority="146" stopIfTrue="1" operator="lessThanOrEqual">
      <formula>0</formula>
    </cfRule>
    <cfRule type="cellIs" dxfId="682" priority="137" stopIfTrue="1" operator="greaterThan">
      <formula>#REF!</formula>
    </cfRule>
  </conditionalFormatting>
  <conditionalFormatting sqref="H60">
    <cfRule type="cellIs" dxfId="681" priority="148" stopIfTrue="1" operator="lessThanOrEqual">
      <formula>0</formula>
    </cfRule>
    <cfRule type="cellIs" dxfId="680" priority="149" stopIfTrue="1" operator="greaterThan">
      <formula>$F$34</formula>
    </cfRule>
    <cfRule type="cellIs" dxfId="679" priority="157" stopIfTrue="1" operator="greaterThan">
      <formula>$F$37</formula>
    </cfRule>
    <cfRule type="cellIs" dxfId="678" priority="158" stopIfTrue="1" operator="lessThanOrEqual">
      <formula>0</formula>
    </cfRule>
    <cfRule type="cellIs" dxfId="677" priority="159" stopIfTrue="1" operator="greaterThan">
      <formula>$F$35</formula>
    </cfRule>
    <cfRule type="cellIs" dxfId="676" priority="160" stopIfTrue="1" operator="lessThanOrEqual">
      <formula>0</formula>
    </cfRule>
  </conditionalFormatting>
  <conditionalFormatting sqref="H61:H62">
    <cfRule type="cellIs" dxfId="675" priority="133" stopIfTrue="1" operator="greaterThan">
      <formula>#REF!</formula>
    </cfRule>
    <cfRule type="cellIs" dxfId="674" priority="124" stopIfTrue="1" operator="lessThanOrEqual">
      <formula>0</formula>
    </cfRule>
    <cfRule type="cellIs" dxfId="673" priority="134" stopIfTrue="1" operator="lessThanOrEqual">
      <formula>0</formula>
    </cfRule>
    <cfRule type="cellIs" dxfId="672" priority="125" stopIfTrue="1" operator="greaterThan">
      <formula>#REF!</formula>
    </cfRule>
  </conditionalFormatting>
  <conditionalFormatting sqref="H77 H79:H85">
    <cfRule type="cellIs" dxfId="671" priority="183" stopIfTrue="1" operator="greaterThan">
      <formula>4.5</formula>
    </cfRule>
    <cfRule type="cellIs" dxfId="670" priority="184" stopIfTrue="1" operator="lessThanOrEqual">
      <formula>0</formula>
    </cfRule>
  </conditionalFormatting>
  <conditionalFormatting sqref="H53:I53">
    <cfRule type="cellIs" dxfId="669" priority="63" stopIfTrue="1" operator="lessThanOrEqual">
      <formula>0</formula>
    </cfRule>
  </conditionalFormatting>
  <conditionalFormatting sqref="H53:I54 H56:I57">
    <cfRule type="cellIs" dxfId="668" priority="60" stopIfTrue="1" operator="greaterThan">
      <formula>$F$68</formula>
    </cfRule>
  </conditionalFormatting>
  <conditionalFormatting sqref="H54:I54">
    <cfRule type="cellIs" dxfId="667" priority="89" stopIfTrue="1" operator="lessThanOrEqual">
      <formula>0</formula>
    </cfRule>
  </conditionalFormatting>
  <conditionalFormatting sqref="H55:I55">
    <cfRule type="cellIs" dxfId="666" priority="30" stopIfTrue="1" operator="lessThanOrEqual">
      <formula>0</formula>
    </cfRule>
    <cfRule type="cellIs" dxfId="665" priority="27" stopIfTrue="1" operator="greaterThan">
      <formula>$F$70</formula>
    </cfRule>
  </conditionalFormatting>
  <conditionalFormatting sqref="H56:I57">
    <cfRule type="cellIs" dxfId="664" priority="102" stopIfTrue="1" operator="lessThanOrEqual">
      <formula>0</formula>
    </cfRule>
  </conditionalFormatting>
  <conditionalFormatting sqref="H58:I59">
    <cfRule type="cellIs" dxfId="663" priority="144" stopIfTrue="1" operator="lessThanOrEqual">
      <formula>0</formula>
    </cfRule>
    <cfRule type="cellIs" dxfId="662" priority="143" stopIfTrue="1" operator="greaterThan">
      <formula>#REF!</formula>
    </cfRule>
    <cfRule type="cellIs" dxfId="661" priority="138" stopIfTrue="1" operator="lessThanOrEqual">
      <formula>0</formula>
    </cfRule>
    <cfRule type="cellIs" dxfId="660" priority="135" stopIfTrue="1" operator="greaterThan">
      <formula>#REF!</formula>
    </cfRule>
  </conditionalFormatting>
  <conditionalFormatting sqref="H60:I60">
    <cfRule type="cellIs" dxfId="659" priority="147" stopIfTrue="1" operator="greaterThan">
      <formula>$F$36</formula>
    </cfRule>
    <cfRule type="cellIs" dxfId="658" priority="150" stopIfTrue="1" operator="lessThanOrEqual">
      <formula>0</formula>
    </cfRule>
  </conditionalFormatting>
  <conditionalFormatting sqref="H61:I62">
    <cfRule type="cellIs" dxfId="657" priority="123" stopIfTrue="1" operator="greaterThan">
      <formula>#REF!</formula>
    </cfRule>
    <cfRule type="cellIs" dxfId="656" priority="126" stopIfTrue="1" operator="lessThanOrEqual">
      <formula>0</formula>
    </cfRule>
    <cfRule type="cellIs" dxfId="655" priority="132" stopIfTrue="1" operator="lessThanOrEqual">
      <formula>0</formula>
    </cfRule>
    <cfRule type="cellIs" dxfId="654" priority="131" stopIfTrue="1" operator="greaterThan">
      <formula>#REF!</formula>
    </cfRule>
  </conditionalFormatting>
  <conditionalFormatting sqref="H66:I73">
    <cfRule type="cellIs" dxfId="653" priority="45" stopIfTrue="1" operator="greaterThan">
      <formula>$J66</formula>
    </cfRule>
    <cfRule type="cellIs" dxfId="652" priority="46" stopIfTrue="1" operator="lessThanOrEqual">
      <formula>0</formula>
    </cfRule>
  </conditionalFormatting>
  <conditionalFormatting sqref="H74:I74">
    <cfRule type="cellIs" dxfId="651" priority="53" operator="greaterThan">
      <formula>5.3</formula>
    </cfRule>
  </conditionalFormatting>
  <conditionalFormatting sqref="H75:I75">
    <cfRule type="cellIs" dxfId="650" priority="52" stopIfTrue="1" operator="lessThanOrEqual">
      <formula>0</formula>
    </cfRule>
    <cfRule type="cellIs" dxfId="649" priority="51" stopIfTrue="1" operator="greaterThan">
      <formula>$J75</formula>
    </cfRule>
  </conditionalFormatting>
  <conditionalFormatting sqref="I53">
    <cfRule type="cellIs" dxfId="648" priority="66" stopIfTrue="1" operator="greaterThan">
      <formula>$F$68</formula>
    </cfRule>
    <cfRule type="cellIs" dxfId="647" priority="65" stopIfTrue="1" operator="lessThanOrEqual">
      <formula>0</formula>
    </cfRule>
    <cfRule type="cellIs" dxfId="646" priority="64" stopIfTrue="1" operator="greaterThan">
      <formula>$F$66</formula>
    </cfRule>
    <cfRule type="cellIs" dxfId="645" priority="69" stopIfTrue="1" operator="lessThanOrEqual">
      <formula>0</formula>
    </cfRule>
    <cfRule type="cellIs" dxfId="644" priority="68" stopIfTrue="1" operator="greaterThan">
      <formula>$F$66</formula>
    </cfRule>
    <cfRule type="cellIs" dxfId="643" priority="67" stopIfTrue="1" operator="lessThanOrEqual">
      <formula>0</formula>
    </cfRule>
  </conditionalFormatting>
  <conditionalFormatting sqref="I54">
    <cfRule type="cellIs" dxfId="642" priority="94" stopIfTrue="1" operator="greaterThan">
      <formula>$F$66</formula>
    </cfRule>
    <cfRule type="cellIs" dxfId="641" priority="93" stopIfTrue="1" operator="lessThanOrEqual">
      <formula>0</formula>
    </cfRule>
    <cfRule type="cellIs" dxfId="640" priority="95" stopIfTrue="1" operator="lessThanOrEqual">
      <formula>0</formula>
    </cfRule>
    <cfRule type="cellIs" dxfId="639" priority="92" stopIfTrue="1" operator="greaterThan">
      <formula>$F$68</formula>
    </cfRule>
    <cfRule type="cellIs" dxfId="638" priority="91" stopIfTrue="1" operator="lessThanOrEqual">
      <formula>0</formula>
    </cfRule>
    <cfRule type="cellIs" dxfId="637" priority="90" stopIfTrue="1" operator="greaterThan">
      <formula>$F$66</formula>
    </cfRule>
  </conditionalFormatting>
  <conditionalFormatting sqref="I55">
    <cfRule type="cellIs" dxfId="636" priority="34" stopIfTrue="1" operator="lessThanOrEqual">
      <formula>0</formula>
    </cfRule>
    <cfRule type="cellIs" dxfId="635" priority="33" stopIfTrue="1" operator="greaterThan">
      <formula>$F$70</formula>
    </cfRule>
    <cfRule type="cellIs" dxfId="634" priority="32" stopIfTrue="1" operator="lessThanOrEqual">
      <formula>0</formula>
    </cfRule>
    <cfRule type="cellIs" dxfId="633" priority="35" stopIfTrue="1" operator="greaterThan">
      <formula>$F$68</formula>
    </cfRule>
    <cfRule type="cellIs" dxfId="632" priority="31" stopIfTrue="1" operator="greaterThan">
      <formula>$F$68</formula>
    </cfRule>
    <cfRule type="cellIs" dxfId="631" priority="36" stopIfTrue="1" operator="lessThanOrEqual">
      <formula>0</formula>
    </cfRule>
  </conditionalFormatting>
  <conditionalFormatting sqref="I56:I57">
    <cfRule type="cellIs" dxfId="630" priority="106" stopIfTrue="1" operator="lessThanOrEqual">
      <formula>0</formula>
    </cfRule>
    <cfRule type="cellIs" dxfId="629" priority="107" stopIfTrue="1" operator="greaterThan">
      <formula>$F$66</formula>
    </cfRule>
    <cfRule type="cellIs" dxfId="628" priority="105" stopIfTrue="1" operator="greaterThan">
      <formula>$F$68</formula>
    </cfRule>
    <cfRule type="cellIs" dxfId="627" priority="103" stopIfTrue="1" operator="greaterThan">
      <formula>$F$66</formula>
    </cfRule>
    <cfRule type="cellIs" dxfId="626" priority="104" stopIfTrue="1" operator="lessThanOrEqual">
      <formula>0</formula>
    </cfRule>
    <cfRule type="cellIs" dxfId="625" priority="108" stopIfTrue="1" operator="lessThanOrEqual">
      <formula>0</formula>
    </cfRule>
  </conditionalFormatting>
  <conditionalFormatting sqref="I58:I59">
    <cfRule type="cellIs" dxfId="624" priority="139" stopIfTrue="1" operator="greaterThan">
      <formula>#REF!</formula>
    </cfRule>
    <cfRule type="cellIs" dxfId="623" priority="140" stopIfTrue="1" operator="lessThanOrEqual">
      <formula>0</formula>
    </cfRule>
    <cfRule type="cellIs" dxfId="622" priority="141" stopIfTrue="1" operator="greaterThan">
      <formula>#REF!</formula>
    </cfRule>
    <cfRule type="cellIs" dxfId="621" priority="142" stopIfTrue="1" operator="lessThanOrEqual">
      <formula>0</formula>
    </cfRule>
  </conditionalFormatting>
  <conditionalFormatting sqref="I60">
    <cfRule type="cellIs" dxfId="620" priority="151" stopIfTrue="1" operator="greaterThan">
      <formula>$F$34</formula>
    </cfRule>
    <cfRule type="cellIs" dxfId="619" priority="152" stopIfTrue="1" operator="lessThanOrEqual">
      <formula>0</formula>
    </cfRule>
    <cfRule type="cellIs" dxfId="618" priority="153" stopIfTrue="1" operator="greaterThan">
      <formula>$F$36</formula>
    </cfRule>
    <cfRule type="cellIs" dxfId="617" priority="155" stopIfTrue="1" operator="greaterThan">
      <formula>$F$34</formula>
    </cfRule>
    <cfRule type="cellIs" dxfId="616" priority="156" stopIfTrue="1" operator="lessThanOrEqual">
      <formula>0</formula>
    </cfRule>
    <cfRule type="cellIs" dxfId="615" priority="154" stopIfTrue="1" operator="lessThanOrEqual">
      <formula>0</formula>
    </cfRule>
  </conditionalFormatting>
  <conditionalFormatting sqref="I61:I62">
    <cfRule type="cellIs" dxfId="614" priority="127" stopIfTrue="1" operator="greaterThan">
      <formula>#REF!</formula>
    </cfRule>
    <cfRule type="cellIs" dxfId="613" priority="128" stopIfTrue="1" operator="lessThanOrEqual">
      <formula>0</formula>
    </cfRule>
    <cfRule type="cellIs" dxfId="612" priority="129" stopIfTrue="1" operator="greaterThan">
      <formula>#REF!</formula>
    </cfRule>
    <cfRule type="cellIs" dxfId="611" priority="130" stopIfTrue="1" operator="lessThanOrEqual">
      <formula>0</formula>
    </cfRule>
  </conditionalFormatting>
  <conditionalFormatting sqref="I77:I85">
    <cfRule type="cellIs" dxfId="610" priority="180" stopIfTrue="1" operator="lessThanOrEqual">
      <formula>0</formula>
    </cfRule>
    <cfRule type="cellIs" dxfId="609" priority="179" stopIfTrue="1" operator="greaterThan">
      <formula>4.5</formula>
    </cfRule>
  </conditionalFormatting>
  <conditionalFormatting sqref="I10:J21">
    <cfRule type="cellIs" dxfId="608" priority="2" operator="lessThan">
      <formula>97.9</formula>
    </cfRule>
  </conditionalFormatting>
  <conditionalFormatting sqref="J24:J26">
    <cfRule type="cellIs" dxfId="607" priority="26" operator="lessThan">
      <formula>97.95</formula>
    </cfRule>
  </conditionalFormatting>
  <conditionalFormatting sqref="J25:J28">
    <cfRule type="cellIs" dxfId="606" priority="161" operator="lessThan">
      <formula>97.4</formula>
    </cfRule>
  </conditionalFormatting>
  <conditionalFormatting sqref="J29:J30">
    <cfRule type="cellIs" dxfId="605" priority="162" operator="lessThan">
      <formula>98</formula>
    </cfRule>
  </conditionalFormatting>
  <conditionalFormatting sqref="J31:J32">
    <cfRule type="cellIs" dxfId="604" priority="164" stopIfTrue="1" operator="greaterThan">
      <formula>100</formula>
    </cfRule>
    <cfRule type="cellIs" dxfId="603" priority="163" stopIfTrue="1" operator="lessThan">
      <formula>96.8</formula>
    </cfRule>
  </conditionalFormatting>
  <conditionalFormatting sqref="J31:J33">
    <cfRule type="cellIs" dxfId="602" priority="165" operator="lessThan">
      <formula>98</formula>
    </cfRule>
  </conditionalFormatting>
  <conditionalFormatting sqref="J62">
    <cfRule type="cellIs" dxfId="601" priority="115" stopIfTrue="1" operator="greaterThan">
      <formula>#REF!</formula>
    </cfRule>
    <cfRule type="cellIs" dxfId="600" priority="116" stopIfTrue="1" operator="lessThanOrEqual">
      <formula>0</formula>
    </cfRule>
    <cfRule type="cellIs" dxfId="599" priority="118" stopIfTrue="1" operator="lessThanOrEqual">
      <formula>0</formula>
    </cfRule>
    <cfRule type="cellIs" dxfId="598" priority="119" stopIfTrue="1" operator="greaterThan">
      <formula>#REF!</formula>
    </cfRule>
    <cfRule type="cellIs" dxfId="597" priority="120" stopIfTrue="1" operator="lessThanOrEqual">
      <formula>0</formula>
    </cfRule>
    <cfRule type="cellIs" dxfId="596" priority="121" stopIfTrue="1" operator="greaterThan">
      <formula>#REF!</formula>
    </cfRule>
    <cfRule type="cellIs" dxfId="595" priority="122" stopIfTrue="1" operator="lessThanOrEqual">
      <formula>0</formula>
    </cfRule>
    <cfRule type="cellIs" dxfId="594" priority="117" stopIfTrue="1" operator="greaterThan">
      <formula>#REF!</formula>
    </cfRule>
  </conditionalFormatting>
  <conditionalFormatting sqref="J75">
    <cfRule type="cellIs" dxfId="593" priority="54" stopIfTrue="1" operator="greaterThan">
      <formula>$F75</formula>
    </cfRule>
    <cfRule type="cellIs" dxfId="592" priority="55" stopIfTrue="1" operator="lessThanOrEqual">
      <formula>0</formula>
    </cfRule>
  </conditionalFormatting>
  <conditionalFormatting sqref="K10:K21">
    <cfRule type="cellIs" dxfId="591" priority="3" operator="greaterThan">
      <formula>6</formula>
    </cfRule>
    <cfRule type="cellIs" dxfId="590" priority="5" operator="greaterThan">
      <formula>6.4</formula>
    </cfRule>
    <cfRule type="cellIs" dxfId="589" priority="4" operator="lessThan">
      <formula>4</formula>
    </cfRule>
  </conditionalFormatting>
  <conditionalFormatting sqref="K53:K62">
    <cfRule type="cellIs" dxfId="588" priority="100" stopIfTrue="1" operator="lessThan">
      <formula>100%</formula>
    </cfRule>
  </conditionalFormatting>
  <conditionalFormatting sqref="K66:K74">
    <cfRule type="cellIs" dxfId="587" priority="44" stopIfTrue="1" operator="lessThan">
      <formula>100%</formula>
    </cfRule>
  </conditionalFormatting>
  <conditionalFormatting sqref="K77:K82">
    <cfRule type="cellIs" dxfId="586" priority="185" stopIfTrue="1" operator="lessThan">
      <formula>100%</formula>
    </cfRule>
  </conditionalFormatting>
  <conditionalFormatting sqref="K84:K85">
    <cfRule type="cellIs" dxfId="585" priority="192" stopIfTrue="1" operator="lessThan">
      <formula>100%</formula>
    </cfRule>
  </conditionalFormatting>
  <conditionalFormatting sqref="L10:L21">
    <cfRule type="cellIs" dxfId="584" priority="6" operator="between">
      <formula>61</formula>
      <formula>65</formula>
    </cfRule>
    <cfRule type="cellIs" dxfId="583" priority="7" operator="greaterThan">
      <formula>65</formula>
    </cfRule>
  </conditionalFormatting>
  <conditionalFormatting sqref="L24:M35">
    <cfRule type="cellIs" dxfId="582" priority="1" operator="lessThan">
      <formula>97.95</formula>
    </cfRule>
  </conditionalFormatting>
  <conditionalFormatting sqref="L39:N39">
    <cfRule type="cellIs" dxfId="581" priority="24" operator="notEqual">
      <formula>#REF!</formula>
    </cfRule>
  </conditionalFormatting>
  <conditionalFormatting sqref="L66:N75">
    <cfRule type="cellIs" dxfId="580" priority="41" stopIfTrue="1" operator="lessThan">
      <formula>100%</formula>
    </cfRule>
  </conditionalFormatting>
  <conditionalFormatting sqref="L77:N85">
    <cfRule type="cellIs" dxfId="579" priority="170" stopIfTrue="1" operator="lessThan">
      <formula>100%</formula>
    </cfRule>
  </conditionalFormatting>
  <conditionalFormatting sqref="M21">
    <cfRule type="expression" dxfId="578" priority="20">
      <formula>IF(+(IF(M21&lt;U21,0,IF(M21&gt;V21,0,1)))=0,1)</formula>
    </cfRule>
  </conditionalFormatting>
  <conditionalFormatting sqref="M10:N18">
    <cfRule type="expression" dxfId="577" priority="23">
      <formula>IF(+(IF(M10&lt;V10,0,IF(M10&gt;W10,0,1)))=0,1)</formula>
    </cfRule>
  </conditionalFormatting>
  <conditionalFormatting sqref="N19:N21">
    <cfRule type="expression" dxfId="576" priority="10">
      <formula>IF(+(IF(N19&lt;W19,0,IF(N19&gt;X19,0,1)))=0,1)</formula>
    </cfRule>
  </conditionalFormatting>
  <conditionalFormatting sqref="P6">
    <cfRule type="cellIs" dxfId="575" priority="166" operator="greaterThanOrEqual">
      <formula>19</formula>
    </cfRule>
  </conditionalFormatting>
  <dataValidations disablePrompts="1" count="1">
    <dataValidation type="list" allowBlank="1" showInputMessage="1" showErrorMessage="1" sqref="R8" xr:uid="{09280AEC-5DAC-4D88-B1FB-35E2E0B0028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232D0-ABCE-4E2C-8268-2997A7A63B08}">
  <sheetPr>
    <pageSetUpPr fitToPage="1"/>
  </sheetPr>
  <dimension ref="A1:BE75"/>
  <sheetViews>
    <sheetView topLeftCell="B3" zoomScale="85" zoomScaleNormal="85" workbookViewId="0">
      <selection activeCell="I37" sqref="I3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49.57031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46311</v>
      </c>
      <c r="J4" s="397" t="s">
        <v>180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[29]Brewhouse!$A409</f>
        <v>ST350</v>
      </c>
      <c r="D10" s="279">
        <f>[29]Brewhouse!$AB409</f>
        <v>53.1</v>
      </c>
      <c r="E10" s="279">
        <f>[29]Brewhouse!$AG409</f>
        <v>47.6</v>
      </c>
      <c r="F10" s="278">
        <f>[29]Brewhouse!$V409</f>
        <v>55</v>
      </c>
      <c r="G10" s="279">
        <f>[29]Brewhouse!$AE409</f>
        <v>11.6</v>
      </c>
      <c r="H10" s="396">
        <v>11.9</v>
      </c>
      <c r="I10" s="368">
        <f>[29]Brewhouse!$AS409</f>
        <v>93.406197783718596</v>
      </c>
      <c r="J10" s="368">
        <f>[29]Brewhouse!$AT409</f>
        <v>93.856428193760948</v>
      </c>
      <c r="K10" s="281">
        <f>[29]Brewhouse!$Q409</f>
        <v>12.193973634651604</v>
      </c>
      <c r="L10" s="276">
        <f>[29]Brewhouse!$P409</f>
        <v>84</v>
      </c>
      <c r="M10" s="374">
        <f>[29]Brewhouse!$U409-[29]Brewhouse!$T409</f>
        <v>0.12430555555555567</v>
      </c>
      <c r="N10" s="370">
        <f>[29]Brewhouse!$AW409</f>
        <v>0.28819444444444464</v>
      </c>
      <c r="O10" s="419" t="str">
        <f>[29]Brewhouse!$AV409</f>
        <v>R.Sookram</v>
      </c>
      <c r="P10" s="417"/>
      <c r="R10" s="277" t="str">
        <f t="shared" ref="R10:R35" si="0">B10</f>
        <v>STAG</v>
      </c>
      <c r="S10" s="471">
        <f t="shared" ref="S10:S35" si="1">VLOOKUP($B10,$R$3:$X$9,2,FALSE)</f>
        <v>11.6</v>
      </c>
      <c r="T10" s="471">
        <f t="shared" ref="T10:T35" si="2">VLOOKUP($B10,$R$3:$X$9,3,FALSE)</f>
        <v>12</v>
      </c>
      <c r="U10" s="297">
        <f t="shared" ref="U10:U35" si="3">VLOOKUP($B10,$R$3:$X$9,4,FALSE)</f>
        <v>0</v>
      </c>
      <c r="V10" s="297">
        <f t="shared" ref="V10:V35" si="4">VLOOKUP($B10,$R$3:$X$9,5,FALSE)</f>
        <v>0.118055555555556</v>
      </c>
      <c r="W10" s="297">
        <f t="shared" ref="W10:W35" si="5">VLOOKUP($B10,$R$3:$X$9,6,FALSE)</f>
        <v>0.22569444444444445</v>
      </c>
      <c r="X10" s="297">
        <f t="shared" ref="X10:X35" si="6">VLOOKUP($B10,$R$3:$X$9,7,FALSE)</f>
        <v>0.2638888888888889</v>
      </c>
      <c r="Y10" s="297">
        <f t="shared" ref="Y10:Y35" si="7">VLOOKUP($B10,$R$3:$Z$9,8,FALSE)</f>
        <v>0</v>
      </c>
      <c r="Z10" s="471">
        <f t="shared" ref="Z10:Z35" si="8">VLOOKUP($B10,$R$3:$Z$9,9,FALSE)</f>
        <v>60</v>
      </c>
    </row>
    <row r="11" spans="2:29" ht="15" customHeight="1">
      <c r="B11" s="33" t="s">
        <v>9</v>
      </c>
      <c r="C11" s="366" t="str">
        <f>[29]Brewhouse!$A410</f>
        <v>ST351</v>
      </c>
      <c r="D11" s="279">
        <f>[29]Brewhouse!$AB410</f>
        <v>53</v>
      </c>
      <c r="E11" s="279">
        <f>[29]Brewhouse!$AG410</f>
        <v>48.5</v>
      </c>
      <c r="F11" s="278">
        <f>[29]Brewhouse!$V410</f>
        <v>55</v>
      </c>
      <c r="G11" s="279">
        <f>[29]Brewhouse!$AE410</f>
        <v>12</v>
      </c>
      <c r="H11" s="396">
        <v>12.2</v>
      </c>
      <c r="I11" s="368">
        <f>[29]Brewhouse!$AS410</f>
        <v>98.877019621072932</v>
      </c>
      <c r="J11" s="368">
        <f>[29]Brewhouse!$AT410</f>
        <v>99.353312945973499</v>
      </c>
      <c r="K11" s="281">
        <f>[29]Brewhouse!$Q410</f>
        <v>10.518867924528294</v>
      </c>
      <c r="L11" s="276">
        <f>[29]Brewhouse!$P410</f>
        <v>62</v>
      </c>
      <c r="M11" s="374">
        <f>[29]Brewhouse!$U410-[29]Brewhouse!$T410</f>
        <v>0.11249999999999999</v>
      </c>
      <c r="N11" s="370">
        <f>[29]Brewhouse!$AW410</f>
        <v>0.26527777777777772</v>
      </c>
      <c r="O11" s="419" t="str">
        <f>[29]Brewhouse!$AV410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[29]Brewhouse!$A411</f>
        <v>ST352</v>
      </c>
      <c r="D12" s="279">
        <f>[29]Brewhouse!$AB411</f>
        <v>53</v>
      </c>
      <c r="E12" s="279">
        <f>[29]Brewhouse!$AG411</f>
        <v>48.7</v>
      </c>
      <c r="F12" s="278">
        <f>[29]Brewhouse!$V411</f>
        <v>60</v>
      </c>
      <c r="G12" s="279">
        <f>[29]Brewhouse!$AE411</f>
        <v>11.7</v>
      </c>
      <c r="H12" s="396">
        <v>12.1</v>
      </c>
      <c r="I12" s="368">
        <f>[29]Brewhouse!$AS411</f>
        <v>96.553968078702184</v>
      </c>
      <c r="J12" s="368">
        <f>[29]Brewhouse!$AT411</f>
        <v>97.019221371558871</v>
      </c>
      <c r="K12" s="281">
        <f>[29]Brewhouse!$Q411</f>
        <v>10.141509433962264</v>
      </c>
      <c r="L12" s="276">
        <f>[29]Brewhouse!$P411</f>
        <v>60</v>
      </c>
      <c r="M12" s="374">
        <f>[29]Brewhouse!$U411-[29]Brewhouse!$T411</f>
        <v>0.13194444444444442</v>
      </c>
      <c r="N12" s="370">
        <f>[29]Brewhouse!$AW411</f>
        <v>0.29236111111111107</v>
      </c>
      <c r="O12" s="419" t="str">
        <f>[29]Brewhouse!$AV411</f>
        <v>K. Benjamin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[29]Brewhouse!$A412</f>
        <v>ST353</v>
      </c>
      <c r="D13" s="279">
        <f>[29]Brewhouse!$AB412</f>
        <v>53</v>
      </c>
      <c r="E13" s="279">
        <f>[29]Brewhouse!$AG412</f>
        <v>49.6</v>
      </c>
      <c r="F13" s="278">
        <f>[29]Brewhouse!$V412</f>
        <v>59</v>
      </c>
      <c r="G13" s="279">
        <f>[29]Brewhouse!$AE412</f>
        <v>11.6</v>
      </c>
      <c r="H13" s="396">
        <v>11.9</v>
      </c>
      <c r="I13" s="368">
        <f>[29]Brewhouse!$AS412</f>
        <v>97.57718513895729</v>
      </c>
      <c r="J13" s="368">
        <f>[29]Brewhouse!$AT412</f>
        <v>98.047217125382247</v>
      </c>
      <c r="K13" s="281">
        <f>[29]Brewhouse!$Q412</f>
        <v>8.2547169811320753</v>
      </c>
      <c r="L13" s="276">
        <f>[29]Brewhouse!$P412</f>
        <v>62</v>
      </c>
      <c r="M13" s="374">
        <f>[29]Brewhouse!$U412-[29]Brewhouse!$T412</f>
        <v>0.1166666666666667</v>
      </c>
      <c r="N13" s="370">
        <f>[29]Brewhouse!$AW412</f>
        <v>0.30069444444444449</v>
      </c>
      <c r="O13" s="419" t="str">
        <f>[29]Brewhouse!$AV412</f>
        <v>K. Benjamin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[29]Brewhouse!$A413</f>
        <v>ST354</v>
      </c>
      <c r="D14" s="279">
        <f>[29]Brewhouse!$AB413</f>
        <v>53</v>
      </c>
      <c r="E14" s="279">
        <f>[29]Brewhouse!$AG413</f>
        <v>49.6</v>
      </c>
      <c r="F14" s="278">
        <f>[29]Brewhouse!$V413</f>
        <v>57</v>
      </c>
      <c r="G14" s="279">
        <f>[29]Brewhouse!$AE413</f>
        <v>11.7</v>
      </c>
      <c r="H14" s="396">
        <v>11.9</v>
      </c>
      <c r="I14" s="368">
        <f>[29]Brewhouse!$AS413</f>
        <v>98.214193542838373</v>
      </c>
      <c r="J14" s="368">
        <f>[29]Brewhouse!$AT413</f>
        <v>98.68759913775574</v>
      </c>
      <c r="K14" s="281">
        <f>[29]Brewhouse!$Q413</f>
        <v>8.4433962264150964</v>
      </c>
      <c r="L14" s="276">
        <f>[29]Brewhouse!$P413</f>
        <v>61</v>
      </c>
      <c r="M14" s="374">
        <f>[29]Brewhouse!$U413-[29]Brewhouse!$T413</f>
        <v>0.11597222222222225</v>
      </c>
      <c r="N14" s="370">
        <f>[29]Brewhouse!$AW413</f>
        <v>0.30902777777777779</v>
      </c>
      <c r="O14" s="419" t="str">
        <f>[29]Brewhouse!$AV413</f>
        <v>K. Benjamin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[29]Brewhouse!$A414</f>
        <v>ST355</v>
      </c>
      <c r="D15" s="279">
        <f>[29]Brewhouse!$AB414</f>
        <v>53</v>
      </c>
      <c r="E15" s="279">
        <f>[29]Brewhouse!$AG414</f>
        <v>49.6</v>
      </c>
      <c r="F15" s="278">
        <f>[29]Brewhouse!$V414</f>
        <v>57</v>
      </c>
      <c r="G15" s="279">
        <f>[29]Brewhouse!$AE414</f>
        <v>11.6</v>
      </c>
      <c r="H15" s="396">
        <v>11.6</v>
      </c>
      <c r="I15" s="368">
        <f>[29]Brewhouse!$AS414</f>
        <v>97.208115247656366</v>
      </c>
      <c r="J15" s="368">
        <f>[29]Brewhouse!$AT414</f>
        <v>97.676821837679725</v>
      </c>
      <c r="K15" s="281">
        <f>[29]Brewhouse!$Q414</f>
        <v>8.4433962264150964</v>
      </c>
      <c r="L15" s="276">
        <f>[29]Brewhouse!$P414</f>
        <v>60</v>
      </c>
      <c r="M15" s="374">
        <f>[29]Brewhouse!$U414-[29]Brewhouse!$T414</f>
        <v>0.11249999999999993</v>
      </c>
      <c r="N15" s="370">
        <f>[29]Brewhouse!$AW414</f>
        <v>0.31458333333333333</v>
      </c>
      <c r="O15" s="419" t="str">
        <f>[29]Brewhouse!$AV414</f>
        <v>D.Gomaz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[29]Brewhouse!$A415</f>
        <v>ST356</v>
      </c>
      <c r="D16" s="279">
        <f>[29]Brewhouse!$AB415</f>
        <v>53</v>
      </c>
      <c r="E16" s="279">
        <f>[29]Brewhouse!$AG415</f>
        <v>50.3</v>
      </c>
      <c r="F16" s="278">
        <f>[29]Brewhouse!$V415</f>
        <v>86</v>
      </c>
      <c r="G16" s="279">
        <f>[29]Brewhouse!$AE415</f>
        <v>11.7</v>
      </c>
      <c r="H16" s="396">
        <v>11.7</v>
      </c>
      <c r="I16" s="368">
        <f>[29]Brewhouse!$AS415</f>
        <v>101.39220490411473</v>
      </c>
      <c r="J16" s="368">
        <f>[29]Brewhouse!$AT415</f>
        <v>101.87869001780317</v>
      </c>
      <c r="K16" s="281">
        <f>[29]Brewhouse!$Q415</f>
        <v>8.2547169811320753</v>
      </c>
      <c r="L16" s="276">
        <f>[29]Brewhouse!$P415</f>
        <v>58</v>
      </c>
      <c r="M16" s="374">
        <f>[29]Brewhouse!$U415-[29]Brewhouse!$T415</f>
        <v>0.13472222222222219</v>
      </c>
      <c r="N16" s="370">
        <f>[29]Brewhouse!$AW415</f>
        <v>0.32013888888888897</v>
      </c>
      <c r="O16" s="419" t="str">
        <f>[29]Brewhouse!$AV415</f>
        <v>D.Gomaz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 thickBo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hidden="1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hidden="1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hidden="1" customHeight="1">
      <c r="B21" s="34"/>
      <c r="C21" s="366"/>
      <c r="D21" s="279"/>
      <c r="E21" s="279"/>
      <c r="F21" s="278"/>
      <c r="G21" s="279"/>
      <c r="H21" s="396"/>
      <c r="I21" s="487"/>
      <c r="J21" s="487"/>
      <c r="K21" s="488"/>
      <c r="L21" s="276"/>
      <c r="M21" s="374"/>
      <c r="N21" s="370"/>
      <c r="O21" s="419"/>
      <c r="P21" s="417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hidden="1" customHeight="1" thickBot="1">
      <c r="B22" s="358"/>
      <c r="C22" s="358"/>
      <c r="D22" s="358"/>
      <c r="E22" s="358"/>
      <c r="F22" s="294"/>
      <c r="G22" s="294"/>
      <c r="H22" s="348"/>
      <c r="I22" s="624"/>
      <c r="J22" s="624"/>
      <c r="K22" s="624"/>
      <c r="L22" s="624"/>
      <c r="M22" s="624"/>
      <c r="N22" s="624"/>
      <c r="O22" s="1"/>
      <c r="P22" s="12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 thickBot="1">
      <c r="B23" s="482" t="s">
        <v>162</v>
      </c>
      <c r="C23" s="388"/>
      <c r="D23" s="539" t="s">
        <v>35</v>
      </c>
      <c r="E23" s="540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7.25" customHeight="1">
      <c r="A24" s="28"/>
      <c r="B24" s="575" t="str">
        <f>I24</f>
        <v>CARIB</v>
      </c>
      <c r="C24" s="483">
        <f>[30]Process!D767</f>
        <v>11.8</v>
      </c>
      <c r="D24" s="565">
        <v>11.54</v>
      </c>
      <c r="E24" s="566"/>
      <c r="F24" s="294"/>
      <c r="G24" s="294"/>
      <c r="H24" s="348"/>
      <c r="I24" s="29" t="s">
        <v>6</v>
      </c>
      <c r="J24" s="323"/>
      <c r="K24" s="284">
        <f>COUNTA([30]Brewhouse!$A$789:$A$820)</f>
        <v>32</v>
      </c>
      <c r="L24" s="305">
        <f>AVERAGE([30]Brewhouse!$AU$789:$AU$820)</f>
        <v>97.19542619578651</v>
      </c>
      <c r="M24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$820)</f>
        <v>98.283559098193749</v>
      </c>
      <c r="N24" s="30">
        <v>98</v>
      </c>
      <c r="O24" s="11"/>
      <c r="P24" s="31"/>
      <c r="R24" s="277" t="str">
        <f t="shared" si="0"/>
        <v>CARIB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1:27" ht="15" customHeight="1">
      <c r="A25" s="28"/>
      <c r="B25" s="576"/>
      <c r="C25" s="362">
        <f>[30]Process!D768</f>
        <v>12</v>
      </c>
      <c r="D25" s="567"/>
      <c r="E25" s="568"/>
      <c r="F25" s="294"/>
      <c r="G25" s="294"/>
      <c r="H25" s="348"/>
      <c r="I25" s="33" t="s">
        <v>9</v>
      </c>
      <c r="J25" s="323">
        <f>AVERAGE(I10:I16)</f>
        <v>97.604126331008629</v>
      </c>
      <c r="K25" s="284">
        <f>COUNTA([29]Brewhouse!$A$390:$A$415)</f>
        <v>26</v>
      </c>
      <c r="L25" s="302">
        <f>AVERAGE([29]Brewhouse!$AS$390:$AS$415)</f>
        <v>97.456912139894342</v>
      </c>
      <c r="M25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$415)</f>
        <v>98.260796523510578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76"/>
      <c r="C26" s="362">
        <f>[30]Process!D769</f>
        <v>11.9</v>
      </c>
      <c r="D26" s="616">
        <v>11.51</v>
      </c>
      <c r="E26" s="617"/>
      <c r="F26" s="294"/>
      <c r="G26" s="294"/>
      <c r="H26" s="348"/>
      <c r="I26" s="34" t="s">
        <v>12</v>
      </c>
      <c r="J26" s="323"/>
      <c r="K26" s="284">
        <f>COUNTA([31]Brewhouse!$A$108:$A$115)</f>
        <v>8</v>
      </c>
      <c r="L26" s="302">
        <f>AVERAGE([31]Brewhouse!$AU$108:$AU$115)</f>
        <v>97.365395087454402</v>
      </c>
      <c r="M26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76"/>
      <c r="C27" s="362">
        <f>[30]Process!D770</f>
        <v>11.9</v>
      </c>
      <c r="D27" s="580"/>
      <c r="E27" s="568"/>
      <c r="F27" s="294"/>
      <c r="G27" s="294"/>
      <c r="H27" s="348"/>
      <c r="I27" s="22" t="s">
        <v>33</v>
      </c>
      <c r="J27" s="280"/>
      <c r="K27" s="284"/>
      <c r="L27" s="302"/>
      <c r="M27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76"/>
      <c r="C28" s="362">
        <f>[30]Process!D771</f>
        <v>11.9</v>
      </c>
      <c r="D28" s="616">
        <v>11.73</v>
      </c>
      <c r="E28" s="617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76"/>
      <c r="C29" s="362">
        <f>[30]Process!D772</f>
        <v>11.9</v>
      </c>
      <c r="D29" s="580"/>
      <c r="E29" s="568"/>
      <c r="F29" s="416"/>
      <c r="G29" s="294"/>
      <c r="H29" s="348"/>
      <c r="I29" s="36" t="s">
        <v>15</v>
      </c>
      <c r="J29" s="323"/>
      <c r="K29" s="284"/>
      <c r="L29" s="302"/>
      <c r="M29" s="302">
        <f>AVERAGE([33]Brewhouse!$AT$4:$AT$11,[33]Brewhouse!$AT$13:$AT$16,[33]Brewhouse!$AT$18:$AT$30)</f>
        <v>93.22262799886262</v>
      </c>
      <c r="N29" s="30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76"/>
      <c r="C30" s="362">
        <f>[30]Process!D773</f>
        <v>11.9</v>
      </c>
      <c r="D30" s="616">
        <v>11.35</v>
      </c>
      <c r="E30" s="617"/>
      <c r="F30" s="416"/>
      <c r="G30" s="294"/>
      <c r="H30" s="348"/>
      <c r="I30" s="37" t="s">
        <v>16</v>
      </c>
      <c r="J30" s="323"/>
      <c r="K30" s="284">
        <f>COUNTA([34]Brewhouse!$A$112:$A$119)</f>
        <v>8</v>
      </c>
      <c r="L30" s="302">
        <f>AVERAGE([34]Brewhouse!$AY$112:$AY$119)</f>
        <v>96.833332758088616</v>
      </c>
      <c r="M30" s="302">
        <f>AVERAGE([34]Brewhouse!$AY$5:$AY$14,[34]Brewhouse!$AY$16:$AY$23,[34]Brewhouse!$AY$42,[34]Brewhouse!$AY$44:$AY$51,[34]Brewhouse!$AY$53:$AY$64,[34]Brewhouse!$AY$66:$AY$73,[34]Brewhouse!$AY$75:$AY$82,[34]Brewhouse!$AY$84:$AY$101,[34]Brewhouse!$AY$103:$AY$110,[34]Brewhouse!$AY$112:$AY$119)</f>
        <v>97.706699801192229</v>
      </c>
      <c r="N30" s="30">
        <v>98</v>
      </c>
      <c r="O30" s="11"/>
      <c r="P30" s="31" t="s">
        <v>41</v>
      </c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76"/>
      <c r="C31" s="362">
        <f>[30]Process!D774</f>
        <v>11.9</v>
      </c>
      <c r="D31" s="580"/>
      <c r="E31" s="568"/>
      <c r="F31" s="294"/>
      <c r="G31" s="294"/>
      <c r="H31" s="348"/>
      <c r="I31" s="410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1:27" ht="14.65" customHeight="1">
      <c r="A32" s="28"/>
      <c r="B32" s="576"/>
      <c r="C32" s="362"/>
      <c r="D32" s="616">
        <v>11.46</v>
      </c>
      <c r="E32" s="617"/>
      <c r="F32" s="294"/>
      <c r="G32" s="294"/>
      <c r="H32" s="348"/>
      <c r="I32" s="409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76"/>
      <c r="C33" s="362"/>
      <c r="D33" s="580"/>
      <c r="E33" s="568"/>
      <c r="F33" s="294"/>
      <c r="G33" s="294"/>
      <c r="H33" s="348"/>
      <c r="I33" s="405" t="s">
        <v>156</v>
      </c>
      <c r="J33" s="327"/>
      <c r="K33" s="406"/>
      <c r="L33" s="407"/>
      <c r="M33" s="407"/>
      <c r="N33" s="408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" customHeight="1" thickBot="1">
      <c r="A34" s="28"/>
      <c r="B34" s="576"/>
      <c r="C34" s="349"/>
      <c r="D34" s="565"/>
      <c r="E34" s="566"/>
      <c r="F34" s="294"/>
      <c r="G34" s="294"/>
      <c r="H34" s="348"/>
      <c r="I34" s="1"/>
      <c r="J34" s="39"/>
      <c r="K34" s="403">
        <f>SUM(K24:K33)</f>
        <v>74</v>
      </c>
      <c r="L34" s="404">
        <f>((L24*K24)+(L25*K25)+(L26*K26)+(L27*K27)+(L28*K28)+(K31*L31)+(L29*K29)+(L30*K30)+(L33*K33))/(K34)</f>
        <v>97.266529414415757</v>
      </c>
      <c r="M34" s="404">
        <f>AVERAGE('[35]Jan30th-31st'!$L$42,'[36]Feb 27th-28th'!$L$45,'[37]Mar 31st'!$L$42,'[38]Apr 30th'!$L$41,'[39]May 29th '!$L$35,'[40]June 30th'!$L$32,[41]July31st!$L$36,'[42]Aug 31st'!$L$32,L34)</f>
        <v>97.893793420694422</v>
      </c>
      <c r="N34" s="4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625"/>
      <c r="C35" s="350"/>
      <c r="D35" s="567"/>
      <c r="E35" s="568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  <c r="AA35" s="471"/>
    </row>
    <row r="36" spans="1:56" ht="15.75" thickBot="1">
      <c r="B36" s="626" t="str">
        <f>I30</f>
        <v>STARMALT</v>
      </c>
      <c r="C36" s="362">
        <f>[34]Process!D112</f>
        <v>17</v>
      </c>
      <c r="D36" s="565">
        <v>16.77</v>
      </c>
      <c r="E36" s="566"/>
      <c r="F36" s="294"/>
      <c r="G36" s="42"/>
      <c r="H36" s="41"/>
      <c r="I36" s="42"/>
      <c r="J36" s="615" t="s">
        <v>129</v>
      </c>
      <c r="K36" s="615"/>
      <c r="L36" s="294"/>
      <c r="M36" s="294"/>
      <c r="N36" s="294"/>
      <c r="O36" s="294"/>
      <c r="P36" s="12"/>
    </row>
    <row r="37" spans="1:56" ht="15.75" thickBot="1">
      <c r="B37" s="627"/>
      <c r="C37" s="362">
        <f>[34]Process!D113</f>
        <v>17.3</v>
      </c>
      <c r="D37" s="567"/>
      <c r="E37" s="568"/>
      <c r="F37" s="294"/>
      <c r="G37" s="42"/>
      <c r="H37" s="42"/>
      <c r="I37" s="42"/>
      <c r="J37" s="292" t="s">
        <v>17</v>
      </c>
      <c r="K37" s="293"/>
      <c r="L37" s="582" t="s">
        <v>136</v>
      </c>
      <c r="M37" s="582"/>
      <c r="N37" s="583"/>
      <c r="O37" s="294"/>
      <c r="P37" s="12"/>
    </row>
    <row r="38" spans="1:56" ht="15" customHeight="1" thickBot="1">
      <c r="B38" s="627"/>
      <c r="C38" s="349">
        <f>[34]Process!D114</f>
        <v>17.3</v>
      </c>
      <c r="D38" s="616">
        <v>16.82</v>
      </c>
      <c r="E38" s="617"/>
      <c r="F38" s="294"/>
      <c r="G38" s="42"/>
      <c r="H38" s="42"/>
      <c r="I38" s="42"/>
      <c r="J38" s="287" t="s">
        <v>6</v>
      </c>
      <c r="K38" s="324"/>
      <c r="L38" s="472" t="s">
        <v>37</v>
      </c>
      <c r="M38" s="473" t="s">
        <v>38</v>
      </c>
      <c r="N38" s="473" t="s">
        <v>84</v>
      </c>
      <c r="O38" s="294"/>
      <c r="P38" s="12"/>
    </row>
    <row r="39" spans="1:56" ht="15.75" customHeight="1" thickBot="1">
      <c r="B39" s="627"/>
      <c r="C39" s="349">
        <f>[34]Process!D115</f>
        <v>17.3</v>
      </c>
      <c r="D39" s="580"/>
      <c r="E39" s="568"/>
      <c r="F39" s="294"/>
      <c r="G39" s="42"/>
      <c r="H39" s="42"/>
      <c r="I39" s="42"/>
      <c r="J39" s="345" t="s">
        <v>9</v>
      </c>
      <c r="K39" s="324">
        <v>7</v>
      </c>
      <c r="L39" s="484">
        <f>AVERAGE('Oct 1st'!K52,'Oct 2nd'!K44,'Oct 5th'!K51,'Oct 6th'!K58,'Oct 7th'!K47,'Oct 8th '!K46,'Oct 9th-10th'!J57,'Oct 9th-10th'!K57,'Oct 12th'!K50,'Oct 13th '!K48,'Oct 14th'!K48,K48)</f>
        <v>6.166666666666667</v>
      </c>
      <c r="M39" s="485">
        <f>AVERAGE('[35]Jan30th-31st'!$L$47,L39,'[36]Feb 26th '!$L$39,'[37]Mar 31st'!$L$47,'[38]Apr 30th'!$L$46,'[39]May 29th '!$L$40,'[40]June 30th'!$L$39,[41]July31st!$L$41,'[42]Aug 31st'!$L$37,'[43]Sept 30th'!$L$37)</f>
        <v>6.4902008136790759</v>
      </c>
      <c r="N39" s="415">
        <v>9.1999999999999993</v>
      </c>
      <c r="O39" s="294"/>
      <c r="P39" s="12"/>
    </row>
    <row r="40" spans="1:56" ht="15" customHeight="1">
      <c r="B40" s="627"/>
      <c r="C40" s="349">
        <f>[34]Process!D116</f>
        <v>17.36</v>
      </c>
      <c r="D40" s="616">
        <v>16.8</v>
      </c>
      <c r="E40" s="617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627"/>
      <c r="C41" s="349">
        <f>[34]Process!D117</f>
        <v>17.399999999999999</v>
      </c>
      <c r="D41" s="580"/>
      <c r="E41" s="568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627"/>
      <c r="C42" s="349">
        <f>[34]Process!D118</f>
        <v>17.399999999999999</v>
      </c>
      <c r="D42" s="616">
        <v>16.8</v>
      </c>
      <c r="E42" s="617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627"/>
      <c r="C43" s="349">
        <f>[34]Process!D119</f>
        <v>17.399999999999999</v>
      </c>
      <c r="D43" s="580"/>
      <c r="E43" s="568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627"/>
      <c r="C44" s="349"/>
      <c r="D44" s="616"/>
      <c r="E44" s="617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628"/>
      <c r="C45" s="350"/>
      <c r="D45" s="618"/>
      <c r="E45" s="619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610"/>
      <c r="E46" s="611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90" t="s">
        <v>17</v>
      </c>
      <c r="C51" s="590" t="s">
        <v>44</v>
      </c>
      <c r="D51" s="592" t="s">
        <v>45</v>
      </c>
      <c r="E51" s="547" t="s">
        <v>46</v>
      </c>
      <c r="F51" s="607" t="s">
        <v>47</v>
      </c>
      <c r="G51" s="601" t="s">
        <v>48</v>
      </c>
      <c r="H51" s="590" t="s">
        <v>49</v>
      </c>
      <c r="I51" s="590" t="s">
        <v>50</v>
      </c>
      <c r="J51" s="595" t="s">
        <v>28</v>
      </c>
      <c r="K51" s="545" t="s">
        <v>51</v>
      </c>
      <c r="L51" s="557" t="s">
        <v>52</v>
      </c>
      <c r="M51" s="595" t="s">
        <v>53</v>
      </c>
      <c r="N51" s="13"/>
      <c r="O51" s="13"/>
      <c r="P51" s="50"/>
    </row>
    <row r="52" spans="2:57" ht="28.5" customHeight="1" thickTop="1" thickBot="1">
      <c r="B52" s="609"/>
      <c r="C52" s="591"/>
      <c r="D52" s="593"/>
      <c r="E52" s="594"/>
      <c r="F52" s="608"/>
      <c r="G52" s="602"/>
      <c r="H52" s="609"/>
      <c r="I52" s="609"/>
      <c r="J52" s="596"/>
      <c r="K52" s="605"/>
      <c r="L52" s="606"/>
      <c r="M52" s="596"/>
      <c r="N52" s="13"/>
      <c r="O52" s="13"/>
      <c r="P52" s="50"/>
      <c r="Q52" s="355"/>
      <c r="AB52" s="474">
        <v>43474</v>
      </c>
      <c r="AC52" s="474">
        <v>43475</v>
      </c>
      <c r="AD52" s="474">
        <v>43476</v>
      </c>
      <c r="AE52" s="474">
        <v>43477</v>
      </c>
      <c r="AF52" s="474">
        <v>43478</v>
      </c>
      <c r="AG52" s="474">
        <v>43479</v>
      </c>
      <c r="AH52" s="474">
        <v>43480</v>
      </c>
      <c r="AI52" s="474">
        <v>43481</v>
      </c>
      <c r="AJ52" s="474">
        <v>43482</v>
      </c>
      <c r="AK52" s="474">
        <v>43483</v>
      </c>
      <c r="AL52" s="474">
        <v>43484</v>
      </c>
      <c r="AM52" s="474">
        <v>43485</v>
      </c>
      <c r="AN52" s="474">
        <v>43486</v>
      </c>
      <c r="AO52" s="474">
        <v>43487</v>
      </c>
      <c r="AP52" s="474">
        <v>43488</v>
      </c>
      <c r="AQ52" s="474">
        <v>43489</v>
      </c>
      <c r="AR52" s="474">
        <v>43490</v>
      </c>
      <c r="AS52" s="474">
        <v>43491</v>
      </c>
      <c r="AT52" s="474">
        <v>43492</v>
      </c>
      <c r="AU52" s="474">
        <v>43493</v>
      </c>
      <c r="AV52" s="474">
        <v>43494</v>
      </c>
      <c r="AW52" s="474">
        <v>43495</v>
      </c>
      <c r="AX52" s="474">
        <v>43496</v>
      </c>
    </row>
    <row r="53" spans="2:57" s="54" customFormat="1" ht="36.75" customHeight="1" thickBot="1">
      <c r="B53" s="455" t="str">
        <f>I24</f>
        <v>CARIB</v>
      </c>
      <c r="C53" s="478">
        <v>46310</v>
      </c>
      <c r="D53" s="444">
        <f>[8]October_2026!$R$3</f>
        <v>402.4</v>
      </c>
      <c r="E53" s="442"/>
      <c r="F53" s="443"/>
      <c r="G53" s="443">
        <f>[8]October_2026!$R$7</f>
        <v>374.8</v>
      </c>
      <c r="H53" s="457"/>
      <c r="I53" s="457"/>
      <c r="J53" s="447" t="s">
        <v>181</v>
      </c>
      <c r="K53" s="448">
        <f>[9]October_2026!$R$18</f>
        <v>0.43836257309941523</v>
      </c>
      <c r="L53" s="456">
        <f>(((D53+E53)-G53)/(D53+E53))*100</f>
        <v>6.858846918489057</v>
      </c>
      <c r="M53" s="454" t="s">
        <v>182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[27]January_2019!L5</f>
        <v>0</v>
      </c>
      <c r="AC53" s="57">
        <f>[27]January_2019!M5</f>
        <v>0</v>
      </c>
      <c r="AD53" s="57">
        <f>[27]January_2019!N5</f>
        <v>0</v>
      </c>
      <c r="AE53" s="57">
        <f>[27]January_2019!O5</f>
        <v>0</v>
      </c>
      <c r="AF53" s="57">
        <f>[27]January_2019!P5</f>
        <v>0</v>
      </c>
      <c r="AG53" s="57">
        <f>[27]January_2019!Q5</f>
        <v>0</v>
      </c>
      <c r="AH53" s="57">
        <f>[27]January_2019!R5</f>
        <v>0</v>
      </c>
      <c r="AI53" s="57">
        <f>[27]January_2019!S5</f>
        <v>0</v>
      </c>
      <c r="AJ53" s="57">
        <f>[27]January_2019!T5</f>
        <v>0</v>
      </c>
      <c r="AK53" s="57">
        <f>[27]January_2019!U5</f>
        <v>0</v>
      </c>
      <c r="AL53" s="57">
        <f>[27]January_2019!V5</f>
        <v>0</v>
      </c>
      <c r="AM53" s="57">
        <f>[27]January_2019!W5</f>
        <v>0</v>
      </c>
      <c r="AN53" s="57">
        <f>[27]January_2019!X5</f>
        <v>0</v>
      </c>
      <c r="AO53" s="57">
        <f>[27]January_2019!Y5</f>
        <v>0</v>
      </c>
      <c r="AP53" s="57">
        <f>[27]January_2019!Z5</f>
        <v>0</v>
      </c>
      <c r="AQ53" s="57">
        <f>[27]January_2019!AA5</f>
        <v>0</v>
      </c>
      <c r="AR53" s="57">
        <f>[27]January_2019!AB5</f>
        <v>0</v>
      </c>
      <c r="AS53" s="57">
        <f>[27]January_2019!AC5</f>
        <v>0</v>
      </c>
      <c r="AT53" s="57">
        <f>[27]January_2019!AD5</f>
        <v>0</v>
      </c>
      <c r="AU53" s="57">
        <f>[27]January_2019!AE5</f>
        <v>0</v>
      </c>
      <c r="AV53" s="57">
        <f>[27]January_2019!AF5</f>
        <v>0</v>
      </c>
      <c r="AW53" s="57">
        <f>[27]January_2019!AG5</f>
        <v>0</v>
      </c>
      <c r="AX53" s="277">
        <f>[27]January_2019!AH5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79"/>
      <c r="C54" s="478"/>
      <c r="D54" s="441"/>
      <c r="E54" s="442"/>
      <c r="F54" s="443"/>
      <c r="G54" s="444"/>
      <c r="H54" s="457"/>
      <c r="I54" s="457"/>
      <c r="J54" s="475"/>
      <c r="K54" s="448"/>
      <c r="L54" s="456"/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[27]January_2019!L6</f>
        <v>0</v>
      </c>
      <c r="AC54" s="57">
        <f>[27]January_2019!M6</f>
        <v>0</v>
      </c>
      <c r="AD54" s="57">
        <f>[27]January_2019!N6</f>
        <v>0</v>
      </c>
      <c r="AE54" s="57">
        <f>[27]January_2019!O6</f>
        <v>0</v>
      </c>
      <c r="AF54" s="57">
        <f>[27]January_2019!P6</f>
        <v>0</v>
      </c>
      <c r="AG54" s="57">
        <f>[27]January_2019!Q6</f>
        <v>0</v>
      </c>
      <c r="AH54" s="57">
        <f>[27]January_2019!R6</f>
        <v>0</v>
      </c>
      <c r="AI54" s="57">
        <f>[27]January_2019!S6</f>
        <v>0</v>
      </c>
      <c r="AJ54" s="57">
        <f>[27]January_2019!T6</f>
        <v>0</v>
      </c>
      <c r="AK54" s="57">
        <f>[27]January_2019!U6</f>
        <v>0</v>
      </c>
      <c r="AL54" s="57">
        <f>[27]January_2019!V6</f>
        <v>0</v>
      </c>
      <c r="AM54" s="57">
        <f>[27]January_2019!W6</f>
        <v>0</v>
      </c>
      <c r="AN54" s="57">
        <f>[27]January_2019!X6</f>
        <v>0</v>
      </c>
      <c r="AO54" s="57">
        <f>[27]January_2019!Y6</f>
        <v>0</v>
      </c>
      <c r="AP54" s="57">
        <f>[27]January_2019!Z6</f>
        <v>0</v>
      </c>
      <c r="AQ54" s="57">
        <f>[27]January_2019!AA6</f>
        <v>0</v>
      </c>
      <c r="AR54" s="57">
        <f>[27]January_2019!AB6</f>
        <v>0</v>
      </c>
      <c r="AS54" s="57">
        <f>[27]January_2019!AC6</f>
        <v>0</v>
      </c>
      <c r="AT54" s="57">
        <f>[27]January_2019!AD6</f>
        <v>0</v>
      </c>
      <c r="AU54" s="57">
        <f>[27]January_2019!AE6</f>
        <v>0</v>
      </c>
      <c r="AV54" s="57">
        <f>[27]January_2019!AF6</f>
        <v>0</v>
      </c>
      <c r="AW54" s="57">
        <f>[27]January_2019!AG6</f>
        <v>0</v>
      </c>
      <c r="AX54" s="277">
        <f>[27]January_2019!AH6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96" t="str">
        <f>B72</f>
        <v>STARMALT</v>
      </c>
      <c r="C55" s="478">
        <v>46310</v>
      </c>
      <c r="D55" s="441">
        <f>[8]October_2026!$R$55</f>
        <v>413.59999999999997</v>
      </c>
      <c r="E55" s="442"/>
      <c r="F55" s="443"/>
      <c r="G55" s="443">
        <f>[8]October_2026!$R$59</f>
        <v>410.1</v>
      </c>
      <c r="H55" s="445"/>
      <c r="I55" s="445"/>
      <c r="J55" s="447" t="s">
        <v>173</v>
      </c>
      <c r="K55" s="448">
        <f>[9]October_2026!$R$53</f>
        <v>0.71947368421052638</v>
      </c>
      <c r="L55" s="497">
        <f>(((D55+E55)-G55)/(D55+E55))*100</f>
        <v>0.84622823984524742</v>
      </c>
      <c r="M55" s="454" t="s">
        <v>171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[27]January_2019!L7</f>
        <v>285.8</v>
      </c>
      <c r="AC55" s="57">
        <f>[27]January_2019!M7</f>
        <v>508.1</v>
      </c>
      <c r="AD55" s="57">
        <f>[27]January_2019!N7</f>
        <v>0</v>
      </c>
      <c r="AE55" s="57">
        <f>[27]January_2019!O7</f>
        <v>0</v>
      </c>
      <c r="AF55" s="57">
        <f>[27]January_2019!P7</f>
        <v>109.56666666666666</v>
      </c>
      <c r="AG55" s="57">
        <f>[27]January_2019!Q7</f>
        <v>297.64999999999998</v>
      </c>
      <c r="AH55" s="57">
        <f>[27]January_2019!R7</f>
        <v>122.3</v>
      </c>
      <c r="AI55" s="57">
        <f>[27]January_2019!S7</f>
        <v>0</v>
      </c>
      <c r="AJ55" s="57">
        <f>[27]January_2019!T7</f>
        <v>294.7</v>
      </c>
      <c r="AK55" s="57">
        <f>[27]January_2019!U7</f>
        <v>280.5</v>
      </c>
      <c r="AL55" s="57">
        <f>[27]January_2019!V7</f>
        <v>0</v>
      </c>
      <c r="AM55" s="57">
        <f>[27]January_2019!W7</f>
        <v>0</v>
      </c>
      <c r="AN55" s="57">
        <f>[27]January_2019!X7</f>
        <v>188.25</v>
      </c>
      <c r="AO55" s="57">
        <f>[27]January_2019!Y7</f>
        <v>295.7</v>
      </c>
      <c r="AP55" s="57">
        <f>[27]January_2019!Z7</f>
        <v>257.8</v>
      </c>
      <c r="AQ55" s="57">
        <f>[27]January_2019!AA7</f>
        <v>291.2</v>
      </c>
      <c r="AR55" s="57">
        <f>[27]January_2019!AB7</f>
        <v>187</v>
      </c>
      <c r="AS55" s="57">
        <f>[27]January_2019!AC7</f>
        <v>0</v>
      </c>
      <c r="AT55" s="57">
        <f>[27]January_2019!AD7</f>
        <v>0</v>
      </c>
      <c r="AU55" s="57">
        <f>[27]January_2019!AE7</f>
        <v>485.1</v>
      </c>
      <c r="AV55" s="57">
        <f>[27]January_2019!AF7</f>
        <v>171.55</v>
      </c>
      <c r="AW55" s="57">
        <f>[27]January_2019!AG7</f>
        <v>423.8</v>
      </c>
      <c r="AX55" s="277">
        <f>[27]January_2019!AH7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7"/>
      <c r="C56" s="429"/>
      <c r="D56" s="430"/>
      <c r="E56" s="431"/>
      <c r="F56" s="432"/>
      <c r="G56" s="433"/>
      <c r="H56" s="457"/>
      <c r="I56" s="457"/>
      <c r="J56" s="450"/>
      <c r="K56" s="435"/>
      <c r="L56" s="451"/>
      <c r="M56" s="42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6"/>
      <c r="C57" s="478"/>
      <c r="D57" s="441"/>
      <c r="E57" s="442"/>
      <c r="F57" s="443"/>
      <c r="G57" s="444"/>
      <c r="H57" s="457"/>
      <c r="I57" s="457"/>
      <c r="J57" s="447"/>
      <c r="K57" s="45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2"/>
      <c r="C58" s="429"/>
      <c r="D58" s="430"/>
      <c r="E58" s="431"/>
      <c r="F58" s="432"/>
      <c r="G58" s="433"/>
      <c r="H58" s="434"/>
      <c r="I58" s="449"/>
      <c r="J58" s="450"/>
      <c r="K58" s="435"/>
      <c r="L58" s="451"/>
      <c r="M58" s="42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0"/>
      <c r="C59" s="478"/>
      <c r="D59" s="441"/>
      <c r="E59" s="442"/>
      <c r="F59" s="443"/>
      <c r="G59" s="444"/>
      <c r="H59" s="445"/>
      <c r="I59" s="446"/>
      <c r="J59" s="447"/>
      <c r="K59" s="448"/>
      <c r="L59" s="456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6"/>
      <c r="C60" s="422"/>
      <c r="D60" s="423"/>
      <c r="E60" s="424"/>
      <c r="F60" s="425"/>
      <c r="G60" s="426"/>
      <c r="H60" s="427"/>
      <c r="I60" s="437"/>
      <c r="J60" s="438"/>
      <c r="K60" s="428"/>
      <c r="L60" s="439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4"/>
      <c r="AC60" s="414"/>
      <c r="AD60" s="414"/>
      <c r="AE60" s="414"/>
      <c r="AF60" s="414"/>
      <c r="AG60" s="414"/>
      <c r="AH60" s="414"/>
      <c r="AI60" s="414"/>
      <c r="AJ60" s="414"/>
      <c r="AK60" s="414"/>
      <c r="AL60" s="414"/>
      <c r="AM60" s="414"/>
      <c r="AN60" s="414"/>
      <c r="AO60" s="414"/>
      <c r="AP60" s="414"/>
      <c r="AQ60" s="414"/>
      <c r="AR60" s="414"/>
      <c r="AS60" s="414"/>
      <c r="AT60" s="414"/>
      <c r="AU60" s="414"/>
      <c r="AV60" s="414"/>
      <c r="AW60" s="414"/>
    </row>
    <row r="61" spans="2:57" s="54" customFormat="1" ht="37.15" hidden="1" customHeight="1" thickBot="1">
      <c r="B61" s="455"/>
      <c r="C61" s="440"/>
      <c r="D61" s="441"/>
      <c r="E61" s="442"/>
      <c r="F61" s="443"/>
      <c r="G61" s="444"/>
      <c r="H61" s="445"/>
      <c r="I61" s="446"/>
      <c r="J61" s="447"/>
      <c r="K61" s="448"/>
      <c r="L61" s="456"/>
      <c r="M61" s="453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5"/>
      <c r="C62" s="429"/>
      <c r="D62" s="459"/>
      <c r="E62" s="460"/>
      <c r="F62" s="461"/>
      <c r="G62" s="459"/>
      <c r="H62" s="462"/>
      <c r="I62" s="462"/>
      <c r="J62" s="462"/>
      <c r="K62" s="463"/>
      <c r="L62" s="464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97" t="s">
        <v>55</v>
      </c>
      <c r="C64" s="598"/>
      <c r="D64" s="598"/>
      <c r="E64" s="598"/>
      <c r="F64" s="599"/>
      <c r="G64" s="597" t="s">
        <v>56</v>
      </c>
      <c r="H64" s="598"/>
      <c r="I64" s="598"/>
      <c r="J64" s="599"/>
      <c r="K64" s="597" t="s">
        <v>51</v>
      </c>
      <c r="L64" s="598"/>
      <c r="M64" s="598"/>
      <c r="N64" s="600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6.858846918489057</v>
      </c>
      <c r="D66" s="76">
        <v>5.1392275118696222</v>
      </c>
      <c r="E66" s="76">
        <v>6.3254052153133342</v>
      </c>
      <c r="F66" s="66">
        <v>4.8</v>
      </c>
      <c r="G66" s="65">
        <f>[8]October_2026!$R$11</f>
        <v>10.000958106780985</v>
      </c>
      <c r="H66" s="476">
        <v>6.3592167646860949</v>
      </c>
      <c r="I66" s="476">
        <v>6.5119919624520195</v>
      </c>
      <c r="J66" s="66">
        <v>4.8</v>
      </c>
      <c r="K66" s="67">
        <f>K53</f>
        <v>0.43836257309941523</v>
      </c>
      <c r="L66" s="194">
        <v>0.84962573099415206</v>
      </c>
      <c r="M66" s="194">
        <v>0.56616961200619287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5.062325108114992</v>
      </c>
      <c r="E67" s="76">
        <v>6.0120934601385283</v>
      </c>
      <c r="F67" s="66">
        <v>4.8</v>
      </c>
      <c r="G67" s="65"/>
      <c r="H67" s="76">
        <v>5.6760230336831157</v>
      </c>
      <c r="I67" s="76">
        <v>5.9217471497494181</v>
      </c>
      <c r="J67" s="66">
        <v>4.8</v>
      </c>
      <c r="K67" s="67"/>
      <c r="L67" s="194">
        <v>0.65473684210526317</v>
      </c>
      <c r="M67" s="194">
        <v>0.68123957181115813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10.890214570112384</v>
      </c>
      <c r="F68" s="66">
        <v>5.5</v>
      </c>
      <c r="G68" s="65"/>
      <c r="H68" s="76"/>
      <c r="I68" s="76">
        <v>11.797659278069149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>
        <v>2.6160971335586405</v>
      </c>
      <c r="E69" s="76">
        <v>4.6053599467161712</v>
      </c>
      <c r="F69" s="66">
        <v>3.3</v>
      </c>
      <c r="G69" s="65"/>
      <c r="H69" s="76">
        <v>4.0562064167659644</v>
      </c>
      <c r="I69" s="76">
        <v>4.7835858167498584</v>
      </c>
      <c r="J69" s="66">
        <v>3.3</v>
      </c>
      <c r="K69" s="67"/>
      <c r="L69" s="194">
        <v>1.3649122807017544</v>
      </c>
      <c r="M69" s="194">
        <v>0.83244019138755987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6.3233965672990236</v>
      </c>
      <c r="F71" s="70">
        <v>5.5</v>
      </c>
      <c r="G71" s="65"/>
      <c r="H71" s="76"/>
      <c r="I71" s="76">
        <v>7.9667553186446929</v>
      </c>
      <c r="J71" s="66">
        <v>5.5</v>
      </c>
      <c r="K71" s="67"/>
      <c r="L71" s="194"/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1">
        <f>L55</f>
        <v>0.84622823984524742</v>
      </c>
      <c r="D72" s="76">
        <v>0.84622823984524742</v>
      </c>
      <c r="E72" s="76">
        <v>3.7586797925639486</v>
      </c>
      <c r="F72" s="66">
        <v>3.3</v>
      </c>
      <c r="G72" s="282">
        <f>[8]October_2026!$R$63</f>
        <v>4.0067212349015007</v>
      </c>
      <c r="H72" s="76">
        <v>4.0067212349015007</v>
      </c>
      <c r="I72" s="76">
        <v>5.0257518320273871</v>
      </c>
      <c r="J72" s="66">
        <v>3.3</v>
      </c>
      <c r="K72" s="67">
        <f>K55</f>
        <v>0.71947368421052638</v>
      </c>
      <c r="L72" s="194">
        <v>0.71947368421052638</v>
      </c>
      <c r="M72" s="194">
        <v>0.87835004177109433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3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4.4884175465784679</v>
      </c>
      <c r="E75" s="76">
        <v>6.2445290482673048</v>
      </c>
      <c r="F75" s="341">
        <v>5.5</v>
      </c>
      <c r="H75" s="76">
        <v>5.713113691210312</v>
      </c>
      <c r="I75" s="76">
        <v>6.5941177554311183</v>
      </c>
      <c r="J75" s="341">
        <v>5.5</v>
      </c>
      <c r="L75" s="194">
        <v>0.84929406850459488</v>
      </c>
      <c r="M75" s="194">
        <v>0.61301750438848246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574" priority="106" operator="notBetween">
      <formula>#REF!</formula>
      <formula>#REF!</formula>
    </cfRule>
  </conditionalFormatting>
  <conditionalFormatting sqref="C50">
    <cfRule type="cellIs" dxfId="573" priority="189" stopIfTrue="1" operator="greaterThan">
      <formula>100</formula>
    </cfRule>
    <cfRule type="cellIs" dxfId="572" priority="188" stopIfTrue="1" operator="lessThan">
      <formula>96</formula>
    </cfRule>
  </conditionalFormatting>
  <conditionalFormatting sqref="C66:C67">
    <cfRule type="cellIs" dxfId="571" priority="72" stopIfTrue="1" operator="lessThanOrEqual">
      <formula>0</formula>
    </cfRule>
    <cfRule type="cellIs" dxfId="570" priority="71" stopIfTrue="1" operator="greaterThan">
      <formula>$F66</formula>
    </cfRule>
    <cfRule type="cellIs" dxfId="569" priority="70" stopIfTrue="1" operator="lessThanOrEqual">
      <formula>0</formula>
    </cfRule>
    <cfRule type="cellIs" dxfId="568" priority="69" stopIfTrue="1" operator="greaterThan">
      <formula>$F66</formula>
    </cfRule>
  </conditionalFormatting>
  <conditionalFormatting sqref="C68:C70 C72:C74">
    <cfRule type="cellIs" dxfId="567" priority="78" stopIfTrue="1" operator="greaterThan">
      <formula>$F71</formula>
    </cfRule>
  </conditionalFormatting>
  <conditionalFormatting sqref="C68:C70">
    <cfRule type="cellIs" dxfId="566" priority="79" stopIfTrue="1" operator="lessThanOrEqual">
      <formula>0</formula>
    </cfRule>
  </conditionalFormatting>
  <conditionalFormatting sqref="C71">
    <cfRule type="cellIs" dxfId="565" priority="193" stopIfTrue="1" operator="lessThanOrEqual">
      <formula>0</formula>
    </cfRule>
    <cfRule type="cellIs" dxfId="564" priority="192" stopIfTrue="1" operator="greaterThan">
      <formula>$F66</formula>
    </cfRule>
    <cfRule type="cellIs" dxfId="563" priority="191" stopIfTrue="1" operator="lessThanOrEqual">
      <formula>0</formula>
    </cfRule>
    <cfRule type="cellIs" dxfId="562" priority="190" stopIfTrue="1" operator="greaterThan">
      <formula>$F66</formula>
    </cfRule>
  </conditionalFormatting>
  <conditionalFormatting sqref="C72:C74">
    <cfRule type="cellIs" dxfId="561" priority="80" stopIfTrue="1" operator="lessThanOrEqual">
      <formula>0</formula>
    </cfRule>
  </conditionalFormatting>
  <conditionalFormatting sqref="C77:C81">
    <cfRule type="cellIs" dxfId="560" priority="180" stopIfTrue="1" operator="lessThanOrEqual">
      <formula>0</formula>
    </cfRule>
  </conditionalFormatting>
  <conditionalFormatting sqref="C78:C81">
    <cfRule type="cellIs" dxfId="559" priority="179" stopIfTrue="1" operator="greaterThan">
      <formula>$F$77</formula>
    </cfRule>
  </conditionalFormatting>
  <conditionalFormatting sqref="C83">
    <cfRule type="cellIs" dxfId="558" priority="181" stopIfTrue="1" operator="greaterThan">
      <formula>$F$77</formula>
    </cfRule>
    <cfRule type="cellIs" dxfId="557" priority="182" stopIfTrue="1" operator="lessThanOrEqual">
      <formula>0</formula>
    </cfRule>
  </conditionalFormatting>
  <conditionalFormatting sqref="C71:D71">
    <cfRule type="cellIs" dxfId="556" priority="67" stopIfTrue="1" operator="greaterThan">
      <formula>$J71</formula>
    </cfRule>
    <cfRule type="cellIs" dxfId="555" priority="68" stopIfTrue="1" operator="lessThanOrEqual">
      <formula>0</formula>
    </cfRule>
  </conditionalFormatting>
  <conditionalFormatting sqref="C77:D77 D79:D85">
    <cfRule type="cellIs" dxfId="554" priority="174" stopIfTrue="1" operator="greaterThan">
      <formula>4.5</formula>
    </cfRule>
  </conditionalFormatting>
  <conditionalFormatting sqref="D46:D47">
    <cfRule type="cellIs" dxfId="553" priority="107" operator="notBetween">
      <formula>#REF!</formula>
      <formula>#REF!</formula>
    </cfRule>
  </conditionalFormatting>
  <conditionalFormatting sqref="D66:D70 D72:D73">
    <cfRule type="cellIs" dxfId="552" priority="77" stopIfTrue="1" operator="lessThanOrEqual">
      <formula>0</formula>
    </cfRule>
  </conditionalFormatting>
  <conditionalFormatting sqref="D66:D70 D72:D75">
    <cfRule type="cellIs" dxfId="551" priority="73" stopIfTrue="1" operator="lessThanOrEqual">
      <formula>0</formula>
    </cfRule>
    <cfRule type="cellIs" dxfId="550" priority="74" stopIfTrue="1" operator="greaterThan">
      <formula>$F66</formula>
    </cfRule>
  </conditionalFormatting>
  <conditionalFormatting sqref="D74:D75">
    <cfRule type="cellIs" dxfId="549" priority="75" stopIfTrue="1" operator="lessThanOrEqual">
      <formula>0</formula>
    </cfRule>
  </conditionalFormatting>
  <conditionalFormatting sqref="D75">
    <cfRule type="cellIs" dxfId="548" priority="76" stopIfTrue="1" operator="lessThanOrEqual">
      <formula>0</formula>
    </cfRule>
  </conditionalFormatting>
  <conditionalFormatting sqref="D77 D79:D85">
    <cfRule type="cellIs" dxfId="547" priority="175" stopIfTrue="1" operator="lessThanOrEqual">
      <formula>0</formula>
    </cfRule>
  </conditionalFormatting>
  <conditionalFormatting sqref="D78">
    <cfRule type="cellIs" dxfId="546" priority="167" stopIfTrue="1" operator="lessThanOrEqual">
      <formula>0</formula>
    </cfRule>
    <cfRule type="cellIs" dxfId="545" priority="166" stopIfTrue="1" operator="greaterThan">
      <formula>$F$77</formula>
    </cfRule>
  </conditionalFormatting>
  <conditionalFormatting sqref="E10:E21">
    <cfRule type="cellIs" dxfId="544" priority="10" operator="lessThan">
      <formula>48</formula>
    </cfRule>
  </conditionalFormatting>
  <conditionalFormatting sqref="E49 E50:F50">
    <cfRule type="cellIs" dxfId="543" priority="171" stopIfTrue="1" operator="greaterThan">
      <formula>100</formula>
    </cfRule>
  </conditionalFormatting>
  <conditionalFormatting sqref="E50">
    <cfRule type="cellIs" dxfId="542" priority="169" stopIfTrue="1" operator="greaterThan">
      <formula>100</formula>
    </cfRule>
    <cfRule type="cellIs" dxfId="541" priority="168" stopIfTrue="1" operator="lessThan">
      <formula>96.8</formula>
    </cfRule>
  </conditionalFormatting>
  <conditionalFormatting sqref="E66:E74">
    <cfRule type="cellIs" dxfId="540" priority="40" stopIfTrue="1" operator="lessThanOrEqual">
      <formula>0</formula>
    </cfRule>
  </conditionalFormatting>
  <conditionalFormatting sqref="E66:E75">
    <cfRule type="cellIs" dxfId="539" priority="42" stopIfTrue="1" operator="lessThanOrEqual">
      <formula>0</formula>
    </cfRule>
    <cfRule type="cellIs" dxfId="538" priority="41" stopIfTrue="1" operator="greaterThan">
      <formula>$F66</formula>
    </cfRule>
  </conditionalFormatting>
  <conditionalFormatting sqref="E75">
    <cfRule type="cellIs" dxfId="537" priority="43" stopIfTrue="1" operator="lessThanOrEqual">
      <formula>0</formula>
    </cfRule>
  </conditionalFormatting>
  <conditionalFormatting sqref="E77:E85">
    <cfRule type="cellIs" dxfId="536" priority="160" stopIfTrue="1" operator="greaterThan">
      <formula>4.5</formula>
    </cfRule>
    <cfRule type="cellIs" dxfId="535" priority="161" stopIfTrue="1" operator="lessThanOrEqual">
      <formula>0</formula>
    </cfRule>
  </conditionalFormatting>
  <conditionalFormatting sqref="E50:F50 E49">
    <cfRule type="cellIs" dxfId="534" priority="170" stopIfTrue="1" operator="lessThan">
      <formula>96.5</formula>
    </cfRule>
  </conditionalFormatting>
  <conditionalFormatting sqref="F10:F21">
    <cfRule type="cellIs" dxfId="533" priority="1" operator="greaterThan">
      <formula>60</formula>
    </cfRule>
  </conditionalFormatting>
  <conditionalFormatting sqref="F50">
    <cfRule type="cellIs" dxfId="532" priority="186" stopIfTrue="1" operator="lessThan">
      <formula>96.8</formula>
    </cfRule>
    <cfRule type="cellIs" dxfId="531" priority="187" stopIfTrue="1" operator="greaterThan">
      <formula>100</formula>
    </cfRule>
  </conditionalFormatting>
  <conditionalFormatting sqref="G21">
    <cfRule type="expression" dxfId="530" priority="15">
      <formula>IF(+(IF(G21&lt;S21,0,IF(G21&gt;T21,0,1)))=0,1)</formula>
    </cfRule>
  </conditionalFormatting>
  <conditionalFormatting sqref="G66:G69 F75">
    <cfRule type="cellIs" dxfId="529" priority="50" stopIfTrue="1" operator="lessThanOrEqual">
      <formula>0</formula>
    </cfRule>
    <cfRule type="cellIs" dxfId="528" priority="49" stopIfTrue="1" operator="greaterThan">
      <formula>$F66</formula>
    </cfRule>
  </conditionalFormatting>
  <conditionalFormatting sqref="G68:G69">
    <cfRule type="cellIs" dxfId="527" priority="36" stopIfTrue="1" operator="lessThanOrEqual">
      <formula>0</formula>
    </cfRule>
    <cfRule type="cellIs" dxfId="526" priority="35" stopIfTrue="1" operator="greaterThan">
      <formula>$F68</formula>
    </cfRule>
  </conditionalFormatting>
  <conditionalFormatting sqref="G70:G74">
    <cfRule type="cellIs" dxfId="525" priority="51" stopIfTrue="1" operator="greaterThan">
      <formula>$J70</formula>
    </cfRule>
    <cfRule type="cellIs" dxfId="524" priority="52" stopIfTrue="1" operator="lessThanOrEqual">
      <formula>0</formula>
    </cfRule>
  </conditionalFormatting>
  <conditionalFormatting sqref="G71">
    <cfRule type="cellIs" dxfId="523" priority="195" stopIfTrue="1" operator="lessThanOrEqual">
      <formula>0</formula>
    </cfRule>
    <cfRule type="cellIs" dxfId="522" priority="194" stopIfTrue="1" operator="greaterThan">
      <formula>$F66</formula>
    </cfRule>
  </conditionalFormatting>
  <conditionalFormatting sqref="G79:G84 C82 C84">
    <cfRule type="cellIs" dxfId="521" priority="183" stopIfTrue="1" operator="greaterThan">
      <formula>4.5</formula>
    </cfRule>
    <cfRule type="cellIs" dxfId="520" priority="184" stopIfTrue="1" operator="lessThanOrEqual">
      <formula>0</formula>
    </cfRule>
  </conditionalFormatting>
  <conditionalFormatting sqref="G78:H78">
    <cfRule type="cellIs" dxfId="519" priority="165" stopIfTrue="1" operator="lessThanOrEqual">
      <formula>0</formula>
    </cfRule>
    <cfRule type="cellIs" dxfId="518" priority="164" stopIfTrue="1" operator="greaterThan">
      <formula>$F$77</formula>
    </cfRule>
  </conditionalFormatting>
  <conditionalFormatting sqref="H35:H36 H49">
    <cfRule type="cellIs" dxfId="517" priority="162" stopIfTrue="1" operator="greaterThan">
      <formula>0</formula>
    </cfRule>
  </conditionalFormatting>
  <conditionalFormatting sqref="H53">
    <cfRule type="cellIs" dxfId="516" priority="63" stopIfTrue="1" operator="greaterThan">
      <formula>$F$69</formula>
    </cfRule>
    <cfRule type="cellIs" dxfId="515" priority="64" stopIfTrue="1" operator="lessThanOrEqual">
      <formula>0</formula>
    </cfRule>
    <cfRule type="cellIs" dxfId="514" priority="65" stopIfTrue="1" operator="greaterThan">
      <formula>$F$67</formula>
    </cfRule>
    <cfRule type="cellIs" dxfId="513" priority="54" stopIfTrue="1" operator="lessThanOrEqual">
      <formula>0</formula>
    </cfRule>
    <cfRule type="cellIs" dxfId="512" priority="55" stopIfTrue="1" operator="greaterThan">
      <formula>$F$66</formula>
    </cfRule>
  </conditionalFormatting>
  <conditionalFormatting sqref="H53:H54">
    <cfRule type="cellIs" dxfId="511" priority="66" stopIfTrue="1" operator="lessThanOrEqual">
      <formula>0</formula>
    </cfRule>
  </conditionalFormatting>
  <conditionalFormatting sqref="H54 H56:H57">
    <cfRule type="cellIs" dxfId="510" priority="92" stopIfTrue="1" operator="lessThanOrEqual">
      <formula>0</formula>
    </cfRule>
  </conditionalFormatting>
  <conditionalFormatting sqref="H54">
    <cfRule type="cellIs" dxfId="509" priority="81" stopIfTrue="1" operator="greaterThan">
      <formula>$F$66</formula>
    </cfRule>
    <cfRule type="cellIs" dxfId="508" priority="89" stopIfTrue="1" operator="greaterThan">
      <formula>$F$69</formula>
    </cfRule>
    <cfRule type="cellIs" dxfId="507" priority="90" stopIfTrue="1" operator="lessThanOrEqual">
      <formula>0</formula>
    </cfRule>
    <cfRule type="cellIs" dxfId="506" priority="91" stopIfTrue="1" operator="greaterThan">
      <formula>$F$67</formula>
    </cfRule>
  </conditionalFormatting>
  <conditionalFormatting sqref="H55">
    <cfRule type="cellIs" dxfId="505" priority="22" stopIfTrue="1" operator="greaterThan">
      <formula>$F$68</formula>
    </cfRule>
    <cfRule type="cellIs" dxfId="504" priority="21" stopIfTrue="1" operator="lessThanOrEqual">
      <formula>0</formula>
    </cfRule>
    <cfRule type="cellIs" dxfId="503" priority="33" stopIfTrue="1" operator="lessThanOrEqual">
      <formula>0</formula>
    </cfRule>
    <cfRule type="cellIs" dxfId="502" priority="32" stopIfTrue="1" operator="greaterThan">
      <formula>$F$69</formula>
    </cfRule>
    <cfRule type="cellIs" dxfId="501" priority="31" stopIfTrue="1" operator="lessThanOrEqual">
      <formula>0</formula>
    </cfRule>
    <cfRule type="cellIs" dxfId="500" priority="30" stopIfTrue="1" operator="greaterThan">
      <formula>$F$71</formula>
    </cfRule>
  </conditionalFormatting>
  <conditionalFormatting sqref="H56:H57">
    <cfRule type="cellIs" dxfId="499" priority="94" stopIfTrue="1" operator="greaterThan">
      <formula>$F$66</formula>
    </cfRule>
    <cfRule type="cellIs" dxfId="498" priority="103" stopIfTrue="1" operator="lessThanOrEqual">
      <formula>0</formula>
    </cfRule>
    <cfRule type="cellIs" dxfId="497" priority="105" stopIfTrue="1" operator="lessThanOrEqual">
      <formula>0</formula>
    </cfRule>
    <cfRule type="cellIs" dxfId="496" priority="104" stopIfTrue="1" operator="greaterThan">
      <formula>$F$67</formula>
    </cfRule>
    <cfRule type="cellIs" dxfId="495" priority="102" stopIfTrue="1" operator="greaterThan">
      <formula>$F$69</formula>
    </cfRule>
  </conditionalFormatting>
  <conditionalFormatting sqref="H58:H59">
    <cfRule type="cellIs" dxfId="494" priority="138" stopIfTrue="1" operator="greaterThan">
      <formula>#REF!</formula>
    </cfRule>
    <cfRule type="cellIs" dxfId="493" priority="139" stopIfTrue="1" operator="lessThanOrEqual">
      <formula>0</formula>
    </cfRule>
    <cfRule type="cellIs" dxfId="492" priority="129" stopIfTrue="1" operator="lessThanOrEqual">
      <formula>0</formula>
    </cfRule>
    <cfRule type="cellIs" dxfId="491" priority="130" stopIfTrue="1" operator="greaterThan">
      <formula>#REF!</formula>
    </cfRule>
  </conditionalFormatting>
  <conditionalFormatting sqref="H60">
    <cfRule type="cellIs" dxfId="490" priority="153" stopIfTrue="1" operator="lessThanOrEqual">
      <formula>0</formula>
    </cfRule>
    <cfRule type="cellIs" dxfId="489" priority="151" stopIfTrue="1" operator="lessThanOrEqual">
      <formula>0</formula>
    </cfRule>
    <cfRule type="cellIs" dxfId="488" priority="141" stopIfTrue="1" operator="lessThanOrEqual">
      <formula>0</formula>
    </cfRule>
    <cfRule type="cellIs" dxfId="487" priority="142" stopIfTrue="1" operator="greaterThan">
      <formula>$F$34</formula>
    </cfRule>
    <cfRule type="cellIs" dxfId="486" priority="150" stopIfTrue="1" operator="greaterThan">
      <formula>$F$37</formula>
    </cfRule>
    <cfRule type="cellIs" dxfId="485" priority="152" stopIfTrue="1" operator="greaterThan">
      <formula>$F$35</formula>
    </cfRule>
  </conditionalFormatting>
  <conditionalFormatting sqref="H61:H62">
    <cfRule type="cellIs" dxfId="484" priority="126" stopIfTrue="1" operator="greaterThan">
      <formula>#REF!</formula>
    </cfRule>
    <cfRule type="cellIs" dxfId="483" priority="127" stopIfTrue="1" operator="lessThanOrEqual">
      <formula>0</formula>
    </cfRule>
    <cfRule type="cellIs" dxfId="482" priority="117" stopIfTrue="1" operator="lessThanOrEqual">
      <formula>0</formula>
    </cfRule>
    <cfRule type="cellIs" dxfId="481" priority="118" stopIfTrue="1" operator="greaterThan">
      <formula>#REF!</formula>
    </cfRule>
  </conditionalFormatting>
  <conditionalFormatting sqref="H77 H79:H85">
    <cfRule type="cellIs" dxfId="480" priority="177" stopIfTrue="1" operator="lessThanOrEqual">
      <formula>0</formula>
    </cfRule>
    <cfRule type="cellIs" dxfId="479" priority="176" stopIfTrue="1" operator="greaterThan">
      <formula>4.5</formula>
    </cfRule>
  </conditionalFormatting>
  <conditionalFormatting sqref="H53:I53">
    <cfRule type="cellIs" dxfId="478" priority="56" stopIfTrue="1" operator="lessThanOrEqual">
      <formula>0</formula>
    </cfRule>
  </conditionalFormatting>
  <conditionalFormatting sqref="H53:I54 H56:I57">
    <cfRule type="cellIs" dxfId="477" priority="53" stopIfTrue="1" operator="greaterThan">
      <formula>$F$68</formula>
    </cfRule>
  </conditionalFormatting>
  <conditionalFormatting sqref="H54:I54">
    <cfRule type="cellIs" dxfId="476" priority="82" stopIfTrue="1" operator="lessThanOrEqual">
      <formula>0</formula>
    </cfRule>
  </conditionalFormatting>
  <conditionalFormatting sqref="H55:I55">
    <cfRule type="cellIs" dxfId="475" priority="23" stopIfTrue="1" operator="lessThanOrEqual">
      <formula>0</formula>
    </cfRule>
    <cfRule type="cellIs" dxfId="474" priority="20" stopIfTrue="1" operator="greaterThan">
      <formula>$F$70</formula>
    </cfRule>
  </conditionalFormatting>
  <conditionalFormatting sqref="H56:I57">
    <cfRule type="cellIs" dxfId="473" priority="95" stopIfTrue="1" operator="lessThanOrEqual">
      <formula>0</formula>
    </cfRule>
  </conditionalFormatting>
  <conditionalFormatting sqref="H58:I59">
    <cfRule type="cellIs" dxfId="472" priority="131" stopIfTrue="1" operator="lessThanOrEqual">
      <formula>0</formula>
    </cfRule>
    <cfRule type="cellIs" dxfId="471" priority="136" stopIfTrue="1" operator="greaterThan">
      <formula>#REF!</formula>
    </cfRule>
    <cfRule type="cellIs" dxfId="470" priority="137" stopIfTrue="1" operator="lessThanOrEqual">
      <formula>0</formula>
    </cfRule>
    <cfRule type="cellIs" dxfId="469" priority="128" stopIfTrue="1" operator="greaterThan">
      <formula>#REF!</formula>
    </cfRule>
  </conditionalFormatting>
  <conditionalFormatting sqref="H60:I60">
    <cfRule type="cellIs" dxfId="468" priority="140" stopIfTrue="1" operator="greaterThan">
      <formula>$F$36</formula>
    </cfRule>
    <cfRule type="cellIs" dxfId="467" priority="143" stopIfTrue="1" operator="lessThanOrEqual">
      <formula>0</formula>
    </cfRule>
  </conditionalFormatting>
  <conditionalFormatting sqref="H61:I62">
    <cfRule type="cellIs" dxfId="466" priority="116" stopIfTrue="1" operator="greaterThan">
      <formula>#REF!</formula>
    </cfRule>
    <cfRule type="cellIs" dxfId="465" priority="119" stopIfTrue="1" operator="lessThanOrEqual">
      <formula>0</formula>
    </cfRule>
    <cfRule type="cellIs" dxfId="464" priority="124" stopIfTrue="1" operator="greaterThan">
      <formula>#REF!</formula>
    </cfRule>
    <cfRule type="cellIs" dxfId="463" priority="125" stopIfTrue="1" operator="lessThanOrEqual">
      <formula>0</formula>
    </cfRule>
  </conditionalFormatting>
  <conditionalFormatting sqref="H66:I73">
    <cfRule type="cellIs" dxfId="462" priority="39" stopIfTrue="1" operator="lessThanOrEqual">
      <formula>0</formula>
    </cfRule>
    <cfRule type="cellIs" dxfId="461" priority="38" stopIfTrue="1" operator="greaterThan">
      <formula>$J66</formula>
    </cfRule>
  </conditionalFormatting>
  <conditionalFormatting sqref="H74:I74">
    <cfRule type="cellIs" dxfId="460" priority="46" operator="greaterThan">
      <formula>5.3</formula>
    </cfRule>
  </conditionalFormatting>
  <conditionalFormatting sqref="H75:I75">
    <cfRule type="cellIs" dxfId="459" priority="44" stopIfTrue="1" operator="greaterThan">
      <formula>$J75</formula>
    </cfRule>
    <cfRule type="cellIs" dxfId="458" priority="45" stopIfTrue="1" operator="lessThanOrEqual">
      <formula>0</formula>
    </cfRule>
  </conditionalFormatting>
  <conditionalFormatting sqref="I53">
    <cfRule type="cellIs" dxfId="457" priority="61" stopIfTrue="1" operator="greaterThan">
      <formula>$F$66</formula>
    </cfRule>
    <cfRule type="cellIs" dxfId="456" priority="62" stopIfTrue="1" operator="lessThanOrEqual">
      <formula>0</formula>
    </cfRule>
    <cfRule type="cellIs" dxfId="455" priority="58" stopIfTrue="1" operator="lessThanOrEqual">
      <formula>0</formula>
    </cfRule>
    <cfRule type="cellIs" dxfId="454" priority="59" stopIfTrue="1" operator="greaterThan">
      <formula>$F$68</formula>
    </cfRule>
    <cfRule type="cellIs" dxfId="453" priority="57" stopIfTrue="1" operator="greaterThan">
      <formula>$F$66</formula>
    </cfRule>
    <cfRule type="cellIs" dxfId="452" priority="60" stopIfTrue="1" operator="lessThanOrEqual">
      <formula>0</formula>
    </cfRule>
  </conditionalFormatting>
  <conditionalFormatting sqref="I54">
    <cfRule type="cellIs" dxfId="451" priority="83" stopIfTrue="1" operator="greaterThan">
      <formula>$F$66</formula>
    </cfRule>
    <cfRule type="cellIs" dxfId="450" priority="84" stopIfTrue="1" operator="lessThanOrEqual">
      <formula>0</formula>
    </cfRule>
    <cfRule type="cellIs" dxfId="449" priority="86" stopIfTrue="1" operator="lessThanOrEqual">
      <formula>0</formula>
    </cfRule>
    <cfRule type="cellIs" dxfId="448" priority="87" stopIfTrue="1" operator="greaterThan">
      <formula>$F$66</formula>
    </cfRule>
    <cfRule type="cellIs" dxfId="447" priority="88" stopIfTrue="1" operator="lessThanOrEqual">
      <formula>0</formula>
    </cfRule>
    <cfRule type="cellIs" dxfId="446" priority="85" stopIfTrue="1" operator="greaterThan">
      <formula>$F$68</formula>
    </cfRule>
  </conditionalFormatting>
  <conditionalFormatting sqref="I55">
    <cfRule type="cellIs" dxfId="445" priority="28" stopIfTrue="1" operator="greaterThan">
      <formula>$F$68</formula>
    </cfRule>
    <cfRule type="cellIs" dxfId="444" priority="24" stopIfTrue="1" operator="greaterThan">
      <formula>$F$68</formula>
    </cfRule>
    <cfRule type="cellIs" dxfId="443" priority="26" stopIfTrue="1" operator="greaterThan">
      <formula>$F$70</formula>
    </cfRule>
    <cfRule type="cellIs" dxfId="442" priority="25" stopIfTrue="1" operator="lessThanOrEqual">
      <formula>0</formula>
    </cfRule>
    <cfRule type="cellIs" dxfId="441" priority="29" stopIfTrue="1" operator="lessThanOrEqual">
      <formula>0</formula>
    </cfRule>
    <cfRule type="cellIs" dxfId="440" priority="27" stopIfTrue="1" operator="lessThanOrEqual">
      <formula>0</formula>
    </cfRule>
  </conditionalFormatting>
  <conditionalFormatting sqref="I56:I57">
    <cfRule type="cellIs" dxfId="439" priority="98" stopIfTrue="1" operator="greaterThan">
      <formula>$F$68</formula>
    </cfRule>
    <cfRule type="cellIs" dxfId="438" priority="99" stopIfTrue="1" operator="lessThanOrEqual">
      <formula>0</formula>
    </cfRule>
    <cfRule type="cellIs" dxfId="437" priority="100" stopIfTrue="1" operator="greaterThan">
      <formula>$F$66</formula>
    </cfRule>
    <cfRule type="cellIs" dxfId="436" priority="101" stopIfTrue="1" operator="lessThanOrEqual">
      <formula>0</formula>
    </cfRule>
    <cfRule type="cellIs" dxfId="435" priority="96" stopIfTrue="1" operator="greaterThan">
      <formula>$F$66</formula>
    </cfRule>
    <cfRule type="cellIs" dxfId="434" priority="97" stopIfTrue="1" operator="lessThanOrEqual">
      <formula>0</formula>
    </cfRule>
  </conditionalFormatting>
  <conditionalFormatting sqref="I58:I59">
    <cfRule type="cellIs" dxfId="433" priority="135" stopIfTrue="1" operator="lessThanOrEqual">
      <formula>0</formula>
    </cfRule>
    <cfRule type="cellIs" dxfId="432" priority="134" stopIfTrue="1" operator="greaterThan">
      <formula>#REF!</formula>
    </cfRule>
    <cfRule type="cellIs" dxfId="431" priority="133" stopIfTrue="1" operator="lessThanOrEqual">
      <formula>0</formula>
    </cfRule>
    <cfRule type="cellIs" dxfId="430" priority="132" stopIfTrue="1" operator="greaterThan">
      <formula>#REF!</formula>
    </cfRule>
  </conditionalFormatting>
  <conditionalFormatting sqref="I60">
    <cfRule type="cellIs" dxfId="429" priority="146" stopIfTrue="1" operator="greaterThan">
      <formula>$F$36</formula>
    </cfRule>
    <cfRule type="cellIs" dxfId="428" priority="147" stopIfTrue="1" operator="lessThanOrEqual">
      <formula>0</formula>
    </cfRule>
    <cfRule type="cellIs" dxfId="427" priority="148" stopIfTrue="1" operator="greaterThan">
      <formula>$F$34</formula>
    </cfRule>
    <cfRule type="cellIs" dxfId="426" priority="149" stopIfTrue="1" operator="lessThanOrEqual">
      <formula>0</formula>
    </cfRule>
    <cfRule type="cellIs" dxfId="425" priority="145" stopIfTrue="1" operator="lessThanOrEqual">
      <formula>0</formula>
    </cfRule>
    <cfRule type="cellIs" dxfId="424" priority="144" stopIfTrue="1" operator="greaterThan">
      <formula>$F$34</formula>
    </cfRule>
  </conditionalFormatting>
  <conditionalFormatting sqref="I61:I62">
    <cfRule type="cellIs" dxfId="423" priority="123" stopIfTrue="1" operator="lessThanOrEqual">
      <formula>0</formula>
    </cfRule>
    <cfRule type="cellIs" dxfId="422" priority="120" stopIfTrue="1" operator="greaterThan">
      <formula>#REF!</formula>
    </cfRule>
    <cfRule type="cellIs" dxfId="421" priority="121" stopIfTrue="1" operator="lessThanOrEqual">
      <formula>0</formula>
    </cfRule>
    <cfRule type="cellIs" dxfId="420" priority="122" stopIfTrue="1" operator="greaterThan">
      <formula>#REF!</formula>
    </cfRule>
  </conditionalFormatting>
  <conditionalFormatting sqref="I77:I85">
    <cfRule type="cellIs" dxfId="419" priority="173" stopIfTrue="1" operator="lessThanOrEqual">
      <formula>0</formula>
    </cfRule>
    <cfRule type="cellIs" dxfId="418" priority="172" stopIfTrue="1" operator="greaterThan">
      <formula>4.5</formula>
    </cfRule>
  </conditionalFormatting>
  <conditionalFormatting sqref="I10:J21">
    <cfRule type="cellIs" dxfId="417" priority="4" operator="lessThan">
      <formula>97.9</formula>
    </cfRule>
  </conditionalFormatting>
  <conditionalFormatting sqref="J24:J26">
    <cfRule type="cellIs" dxfId="416" priority="19" operator="lessThan">
      <formula>97.95</formula>
    </cfRule>
  </conditionalFormatting>
  <conditionalFormatting sqref="J25:J28">
    <cfRule type="cellIs" dxfId="415" priority="154" operator="lessThan">
      <formula>97.4</formula>
    </cfRule>
  </conditionalFormatting>
  <conditionalFormatting sqref="J29:J30">
    <cfRule type="cellIs" dxfId="414" priority="155" operator="lessThan">
      <formula>98</formula>
    </cfRule>
  </conditionalFormatting>
  <conditionalFormatting sqref="J31:J32">
    <cfRule type="cellIs" dxfId="413" priority="156" stopIfTrue="1" operator="lessThan">
      <formula>96.8</formula>
    </cfRule>
    <cfRule type="cellIs" dxfId="412" priority="157" stopIfTrue="1" operator="greaterThan">
      <formula>100</formula>
    </cfRule>
  </conditionalFormatting>
  <conditionalFormatting sqref="J31:J33">
    <cfRule type="cellIs" dxfId="411" priority="158" operator="lessThan">
      <formula>98</formula>
    </cfRule>
  </conditionalFormatting>
  <conditionalFormatting sqref="J62">
    <cfRule type="cellIs" dxfId="410" priority="111" stopIfTrue="1" operator="lessThanOrEqual">
      <formula>0</formula>
    </cfRule>
    <cfRule type="cellIs" dxfId="409" priority="112" stopIfTrue="1" operator="greaterThan">
      <formula>#REF!</formula>
    </cfRule>
    <cfRule type="cellIs" dxfId="408" priority="113" stopIfTrue="1" operator="lessThanOrEqual">
      <formula>0</formula>
    </cfRule>
    <cfRule type="cellIs" dxfId="407" priority="108" stopIfTrue="1" operator="greaterThan">
      <formula>#REF!</formula>
    </cfRule>
    <cfRule type="cellIs" dxfId="406" priority="109" stopIfTrue="1" operator="lessThanOrEqual">
      <formula>0</formula>
    </cfRule>
    <cfRule type="cellIs" dxfId="405" priority="110" stopIfTrue="1" operator="greaterThan">
      <formula>#REF!</formula>
    </cfRule>
    <cfRule type="cellIs" dxfId="404" priority="114" stopIfTrue="1" operator="greaterThan">
      <formula>#REF!</formula>
    </cfRule>
    <cfRule type="cellIs" dxfId="403" priority="115" stopIfTrue="1" operator="lessThanOrEqual">
      <formula>0</formula>
    </cfRule>
  </conditionalFormatting>
  <conditionalFormatting sqref="J75">
    <cfRule type="cellIs" dxfId="402" priority="48" stopIfTrue="1" operator="lessThanOrEqual">
      <formula>0</formula>
    </cfRule>
    <cfRule type="cellIs" dxfId="401" priority="47" stopIfTrue="1" operator="greaterThan">
      <formula>$F75</formula>
    </cfRule>
  </conditionalFormatting>
  <conditionalFormatting sqref="K10:K21">
    <cfRule type="cellIs" dxfId="400" priority="7" operator="greaterThan">
      <formula>6.4</formula>
    </cfRule>
    <cfRule type="cellIs" dxfId="399" priority="5" operator="greaterThan">
      <formula>6</formula>
    </cfRule>
    <cfRule type="cellIs" dxfId="398" priority="6" operator="lessThan">
      <formula>4</formula>
    </cfRule>
  </conditionalFormatting>
  <conditionalFormatting sqref="K53:K62">
    <cfRule type="cellIs" dxfId="397" priority="93" stopIfTrue="1" operator="lessThan">
      <formula>100%</formula>
    </cfRule>
  </conditionalFormatting>
  <conditionalFormatting sqref="K66:K74">
    <cfRule type="cellIs" dxfId="396" priority="37" stopIfTrue="1" operator="lessThan">
      <formula>100%</formula>
    </cfRule>
  </conditionalFormatting>
  <conditionalFormatting sqref="K77:K82">
    <cfRule type="cellIs" dxfId="395" priority="178" stopIfTrue="1" operator="lessThan">
      <formula>100%</formula>
    </cfRule>
  </conditionalFormatting>
  <conditionalFormatting sqref="K84:K85">
    <cfRule type="cellIs" dxfId="394" priority="185" stopIfTrue="1" operator="lessThan">
      <formula>100%</formula>
    </cfRule>
  </conditionalFormatting>
  <conditionalFormatting sqref="L10:L21">
    <cfRule type="cellIs" dxfId="393" priority="8" operator="between">
      <formula>61</formula>
      <formula>65</formula>
    </cfRule>
    <cfRule type="cellIs" dxfId="392" priority="9" operator="greaterThan">
      <formula>65</formula>
    </cfRule>
  </conditionalFormatting>
  <conditionalFormatting sqref="L24:M35">
    <cfRule type="cellIs" dxfId="391" priority="3" operator="lessThan">
      <formula>97.95</formula>
    </cfRule>
  </conditionalFormatting>
  <conditionalFormatting sqref="L39:N39">
    <cfRule type="cellIs" dxfId="390" priority="17" operator="notEqual">
      <formula>#REF!</formula>
    </cfRule>
  </conditionalFormatting>
  <conditionalFormatting sqref="L66:N75">
    <cfRule type="cellIs" dxfId="389" priority="34" stopIfTrue="1" operator="lessThan">
      <formula>100%</formula>
    </cfRule>
  </conditionalFormatting>
  <conditionalFormatting sqref="L77:N85">
    <cfRule type="cellIs" dxfId="388" priority="163" stopIfTrue="1" operator="lessThan">
      <formula>100%</formula>
    </cfRule>
  </conditionalFormatting>
  <conditionalFormatting sqref="M21">
    <cfRule type="expression" dxfId="387" priority="14">
      <formula>IF(+(IF(M21&lt;U21,0,IF(M21&gt;V21,0,1)))=0,1)</formula>
    </cfRule>
  </conditionalFormatting>
  <conditionalFormatting sqref="M10:N20 H10:H21">
    <cfRule type="expression" dxfId="386" priority="13">
      <formula>IF(+(IF(H10&lt;#REF!,0,IF(H10&gt;#REF!,0,1)))=0,1)</formula>
    </cfRule>
  </conditionalFormatting>
  <conditionalFormatting sqref="N10:N21">
    <cfRule type="expression" dxfId="385" priority="2">
      <formula>IF(+(IF(N10&lt;W10,0,IF(N10&gt;X10,0,1)))=0,1)</formula>
    </cfRule>
  </conditionalFormatting>
  <conditionalFormatting sqref="P6">
    <cfRule type="cellIs" dxfId="384" priority="159" operator="greaterThanOrEqual">
      <formula>19</formula>
    </cfRule>
  </conditionalFormatting>
  <dataValidations count="1">
    <dataValidation type="list" allowBlank="1" showInputMessage="1" showErrorMessage="1" sqref="R8" xr:uid="{889F9DFE-BD39-439C-BD21-4B9B6A04388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B1D3A-627C-4217-9432-4B0F76F2D6F5}">
  <sheetPr>
    <pageSetUpPr fitToPage="1"/>
  </sheetPr>
  <dimension ref="A1:BE84"/>
  <sheetViews>
    <sheetView topLeftCell="A48" zoomScale="80" zoomScaleNormal="80" workbookViewId="0">
      <selection activeCell="F91" sqref="F9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49.57031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46322</v>
      </c>
      <c r="J4" s="397" t="s">
        <v>180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[30]Brewhouse!$A837</f>
        <v>CA787</v>
      </c>
      <c r="D10" s="279">
        <f>[30]Brewhouse!$AF837</f>
        <v>49.3</v>
      </c>
      <c r="E10" s="279">
        <f>[30]Brewhouse!$AI837</f>
        <v>49.3</v>
      </c>
      <c r="F10" s="278">
        <f>[30]Brewhouse!$V837</f>
        <v>56</v>
      </c>
      <c r="G10" s="279">
        <f>[30]Brewhouse!AG837</f>
        <v>11.68</v>
      </c>
      <c r="H10" s="396">
        <v>11.7</v>
      </c>
      <c r="I10" s="368">
        <f>[30]Brewhouse!$AU837</f>
        <v>95.654534858071727</v>
      </c>
      <c r="J10" s="368">
        <f>[30]Brewhouse!$AV837</f>
        <v>96.205482512126622</v>
      </c>
      <c r="K10" s="281">
        <f>[30]Brewhouse!$Q837</f>
        <v>8.3396226415094361</v>
      </c>
      <c r="L10" s="276">
        <f>[30]Brewhouse!$P837</f>
        <v>61</v>
      </c>
      <c r="M10" s="374">
        <f>[30]Brewhouse!$U837-[30]Brewhouse!$T837</f>
        <v>0.11944444444444446</v>
      </c>
      <c r="N10" s="370">
        <f>[30]Brewhouse!$Z837</f>
        <v>0.28472222222222221</v>
      </c>
      <c r="O10" s="419" t="str">
        <f>[30]Brewhouse!$AX837</f>
        <v>K. Benjamin</v>
      </c>
      <c r="P10" s="417"/>
      <c r="R10" s="277"/>
      <c r="S10" s="471"/>
      <c r="T10" s="471"/>
      <c r="U10" s="297"/>
      <c r="V10" s="297"/>
      <c r="W10" s="297"/>
      <c r="X10" s="297"/>
      <c r="Y10" s="297"/>
      <c r="Z10" s="471"/>
    </row>
    <row r="11" spans="2:29" ht="15" customHeight="1">
      <c r="B11" s="29" t="s">
        <v>6</v>
      </c>
      <c r="C11" s="366" t="str">
        <f>[30]Brewhouse!$A838</f>
        <v>CA788</v>
      </c>
      <c r="D11" s="279">
        <f>[30]Brewhouse!$AF838</f>
        <v>47.9</v>
      </c>
      <c r="E11" s="279">
        <f>[30]Brewhouse!$AI838</f>
        <v>48.4</v>
      </c>
      <c r="F11" s="278">
        <f>[30]Brewhouse!$V838</f>
        <v>52</v>
      </c>
      <c r="G11" s="279">
        <f>[30]Brewhouse!AG838</f>
        <v>12</v>
      </c>
      <c r="H11" s="396">
        <v>12.4</v>
      </c>
      <c r="I11" s="368">
        <f>[30]Brewhouse!$AU838</f>
        <v>96.442217800409722</v>
      </c>
      <c r="J11" s="368">
        <f>[30]Brewhouse!$AV838</f>
        <v>96.997702323206539</v>
      </c>
      <c r="K11" s="281">
        <f>[30]Brewhouse!$Q838</f>
        <v>91.262962962962959</v>
      </c>
      <c r="L11" s="276">
        <f>[30]Brewhouse!$P838</f>
        <v>60</v>
      </c>
      <c r="M11" s="374">
        <f>[30]Brewhouse!$U838-[30]Brewhouse!$T838</f>
        <v>0.12638888888888888</v>
      </c>
      <c r="N11" s="370">
        <f>[30]Brewhouse!$Z838</f>
        <v>0.29722222222222217</v>
      </c>
      <c r="O11" s="419" t="str">
        <f>[30]Brewhouse!$AX838</f>
        <v>K. Benjamin</v>
      </c>
      <c r="P11" s="417"/>
      <c r="R11" s="277"/>
      <c r="S11" s="471"/>
      <c r="T11" s="471"/>
      <c r="U11" s="297"/>
      <c r="V11" s="297"/>
      <c r="W11" s="297"/>
      <c r="X11" s="297"/>
      <c r="Y11" s="297"/>
      <c r="Z11" s="471"/>
    </row>
    <row r="12" spans="2:29" ht="15" customHeight="1">
      <c r="B12" s="29" t="s">
        <v>6</v>
      </c>
      <c r="C12" s="366" t="str">
        <f>[30]Brewhouse!$A839</f>
        <v>CA789</v>
      </c>
      <c r="D12" s="279">
        <f>[30]Brewhouse!$AF839</f>
        <v>48</v>
      </c>
      <c r="E12" s="279">
        <f>[30]Brewhouse!$AI839</f>
        <v>49.6</v>
      </c>
      <c r="F12" s="278">
        <f>[30]Brewhouse!$V839</f>
        <v>52</v>
      </c>
      <c r="G12" s="279">
        <f>[30]Brewhouse!AG839</f>
        <v>12.2</v>
      </c>
      <c r="H12" s="396">
        <v>12.4</v>
      </c>
      <c r="I12" s="368">
        <f>[30]Brewhouse!$AU839</f>
        <v>100.48581555152971</v>
      </c>
      <c r="J12" s="368">
        <f>[30]Brewhouse!$AV839</f>
        <v>101.06459024763849</v>
      </c>
      <c r="K12" s="281">
        <f>[30]Brewhouse!$Q839</f>
        <v>12.444444444444443</v>
      </c>
      <c r="L12" s="276">
        <f>[30]Brewhouse!$P839</f>
        <v>59</v>
      </c>
      <c r="M12" s="374">
        <f>[30]Brewhouse!$U839-[30]Brewhouse!$T839</f>
        <v>0.12777777777777777</v>
      </c>
      <c r="N12" s="370">
        <f>[30]Brewhouse!$Z839</f>
        <v>0.30972222222222223</v>
      </c>
      <c r="O12" s="419" t="str">
        <f>[30]Brewhouse!$AX839</f>
        <v>K. Benjamin</v>
      </c>
      <c r="P12" s="417"/>
      <c r="R12" s="277"/>
      <c r="S12" s="471"/>
      <c r="T12" s="471"/>
      <c r="U12" s="297"/>
      <c r="V12" s="297"/>
      <c r="W12" s="297"/>
      <c r="X12" s="297"/>
      <c r="Y12" s="297"/>
      <c r="Z12" s="471"/>
    </row>
    <row r="13" spans="2:29" ht="15" customHeight="1">
      <c r="B13" s="29" t="s">
        <v>6</v>
      </c>
      <c r="C13" s="366" t="str">
        <f>[30]Brewhouse!$A840</f>
        <v>CA790</v>
      </c>
      <c r="D13" s="279">
        <f>[30]Brewhouse!$AF840</f>
        <v>50.2</v>
      </c>
      <c r="E13" s="279">
        <f>[30]Brewhouse!$AI840</f>
        <v>51.6</v>
      </c>
      <c r="F13" s="278">
        <f>[30]Brewhouse!$V840</f>
        <v>54</v>
      </c>
      <c r="G13" s="279">
        <f>[30]Brewhouse!AG840</f>
        <v>0</v>
      </c>
      <c r="H13" s="396">
        <v>11.9</v>
      </c>
      <c r="I13" s="368">
        <f>[30]Brewhouse!$AU840</f>
        <v>0</v>
      </c>
      <c r="J13" s="368">
        <f>[30]Brewhouse!$AV840</f>
        <v>0</v>
      </c>
      <c r="K13" s="281">
        <f>[30]Brewhouse!$Q840</f>
        <v>8.3703703703703631</v>
      </c>
      <c r="L13" s="276">
        <f>[30]Brewhouse!$P840</f>
        <v>61</v>
      </c>
      <c r="M13" s="374">
        <f>[30]Brewhouse!$U840-[30]Brewhouse!$T840</f>
        <v>0.16180555555555554</v>
      </c>
      <c r="N13" s="370">
        <f>[30]Brewhouse!$Z840</f>
        <v>0.33263888888888893</v>
      </c>
      <c r="O13" s="419" t="str">
        <f>[30]Brewhouse!$AX840</f>
        <v>K. Benjamin</v>
      </c>
      <c r="P13" s="417"/>
      <c r="R13" s="277"/>
      <c r="S13" s="471"/>
      <c r="T13" s="471"/>
      <c r="U13" s="297"/>
      <c r="V13" s="297"/>
      <c r="W13" s="297"/>
      <c r="X13" s="297"/>
      <c r="Y13" s="297"/>
      <c r="Z13" s="471"/>
    </row>
    <row r="14" spans="2:29" ht="15" customHeight="1">
      <c r="B14" s="29" t="s">
        <v>6</v>
      </c>
      <c r="C14" s="366" t="str">
        <f>[30]Brewhouse!$A841</f>
        <v>CA791</v>
      </c>
      <c r="D14" s="279">
        <f>[30]Brewhouse!$AF841</f>
        <v>49.2</v>
      </c>
      <c r="E14" s="279">
        <f>[30]Brewhouse!$AI841</f>
        <v>49.6</v>
      </c>
      <c r="F14" s="278">
        <f>[30]Brewhouse!$V841</f>
        <v>59</v>
      </c>
      <c r="G14" s="279">
        <f>[30]Brewhouse!AG841</f>
        <v>11.8</v>
      </c>
      <c r="H14" s="396">
        <v>11.8</v>
      </c>
      <c r="I14" s="368">
        <f>[30]Brewhouse!$AU841</f>
        <v>97.102189812519697</v>
      </c>
      <c r="J14" s="368">
        <f>[30]Brewhouse!$AV841</f>
        <v>97.661475619096237</v>
      </c>
      <c r="K14" s="281">
        <f>[30]Brewhouse!$Q841</f>
        <v>7.538461538461541</v>
      </c>
      <c r="L14" s="276">
        <f>[30]Brewhouse!$P841</f>
        <v>61</v>
      </c>
      <c r="M14" s="374">
        <f>[30]Brewhouse!$U841-[30]Brewhouse!$T841</f>
        <v>-0.88680555555555551</v>
      </c>
      <c r="N14" s="370">
        <f>[30]Brewhouse!$Z841</f>
        <v>-0.72222222222222221</v>
      </c>
      <c r="O14" s="419" t="str">
        <f>[30]Brewhouse!$AX841</f>
        <v>K. Benjamin</v>
      </c>
      <c r="P14" s="417"/>
      <c r="R14" s="277"/>
      <c r="S14" s="471"/>
      <c r="T14" s="471"/>
      <c r="U14" s="297"/>
      <c r="V14" s="297"/>
      <c r="W14" s="297"/>
      <c r="X14" s="297"/>
      <c r="Y14" s="297"/>
      <c r="Z14" s="471"/>
    </row>
    <row r="15" spans="2:29" ht="15" customHeight="1">
      <c r="B15" s="29" t="s">
        <v>6</v>
      </c>
      <c r="C15" s="366" t="str">
        <f>[30]Brewhouse!$A842</f>
        <v>CA792</v>
      </c>
      <c r="D15" s="279">
        <f>[30]Brewhouse!$AF842</f>
        <v>50.7</v>
      </c>
      <c r="E15" s="279">
        <f>[30]Brewhouse!$AI842</f>
        <v>50.5</v>
      </c>
      <c r="F15" s="278">
        <f>[30]Brewhouse!$V842</f>
        <v>59</v>
      </c>
      <c r="G15" s="279">
        <f>[30]Brewhouse!AG842</f>
        <v>11.8</v>
      </c>
      <c r="H15" s="396">
        <v>12</v>
      </c>
      <c r="I15" s="368">
        <f>[30]Brewhouse!$AU842</f>
        <v>98.86412470831138</v>
      </c>
      <c r="J15" s="368">
        <f>[30]Brewhouse!$AV842</f>
        <v>99.433558846055647</v>
      </c>
      <c r="K15" s="281">
        <f>[30]Brewhouse!$Q842</f>
        <v>9.8336414048059151</v>
      </c>
      <c r="L15" s="276">
        <f>[30]Brewhouse!$P842</f>
        <v>6</v>
      </c>
      <c r="M15" s="374">
        <f>[30]Brewhouse!$U842-[30]Brewhouse!$T842</f>
        <v>0.12222222222222223</v>
      </c>
      <c r="N15" s="370">
        <f>[30]Brewhouse!$Z842</f>
        <v>-0.73055555555555551</v>
      </c>
      <c r="O15" s="419" t="str">
        <f>[30]Brewhouse!$AX842</f>
        <v>K. Benjamin</v>
      </c>
      <c r="P15" s="417"/>
      <c r="R15" s="277"/>
      <c r="S15" s="471"/>
      <c r="T15" s="471"/>
      <c r="U15" s="297"/>
      <c r="V15" s="297"/>
      <c r="W15" s="297"/>
      <c r="X15" s="297"/>
      <c r="Y15" s="297"/>
      <c r="Z15" s="471"/>
    </row>
    <row r="16" spans="2:29" ht="15" customHeight="1">
      <c r="B16" s="29" t="s">
        <v>6</v>
      </c>
      <c r="C16" s="366" t="str">
        <f>[30]Brewhouse!$A843</f>
        <v>CA793</v>
      </c>
      <c r="D16" s="279">
        <f>[30]Brewhouse!$AF843</f>
        <v>49.6</v>
      </c>
      <c r="E16" s="279">
        <f>[30]Brewhouse!$AI843</f>
        <v>49.9</v>
      </c>
      <c r="F16" s="278">
        <f>[30]Brewhouse!$V843</f>
        <v>56</v>
      </c>
      <c r="G16" s="279">
        <f>[30]Brewhouse!AG843</f>
        <v>11.9</v>
      </c>
      <c r="H16" s="396">
        <v>11.8</v>
      </c>
      <c r="I16" s="368">
        <f>[30]Brewhouse!$AU843</f>
        <v>98.560315476775202</v>
      </c>
      <c r="J16" s="368">
        <f>[30]Brewhouse!$AV843</f>
        <v>99.127999744702578</v>
      </c>
      <c r="K16" s="281">
        <f>[30]Brewhouse!$Q843</f>
        <v>9.6487985212569285</v>
      </c>
      <c r="L16" s="276">
        <f>[30]Brewhouse!$P843</f>
        <v>45</v>
      </c>
      <c r="M16" s="374">
        <f>[30]Brewhouse!$U843-[30]Brewhouse!$T843</f>
        <v>0.11111111111111108</v>
      </c>
      <c r="N16" s="370">
        <f>[30]Brewhouse!$Z843</f>
        <v>-0.73888888888888893</v>
      </c>
      <c r="O16" s="419" t="str">
        <f>[30]Brewhouse!$AX843</f>
        <v>K. Benjamin</v>
      </c>
      <c r="P16" s="417"/>
      <c r="R16" s="277"/>
      <c r="S16" s="471"/>
      <c r="T16" s="471"/>
      <c r="U16" s="297"/>
      <c r="V16" s="297"/>
      <c r="W16" s="297"/>
      <c r="X16" s="297"/>
      <c r="Y16" s="297"/>
      <c r="Z16" s="471"/>
    </row>
    <row r="17" spans="2:26" ht="15" customHeight="1">
      <c r="B17" s="29" t="s">
        <v>6</v>
      </c>
      <c r="C17" s="366" t="str">
        <f>[30]Brewhouse!$A844</f>
        <v>CA794</v>
      </c>
      <c r="D17" s="279">
        <f>[30]Brewhouse!$AF844</f>
        <v>49.5</v>
      </c>
      <c r="E17" s="279">
        <f>[30]Brewhouse!$AI844</f>
        <v>49.9</v>
      </c>
      <c r="F17" s="278">
        <f>[30]Brewhouse!$V844</f>
        <v>61</v>
      </c>
      <c r="G17" s="279">
        <f>[30]Brewhouse!AG844</f>
        <v>11.5</v>
      </c>
      <c r="H17" s="396">
        <v>11.6</v>
      </c>
      <c r="I17" s="368">
        <f>[30]Brewhouse!$AU844</f>
        <v>96.996745280353508</v>
      </c>
      <c r="J17" s="368">
        <f>[30]Brewhouse!$AV844</f>
        <v>97.554857403307722</v>
      </c>
      <c r="K17" s="281">
        <f>[30]Brewhouse!$Q844</f>
        <v>7.2623574144486698</v>
      </c>
      <c r="L17" s="276">
        <f>[30]Brewhouse!$P844</f>
        <v>60</v>
      </c>
      <c r="M17" s="374">
        <f>[30]Brewhouse!$U844-[30]Brewhouse!$T844</f>
        <v>0.12847222222222221</v>
      </c>
      <c r="N17" s="370">
        <f>[30]Brewhouse!$Z844</f>
        <v>0.26111111111111113</v>
      </c>
      <c r="O17" s="419" t="str">
        <f>[30]Brewhouse!$AX844</f>
        <v>D. Gomaz</v>
      </c>
      <c r="P17" s="417"/>
      <c r="R17" s="277"/>
      <c r="S17" s="471"/>
      <c r="T17" s="471"/>
      <c r="U17" s="297"/>
      <c r="V17" s="297"/>
      <c r="W17" s="297"/>
      <c r="X17" s="297"/>
      <c r="Y17" s="297"/>
      <c r="Z17" s="471"/>
    </row>
    <row r="18" spans="2:26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/>
      <c r="S18" s="471"/>
      <c r="T18" s="471"/>
      <c r="U18" s="297"/>
      <c r="V18" s="297"/>
      <c r="W18" s="297"/>
      <c r="X18" s="297"/>
      <c r="Y18" s="297"/>
      <c r="Z18" s="471"/>
    </row>
    <row r="19" spans="2:26" ht="15" customHeight="1">
      <c r="B19" s="33" t="s">
        <v>9</v>
      </c>
      <c r="C19" s="366" t="str">
        <f>[29]Brewhouse!$A416</f>
        <v>ST357</v>
      </c>
      <c r="D19" s="279">
        <f>[29]Brewhouse!$AB416</f>
        <v>53.1</v>
      </c>
      <c r="E19" s="279">
        <f>[29]Brewhouse!$AG416</f>
        <v>48.6</v>
      </c>
      <c r="F19" s="278">
        <f>[29]Brewhouse!$V416</f>
        <v>60</v>
      </c>
      <c r="G19" s="279">
        <f>[29]Brewhouse!$AE416</f>
        <v>11.8</v>
      </c>
      <c r="H19" s="396">
        <v>11.8</v>
      </c>
      <c r="I19" s="368">
        <f>[29]Brewhouse!$AS416</f>
        <v>96.234942891011144</v>
      </c>
      <c r="J19" s="368">
        <f>[29]Brewhouse!$AT416</f>
        <v>96.956430361328927</v>
      </c>
      <c r="K19" s="281">
        <f>[29]Brewhouse!$Q416</f>
        <v>11.252354048964222</v>
      </c>
      <c r="L19" s="276">
        <f>[29]Brewhouse!$P416</f>
        <v>58</v>
      </c>
      <c r="M19" s="374">
        <f>[29]Brewhouse!$U416-[29]Brewhouse!$T416</f>
        <v>0.12291666666666667</v>
      </c>
      <c r="N19" s="370">
        <f>[29]Brewhouse!$AW416</f>
        <v>0.27708333333333335</v>
      </c>
      <c r="O19" s="419" t="str">
        <f>[29]Brewhouse!$AV416</f>
        <v>D.Gomaz</v>
      </c>
      <c r="P19" s="417"/>
      <c r="R19" s="277" t="str">
        <f t="shared" ref="R19:R44" si="0">B19</f>
        <v>STAG</v>
      </c>
      <c r="S19" s="471">
        <f t="shared" ref="S19:S44" si="1">VLOOKUP($B19,$R$3:$X$9,2,FALSE)</f>
        <v>11.6</v>
      </c>
      <c r="T19" s="471">
        <f t="shared" ref="T19:T44" si="2">VLOOKUP($B19,$R$3:$X$9,3,FALSE)</f>
        <v>12</v>
      </c>
      <c r="U19" s="297">
        <f t="shared" ref="U19:U44" si="3">VLOOKUP($B19,$R$3:$X$9,4,FALSE)</f>
        <v>0</v>
      </c>
      <c r="V19" s="297">
        <f t="shared" ref="V19:V44" si="4">VLOOKUP($B19,$R$3:$X$9,5,FALSE)</f>
        <v>0.118055555555556</v>
      </c>
      <c r="W19" s="297">
        <f t="shared" ref="W19:W44" si="5">VLOOKUP($B19,$R$3:$X$9,6,FALSE)</f>
        <v>0.22569444444444445</v>
      </c>
      <c r="X19" s="297">
        <f t="shared" ref="X19:X44" si="6">VLOOKUP($B19,$R$3:$X$9,7,FALSE)</f>
        <v>0.2638888888888889</v>
      </c>
      <c r="Y19" s="297">
        <f t="shared" ref="Y19:Y44" si="7">VLOOKUP($B19,$R$3:$Z$9,8,FALSE)</f>
        <v>0</v>
      </c>
      <c r="Z19" s="471">
        <f t="shared" ref="Z19:Z44" si="8">VLOOKUP($B19,$R$3:$Z$9,9,FALSE)</f>
        <v>60</v>
      </c>
    </row>
    <row r="20" spans="2:26" ht="15" customHeight="1">
      <c r="B20" s="33" t="s">
        <v>9</v>
      </c>
      <c r="C20" s="366" t="str">
        <f>[29]Brewhouse!$A417</f>
        <v>ST358</v>
      </c>
      <c r="D20" s="279">
        <f>[29]Brewhouse!$AB417</f>
        <v>53.1</v>
      </c>
      <c r="E20" s="279">
        <f>[29]Brewhouse!$AG417</f>
        <v>48.3</v>
      </c>
      <c r="F20" s="278">
        <f>[29]Brewhouse!$V417</f>
        <v>51</v>
      </c>
      <c r="G20" s="279">
        <f>[29]Brewhouse!$AE417</f>
        <v>11.8</v>
      </c>
      <c r="H20" s="396">
        <v>12.1</v>
      </c>
      <c r="I20" s="368">
        <f>[29]Brewhouse!$AS417</f>
        <v>96.244976149243712</v>
      </c>
      <c r="J20" s="368">
        <f>[29]Brewhouse!$AT417</f>
        <v>96.965388213283447</v>
      </c>
      <c r="K20" s="281">
        <f>[29]Brewhouse!$Q417</f>
        <v>11.064030131826742</v>
      </c>
      <c r="L20" s="276">
        <f>[29]Brewhouse!$P417</f>
        <v>67</v>
      </c>
      <c r="M20" s="374">
        <f>[29]Brewhouse!$U417-[29]Brewhouse!$T417</f>
        <v>0.11458333333333337</v>
      </c>
      <c r="N20" s="370">
        <f>[29]Brewhouse!$AW417</f>
        <v>0.26458333333333334</v>
      </c>
      <c r="O20" s="419" t="str">
        <f>[29]Brewhouse!$AV417</f>
        <v>R.Sookram</v>
      </c>
      <c r="P20" s="417"/>
      <c r="R20" s="277" t="str">
        <f t="shared" si="0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 t="s">
        <v>9</v>
      </c>
      <c r="C21" s="366" t="str">
        <f>[29]Brewhouse!$A418</f>
        <v>ST359</v>
      </c>
      <c r="D21" s="279">
        <f>[29]Brewhouse!$AB418</f>
        <v>53</v>
      </c>
      <c r="E21" s="279">
        <f>[29]Brewhouse!$AG418</f>
        <v>49.2</v>
      </c>
      <c r="F21" s="278">
        <f>[29]Brewhouse!$V418</f>
        <v>54</v>
      </c>
      <c r="G21" s="279">
        <f>[29]Brewhouse!$AE418</f>
        <v>11.9</v>
      </c>
      <c r="H21" s="396">
        <v>11.4</v>
      </c>
      <c r="I21" s="368">
        <f>[29]Brewhouse!$AS418</f>
        <v>98.78749454244813</v>
      </c>
      <c r="J21" s="368">
        <f>[29]Brewhouse!$AT418</f>
        <v>99.527175237630999</v>
      </c>
      <c r="K21" s="281">
        <f>[29]Brewhouse!$Q418</f>
        <v>7.6886792452830104</v>
      </c>
      <c r="L21" s="276">
        <f>[29]Brewhouse!$P418</f>
        <v>61</v>
      </c>
      <c r="M21" s="374">
        <f>[29]Brewhouse!$U418-[29]Brewhouse!$T418</f>
        <v>0.14097222222222217</v>
      </c>
      <c r="N21" s="370">
        <f>[29]Brewhouse!$AW418</f>
        <v>0.33055555555555555</v>
      </c>
      <c r="O21" s="419" t="str">
        <f>[29]Brewhouse!$AV418</f>
        <v>R.Sookram</v>
      </c>
      <c r="P21" s="417"/>
      <c r="R21" s="277" t="str">
        <f t="shared" si="0"/>
        <v>STAG</v>
      </c>
      <c r="S21" s="471">
        <f t="shared" si="1"/>
        <v>11.6</v>
      </c>
      <c r="T21" s="471">
        <f t="shared" si="2"/>
        <v>12</v>
      </c>
      <c r="U21" s="297">
        <f t="shared" si="3"/>
        <v>0</v>
      </c>
      <c r="V21" s="297">
        <f t="shared" si="4"/>
        <v>0.118055555555556</v>
      </c>
      <c r="W21" s="297">
        <f t="shared" si="5"/>
        <v>0.22569444444444445</v>
      </c>
      <c r="X21" s="297">
        <f t="shared" si="6"/>
        <v>0.2638888888888889</v>
      </c>
      <c r="Y21" s="297">
        <f t="shared" si="7"/>
        <v>0</v>
      </c>
      <c r="Z21" s="471">
        <f t="shared" si="8"/>
        <v>60</v>
      </c>
    </row>
    <row r="22" spans="2:26" ht="15" customHeight="1">
      <c r="B22" s="33" t="s">
        <v>9</v>
      </c>
      <c r="C22" s="366" t="str">
        <f>[29]Brewhouse!$A419</f>
        <v>ST360</v>
      </c>
      <c r="D22" s="279">
        <f>[29]Brewhouse!$AB419</f>
        <v>53</v>
      </c>
      <c r="E22" s="279">
        <f>[29]Brewhouse!$AG419</f>
        <v>49.3</v>
      </c>
      <c r="F22" s="278">
        <f>[29]Brewhouse!$V419</f>
        <v>60</v>
      </c>
      <c r="G22" s="279">
        <f>[29]Brewhouse!$AE419</f>
        <v>11.7</v>
      </c>
      <c r="H22" s="396">
        <v>11.6</v>
      </c>
      <c r="I22" s="368">
        <f>[29]Brewhouse!$AS419</f>
        <v>97.239091605330472</v>
      </c>
      <c r="J22" s="368">
        <f>[29]Brewhouse!$AT419</f>
        <v>97.967178487285707</v>
      </c>
      <c r="K22" s="281">
        <f>[29]Brewhouse!$Q419</f>
        <v>10.330188679245285</v>
      </c>
      <c r="L22" s="276">
        <f>[29]Brewhouse!$P419</f>
        <v>61</v>
      </c>
      <c r="M22" s="374">
        <f>[29]Brewhouse!$U419-[29]Brewhouse!$T419</f>
        <v>0.12777777777777777</v>
      </c>
      <c r="N22" s="370">
        <f>[29]Brewhouse!$AW419</f>
        <v>0.28749999999999998</v>
      </c>
      <c r="O22" s="419" t="str">
        <f>[29]Brewhouse!$AV419</f>
        <v>K. Benjamin</v>
      </c>
      <c r="P22" s="417"/>
      <c r="R22" s="277" t="str">
        <f t="shared" si="0"/>
        <v>STAG</v>
      </c>
      <c r="S22" s="471">
        <f t="shared" si="1"/>
        <v>11.6</v>
      </c>
      <c r="T22" s="471">
        <f t="shared" si="2"/>
        <v>12</v>
      </c>
      <c r="U22" s="297">
        <f t="shared" si="3"/>
        <v>0</v>
      </c>
      <c r="V22" s="297">
        <f t="shared" si="4"/>
        <v>0.118055555555556</v>
      </c>
      <c r="W22" s="297">
        <f t="shared" si="5"/>
        <v>0.22569444444444445</v>
      </c>
      <c r="X22" s="297">
        <f t="shared" si="6"/>
        <v>0.2638888888888889</v>
      </c>
      <c r="Y22" s="297">
        <f t="shared" si="7"/>
        <v>0</v>
      </c>
      <c r="Z22" s="471">
        <f t="shared" si="8"/>
        <v>60</v>
      </c>
    </row>
    <row r="23" spans="2:26" ht="15" customHeight="1">
      <c r="B23" s="33" t="s">
        <v>9</v>
      </c>
      <c r="C23" s="366" t="str">
        <f>[29]Brewhouse!$A420</f>
        <v>ST361</v>
      </c>
      <c r="D23" s="279">
        <f>[29]Brewhouse!$AB420</f>
        <v>53</v>
      </c>
      <c r="E23" s="279">
        <f>[29]Brewhouse!$AG420</f>
        <v>50.6</v>
      </c>
      <c r="F23" s="278">
        <f>[29]Brewhouse!$V420</f>
        <v>54</v>
      </c>
      <c r="G23" s="279">
        <f>[29]Brewhouse!$AE420</f>
        <v>11.8</v>
      </c>
      <c r="H23" s="396">
        <v>11.8</v>
      </c>
      <c r="I23" s="368">
        <f>[29]Brewhouse!$AS420</f>
        <v>100.82807025158867</v>
      </c>
      <c r="J23" s="368">
        <f>[29]Brewhouse!$AT420</f>
        <v>101.58278765201123</v>
      </c>
      <c r="K23" s="281">
        <f>[29]Brewhouse!$Q420</f>
        <v>6.7452830188679158</v>
      </c>
      <c r="L23" s="276">
        <f>[29]Brewhouse!$P420</f>
        <v>60</v>
      </c>
      <c r="M23" s="374">
        <f>[29]Brewhouse!$U420-[29]Brewhouse!$T420</f>
        <v>0.1166666666666667</v>
      </c>
      <c r="N23" s="370">
        <f>[29]Brewhouse!$AW420</f>
        <v>0.26458333333333339</v>
      </c>
      <c r="O23" s="419" t="str">
        <f>[29]Brewhouse!$AV420</f>
        <v>K. Benjamin</v>
      </c>
      <c r="P23" s="417"/>
      <c r="R23" s="277" t="str">
        <f t="shared" si="0"/>
        <v>STAG</v>
      </c>
      <c r="S23" s="471">
        <f t="shared" si="1"/>
        <v>11.6</v>
      </c>
      <c r="T23" s="471">
        <f t="shared" si="2"/>
        <v>12</v>
      </c>
      <c r="U23" s="297">
        <f t="shared" si="3"/>
        <v>0</v>
      </c>
      <c r="V23" s="297">
        <f t="shared" si="4"/>
        <v>0.118055555555556</v>
      </c>
      <c r="W23" s="297">
        <f t="shared" si="5"/>
        <v>0.22569444444444445</v>
      </c>
      <c r="X23" s="297">
        <f t="shared" si="6"/>
        <v>0.2638888888888889</v>
      </c>
      <c r="Y23" s="297">
        <f t="shared" si="7"/>
        <v>0</v>
      </c>
      <c r="Z23" s="471">
        <f t="shared" si="8"/>
        <v>60</v>
      </c>
    </row>
    <row r="24" spans="2:26" ht="15" customHeight="1">
      <c r="B24" s="33" t="s">
        <v>9</v>
      </c>
      <c r="C24" s="366" t="str">
        <f>[29]Brewhouse!$A421</f>
        <v>ST362</v>
      </c>
      <c r="D24" s="279">
        <f>[29]Brewhouse!$AB421</f>
        <v>53</v>
      </c>
      <c r="E24" s="279">
        <f>[29]Brewhouse!$AG421</f>
        <v>50.1</v>
      </c>
      <c r="F24" s="278">
        <f>[29]Brewhouse!$V421</f>
        <v>52</v>
      </c>
      <c r="G24" s="279">
        <f>[29]Brewhouse!$AE421</f>
        <v>11.8</v>
      </c>
      <c r="H24" s="396">
        <v>12</v>
      </c>
      <c r="I24" s="368">
        <f>[29]Brewhouse!$AS421</f>
        <v>99.831745446731063</v>
      </c>
      <c r="J24" s="368">
        <f>[29]Brewhouse!$AT421</f>
        <v>100.5790051653313</v>
      </c>
      <c r="K24" s="281">
        <f>[29]Brewhouse!$Q421</f>
        <v>7.5000000000000027</v>
      </c>
      <c r="L24" s="276">
        <f>[29]Brewhouse!$P421</f>
        <v>58</v>
      </c>
      <c r="M24" s="374">
        <f>[29]Brewhouse!$U421-[29]Brewhouse!$T421</f>
        <v>0.11527777777777781</v>
      </c>
      <c r="N24" s="370">
        <f>[29]Brewhouse!$AW421</f>
        <v>0.25555555555555565</v>
      </c>
      <c r="O24" s="419" t="str">
        <f>[29]Brewhouse!$AV421</f>
        <v>K. Benjamin</v>
      </c>
      <c r="P24" s="417"/>
      <c r="R24" s="277" t="str">
        <f t="shared" si="0"/>
        <v>STAG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2:26" ht="15" customHeight="1">
      <c r="B25" s="33" t="s">
        <v>9</v>
      </c>
      <c r="C25" s="366" t="str">
        <f>[29]Brewhouse!$A422</f>
        <v>ST363</v>
      </c>
      <c r="D25" s="279">
        <f>[29]Brewhouse!$AB422</f>
        <v>53</v>
      </c>
      <c r="E25" s="279">
        <f>[29]Brewhouse!$AG422</f>
        <v>48.4</v>
      </c>
      <c r="F25" s="278">
        <f>[29]Brewhouse!$V422</f>
        <v>52</v>
      </c>
      <c r="G25" s="279">
        <f>[29]Brewhouse!$AE422</f>
        <v>11.7</v>
      </c>
      <c r="H25" s="396">
        <v>11.8</v>
      </c>
      <c r="I25" s="368">
        <f>[29]Brewhouse!$AS422</f>
        <v>95.343647995140529</v>
      </c>
      <c r="J25" s="368">
        <f>[29]Brewhouse!$AT422</f>
        <v>96.057771106332908</v>
      </c>
      <c r="K25" s="281">
        <f>[29]Brewhouse!$Q422</f>
        <v>10.896226415094338</v>
      </c>
      <c r="L25" s="276">
        <f>[29]Brewhouse!$P422</f>
        <v>61</v>
      </c>
      <c r="M25" s="374">
        <f>[29]Brewhouse!$U422-[29]Brewhouse!$T422</f>
        <v>0.14305555555555549</v>
      </c>
      <c r="N25" s="370">
        <f>[29]Brewhouse!$AW422</f>
        <v>0.28472222222222221</v>
      </c>
      <c r="O25" s="419" t="str">
        <f>[29]Brewhouse!$AV422</f>
        <v>K. Benjamin</v>
      </c>
      <c r="P25" s="417"/>
      <c r="R25" s="277" t="str">
        <f t="shared" si="0"/>
        <v>STAG</v>
      </c>
      <c r="S25" s="471">
        <f t="shared" si="1"/>
        <v>11.6</v>
      </c>
      <c r="T25" s="471">
        <f t="shared" si="2"/>
        <v>12</v>
      </c>
      <c r="U25" s="297">
        <f t="shared" si="3"/>
        <v>0</v>
      </c>
      <c r="V25" s="297">
        <f t="shared" si="4"/>
        <v>0.118055555555556</v>
      </c>
      <c r="W25" s="297">
        <f t="shared" si="5"/>
        <v>0.22569444444444445</v>
      </c>
      <c r="X25" s="297">
        <f t="shared" si="6"/>
        <v>0.2638888888888889</v>
      </c>
      <c r="Y25" s="297">
        <f t="shared" si="7"/>
        <v>0</v>
      </c>
      <c r="Z25" s="471">
        <f t="shared" si="8"/>
        <v>60</v>
      </c>
    </row>
    <row r="26" spans="2:26" ht="15" customHeight="1">
      <c r="B26" s="33" t="s">
        <v>9</v>
      </c>
      <c r="C26" s="366" t="str">
        <f>[29]Brewhouse!$A423</f>
        <v>ST364</v>
      </c>
      <c r="D26" s="279">
        <f>[29]Brewhouse!$AB423</f>
        <v>53</v>
      </c>
      <c r="E26" s="279">
        <f>[29]Brewhouse!$AG423</f>
        <v>50.3</v>
      </c>
      <c r="F26" s="278">
        <f>[29]Brewhouse!$V423</f>
        <v>57</v>
      </c>
      <c r="G26" s="279">
        <f>[29]Brewhouse!$AE423</f>
        <v>11.8</v>
      </c>
      <c r="H26" s="396">
        <v>11.8</v>
      </c>
      <c r="I26" s="368">
        <f>[29]Brewhouse!$AS423</f>
        <v>95.602651708364647</v>
      </c>
      <c r="J26" s="368">
        <f>[29]Brewhouse!$AT423</f>
        <v>96.318714755162475</v>
      </c>
      <c r="K26" s="281">
        <f>[29]Brewhouse!$Q423</f>
        <v>6.9339622641509377</v>
      </c>
      <c r="L26" s="276">
        <f>[29]Brewhouse!$P423</f>
        <v>60</v>
      </c>
      <c r="M26" s="374">
        <f>[29]Brewhouse!$U423-[29]Brewhouse!$T423</f>
        <v>0.12361111111111112</v>
      </c>
      <c r="N26" s="370">
        <f>[29]Brewhouse!$AW423</f>
        <v>0.27916666666666679</v>
      </c>
      <c r="O26" s="419" t="str">
        <f>[29]Brewhouse!$AV423</f>
        <v>K. Benjamin</v>
      </c>
      <c r="P26" s="417"/>
      <c r="R26" s="277" t="str">
        <f t="shared" si="0"/>
        <v>STAG</v>
      </c>
      <c r="S26" s="471">
        <f t="shared" si="1"/>
        <v>11.6</v>
      </c>
      <c r="T26" s="471">
        <f t="shared" si="2"/>
        <v>12</v>
      </c>
      <c r="U26" s="297">
        <f t="shared" si="3"/>
        <v>0</v>
      </c>
      <c r="V26" s="297">
        <f t="shared" si="4"/>
        <v>0.118055555555556</v>
      </c>
      <c r="W26" s="297">
        <f t="shared" si="5"/>
        <v>0.22569444444444445</v>
      </c>
      <c r="X26" s="297">
        <f t="shared" si="6"/>
        <v>0.2638888888888889</v>
      </c>
      <c r="Y26" s="297">
        <f t="shared" si="7"/>
        <v>0</v>
      </c>
      <c r="Z26" s="471">
        <f t="shared" si="8"/>
        <v>60</v>
      </c>
    </row>
    <row r="27" spans="2:26" ht="15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7.25" customHeight="1" thickBot="1">
      <c r="B31" s="358"/>
      <c r="C31" s="358"/>
      <c r="D31" s="358"/>
      <c r="E31" s="358"/>
      <c r="F31" s="294"/>
      <c r="G31" s="294"/>
      <c r="H31" s="348"/>
      <c r="I31" s="624"/>
      <c r="J31" s="624"/>
      <c r="K31" s="624"/>
      <c r="L31" s="624"/>
      <c r="M31" s="624"/>
      <c r="N31" s="624"/>
      <c r="O31" s="1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482" t="s">
        <v>162</v>
      </c>
      <c r="C32" s="388"/>
      <c r="D32" s="539" t="s">
        <v>35</v>
      </c>
      <c r="E32" s="540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0"/>
        <v xml:space="preserve">BRAND 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>
      <c r="A33" s="28"/>
      <c r="B33" s="575"/>
      <c r="C33" s="483"/>
      <c r="D33" s="565"/>
      <c r="E33" s="566"/>
      <c r="F33" s="294"/>
      <c r="G33" s="294"/>
      <c r="H33" s="348"/>
      <c r="I33" s="29" t="s">
        <v>6</v>
      </c>
      <c r="J33" s="323">
        <f>AVERAGE(I10:I17)</f>
        <v>85.513242935996374</v>
      </c>
      <c r="K33" s="284">
        <f>COUNTA([30]Brewhouse!$A$789:$A$844)</f>
        <v>56</v>
      </c>
      <c r="L33" s="305">
        <f>AVERAGE([30]Brewhouse!$AU$789:$AU$844)</f>
        <v>83.548756826518186</v>
      </c>
      <c r="M33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$844)</f>
        <v>97.275486809498844</v>
      </c>
      <c r="N33" s="3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5" customHeight="1">
      <c r="A34" s="28"/>
      <c r="B34" s="576"/>
      <c r="C34" s="362"/>
      <c r="D34" s="567"/>
      <c r="E34" s="568"/>
      <c r="F34" s="294"/>
      <c r="G34" s="294"/>
      <c r="H34" s="348"/>
      <c r="I34" s="33" t="s">
        <v>9</v>
      </c>
      <c r="J34" s="323">
        <f>AVERAGE(I19:I26)</f>
        <v>97.514077573732294</v>
      </c>
      <c r="K34" s="284">
        <f>COUNTA([29]Brewhouse!$A$390:$A$423)</f>
        <v>34</v>
      </c>
      <c r="L34" s="302">
        <f>AVERAGE([29]Brewhouse!$AS$390:$AS$423)</f>
        <v>97.470362830209154</v>
      </c>
      <c r="M34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$423)</f>
        <v>98.2482991352298</v>
      </c>
      <c r="N34" s="3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4.65" customHeight="1">
      <c r="A35" s="28"/>
      <c r="B35" s="576"/>
      <c r="C35" s="362"/>
      <c r="D35" s="616"/>
      <c r="E35" s="617"/>
      <c r="F35" s="294"/>
      <c r="G35" s="294"/>
      <c r="H35" s="348"/>
      <c r="I35" s="34" t="s">
        <v>12</v>
      </c>
      <c r="J35" s="323"/>
      <c r="K35" s="284">
        <f>COUNTA([31]Brewhouse!$A$108:$A$115)</f>
        <v>8</v>
      </c>
      <c r="L35" s="302">
        <f>AVERAGE([31]Brewhouse!$AU$108:$AU$115)</f>
        <v>97.365395087454402</v>
      </c>
      <c r="M35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35" s="30">
        <v>98</v>
      </c>
      <c r="O35" s="11"/>
      <c r="P35" s="31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76"/>
      <c r="C36" s="362"/>
      <c r="D36" s="580"/>
      <c r="E36" s="568"/>
      <c r="F36" s="294"/>
      <c r="G36" s="294"/>
      <c r="H36" s="348"/>
      <c r="I36" s="22" t="s">
        <v>33</v>
      </c>
      <c r="J36" s="280"/>
      <c r="K36" s="284"/>
      <c r="L36" s="302"/>
      <c r="M36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6" s="30">
        <v>98</v>
      </c>
      <c r="O36" s="11"/>
      <c r="P36" s="31"/>
      <c r="R36" s="277">
        <f t="shared" si="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76"/>
      <c r="C37" s="362"/>
      <c r="D37" s="616"/>
      <c r="E37" s="617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76"/>
      <c r="C38" s="362"/>
      <c r="D38" s="580"/>
      <c r="E38" s="568"/>
      <c r="F38" s="416"/>
      <c r="G38" s="294"/>
      <c r="H38" s="348"/>
      <c r="I38" s="36" t="s">
        <v>15</v>
      </c>
      <c r="J38" s="323"/>
      <c r="K38" s="284"/>
      <c r="L38" s="302"/>
      <c r="M38" s="302">
        <f>AVERAGE([33]Brewhouse!$AT$4:$AT$11,[33]Brewhouse!$AT$13:$AT$16,[33]Brewhouse!$AT$18:$AT$30)</f>
        <v>93.22262799886262</v>
      </c>
      <c r="N38" s="30">
        <v>98</v>
      </c>
      <c r="O38" s="11"/>
      <c r="P38" s="31"/>
      <c r="R38" s="277">
        <f t="shared" si="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76"/>
      <c r="C39" s="362"/>
      <c r="D39" s="616"/>
      <c r="E39" s="617"/>
      <c r="F39" s="416"/>
      <c r="G39" s="294"/>
      <c r="H39" s="348"/>
      <c r="I39" s="37" t="s">
        <v>16</v>
      </c>
      <c r="J39" s="323"/>
      <c r="K39" s="284">
        <f>COUNTA([34]Brewhouse!$A$112:$A$119)</f>
        <v>8</v>
      </c>
      <c r="L39" s="302">
        <f>AVERAGE([34]Brewhouse!$AY$112:$AY$119)</f>
        <v>96.833332758088616</v>
      </c>
      <c r="M39" s="302">
        <f>AVERAGE([34]Brewhouse!$AY$5:$AY$14,[34]Brewhouse!$AY$16:$AY$23,[34]Brewhouse!$AY$42,[34]Brewhouse!$AY$44:$AY$51,[34]Brewhouse!$AY$53:$AY$64,[34]Brewhouse!$AY$66:$AY$73,[34]Brewhouse!$AY$75:$AY$82,[34]Brewhouse!$AY$84:$AY$101,[34]Brewhouse!$AY$103:$AY$110,[34]Brewhouse!$AY$112:$AY$119)</f>
        <v>97.706699801192229</v>
      </c>
      <c r="N39" s="30">
        <v>98</v>
      </c>
      <c r="O39" s="11"/>
      <c r="P39" s="31" t="s">
        <v>41</v>
      </c>
      <c r="R39" s="277">
        <f t="shared" si="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76"/>
      <c r="C40" s="362"/>
      <c r="D40" s="580"/>
      <c r="E40" s="568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76"/>
      <c r="C41" s="362"/>
      <c r="D41" s="616"/>
      <c r="E41" s="617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  <c r="AA41" s="471"/>
    </row>
    <row r="42" spans="1:27" ht="15" customHeight="1" thickBot="1">
      <c r="A42" s="28"/>
      <c r="B42" s="576"/>
      <c r="C42" s="362"/>
      <c r="D42" s="580"/>
      <c r="E42" s="568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76"/>
      <c r="C43" s="349"/>
      <c r="D43" s="565"/>
      <c r="E43" s="566"/>
      <c r="F43" s="294"/>
      <c r="G43" s="294"/>
      <c r="H43" s="348"/>
      <c r="I43" s="1"/>
      <c r="J43" s="39"/>
      <c r="K43" s="403">
        <f>SUM(K33:K42)</f>
        <v>106</v>
      </c>
      <c r="L43" s="404">
        <f>((L33*K33)+(L34*K34)+(L35*K35)+(L36*K36)+(L37*K37)+(K40*L40)+(L38*K38)+(L39*K39)+(L42*K42))/(K43)</f>
        <v>90.059552276193145</v>
      </c>
      <c r="M43" s="404">
        <f>AVERAGE('[35]Jan30th-31st'!$L$42,'[36]Feb 27th-28th'!$L$45,'[37]Mar 31st'!$L$42,'[38]Apr 30th'!$L$41,'[39]May 29th '!$L$35,'[40]June 30th'!$L$32,[41]July31st!$L$36,'[42]Aug 31st'!$L$32,L43)</f>
        <v>96.992921278416588</v>
      </c>
      <c r="N43" s="40">
        <v>98</v>
      </c>
      <c r="O43" s="11"/>
      <c r="P43" s="31"/>
      <c r="R43" s="277">
        <f t="shared" si="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.75" thickBot="1">
      <c r="B44" s="625"/>
      <c r="C44" s="350"/>
      <c r="D44" s="567"/>
      <c r="E44" s="568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626"/>
      <c r="C45" s="362"/>
      <c r="D45" s="565"/>
      <c r="E45" s="566"/>
      <c r="F45" s="294"/>
      <c r="G45" s="42"/>
      <c r="H45" s="41"/>
      <c r="I45" s="42"/>
      <c r="J45" s="615" t="s">
        <v>129</v>
      </c>
      <c r="K45" s="615"/>
      <c r="L45" s="294"/>
      <c r="M45" s="294"/>
      <c r="N45" s="294"/>
      <c r="O45" s="294"/>
      <c r="P45" s="12"/>
    </row>
    <row r="46" spans="1:27" ht="15.75" thickBot="1">
      <c r="B46" s="627"/>
      <c r="C46" s="362"/>
      <c r="D46" s="567"/>
      <c r="E46" s="568"/>
      <c r="F46" s="294"/>
      <c r="G46" s="42"/>
      <c r="H46" s="42"/>
      <c r="I46" s="42"/>
      <c r="J46" s="292" t="s">
        <v>17</v>
      </c>
      <c r="K46" s="293"/>
      <c r="L46" s="582" t="s">
        <v>136</v>
      </c>
      <c r="M46" s="582"/>
      <c r="N46" s="583"/>
      <c r="O46" s="294"/>
      <c r="P46" s="12"/>
    </row>
    <row r="47" spans="1:27" ht="15" customHeight="1" thickBot="1">
      <c r="B47" s="627"/>
      <c r="C47" s="349"/>
      <c r="D47" s="616"/>
      <c r="E47" s="617"/>
      <c r="F47" s="294"/>
      <c r="G47" s="42"/>
      <c r="H47" s="42"/>
      <c r="I47" s="42"/>
      <c r="J47" s="287" t="s">
        <v>6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627"/>
      <c r="C48" s="349"/>
      <c r="D48" s="580"/>
      <c r="E48" s="568"/>
      <c r="F48" s="294"/>
      <c r="G48" s="42"/>
      <c r="H48" s="42"/>
      <c r="I48" s="42"/>
      <c r="J48" s="345" t="s">
        <v>9</v>
      </c>
      <c r="K48" s="324"/>
      <c r="L48" s="484">
        <f>AVERAGE('Oct 1st'!K52,'Oct 2nd'!K44,'Oct 5th'!K51,'Oct 6th'!K58,'Oct 7th'!K47,'Oct 8th '!K46,'Oct 9th-10th'!J57,'Oct 9th-10th'!K57,'Oct 12th'!K50,'Oct 13th '!K48,'Oct 14th'!K48,'Oct 15th '!K48,[44]Draw!$BBB$134,[44]Draw!$BBF$134,[44]Draw!$BBG$134,[44]Draw!$BBH$134,[44]Draw!$BBI$134,[44]Draw!$BBJ$134)</f>
        <v>6.2222222222222223</v>
      </c>
      <c r="M48" s="485">
        <f>AVERAGE('[35]Jan30th-31st'!$L$47,L48,'[36]Feb 26th '!$L$39,'[37]Mar 31st'!$L$47,'[38]Apr 30th'!$L$46,'[39]May 29th '!$L$40,'[40]June 30th'!$L$39,[41]July31st!$L$41,'[42]Aug 31st'!$L$37,'[43]Sept 30th'!$L$37)</f>
        <v>6.4957563692346296</v>
      </c>
      <c r="N48" s="415">
        <v>9.1999999999999993</v>
      </c>
      <c r="O48" s="294"/>
      <c r="P48" s="12"/>
    </row>
    <row r="49" spans="2:57" ht="15" customHeight="1">
      <c r="B49" s="627"/>
      <c r="C49" s="349"/>
      <c r="D49" s="616"/>
      <c r="E49" s="617"/>
      <c r="F49" s="294"/>
      <c r="G49" s="42"/>
      <c r="H49" s="42"/>
      <c r="I49" s="42"/>
      <c r="J49" s="288" t="s">
        <v>40</v>
      </c>
      <c r="K49" s="324"/>
      <c r="L49" s="294"/>
      <c r="M49" s="294"/>
      <c r="N49" s="294"/>
      <c r="O49" s="294"/>
      <c r="P49" s="12"/>
    </row>
    <row r="50" spans="2:57" ht="15" customHeight="1">
      <c r="B50" s="627"/>
      <c r="C50" s="349"/>
      <c r="D50" s="580"/>
      <c r="E50" s="568"/>
      <c r="F50" s="294"/>
      <c r="G50" s="42"/>
      <c r="H50" s="42"/>
      <c r="I50" s="42"/>
      <c r="J50" s="289" t="s">
        <v>33</v>
      </c>
      <c r="K50" s="324"/>
      <c r="L50" s="294"/>
      <c r="M50" s="294"/>
      <c r="N50" s="294"/>
      <c r="O50" s="294"/>
      <c r="P50" s="12"/>
    </row>
    <row r="51" spans="2:57" ht="15">
      <c r="B51" s="627"/>
      <c r="C51" s="349"/>
      <c r="D51" s="616"/>
      <c r="E51" s="617"/>
      <c r="F51" s="294"/>
      <c r="G51" s="42"/>
      <c r="H51" s="42"/>
      <c r="I51" s="42"/>
      <c r="J51" s="290" t="s">
        <v>16</v>
      </c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627"/>
      <c r="C52" s="349"/>
      <c r="D52" s="580"/>
      <c r="E52" s="568"/>
      <c r="F52" s="294"/>
      <c r="G52" s="42"/>
      <c r="H52" s="42"/>
      <c r="I52" s="42"/>
      <c r="J52" s="291" t="s">
        <v>15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627"/>
      <c r="C53" s="349"/>
      <c r="D53" s="616"/>
      <c r="E53" s="617"/>
      <c r="F53" s="294"/>
      <c r="G53" s="42"/>
      <c r="H53" s="42"/>
      <c r="I53" s="42"/>
      <c r="J53" s="291" t="s">
        <v>149</v>
      </c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628"/>
      <c r="C54" s="350"/>
      <c r="D54" s="618"/>
      <c r="E54" s="619"/>
      <c r="F54" s="294" t="s">
        <v>165</v>
      </c>
      <c r="G54" s="42"/>
      <c r="H54" s="42"/>
      <c r="I54" s="42"/>
      <c r="J54" s="291" t="s">
        <v>148</v>
      </c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610"/>
      <c r="E55" s="611"/>
      <c r="F55" s="294"/>
      <c r="J55" s="295" t="s">
        <v>134</v>
      </c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42"/>
      <c r="J56" s="295" t="s">
        <v>131</v>
      </c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42"/>
      <c r="J57" s="346" t="s">
        <v>130</v>
      </c>
      <c r="K57" s="324">
        <f>SUM(K47:K56)</f>
        <v>0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90" t="s">
        <v>17</v>
      </c>
      <c r="C60" s="590" t="s">
        <v>44</v>
      </c>
      <c r="D60" s="592" t="s">
        <v>45</v>
      </c>
      <c r="E60" s="547" t="s">
        <v>46</v>
      </c>
      <c r="F60" s="607" t="s">
        <v>47</v>
      </c>
      <c r="G60" s="601" t="s">
        <v>48</v>
      </c>
      <c r="H60" s="590" t="s">
        <v>49</v>
      </c>
      <c r="I60" s="590" t="s">
        <v>50</v>
      </c>
      <c r="J60" s="595" t="s">
        <v>28</v>
      </c>
      <c r="K60" s="545" t="s">
        <v>51</v>
      </c>
      <c r="L60" s="557" t="s">
        <v>52</v>
      </c>
      <c r="M60" s="595" t="s">
        <v>53</v>
      </c>
      <c r="N60" s="13"/>
      <c r="O60" s="13"/>
      <c r="P60" s="50"/>
    </row>
    <row r="61" spans="2:57" ht="28.5" customHeight="1" thickTop="1" thickBot="1">
      <c r="B61" s="609"/>
      <c r="C61" s="591"/>
      <c r="D61" s="593"/>
      <c r="E61" s="594"/>
      <c r="F61" s="608"/>
      <c r="G61" s="602"/>
      <c r="H61" s="609"/>
      <c r="I61" s="609"/>
      <c r="J61" s="596"/>
      <c r="K61" s="605"/>
      <c r="L61" s="606"/>
      <c r="M61" s="596"/>
      <c r="N61" s="13"/>
      <c r="O61" s="13"/>
      <c r="P61" s="50"/>
      <c r="Q61" s="355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hidden="1" customHeight="1" thickBot="1">
      <c r="B62" s="455" t="str">
        <f>I33</f>
        <v>CARIB</v>
      </c>
      <c r="C62" s="478"/>
      <c r="D62" s="444"/>
      <c r="E62" s="442"/>
      <c r="F62" s="443"/>
      <c r="G62" s="443"/>
      <c r="H62" s="457"/>
      <c r="I62" s="457"/>
      <c r="J62" s="447" t="s">
        <v>181</v>
      </c>
      <c r="K62" s="448"/>
      <c r="L62" s="456" t="e">
        <f>(((D62+E62)-G62)/(D62+E62))*100</f>
        <v>#DIV/0!</v>
      </c>
      <c r="M62" s="454" t="s">
        <v>182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[27]January_2019!L5</f>
        <v>0</v>
      </c>
      <c r="AC62" s="57">
        <f>[27]January_2019!M5</f>
        <v>0</v>
      </c>
      <c r="AD62" s="57">
        <f>[27]January_2019!N5</f>
        <v>0</v>
      </c>
      <c r="AE62" s="57">
        <f>[27]January_2019!O5</f>
        <v>0</v>
      </c>
      <c r="AF62" s="57">
        <f>[27]January_2019!P5</f>
        <v>0</v>
      </c>
      <c r="AG62" s="57">
        <f>[27]January_2019!Q5</f>
        <v>0</v>
      </c>
      <c r="AH62" s="57">
        <f>[27]January_2019!R5</f>
        <v>0</v>
      </c>
      <c r="AI62" s="57">
        <f>[27]January_2019!S5</f>
        <v>0</v>
      </c>
      <c r="AJ62" s="57">
        <f>[27]January_2019!T5</f>
        <v>0</v>
      </c>
      <c r="AK62" s="57">
        <f>[27]January_2019!U5</f>
        <v>0</v>
      </c>
      <c r="AL62" s="57">
        <f>[27]January_2019!V5</f>
        <v>0</v>
      </c>
      <c r="AM62" s="57">
        <f>[27]January_2019!W5</f>
        <v>0</v>
      </c>
      <c r="AN62" s="57">
        <f>[27]January_2019!X5</f>
        <v>0</v>
      </c>
      <c r="AO62" s="57">
        <f>[27]January_2019!Y5</f>
        <v>0</v>
      </c>
      <c r="AP62" s="57">
        <f>[27]January_2019!Z5</f>
        <v>0</v>
      </c>
      <c r="AQ62" s="57">
        <f>[27]January_2019!AA5</f>
        <v>0</v>
      </c>
      <c r="AR62" s="57">
        <f>[27]January_2019!AB5</f>
        <v>0</v>
      </c>
      <c r="AS62" s="57">
        <f>[27]January_2019!AC5</f>
        <v>0</v>
      </c>
      <c r="AT62" s="57">
        <f>[27]January_2019!AD5</f>
        <v>0</v>
      </c>
      <c r="AU62" s="57">
        <f>[27]January_2019!AE5</f>
        <v>0</v>
      </c>
      <c r="AV62" s="57">
        <f>[27]January_2019!AF5</f>
        <v>0</v>
      </c>
      <c r="AW62" s="57">
        <f>[27]January_2019!AG5</f>
        <v>0</v>
      </c>
      <c r="AX62" s="277">
        <f>[27]January_2019!AH5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hidden="1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[27]January_2019!L6</f>
        <v>0</v>
      </c>
      <c r="AC63" s="57">
        <f>[27]January_2019!M6</f>
        <v>0</v>
      </c>
      <c r="AD63" s="57">
        <f>[27]January_2019!N6</f>
        <v>0</v>
      </c>
      <c r="AE63" s="57">
        <f>[27]January_2019!O6</f>
        <v>0</v>
      </c>
      <c r="AF63" s="57">
        <f>[27]January_2019!P6</f>
        <v>0</v>
      </c>
      <c r="AG63" s="57">
        <f>[27]January_2019!Q6</f>
        <v>0</v>
      </c>
      <c r="AH63" s="57">
        <f>[27]January_2019!R6</f>
        <v>0</v>
      </c>
      <c r="AI63" s="57">
        <f>[27]January_2019!S6</f>
        <v>0</v>
      </c>
      <c r="AJ63" s="57">
        <f>[27]January_2019!T6</f>
        <v>0</v>
      </c>
      <c r="AK63" s="57">
        <f>[27]January_2019!U6</f>
        <v>0</v>
      </c>
      <c r="AL63" s="57">
        <f>[27]January_2019!V6</f>
        <v>0</v>
      </c>
      <c r="AM63" s="57">
        <f>[27]January_2019!W6</f>
        <v>0</v>
      </c>
      <c r="AN63" s="57">
        <f>[27]January_2019!X6</f>
        <v>0</v>
      </c>
      <c r="AO63" s="57">
        <f>[27]January_2019!Y6</f>
        <v>0</v>
      </c>
      <c r="AP63" s="57">
        <f>[27]January_2019!Z6</f>
        <v>0</v>
      </c>
      <c r="AQ63" s="57">
        <f>[27]January_2019!AA6</f>
        <v>0</v>
      </c>
      <c r="AR63" s="57">
        <f>[27]January_2019!AB6</f>
        <v>0</v>
      </c>
      <c r="AS63" s="57">
        <f>[27]January_2019!AC6</f>
        <v>0</v>
      </c>
      <c r="AT63" s="57">
        <f>[27]January_2019!AD6</f>
        <v>0</v>
      </c>
      <c r="AU63" s="57">
        <f>[27]January_2019!AE6</f>
        <v>0</v>
      </c>
      <c r="AV63" s="57">
        <f>[27]January_2019!AF6</f>
        <v>0</v>
      </c>
      <c r="AW63" s="57">
        <f>[27]January_2019!AG6</f>
        <v>0</v>
      </c>
      <c r="AX63" s="277">
        <f>[27]January_2019!AH6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hidden="1" customHeight="1" thickBot="1">
      <c r="B64" s="496" t="str">
        <f>B81</f>
        <v>STARMALT</v>
      </c>
      <c r="C64" s="478"/>
      <c r="D64" s="441"/>
      <c r="E64" s="442"/>
      <c r="F64" s="443"/>
      <c r="G64" s="443"/>
      <c r="H64" s="445"/>
      <c r="I64" s="445"/>
      <c r="J64" s="447" t="s">
        <v>173</v>
      </c>
      <c r="K64" s="448"/>
      <c r="L64" s="497" t="e">
        <f>(((D64+E64)-G64)/(D64+E64))*100</f>
        <v>#DIV/0!</v>
      </c>
      <c r="M64" s="454" t="s">
        <v>171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[27]January_2019!L7</f>
        <v>285.8</v>
      </c>
      <c r="AC64" s="57">
        <f>[27]January_2019!M7</f>
        <v>508.1</v>
      </c>
      <c r="AD64" s="57">
        <f>[27]January_2019!N7</f>
        <v>0</v>
      </c>
      <c r="AE64" s="57">
        <f>[27]January_2019!O7</f>
        <v>0</v>
      </c>
      <c r="AF64" s="57">
        <f>[27]January_2019!P7</f>
        <v>109.56666666666666</v>
      </c>
      <c r="AG64" s="57">
        <f>[27]January_2019!Q7</f>
        <v>297.64999999999998</v>
      </c>
      <c r="AH64" s="57">
        <f>[27]January_2019!R7</f>
        <v>122.3</v>
      </c>
      <c r="AI64" s="57">
        <f>[27]January_2019!S7</f>
        <v>0</v>
      </c>
      <c r="AJ64" s="57">
        <f>[27]January_2019!T7</f>
        <v>294.7</v>
      </c>
      <c r="AK64" s="57">
        <f>[27]January_2019!U7</f>
        <v>280.5</v>
      </c>
      <c r="AL64" s="57">
        <f>[27]January_2019!V7</f>
        <v>0</v>
      </c>
      <c r="AM64" s="57">
        <f>[27]January_2019!W7</f>
        <v>0</v>
      </c>
      <c r="AN64" s="57">
        <f>[27]January_2019!X7</f>
        <v>188.25</v>
      </c>
      <c r="AO64" s="57">
        <f>[27]January_2019!Y7</f>
        <v>295.7</v>
      </c>
      <c r="AP64" s="57">
        <f>[27]January_2019!Z7</f>
        <v>257.8</v>
      </c>
      <c r="AQ64" s="57">
        <f>[27]January_2019!AA7</f>
        <v>291.2</v>
      </c>
      <c r="AR64" s="57">
        <f>[27]January_2019!AB7</f>
        <v>187</v>
      </c>
      <c r="AS64" s="57">
        <f>[27]January_2019!AC7</f>
        <v>0</v>
      </c>
      <c r="AT64" s="57">
        <f>[27]January_2019!AD7</f>
        <v>0</v>
      </c>
      <c r="AU64" s="57">
        <f>[27]January_2019!AE7</f>
        <v>485.1</v>
      </c>
      <c r="AV64" s="57">
        <f>[27]January_2019!AF7</f>
        <v>171.55</v>
      </c>
      <c r="AW64" s="57">
        <f>[27]January_2019!AG7</f>
        <v>423.8</v>
      </c>
      <c r="AX64" s="277">
        <f>[27]January_2019!AH7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" hidden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21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14"/>
      <c r="AC69" s="414"/>
      <c r="AD69" s="414"/>
      <c r="AE69" s="414"/>
      <c r="AF69" s="414"/>
      <c r="AG69" s="414"/>
      <c r="AH69" s="414"/>
      <c r="AI69" s="414"/>
      <c r="AJ69" s="414"/>
      <c r="AK69" s="414"/>
      <c r="AL69" s="414"/>
      <c r="AM69" s="414"/>
      <c r="AN69" s="414"/>
      <c r="AO69" s="414"/>
      <c r="AP69" s="414"/>
      <c r="AQ69" s="414"/>
      <c r="AR69" s="414"/>
      <c r="AS69" s="414"/>
      <c r="AT69" s="414"/>
      <c r="AU69" s="414"/>
      <c r="AV69" s="414"/>
      <c r="AW69" s="414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597" t="s">
        <v>55</v>
      </c>
      <c r="C73" s="598"/>
      <c r="D73" s="598"/>
      <c r="E73" s="598"/>
      <c r="F73" s="599"/>
      <c r="G73" s="597" t="s">
        <v>56</v>
      </c>
      <c r="H73" s="598"/>
      <c r="I73" s="598"/>
      <c r="J73" s="599"/>
      <c r="K73" s="597" t="s">
        <v>51</v>
      </c>
      <c r="L73" s="598"/>
      <c r="M73" s="598"/>
      <c r="N73" s="600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5.1380368098159286</v>
      </c>
      <c r="E75" s="76">
        <v>6.3127517932078288</v>
      </c>
      <c r="F75" s="66">
        <v>4.8</v>
      </c>
      <c r="G75" s="65"/>
      <c r="H75" s="476">
        <v>6.1912025202534187</v>
      </c>
      <c r="I75" s="476">
        <v>6.4948937016600619</v>
      </c>
      <c r="J75" s="66">
        <v>4.8</v>
      </c>
      <c r="K75" s="67"/>
      <c r="L75" s="194">
        <v>0.81309941520467832</v>
      </c>
      <c r="M75" s="194">
        <v>0.56514650424210722</v>
      </c>
      <c r="N75" s="68">
        <v>1</v>
      </c>
      <c r="O75" s="56"/>
      <c r="P75" s="69"/>
    </row>
    <row r="76" spans="2:57" ht="15">
      <c r="B76" s="33" t="s">
        <v>9</v>
      </c>
      <c r="C76" s="65"/>
      <c r="D76" s="76">
        <v>6.0660124888492515</v>
      </c>
      <c r="E76" s="76">
        <v>6.0361392885041862</v>
      </c>
      <c r="F76" s="66">
        <v>4.8</v>
      </c>
      <c r="G76" s="65"/>
      <c r="H76" s="76">
        <v>6.1640340624899466</v>
      </c>
      <c r="I76" s="76">
        <v>5.9396439464574318</v>
      </c>
      <c r="J76" s="66">
        <v>4.8</v>
      </c>
      <c r="K76" s="67"/>
      <c r="L76" s="194">
        <v>0.71087719298245611</v>
      </c>
      <c r="M76" s="194">
        <v>0.68437301751248969</v>
      </c>
      <c r="N76" s="68">
        <v>1</v>
      </c>
      <c r="P76" s="69"/>
    </row>
    <row r="77" spans="2:57" ht="15">
      <c r="B77" s="34" t="s">
        <v>40</v>
      </c>
      <c r="C77" s="65"/>
      <c r="D77" s="76">
        <v>7.2586328400281719</v>
      </c>
      <c r="E77" s="76">
        <v>10.57086906945613</v>
      </c>
      <c r="F77" s="66">
        <v>5.5</v>
      </c>
      <c r="G77" s="65"/>
      <c r="H77" s="76">
        <v>8.3572982592313725</v>
      </c>
      <c r="I77" s="76">
        <v>11.49802517103547</v>
      </c>
      <c r="J77" s="66">
        <v>5.5</v>
      </c>
      <c r="K77" s="67"/>
      <c r="L77" s="194">
        <v>1.385263157894737</v>
      </c>
      <c r="M77" s="194">
        <v>0.42247265385686439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4.6522194119603313</v>
      </c>
      <c r="I78" s="76">
        <v>4.8325383920386296</v>
      </c>
      <c r="J78" s="66">
        <v>3.3</v>
      </c>
      <c r="K78" s="67"/>
      <c r="L78" s="194">
        <v>1.1878947368421053</v>
      </c>
      <c r="M78" s="194">
        <v>0.8473099415204679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>
        <v>0.84622823984524742</v>
      </c>
      <c r="E81" s="76">
        <v>3.7586797925639486</v>
      </c>
      <c r="F81" s="66">
        <v>3.3</v>
      </c>
      <c r="G81" s="282"/>
      <c r="H81" s="76">
        <v>4.0067212349015007</v>
      </c>
      <c r="I81" s="76">
        <v>5.0257518320273871</v>
      </c>
      <c r="J81" s="66">
        <v>3.3</v>
      </c>
      <c r="K81" s="67"/>
      <c r="L81" s="194">
        <v>0.71947368421052638</v>
      </c>
      <c r="M81" s="194">
        <v>0.87835004177109433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4.9528406127626257</v>
      </c>
      <c r="E84" s="76">
        <v>6.248559970947877</v>
      </c>
      <c r="F84" s="341">
        <v>5.5</v>
      </c>
      <c r="H84" s="76">
        <v>5.963225048197593</v>
      </c>
      <c r="I84" s="76">
        <v>6.5931867160290176</v>
      </c>
      <c r="J84" s="341">
        <v>5.5</v>
      </c>
      <c r="L84" s="194">
        <v>0.86429174788823926</v>
      </c>
      <c r="M84" s="194">
        <v>0.61886050467768883</v>
      </c>
      <c r="N84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B45:B54"/>
    <mergeCell ref="D45:E46"/>
    <mergeCell ref="J45:K45"/>
    <mergeCell ref="L46:N46"/>
    <mergeCell ref="D47:E48"/>
    <mergeCell ref="D49:E50"/>
    <mergeCell ref="D51:E52"/>
    <mergeCell ref="D53:E54"/>
    <mergeCell ref="D55:E55"/>
    <mergeCell ref="B60:B61"/>
    <mergeCell ref="C60:C61"/>
    <mergeCell ref="D60:D61"/>
    <mergeCell ref="E60:E61"/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F60:F61"/>
  </mergeCells>
  <conditionalFormatting sqref="B55:B56">
    <cfRule type="cellIs" dxfId="383" priority="114" operator="notBetween">
      <formula>#REF!</formula>
      <formula>#REF!</formula>
    </cfRule>
  </conditionalFormatting>
  <conditionalFormatting sqref="C59">
    <cfRule type="cellIs" dxfId="382" priority="197" stopIfTrue="1" operator="greaterThan">
      <formula>100</formula>
    </cfRule>
    <cfRule type="cellIs" dxfId="381" priority="196" stopIfTrue="1" operator="lessThan">
      <formula>96</formula>
    </cfRule>
  </conditionalFormatting>
  <conditionalFormatting sqref="C75:C76">
    <cfRule type="cellIs" dxfId="380" priority="80" stopIfTrue="1" operator="lessThanOrEqual">
      <formula>0</formula>
    </cfRule>
    <cfRule type="cellIs" dxfId="379" priority="79" stopIfTrue="1" operator="greaterThan">
      <formula>$F75</formula>
    </cfRule>
    <cfRule type="cellIs" dxfId="378" priority="78" stopIfTrue="1" operator="lessThanOrEqual">
      <formula>0</formula>
    </cfRule>
    <cfRule type="cellIs" dxfId="377" priority="77" stopIfTrue="1" operator="greaterThan">
      <formula>$F75</formula>
    </cfRule>
  </conditionalFormatting>
  <conditionalFormatting sqref="C77:C79 C81:C83">
    <cfRule type="cellIs" dxfId="376" priority="86" stopIfTrue="1" operator="greaterThan">
      <formula>$F80</formula>
    </cfRule>
  </conditionalFormatting>
  <conditionalFormatting sqref="C77:C79">
    <cfRule type="cellIs" dxfId="375" priority="87" stopIfTrue="1" operator="lessThanOrEqual">
      <formula>0</formula>
    </cfRule>
  </conditionalFormatting>
  <conditionalFormatting sqref="C80">
    <cfRule type="cellIs" dxfId="374" priority="200" stopIfTrue="1" operator="greaterThan">
      <formula>$F75</formula>
    </cfRule>
    <cfRule type="cellIs" dxfId="373" priority="199" stopIfTrue="1" operator="lessThanOrEqual">
      <formula>0</formula>
    </cfRule>
    <cfRule type="cellIs" dxfId="372" priority="198" stopIfTrue="1" operator="greaterThan">
      <formula>$F75</formula>
    </cfRule>
    <cfRule type="cellIs" dxfId="371" priority="201" stopIfTrue="1" operator="lessThanOrEqual">
      <formula>0</formula>
    </cfRule>
  </conditionalFormatting>
  <conditionalFormatting sqref="C81:C83">
    <cfRule type="cellIs" dxfId="370" priority="88" stopIfTrue="1" operator="lessThanOrEqual">
      <formula>0</formula>
    </cfRule>
  </conditionalFormatting>
  <conditionalFormatting sqref="C86:C90">
    <cfRule type="cellIs" dxfId="369" priority="188" stopIfTrue="1" operator="lessThanOrEqual">
      <formula>0</formula>
    </cfRule>
  </conditionalFormatting>
  <conditionalFormatting sqref="C87:C90">
    <cfRule type="cellIs" dxfId="368" priority="187" stopIfTrue="1" operator="greaterThan">
      <formula>$F$86</formula>
    </cfRule>
  </conditionalFormatting>
  <conditionalFormatting sqref="C92">
    <cfRule type="cellIs" dxfId="367" priority="190" stopIfTrue="1" operator="lessThanOrEqual">
      <formula>0</formula>
    </cfRule>
    <cfRule type="cellIs" dxfId="366" priority="189" stopIfTrue="1" operator="greaterThan">
      <formula>$F$86</formula>
    </cfRule>
  </conditionalFormatting>
  <conditionalFormatting sqref="C80:D80">
    <cfRule type="cellIs" dxfId="365" priority="76" stopIfTrue="1" operator="lessThanOrEqual">
      <formula>0</formula>
    </cfRule>
    <cfRule type="cellIs" dxfId="364" priority="75" stopIfTrue="1" operator="greaterThan">
      <formula>$J80</formula>
    </cfRule>
  </conditionalFormatting>
  <conditionalFormatting sqref="C86:D86 D88:D94">
    <cfRule type="cellIs" dxfId="363" priority="182" stopIfTrue="1" operator="greaterThan">
      <formula>4.5</formula>
    </cfRule>
  </conditionalFormatting>
  <conditionalFormatting sqref="D55:D56">
    <cfRule type="cellIs" dxfId="362" priority="115" operator="notBetween">
      <formula>#REF!</formula>
      <formula>#REF!</formula>
    </cfRule>
  </conditionalFormatting>
  <conditionalFormatting sqref="D75:D79 D81:D82">
    <cfRule type="cellIs" dxfId="361" priority="85" stopIfTrue="1" operator="lessThanOrEqual">
      <formula>0</formula>
    </cfRule>
  </conditionalFormatting>
  <conditionalFormatting sqref="D75:D79 D81:D84">
    <cfRule type="cellIs" dxfId="360" priority="82" stopIfTrue="1" operator="greaterThan">
      <formula>$F75</formula>
    </cfRule>
    <cfRule type="cellIs" dxfId="359" priority="81" stopIfTrue="1" operator="lessThanOrEqual">
      <formula>0</formula>
    </cfRule>
  </conditionalFormatting>
  <conditionalFormatting sqref="D83:D84">
    <cfRule type="cellIs" dxfId="358" priority="83" stopIfTrue="1" operator="lessThanOrEqual">
      <formula>0</formula>
    </cfRule>
  </conditionalFormatting>
  <conditionalFormatting sqref="D84">
    <cfRule type="cellIs" dxfId="357" priority="84" stopIfTrue="1" operator="lessThanOrEqual">
      <formula>0</formula>
    </cfRule>
  </conditionalFormatting>
  <conditionalFormatting sqref="D86 D88:D94">
    <cfRule type="cellIs" dxfId="356" priority="183" stopIfTrue="1" operator="lessThanOrEqual">
      <formula>0</formula>
    </cfRule>
  </conditionalFormatting>
  <conditionalFormatting sqref="D87">
    <cfRule type="cellIs" dxfId="355" priority="175" stopIfTrue="1" operator="lessThanOrEqual">
      <formula>0</formula>
    </cfRule>
    <cfRule type="cellIs" dxfId="354" priority="174" stopIfTrue="1" operator="greaterThan">
      <formula>$F$86</formula>
    </cfRule>
  </conditionalFormatting>
  <conditionalFormatting sqref="E10:E30">
    <cfRule type="cellIs" dxfId="353" priority="7" operator="lessThan">
      <formula>48</formula>
    </cfRule>
  </conditionalFormatting>
  <conditionalFormatting sqref="E58 E59:F59">
    <cfRule type="cellIs" dxfId="352" priority="179" stopIfTrue="1" operator="greaterThan">
      <formula>100</formula>
    </cfRule>
  </conditionalFormatting>
  <conditionalFormatting sqref="E59">
    <cfRule type="cellIs" dxfId="351" priority="177" stopIfTrue="1" operator="greaterThan">
      <formula>100</formula>
    </cfRule>
    <cfRule type="cellIs" dxfId="350" priority="176" stopIfTrue="1" operator="lessThan">
      <formula>96.8</formula>
    </cfRule>
  </conditionalFormatting>
  <conditionalFormatting sqref="E75:E83">
    <cfRule type="cellIs" dxfId="349" priority="48" stopIfTrue="1" operator="lessThanOrEqual">
      <formula>0</formula>
    </cfRule>
  </conditionalFormatting>
  <conditionalFormatting sqref="E75:E84">
    <cfRule type="cellIs" dxfId="348" priority="49" stopIfTrue="1" operator="greaterThan">
      <formula>$F75</formula>
    </cfRule>
    <cfRule type="cellIs" dxfId="347" priority="50" stopIfTrue="1" operator="lessThanOrEqual">
      <formula>0</formula>
    </cfRule>
  </conditionalFormatting>
  <conditionalFormatting sqref="E84">
    <cfRule type="cellIs" dxfId="346" priority="51" stopIfTrue="1" operator="lessThanOrEqual">
      <formula>0</formula>
    </cfRule>
  </conditionalFormatting>
  <conditionalFormatting sqref="E86:E94">
    <cfRule type="cellIs" dxfId="345" priority="168" stopIfTrue="1" operator="greaterThan">
      <formula>4.5</formula>
    </cfRule>
    <cfRule type="cellIs" dxfId="344" priority="169" stopIfTrue="1" operator="lessThanOrEqual">
      <formula>0</formula>
    </cfRule>
  </conditionalFormatting>
  <conditionalFormatting sqref="E59:F59 E58">
    <cfRule type="cellIs" dxfId="343" priority="178" stopIfTrue="1" operator="lessThan">
      <formula>96.5</formula>
    </cfRule>
  </conditionalFormatting>
  <conditionalFormatting sqref="F10:F30">
    <cfRule type="cellIs" dxfId="342" priority="8" operator="greaterThan">
      <formula>60</formula>
    </cfRule>
  </conditionalFormatting>
  <conditionalFormatting sqref="F59">
    <cfRule type="cellIs" dxfId="341" priority="194" stopIfTrue="1" operator="lessThan">
      <formula>96.8</formula>
    </cfRule>
    <cfRule type="cellIs" dxfId="340" priority="195" stopIfTrue="1" operator="greaterThan">
      <formula>100</formula>
    </cfRule>
  </conditionalFormatting>
  <conditionalFormatting sqref="G30">
    <cfRule type="expression" dxfId="339" priority="25">
      <formula>IF(+(IF(G30&lt;S30,0,IF(G30&gt;T30,0,1)))=0,1)</formula>
    </cfRule>
  </conditionalFormatting>
  <conditionalFormatting sqref="G75:G78 F84">
    <cfRule type="cellIs" dxfId="338" priority="57" stopIfTrue="1" operator="greaterThan">
      <formula>$F75</formula>
    </cfRule>
    <cfRule type="cellIs" dxfId="337" priority="58" stopIfTrue="1" operator="lessThanOrEqual">
      <formula>0</formula>
    </cfRule>
  </conditionalFormatting>
  <conditionalFormatting sqref="G77:G78">
    <cfRule type="cellIs" dxfId="336" priority="43" stopIfTrue="1" operator="greaterThan">
      <formula>$F77</formula>
    </cfRule>
    <cfRule type="cellIs" dxfId="335" priority="44" stopIfTrue="1" operator="lessThanOrEqual">
      <formula>0</formula>
    </cfRule>
  </conditionalFormatting>
  <conditionalFormatting sqref="G79:G83">
    <cfRule type="cellIs" dxfId="334" priority="59" stopIfTrue="1" operator="greaterThan">
      <formula>$J79</formula>
    </cfRule>
    <cfRule type="cellIs" dxfId="333" priority="60" stopIfTrue="1" operator="lessThanOrEqual">
      <formula>0</formula>
    </cfRule>
  </conditionalFormatting>
  <conditionalFormatting sqref="G80">
    <cfRule type="cellIs" dxfId="332" priority="203" stopIfTrue="1" operator="lessThanOrEqual">
      <formula>0</formula>
    </cfRule>
    <cfRule type="cellIs" dxfId="331" priority="202" stopIfTrue="1" operator="greaterThan">
      <formula>$F75</formula>
    </cfRule>
  </conditionalFormatting>
  <conditionalFormatting sqref="G88:G93 C91 C93">
    <cfRule type="cellIs" dxfId="330" priority="192" stopIfTrue="1" operator="lessThanOrEqual">
      <formula>0</formula>
    </cfRule>
    <cfRule type="cellIs" dxfId="329" priority="191" stopIfTrue="1" operator="greaterThan">
      <formula>4.5</formula>
    </cfRule>
  </conditionalFormatting>
  <conditionalFormatting sqref="G10:H17 M10:N29">
    <cfRule type="expression" dxfId="328" priority="10">
      <formula>IF(+(IF(G10&lt;#REF!,0,IF(G10&gt;#REF!,0,1)))=0,1)</formula>
    </cfRule>
  </conditionalFormatting>
  <conditionalFormatting sqref="G87:H87">
    <cfRule type="cellIs" dxfId="327" priority="172" stopIfTrue="1" operator="greaterThan">
      <formula>$F$86</formula>
    </cfRule>
    <cfRule type="cellIs" dxfId="326" priority="173" stopIfTrue="1" operator="lessThanOrEqual">
      <formula>0</formula>
    </cfRule>
  </conditionalFormatting>
  <conditionalFormatting sqref="H18:H30">
    <cfRule type="expression" dxfId="325" priority="23">
      <formula>IF(+(IF(H18&lt;#REF!,0,IF(H18&gt;#REF!,0,1)))=0,1)</formula>
    </cfRule>
  </conditionalFormatting>
  <conditionalFormatting sqref="H44:H45 H58">
    <cfRule type="cellIs" dxfId="324" priority="170" stopIfTrue="1" operator="greaterThan">
      <formula>0</formula>
    </cfRule>
  </conditionalFormatting>
  <conditionalFormatting sqref="H62">
    <cfRule type="cellIs" dxfId="323" priority="62" stopIfTrue="1" operator="lessThanOrEqual">
      <formula>0</formula>
    </cfRule>
    <cfRule type="cellIs" dxfId="322" priority="71" stopIfTrue="1" operator="greaterThan">
      <formula>$F$78</formula>
    </cfRule>
    <cfRule type="cellIs" dxfId="321" priority="72" stopIfTrue="1" operator="lessThanOrEqual">
      <formula>0</formula>
    </cfRule>
    <cfRule type="cellIs" dxfId="320" priority="73" stopIfTrue="1" operator="greaterThan">
      <formula>$F$76</formula>
    </cfRule>
    <cfRule type="cellIs" dxfId="319" priority="63" stopIfTrue="1" operator="greaterThan">
      <formula>$F$75</formula>
    </cfRule>
  </conditionalFormatting>
  <conditionalFormatting sqref="H62:H63">
    <cfRule type="cellIs" dxfId="318" priority="74" stopIfTrue="1" operator="lessThanOrEqual">
      <formula>0</formula>
    </cfRule>
  </conditionalFormatting>
  <conditionalFormatting sqref="H63 H65:H66">
    <cfRule type="cellIs" dxfId="317" priority="100" stopIfTrue="1" operator="lessThanOrEqual">
      <formula>0</formula>
    </cfRule>
  </conditionalFormatting>
  <conditionalFormatting sqref="H63">
    <cfRule type="cellIs" dxfId="316" priority="98" stopIfTrue="1" operator="lessThanOrEqual">
      <formula>0</formula>
    </cfRule>
    <cfRule type="cellIs" dxfId="315" priority="89" stopIfTrue="1" operator="greaterThan">
      <formula>$F$75</formula>
    </cfRule>
    <cfRule type="cellIs" dxfId="314" priority="97" stopIfTrue="1" operator="greaterThan">
      <formula>$F$78</formula>
    </cfRule>
    <cfRule type="cellIs" dxfId="313" priority="99" stopIfTrue="1" operator="greaterThan">
      <formula>$F$76</formula>
    </cfRule>
  </conditionalFormatting>
  <conditionalFormatting sqref="H64">
    <cfRule type="cellIs" dxfId="312" priority="41" stopIfTrue="1" operator="lessThanOrEqual">
      <formula>0</formula>
    </cfRule>
    <cfRule type="cellIs" dxfId="311" priority="29" stopIfTrue="1" operator="lessThanOrEqual">
      <formula>0</formula>
    </cfRule>
    <cfRule type="cellIs" dxfId="310" priority="30" stopIfTrue="1" operator="greaterThan">
      <formula>$F$77</formula>
    </cfRule>
    <cfRule type="cellIs" dxfId="309" priority="38" stopIfTrue="1" operator="greaterThan">
      <formula>$F$80</formula>
    </cfRule>
    <cfRule type="cellIs" dxfId="308" priority="39" stopIfTrue="1" operator="lessThanOrEqual">
      <formula>0</formula>
    </cfRule>
    <cfRule type="cellIs" dxfId="307" priority="40" stopIfTrue="1" operator="greaterThan">
      <formula>$F$78</formula>
    </cfRule>
  </conditionalFormatting>
  <conditionalFormatting sqref="H65:H66">
    <cfRule type="cellIs" dxfId="306" priority="111" stopIfTrue="1" operator="lessThanOrEqual">
      <formula>0</formula>
    </cfRule>
    <cfRule type="cellIs" dxfId="305" priority="112" stopIfTrue="1" operator="greaterThan">
      <formula>$F$76</formula>
    </cfRule>
    <cfRule type="cellIs" dxfId="304" priority="110" stopIfTrue="1" operator="greaterThan">
      <formula>$F$78</formula>
    </cfRule>
    <cfRule type="cellIs" dxfId="303" priority="102" stopIfTrue="1" operator="greaterThan">
      <formula>$F$75</formula>
    </cfRule>
    <cfRule type="cellIs" dxfId="302" priority="113" stopIfTrue="1" operator="lessThanOrEqual">
      <formula>0</formula>
    </cfRule>
  </conditionalFormatting>
  <conditionalFormatting sqref="H67:H68">
    <cfRule type="cellIs" dxfId="301" priority="137" stopIfTrue="1" operator="lessThanOrEqual">
      <formula>0</formula>
    </cfRule>
    <cfRule type="cellIs" dxfId="300" priority="146" stopIfTrue="1" operator="greaterThan">
      <formula>#REF!</formula>
    </cfRule>
    <cfRule type="cellIs" dxfId="299" priority="138" stopIfTrue="1" operator="greaterThan">
      <formula>#REF!</formula>
    </cfRule>
    <cfRule type="cellIs" dxfId="298" priority="147" stopIfTrue="1" operator="lessThanOrEqual">
      <formula>0</formula>
    </cfRule>
  </conditionalFormatting>
  <conditionalFormatting sqref="H69">
    <cfRule type="cellIs" dxfId="297" priority="150" stopIfTrue="1" operator="greaterThan">
      <formula>$F$43</formula>
    </cfRule>
    <cfRule type="cellIs" dxfId="296" priority="149" stopIfTrue="1" operator="lessThanOrEqual">
      <formula>0</formula>
    </cfRule>
    <cfRule type="cellIs" dxfId="295" priority="160" stopIfTrue="1" operator="greaterThan">
      <formula>$F$44</formula>
    </cfRule>
    <cfRule type="cellIs" dxfId="294" priority="158" stopIfTrue="1" operator="greaterThan">
      <formula>$F$46</formula>
    </cfRule>
    <cfRule type="cellIs" dxfId="293" priority="159" stopIfTrue="1" operator="lessThanOrEqual">
      <formula>0</formula>
    </cfRule>
    <cfRule type="cellIs" dxfId="292" priority="161" stopIfTrue="1" operator="lessThanOrEqual">
      <formula>0</formula>
    </cfRule>
  </conditionalFormatting>
  <conditionalFormatting sqref="H70:H71">
    <cfRule type="cellIs" dxfId="291" priority="134" stopIfTrue="1" operator="greaterThan">
      <formula>#REF!</formula>
    </cfRule>
    <cfRule type="cellIs" dxfId="290" priority="135" stopIfTrue="1" operator="lessThanOrEqual">
      <formula>0</formula>
    </cfRule>
    <cfRule type="cellIs" dxfId="289" priority="125" stopIfTrue="1" operator="lessThanOrEqual">
      <formula>0</formula>
    </cfRule>
    <cfRule type="cellIs" dxfId="288" priority="126" stopIfTrue="1" operator="greaterThan">
      <formula>#REF!</formula>
    </cfRule>
  </conditionalFormatting>
  <conditionalFormatting sqref="H86 H88:H94">
    <cfRule type="cellIs" dxfId="287" priority="184" stopIfTrue="1" operator="greaterThan">
      <formula>4.5</formula>
    </cfRule>
    <cfRule type="cellIs" dxfId="286" priority="185" stopIfTrue="1" operator="lessThanOrEqual">
      <formula>0</formula>
    </cfRule>
  </conditionalFormatting>
  <conditionalFormatting sqref="H62:I62">
    <cfRule type="cellIs" dxfId="285" priority="64" stopIfTrue="1" operator="lessThanOrEqual">
      <formula>0</formula>
    </cfRule>
  </conditionalFormatting>
  <conditionalFormatting sqref="H62:I63 H65:I66">
    <cfRule type="cellIs" dxfId="284" priority="61" stopIfTrue="1" operator="greaterThan">
      <formula>$F$77</formula>
    </cfRule>
  </conditionalFormatting>
  <conditionalFormatting sqref="H63:I63">
    <cfRule type="cellIs" dxfId="283" priority="90" stopIfTrue="1" operator="lessThanOrEqual">
      <formula>0</formula>
    </cfRule>
  </conditionalFormatting>
  <conditionalFormatting sqref="H64:I64">
    <cfRule type="cellIs" dxfId="282" priority="28" stopIfTrue="1" operator="greaterThan">
      <formula>$F$79</formula>
    </cfRule>
    <cfRule type="cellIs" dxfId="281" priority="31" stopIfTrue="1" operator="lessThanOrEqual">
      <formula>0</formula>
    </cfRule>
  </conditionalFormatting>
  <conditionalFormatting sqref="H65:I66">
    <cfRule type="cellIs" dxfId="280" priority="103" stopIfTrue="1" operator="lessThanOrEqual">
      <formula>0</formula>
    </cfRule>
  </conditionalFormatting>
  <conditionalFormatting sqref="H67:I68">
    <cfRule type="cellIs" dxfId="279" priority="136" stopIfTrue="1" operator="greaterThan">
      <formula>#REF!</formula>
    </cfRule>
    <cfRule type="cellIs" dxfId="278" priority="139" stopIfTrue="1" operator="lessThanOrEqual">
      <formula>0</formula>
    </cfRule>
    <cfRule type="cellIs" dxfId="277" priority="144" stopIfTrue="1" operator="greaterThan">
      <formula>#REF!</formula>
    </cfRule>
    <cfRule type="cellIs" dxfId="276" priority="145" stopIfTrue="1" operator="lessThanOrEqual">
      <formula>0</formula>
    </cfRule>
  </conditionalFormatting>
  <conditionalFormatting sqref="H69:I69">
    <cfRule type="cellIs" dxfId="275" priority="148" stopIfTrue="1" operator="greaterThan">
      <formula>$F$45</formula>
    </cfRule>
    <cfRule type="cellIs" dxfId="274" priority="151" stopIfTrue="1" operator="lessThanOrEqual">
      <formula>0</formula>
    </cfRule>
  </conditionalFormatting>
  <conditionalFormatting sqref="H70:I71">
    <cfRule type="cellIs" dxfId="273" priority="127" stopIfTrue="1" operator="lessThanOrEqual">
      <formula>0</formula>
    </cfRule>
    <cfRule type="cellIs" dxfId="272" priority="132" stopIfTrue="1" operator="greaterThan">
      <formula>#REF!</formula>
    </cfRule>
    <cfRule type="cellIs" dxfId="271" priority="133" stopIfTrue="1" operator="lessThanOrEqual">
      <formula>0</formula>
    </cfRule>
    <cfRule type="cellIs" dxfId="270" priority="124" stopIfTrue="1" operator="greaterThan">
      <formula>#REF!</formula>
    </cfRule>
  </conditionalFormatting>
  <conditionalFormatting sqref="H75:I82">
    <cfRule type="cellIs" dxfId="269" priority="46" stopIfTrue="1" operator="greaterThan">
      <formula>$J75</formula>
    </cfRule>
    <cfRule type="cellIs" dxfId="268" priority="47" stopIfTrue="1" operator="lessThanOrEqual">
      <formula>0</formula>
    </cfRule>
  </conditionalFormatting>
  <conditionalFormatting sqref="H83:I83">
    <cfRule type="cellIs" dxfId="267" priority="54" operator="greaterThan">
      <formula>5.3</formula>
    </cfRule>
  </conditionalFormatting>
  <conditionalFormatting sqref="H84:I84">
    <cfRule type="cellIs" dxfId="266" priority="52" stopIfTrue="1" operator="greaterThan">
      <formula>$J84</formula>
    </cfRule>
    <cfRule type="cellIs" dxfId="265" priority="53" stopIfTrue="1" operator="lessThanOrEqual">
      <formula>0</formula>
    </cfRule>
  </conditionalFormatting>
  <conditionalFormatting sqref="I62">
    <cfRule type="cellIs" dxfId="264" priority="69" stopIfTrue="1" operator="greaterThan">
      <formula>$F$75</formula>
    </cfRule>
    <cfRule type="cellIs" dxfId="263" priority="70" stopIfTrue="1" operator="lessThanOrEqual">
      <formula>0</formula>
    </cfRule>
    <cfRule type="cellIs" dxfId="262" priority="68" stopIfTrue="1" operator="lessThanOrEqual">
      <formula>0</formula>
    </cfRule>
    <cfRule type="cellIs" dxfId="261" priority="67" stopIfTrue="1" operator="greaterThan">
      <formula>$F$77</formula>
    </cfRule>
    <cfRule type="cellIs" dxfId="260" priority="66" stopIfTrue="1" operator="lessThanOrEqual">
      <formula>0</formula>
    </cfRule>
    <cfRule type="cellIs" dxfId="259" priority="65" stopIfTrue="1" operator="greaterThan">
      <formula>$F$75</formula>
    </cfRule>
  </conditionalFormatting>
  <conditionalFormatting sqref="I63">
    <cfRule type="cellIs" dxfId="258" priority="92" stopIfTrue="1" operator="lessThanOrEqual">
      <formula>0</formula>
    </cfRule>
    <cfRule type="cellIs" dxfId="257" priority="95" stopIfTrue="1" operator="greaterThan">
      <formula>$F$75</formula>
    </cfRule>
    <cfRule type="cellIs" dxfId="256" priority="91" stopIfTrue="1" operator="greaterThan">
      <formula>$F$75</formula>
    </cfRule>
    <cfRule type="cellIs" dxfId="255" priority="96" stopIfTrue="1" operator="lessThanOrEqual">
      <formula>0</formula>
    </cfRule>
    <cfRule type="cellIs" dxfId="254" priority="94" stopIfTrue="1" operator="lessThanOrEqual">
      <formula>0</formula>
    </cfRule>
    <cfRule type="cellIs" dxfId="253" priority="93" stopIfTrue="1" operator="greaterThan">
      <formula>$F$77</formula>
    </cfRule>
  </conditionalFormatting>
  <conditionalFormatting sqref="I64">
    <cfRule type="cellIs" dxfId="252" priority="32" stopIfTrue="1" operator="greaterThan">
      <formula>$F$77</formula>
    </cfRule>
    <cfRule type="cellIs" dxfId="251" priority="35" stopIfTrue="1" operator="lessThanOrEqual">
      <formula>0</formula>
    </cfRule>
    <cfRule type="cellIs" dxfId="250" priority="36" stopIfTrue="1" operator="greaterThan">
      <formula>$F$77</formula>
    </cfRule>
    <cfRule type="cellIs" dxfId="249" priority="34" stopIfTrue="1" operator="greaterThan">
      <formula>$F$79</formula>
    </cfRule>
    <cfRule type="cellIs" dxfId="248" priority="33" stopIfTrue="1" operator="lessThanOrEqual">
      <formula>0</formula>
    </cfRule>
    <cfRule type="cellIs" dxfId="247" priority="37" stopIfTrue="1" operator="lessThanOrEqual">
      <formula>0</formula>
    </cfRule>
  </conditionalFormatting>
  <conditionalFormatting sqref="I65:I66">
    <cfRule type="cellIs" dxfId="246" priority="107" stopIfTrue="1" operator="lessThanOrEqual">
      <formula>0</formula>
    </cfRule>
    <cfRule type="cellIs" dxfId="245" priority="105" stopIfTrue="1" operator="lessThanOrEqual">
      <formula>0</formula>
    </cfRule>
    <cfRule type="cellIs" dxfId="244" priority="108" stopIfTrue="1" operator="greaterThan">
      <formula>$F$75</formula>
    </cfRule>
    <cfRule type="cellIs" dxfId="243" priority="109" stopIfTrue="1" operator="lessThanOrEqual">
      <formula>0</formula>
    </cfRule>
    <cfRule type="cellIs" dxfId="242" priority="106" stopIfTrue="1" operator="greaterThan">
      <formula>$F$77</formula>
    </cfRule>
    <cfRule type="cellIs" dxfId="241" priority="104" stopIfTrue="1" operator="greaterThan">
      <formula>$F$75</formula>
    </cfRule>
  </conditionalFormatting>
  <conditionalFormatting sqref="I67:I68">
    <cfRule type="cellIs" dxfId="240" priority="140" stopIfTrue="1" operator="greaterThan">
      <formula>#REF!</formula>
    </cfRule>
    <cfRule type="cellIs" dxfId="239" priority="141" stopIfTrue="1" operator="lessThanOrEqual">
      <formula>0</formula>
    </cfRule>
    <cfRule type="cellIs" dxfId="238" priority="143" stopIfTrue="1" operator="lessThanOrEqual">
      <formula>0</formula>
    </cfRule>
    <cfRule type="cellIs" dxfId="237" priority="142" stopIfTrue="1" operator="greaterThan">
      <formula>#REF!</formula>
    </cfRule>
  </conditionalFormatting>
  <conditionalFormatting sqref="I69">
    <cfRule type="cellIs" dxfId="236" priority="153" stopIfTrue="1" operator="lessThanOrEqual">
      <formula>0</formula>
    </cfRule>
    <cfRule type="cellIs" dxfId="235" priority="154" stopIfTrue="1" operator="greaterThan">
      <formula>$F$45</formula>
    </cfRule>
    <cfRule type="cellIs" dxfId="234" priority="157" stopIfTrue="1" operator="lessThanOrEqual">
      <formula>0</formula>
    </cfRule>
    <cfRule type="cellIs" dxfId="233" priority="156" stopIfTrue="1" operator="greaterThan">
      <formula>$F$43</formula>
    </cfRule>
    <cfRule type="cellIs" dxfId="232" priority="152" stopIfTrue="1" operator="greaterThan">
      <formula>$F$43</formula>
    </cfRule>
    <cfRule type="cellIs" dxfId="231" priority="155" stopIfTrue="1" operator="lessThanOrEqual">
      <formula>0</formula>
    </cfRule>
  </conditionalFormatting>
  <conditionalFormatting sqref="I70:I71">
    <cfRule type="cellIs" dxfId="230" priority="130" stopIfTrue="1" operator="greaterThan">
      <formula>#REF!</formula>
    </cfRule>
    <cfRule type="cellIs" dxfId="229" priority="128" stopIfTrue="1" operator="greaterThan">
      <formula>#REF!</formula>
    </cfRule>
    <cfRule type="cellIs" dxfId="228" priority="129" stopIfTrue="1" operator="lessThanOrEqual">
      <formula>0</formula>
    </cfRule>
    <cfRule type="cellIs" dxfId="227" priority="131" stopIfTrue="1" operator="lessThanOrEqual">
      <formula>0</formula>
    </cfRule>
  </conditionalFormatting>
  <conditionalFormatting sqref="I86:I94">
    <cfRule type="cellIs" dxfId="226" priority="181" stopIfTrue="1" operator="lessThanOrEqual">
      <formula>0</formula>
    </cfRule>
    <cfRule type="cellIs" dxfId="225" priority="180" stopIfTrue="1" operator="greaterThan">
      <formula>4.5</formula>
    </cfRule>
  </conditionalFormatting>
  <conditionalFormatting sqref="I10:J30">
    <cfRule type="cellIs" dxfId="224" priority="1" operator="lessThan">
      <formula>97.9</formula>
    </cfRule>
  </conditionalFormatting>
  <conditionalFormatting sqref="J33:J35">
    <cfRule type="cellIs" dxfId="223" priority="27" operator="lessThan">
      <formula>97.95</formula>
    </cfRule>
  </conditionalFormatting>
  <conditionalFormatting sqref="J34:J37">
    <cfRule type="cellIs" dxfId="222" priority="162" operator="lessThan">
      <formula>97.4</formula>
    </cfRule>
  </conditionalFormatting>
  <conditionalFormatting sqref="J38:J39">
    <cfRule type="cellIs" dxfId="221" priority="163" operator="lessThan">
      <formula>98</formula>
    </cfRule>
  </conditionalFormatting>
  <conditionalFormatting sqref="J40:J41">
    <cfRule type="cellIs" dxfId="220" priority="164" stopIfTrue="1" operator="lessThan">
      <formula>96.8</formula>
    </cfRule>
    <cfRule type="cellIs" dxfId="219" priority="165" stopIfTrue="1" operator="greaterThan">
      <formula>100</formula>
    </cfRule>
  </conditionalFormatting>
  <conditionalFormatting sqref="J40:J42">
    <cfRule type="cellIs" dxfId="218" priority="166" operator="lessThan">
      <formula>98</formula>
    </cfRule>
  </conditionalFormatting>
  <conditionalFormatting sqref="J71">
    <cfRule type="cellIs" dxfId="217" priority="123" stopIfTrue="1" operator="lessThanOrEqual">
      <formula>0</formula>
    </cfRule>
    <cfRule type="cellIs" dxfId="216" priority="118" stopIfTrue="1" operator="greaterThan">
      <formula>#REF!</formula>
    </cfRule>
    <cfRule type="cellIs" dxfId="215" priority="122" stopIfTrue="1" operator="greaterThan">
      <formula>#REF!</formula>
    </cfRule>
    <cfRule type="cellIs" dxfId="214" priority="121" stopIfTrue="1" operator="lessThanOrEqual">
      <formula>0</formula>
    </cfRule>
    <cfRule type="cellIs" dxfId="213" priority="120" stopIfTrue="1" operator="greaterThan">
      <formula>#REF!</formula>
    </cfRule>
    <cfRule type="cellIs" dxfId="212" priority="119" stopIfTrue="1" operator="lessThanOrEqual">
      <formula>0</formula>
    </cfRule>
    <cfRule type="cellIs" dxfId="211" priority="117" stopIfTrue="1" operator="lessThanOrEqual">
      <formula>0</formula>
    </cfRule>
    <cfRule type="cellIs" dxfId="210" priority="116" stopIfTrue="1" operator="greaterThan">
      <formula>#REF!</formula>
    </cfRule>
  </conditionalFormatting>
  <conditionalFormatting sqref="J84">
    <cfRule type="cellIs" dxfId="209" priority="55" stopIfTrue="1" operator="greaterThan">
      <formula>$F84</formula>
    </cfRule>
    <cfRule type="cellIs" dxfId="208" priority="56" stopIfTrue="1" operator="lessThanOrEqual">
      <formula>0</formula>
    </cfRule>
  </conditionalFormatting>
  <conditionalFormatting sqref="K10:K30">
    <cfRule type="cellIs" dxfId="207" priority="2" operator="greaterThan">
      <formula>6</formula>
    </cfRule>
    <cfRule type="cellIs" dxfId="206" priority="4" operator="greaterThan">
      <formula>6.4</formula>
    </cfRule>
    <cfRule type="cellIs" dxfId="205" priority="3" operator="lessThan">
      <formula>4</formula>
    </cfRule>
  </conditionalFormatting>
  <conditionalFormatting sqref="K62:K71">
    <cfRule type="cellIs" dxfId="204" priority="101" stopIfTrue="1" operator="lessThan">
      <formula>100%</formula>
    </cfRule>
  </conditionalFormatting>
  <conditionalFormatting sqref="K75:K83">
    <cfRule type="cellIs" dxfId="203" priority="45" stopIfTrue="1" operator="lessThan">
      <formula>100%</formula>
    </cfRule>
  </conditionalFormatting>
  <conditionalFormatting sqref="K86:K91">
    <cfRule type="cellIs" dxfId="202" priority="186" stopIfTrue="1" operator="lessThan">
      <formula>100%</formula>
    </cfRule>
  </conditionalFormatting>
  <conditionalFormatting sqref="K93:K94">
    <cfRule type="cellIs" dxfId="201" priority="193" stopIfTrue="1" operator="lessThan">
      <formula>100%</formula>
    </cfRule>
  </conditionalFormatting>
  <conditionalFormatting sqref="L10:L30">
    <cfRule type="cellIs" dxfId="200" priority="6" operator="greaterThan">
      <formula>65</formula>
    </cfRule>
    <cfRule type="cellIs" dxfId="199" priority="5" operator="between">
      <formula>61</formula>
      <formula>65</formula>
    </cfRule>
  </conditionalFormatting>
  <conditionalFormatting sqref="L33:M44">
    <cfRule type="cellIs" dxfId="198" priority="15" operator="lessThan">
      <formula>97.95</formula>
    </cfRule>
  </conditionalFormatting>
  <conditionalFormatting sqref="L48:N48">
    <cfRule type="cellIs" dxfId="197" priority="26" operator="notEqual">
      <formula>#REF!</formula>
    </cfRule>
  </conditionalFormatting>
  <conditionalFormatting sqref="L75:N84">
    <cfRule type="cellIs" dxfId="196" priority="42" stopIfTrue="1" operator="lessThan">
      <formula>100%</formula>
    </cfRule>
  </conditionalFormatting>
  <conditionalFormatting sqref="L86:N94">
    <cfRule type="cellIs" dxfId="195" priority="171" stopIfTrue="1" operator="lessThan">
      <formula>100%</formula>
    </cfRule>
  </conditionalFormatting>
  <conditionalFormatting sqref="M30">
    <cfRule type="expression" dxfId="194" priority="24">
      <formula>IF(+(IF(M30&lt;U30,0,IF(M30&gt;V30,0,1)))=0,1)</formula>
    </cfRule>
  </conditionalFormatting>
  <conditionalFormatting sqref="N10:N30">
    <cfRule type="expression" dxfId="193" priority="9">
      <formula>IF(+(IF(N10&lt;W10,0,IF(N10&gt;X10,0,1)))=0,1)</formula>
    </cfRule>
  </conditionalFormatting>
  <conditionalFormatting sqref="P6">
    <cfRule type="cellIs" dxfId="192" priority="167" operator="greaterThanOrEqual">
      <formula>19</formula>
    </cfRule>
  </conditionalFormatting>
  <dataValidations disablePrompts="1" count="1">
    <dataValidation type="list" allowBlank="1" showInputMessage="1" showErrorMessage="1" sqref="R8" xr:uid="{FFF6AFF7-8FCC-4A75-9AD1-39120BA915F1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9B393-57DD-4A68-838F-E55A70FA6E66}">
  <sheetPr>
    <pageSetUpPr fitToPage="1"/>
  </sheetPr>
  <dimension ref="A1:BE84"/>
  <sheetViews>
    <sheetView tabSelected="1" topLeftCell="A42" zoomScale="80" zoomScaleNormal="80" workbookViewId="0">
      <selection activeCell="E63" sqref="E6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49.57031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623" t="s">
        <v>0</v>
      </c>
      <c r="T1" s="623"/>
      <c r="U1" s="623" t="s">
        <v>1</v>
      </c>
      <c r="V1" s="623"/>
      <c r="W1" s="623" t="s">
        <v>2</v>
      </c>
      <c r="X1" s="623"/>
      <c r="Y1" s="623" t="s">
        <v>124</v>
      </c>
      <c r="Z1" s="623"/>
    </row>
    <row r="2" spans="2:29" ht="15">
      <c r="B2" s="538" t="s">
        <v>3</v>
      </c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46322</v>
      </c>
      <c r="J4" s="397" t="s">
        <v>180</v>
      </c>
      <c r="K4" s="397"/>
      <c r="L4" s="11"/>
      <c r="M4" s="535" t="s">
        <v>8</v>
      </c>
      <c r="N4" s="536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32"/>
      <c r="D5" s="532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179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45" t="s">
        <v>17</v>
      </c>
      <c r="C8" s="547" t="s">
        <v>18</v>
      </c>
      <c r="D8" s="547" t="s">
        <v>19</v>
      </c>
      <c r="E8" s="356" t="s">
        <v>20</v>
      </c>
      <c r="F8" s="356" t="s">
        <v>21</v>
      </c>
      <c r="G8" s="547" t="s">
        <v>22</v>
      </c>
      <c r="H8" s="549" t="s">
        <v>144</v>
      </c>
      <c r="I8" s="547" t="s">
        <v>167</v>
      </c>
      <c r="J8" s="551" t="s">
        <v>23</v>
      </c>
      <c r="K8" s="553" t="s">
        <v>142</v>
      </c>
      <c r="L8" s="555" t="s">
        <v>24</v>
      </c>
      <c r="M8" s="359" t="s">
        <v>25</v>
      </c>
      <c r="N8" s="17" t="s">
        <v>166</v>
      </c>
      <c r="O8" s="547" t="s">
        <v>155</v>
      </c>
      <c r="P8" s="622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48"/>
      <c r="D9" s="548"/>
      <c r="E9" s="357" t="s">
        <v>30</v>
      </c>
      <c r="F9" s="357" t="s">
        <v>31</v>
      </c>
      <c r="G9" s="548"/>
      <c r="H9" s="550"/>
      <c r="I9" s="548"/>
      <c r="J9" s="552"/>
      <c r="K9" s="554"/>
      <c r="L9" s="556"/>
      <c r="M9" s="20" t="s">
        <v>32</v>
      </c>
      <c r="N9" s="21" t="s">
        <v>41</v>
      </c>
      <c r="O9" s="548"/>
      <c r="P9" s="548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[30]Brewhouse!$A837</f>
        <v>CA787</v>
      </c>
      <c r="D10" s="279">
        <f>[30]Brewhouse!$AF837</f>
        <v>49.3</v>
      </c>
      <c r="E10" s="279">
        <f>[30]Brewhouse!$AI837</f>
        <v>49.3</v>
      </c>
      <c r="F10" s="278">
        <f>[30]Brewhouse!$V837</f>
        <v>56</v>
      </c>
      <c r="G10" s="279">
        <f>[30]Brewhouse!AG837</f>
        <v>11.68</v>
      </c>
      <c r="H10" s="396">
        <v>11.7</v>
      </c>
      <c r="I10" s="368">
        <f>[30]Brewhouse!$AU837</f>
        <v>95.654534858071727</v>
      </c>
      <c r="J10" s="368">
        <f>[30]Brewhouse!$AV837</f>
        <v>96.205482512126622</v>
      </c>
      <c r="K10" s="281">
        <f>[30]Brewhouse!$Q837</f>
        <v>8.3396226415094361</v>
      </c>
      <c r="L10" s="276">
        <f>[30]Brewhouse!$P837</f>
        <v>61</v>
      </c>
      <c r="M10" s="374">
        <f>[30]Brewhouse!$U837-[30]Brewhouse!$T837</f>
        <v>0.11944444444444446</v>
      </c>
      <c r="N10" s="370">
        <f>[30]Brewhouse!$Z837</f>
        <v>0.28472222222222221</v>
      </c>
      <c r="O10" s="419" t="str">
        <f>[30]Brewhouse!$AX837</f>
        <v>K. Benjamin</v>
      </c>
      <c r="P10" s="417"/>
      <c r="R10" s="277"/>
      <c r="S10" s="471"/>
      <c r="T10" s="471"/>
      <c r="U10" s="297"/>
      <c r="V10" s="297"/>
      <c r="W10" s="297"/>
      <c r="X10" s="297"/>
      <c r="Y10" s="297"/>
      <c r="Z10" s="471"/>
    </row>
    <row r="11" spans="2:29" ht="15" customHeight="1">
      <c r="B11" s="29" t="s">
        <v>6</v>
      </c>
      <c r="C11" s="366" t="str">
        <f>[30]Brewhouse!$A838</f>
        <v>CA788</v>
      </c>
      <c r="D11" s="279">
        <f>[30]Brewhouse!$AF838</f>
        <v>47.9</v>
      </c>
      <c r="E11" s="279">
        <f>[30]Brewhouse!$AI838</f>
        <v>48.4</v>
      </c>
      <c r="F11" s="278">
        <f>[30]Brewhouse!$V838</f>
        <v>52</v>
      </c>
      <c r="G11" s="279">
        <f>[30]Brewhouse!AG838</f>
        <v>12</v>
      </c>
      <c r="H11" s="396">
        <v>12.4</v>
      </c>
      <c r="I11" s="368">
        <f>[30]Brewhouse!$AU838</f>
        <v>96.442217800409722</v>
      </c>
      <c r="J11" s="368">
        <f>[30]Brewhouse!$AV838</f>
        <v>96.997702323206539</v>
      </c>
      <c r="K11" s="281">
        <f>[30]Brewhouse!$Q838</f>
        <v>91.262962962962959</v>
      </c>
      <c r="L11" s="276">
        <f>[30]Brewhouse!$P838</f>
        <v>60</v>
      </c>
      <c r="M11" s="374">
        <f>[30]Brewhouse!$U838-[30]Brewhouse!$T838</f>
        <v>0.12638888888888888</v>
      </c>
      <c r="N11" s="370">
        <f>[30]Brewhouse!$Z838</f>
        <v>0.29722222222222217</v>
      </c>
      <c r="O11" s="419" t="str">
        <f>[30]Brewhouse!$AX838</f>
        <v>K. Benjamin</v>
      </c>
      <c r="P11" s="417"/>
      <c r="R11" s="277"/>
      <c r="S11" s="471"/>
      <c r="T11" s="471"/>
      <c r="U11" s="297"/>
      <c r="V11" s="297"/>
      <c r="W11" s="297"/>
      <c r="X11" s="297"/>
      <c r="Y11" s="297"/>
      <c r="Z11" s="471"/>
    </row>
    <row r="12" spans="2:29" ht="15" customHeight="1">
      <c r="B12" s="29" t="s">
        <v>6</v>
      </c>
      <c r="C12" s="366" t="str">
        <f>[30]Brewhouse!$A839</f>
        <v>CA789</v>
      </c>
      <c r="D12" s="279">
        <f>[30]Brewhouse!$AF839</f>
        <v>48</v>
      </c>
      <c r="E12" s="279">
        <f>[30]Brewhouse!$AI839</f>
        <v>49.6</v>
      </c>
      <c r="F12" s="278">
        <f>[30]Brewhouse!$V839</f>
        <v>52</v>
      </c>
      <c r="G12" s="279">
        <f>[30]Brewhouse!AG839</f>
        <v>12.2</v>
      </c>
      <c r="H12" s="396">
        <v>12.4</v>
      </c>
      <c r="I12" s="368">
        <f>[30]Brewhouse!$AU839</f>
        <v>100.48581555152971</v>
      </c>
      <c r="J12" s="368">
        <f>[30]Brewhouse!$AV839</f>
        <v>101.06459024763849</v>
      </c>
      <c r="K12" s="281">
        <f>[30]Brewhouse!$Q839</f>
        <v>12.444444444444443</v>
      </c>
      <c r="L12" s="276">
        <f>[30]Brewhouse!$P839</f>
        <v>59</v>
      </c>
      <c r="M12" s="374">
        <f>[30]Brewhouse!$U839-[30]Brewhouse!$T839</f>
        <v>0.12777777777777777</v>
      </c>
      <c r="N12" s="370">
        <f>[30]Brewhouse!$Z839</f>
        <v>0.30972222222222223</v>
      </c>
      <c r="O12" s="419" t="str">
        <f>[30]Brewhouse!$AX839</f>
        <v>K. Benjamin</v>
      </c>
      <c r="P12" s="417"/>
      <c r="R12" s="277"/>
      <c r="S12" s="471"/>
      <c r="T12" s="471"/>
      <c r="U12" s="297"/>
      <c r="V12" s="297"/>
      <c r="W12" s="297"/>
      <c r="X12" s="297"/>
      <c r="Y12" s="297"/>
      <c r="Z12" s="471"/>
    </row>
    <row r="13" spans="2:29" ht="15" customHeight="1">
      <c r="B13" s="29" t="s">
        <v>6</v>
      </c>
      <c r="C13" s="366" t="str">
        <f>[30]Brewhouse!$A840</f>
        <v>CA790</v>
      </c>
      <c r="D13" s="279">
        <f>[30]Brewhouse!$AF840</f>
        <v>50.2</v>
      </c>
      <c r="E13" s="279">
        <f>[30]Brewhouse!$AI840</f>
        <v>51.6</v>
      </c>
      <c r="F13" s="278">
        <f>[30]Brewhouse!$V840</f>
        <v>54</v>
      </c>
      <c r="G13" s="279">
        <f>[30]Brewhouse!AG840</f>
        <v>0</v>
      </c>
      <c r="H13" s="396">
        <v>11.9</v>
      </c>
      <c r="I13" s="368">
        <f>[30]Brewhouse!$AU840</f>
        <v>0</v>
      </c>
      <c r="J13" s="368">
        <f>[30]Brewhouse!$AV840</f>
        <v>0</v>
      </c>
      <c r="K13" s="281">
        <f>[30]Brewhouse!$Q840</f>
        <v>8.3703703703703631</v>
      </c>
      <c r="L13" s="276">
        <f>[30]Brewhouse!$P840</f>
        <v>61</v>
      </c>
      <c r="M13" s="374">
        <f>[30]Brewhouse!$U840-[30]Brewhouse!$T840</f>
        <v>0.16180555555555554</v>
      </c>
      <c r="N13" s="370">
        <f>[30]Brewhouse!$Z840</f>
        <v>0.33263888888888893</v>
      </c>
      <c r="O13" s="419" t="str">
        <f>[30]Brewhouse!$AX840</f>
        <v>K. Benjamin</v>
      </c>
      <c r="P13" s="417"/>
      <c r="R13" s="277"/>
      <c r="S13" s="471"/>
      <c r="T13" s="471"/>
      <c r="U13" s="297"/>
      <c r="V13" s="297"/>
      <c r="W13" s="297"/>
      <c r="X13" s="297"/>
      <c r="Y13" s="297"/>
      <c r="Z13" s="471"/>
    </row>
    <row r="14" spans="2:29" ht="15" customHeight="1">
      <c r="B14" s="29" t="s">
        <v>6</v>
      </c>
      <c r="C14" s="366" t="str">
        <f>[30]Brewhouse!$A841</f>
        <v>CA791</v>
      </c>
      <c r="D14" s="279">
        <f>[30]Brewhouse!$AF841</f>
        <v>49.2</v>
      </c>
      <c r="E14" s="279">
        <f>[30]Brewhouse!$AI841</f>
        <v>49.6</v>
      </c>
      <c r="F14" s="278">
        <f>[30]Brewhouse!$V841</f>
        <v>59</v>
      </c>
      <c r="G14" s="279">
        <f>[30]Brewhouse!AG841</f>
        <v>11.8</v>
      </c>
      <c r="H14" s="396">
        <v>11.8</v>
      </c>
      <c r="I14" s="368">
        <f>[30]Brewhouse!$AU841</f>
        <v>97.102189812519697</v>
      </c>
      <c r="J14" s="368">
        <f>[30]Brewhouse!$AV841</f>
        <v>97.661475619096237</v>
      </c>
      <c r="K14" s="281">
        <f>[30]Brewhouse!$Q841</f>
        <v>7.538461538461541</v>
      </c>
      <c r="L14" s="276">
        <f>[30]Brewhouse!$P841</f>
        <v>61</v>
      </c>
      <c r="M14" s="374">
        <f>[30]Brewhouse!$U841-[30]Brewhouse!$T841</f>
        <v>-0.88680555555555551</v>
      </c>
      <c r="N14" s="370">
        <f>[30]Brewhouse!$Z841</f>
        <v>-0.72222222222222221</v>
      </c>
      <c r="O14" s="419" t="str">
        <f>[30]Brewhouse!$AX841</f>
        <v>K. Benjamin</v>
      </c>
      <c r="P14" s="417"/>
      <c r="R14" s="277"/>
      <c r="S14" s="471"/>
      <c r="T14" s="471"/>
      <c r="U14" s="297"/>
      <c r="V14" s="297"/>
      <c r="W14" s="297"/>
      <c r="X14" s="297"/>
      <c r="Y14" s="297"/>
      <c r="Z14" s="471"/>
    </row>
    <row r="15" spans="2:29" ht="15" customHeight="1">
      <c r="B15" s="29" t="s">
        <v>6</v>
      </c>
      <c r="C15" s="366" t="str">
        <f>[30]Brewhouse!$A842</f>
        <v>CA792</v>
      </c>
      <c r="D15" s="279">
        <f>[30]Brewhouse!$AF842</f>
        <v>50.7</v>
      </c>
      <c r="E15" s="279">
        <f>[30]Brewhouse!$AI842</f>
        <v>50.5</v>
      </c>
      <c r="F15" s="278">
        <f>[30]Brewhouse!$V842</f>
        <v>59</v>
      </c>
      <c r="G15" s="279">
        <f>[30]Brewhouse!AG842</f>
        <v>11.8</v>
      </c>
      <c r="H15" s="396">
        <v>12</v>
      </c>
      <c r="I15" s="368">
        <f>[30]Brewhouse!$AU842</f>
        <v>98.86412470831138</v>
      </c>
      <c r="J15" s="368">
        <f>[30]Brewhouse!$AV842</f>
        <v>99.433558846055647</v>
      </c>
      <c r="K15" s="281">
        <f>[30]Brewhouse!$Q842</f>
        <v>9.8336414048059151</v>
      </c>
      <c r="L15" s="276">
        <f>[30]Brewhouse!$P842</f>
        <v>6</v>
      </c>
      <c r="M15" s="374">
        <f>[30]Brewhouse!$U842-[30]Brewhouse!$T842</f>
        <v>0.12222222222222223</v>
      </c>
      <c r="N15" s="370">
        <f>[30]Brewhouse!$Z842</f>
        <v>-0.73055555555555551</v>
      </c>
      <c r="O15" s="419" t="str">
        <f>[30]Brewhouse!$AX842</f>
        <v>K. Benjamin</v>
      </c>
      <c r="P15" s="417"/>
      <c r="R15" s="277"/>
      <c r="S15" s="471"/>
      <c r="T15" s="471"/>
      <c r="U15" s="297"/>
      <c r="V15" s="297"/>
      <c r="W15" s="297"/>
      <c r="X15" s="297"/>
      <c r="Y15" s="297"/>
      <c r="Z15" s="471"/>
    </row>
    <row r="16" spans="2:29" ht="15" customHeight="1">
      <c r="B16" s="29" t="s">
        <v>6</v>
      </c>
      <c r="C16" s="366" t="str">
        <f>[30]Brewhouse!$A843</f>
        <v>CA793</v>
      </c>
      <c r="D16" s="279">
        <f>[30]Brewhouse!$AF843</f>
        <v>49.6</v>
      </c>
      <c r="E16" s="279">
        <f>[30]Brewhouse!$AI843</f>
        <v>49.9</v>
      </c>
      <c r="F16" s="278">
        <f>[30]Brewhouse!$V843</f>
        <v>56</v>
      </c>
      <c r="G16" s="279">
        <f>[30]Brewhouse!AG843</f>
        <v>11.9</v>
      </c>
      <c r="H16" s="396">
        <v>11.8</v>
      </c>
      <c r="I16" s="368">
        <f>[30]Brewhouse!$AU843</f>
        <v>98.560315476775202</v>
      </c>
      <c r="J16" s="368">
        <f>[30]Brewhouse!$AV843</f>
        <v>99.127999744702578</v>
      </c>
      <c r="K16" s="281">
        <f>[30]Brewhouse!$Q843</f>
        <v>9.6487985212569285</v>
      </c>
      <c r="L16" s="276">
        <f>[30]Brewhouse!$P843</f>
        <v>45</v>
      </c>
      <c r="M16" s="374">
        <f>[30]Brewhouse!$U843-[30]Brewhouse!$T843</f>
        <v>0.11111111111111108</v>
      </c>
      <c r="N16" s="370">
        <f>[30]Brewhouse!$Z843</f>
        <v>-0.73888888888888893</v>
      </c>
      <c r="O16" s="419" t="str">
        <f>[30]Brewhouse!$AX843</f>
        <v>K. Benjamin</v>
      </c>
      <c r="P16" s="417"/>
      <c r="R16" s="277"/>
      <c r="S16" s="471"/>
      <c r="T16" s="471"/>
      <c r="U16" s="297"/>
      <c r="V16" s="297"/>
      <c r="W16" s="297"/>
      <c r="X16" s="297"/>
      <c r="Y16" s="297"/>
      <c r="Z16" s="471"/>
    </row>
    <row r="17" spans="2:26" ht="15" customHeight="1">
      <c r="B17" s="29" t="s">
        <v>6</v>
      </c>
      <c r="C17" s="366" t="str">
        <f>[30]Brewhouse!$A844</f>
        <v>CA794</v>
      </c>
      <c r="D17" s="279">
        <f>[30]Brewhouse!$AF844</f>
        <v>49.5</v>
      </c>
      <c r="E17" s="279">
        <f>[30]Brewhouse!$AI844</f>
        <v>49.9</v>
      </c>
      <c r="F17" s="278">
        <f>[30]Brewhouse!$V844</f>
        <v>61</v>
      </c>
      <c r="G17" s="279">
        <f>[30]Brewhouse!AG844</f>
        <v>11.5</v>
      </c>
      <c r="H17" s="396">
        <v>11.6</v>
      </c>
      <c r="I17" s="368">
        <f>[30]Brewhouse!$AU844</f>
        <v>96.996745280353508</v>
      </c>
      <c r="J17" s="368">
        <f>[30]Brewhouse!$AV844</f>
        <v>97.554857403307722</v>
      </c>
      <c r="K17" s="281">
        <f>[30]Brewhouse!$Q844</f>
        <v>7.2623574144486698</v>
      </c>
      <c r="L17" s="276">
        <f>[30]Brewhouse!$P844</f>
        <v>60</v>
      </c>
      <c r="M17" s="374">
        <f>[30]Brewhouse!$U844-[30]Brewhouse!$T844</f>
        <v>0.12847222222222221</v>
      </c>
      <c r="N17" s="370">
        <f>[30]Brewhouse!$Z844</f>
        <v>0.26111111111111113</v>
      </c>
      <c r="O17" s="419" t="str">
        <f>[30]Brewhouse!$AX844</f>
        <v>D. Gomaz</v>
      </c>
      <c r="P17" s="417"/>
      <c r="R17" s="277"/>
      <c r="S17" s="471"/>
      <c r="T17" s="471"/>
      <c r="U17" s="297"/>
      <c r="V17" s="297"/>
      <c r="W17" s="297"/>
      <c r="X17" s="297"/>
      <c r="Y17" s="297"/>
      <c r="Z17" s="471"/>
    </row>
    <row r="18" spans="2:26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/>
      <c r="S18" s="471"/>
      <c r="T18" s="471"/>
      <c r="U18" s="297"/>
      <c r="V18" s="297"/>
      <c r="W18" s="297"/>
      <c r="X18" s="297"/>
      <c r="Y18" s="297"/>
      <c r="Z18" s="471"/>
    </row>
    <row r="19" spans="2:26" ht="15" customHeight="1">
      <c r="B19" s="33" t="s">
        <v>9</v>
      </c>
      <c r="C19" s="366" t="str">
        <f>[29]Brewhouse!$A416</f>
        <v>ST357</v>
      </c>
      <c r="D19" s="279">
        <f>[29]Brewhouse!$AB416</f>
        <v>53.1</v>
      </c>
      <c r="E19" s="279">
        <f>[29]Brewhouse!$AG416</f>
        <v>48.6</v>
      </c>
      <c r="F19" s="278">
        <f>[29]Brewhouse!$V416</f>
        <v>60</v>
      </c>
      <c r="G19" s="279">
        <f>[29]Brewhouse!$AE416</f>
        <v>11.8</v>
      </c>
      <c r="H19" s="396">
        <v>11.8</v>
      </c>
      <c r="I19" s="368">
        <f>[29]Brewhouse!$AS416</f>
        <v>96.234942891011144</v>
      </c>
      <c r="J19" s="368">
        <f>[29]Brewhouse!$AT416</f>
        <v>96.956430361328927</v>
      </c>
      <c r="K19" s="281">
        <f>[29]Brewhouse!$Q416</f>
        <v>11.252354048964222</v>
      </c>
      <c r="L19" s="276">
        <f>[29]Brewhouse!$P416</f>
        <v>58</v>
      </c>
      <c r="M19" s="374">
        <f>[29]Brewhouse!$U416-[29]Brewhouse!$T416</f>
        <v>0.12291666666666667</v>
      </c>
      <c r="N19" s="370">
        <f>[29]Brewhouse!$AW416</f>
        <v>0.27708333333333335</v>
      </c>
      <c r="O19" s="419" t="str">
        <f>[29]Brewhouse!$AV416</f>
        <v>D.Gomaz</v>
      </c>
      <c r="P19" s="417"/>
      <c r="R19" s="277" t="str">
        <f t="shared" ref="R19:R44" si="0">B19</f>
        <v>STAG</v>
      </c>
      <c r="S19" s="471">
        <f t="shared" ref="S19:S44" si="1">VLOOKUP($B19,$R$3:$X$9,2,FALSE)</f>
        <v>11.6</v>
      </c>
      <c r="T19" s="471">
        <f t="shared" ref="T19:T44" si="2">VLOOKUP($B19,$R$3:$X$9,3,FALSE)</f>
        <v>12</v>
      </c>
      <c r="U19" s="297">
        <f t="shared" ref="U19:U44" si="3">VLOOKUP($B19,$R$3:$X$9,4,FALSE)</f>
        <v>0</v>
      </c>
      <c r="V19" s="297">
        <f t="shared" ref="V19:V44" si="4">VLOOKUP($B19,$R$3:$X$9,5,FALSE)</f>
        <v>0.118055555555556</v>
      </c>
      <c r="W19" s="297">
        <f t="shared" ref="W19:W44" si="5">VLOOKUP($B19,$R$3:$X$9,6,FALSE)</f>
        <v>0.22569444444444445</v>
      </c>
      <c r="X19" s="297">
        <f t="shared" ref="X19:X44" si="6">VLOOKUP($B19,$R$3:$X$9,7,FALSE)</f>
        <v>0.2638888888888889</v>
      </c>
      <c r="Y19" s="297">
        <f t="shared" ref="Y19:Y44" si="7">VLOOKUP($B19,$R$3:$Z$9,8,FALSE)</f>
        <v>0</v>
      </c>
      <c r="Z19" s="471">
        <f t="shared" ref="Z19:Z44" si="8">VLOOKUP($B19,$R$3:$Z$9,9,FALSE)</f>
        <v>60</v>
      </c>
    </row>
    <row r="20" spans="2:26" ht="15" customHeight="1">
      <c r="B20" s="33" t="s">
        <v>9</v>
      </c>
      <c r="C20" s="366" t="str">
        <f>[29]Brewhouse!$A417</f>
        <v>ST358</v>
      </c>
      <c r="D20" s="279">
        <f>[29]Brewhouse!$AB417</f>
        <v>53.1</v>
      </c>
      <c r="E20" s="279">
        <f>[29]Brewhouse!$AG417</f>
        <v>48.3</v>
      </c>
      <c r="F20" s="278">
        <f>[29]Brewhouse!$V417</f>
        <v>51</v>
      </c>
      <c r="G20" s="279">
        <f>[29]Brewhouse!$AE417</f>
        <v>11.8</v>
      </c>
      <c r="H20" s="396">
        <v>12.1</v>
      </c>
      <c r="I20" s="368">
        <f>[29]Brewhouse!$AS417</f>
        <v>96.244976149243712</v>
      </c>
      <c r="J20" s="368">
        <f>[29]Brewhouse!$AT417</f>
        <v>96.965388213283447</v>
      </c>
      <c r="K20" s="281">
        <f>[29]Brewhouse!$Q417</f>
        <v>11.064030131826742</v>
      </c>
      <c r="L20" s="276">
        <f>[29]Brewhouse!$P417</f>
        <v>67</v>
      </c>
      <c r="M20" s="374">
        <f>[29]Brewhouse!$U417-[29]Brewhouse!$T417</f>
        <v>0.11458333333333337</v>
      </c>
      <c r="N20" s="370">
        <f>[29]Brewhouse!$AW417</f>
        <v>0.26458333333333334</v>
      </c>
      <c r="O20" s="419" t="str">
        <f>[29]Brewhouse!$AV417</f>
        <v>R.Sookram</v>
      </c>
      <c r="P20" s="417"/>
      <c r="R20" s="277" t="str">
        <f t="shared" si="0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 t="s">
        <v>9</v>
      </c>
      <c r="C21" s="366" t="str">
        <f>[29]Brewhouse!$A418</f>
        <v>ST359</v>
      </c>
      <c r="D21" s="279">
        <f>[29]Brewhouse!$AB418</f>
        <v>53</v>
      </c>
      <c r="E21" s="279">
        <f>[29]Brewhouse!$AG418</f>
        <v>49.2</v>
      </c>
      <c r="F21" s="278">
        <f>[29]Brewhouse!$V418</f>
        <v>54</v>
      </c>
      <c r="G21" s="279">
        <f>[29]Brewhouse!$AE418</f>
        <v>11.9</v>
      </c>
      <c r="H21" s="396">
        <v>11.4</v>
      </c>
      <c r="I21" s="368">
        <f>[29]Brewhouse!$AS418</f>
        <v>98.78749454244813</v>
      </c>
      <c r="J21" s="368">
        <f>[29]Brewhouse!$AT418</f>
        <v>99.527175237630999</v>
      </c>
      <c r="K21" s="281">
        <f>[29]Brewhouse!$Q418</f>
        <v>7.6886792452830104</v>
      </c>
      <c r="L21" s="276">
        <f>[29]Brewhouse!$P418</f>
        <v>61</v>
      </c>
      <c r="M21" s="374">
        <f>[29]Brewhouse!$U418-[29]Brewhouse!$T418</f>
        <v>0.14097222222222217</v>
      </c>
      <c r="N21" s="370">
        <f>[29]Brewhouse!$AW418</f>
        <v>0.33055555555555555</v>
      </c>
      <c r="O21" s="419" t="str">
        <f>[29]Brewhouse!$AV418</f>
        <v>R.Sookram</v>
      </c>
      <c r="P21" s="417"/>
      <c r="R21" s="277" t="str">
        <f t="shared" si="0"/>
        <v>STAG</v>
      </c>
      <c r="S21" s="471">
        <f t="shared" si="1"/>
        <v>11.6</v>
      </c>
      <c r="T21" s="471">
        <f t="shared" si="2"/>
        <v>12</v>
      </c>
      <c r="U21" s="297">
        <f t="shared" si="3"/>
        <v>0</v>
      </c>
      <c r="V21" s="297">
        <f t="shared" si="4"/>
        <v>0.118055555555556</v>
      </c>
      <c r="W21" s="297">
        <f t="shared" si="5"/>
        <v>0.22569444444444445</v>
      </c>
      <c r="X21" s="297">
        <f t="shared" si="6"/>
        <v>0.2638888888888889</v>
      </c>
      <c r="Y21" s="297">
        <f t="shared" si="7"/>
        <v>0</v>
      </c>
      <c r="Z21" s="471">
        <f t="shared" si="8"/>
        <v>60</v>
      </c>
    </row>
    <row r="22" spans="2:26" ht="15" customHeight="1">
      <c r="B22" s="33" t="s">
        <v>9</v>
      </c>
      <c r="C22" s="366" t="str">
        <f>[29]Brewhouse!$A419</f>
        <v>ST360</v>
      </c>
      <c r="D22" s="279">
        <f>[29]Brewhouse!$AB419</f>
        <v>53</v>
      </c>
      <c r="E22" s="279">
        <f>[29]Brewhouse!$AG419</f>
        <v>49.3</v>
      </c>
      <c r="F22" s="278">
        <f>[29]Brewhouse!$V419</f>
        <v>60</v>
      </c>
      <c r="G22" s="279">
        <f>[29]Brewhouse!$AE419</f>
        <v>11.7</v>
      </c>
      <c r="H22" s="396">
        <v>11.6</v>
      </c>
      <c r="I22" s="368">
        <f>[29]Brewhouse!$AS419</f>
        <v>97.239091605330472</v>
      </c>
      <c r="J22" s="368">
        <f>[29]Brewhouse!$AT419</f>
        <v>97.967178487285707</v>
      </c>
      <c r="K22" s="281">
        <f>[29]Brewhouse!$Q419</f>
        <v>10.330188679245285</v>
      </c>
      <c r="L22" s="276">
        <f>[29]Brewhouse!$P419</f>
        <v>61</v>
      </c>
      <c r="M22" s="374">
        <f>[29]Brewhouse!$U419-[29]Brewhouse!$T419</f>
        <v>0.12777777777777777</v>
      </c>
      <c r="N22" s="370">
        <f>[29]Brewhouse!$AW419</f>
        <v>0.28749999999999998</v>
      </c>
      <c r="O22" s="419" t="str">
        <f>[29]Brewhouse!$AV419</f>
        <v>K. Benjamin</v>
      </c>
      <c r="P22" s="417"/>
      <c r="R22" s="277" t="str">
        <f t="shared" si="0"/>
        <v>STAG</v>
      </c>
      <c r="S22" s="471">
        <f t="shared" si="1"/>
        <v>11.6</v>
      </c>
      <c r="T22" s="471">
        <f t="shared" si="2"/>
        <v>12</v>
      </c>
      <c r="U22" s="297">
        <f t="shared" si="3"/>
        <v>0</v>
      </c>
      <c r="V22" s="297">
        <f t="shared" si="4"/>
        <v>0.118055555555556</v>
      </c>
      <c r="W22" s="297">
        <f t="shared" si="5"/>
        <v>0.22569444444444445</v>
      </c>
      <c r="X22" s="297">
        <f t="shared" si="6"/>
        <v>0.2638888888888889</v>
      </c>
      <c r="Y22" s="297">
        <f t="shared" si="7"/>
        <v>0</v>
      </c>
      <c r="Z22" s="471">
        <f t="shared" si="8"/>
        <v>60</v>
      </c>
    </row>
    <row r="23" spans="2:26" ht="15" customHeight="1">
      <c r="B23" s="33" t="s">
        <v>9</v>
      </c>
      <c r="C23" s="366" t="str">
        <f>[29]Brewhouse!$A420</f>
        <v>ST361</v>
      </c>
      <c r="D23" s="279">
        <f>[29]Brewhouse!$AB420</f>
        <v>53</v>
      </c>
      <c r="E23" s="279">
        <f>[29]Brewhouse!$AG420</f>
        <v>50.6</v>
      </c>
      <c r="F23" s="278">
        <f>[29]Brewhouse!$V420</f>
        <v>54</v>
      </c>
      <c r="G23" s="279">
        <f>[29]Brewhouse!$AE420</f>
        <v>11.8</v>
      </c>
      <c r="H23" s="396">
        <v>11.8</v>
      </c>
      <c r="I23" s="368">
        <f>[29]Brewhouse!$AS420</f>
        <v>100.82807025158867</v>
      </c>
      <c r="J23" s="368">
        <f>[29]Brewhouse!$AT420</f>
        <v>101.58278765201123</v>
      </c>
      <c r="K23" s="281">
        <f>[29]Brewhouse!$Q420</f>
        <v>6.7452830188679158</v>
      </c>
      <c r="L23" s="276">
        <f>[29]Brewhouse!$P420</f>
        <v>60</v>
      </c>
      <c r="M23" s="374">
        <f>[29]Brewhouse!$U420-[29]Brewhouse!$T420</f>
        <v>0.1166666666666667</v>
      </c>
      <c r="N23" s="370">
        <f>[29]Brewhouse!$AW420</f>
        <v>0.26458333333333339</v>
      </c>
      <c r="O23" s="419" t="str">
        <f>[29]Brewhouse!$AV420</f>
        <v>K. Benjamin</v>
      </c>
      <c r="P23" s="417"/>
      <c r="R23" s="277" t="str">
        <f t="shared" si="0"/>
        <v>STAG</v>
      </c>
      <c r="S23" s="471">
        <f t="shared" si="1"/>
        <v>11.6</v>
      </c>
      <c r="T23" s="471">
        <f t="shared" si="2"/>
        <v>12</v>
      </c>
      <c r="U23" s="297">
        <f t="shared" si="3"/>
        <v>0</v>
      </c>
      <c r="V23" s="297">
        <f t="shared" si="4"/>
        <v>0.118055555555556</v>
      </c>
      <c r="W23" s="297">
        <f t="shared" si="5"/>
        <v>0.22569444444444445</v>
      </c>
      <c r="X23" s="297">
        <f t="shared" si="6"/>
        <v>0.2638888888888889</v>
      </c>
      <c r="Y23" s="297">
        <f t="shared" si="7"/>
        <v>0</v>
      </c>
      <c r="Z23" s="471">
        <f t="shared" si="8"/>
        <v>60</v>
      </c>
    </row>
    <row r="24" spans="2:26" ht="15" customHeight="1">
      <c r="B24" s="33" t="s">
        <v>9</v>
      </c>
      <c r="C24" s="366" t="str">
        <f>[29]Brewhouse!$A421</f>
        <v>ST362</v>
      </c>
      <c r="D24" s="279">
        <f>[29]Brewhouse!$AB421</f>
        <v>53</v>
      </c>
      <c r="E24" s="279">
        <f>[29]Brewhouse!$AG421</f>
        <v>50.1</v>
      </c>
      <c r="F24" s="278">
        <f>[29]Brewhouse!$V421</f>
        <v>52</v>
      </c>
      <c r="G24" s="279">
        <f>[29]Brewhouse!$AE421</f>
        <v>11.8</v>
      </c>
      <c r="H24" s="396">
        <v>12</v>
      </c>
      <c r="I24" s="368">
        <f>[29]Brewhouse!$AS421</f>
        <v>99.831745446731063</v>
      </c>
      <c r="J24" s="368">
        <f>[29]Brewhouse!$AT421</f>
        <v>100.5790051653313</v>
      </c>
      <c r="K24" s="281">
        <f>[29]Brewhouse!$Q421</f>
        <v>7.5000000000000027</v>
      </c>
      <c r="L24" s="276">
        <f>[29]Brewhouse!$P421</f>
        <v>58</v>
      </c>
      <c r="M24" s="374">
        <f>[29]Brewhouse!$U421-[29]Brewhouse!$T421</f>
        <v>0.11527777777777781</v>
      </c>
      <c r="N24" s="370">
        <f>[29]Brewhouse!$AW421</f>
        <v>0.25555555555555565</v>
      </c>
      <c r="O24" s="419" t="str">
        <f>[29]Brewhouse!$AV421</f>
        <v>K. Benjamin</v>
      </c>
      <c r="P24" s="417"/>
      <c r="R24" s="277" t="str">
        <f t="shared" si="0"/>
        <v>STAG</v>
      </c>
      <c r="S24" s="471">
        <f t="shared" si="1"/>
        <v>11.6</v>
      </c>
      <c r="T24" s="471">
        <f t="shared" si="2"/>
        <v>12</v>
      </c>
      <c r="U24" s="297">
        <f t="shared" si="3"/>
        <v>0</v>
      </c>
      <c r="V24" s="297">
        <f t="shared" si="4"/>
        <v>0.118055555555556</v>
      </c>
      <c r="W24" s="297">
        <f t="shared" si="5"/>
        <v>0.22569444444444445</v>
      </c>
      <c r="X24" s="297">
        <f t="shared" si="6"/>
        <v>0.2638888888888889</v>
      </c>
      <c r="Y24" s="297">
        <f t="shared" si="7"/>
        <v>0</v>
      </c>
      <c r="Z24" s="471">
        <f t="shared" si="8"/>
        <v>60</v>
      </c>
    </row>
    <row r="25" spans="2:26" ht="15" customHeight="1">
      <c r="B25" s="33" t="s">
        <v>9</v>
      </c>
      <c r="C25" s="366" t="str">
        <f>[29]Brewhouse!$A422</f>
        <v>ST363</v>
      </c>
      <c r="D25" s="279">
        <f>[29]Brewhouse!$AB422</f>
        <v>53</v>
      </c>
      <c r="E25" s="279">
        <f>[29]Brewhouse!$AG422</f>
        <v>48.4</v>
      </c>
      <c r="F25" s="278">
        <f>[29]Brewhouse!$V422</f>
        <v>52</v>
      </c>
      <c r="G25" s="279">
        <f>[29]Brewhouse!$AE422</f>
        <v>11.7</v>
      </c>
      <c r="H25" s="396">
        <v>11.8</v>
      </c>
      <c r="I25" s="368">
        <f>[29]Brewhouse!$AS422</f>
        <v>95.343647995140529</v>
      </c>
      <c r="J25" s="368">
        <f>[29]Brewhouse!$AT422</f>
        <v>96.057771106332908</v>
      </c>
      <c r="K25" s="281">
        <f>[29]Brewhouse!$Q422</f>
        <v>10.896226415094338</v>
      </c>
      <c r="L25" s="276">
        <f>[29]Brewhouse!$P422</f>
        <v>61</v>
      </c>
      <c r="M25" s="374">
        <f>[29]Brewhouse!$U422-[29]Brewhouse!$T422</f>
        <v>0.14305555555555549</v>
      </c>
      <c r="N25" s="370">
        <f>[29]Brewhouse!$AW422</f>
        <v>0.28472222222222221</v>
      </c>
      <c r="O25" s="419" t="str">
        <f>[29]Brewhouse!$AV422</f>
        <v>K. Benjamin</v>
      </c>
      <c r="P25" s="417"/>
      <c r="R25" s="277" t="str">
        <f t="shared" si="0"/>
        <v>STAG</v>
      </c>
      <c r="S25" s="471">
        <f t="shared" si="1"/>
        <v>11.6</v>
      </c>
      <c r="T25" s="471">
        <f t="shared" si="2"/>
        <v>12</v>
      </c>
      <c r="U25" s="297">
        <f t="shared" si="3"/>
        <v>0</v>
      </c>
      <c r="V25" s="297">
        <f t="shared" si="4"/>
        <v>0.118055555555556</v>
      </c>
      <c r="W25" s="297">
        <f t="shared" si="5"/>
        <v>0.22569444444444445</v>
      </c>
      <c r="X25" s="297">
        <f t="shared" si="6"/>
        <v>0.2638888888888889</v>
      </c>
      <c r="Y25" s="297">
        <f t="shared" si="7"/>
        <v>0</v>
      </c>
      <c r="Z25" s="471">
        <f t="shared" si="8"/>
        <v>60</v>
      </c>
    </row>
    <row r="26" spans="2:26" ht="15" customHeight="1">
      <c r="B26" s="33" t="s">
        <v>9</v>
      </c>
      <c r="C26" s="366" t="str">
        <f>[29]Brewhouse!$A423</f>
        <v>ST364</v>
      </c>
      <c r="D26" s="279">
        <f>[29]Brewhouse!$AB423</f>
        <v>53</v>
      </c>
      <c r="E26" s="279">
        <f>[29]Brewhouse!$AG423</f>
        <v>50.3</v>
      </c>
      <c r="F26" s="278">
        <f>[29]Brewhouse!$V423</f>
        <v>57</v>
      </c>
      <c r="G26" s="279">
        <f>[29]Brewhouse!$AE423</f>
        <v>11.8</v>
      </c>
      <c r="H26" s="396">
        <v>11.8</v>
      </c>
      <c r="I26" s="368">
        <f>[29]Brewhouse!$AS423</f>
        <v>95.602651708364647</v>
      </c>
      <c r="J26" s="368">
        <f>[29]Brewhouse!$AT423</f>
        <v>96.318714755162475</v>
      </c>
      <c r="K26" s="281">
        <f>[29]Brewhouse!$Q423</f>
        <v>6.9339622641509377</v>
      </c>
      <c r="L26" s="276">
        <f>[29]Brewhouse!$P423</f>
        <v>60</v>
      </c>
      <c r="M26" s="374">
        <f>[29]Brewhouse!$U423-[29]Brewhouse!$T423</f>
        <v>0.12361111111111112</v>
      </c>
      <c r="N26" s="370">
        <f>[29]Brewhouse!$AW423</f>
        <v>0.27916666666666679</v>
      </c>
      <c r="O26" s="419" t="str">
        <f>[29]Brewhouse!$AV423</f>
        <v>K. Benjamin</v>
      </c>
      <c r="P26" s="417"/>
      <c r="R26" s="277" t="str">
        <f t="shared" si="0"/>
        <v>STAG</v>
      </c>
      <c r="S26" s="471">
        <f t="shared" si="1"/>
        <v>11.6</v>
      </c>
      <c r="T26" s="471">
        <f t="shared" si="2"/>
        <v>12</v>
      </c>
      <c r="U26" s="297">
        <f t="shared" si="3"/>
        <v>0</v>
      </c>
      <c r="V26" s="297">
        <f t="shared" si="4"/>
        <v>0.118055555555556</v>
      </c>
      <c r="W26" s="297">
        <f t="shared" si="5"/>
        <v>0.22569444444444445</v>
      </c>
      <c r="X26" s="297">
        <f t="shared" si="6"/>
        <v>0.2638888888888889</v>
      </c>
      <c r="Y26" s="297">
        <f t="shared" si="7"/>
        <v>0</v>
      </c>
      <c r="Z26" s="471">
        <f t="shared" si="8"/>
        <v>60</v>
      </c>
    </row>
    <row r="27" spans="2:26" ht="15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customHeight="1">
      <c r="B30" s="34"/>
      <c r="C30" s="366"/>
      <c r="D30" s="279"/>
      <c r="E30" s="279"/>
      <c r="F30" s="278"/>
      <c r="G30" s="279"/>
      <c r="H30" s="396"/>
      <c r="I30" s="487"/>
      <c r="J30" s="487"/>
      <c r="K30" s="488"/>
      <c r="L30" s="276"/>
      <c r="M30" s="374"/>
      <c r="N30" s="370"/>
      <c r="O30" s="419"/>
      <c r="P30" s="417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7.25" customHeight="1" thickBot="1">
      <c r="B31" s="358"/>
      <c r="C31" s="358"/>
      <c r="D31" s="358"/>
      <c r="E31" s="358"/>
      <c r="F31" s="294"/>
      <c r="G31" s="294"/>
      <c r="H31" s="348"/>
      <c r="I31" s="624"/>
      <c r="J31" s="624"/>
      <c r="K31" s="624"/>
      <c r="L31" s="624"/>
      <c r="M31" s="624"/>
      <c r="N31" s="624"/>
      <c r="O31" s="1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482" t="s">
        <v>162</v>
      </c>
      <c r="C32" s="388"/>
      <c r="D32" s="539" t="s">
        <v>35</v>
      </c>
      <c r="E32" s="540"/>
      <c r="F32" s="294"/>
      <c r="G32" s="294"/>
      <c r="H32" s="348"/>
      <c r="I32" s="24" t="s">
        <v>17</v>
      </c>
      <c r="J32" s="25"/>
      <c r="K32" s="26" t="s">
        <v>138</v>
      </c>
      <c r="L32" s="25" t="s">
        <v>37</v>
      </c>
      <c r="M32" s="25" t="s">
        <v>38</v>
      </c>
      <c r="N32" s="27" t="s">
        <v>39</v>
      </c>
      <c r="O32" s="294"/>
      <c r="P32" s="12"/>
      <c r="R32" s="277" t="str">
        <f t="shared" si="0"/>
        <v xml:space="preserve">BRAND 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>
      <c r="A33" s="28"/>
      <c r="B33" s="575"/>
      <c r="C33" s="483"/>
      <c r="D33" s="565"/>
      <c r="E33" s="566"/>
      <c r="F33" s="294"/>
      <c r="G33" s="294"/>
      <c r="H33" s="348"/>
      <c r="I33" s="29" t="s">
        <v>6</v>
      </c>
      <c r="J33" s="323">
        <f>AVERAGE(I10:I17)</f>
        <v>85.513242935996374</v>
      </c>
      <c r="K33" s="284">
        <f>COUNTA([30]Brewhouse!$A$789:$A$844)</f>
        <v>56</v>
      </c>
      <c r="L33" s="305">
        <f>AVERAGE([30]Brewhouse!$AU$789:$AU$844)</f>
        <v>83.548756826518186</v>
      </c>
      <c r="M33" s="305">
        <f>AVERAGE([30]Brewhouse!$AU$42:$AU$123,[30]Brewhouse!$AU$125:$AU$188,[30]Brewhouse!$AU$198:$AU$290,[30]Brewhouse!$AU$292:$AU$370,[30]Brewhouse!$AU$372:$AU$439,[30]Brewhouse!$AU$441:$AU$497,[30]Brewhouse!$AU$499:$AU$519,[30]Brewhouse!$AU$521:$AU$593,[30]Brewhouse!$AU$595:$AU$694,[30]Brewhouse!$AU$696:$AU$787,[30]Brewhouse!$AU$789:$AU$844)</f>
        <v>97.275486809498844</v>
      </c>
      <c r="N33" s="3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5" customHeight="1">
      <c r="A34" s="28"/>
      <c r="B34" s="576"/>
      <c r="C34" s="362"/>
      <c r="D34" s="567"/>
      <c r="E34" s="568"/>
      <c r="F34" s="294"/>
      <c r="G34" s="294"/>
      <c r="H34" s="348"/>
      <c r="I34" s="33" t="s">
        <v>9</v>
      </c>
      <c r="J34" s="323">
        <f>AVERAGE(I19:I26)</f>
        <v>97.514077573732294</v>
      </c>
      <c r="K34" s="284">
        <f>COUNTA([29]Brewhouse!$A$390:$A$423)</f>
        <v>34</v>
      </c>
      <c r="L34" s="302">
        <f>AVERAGE([29]Brewhouse!$AS$390:$AS$423)</f>
        <v>97.470362830209154</v>
      </c>
      <c r="M34" s="302">
        <f>AVERAGE([29]Brewhouse!$AS$52:$AS$81,[29]Brewhouse!$AS$83:$AS$124,[29]Brewhouse!$AS$134:$AS$177,[29]Brewhouse!$AS$22:$AS$179,[29]Brewhouse!$AS$214:$AS$249,[29]Brewhouse!$AS$252:$AS$293,[29]Brewhouse!$AS$295:$AS$325,[29]Brewhouse!$AS$327:$AS$361,[29]Brewhouse!$AS$363:$AS$388,[29]Brewhouse!$AS$390:$AS$423)</f>
        <v>98.2482991352298</v>
      </c>
      <c r="N34" s="30">
        <v>98</v>
      </c>
      <c r="O34" s="11"/>
      <c r="P34" s="31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4.65" customHeight="1">
      <c r="A35" s="28"/>
      <c r="B35" s="576"/>
      <c r="C35" s="362"/>
      <c r="D35" s="616"/>
      <c r="E35" s="617"/>
      <c r="F35" s="294"/>
      <c r="G35" s="294"/>
      <c r="H35" s="348"/>
      <c r="I35" s="34" t="s">
        <v>12</v>
      </c>
      <c r="J35" s="323"/>
      <c r="K35" s="284">
        <f>COUNTA([31]Brewhouse!$A$108:$A$115)</f>
        <v>8</v>
      </c>
      <c r="L35" s="302">
        <f>AVERAGE([31]Brewhouse!$AU$108:$AU$115)</f>
        <v>97.365395087454402</v>
      </c>
      <c r="M35" s="302">
        <f>AVERAGE([31]Brewhouse!$AU$16:$AU$23,[31]Brewhouse!$AU$25:$AU$32,[31]Brewhouse!$AU$34:$AU$41,[31]Brewhouse!$AU$43:$AU$60,[31]Brewhouse!$AU$62:$AU$69,[31]Brewhouse!$AU$71:$AU$88,[31]Brewhouse!$AU$90:$AU$97,[31]Brewhouse!$AU$99:$AU$106,[31]Brewhouse!$AU$108:$AU$115)</f>
        <v>96.573750685745694</v>
      </c>
      <c r="N35" s="30">
        <v>98</v>
      </c>
      <c r="O35" s="11"/>
      <c r="P35" s="31"/>
      <c r="R35" s="277">
        <f t="shared" si="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76"/>
      <c r="C36" s="362"/>
      <c r="D36" s="580"/>
      <c r="E36" s="568"/>
      <c r="F36" s="294"/>
      <c r="G36" s="294"/>
      <c r="H36" s="348"/>
      <c r="I36" s="22" t="s">
        <v>33</v>
      </c>
      <c r="J36" s="280"/>
      <c r="K36" s="284"/>
      <c r="L36" s="302"/>
      <c r="M36" s="302">
        <f>AVERAGE([32]Brewhouse!$AV$23:$AV$34,[32]Brewhouse!$AV$36,[32]Brewhouse!$AV$38:$AV$52,[32]Brewhouse!$AV$54:$AV$60,[32]Brewhouse!$AV$62:$AV$69,[32]Brewhouse!$AV$71:$AV$78,[32]Brewhouse!$AV$80:$AV$87,[32]Brewhouse!$AV$89:$AV$96,[32]Brewhouse!$AV$98:$AV$105)</f>
        <v>97.566635166530773</v>
      </c>
      <c r="N36" s="30">
        <v>98</v>
      </c>
      <c r="O36" s="11"/>
      <c r="P36" s="31"/>
      <c r="R36" s="277">
        <f t="shared" si="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76"/>
      <c r="C37" s="362"/>
      <c r="D37" s="616"/>
      <c r="E37" s="617"/>
      <c r="F37" s="294"/>
      <c r="G37" s="294"/>
      <c r="H37" s="348"/>
      <c r="I37" s="35" t="s">
        <v>29</v>
      </c>
      <c r="J37" s="280"/>
      <c r="K37" s="284"/>
      <c r="L37" s="302"/>
      <c r="M37" s="302"/>
      <c r="N37" s="30">
        <v>98</v>
      </c>
      <c r="O37" s="11"/>
      <c r="P37" s="31"/>
      <c r="R37" s="277">
        <f t="shared" si="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76"/>
      <c r="C38" s="362"/>
      <c r="D38" s="580"/>
      <c r="E38" s="568"/>
      <c r="F38" s="416"/>
      <c r="G38" s="294"/>
      <c r="H38" s="348"/>
      <c r="I38" s="36" t="s">
        <v>15</v>
      </c>
      <c r="J38" s="323"/>
      <c r="K38" s="284"/>
      <c r="L38" s="302"/>
      <c r="M38" s="302">
        <f>AVERAGE([33]Brewhouse!$AT$4:$AT$11,[33]Brewhouse!$AT$13:$AT$16,[33]Brewhouse!$AT$18:$AT$30)</f>
        <v>93.22262799886262</v>
      </c>
      <c r="N38" s="30">
        <v>98</v>
      </c>
      <c r="O38" s="11"/>
      <c r="P38" s="31"/>
      <c r="R38" s="277">
        <f t="shared" si="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76"/>
      <c r="C39" s="362"/>
      <c r="D39" s="616"/>
      <c r="E39" s="617"/>
      <c r="F39" s="416"/>
      <c r="G39" s="294"/>
      <c r="H39" s="348"/>
      <c r="I39" s="37" t="s">
        <v>16</v>
      </c>
      <c r="J39" s="323"/>
      <c r="K39" s="284">
        <f>COUNTA([34]Brewhouse!$A$112:$A$119)</f>
        <v>8</v>
      </c>
      <c r="L39" s="302">
        <f>AVERAGE([34]Brewhouse!$AY$112:$AY$119)</f>
        <v>96.833332758088616</v>
      </c>
      <c r="M39" s="302">
        <f>AVERAGE([34]Brewhouse!$AY$5:$AY$14,[34]Brewhouse!$AY$16:$AY$23,[34]Brewhouse!$AY$42,[34]Brewhouse!$AY$44:$AY$51,[34]Brewhouse!$AY$53:$AY$64,[34]Brewhouse!$AY$66:$AY$73,[34]Brewhouse!$AY$75:$AY$82,[34]Brewhouse!$AY$84:$AY$101,[34]Brewhouse!$AY$103:$AY$110,[34]Brewhouse!$AY$112:$AY$119)</f>
        <v>97.706699801192229</v>
      </c>
      <c r="N39" s="30">
        <v>98</v>
      </c>
      <c r="O39" s="11"/>
      <c r="P39" s="31" t="s">
        <v>41</v>
      </c>
      <c r="R39" s="277">
        <f t="shared" si="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76"/>
      <c r="C40" s="362"/>
      <c r="D40" s="580"/>
      <c r="E40" s="568"/>
      <c r="F40" s="294"/>
      <c r="G40" s="294"/>
      <c r="H40" s="348"/>
      <c r="I40" s="410" t="s">
        <v>158</v>
      </c>
      <c r="J40" s="326"/>
      <c r="K40" s="284"/>
      <c r="L40" s="305"/>
      <c r="M40" s="305"/>
      <c r="N40" s="30">
        <v>98</v>
      </c>
      <c r="O40" s="11"/>
      <c r="P40" s="31"/>
      <c r="R40" s="277">
        <f t="shared" si="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76"/>
      <c r="C41" s="362"/>
      <c r="D41" s="616"/>
      <c r="E41" s="617"/>
      <c r="F41" s="294"/>
      <c r="G41" s="294"/>
      <c r="H41" s="348"/>
      <c r="I41" s="409" t="s">
        <v>157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  <c r="AA41" s="471"/>
    </row>
    <row r="42" spans="1:27" ht="15" customHeight="1" thickBot="1">
      <c r="A42" s="28"/>
      <c r="B42" s="576"/>
      <c r="C42" s="362"/>
      <c r="D42" s="580"/>
      <c r="E42" s="568"/>
      <c r="F42" s="294"/>
      <c r="G42" s="294"/>
      <c r="H42" s="348"/>
      <c r="I42" s="405" t="s">
        <v>156</v>
      </c>
      <c r="J42" s="327"/>
      <c r="K42" s="406"/>
      <c r="L42" s="407"/>
      <c r="M42" s="407"/>
      <c r="N42" s="408">
        <v>98</v>
      </c>
      <c r="O42" s="11"/>
      <c r="P42" s="31"/>
      <c r="R42" s="277">
        <f t="shared" si="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76"/>
      <c r="C43" s="349"/>
      <c r="D43" s="565"/>
      <c r="E43" s="566"/>
      <c r="F43" s="294"/>
      <c r="G43" s="294"/>
      <c r="H43" s="348"/>
      <c r="I43" s="1"/>
      <c r="J43" s="39"/>
      <c r="K43" s="403">
        <f>SUM(K33:K42)</f>
        <v>106</v>
      </c>
      <c r="L43" s="404">
        <f>((L33*K33)+(L34*K34)+(L35*K35)+(L36*K36)+(L37*K37)+(K40*L40)+(L38*K38)+(L39*K39)+(L42*K42))/(K43)</f>
        <v>90.059552276193145</v>
      </c>
      <c r="M43" s="404">
        <f>AVERAGE('[35]Jan30th-31st'!$L$42,'[36]Feb 27th-28th'!$L$45,'[37]Mar 31st'!$L$42,'[38]Apr 30th'!$L$41,'[39]May 29th '!$L$35,'[40]June 30th'!$L$32,[41]July31st!$L$36,'[42]Aug 31st'!$L$32,L43)</f>
        <v>96.992921278416588</v>
      </c>
      <c r="N43" s="40">
        <v>98</v>
      </c>
      <c r="O43" s="11"/>
      <c r="P43" s="31"/>
      <c r="R43" s="277">
        <f t="shared" si="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.75" thickBot="1">
      <c r="B44" s="625"/>
      <c r="C44" s="350"/>
      <c r="D44" s="567"/>
      <c r="E44" s="568"/>
      <c r="F44" s="294"/>
      <c r="G44" s="42"/>
      <c r="H44" s="41"/>
      <c r="I44" s="42"/>
      <c r="J44" s="42"/>
      <c r="K44" s="351"/>
      <c r="L44" s="348"/>
      <c r="M44" s="348"/>
      <c r="N44" s="11"/>
      <c r="O44" s="294"/>
      <c r="P44" s="12"/>
      <c r="R44" s="277">
        <f t="shared" si="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626"/>
      <c r="C45" s="362"/>
      <c r="D45" s="565"/>
      <c r="E45" s="566"/>
      <c r="F45" s="294"/>
      <c r="G45" s="42"/>
      <c r="H45" s="41"/>
      <c r="I45" s="42"/>
      <c r="J45" s="615" t="s">
        <v>129</v>
      </c>
      <c r="K45" s="615"/>
      <c r="L45" s="294"/>
      <c r="M45" s="294"/>
      <c r="N45" s="294"/>
      <c r="O45" s="294"/>
      <c r="P45" s="12"/>
    </row>
    <row r="46" spans="1:27" ht="15.75" thickBot="1">
      <c r="B46" s="627"/>
      <c r="C46" s="362"/>
      <c r="D46" s="567"/>
      <c r="E46" s="568"/>
      <c r="F46" s="294"/>
      <c r="G46" s="42"/>
      <c r="H46" s="42"/>
      <c r="I46" s="42"/>
      <c r="J46" s="292" t="s">
        <v>17</v>
      </c>
      <c r="K46" s="293"/>
      <c r="L46" s="582" t="s">
        <v>136</v>
      </c>
      <c r="M46" s="582"/>
      <c r="N46" s="583"/>
      <c r="O46" s="294"/>
      <c r="P46" s="12"/>
    </row>
    <row r="47" spans="1:27" ht="15" customHeight="1" thickBot="1">
      <c r="B47" s="627"/>
      <c r="C47" s="349"/>
      <c r="D47" s="616"/>
      <c r="E47" s="617"/>
      <c r="F47" s="294"/>
      <c r="G47" s="42"/>
      <c r="H47" s="42"/>
      <c r="I47" s="42"/>
      <c r="J47" s="287" t="s">
        <v>6</v>
      </c>
      <c r="K47" s="324"/>
      <c r="L47" s="472" t="s">
        <v>37</v>
      </c>
      <c r="M47" s="473" t="s">
        <v>38</v>
      </c>
      <c r="N47" s="473" t="s">
        <v>84</v>
      </c>
      <c r="O47" s="294"/>
      <c r="P47" s="12"/>
    </row>
    <row r="48" spans="1:27" ht="15.75" customHeight="1" thickBot="1">
      <c r="B48" s="627"/>
      <c r="C48" s="349"/>
      <c r="D48" s="580"/>
      <c r="E48" s="568"/>
      <c r="F48" s="294"/>
      <c r="G48" s="42"/>
      <c r="H48" s="42"/>
      <c r="I48" s="42"/>
      <c r="J48" s="345" t="s">
        <v>9</v>
      </c>
      <c r="K48" s="324"/>
      <c r="L48" s="484">
        <f>AVERAGE('Oct 1st'!K52,'Oct 2nd'!K44,'Oct 5th'!K51,'Oct 6th'!K58,'Oct 7th'!K47,'Oct 8th '!K46,'Oct 9th-10th'!J57,'Oct 9th-10th'!K57,'Oct 12th'!K50,'Oct 13th '!K48,'Oct 14th'!K48,'Oct 15th '!K48,[44]Draw!$BBB$134,[44]Draw!$BBF$134,[44]Draw!$BBG$134,[44]Draw!$BBH$134,[44]Draw!$BBI$134,[44]Draw!$BBJ$134)</f>
        <v>6.2222222222222223</v>
      </c>
      <c r="M48" s="485">
        <f>AVERAGE('[35]Jan30th-31st'!$L$47,L48,'[36]Feb 26th '!$L$39,'[37]Mar 31st'!$L$47,'[38]Apr 30th'!$L$46,'[39]May 29th '!$L$40,'[40]June 30th'!$L$39,[41]July31st!$L$41,'[42]Aug 31st'!$L$37,'[43]Sept 30th'!$L$37)</f>
        <v>6.4957563692346296</v>
      </c>
      <c r="N48" s="415">
        <v>9.1999999999999993</v>
      </c>
      <c r="O48" s="294"/>
      <c r="P48" s="12"/>
    </row>
    <row r="49" spans="2:57" ht="15" customHeight="1">
      <c r="B49" s="627"/>
      <c r="C49" s="349"/>
      <c r="D49" s="616"/>
      <c r="E49" s="617"/>
      <c r="F49" s="294"/>
      <c r="G49" s="42"/>
      <c r="H49" s="42"/>
      <c r="I49" s="42"/>
      <c r="J49" s="288" t="s">
        <v>40</v>
      </c>
      <c r="K49" s="324"/>
      <c r="L49" s="294"/>
      <c r="M49" s="294"/>
      <c r="N49" s="294"/>
      <c r="O49" s="294"/>
      <c r="P49" s="12"/>
    </row>
    <row r="50" spans="2:57" ht="15" customHeight="1">
      <c r="B50" s="627"/>
      <c r="C50" s="349"/>
      <c r="D50" s="580"/>
      <c r="E50" s="568"/>
      <c r="F50" s="294"/>
      <c r="G50" s="42"/>
      <c r="H50" s="42"/>
      <c r="I50" s="42"/>
      <c r="J50" s="289" t="s">
        <v>33</v>
      </c>
      <c r="K50" s="324"/>
      <c r="L50" s="294"/>
      <c r="M50" s="294"/>
      <c r="N50" s="294"/>
      <c r="O50" s="294"/>
      <c r="P50" s="12"/>
    </row>
    <row r="51" spans="2:57" ht="15">
      <c r="B51" s="627"/>
      <c r="C51" s="349"/>
      <c r="D51" s="616"/>
      <c r="E51" s="617"/>
      <c r="F51" s="294"/>
      <c r="G51" s="42"/>
      <c r="H51" s="42"/>
      <c r="I51" s="42"/>
      <c r="J51" s="290" t="s">
        <v>16</v>
      </c>
      <c r="K51" s="324"/>
      <c r="L51" s="294"/>
      <c r="M51" s="294"/>
      <c r="N51" s="294"/>
      <c r="O51" s="294"/>
      <c r="P51" s="12"/>
      <c r="BC51" s="44"/>
      <c r="BD51" s="44"/>
    </row>
    <row r="52" spans="2:57" ht="15">
      <c r="B52" s="627"/>
      <c r="C52" s="349"/>
      <c r="D52" s="580"/>
      <c r="E52" s="568"/>
      <c r="F52" s="294"/>
      <c r="G52" s="42"/>
      <c r="H52" s="42"/>
      <c r="I52" s="42"/>
      <c r="J52" s="291" t="s">
        <v>15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627"/>
      <c r="C53" s="349"/>
      <c r="D53" s="616"/>
      <c r="E53" s="617"/>
      <c r="F53" s="294"/>
      <c r="G53" s="42"/>
      <c r="H53" s="42"/>
      <c r="I53" s="42"/>
      <c r="J53" s="291" t="s">
        <v>149</v>
      </c>
      <c r="K53" s="324"/>
      <c r="L53" s="294"/>
      <c r="M53" s="294"/>
      <c r="N53" s="294"/>
      <c r="O53" s="294"/>
      <c r="P53" s="12"/>
      <c r="BC53" s="44"/>
      <c r="BD53" s="44"/>
    </row>
    <row r="54" spans="2:57" ht="15.75" thickBot="1">
      <c r="B54" s="628"/>
      <c r="C54" s="350"/>
      <c r="D54" s="618"/>
      <c r="E54" s="619"/>
      <c r="F54" s="294" t="s">
        <v>165</v>
      </c>
      <c r="G54" s="42"/>
      <c r="H54" s="42"/>
      <c r="I54" s="42"/>
      <c r="J54" s="291" t="s">
        <v>148</v>
      </c>
      <c r="K54" s="324"/>
      <c r="L54" s="294"/>
      <c r="M54" s="294"/>
      <c r="N54" s="294" t="s">
        <v>41</v>
      </c>
      <c r="O54" s="294"/>
      <c r="P54" s="12"/>
      <c r="BC54" s="44"/>
      <c r="BD54" s="44"/>
    </row>
    <row r="55" spans="2:57" ht="17.649999999999999" customHeight="1" thickBot="1">
      <c r="B55" s="312" t="s">
        <v>139</v>
      </c>
      <c r="C55" s="313"/>
      <c r="D55" s="610"/>
      <c r="E55" s="611"/>
      <c r="F55" s="294"/>
      <c r="J55" s="295" t="s">
        <v>134</v>
      </c>
      <c r="K55" s="324"/>
      <c r="L55" s="294"/>
      <c r="M55" s="294"/>
      <c r="N55" s="294"/>
      <c r="O55" s="294"/>
      <c r="P55" s="12"/>
      <c r="BC55" s="44"/>
      <c r="BD55" s="44"/>
    </row>
    <row r="56" spans="2:57" ht="17.649999999999999" customHeight="1">
      <c r="B56" s="363"/>
      <c r="C56" s="364"/>
      <c r="D56" s="365"/>
      <c r="E56" s="365"/>
      <c r="F56" s="294"/>
      <c r="G56" s="42"/>
      <c r="H56" s="42"/>
      <c r="I56" s="42"/>
      <c r="J56" s="295" t="s">
        <v>131</v>
      </c>
      <c r="K56" s="324"/>
      <c r="L56" s="294"/>
      <c r="M56" s="294"/>
      <c r="N56" s="294"/>
      <c r="O56" s="294"/>
      <c r="P56" s="12"/>
      <c r="BC56" s="44"/>
      <c r="BD56" s="44"/>
    </row>
    <row r="57" spans="2:57" ht="15.6" customHeight="1">
      <c r="B57" s="45"/>
      <c r="C57" s="11"/>
      <c r="D57" s="11"/>
      <c r="E57" s="46"/>
      <c r="F57" s="294"/>
      <c r="G57" s="42"/>
      <c r="H57" s="42"/>
      <c r="I57" s="42"/>
      <c r="J57" s="346" t="s">
        <v>130</v>
      </c>
      <c r="K57" s="324">
        <f>SUM(K47:K56)</f>
        <v>0</v>
      </c>
      <c r="L57" s="294"/>
      <c r="M57" s="294"/>
      <c r="N57" s="294"/>
      <c r="O57" s="294"/>
      <c r="P57" s="12"/>
    </row>
    <row r="58" spans="2:57" ht="20.25" customHeight="1">
      <c r="B58" s="15" t="s">
        <v>42</v>
      </c>
      <c r="C58" s="1" t="s">
        <v>43</v>
      </c>
      <c r="D58" s="1"/>
      <c r="E58" s="1"/>
      <c r="F58" s="294"/>
      <c r="G58" s="42"/>
      <c r="H58" s="41"/>
      <c r="I58" s="42"/>
      <c r="L58" s="42"/>
      <c r="N58" s="315"/>
      <c r="P58" s="334"/>
    </row>
    <row r="59" spans="2:57" ht="15" customHeight="1" thickBot="1"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1"/>
      <c r="O59" s="48"/>
      <c r="P59" s="49"/>
    </row>
    <row r="60" spans="2:57" ht="15" customHeight="1" thickBot="1">
      <c r="B60" s="590" t="s">
        <v>17</v>
      </c>
      <c r="C60" s="590" t="s">
        <v>44</v>
      </c>
      <c r="D60" s="592" t="s">
        <v>45</v>
      </c>
      <c r="E60" s="547" t="s">
        <v>46</v>
      </c>
      <c r="F60" s="607" t="s">
        <v>47</v>
      </c>
      <c r="G60" s="601" t="s">
        <v>48</v>
      </c>
      <c r="H60" s="590" t="s">
        <v>49</v>
      </c>
      <c r="I60" s="590" t="s">
        <v>50</v>
      </c>
      <c r="J60" s="595" t="s">
        <v>28</v>
      </c>
      <c r="K60" s="545" t="s">
        <v>51</v>
      </c>
      <c r="L60" s="557" t="s">
        <v>52</v>
      </c>
      <c r="M60" s="595" t="s">
        <v>53</v>
      </c>
      <c r="N60" s="13"/>
      <c r="O60" s="13"/>
      <c r="P60" s="50"/>
    </row>
    <row r="61" spans="2:57" ht="28.5" customHeight="1" thickTop="1" thickBot="1">
      <c r="B61" s="609"/>
      <c r="C61" s="591"/>
      <c r="D61" s="593"/>
      <c r="E61" s="594"/>
      <c r="F61" s="608"/>
      <c r="G61" s="602"/>
      <c r="H61" s="609"/>
      <c r="I61" s="609"/>
      <c r="J61" s="596"/>
      <c r="K61" s="605"/>
      <c r="L61" s="606"/>
      <c r="M61" s="596"/>
      <c r="N61" s="13"/>
      <c r="O61" s="13"/>
      <c r="P61" s="50"/>
      <c r="Q61" s="355"/>
      <c r="AB61" s="474">
        <v>43474</v>
      </c>
      <c r="AC61" s="474">
        <v>43475</v>
      </c>
      <c r="AD61" s="474">
        <v>43476</v>
      </c>
      <c r="AE61" s="474">
        <v>43477</v>
      </c>
      <c r="AF61" s="474">
        <v>43478</v>
      </c>
      <c r="AG61" s="474">
        <v>43479</v>
      </c>
      <c r="AH61" s="474">
        <v>43480</v>
      </c>
      <c r="AI61" s="474">
        <v>43481</v>
      </c>
      <c r="AJ61" s="474">
        <v>43482</v>
      </c>
      <c r="AK61" s="474">
        <v>43483</v>
      </c>
      <c r="AL61" s="474">
        <v>43484</v>
      </c>
      <c r="AM61" s="474">
        <v>43485</v>
      </c>
      <c r="AN61" s="474">
        <v>43486</v>
      </c>
      <c r="AO61" s="474">
        <v>43487</v>
      </c>
      <c r="AP61" s="474">
        <v>43488</v>
      </c>
      <c r="AQ61" s="474">
        <v>43489</v>
      </c>
      <c r="AR61" s="474">
        <v>43490</v>
      </c>
      <c r="AS61" s="474">
        <v>43491</v>
      </c>
      <c r="AT61" s="474">
        <v>43492</v>
      </c>
      <c r="AU61" s="474">
        <v>43493</v>
      </c>
      <c r="AV61" s="474">
        <v>43494</v>
      </c>
      <c r="AW61" s="474">
        <v>43495</v>
      </c>
      <c r="AX61" s="474">
        <v>43496</v>
      </c>
    </row>
    <row r="62" spans="2:57" s="54" customFormat="1" ht="36.75" customHeight="1" thickBot="1">
      <c r="B62" s="455" t="str">
        <f>I33</f>
        <v>CARIB</v>
      </c>
      <c r="C62" s="478">
        <v>46322</v>
      </c>
      <c r="D62" s="444"/>
      <c r="E62" s="442"/>
      <c r="F62" s="443"/>
      <c r="G62" s="443"/>
      <c r="H62" s="457"/>
      <c r="I62" s="457"/>
      <c r="J62" s="447" t="s">
        <v>183</v>
      </c>
      <c r="K62" s="448"/>
      <c r="L62" s="456" t="e">
        <f>(((D62+E62)-G62)/(D62+E62))*100</f>
        <v>#DIV/0!</v>
      </c>
      <c r="M62" s="454" t="s">
        <v>184</v>
      </c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>
        <f>[27]January_2019!L5</f>
        <v>0</v>
      </c>
      <c r="AC62" s="57">
        <f>[27]January_2019!M5</f>
        <v>0</v>
      </c>
      <c r="AD62" s="57">
        <f>[27]January_2019!N5</f>
        <v>0</v>
      </c>
      <c r="AE62" s="57">
        <f>[27]January_2019!O5</f>
        <v>0</v>
      </c>
      <c r="AF62" s="57">
        <f>[27]January_2019!P5</f>
        <v>0</v>
      </c>
      <c r="AG62" s="57">
        <f>[27]January_2019!Q5</f>
        <v>0</v>
      </c>
      <c r="AH62" s="57">
        <f>[27]January_2019!R5</f>
        <v>0</v>
      </c>
      <c r="AI62" s="57">
        <f>[27]January_2019!S5</f>
        <v>0</v>
      </c>
      <c r="AJ62" s="57">
        <f>[27]January_2019!T5</f>
        <v>0</v>
      </c>
      <c r="AK62" s="57">
        <f>[27]January_2019!U5</f>
        <v>0</v>
      </c>
      <c r="AL62" s="57">
        <f>[27]January_2019!V5</f>
        <v>0</v>
      </c>
      <c r="AM62" s="57">
        <f>[27]January_2019!W5</f>
        <v>0</v>
      </c>
      <c r="AN62" s="57">
        <f>[27]January_2019!X5</f>
        <v>0</v>
      </c>
      <c r="AO62" s="57">
        <f>[27]January_2019!Y5</f>
        <v>0</v>
      </c>
      <c r="AP62" s="57">
        <f>[27]January_2019!Z5</f>
        <v>0</v>
      </c>
      <c r="AQ62" s="57">
        <f>[27]January_2019!AA5</f>
        <v>0</v>
      </c>
      <c r="AR62" s="57">
        <f>[27]January_2019!AB5</f>
        <v>0</v>
      </c>
      <c r="AS62" s="57">
        <f>[27]January_2019!AC5</f>
        <v>0</v>
      </c>
      <c r="AT62" s="57">
        <f>[27]January_2019!AD5</f>
        <v>0</v>
      </c>
      <c r="AU62" s="57">
        <f>[27]January_2019!AE5</f>
        <v>0</v>
      </c>
      <c r="AV62" s="57">
        <f>[27]January_2019!AF5</f>
        <v>0</v>
      </c>
      <c r="AW62" s="57">
        <f>[27]January_2019!AG5</f>
        <v>0</v>
      </c>
      <c r="AX62" s="277">
        <f>[27]January_2019!AH5</f>
        <v>0</v>
      </c>
      <c r="AY62" s="277"/>
      <c r="AZ62" s="277"/>
      <c r="BA62" s="277"/>
      <c r="BB62" s="277"/>
      <c r="BC62" s="277"/>
      <c r="BD62" s="277"/>
      <c r="BE62" s="277"/>
    </row>
    <row r="63" spans="2:57" s="54" customFormat="1" ht="14.25" customHeight="1" thickBot="1">
      <c r="B63" s="479"/>
      <c r="C63" s="478"/>
      <c r="D63" s="441"/>
      <c r="E63" s="442"/>
      <c r="F63" s="443"/>
      <c r="G63" s="444"/>
      <c r="H63" s="457"/>
      <c r="I63" s="457"/>
      <c r="J63" s="475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[27]January_2019!L6</f>
        <v>0</v>
      </c>
      <c r="AC63" s="57">
        <f>[27]January_2019!M6</f>
        <v>0</v>
      </c>
      <c r="AD63" s="57">
        <f>[27]January_2019!N6</f>
        <v>0</v>
      </c>
      <c r="AE63" s="57">
        <f>[27]January_2019!O6</f>
        <v>0</v>
      </c>
      <c r="AF63" s="57">
        <f>[27]January_2019!P6</f>
        <v>0</v>
      </c>
      <c r="AG63" s="57">
        <f>[27]January_2019!Q6</f>
        <v>0</v>
      </c>
      <c r="AH63" s="57">
        <f>[27]January_2019!R6</f>
        <v>0</v>
      </c>
      <c r="AI63" s="57">
        <f>[27]January_2019!S6</f>
        <v>0</v>
      </c>
      <c r="AJ63" s="57">
        <f>[27]January_2019!T6</f>
        <v>0</v>
      </c>
      <c r="AK63" s="57">
        <f>[27]January_2019!U6</f>
        <v>0</v>
      </c>
      <c r="AL63" s="57">
        <f>[27]January_2019!V6</f>
        <v>0</v>
      </c>
      <c r="AM63" s="57">
        <f>[27]January_2019!W6</f>
        <v>0</v>
      </c>
      <c r="AN63" s="57">
        <f>[27]January_2019!X6</f>
        <v>0</v>
      </c>
      <c r="AO63" s="57">
        <f>[27]January_2019!Y6</f>
        <v>0</v>
      </c>
      <c r="AP63" s="57">
        <f>[27]January_2019!Z6</f>
        <v>0</v>
      </c>
      <c r="AQ63" s="57">
        <f>[27]January_2019!AA6</f>
        <v>0</v>
      </c>
      <c r="AR63" s="57">
        <f>[27]January_2019!AB6</f>
        <v>0</v>
      </c>
      <c r="AS63" s="57">
        <f>[27]January_2019!AC6</f>
        <v>0</v>
      </c>
      <c r="AT63" s="57">
        <f>[27]January_2019!AD6</f>
        <v>0</v>
      </c>
      <c r="AU63" s="57">
        <f>[27]January_2019!AE6</f>
        <v>0</v>
      </c>
      <c r="AV63" s="57">
        <f>[27]January_2019!AF6</f>
        <v>0</v>
      </c>
      <c r="AW63" s="57">
        <f>[27]January_2019!AG6</f>
        <v>0</v>
      </c>
      <c r="AX63" s="277">
        <f>[27]January_2019!AH6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 thickBot="1">
      <c r="B64" s="638" t="str">
        <f>B76</f>
        <v>STAG</v>
      </c>
      <c r="C64" s="478">
        <v>46322</v>
      </c>
      <c r="D64" s="441"/>
      <c r="E64" s="442"/>
      <c r="F64" s="443"/>
      <c r="G64" s="443"/>
      <c r="H64" s="445"/>
      <c r="I64" s="445"/>
      <c r="J64" s="447" t="s">
        <v>173</v>
      </c>
      <c r="K64" s="448"/>
      <c r="L64" s="497" t="e">
        <f>(((D64+E64)-G64)/(D64+E64))*100</f>
        <v>#DIV/0!</v>
      </c>
      <c r="M64" s="454" t="s">
        <v>182</v>
      </c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[27]January_2019!L7</f>
        <v>285.8</v>
      </c>
      <c r="AC64" s="57">
        <f>[27]January_2019!M7</f>
        <v>508.1</v>
      </c>
      <c r="AD64" s="57">
        <f>[27]January_2019!N7</f>
        <v>0</v>
      </c>
      <c r="AE64" s="57">
        <f>[27]January_2019!O7</f>
        <v>0</v>
      </c>
      <c r="AF64" s="57">
        <f>[27]January_2019!P7</f>
        <v>109.56666666666666</v>
      </c>
      <c r="AG64" s="57">
        <f>[27]January_2019!Q7</f>
        <v>297.64999999999998</v>
      </c>
      <c r="AH64" s="57">
        <f>[27]January_2019!R7</f>
        <v>122.3</v>
      </c>
      <c r="AI64" s="57">
        <f>[27]January_2019!S7</f>
        <v>0</v>
      </c>
      <c r="AJ64" s="57">
        <f>[27]January_2019!T7</f>
        <v>294.7</v>
      </c>
      <c r="AK64" s="57">
        <f>[27]January_2019!U7</f>
        <v>280.5</v>
      </c>
      <c r="AL64" s="57">
        <f>[27]January_2019!V7</f>
        <v>0</v>
      </c>
      <c r="AM64" s="57">
        <f>[27]January_2019!W7</f>
        <v>0</v>
      </c>
      <c r="AN64" s="57">
        <f>[27]January_2019!X7</f>
        <v>188.25</v>
      </c>
      <c r="AO64" s="57">
        <f>[27]January_2019!Y7</f>
        <v>295.7</v>
      </c>
      <c r="AP64" s="57">
        <f>[27]January_2019!Z7</f>
        <v>257.8</v>
      </c>
      <c r="AQ64" s="57">
        <f>[27]January_2019!AA7</f>
        <v>291.2</v>
      </c>
      <c r="AR64" s="57">
        <f>[27]January_2019!AB7</f>
        <v>187</v>
      </c>
      <c r="AS64" s="57">
        <f>[27]January_2019!AC7</f>
        <v>0</v>
      </c>
      <c r="AT64" s="57">
        <f>[27]January_2019!AD7</f>
        <v>0</v>
      </c>
      <c r="AU64" s="57">
        <f>[27]January_2019!AE7</f>
        <v>485.1</v>
      </c>
      <c r="AV64" s="57">
        <f>[27]January_2019!AF7</f>
        <v>171.55</v>
      </c>
      <c r="AW64" s="57">
        <f>[27]January_2019!AG7</f>
        <v>423.8</v>
      </c>
      <c r="AX64" s="277">
        <f>[27]January_2019!AH7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18.600000000000001" hidden="1" customHeight="1" thickBot="1">
      <c r="B65" s="477"/>
      <c r="C65" s="429"/>
      <c r="D65" s="430"/>
      <c r="E65" s="431"/>
      <c r="F65" s="432"/>
      <c r="G65" s="433"/>
      <c r="H65" s="457"/>
      <c r="I65" s="457"/>
      <c r="J65" s="450"/>
      <c r="K65" s="435"/>
      <c r="L65" s="451"/>
      <c r="M65" s="42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8.65" hidden="1" customHeight="1" thickBot="1">
      <c r="B66" s="486"/>
      <c r="C66" s="478"/>
      <c r="D66" s="441"/>
      <c r="E66" s="442"/>
      <c r="F66" s="443"/>
      <c r="G66" s="444"/>
      <c r="H66" s="457"/>
      <c r="I66" s="457"/>
      <c r="J66" s="447"/>
      <c r="K66" s="458"/>
      <c r="L66" s="456"/>
      <c r="M66" s="454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15.75" hidden="1" thickBot="1">
      <c r="B67" s="452"/>
      <c r="C67" s="429"/>
      <c r="D67" s="430"/>
      <c r="E67" s="431"/>
      <c r="F67" s="432"/>
      <c r="G67" s="433"/>
      <c r="H67" s="434"/>
      <c r="I67" s="449"/>
      <c r="J67" s="450"/>
      <c r="K67" s="435"/>
      <c r="L67" s="451"/>
      <c r="M67" s="420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37.15" hidden="1" customHeight="1" thickBot="1">
      <c r="B68" s="480"/>
      <c r="C68" s="478"/>
      <c r="D68" s="441"/>
      <c r="E68" s="442"/>
      <c r="F68" s="443"/>
      <c r="G68" s="444"/>
      <c r="H68" s="445"/>
      <c r="I68" s="446"/>
      <c r="J68" s="447"/>
      <c r="K68" s="448"/>
      <c r="L68" s="456"/>
      <c r="M68" s="454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16.5" hidden="1" customHeight="1" thickBot="1">
      <c r="B69" s="436"/>
      <c r="C69" s="422"/>
      <c r="D69" s="423"/>
      <c r="E69" s="424"/>
      <c r="F69" s="425"/>
      <c r="G69" s="426"/>
      <c r="H69" s="427"/>
      <c r="I69" s="437"/>
      <c r="J69" s="438"/>
      <c r="K69" s="428"/>
      <c r="L69" s="439"/>
      <c r="M69" s="421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414"/>
      <c r="AC69" s="414"/>
      <c r="AD69" s="414"/>
      <c r="AE69" s="414"/>
      <c r="AF69" s="414"/>
      <c r="AG69" s="414"/>
      <c r="AH69" s="414"/>
      <c r="AI69" s="414"/>
      <c r="AJ69" s="414"/>
      <c r="AK69" s="414"/>
      <c r="AL69" s="414"/>
      <c r="AM69" s="414"/>
      <c r="AN69" s="414"/>
      <c r="AO69" s="414"/>
      <c r="AP69" s="414"/>
      <c r="AQ69" s="414"/>
      <c r="AR69" s="414"/>
      <c r="AS69" s="414"/>
      <c r="AT69" s="414"/>
      <c r="AU69" s="414"/>
      <c r="AV69" s="414"/>
      <c r="AW69" s="414"/>
    </row>
    <row r="70" spans="2:57" s="54" customFormat="1" ht="37.15" hidden="1" customHeight="1" thickBot="1">
      <c r="B70" s="455"/>
      <c r="C70" s="440"/>
      <c r="D70" s="441"/>
      <c r="E70" s="442"/>
      <c r="F70" s="443"/>
      <c r="G70" s="444"/>
      <c r="H70" s="445"/>
      <c r="I70" s="446"/>
      <c r="J70" s="447"/>
      <c r="K70" s="448"/>
      <c r="L70" s="456"/>
      <c r="M70" s="453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277"/>
      <c r="AY70" s="277"/>
      <c r="AZ70" s="277"/>
      <c r="BA70" s="277"/>
      <c r="BB70" s="277"/>
      <c r="BC70" s="277"/>
      <c r="BD70" s="277"/>
      <c r="BE70" s="277"/>
    </row>
    <row r="71" spans="2:57" s="54" customFormat="1" ht="37.15" customHeight="1">
      <c r="B71" s="465"/>
      <c r="C71" s="429"/>
      <c r="D71" s="459"/>
      <c r="E71" s="460"/>
      <c r="F71" s="461"/>
      <c r="G71" s="459"/>
      <c r="H71" s="462"/>
      <c r="I71" s="462"/>
      <c r="J71" s="462"/>
      <c r="K71" s="463"/>
      <c r="L71" s="464"/>
      <c r="M71" s="50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ht="18" customHeight="1" thickBot="1">
      <c r="B72" s="59"/>
      <c r="C72" s="30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 t="s">
        <v>41</v>
      </c>
      <c r="O72" s="56"/>
      <c r="P72" s="60"/>
    </row>
    <row r="73" spans="2:57" ht="15.75" thickBot="1">
      <c r="B73" s="597" t="s">
        <v>55</v>
      </c>
      <c r="C73" s="598"/>
      <c r="D73" s="598"/>
      <c r="E73" s="598"/>
      <c r="F73" s="599"/>
      <c r="G73" s="597" t="s">
        <v>56</v>
      </c>
      <c r="H73" s="598"/>
      <c r="I73" s="598"/>
      <c r="J73" s="599"/>
      <c r="K73" s="597" t="s">
        <v>51</v>
      </c>
      <c r="L73" s="598"/>
      <c r="M73" s="598"/>
      <c r="N73" s="600"/>
      <c r="O73" s="56"/>
      <c r="P73" s="50"/>
    </row>
    <row r="74" spans="2:57" ht="15">
      <c r="B74" s="61" t="s">
        <v>17</v>
      </c>
      <c r="C74" s="62" t="s">
        <v>36</v>
      </c>
      <c r="D74" s="62" t="s">
        <v>37</v>
      </c>
      <c r="E74" s="62" t="s">
        <v>38</v>
      </c>
      <c r="F74" s="63" t="s">
        <v>39</v>
      </c>
      <c r="G74" s="62" t="s">
        <v>36</v>
      </c>
      <c r="H74" s="62" t="s">
        <v>37</v>
      </c>
      <c r="I74" s="62" t="s">
        <v>38</v>
      </c>
      <c r="J74" s="63" t="s">
        <v>39</v>
      </c>
      <c r="K74" s="62" t="s">
        <v>36</v>
      </c>
      <c r="L74" s="62" t="s">
        <v>37</v>
      </c>
      <c r="M74" s="62" t="s">
        <v>38</v>
      </c>
      <c r="N74" s="63" t="s">
        <v>39</v>
      </c>
      <c r="O74" s="56"/>
      <c r="P74" s="64"/>
    </row>
    <row r="75" spans="2:57" ht="15">
      <c r="B75" s="29" t="s">
        <v>6</v>
      </c>
      <c r="C75" s="65"/>
      <c r="D75" s="76">
        <v>5.1380368098159286</v>
      </c>
      <c r="E75" s="76">
        <v>6.3127517932078288</v>
      </c>
      <c r="F75" s="66">
        <v>4.8</v>
      </c>
      <c r="G75" s="65"/>
      <c r="H75" s="476">
        <v>6.1912025202534187</v>
      </c>
      <c r="I75" s="476">
        <v>6.4948937016600619</v>
      </c>
      <c r="J75" s="66">
        <v>4.8</v>
      </c>
      <c r="K75" s="67"/>
      <c r="L75" s="194">
        <v>0.81309941520467832</v>
      </c>
      <c r="M75" s="194">
        <v>0.56514650424210722</v>
      </c>
      <c r="N75" s="68">
        <v>1</v>
      </c>
      <c r="O75" s="56"/>
      <c r="P75" s="69"/>
    </row>
    <row r="76" spans="2:57" ht="15">
      <c r="B76" s="33" t="s">
        <v>9</v>
      </c>
      <c r="C76" s="65"/>
      <c r="D76" s="76">
        <v>6.0660124888492515</v>
      </c>
      <c r="E76" s="76">
        <v>6.0361392885041862</v>
      </c>
      <c r="F76" s="66">
        <v>4.8</v>
      </c>
      <c r="G76" s="65"/>
      <c r="H76" s="76">
        <v>6.1640340624899466</v>
      </c>
      <c r="I76" s="76">
        <v>5.9396439464574318</v>
      </c>
      <c r="J76" s="66">
        <v>4.8</v>
      </c>
      <c r="K76" s="67"/>
      <c r="L76" s="194">
        <v>0.71087719298245611</v>
      </c>
      <c r="M76" s="194">
        <v>0.68437301751248969</v>
      </c>
      <c r="N76" s="68">
        <v>1</v>
      </c>
      <c r="P76" s="69"/>
    </row>
    <row r="77" spans="2:57" ht="15">
      <c r="B77" s="34" t="s">
        <v>40</v>
      </c>
      <c r="C77" s="65"/>
      <c r="D77" s="76">
        <v>7.2586328400281719</v>
      </c>
      <c r="E77" s="76">
        <v>10.57086906945613</v>
      </c>
      <c r="F77" s="66">
        <v>5.5</v>
      </c>
      <c r="G77" s="65"/>
      <c r="H77" s="76">
        <v>8.3572982592313725</v>
      </c>
      <c r="I77" s="76">
        <v>11.49802517103547</v>
      </c>
      <c r="J77" s="66">
        <v>5.5</v>
      </c>
      <c r="K77" s="67"/>
      <c r="L77" s="194">
        <v>1.385263157894737</v>
      </c>
      <c r="M77" s="194">
        <v>0.42247265385686439</v>
      </c>
      <c r="N77" s="68">
        <v>1</v>
      </c>
      <c r="P77" s="69"/>
    </row>
    <row r="78" spans="2:57" ht="15">
      <c r="B78" s="22" t="s">
        <v>33</v>
      </c>
      <c r="C78" s="65"/>
      <c r="D78" s="76">
        <v>2.6160971335586405</v>
      </c>
      <c r="E78" s="76">
        <v>4.6053599467161712</v>
      </c>
      <c r="F78" s="66">
        <v>3.3</v>
      </c>
      <c r="G78" s="65"/>
      <c r="H78" s="76">
        <v>4.6522194119603313</v>
      </c>
      <c r="I78" s="76">
        <v>4.8325383920386296</v>
      </c>
      <c r="J78" s="66">
        <v>3.3</v>
      </c>
      <c r="K78" s="67"/>
      <c r="L78" s="194">
        <v>1.1878947368421053</v>
      </c>
      <c r="M78" s="194">
        <v>0.8473099415204679</v>
      </c>
      <c r="N78" s="68">
        <v>1</v>
      </c>
      <c r="P78" s="69"/>
    </row>
    <row r="79" spans="2:57" ht="15">
      <c r="B79" s="35" t="s">
        <v>164</v>
      </c>
      <c r="C79" s="65"/>
      <c r="D79" s="76"/>
      <c r="E79" s="76"/>
      <c r="F79" s="66">
        <v>3.3</v>
      </c>
      <c r="G79" s="282"/>
      <c r="H79" s="76"/>
      <c r="I79" s="76"/>
      <c r="J79" s="66">
        <v>3</v>
      </c>
      <c r="K79" s="67"/>
      <c r="L79" s="194"/>
      <c r="M79" s="194"/>
      <c r="N79" s="68">
        <v>1</v>
      </c>
      <c r="P79" s="69"/>
    </row>
    <row r="80" spans="2:57" ht="15">
      <c r="B80" s="36" t="s">
        <v>15</v>
      </c>
      <c r="C80" s="65"/>
      <c r="D80" s="76"/>
      <c r="E80" s="76">
        <v>6.3233965672990236</v>
      </c>
      <c r="F80" s="70">
        <v>5.5</v>
      </c>
      <c r="G80" s="65"/>
      <c r="H80" s="76"/>
      <c r="I80" s="76">
        <v>7.9667553186446929</v>
      </c>
      <c r="J80" s="66">
        <v>5.5</v>
      </c>
      <c r="K80" s="67"/>
      <c r="L80" s="194"/>
      <c r="M80" s="194">
        <v>0.5883625730994152</v>
      </c>
      <c r="N80" s="68">
        <v>1</v>
      </c>
      <c r="P80" s="69"/>
    </row>
    <row r="81" spans="2:16" ht="15">
      <c r="B81" s="37" t="s">
        <v>16</v>
      </c>
      <c r="C81" s="481"/>
      <c r="D81" s="76">
        <v>0.84622823984524742</v>
      </c>
      <c r="E81" s="76">
        <v>3.7586797925639486</v>
      </c>
      <c r="F81" s="66">
        <v>3.3</v>
      </c>
      <c r="G81" s="282"/>
      <c r="H81" s="76">
        <v>4.0067212349015007</v>
      </c>
      <c r="I81" s="76">
        <v>5.0257518320273871</v>
      </c>
      <c r="J81" s="66">
        <v>3.3</v>
      </c>
      <c r="K81" s="67"/>
      <c r="L81" s="194">
        <v>0.71947368421052638</v>
      </c>
      <c r="M81" s="194">
        <v>0.87835004177109433</v>
      </c>
      <c r="N81" s="71">
        <v>1</v>
      </c>
      <c r="P81" s="69"/>
    </row>
    <row r="82" spans="2:16" ht="15.75" thickBot="1">
      <c r="B82" s="38" t="s">
        <v>163</v>
      </c>
      <c r="C82" s="65"/>
      <c r="D82" s="76"/>
      <c r="E82" s="76"/>
      <c r="F82" s="66">
        <v>7.5</v>
      </c>
      <c r="G82" s="282"/>
      <c r="H82" s="76"/>
      <c r="I82" s="76"/>
      <c r="J82" s="66">
        <v>7.5</v>
      </c>
      <c r="K82" s="67"/>
      <c r="L82" s="194"/>
      <c r="M82" s="194"/>
      <c r="N82" s="71">
        <v>1</v>
      </c>
      <c r="P82" s="69"/>
    </row>
    <row r="83" spans="2:16" ht="15.75" thickBot="1">
      <c r="B83" s="413" t="s">
        <v>161</v>
      </c>
      <c r="C83" s="65"/>
      <c r="D83" s="76"/>
      <c r="E83" s="76"/>
      <c r="F83" s="66">
        <v>4.8</v>
      </c>
      <c r="G83" s="282"/>
      <c r="H83" s="76"/>
      <c r="I83" s="76"/>
      <c r="J83" s="66">
        <v>4.8</v>
      </c>
      <c r="K83" s="67"/>
      <c r="L83" s="194"/>
      <c r="M83" s="194"/>
      <c r="N83" s="71">
        <v>1</v>
      </c>
      <c r="O83" s="74"/>
      <c r="P83" s="75"/>
    </row>
    <row r="84" spans="2:16" ht="15">
      <c r="D84" s="76">
        <v>4.9528406127626257</v>
      </c>
      <c r="E84" s="76">
        <v>6.248559970947877</v>
      </c>
      <c r="F84" s="341">
        <v>5.5</v>
      </c>
      <c r="H84" s="76">
        <v>5.963225048197593</v>
      </c>
      <c r="I84" s="76">
        <v>6.5931867160290176</v>
      </c>
      <c r="J84" s="341">
        <v>5.5</v>
      </c>
      <c r="L84" s="194">
        <v>0.86429174788823926</v>
      </c>
      <c r="M84" s="194">
        <v>0.61886050467768883</v>
      </c>
      <c r="N84" s="386">
        <v>1</v>
      </c>
    </row>
  </sheetData>
  <mergeCells count="51">
    <mergeCell ref="M60:M61"/>
    <mergeCell ref="B73:F73"/>
    <mergeCell ref="G73:J73"/>
    <mergeCell ref="K73:N73"/>
    <mergeCell ref="G60:G61"/>
    <mergeCell ref="H60:H61"/>
    <mergeCell ref="I60:I61"/>
    <mergeCell ref="J60:J61"/>
    <mergeCell ref="K60:K61"/>
    <mergeCell ref="L60:L61"/>
    <mergeCell ref="D55:E55"/>
    <mergeCell ref="B60:B61"/>
    <mergeCell ref="C60:C61"/>
    <mergeCell ref="D60:D61"/>
    <mergeCell ref="E60:E61"/>
    <mergeCell ref="F60:F61"/>
    <mergeCell ref="B45:B54"/>
    <mergeCell ref="D45:E46"/>
    <mergeCell ref="J45:K45"/>
    <mergeCell ref="L46:N46"/>
    <mergeCell ref="D47:E48"/>
    <mergeCell ref="D49:E50"/>
    <mergeCell ref="D51:E52"/>
    <mergeCell ref="D53:E54"/>
    <mergeCell ref="I31:N31"/>
    <mergeCell ref="D32:E32"/>
    <mergeCell ref="B33:B44"/>
    <mergeCell ref="D33:E34"/>
    <mergeCell ref="D35:E36"/>
    <mergeCell ref="D37:E38"/>
    <mergeCell ref="D39:E40"/>
    <mergeCell ref="D41:E42"/>
    <mergeCell ref="D43:E44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55:B56">
    <cfRule type="cellIs" dxfId="191" priority="103" operator="notBetween">
      <formula>#REF!</formula>
      <formula>#REF!</formula>
    </cfRule>
  </conditionalFormatting>
  <conditionalFormatting sqref="C59">
    <cfRule type="cellIs" dxfId="189" priority="185" stopIfTrue="1" operator="lessThan">
      <formula>96</formula>
    </cfRule>
    <cfRule type="cellIs" dxfId="190" priority="186" stopIfTrue="1" operator="greaterThan">
      <formula>100</formula>
    </cfRule>
  </conditionalFormatting>
  <conditionalFormatting sqref="C75:C76">
    <cfRule type="cellIs" dxfId="185" priority="66" stopIfTrue="1" operator="greaterThan">
      <formula>$F75</formula>
    </cfRule>
    <cfRule type="cellIs" dxfId="186" priority="67" stopIfTrue="1" operator="lessThanOrEqual">
      <formula>0</formula>
    </cfRule>
    <cfRule type="cellIs" dxfId="187" priority="68" stopIfTrue="1" operator="greaterThan">
      <formula>$F75</formula>
    </cfRule>
    <cfRule type="cellIs" dxfId="188" priority="69" stopIfTrue="1" operator="lessThanOrEqual">
      <formula>0</formula>
    </cfRule>
  </conditionalFormatting>
  <conditionalFormatting sqref="C77:C79 C81:C83">
    <cfRule type="cellIs" dxfId="184" priority="75" stopIfTrue="1" operator="greaterThan">
      <formula>$F80</formula>
    </cfRule>
  </conditionalFormatting>
  <conditionalFormatting sqref="C77:C79">
    <cfRule type="cellIs" dxfId="183" priority="76" stopIfTrue="1" operator="lessThanOrEqual">
      <formula>0</formula>
    </cfRule>
  </conditionalFormatting>
  <conditionalFormatting sqref="C80">
    <cfRule type="cellIs" dxfId="180" priority="187" stopIfTrue="1" operator="greaterThan">
      <formula>$F75</formula>
    </cfRule>
    <cfRule type="cellIs" dxfId="181" priority="188" stopIfTrue="1" operator="lessThanOrEqual">
      <formula>0</formula>
    </cfRule>
    <cfRule type="cellIs" dxfId="182" priority="189" stopIfTrue="1" operator="greaterThan">
      <formula>$F75</formula>
    </cfRule>
    <cfRule type="cellIs" dxfId="179" priority="190" stopIfTrue="1" operator="lessThanOrEqual">
      <formula>0</formula>
    </cfRule>
  </conditionalFormatting>
  <conditionalFormatting sqref="C81:C83">
    <cfRule type="cellIs" dxfId="178" priority="77" stopIfTrue="1" operator="lessThanOrEqual">
      <formula>0</formula>
    </cfRule>
  </conditionalFormatting>
  <conditionalFormatting sqref="C86:C90">
    <cfRule type="cellIs" dxfId="177" priority="177" stopIfTrue="1" operator="lessThanOrEqual">
      <formula>0</formula>
    </cfRule>
  </conditionalFormatting>
  <conditionalFormatting sqref="C87:C90">
    <cfRule type="cellIs" dxfId="176" priority="176" stopIfTrue="1" operator="greaterThan">
      <formula>$F$86</formula>
    </cfRule>
  </conditionalFormatting>
  <conditionalFormatting sqref="C92">
    <cfRule type="cellIs" dxfId="174" priority="178" stopIfTrue="1" operator="greaterThan">
      <formula>$F$86</formula>
    </cfRule>
    <cfRule type="cellIs" dxfId="175" priority="179" stopIfTrue="1" operator="lessThanOrEqual">
      <formula>0</formula>
    </cfRule>
  </conditionalFormatting>
  <conditionalFormatting sqref="C80:D80">
    <cfRule type="cellIs" dxfId="172" priority="64" stopIfTrue="1" operator="greaterThan">
      <formula>$J80</formula>
    </cfRule>
    <cfRule type="cellIs" dxfId="173" priority="65" stopIfTrue="1" operator="lessThanOrEqual">
      <formula>0</formula>
    </cfRule>
  </conditionalFormatting>
  <conditionalFormatting sqref="C86:D86 D88:D94">
    <cfRule type="cellIs" dxfId="171" priority="171" stopIfTrue="1" operator="greaterThan">
      <formula>4.5</formula>
    </cfRule>
  </conditionalFormatting>
  <conditionalFormatting sqref="D55:D56">
    <cfRule type="cellIs" dxfId="170" priority="104" operator="notBetween">
      <formula>#REF!</formula>
      <formula>#REF!</formula>
    </cfRule>
  </conditionalFormatting>
  <conditionalFormatting sqref="D75:D79 D81:D82">
    <cfRule type="cellIs" dxfId="169" priority="74" stopIfTrue="1" operator="lessThanOrEqual">
      <formula>0</formula>
    </cfRule>
  </conditionalFormatting>
  <conditionalFormatting sqref="D75:D79 D81:D84">
    <cfRule type="cellIs" dxfId="167" priority="70" stopIfTrue="1" operator="lessThanOrEqual">
      <formula>0</formula>
    </cfRule>
    <cfRule type="cellIs" dxfId="168" priority="71" stopIfTrue="1" operator="greaterThan">
      <formula>$F75</formula>
    </cfRule>
  </conditionalFormatting>
  <conditionalFormatting sqref="D83:D84">
    <cfRule type="cellIs" dxfId="166" priority="72" stopIfTrue="1" operator="lessThanOrEqual">
      <formula>0</formula>
    </cfRule>
  </conditionalFormatting>
  <conditionalFormatting sqref="D84">
    <cfRule type="cellIs" dxfId="165" priority="73" stopIfTrue="1" operator="lessThanOrEqual">
      <formula>0</formula>
    </cfRule>
  </conditionalFormatting>
  <conditionalFormatting sqref="D86 D88:D94">
    <cfRule type="cellIs" dxfId="164" priority="172" stopIfTrue="1" operator="lessThanOrEqual">
      <formula>0</formula>
    </cfRule>
  </conditionalFormatting>
  <conditionalFormatting sqref="D87">
    <cfRule type="cellIs" dxfId="162" priority="163" stopIfTrue="1" operator="greaterThan">
      <formula>$F$86</formula>
    </cfRule>
    <cfRule type="cellIs" dxfId="163" priority="164" stopIfTrue="1" operator="lessThanOrEqual">
      <formula>0</formula>
    </cfRule>
  </conditionalFormatting>
  <conditionalFormatting sqref="E10:E30">
    <cfRule type="cellIs" dxfId="161" priority="7" operator="lessThan">
      <formula>48</formula>
    </cfRule>
  </conditionalFormatting>
  <conditionalFormatting sqref="E58 E59:F59">
    <cfRule type="cellIs" dxfId="160" priority="168" stopIfTrue="1" operator="greaterThan">
      <formula>100</formula>
    </cfRule>
  </conditionalFormatting>
  <conditionalFormatting sqref="E59">
    <cfRule type="cellIs" dxfId="158" priority="165" stopIfTrue="1" operator="lessThan">
      <formula>96.8</formula>
    </cfRule>
    <cfRule type="cellIs" dxfId="159" priority="166" stopIfTrue="1" operator="greaterThan">
      <formula>100</formula>
    </cfRule>
  </conditionalFormatting>
  <conditionalFormatting sqref="E75:E83">
    <cfRule type="cellIs" dxfId="157" priority="37" stopIfTrue="1" operator="lessThanOrEqual">
      <formula>0</formula>
    </cfRule>
  </conditionalFormatting>
  <conditionalFormatting sqref="E75:E84">
    <cfRule type="cellIs" dxfId="156" priority="38" stopIfTrue="1" operator="greaterThan">
      <formula>$F75</formula>
    </cfRule>
    <cfRule type="cellIs" dxfId="155" priority="39" stopIfTrue="1" operator="lessThanOrEqual">
      <formula>0</formula>
    </cfRule>
  </conditionalFormatting>
  <conditionalFormatting sqref="E84">
    <cfRule type="cellIs" dxfId="154" priority="40" stopIfTrue="1" operator="lessThanOrEqual">
      <formula>0</formula>
    </cfRule>
  </conditionalFormatting>
  <conditionalFormatting sqref="E86:E94">
    <cfRule type="cellIs" dxfId="153" priority="157" stopIfTrue="1" operator="greaterThan">
      <formula>4.5</formula>
    </cfRule>
    <cfRule type="cellIs" dxfId="152" priority="158" stopIfTrue="1" operator="lessThanOrEqual">
      <formula>0</formula>
    </cfRule>
  </conditionalFormatting>
  <conditionalFormatting sqref="E59:F59 E58">
    <cfRule type="cellIs" dxfId="151" priority="167" stopIfTrue="1" operator="lessThan">
      <formula>96.5</formula>
    </cfRule>
  </conditionalFormatting>
  <conditionalFormatting sqref="F10:F30">
    <cfRule type="cellIs" dxfId="150" priority="8" operator="greaterThan">
      <formula>60</formula>
    </cfRule>
  </conditionalFormatting>
  <conditionalFormatting sqref="F59">
    <cfRule type="cellIs" dxfId="149" priority="183" stopIfTrue="1" operator="lessThan">
      <formula>96.8</formula>
    </cfRule>
    <cfRule type="cellIs" dxfId="148" priority="184" stopIfTrue="1" operator="greaterThan">
      <formula>100</formula>
    </cfRule>
  </conditionalFormatting>
  <conditionalFormatting sqref="G30">
    <cfRule type="expression" dxfId="147" priority="14">
      <formula>IF(+(IF(G30&lt;S30,0,IF(G30&gt;T30,0,1)))=0,1)</formula>
    </cfRule>
  </conditionalFormatting>
  <conditionalFormatting sqref="G75:G78 F84">
    <cfRule type="cellIs" dxfId="146" priority="46" stopIfTrue="1" operator="greaterThan">
      <formula>$F75</formula>
    </cfRule>
    <cfRule type="cellIs" dxfId="145" priority="47" stopIfTrue="1" operator="lessThanOrEqual">
      <formula>0</formula>
    </cfRule>
  </conditionalFormatting>
  <conditionalFormatting sqref="G77:G78">
    <cfRule type="cellIs" dxfId="144" priority="32" stopIfTrue="1" operator="greaterThan">
      <formula>$F77</formula>
    </cfRule>
    <cfRule type="cellIs" dxfId="143" priority="33" stopIfTrue="1" operator="lessThanOrEqual">
      <formula>0</formula>
    </cfRule>
  </conditionalFormatting>
  <conditionalFormatting sqref="G79:G83">
    <cfRule type="cellIs" dxfId="142" priority="48" stopIfTrue="1" operator="greaterThan">
      <formula>$J79</formula>
    </cfRule>
    <cfRule type="cellIs" dxfId="141" priority="49" stopIfTrue="1" operator="lessThanOrEqual">
      <formula>0</formula>
    </cfRule>
  </conditionalFormatting>
  <conditionalFormatting sqref="G80">
    <cfRule type="cellIs" dxfId="139" priority="191" stopIfTrue="1" operator="greaterThan">
      <formula>$F75</formula>
    </cfRule>
    <cfRule type="cellIs" dxfId="140" priority="192" stopIfTrue="1" operator="lessThanOrEqual">
      <formula>0</formula>
    </cfRule>
  </conditionalFormatting>
  <conditionalFormatting sqref="G88:G93 C91 C93">
    <cfRule type="cellIs" dxfId="137" priority="180" stopIfTrue="1" operator="greaterThan">
      <formula>4.5</formula>
    </cfRule>
    <cfRule type="cellIs" dxfId="138" priority="181" stopIfTrue="1" operator="lessThanOrEqual">
      <formula>0</formula>
    </cfRule>
  </conditionalFormatting>
  <conditionalFormatting sqref="G10:H17 M10:N29">
    <cfRule type="expression" dxfId="136" priority="10">
      <formula>IF(+(IF(G10&lt;#REF!,0,IF(G10&gt;#REF!,0,1)))=0,1)</formula>
    </cfRule>
  </conditionalFormatting>
  <conditionalFormatting sqref="G87:H87">
    <cfRule type="cellIs" dxfId="135" priority="161" stopIfTrue="1" operator="greaterThan">
      <formula>$F$86</formula>
    </cfRule>
    <cfRule type="cellIs" dxfId="134" priority="162" stopIfTrue="1" operator="lessThanOrEqual">
      <formula>0</formula>
    </cfRule>
  </conditionalFormatting>
  <conditionalFormatting sqref="H18:H30">
    <cfRule type="expression" dxfId="133" priority="12">
      <formula>IF(+(IF(H18&lt;#REF!,0,IF(H18&gt;#REF!,0,1)))=0,1)</formula>
    </cfRule>
  </conditionalFormatting>
  <conditionalFormatting sqref="H44:H45 H58">
    <cfRule type="cellIs" dxfId="132" priority="159" stopIfTrue="1" operator="greaterThan">
      <formula>0</formula>
    </cfRule>
  </conditionalFormatting>
  <conditionalFormatting sqref="H62">
    <cfRule type="cellIs" dxfId="131" priority="51" stopIfTrue="1" operator="lessThanOrEqual">
      <formula>0</formula>
    </cfRule>
    <cfRule type="cellIs" dxfId="127" priority="52" stopIfTrue="1" operator="greaterThan">
      <formula>$F$75</formula>
    </cfRule>
    <cfRule type="cellIs" dxfId="130" priority="60" stopIfTrue="1" operator="greaterThan">
      <formula>$F$78</formula>
    </cfRule>
    <cfRule type="cellIs" dxfId="129" priority="61" stopIfTrue="1" operator="lessThanOrEqual">
      <formula>0</formula>
    </cfRule>
    <cfRule type="cellIs" dxfId="128" priority="62" stopIfTrue="1" operator="greaterThan">
      <formula>$F$76</formula>
    </cfRule>
  </conditionalFormatting>
  <conditionalFormatting sqref="H62:H63">
    <cfRule type="cellIs" dxfId="126" priority="63" stopIfTrue="1" operator="lessThanOrEqual">
      <formula>0</formula>
    </cfRule>
  </conditionalFormatting>
  <conditionalFormatting sqref="H63 H65:H66">
    <cfRule type="cellIs" dxfId="125" priority="89" stopIfTrue="1" operator="lessThanOrEqual">
      <formula>0</formula>
    </cfRule>
  </conditionalFormatting>
  <conditionalFormatting sqref="H63">
    <cfRule type="cellIs" dxfId="123" priority="78" stopIfTrue="1" operator="greaterThan">
      <formula>$F$75</formula>
    </cfRule>
    <cfRule type="cellIs" dxfId="122" priority="86" stopIfTrue="1" operator="greaterThan">
      <formula>$F$78</formula>
    </cfRule>
    <cfRule type="cellIs" dxfId="124" priority="87" stopIfTrue="1" operator="lessThanOrEqual">
      <formula>0</formula>
    </cfRule>
    <cfRule type="cellIs" dxfId="121" priority="88" stopIfTrue="1" operator="greaterThan">
      <formula>$F$76</formula>
    </cfRule>
  </conditionalFormatting>
  <conditionalFormatting sqref="H64">
    <cfRule type="cellIs" dxfId="119" priority="18" stopIfTrue="1" operator="lessThanOrEqual">
      <formula>0</formula>
    </cfRule>
    <cfRule type="cellIs" dxfId="118" priority="19" stopIfTrue="1" operator="greaterThan">
      <formula>$F$77</formula>
    </cfRule>
    <cfRule type="cellIs" dxfId="117" priority="27" stopIfTrue="1" operator="greaterThan">
      <formula>$F$80</formula>
    </cfRule>
    <cfRule type="cellIs" dxfId="116" priority="28" stopIfTrue="1" operator="lessThanOrEqual">
      <formula>0</formula>
    </cfRule>
    <cfRule type="cellIs" dxfId="115" priority="29" stopIfTrue="1" operator="greaterThan">
      <formula>$F$78</formula>
    </cfRule>
    <cfRule type="cellIs" dxfId="120" priority="30" stopIfTrue="1" operator="lessThanOrEqual">
      <formula>0</formula>
    </cfRule>
  </conditionalFormatting>
  <conditionalFormatting sqref="H65:H66">
    <cfRule type="cellIs" dxfId="111" priority="91" stopIfTrue="1" operator="greaterThan">
      <formula>$F$75</formula>
    </cfRule>
    <cfRule type="cellIs" dxfId="112" priority="99" stopIfTrue="1" operator="greaterThan">
      <formula>$F$78</formula>
    </cfRule>
    <cfRule type="cellIs" dxfId="114" priority="100" stopIfTrue="1" operator="lessThanOrEqual">
      <formula>0</formula>
    </cfRule>
    <cfRule type="cellIs" dxfId="113" priority="101" stopIfTrue="1" operator="greaterThan">
      <formula>$F$76</formula>
    </cfRule>
    <cfRule type="cellIs" dxfId="110" priority="102" stopIfTrue="1" operator="lessThanOrEqual">
      <formula>0</formula>
    </cfRule>
  </conditionalFormatting>
  <conditionalFormatting sqref="H67:H68">
    <cfRule type="cellIs" dxfId="109" priority="126" stopIfTrue="1" operator="lessThanOrEqual">
      <formula>0</formula>
    </cfRule>
    <cfRule type="cellIs" dxfId="107" priority="127" stopIfTrue="1" operator="greaterThan">
      <formula>#REF!</formula>
    </cfRule>
    <cfRule type="cellIs" dxfId="108" priority="135" stopIfTrue="1" operator="greaterThan">
      <formula>#REF!</formula>
    </cfRule>
    <cfRule type="cellIs" dxfId="106" priority="136" stopIfTrue="1" operator="lessThanOrEqual">
      <formula>0</formula>
    </cfRule>
  </conditionalFormatting>
  <conditionalFormatting sqref="H69">
    <cfRule type="cellIs" dxfId="104" priority="138" stopIfTrue="1" operator="lessThanOrEqual">
      <formula>0</formula>
    </cfRule>
    <cfRule type="cellIs" dxfId="105" priority="139" stopIfTrue="1" operator="greaterThan">
      <formula>$F$43</formula>
    </cfRule>
    <cfRule type="cellIs" dxfId="102" priority="147" stopIfTrue="1" operator="greaterThan">
      <formula>$F$46</formula>
    </cfRule>
    <cfRule type="cellIs" dxfId="101" priority="148" stopIfTrue="1" operator="lessThanOrEqual">
      <formula>0</formula>
    </cfRule>
    <cfRule type="cellIs" dxfId="103" priority="149" stopIfTrue="1" operator="greaterThan">
      <formula>$F$44</formula>
    </cfRule>
    <cfRule type="cellIs" dxfId="100" priority="150" stopIfTrue="1" operator="lessThanOrEqual">
      <formula>0</formula>
    </cfRule>
  </conditionalFormatting>
  <conditionalFormatting sqref="H70:H71">
    <cfRule type="cellIs" dxfId="97" priority="114" stopIfTrue="1" operator="lessThanOrEqual">
      <formula>0</formula>
    </cfRule>
    <cfRule type="cellIs" dxfId="96" priority="115" stopIfTrue="1" operator="greaterThan">
      <formula>#REF!</formula>
    </cfRule>
    <cfRule type="cellIs" dxfId="99" priority="123" stopIfTrue="1" operator="greaterThan">
      <formula>#REF!</formula>
    </cfRule>
    <cfRule type="cellIs" dxfId="98" priority="124" stopIfTrue="1" operator="lessThanOrEqual">
      <formula>0</formula>
    </cfRule>
  </conditionalFormatting>
  <conditionalFormatting sqref="H86 H88:H94">
    <cfRule type="cellIs" dxfId="95" priority="173" stopIfTrue="1" operator="greaterThan">
      <formula>4.5</formula>
    </cfRule>
    <cfRule type="cellIs" dxfId="94" priority="174" stopIfTrue="1" operator="lessThanOrEqual">
      <formula>0</formula>
    </cfRule>
  </conditionalFormatting>
  <conditionalFormatting sqref="H62:I62">
    <cfRule type="cellIs" dxfId="93" priority="53" stopIfTrue="1" operator="lessThanOrEqual">
      <formula>0</formula>
    </cfRule>
  </conditionalFormatting>
  <conditionalFormatting sqref="H62:I63 H65:I66">
    <cfRule type="cellIs" dxfId="92" priority="50" stopIfTrue="1" operator="greaterThan">
      <formula>$F$77</formula>
    </cfRule>
  </conditionalFormatting>
  <conditionalFormatting sqref="H63:I63">
    <cfRule type="cellIs" dxfId="91" priority="79" stopIfTrue="1" operator="lessThanOrEqual">
      <formula>0</formula>
    </cfRule>
  </conditionalFormatting>
  <conditionalFormatting sqref="H64:I64">
    <cfRule type="cellIs" dxfId="90" priority="17" stopIfTrue="1" operator="greaterThan">
      <formula>$F$79</formula>
    </cfRule>
    <cfRule type="cellIs" dxfId="89" priority="20" stopIfTrue="1" operator="lessThanOrEqual">
      <formula>0</formula>
    </cfRule>
  </conditionalFormatting>
  <conditionalFormatting sqref="H65:I66">
    <cfRule type="cellIs" dxfId="88" priority="92" stopIfTrue="1" operator="lessThanOrEqual">
      <formula>0</formula>
    </cfRule>
  </conditionalFormatting>
  <conditionalFormatting sqref="H67:I68">
    <cfRule type="cellIs" dxfId="87" priority="125" stopIfTrue="1" operator="greaterThan">
      <formula>#REF!</formula>
    </cfRule>
    <cfRule type="cellIs" dxfId="86" priority="128" stopIfTrue="1" operator="lessThanOrEqual">
      <formula>0</formula>
    </cfRule>
    <cfRule type="cellIs" dxfId="85" priority="133" stopIfTrue="1" operator="greaterThan">
      <formula>#REF!</formula>
    </cfRule>
    <cfRule type="cellIs" dxfId="84" priority="134" stopIfTrue="1" operator="lessThanOrEqual">
      <formula>0</formula>
    </cfRule>
  </conditionalFormatting>
  <conditionalFormatting sqref="H69:I69">
    <cfRule type="cellIs" dxfId="83" priority="137" stopIfTrue="1" operator="greaterThan">
      <formula>$F$45</formula>
    </cfRule>
    <cfRule type="cellIs" dxfId="82" priority="140" stopIfTrue="1" operator="lessThanOrEqual">
      <formula>0</formula>
    </cfRule>
  </conditionalFormatting>
  <conditionalFormatting sqref="H70:I71">
    <cfRule type="cellIs" dxfId="78" priority="113" stopIfTrue="1" operator="greaterThan">
      <formula>#REF!</formula>
    </cfRule>
    <cfRule type="cellIs" dxfId="81" priority="116" stopIfTrue="1" operator="lessThanOrEqual">
      <formula>0</formula>
    </cfRule>
    <cfRule type="cellIs" dxfId="80" priority="121" stopIfTrue="1" operator="greaterThan">
      <formula>#REF!</formula>
    </cfRule>
    <cfRule type="cellIs" dxfId="79" priority="122" stopIfTrue="1" operator="lessThanOrEqual">
      <formula>0</formula>
    </cfRule>
  </conditionalFormatting>
  <conditionalFormatting sqref="H75:I82">
    <cfRule type="cellIs" dxfId="77" priority="35" stopIfTrue="1" operator="greaterThan">
      <formula>$J75</formula>
    </cfRule>
    <cfRule type="cellIs" dxfId="76" priority="36" stopIfTrue="1" operator="lessThanOrEqual">
      <formula>0</formula>
    </cfRule>
  </conditionalFormatting>
  <conditionalFormatting sqref="H83:I83">
    <cfRule type="cellIs" dxfId="75" priority="43" operator="greaterThan">
      <formula>5.3</formula>
    </cfRule>
  </conditionalFormatting>
  <conditionalFormatting sqref="H84:I84">
    <cfRule type="cellIs" dxfId="74" priority="41" stopIfTrue="1" operator="greaterThan">
      <formula>$J84</formula>
    </cfRule>
    <cfRule type="cellIs" dxfId="73" priority="42" stopIfTrue="1" operator="lessThanOrEqual">
      <formula>0</formula>
    </cfRule>
  </conditionalFormatting>
  <conditionalFormatting sqref="I62">
    <cfRule type="cellIs" dxfId="67" priority="54" stopIfTrue="1" operator="greaterThan">
      <formula>$F$75</formula>
    </cfRule>
    <cfRule type="cellIs" dxfId="68" priority="55" stopIfTrue="1" operator="lessThanOrEqual">
      <formula>0</formula>
    </cfRule>
    <cfRule type="cellIs" dxfId="69" priority="56" stopIfTrue="1" operator="greaterThan">
      <formula>$F$77</formula>
    </cfRule>
    <cfRule type="cellIs" dxfId="70" priority="57" stopIfTrue="1" operator="lessThanOrEqual">
      <formula>0</formula>
    </cfRule>
    <cfRule type="cellIs" dxfId="72" priority="58" stopIfTrue="1" operator="greaterThan">
      <formula>$F$75</formula>
    </cfRule>
    <cfRule type="cellIs" dxfId="71" priority="59" stopIfTrue="1" operator="lessThanOrEqual">
      <formula>0</formula>
    </cfRule>
  </conditionalFormatting>
  <conditionalFormatting sqref="I63">
    <cfRule type="cellIs" dxfId="64" priority="80" stopIfTrue="1" operator="greaterThan">
      <formula>$F$75</formula>
    </cfRule>
    <cfRule type="cellIs" dxfId="66" priority="81" stopIfTrue="1" operator="lessThanOrEqual">
      <formula>0</formula>
    </cfRule>
    <cfRule type="cellIs" dxfId="61" priority="82" stopIfTrue="1" operator="greaterThan">
      <formula>$F$77</formula>
    </cfRule>
    <cfRule type="cellIs" dxfId="62" priority="83" stopIfTrue="1" operator="lessThanOrEqual">
      <formula>0</formula>
    </cfRule>
    <cfRule type="cellIs" dxfId="65" priority="84" stopIfTrue="1" operator="greaterThan">
      <formula>$F$75</formula>
    </cfRule>
    <cfRule type="cellIs" dxfId="63" priority="85" stopIfTrue="1" operator="lessThanOrEqual">
      <formula>0</formula>
    </cfRule>
  </conditionalFormatting>
  <conditionalFormatting sqref="I64">
    <cfRule type="cellIs" dxfId="60" priority="21" stopIfTrue="1" operator="greaterThan">
      <formula>$F$77</formula>
    </cfRule>
    <cfRule type="cellIs" dxfId="56" priority="22" stopIfTrue="1" operator="lessThanOrEqual">
      <formula>0</formula>
    </cfRule>
    <cfRule type="cellIs" dxfId="57" priority="23" stopIfTrue="1" operator="greaterThan">
      <formula>$F$79</formula>
    </cfRule>
    <cfRule type="cellIs" dxfId="59" priority="24" stopIfTrue="1" operator="lessThanOrEqual">
      <formula>0</formula>
    </cfRule>
    <cfRule type="cellIs" dxfId="58" priority="25" stopIfTrue="1" operator="greaterThan">
      <formula>$F$77</formula>
    </cfRule>
    <cfRule type="cellIs" dxfId="55" priority="26" stopIfTrue="1" operator="lessThanOrEqual">
      <formula>0</formula>
    </cfRule>
  </conditionalFormatting>
  <conditionalFormatting sqref="I65:I66">
    <cfRule type="cellIs" dxfId="49" priority="93" stopIfTrue="1" operator="greaterThan">
      <formula>$F$75</formula>
    </cfRule>
    <cfRule type="cellIs" dxfId="53" priority="94" stopIfTrue="1" operator="lessThanOrEqual">
      <formula>0</formula>
    </cfRule>
    <cfRule type="cellIs" dxfId="50" priority="95" stopIfTrue="1" operator="greaterThan">
      <formula>$F$77</formula>
    </cfRule>
    <cfRule type="cellIs" dxfId="54" priority="96" stopIfTrue="1" operator="lessThanOrEqual">
      <formula>0</formula>
    </cfRule>
    <cfRule type="cellIs" dxfId="52" priority="97" stopIfTrue="1" operator="greaterThan">
      <formula>$F$75</formula>
    </cfRule>
    <cfRule type="cellIs" dxfId="51" priority="98" stopIfTrue="1" operator="lessThanOrEqual">
      <formula>0</formula>
    </cfRule>
  </conditionalFormatting>
  <conditionalFormatting sqref="I67:I68">
    <cfRule type="cellIs" dxfId="48" priority="129" stopIfTrue="1" operator="greaterThan">
      <formula>#REF!</formula>
    </cfRule>
    <cfRule type="cellIs" dxfId="47" priority="130" stopIfTrue="1" operator="lessThanOrEqual">
      <formula>0</formula>
    </cfRule>
    <cfRule type="cellIs" dxfId="45" priority="131" stopIfTrue="1" operator="greaterThan">
      <formula>#REF!</formula>
    </cfRule>
    <cfRule type="cellIs" dxfId="46" priority="132" stopIfTrue="1" operator="lessThanOrEqual">
      <formula>0</formula>
    </cfRule>
  </conditionalFormatting>
  <conditionalFormatting sqref="I69">
    <cfRule type="cellIs" dxfId="40" priority="141" stopIfTrue="1" operator="greaterThan">
      <formula>$F$43</formula>
    </cfRule>
    <cfRule type="cellIs" dxfId="44" priority="142" stopIfTrue="1" operator="lessThanOrEqual">
      <formula>0</formula>
    </cfRule>
    <cfRule type="cellIs" dxfId="43" priority="143" stopIfTrue="1" operator="greaterThan">
      <formula>$F$45</formula>
    </cfRule>
    <cfRule type="cellIs" dxfId="39" priority="144" stopIfTrue="1" operator="lessThanOrEqual">
      <formula>0</formula>
    </cfRule>
    <cfRule type="cellIs" dxfId="41" priority="145" stopIfTrue="1" operator="greaterThan">
      <formula>$F$43</formula>
    </cfRule>
    <cfRule type="cellIs" dxfId="42" priority="146" stopIfTrue="1" operator="lessThanOrEqual">
      <formula>0</formula>
    </cfRule>
  </conditionalFormatting>
  <conditionalFormatting sqref="I70:I71">
    <cfRule type="cellIs" dxfId="37" priority="117" stopIfTrue="1" operator="greaterThan">
      <formula>#REF!</formula>
    </cfRule>
    <cfRule type="cellIs" dxfId="36" priority="118" stopIfTrue="1" operator="lessThanOrEqual">
      <formula>0</formula>
    </cfRule>
    <cfRule type="cellIs" dxfId="38" priority="119" stopIfTrue="1" operator="greaterThan">
      <formula>#REF!</formula>
    </cfRule>
    <cfRule type="cellIs" dxfId="35" priority="120" stopIfTrue="1" operator="lessThanOrEqual">
      <formula>0</formula>
    </cfRule>
  </conditionalFormatting>
  <conditionalFormatting sqref="I86:I94">
    <cfRule type="cellIs" dxfId="33" priority="169" stopIfTrue="1" operator="greaterThan">
      <formula>4.5</formula>
    </cfRule>
    <cfRule type="cellIs" dxfId="34" priority="170" stopIfTrue="1" operator="lessThanOrEqual">
      <formula>0</formula>
    </cfRule>
  </conditionalFormatting>
  <conditionalFormatting sqref="I10:J30">
    <cfRule type="cellIs" dxfId="32" priority="1" operator="lessThan">
      <formula>97.9</formula>
    </cfRule>
  </conditionalFormatting>
  <conditionalFormatting sqref="J33:J35">
    <cfRule type="cellIs" dxfId="31" priority="16" operator="lessThan">
      <formula>97.95</formula>
    </cfRule>
  </conditionalFormatting>
  <conditionalFormatting sqref="J34:J37">
    <cfRule type="cellIs" dxfId="30" priority="151" operator="lessThan">
      <formula>97.4</formula>
    </cfRule>
  </conditionalFormatting>
  <conditionalFormatting sqref="J38:J39">
    <cfRule type="cellIs" dxfId="29" priority="152" operator="lessThan">
      <formula>98</formula>
    </cfRule>
  </conditionalFormatting>
  <conditionalFormatting sqref="J40:J41">
    <cfRule type="cellIs" dxfId="28" priority="153" stopIfTrue="1" operator="lessThan">
      <formula>96.8</formula>
    </cfRule>
    <cfRule type="cellIs" dxfId="27" priority="154" stopIfTrue="1" operator="greaterThan">
      <formula>100</formula>
    </cfRule>
  </conditionalFormatting>
  <conditionalFormatting sqref="J40:J42">
    <cfRule type="cellIs" dxfId="26" priority="155" operator="lessThan">
      <formula>98</formula>
    </cfRule>
  </conditionalFormatting>
  <conditionalFormatting sqref="J71">
    <cfRule type="cellIs" dxfId="18" priority="105" stopIfTrue="1" operator="greaterThan">
      <formula>#REF!</formula>
    </cfRule>
    <cfRule type="cellIs" dxfId="19" priority="106" stopIfTrue="1" operator="lessThanOrEqual">
      <formula>0</formula>
    </cfRule>
    <cfRule type="cellIs" dxfId="24" priority="107" stopIfTrue="1" operator="greaterThan">
      <formula>#REF!</formula>
    </cfRule>
    <cfRule type="cellIs" dxfId="20" priority="108" stopIfTrue="1" operator="lessThanOrEqual">
      <formula>0</formula>
    </cfRule>
    <cfRule type="cellIs" dxfId="21" priority="109" stopIfTrue="1" operator="greaterThan">
      <formula>#REF!</formula>
    </cfRule>
    <cfRule type="cellIs" dxfId="22" priority="110" stopIfTrue="1" operator="lessThanOrEqual">
      <formula>0</formula>
    </cfRule>
    <cfRule type="cellIs" dxfId="23" priority="111" stopIfTrue="1" operator="greaterThan">
      <formula>#REF!</formula>
    </cfRule>
    <cfRule type="cellIs" dxfId="25" priority="112" stopIfTrue="1" operator="lessThanOrEqual">
      <formula>0</formula>
    </cfRule>
  </conditionalFormatting>
  <conditionalFormatting sqref="J84">
    <cfRule type="cellIs" dxfId="17" priority="44" stopIfTrue="1" operator="greaterThan">
      <formula>$F84</formula>
    </cfRule>
    <cfRule type="cellIs" dxfId="16" priority="45" stopIfTrue="1" operator="lessThanOrEqual">
      <formula>0</formula>
    </cfRule>
  </conditionalFormatting>
  <conditionalFormatting sqref="K10:K30">
    <cfRule type="cellIs" dxfId="15" priority="2" operator="greaterThan">
      <formula>6</formula>
    </cfRule>
    <cfRule type="cellIs" dxfId="13" priority="3" operator="lessThan">
      <formula>4</formula>
    </cfRule>
    <cfRule type="cellIs" dxfId="14" priority="4" operator="greaterThan">
      <formula>6.4</formula>
    </cfRule>
  </conditionalFormatting>
  <conditionalFormatting sqref="K62:K71">
    <cfRule type="cellIs" dxfId="12" priority="90" stopIfTrue="1" operator="lessThan">
      <formula>100%</formula>
    </cfRule>
  </conditionalFormatting>
  <conditionalFormatting sqref="K75:K83">
    <cfRule type="cellIs" dxfId="11" priority="34" stopIfTrue="1" operator="lessThan">
      <formula>100%</formula>
    </cfRule>
  </conditionalFormatting>
  <conditionalFormatting sqref="K86:K91">
    <cfRule type="cellIs" dxfId="10" priority="175" stopIfTrue="1" operator="lessThan">
      <formula>100%</formula>
    </cfRule>
  </conditionalFormatting>
  <conditionalFormatting sqref="K93:K94">
    <cfRule type="cellIs" dxfId="9" priority="182" stopIfTrue="1" operator="lessThan">
      <formula>100%</formula>
    </cfRule>
  </conditionalFormatting>
  <conditionalFormatting sqref="L10:L30">
    <cfRule type="cellIs" dxfId="7" priority="5" operator="between">
      <formula>61</formula>
      <formula>65</formula>
    </cfRule>
    <cfRule type="cellIs" dxfId="8" priority="6" operator="greaterThan">
      <formula>65</formula>
    </cfRule>
  </conditionalFormatting>
  <conditionalFormatting sqref="L33:M44">
    <cfRule type="cellIs" dxfId="6" priority="11" operator="lessThan">
      <formula>97.95</formula>
    </cfRule>
  </conditionalFormatting>
  <conditionalFormatting sqref="L48:N48">
    <cfRule type="cellIs" dxfId="5" priority="15" operator="notEqual">
      <formula>#REF!</formula>
    </cfRule>
  </conditionalFormatting>
  <conditionalFormatting sqref="L75:N84">
    <cfRule type="cellIs" dxfId="4" priority="31" stopIfTrue="1" operator="lessThan">
      <formula>100%</formula>
    </cfRule>
  </conditionalFormatting>
  <conditionalFormatting sqref="L86:N94">
    <cfRule type="cellIs" dxfId="3" priority="160" stopIfTrue="1" operator="lessThan">
      <formula>100%</formula>
    </cfRule>
  </conditionalFormatting>
  <conditionalFormatting sqref="M30">
    <cfRule type="expression" dxfId="2" priority="13">
      <formula>IF(+(IF(M30&lt;U30,0,IF(M30&gt;V30,0,1)))=0,1)</formula>
    </cfRule>
  </conditionalFormatting>
  <conditionalFormatting sqref="N10:N30">
    <cfRule type="expression" dxfId="1" priority="9">
      <formula>IF(+(IF(N10&lt;W10,0,IF(N10&gt;X10,0,1)))=0,1)</formula>
    </cfRule>
  </conditionalFormatting>
  <conditionalFormatting sqref="P6">
    <cfRule type="cellIs" dxfId="0" priority="156" operator="greaterThanOrEqual">
      <formula>19</formula>
    </cfRule>
  </conditionalFormatting>
  <dataValidations count="1">
    <dataValidation type="list" allowBlank="1" showInputMessage="1" showErrorMessage="1" sqref="R8" xr:uid="{CA74976D-34E4-4E40-8E57-8A94F72A1A6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8" max="16383" man="1"/>
  </rowBreaks>
  <colBreaks count="1" manualBreakCount="1">
    <brk id="15" max="89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O76" sqref="O76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498" t="s">
        <v>58</v>
      </c>
      <c r="C2" s="498"/>
      <c r="D2" s="498"/>
      <c r="E2" s="498"/>
      <c r="F2" s="498"/>
      <c r="G2" s="498"/>
      <c r="H2" s="498"/>
      <c r="I2" s="498"/>
      <c r="J2" s="498"/>
      <c r="K2" s="498"/>
    </row>
    <row r="3" spans="2:14" ht="15.75" hidden="1" thickBot="1">
      <c r="B3" s="79"/>
    </row>
    <row r="4" spans="2:14" ht="13.5" hidden="1" thickBot="1">
      <c r="B4" s="78" t="s">
        <v>7</v>
      </c>
      <c r="C4" s="499">
        <v>41431</v>
      </c>
      <c r="D4" s="499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00" t="s">
        <v>17</v>
      </c>
      <c r="C8" s="502" t="s">
        <v>18</v>
      </c>
      <c r="D8" s="502" t="s">
        <v>59</v>
      </c>
      <c r="E8" s="80" t="s">
        <v>20</v>
      </c>
      <c r="F8" s="81" t="s">
        <v>21</v>
      </c>
      <c r="G8" s="502" t="s">
        <v>60</v>
      </c>
      <c r="H8" s="502" t="s">
        <v>61</v>
      </c>
      <c r="I8" s="504" t="s">
        <v>62</v>
      </c>
      <c r="J8" s="82" t="s">
        <v>25</v>
      </c>
      <c r="K8" s="506" t="s">
        <v>28</v>
      </c>
    </row>
    <row r="9" spans="2:14" ht="26.25" hidden="1" thickBot="1">
      <c r="B9" s="501"/>
      <c r="C9" s="503"/>
      <c r="D9" s="503"/>
      <c r="E9" s="83" t="s">
        <v>30</v>
      </c>
      <c r="F9" s="84" t="s">
        <v>63</v>
      </c>
      <c r="G9" s="503"/>
      <c r="H9" s="503"/>
      <c r="I9" s="505"/>
      <c r="J9" s="85" t="s">
        <v>32</v>
      </c>
      <c r="K9" s="507"/>
      <c r="L9" s="86"/>
      <c r="M9" s="86"/>
      <c r="N9" s="86"/>
    </row>
    <row r="10" spans="2:14" ht="13.5" hidden="1" thickBot="1">
      <c r="B10" s="87" t="s">
        <v>64</v>
      </c>
      <c r="C10" s="88" t="str">
        <f>[3]Brewhouse!A5359</f>
        <v>CA236</v>
      </c>
      <c r="D10" s="88">
        <f>[3]Brewhouse!B5359</f>
        <v>41437</v>
      </c>
      <c r="E10" s="89">
        <f>[3]Brewhouse!AG5359</f>
        <v>49.011000000000003</v>
      </c>
      <c r="F10" s="90">
        <f>[3]Brewhouse!T5359</f>
        <v>60</v>
      </c>
      <c r="G10" s="91">
        <f>[3]Brewhouse!I5359</f>
        <v>19.79</v>
      </c>
      <c r="H10" s="92">
        <f>[3]Brewhouse!AS5359</f>
        <v>94.981545664755075</v>
      </c>
      <c r="I10" s="92">
        <f>[3]Brewhouse!AT5359</f>
        <v>97.074072469002047</v>
      </c>
      <c r="J10" s="93">
        <f>[3]Brewhouse!S5359-[3]Brewhouse!R5359</f>
        <v>0.10694444444444451</v>
      </c>
      <c r="K10" s="94"/>
      <c r="N10" s="95"/>
    </row>
    <row r="11" spans="2:14" ht="13.5" hidden="1" thickBot="1">
      <c r="B11" s="96"/>
      <c r="C11" s="88" t="str">
        <f>[3]Brewhouse!A5360</f>
        <v>CA237</v>
      </c>
      <c r="D11" s="88">
        <f>[3]Brewhouse!B5360</f>
        <v>41437</v>
      </c>
      <c r="E11" s="89">
        <f>[3]Brewhouse!AG5360</f>
        <v>48.531999999999996</v>
      </c>
      <c r="F11" s="90">
        <f>[3]Brewhouse!T5360</f>
        <v>68</v>
      </c>
      <c r="G11" s="91">
        <f>[3]Brewhouse!I5360</f>
        <v>17.7</v>
      </c>
      <c r="H11" s="92">
        <f>[3]Brewhouse!AS5360</f>
        <v>94.053260986347809</v>
      </c>
      <c r="I11" s="92">
        <f>[3]Brewhouse!AT5360</f>
        <v>96.1253368644918</v>
      </c>
      <c r="J11" s="93">
        <f>[3]Brewhouse!S5360-[3]Brewhouse!R5360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[3]Brewhouse!A5361</f>
        <v>CA238</v>
      </c>
      <c r="D12" s="88">
        <f>[3]Brewhouse!B5361</f>
        <v>41437</v>
      </c>
      <c r="E12" s="89">
        <f>[3]Brewhouse!AG5361</f>
        <v>50.466999999999999</v>
      </c>
      <c r="F12" s="90">
        <f>[3]Brewhouse!T5361</f>
        <v>61</v>
      </c>
      <c r="G12" s="91">
        <f>[3]Brewhouse!I5361</f>
        <v>19.7</v>
      </c>
      <c r="H12" s="92">
        <f>[3]Brewhouse!AS5361</f>
        <v>96.931393272913695</v>
      </c>
      <c r="I12" s="92">
        <f>[3]Brewhouse!AT5361</f>
        <v>99.066876931102286</v>
      </c>
      <c r="J12" s="93">
        <f>[3]Brewhouse!S5361-[3]Brewhouse!R5361</f>
        <v>0.10208333333333341</v>
      </c>
      <c r="K12" s="98"/>
    </row>
    <row r="13" spans="2:14" ht="13.5" hidden="1" thickBot="1">
      <c r="B13" s="99"/>
      <c r="C13" s="88" t="str">
        <f>[3]Brewhouse!A5362</f>
        <v>CA239</v>
      </c>
      <c r="D13" s="88">
        <f>[3]Brewhouse!B5362</f>
        <v>41437</v>
      </c>
      <c r="E13" s="89">
        <f>[3]Brewhouse!AG5362</f>
        <v>49.374000000000002</v>
      </c>
      <c r="F13" s="90">
        <f>[3]Brewhouse!T5362</f>
        <v>62</v>
      </c>
      <c r="G13" s="91">
        <f>[3]Brewhouse!I5362</f>
        <v>19</v>
      </c>
      <c r="H13" s="92">
        <f>[3]Brewhouse!AS5362</f>
        <v>95.68502653795305</v>
      </c>
      <c r="I13" s="92">
        <f>[3]Brewhouse!AT5362</f>
        <v>97.793051643192499</v>
      </c>
      <c r="J13" s="93">
        <f>[3]Brewhouse!S5362-[3]Brewhouse!R5362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508" t="s">
        <v>69</v>
      </c>
      <c r="G21" s="5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AVERAGE([5]Brewhouse!$AU$708:$AU$711)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AVERAGE([6]Brewhouse!$AY$943:$AY$946)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00" t="s">
        <v>17</v>
      </c>
      <c r="C43" s="502" t="s">
        <v>18</v>
      </c>
      <c r="D43" s="502" t="s">
        <v>44</v>
      </c>
      <c r="E43" s="502" t="s">
        <v>79</v>
      </c>
      <c r="F43" s="502" t="s">
        <v>51</v>
      </c>
      <c r="G43" s="502" t="s">
        <v>48</v>
      </c>
      <c r="H43" s="517" t="s">
        <v>28</v>
      </c>
      <c r="I43" s="518"/>
      <c r="J43" s="518"/>
      <c r="K43" s="506" t="s">
        <v>27</v>
      </c>
    </row>
    <row r="44" spans="2:15" ht="15.75" hidden="1" customHeight="1" thickBot="1">
      <c r="B44" s="513"/>
      <c r="C44" s="514"/>
      <c r="D44" s="514"/>
      <c r="E44" s="514"/>
      <c r="F44" s="514"/>
      <c r="G44" s="514"/>
      <c r="H44" s="519"/>
      <c r="I44" s="520"/>
      <c r="J44" s="520"/>
      <c r="K44" s="510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511"/>
      <c r="I45" s="512"/>
      <c r="J45" s="512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521"/>
      <c r="I46" s="522"/>
      <c r="J46" s="522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521"/>
      <c r="I47" s="522"/>
      <c r="J47" s="522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521"/>
      <c r="I48" s="522"/>
      <c r="J48" s="522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15"/>
      <c r="I49" s="516"/>
      <c r="J49" s="516"/>
      <c r="K49" s="172"/>
    </row>
    <row r="50" spans="2:11" ht="13.5" hidden="1" thickBot="1">
      <c r="B50" s="173"/>
      <c r="C50" s="160"/>
      <c r="E50" s="168"/>
      <c r="F50" s="168"/>
      <c r="G50" s="145"/>
      <c r="H50" s="515"/>
      <c r="I50" s="516"/>
      <c r="J50" s="516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15"/>
      <c r="I51" s="516"/>
      <c r="J51" s="516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23"/>
      <c r="I52" s="524"/>
      <c r="J52" s="524"/>
      <c r="K52" s="183"/>
    </row>
    <row r="53" spans="2:11" ht="13.5" thickBot="1">
      <c r="B53" s="184"/>
      <c r="C53" s="117"/>
      <c r="D53" s="525" t="s">
        <v>80</v>
      </c>
      <c r="E53" s="525"/>
      <c r="F53" s="525"/>
      <c r="G53" s="525"/>
      <c r="H53" s="525"/>
      <c r="I53" s="525"/>
      <c r="J53" s="525"/>
      <c r="K53" s="185"/>
    </row>
    <row r="54" spans="2:11" ht="13.5" thickBot="1">
      <c r="B54" s="526" t="s">
        <v>55</v>
      </c>
      <c r="C54" s="527"/>
      <c r="D54" s="527"/>
      <c r="E54" s="528"/>
      <c r="F54" s="526" t="s">
        <v>56</v>
      </c>
      <c r="G54" s="527"/>
      <c r="H54" s="528"/>
      <c r="I54" s="529" t="s">
        <v>81</v>
      </c>
      <c r="J54" s="530"/>
      <c r="K54" s="531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[7]MTD!$E5</f>
        <v>5.481477704408106</v>
      </c>
      <c r="E56" s="192">
        <v>5</v>
      </c>
      <c r="F56" s="191"/>
      <c r="G56" s="76">
        <f>[8]October_2026!$AN3</f>
        <v>6.1912025202534187</v>
      </c>
      <c r="H56" s="192">
        <v>5</v>
      </c>
      <c r="I56" s="193"/>
      <c r="J56" s="194">
        <f>[9]October_2026!$AN13</f>
        <v>0.74490551334502242</v>
      </c>
      <c r="K56" s="195">
        <v>1</v>
      </c>
    </row>
    <row r="57" spans="2:11" ht="15">
      <c r="B57" s="33" t="s">
        <v>72</v>
      </c>
      <c r="C57" s="191"/>
      <c r="D57" s="76">
        <f>[7]MTD!$E6</f>
        <v>6.023489932885921</v>
      </c>
      <c r="E57" s="192">
        <v>5</v>
      </c>
      <c r="F57" s="191"/>
      <c r="G57" s="76">
        <f>[8]October_2026!$AN4</f>
        <v>6.1640340624899466</v>
      </c>
      <c r="H57" s="192">
        <v>5</v>
      </c>
      <c r="I57" s="196"/>
      <c r="J57" s="194">
        <f>[9]October_2026!$AN14</f>
        <v>0.71087719298245611</v>
      </c>
      <c r="K57" s="195">
        <v>1</v>
      </c>
    </row>
    <row r="58" spans="2:11" ht="15">
      <c r="B58" s="34" t="s">
        <v>73</v>
      </c>
      <c r="C58" s="191"/>
      <c r="D58" s="76">
        <f>[7]MTD!$E7</f>
        <v>7.2586328400281719</v>
      </c>
      <c r="E58" s="192">
        <v>5</v>
      </c>
      <c r="F58" s="191"/>
      <c r="G58" s="76">
        <f>[8]October_2026!$AN5</f>
        <v>8.3572982592313725</v>
      </c>
      <c r="H58" s="192">
        <v>5</v>
      </c>
      <c r="I58" s="196"/>
      <c r="J58" s="194">
        <f>[9]October_2026!$AN15</f>
        <v>1.385263157894737</v>
      </c>
      <c r="K58" s="195">
        <v>1</v>
      </c>
    </row>
    <row r="59" spans="2:11" ht="15">
      <c r="B59" s="197" t="s">
        <v>74</v>
      </c>
      <c r="C59" s="191"/>
      <c r="D59" s="76">
        <f>[7]MTD!$E8</f>
        <v>2.6160971335586405</v>
      </c>
      <c r="E59" s="192">
        <v>3.5</v>
      </c>
      <c r="F59" s="191"/>
      <c r="G59" s="76">
        <f>[8]October_2026!$AN6</f>
        <v>4.6522194119603313</v>
      </c>
      <c r="H59" s="192">
        <v>3.5</v>
      </c>
      <c r="I59" s="196"/>
      <c r="J59" s="194">
        <f>[9]October_2026!$AN16</f>
        <v>1.1878947368421053</v>
      </c>
      <c r="K59" s="195">
        <v>1</v>
      </c>
    </row>
    <row r="60" spans="2:11" ht="15.75" thickBot="1">
      <c r="B60" s="38" t="s">
        <v>160</v>
      </c>
      <c r="C60" s="191"/>
      <c r="D60" s="76" t="e">
        <f>[7]MTD!$E9</f>
        <v>#DIV/0!</v>
      </c>
      <c r="E60" s="192">
        <v>3.5</v>
      </c>
      <c r="F60" s="198"/>
      <c r="G60" s="76" t="e">
        <f>[8]October_2026!$AN7</f>
        <v>#DIV/0!</v>
      </c>
      <c r="H60" s="192">
        <v>3.5</v>
      </c>
      <c r="I60" s="196"/>
      <c r="J60" s="194" t="e">
        <f>[9]October_2026!$AN17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[7]MTD!$E10</f>
        <v>#DIV/0!</v>
      </c>
      <c r="E61" s="200">
        <v>5</v>
      </c>
      <c r="F61" s="191"/>
      <c r="G61" s="76" t="e">
        <f>[8]October_2026!$AN8</f>
        <v>#DIV/0!</v>
      </c>
      <c r="H61" s="200">
        <v>5</v>
      </c>
      <c r="I61" s="196"/>
      <c r="J61" s="194" t="e">
        <f>[9]October_2026!$AN18</f>
        <v>#DIV/0!</v>
      </c>
      <c r="K61" s="195">
        <v>1</v>
      </c>
    </row>
    <row r="62" spans="2:11" ht="15">
      <c r="B62" s="201" t="s">
        <v>82</v>
      </c>
      <c r="C62" s="202"/>
      <c r="D62" s="76">
        <f>[7]MTD!$E11</f>
        <v>0.84622823984524742</v>
      </c>
      <c r="E62" s="200">
        <v>3.3</v>
      </c>
      <c r="F62" s="202"/>
      <c r="G62" s="76">
        <f>[8]October_2026!$AN9</f>
        <v>4.0067212349015007</v>
      </c>
      <c r="H62" s="200">
        <v>3.3</v>
      </c>
      <c r="I62" s="203"/>
      <c r="J62" s="194">
        <f>[9]October_2026!$AN19</f>
        <v>0.71947368421052638</v>
      </c>
      <c r="K62" s="204">
        <v>1</v>
      </c>
    </row>
    <row r="63" spans="2:11" ht="15.75" thickBot="1">
      <c r="B63" s="38" t="s">
        <v>128</v>
      </c>
      <c r="C63" s="205"/>
      <c r="D63" s="76" t="e">
        <f>[7]MTD!$E12</f>
        <v>#DIV/0!</v>
      </c>
      <c r="E63" s="206">
        <v>3.5</v>
      </c>
      <c r="F63" s="205"/>
      <c r="G63" s="76" t="e">
        <f>[8]October_2026!$AN10</f>
        <v>#DIV/0!</v>
      </c>
      <c r="H63" s="206">
        <v>3.5</v>
      </c>
      <c r="I63" s="207"/>
      <c r="J63" s="194" t="e">
        <f>[9]October_2026!$AN20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[7]MTD!$E13</f>
        <v>#DIV/0!</v>
      </c>
      <c r="E64" s="192">
        <v>5</v>
      </c>
      <c r="F64" s="198"/>
      <c r="G64" s="76" t="e">
        <f>[8]October_2026!$AN11</f>
        <v>#DIV/0!</v>
      </c>
      <c r="H64" s="192">
        <v>5</v>
      </c>
      <c r="I64" s="411"/>
      <c r="J64" s="194">
        <f>[9]October_2026!$AN21</f>
        <v>0</v>
      </c>
      <c r="K64" s="208">
        <v>1</v>
      </c>
    </row>
    <row r="65" spans="2:11">
      <c r="B65" s="209"/>
      <c r="C65" s="210"/>
      <c r="D65" s="76">
        <f>[7]MTD!$E14</f>
        <v>5.2203272443944053</v>
      </c>
      <c r="E65" s="210"/>
      <c r="F65" s="210"/>
      <c r="G65" s="76">
        <f>[8]October_2026!$AN12</f>
        <v>5.963225048197593</v>
      </c>
      <c r="H65" s="211"/>
      <c r="I65" s="212"/>
      <c r="J65" s="194">
        <f>[9]October_2026!$AN22</f>
        <v>0.81850039997538626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4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498" t="s">
        <v>58</v>
      </c>
      <c r="C2" s="498"/>
      <c r="D2" s="498"/>
      <c r="E2" s="498"/>
      <c r="F2" s="498"/>
      <c r="G2" s="498"/>
      <c r="H2" s="498"/>
      <c r="I2" s="498"/>
      <c r="J2" s="498"/>
      <c r="K2" s="498"/>
    </row>
    <row r="3" spans="2:14" ht="15.75" hidden="1" thickBot="1">
      <c r="B3" s="79"/>
    </row>
    <row r="4" spans="2:14" ht="13.5" hidden="1" thickBot="1">
      <c r="B4" s="78" t="s">
        <v>7</v>
      </c>
      <c r="C4" s="499">
        <v>41431</v>
      </c>
      <c r="D4" s="499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500" t="s">
        <v>17</v>
      </c>
      <c r="C8" s="502" t="s">
        <v>18</v>
      </c>
      <c r="D8" s="502" t="s">
        <v>59</v>
      </c>
      <c r="E8" s="80" t="s">
        <v>20</v>
      </c>
      <c r="F8" s="81" t="s">
        <v>21</v>
      </c>
      <c r="G8" s="502" t="s">
        <v>60</v>
      </c>
      <c r="H8" s="502" t="s">
        <v>61</v>
      </c>
      <c r="I8" s="504" t="s">
        <v>62</v>
      </c>
      <c r="J8" s="82" t="s">
        <v>25</v>
      </c>
      <c r="K8" s="506" t="s">
        <v>28</v>
      </c>
    </row>
    <row r="9" spans="2:14" ht="26.25" hidden="1" thickBot="1">
      <c r="B9" s="501"/>
      <c r="C9" s="503"/>
      <c r="D9" s="503"/>
      <c r="E9" s="83" t="s">
        <v>30</v>
      </c>
      <c r="F9" s="84" t="s">
        <v>63</v>
      </c>
      <c r="G9" s="503"/>
      <c r="H9" s="503"/>
      <c r="I9" s="505"/>
      <c r="J9" s="85" t="s">
        <v>32</v>
      </c>
      <c r="K9" s="507"/>
      <c r="L9" s="86"/>
      <c r="M9" s="86"/>
      <c r="N9" s="86"/>
    </row>
    <row r="10" spans="2:14" ht="13.5" hidden="1" thickBot="1">
      <c r="B10" s="87" t="s">
        <v>64</v>
      </c>
      <c r="C10" s="88" t="str">
        <f>[3]Brewhouse!A5359</f>
        <v>CA236</v>
      </c>
      <c r="D10" s="88">
        <f>[3]Brewhouse!B5359</f>
        <v>41437</v>
      </c>
      <c r="E10" s="89">
        <f>[3]Brewhouse!AG5359</f>
        <v>49.011000000000003</v>
      </c>
      <c r="F10" s="90">
        <f>[3]Brewhouse!T5359</f>
        <v>60</v>
      </c>
      <c r="G10" s="91">
        <f>[3]Brewhouse!I5359</f>
        <v>19.79</v>
      </c>
      <c r="H10" s="92">
        <f>[3]Brewhouse!AS5359</f>
        <v>94.981545664755075</v>
      </c>
      <c r="I10" s="92">
        <f>[3]Brewhouse!AT5359</f>
        <v>97.074072469002047</v>
      </c>
      <c r="J10" s="93">
        <f>[3]Brewhouse!S5359-[3]Brewhouse!R5359</f>
        <v>0.10694444444444451</v>
      </c>
      <c r="K10" s="94"/>
      <c r="N10" s="95"/>
    </row>
    <row r="11" spans="2:14" ht="13.5" hidden="1" thickBot="1">
      <c r="B11" s="96"/>
      <c r="C11" s="88" t="str">
        <f>[3]Brewhouse!A5360</f>
        <v>CA237</v>
      </c>
      <c r="D11" s="88">
        <f>[3]Brewhouse!B5360</f>
        <v>41437</v>
      </c>
      <c r="E11" s="89">
        <f>[3]Brewhouse!AG5360</f>
        <v>48.531999999999996</v>
      </c>
      <c r="F11" s="90">
        <f>[3]Brewhouse!T5360</f>
        <v>68</v>
      </c>
      <c r="G11" s="91">
        <f>[3]Brewhouse!I5360</f>
        <v>17.7</v>
      </c>
      <c r="H11" s="92">
        <f>[3]Brewhouse!AS5360</f>
        <v>94.053260986347809</v>
      </c>
      <c r="I11" s="92">
        <f>[3]Brewhouse!AT5360</f>
        <v>96.1253368644918</v>
      </c>
      <c r="J11" s="93">
        <f>[3]Brewhouse!S5360-[3]Brewhouse!R5360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[3]Brewhouse!A5361</f>
        <v>CA238</v>
      </c>
      <c r="D12" s="88">
        <f>[3]Brewhouse!B5361</f>
        <v>41437</v>
      </c>
      <c r="E12" s="89">
        <f>[3]Brewhouse!AG5361</f>
        <v>50.466999999999999</v>
      </c>
      <c r="F12" s="90">
        <f>[3]Brewhouse!T5361</f>
        <v>61</v>
      </c>
      <c r="G12" s="91">
        <f>[3]Brewhouse!I5361</f>
        <v>19.7</v>
      </c>
      <c r="H12" s="92">
        <f>[3]Brewhouse!AS5361</f>
        <v>96.931393272913695</v>
      </c>
      <c r="I12" s="92">
        <f>[3]Brewhouse!AT5361</f>
        <v>99.066876931102286</v>
      </c>
      <c r="J12" s="93">
        <f>[3]Brewhouse!S5361-[3]Brewhouse!R5361</f>
        <v>0.10208333333333341</v>
      </c>
      <c r="K12" s="98"/>
    </row>
    <row r="13" spans="2:14" ht="13.5" hidden="1" thickBot="1">
      <c r="B13" s="99"/>
      <c r="C13" s="88" t="str">
        <f>[3]Brewhouse!A5362</f>
        <v>CA239</v>
      </c>
      <c r="D13" s="88">
        <f>[3]Brewhouse!B5362</f>
        <v>41437</v>
      </c>
      <c r="E13" s="89">
        <f>[3]Brewhouse!AG5362</f>
        <v>49.374000000000002</v>
      </c>
      <c r="F13" s="90">
        <f>[3]Brewhouse!T5362</f>
        <v>62</v>
      </c>
      <c r="G13" s="91">
        <f>[3]Brewhouse!I5362</f>
        <v>19</v>
      </c>
      <c r="H13" s="92">
        <f>[3]Brewhouse!AS5362</f>
        <v>95.68502653795305</v>
      </c>
      <c r="I13" s="92">
        <f>[3]Brewhouse!AT5362</f>
        <v>97.793051643192499</v>
      </c>
      <c r="J13" s="93">
        <f>[3]Brewhouse!S5362-[3]Brewhouse!R5362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508" t="s">
        <v>69</v>
      </c>
      <c r="G21" s="5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AVERAGE([5]Brewhouse!$AU$708:$AU$711)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AVERAGE([6]Brewhouse!$AY$943:$AY$946)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500" t="s">
        <v>17</v>
      </c>
      <c r="C43" s="502" t="s">
        <v>18</v>
      </c>
      <c r="D43" s="502" t="s">
        <v>44</v>
      </c>
      <c r="E43" s="502" t="s">
        <v>79</v>
      </c>
      <c r="F43" s="502" t="s">
        <v>51</v>
      </c>
      <c r="G43" s="502" t="s">
        <v>48</v>
      </c>
      <c r="H43" s="517" t="s">
        <v>28</v>
      </c>
      <c r="I43" s="518"/>
      <c r="J43" s="518"/>
      <c r="K43" s="506" t="s">
        <v>27</v>
      </c>
    </row>
    <row r="44" spans="2:15" ht="15.75" hidden="1" customHeight="1" thickBot="1">
      <c r="B44" s="513"/>
      <c r="C44" s="514"/>
      <c r="D44" s="514"/>
      <c r="E44" s="514"/>
      <c r="F44" s="514"/>
      <c r="G44" s="514"/>
      <c r="H44" s="519"/>
      <c r="I44" s="520"/>
      <c r="J44" s="520"/>
      <c r="K44" s="510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511"/>
      <c r="I45" s="512"/>
      <c r="J45" s="512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521"/>
      <c r="I46" s="522"/>
      <c r="J46" s="522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521"/>
      <c r="I47" s="522"/>
      <c r="J47" s="522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521"/>
      <c r="I48" s="522"/>
      <c r="J48" s="522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15"/>
      <c r="I49" s="516"/>
      <c r="J49" s="516"/>
      <c r="K49" s="172"/>
    </row>
    <row r="50" spans="2:11" ht="13.5" hidden="1" thickBot="1">
      <c r="B50" s="173"/>
      <c r="C50" s="160"/>
      <c r="E50" s="168"/>
      <c r="F50" s="168"/>
      <c r="G50" s="145"/>
      <c r="H50" s="515"/>
      <c r="I50" s="516"/>
      <c r="J50" s="516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15"/>
      <c r="I51" s="516"/>
      <c r="J51" s="516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23"/>
      <c r="I52" s="524"/>
      <c r="J52" s="524"/>
      <c r="K52" s="183"/>
    </row>
    <row r="53" spans="2:11" ht="13.5" thickBot="1">
      <c r="B53" s="184"/>
      <c r="C53" s="117"/>
      <c r="D53" s="525" t="s">
        <v>80</v>
      </c>
      <c r="E53" s="525"/>
      <c r="F53" s="525"/>
      <c r="G53" s="525"/>
      <c r="H53" s="525"/>
      <c r="I53" s="525"/>
      <c r="J53" s="525"/>
      <c r="K53" s="185"/>
    </row>
    <row r="54" spans="2:11" ht="13.5" thickBot="1">
      <c r="B54" s="526" t="s">
        <v>55</v>
      </c>
      <c r="C54" s="527"/>
      <c r="D54" s="527"/>
      <c r="E54" s="528"/>
      <c r="F54" s="526" t="s">
        <v>56</v>
      </c>
      <c r="G54" s="527"/>
      <c r="H54" s="528"/>
      <c r="I54" s="529" t="s">
        <v>81</v>
      </c>
      <c r="J54" s="530"/>
      <c r="K54" s="531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'[7]YTD 2026'!$E5</f>
        <v>6.3354503012102912</v>
      </c>
      <c r="E56" s="192">
        <v>5</v>
      </c>
      <c r="F56" s="191"/>
      <c r="G56" s="76">
        <f>[8]October_2026!$AQ3</f>
        <v>6.4948937016600619</v>
      </c>
      <c r="H56" s="192">
        <v>5</v>
      </c>
      <c r="I56" s="193"/>
      <c r="J56" s="194">
        <f>[9]October_2026!$AQ13</f>
        <v>0.5602684412894734</v>
      </c>
      <c r="K56" s="195">
        <v>1</v>
      </c>
    </row>
    <row r="57" spans="2:11" ht="15">
      <c r="B57" s="33" t="s">
        <v>72</v>
      </c>
      <c r="C57" s="191"/>
      <c r="D57" s="76">
        <f>'[7]YTD 2026'!$E6</f>
        <v>6.0337914753068773</v>
      </c>
      <c r="E57" s="192">
        <v>5</v>
      </c>
      <c r="F57" s="191"/>
      <c r="G57" s="76">
        <f>[8]October_2026!$AQ4</f>
        <v>5.9396439464574318</v>
      </c>
      <c r="H57" s="192">
        <v>5</v>
      </c>
      <c r="I57" s="196"/>
      <c r="J57" s="194">
        <f>[9]October_2026!$AQ14</f>
        <v>0.68437301751248969</v>
      </c>
      <c r="K57" s="195">
        <v>1</v>
      </c>
    </row>
    <row r="58" spans="2:11" ht="15">
      <c r="B58" s="34" t="s">
        <v>73</v>
      </c>
      <c r="C58" s="191"/>
      <c r="D58" s="76">
        <f>'[7]YTD 2026'!$E7</f>
        <v>10.57086906945613</v>
      </c>
      <c r="E58" s="192">
        <v>5</v>
      </c>
      <c r="F58" s="191"/>
      <c r="G58" s="76">
        <f>[8]October_2026!$AQ5</f>
        <v>11.49802517103547</v>
      </c>
      <c r="H58" s="192">
        <v>5</v>
      </c>
      <c r="I58" s="196"/>
      <c r="J58" s="194">
        <f>[9]October_2026!$AQ15</f>
        <v>0.42247265385686439</v>
      </c>
      <c r="K58" s="195">
        <v>1</v>
      </c>
    </row>
    <row r="59" spans="2:11" ht="15">
      <c r="B59" s="197" t="s">
        <v>74</v>
      </c>
      <c r="C59" s="191"/>
      <c r="D59" s="76">
        <f>'[7]YTD 2026'!$E8</f>
        <v>4.6053599467161712</v>
      </c>
      <c r="E59" s="192">
        <v>3.5</v>
      </c>
      <c r="F59" s="191"/>
      <c r="G59" s="76">
        <f>[8]October_2026!$AQ6</f>
        <v>4.8325383920386296</v>
      </c>
      <c r="H59" s="192">
        <v>3.5</v>
      </c>
      <c r="I59" s="196"/>
      <c r="J59" s="194">
        <f>[9]October_2026!$AQ16</f>
        <v>0.8473099415204679</v>
      </c>
      <c r="K59" s="195">
        <v>1</v>
      </c>
    </row>
    <row r="60" spans="2:11" ht="15.75" thickBot="1">
      <c r="B60" s="38" t="s">
        <v>160</v>
      </c>
      <c r="C60" s="191"/>
      <c r="D60" s="76" t="e">
        <f>'[7]YTD 2026'!$E9</f>
        <v>#DIV/0!</v>
      </c>
      <c r="E60" s="192">
        <v>3.5</v>
      </c>
      <c r="F60" s="198"/>
      <c r="G60" s="76" t="e">
        <f>[8]October_2026!$AQ7</f>
        <v>#DIV/0!</v>
      </c>
      <c r="H60" s="192">
        <v>3.5</v>
      </c>
      <c r="I60" s="196"/>
      <c r="J60" s="194" t="e">
        <f>[9]October_2026!$AQ17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'[7]YTD 2026'!$E10</f>
        <v>6.3233965672990236</v>
      </c>
      <c r="E61" s="200">
        <v>5</v>
      </c>
      <c r="F61" s="191"/>
      <c r="G61" s="76">
        <f>[8]October_2026!$AQ8</f>
        <v>7.9667553186446929</v>
      </c>
      <c r="H61" s="200">
        <v>5</v>
      </c>
      <c r="I61" s="196"/>
      <c r="J61" s="194">
        <f>[9]October_2026!$AQ18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'[7]YTD 2026'!$E11</f>
        <v>3.7586797925639486</v>
      </c>
      <c r="E62" s="200">
        <v>3.3</v>
      </c>
      <c r="F62" s="202"/>
      <c r="G62" s="76">
        <f>[8]October_2026!$AQ9</f>
        <v>5.0257518320273871</v>
      </c>
      <c r="H62" s="200">
        <v>3.3</v>
      </c>
      <c r="I62" s="203"/>
      <c r="J62" s="194">
        <f>[9]October_2026!$AQ19</f>
        <v>0.87835004177109433</v>
      </c>
      <c r="K62" s="204">
        <v>1</v>
      </c>
    </row>
    <row r="63" spans="2:11" ht="15.75" thickBot="1">
      <c r="B63" s="38" t="s">
        <v>128</v>
      </c>
      <c r="C63" s="205"/>
      <c r="D63" s="76" t="e">
        <f>'[7]YTD 2026'!$E12</f>
        <v>#DIV/0!</v>
      </c>
      <c r="E63" s="206">
        <v>3.5</v>
      </c>
      <c r="F63" s="205"/>
      <c r="G63" s="76" t="e">
        <f>[8]October_2026!$AQ10</f>
        <v>#DIV/0!</v>
      </c>
      <c r="H63" s="206">
        <v>3.5</v>
      </c>
      <c r="I63" s="207"/>
      <c r="J63" s="194" t="e">
        <f>[9]October_2026!$AQ20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'[7]YTD 2026'!$E13</f>
        <v>#DIV/0!</v>
      </c>
      <c r="E64" s="206">
        <v>5</v>
      </c>
      <c r="F64" s="205"/>
      <c r="G64" s="76" t="e">
        <f>[8]October_2026!$AQ11</f>
        <v>#DIV/0!</v>
      </c>
      <c r="H64" s="206">
        <v>5</v>
      </c>
      <c r="I64" s="207"/>
      <c r="J64" s="194" t="e">
        <f>[9]October_2026!$AQ21</f>
        <v>#DIV/0!</v>
      </c>
      <c r="K64" s="208">
        <v>1</v>
      </c>
    </row>
    <row r="65" spans="2:11">
      <c r="B65" s="209"/>
      <c r="C65" s="210"/>
      <c r="D65" s="76">
        <f>'[7]YTD 2026'!$E14</f>
        <v>6.25967693295493</v>
      </c>
      <c r="E65" s="210"/>
      <c r="F65" s="210"/>
      <c r="G65" s="76">
        <f>[8]October_2026!$AQ12</f>
        <v>6.5931867160290176</v>
      </c>
      <c r="H65" s="211"/>
      <c r="I65" s="212"/>
      <c r="J65" s="194">
        <f>[9]October_2026!$AQ22</f>
        <v>0.61587808765232077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H52:J52"/>
    <mergeCell ref="D53:J53"/>
    <mergeCell ref="B54:E54"/>
    <mergeCell ref="F54:H54"/>
    <mergeCell ref="I54:K5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F21:G21"/>
    <mergeCell ref="K43:K44"/>
    <mergeCell ref="H45:J45"/>
    <mergeCell ref="B43:B44"/>
    <mergeCell ref="C43:C44"/>
    <mergeCell ref="D43:D44"/>
    <mergeCell ref="E43:E44"/>
    <mergeCell ref="B2:K2"/>
    <mergeCell ref="C4:D4"/>
    <mergeCell ref="B8:B9"/>
    <mergeCell ref="C8:C9"/>
    <mergeCell ref="D8:D9"/>
    <mergeCell ref="G8:G9"/>
    <mergeCell ref="H8:H9"/>
    <mergeCell ref="I8:I9"/>
    <mergeCell ref="K8:K9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9" t="s">
        <v>34</v>
      </c>
      <c r="C2" s="629"/>
      <c r="D2" s="629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9" t="s">
        <v>100</v>
      </c>
      <c r="C14" s="629"/>
      <c r="D14" s="629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9" t="s">
        <v>101</v>
      </c>
      <c r="C27" s="629"/>
      <c r="D27" s="629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31" t="s">
        <v>102</v>
      </c>
      <c r="D3" s="632"/>
      <c r="E3" s="633">
        <f ca="1">TODAY()</f>
        <v>46323</v>
      </c>
      <c r="F3" s="633"/>
      <c r="G3" s="63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34" t="s">
        <v>143</v>
      </c>
      <c r="D14" s="634"/>
      <c r="E14" s="634"/>
      <c r="F14" s="634"/>
      <c r="G14" s="634"/>
      <c r="H14" s="634"/>
    </row>
    <row r="15" spans="3:23" ht="15" customHeight="1">
      <c r="C15" s="634"/>
      <c r="D15" s="634"/>
      <c r="E15" s="634"/>
      <c r="F15" s="634"/>
      <c r="G15" s="634"/>
      <c r="H15" s="634"/>
    </row>
    <row r="16" spans="3:23" ht="15" customHeight="1">
      <c r="C16" s="634"/>
      <c r="D16" s="634"/>
      <c r="E16" s="634"/>
      <c r="F16" s="634"/>
      <c r="G16" s="634"/>
      <c r="H16" s="634"/>
    </row>
    <row r="17" spans="3:8" ht="15" customHeight="1">
      <c r="C17" s="634"/>
      <c r="D17" s="634"/>
      <c r="E17" s="634"/>
      <c r="F17" s="634"/>
      <c r="G17" s="634"/>
      <c r="H17" s="634"/>
    </row>
    <row r="18" spans="3:8" ht="15" customHeight="1">
      <c r="C18" s="634"/>
      <c r="D18" s="634"/>
      <c r="E18" s="634"/>
      <c r="F18" s="634"/>
      <c r="G18" s="634"/>
      <c r="H18" s="634"/>
    </row>
    <row r="19" spans="3:8" ht="15" customHeight="1">
      <c r="C19" s="634"/>
      <c r="D19" s="634"/>
      <c r="E19" s="634"/>
      <c r="F19" s="634"/>
      <c r="G19" s="634"/>
      <c r="H19" s="634"/>
    </row>
    <row r="20" spans="3:8" ht="15" customHeight="1">
      <c r="C20" s="634"/>
      <c r="D20" s="634"/>
      <c r="E20" s="634"/>
      <c r="F20" s="634"/>
      <c r="G20" s="634"/>
      <c r="H20" s="634"/>
    </row>
    <row r="21" spans="3:8" ht="15" customHeight="1">
      <c r="C21" s="634"/>
      <c r="D21" s="634"/>
      <c r="E21" s="634"/>
      <c r="F21" s="634"/>
      <c r="G21" s="634"/>
      <c r="H21" s="634"/>
    </row>
    <row r="22" spans="3:8" ht="15" customHeight="1">
      <c r="C22" s="634"/>
      <c r="D22" s="634"/>
      <c r="E22" s="634"/>
      <c r="F22" s="634"/>
      <c r="G22" s="634"/>
      <c r="H22" s="634"/>
    </row>
    <row r="23" spans="3:8" ht="15" customHeight="1">
      <c r="C23" s="634"/>
      <c r="D23" s="634"/>
      <c r="E23" s="634"/>
      <c r="F23" s="634"/>
      <c r="G23" s="634"/>
      <c r="H23" s="634"/>
    </row>
    <row r="24" spans="3:8" ht="15" customHeight="1">
      <c r="C24" s="634"/>
      <c r="D24" s="634"/>
      <c r="E24" s="634"/>
      <c r="F24" s="634"/>
      <c r="G24" s="634"/>
      <c r="H24" s="634"/>
    </row>
    <row r="25" spans="3:8" ht="15" customHeight="1">
      <c r="C25" s="634"/>
      <c r="D25" s="634"/>
      <c r="E25" s="634"/>
      <c r="F25" s="634"/>
      <c r="G25" s="634"/>
      <c r="H25" s="634"/>
    </row>
    <row r="26" spans="3:8" ht="15" customHeight="1">
      <c r="C26" s="634"/>
      <c r="D26" s="634"/>
      <c r="E26" s="634"/>
      <c r="F26" s="634"/>
      <c r="G26" s="634"/>
      <c r="H26" s="634"/>
    </row>
    <row r="27" spans="3:8" ht="15" customHeight="1">
      <c r="C27" s="634"/>
      <c r="D27" s="634"/>
      <c r="E27" s="634"/>
      <c r="F27" s="634"/>
      <c r="G27" s="634"/>
      <c r="H27" s="634"/>
    </row>
    <row r="28" spans="3:8" ht="15" customHeight="1">
      <c r="C28" s="634"/>
      <c r="D28" s="634"/>
      <c r="E28" s="634"/>
      <c r="F28" s="634"/>
      <c r="G28" s="634"/>
      <c r="H28" s="634"/>
    </row>
    <row r="29" spans="3:8" ht="15" customHeight="1">
      <c r="C29" s="634"/>
      <c r="D29" s="634"/>
      <c r="E29" s="634"/>
      <c r="F29" s="634"/>
      <c r="G29" s="634"/>
      <c r="H29" s="634"/>
    </row>
    <row r="30" spans="3:8" ht="15" customHeight="1">
      <c r="C30" s="634"/>
      <c r="D30" s="634"/>
      <c r="E30" s="634"/>
      <c r="F30" s="634"/>
      <c r="G30" s="634"/>
      <c r="H30" s="634"/>
    </row>
    <row r="31" spans="3:8" ht="15" customHeight="1">
      <c r="C31" s="634"/>
      <c r="D31" s="634"/>
      <c r="E31" s="634"/>
      <c r="F31" s="634"/>
      <c r="G31" s="634"/>
      <c r="H31" s="634"/>
    </row>
    <row r="36" spans="2:17" ht="15" customHeight="1"/>
    <row r="37" spans="2:17" ht="15" customHeight="1"/>
    <row r="38" spans="2:17" ht="30.75" customHeight="1" thickBot="1">
      <c r="C38" s="635" t="s">
        <v>109</v>
      </c>
      <c r="D38" s="635"/>
      <c r="E38" s="635"/>
      <c r="F38" s="636">
        <f ca="1">TODAY()</f>
        <v>46323</v>
      </c>
      <c r="G38" s="636"/>
      <c r="H38" s="636"/>
      <c r="I38" s="636"/>
      <c r="J38" s="637" t="s">
        <v>110</v>
      </c>
      <c r="K38" s="637"/>
      <c r="L38" s="637"/>
      <c r="M38" s="637"/>
      <c r="N38" s="637"/>
      <c r="O38" s="637"/>
      <c r="P38" s="63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'[45]Brewer Performance'!D40</f>
        <v>96.507822129582451</v>
      </c>
      <c r="E40" s="259">
        <f>AVERAGE('[46]Feb. 1'!I12:I13,'[46]Feb. 2'!I11:I14,[46]Feb.4!I13,[46]Feb.8!I14:I16,[46]Feb.9!I14,[46]Feb.9!I17:I18,[46]Feb10!I13:I16,[46]Feb14!I17,[46]Feb14!I15:I17,[46]Feb17!I10,[46]Feb17!I19:I21,'[46]Feb 21'!I10:I12,'[46]Feb 22'!I11:I13,'[46]Feb 23'!I14:I16,'[46]Feb 24'!I10:I12,'[46]Feb 25'!I13:I15,'[46]Feb 28'!I15:I18)</f>
        <v>98.284801217583563</v>
      </c>
      <c r="F40" s="259">
        <v>98.226686244092193</v>
      </c>
      <c r="G40" s="259">
        <v>98.210530202427222</v>
      </c>
      <c r="H40" s="259">
        <f>'[47]Brewer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'[45]Brewer Performance'!D41</f>
        <v>97.99738587335284</v>
      </c>
      <c r="E41" s="259">
        <f>AVERAGE('[46]Feb. 1'!I10:I11,'[46]Feb. 2'!I10,[46]Feb.3!I11:I13,[46]Feb.4!I10:I12,[46]Feb.8!I10,[46]Feb.8!I13,[46]Feb.9!I10:I13,[46]Feb10!I10:I12,[46]Feb11!I11:I13,[46]Feb14!I13:I14,[46]Feb17!I16:I18,[46]Feb18!I13:I15,'[46]Feb 21'!I17:I19,'[46]Feb 22'!I10,'[46]Feb 22'!I20:I22,'[46]Feb 23'!I10:I11,'[46]Feb 23'!I21,'[46]Feb 25'!I10:I12,'[46]Feb 28'!I11:I14)</f>
        <v>97.918121549662388</v>
      </c>
      <c r="F41" s="259">
        <v>98.070081368185257</v>
      </c>
      <c r="G41" s="259">
        <v>97.79453968977019</v>
      </c>
      <c r="H41" s="259">
        <f>'[47]Brewer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'[45]Brewer Performance'!D43</f>
        <v>98.304611060419475</v>
      </c>
      <c r="E44" s="259">
        <f>AVERAGE('[46]Feb. 2'!I15,[46]Feb.3!I10,[46]Feb.4!I16:I17,[46]Feb.8!I19:I21,[46]Feb.9!I19:I20,[46]Feb10!I17:I18,[46]Feb11!I10,[46]Feb14!I10:I12,[46]Feb17!I11:I13,[46]Feb18!I10:I12,'[46]Feb 21'!I13,'[46]Feb 21'!I16,'[46]Feb 22'!I16:I19,'[46]Feb 23'!I17:I20,'[46]Feb 24'!I15:I18,'[46]Feb 25'!I16:I17,'[46]Feb 28'!I10,'[46]Feb 28'!I19:I20)</f>
        <v>97.289162940824014</v>
      </c>
      <c r="F44" s="259">
        <v>98.163642226187022</v>
      </c>
      <c r="G44" s="259">
        <v>97.964054285784258</v>
      </c>
      <c r="H44" s="259">
        <f>'[47]Brewer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'[45]Brewer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'[45]Brewer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30" t="s">
        <v>123</v>
      </c>
      <c r="C48" s="630"/>
      <c r="D48" s="630"/>
      <c r="E48" s="630"/>
      <c r="F48" s="630"/>
      <c r="G48" s="630"/>
      <c r="H48" s="630"/>
      <c r="I48" s="630"/>
      <c r="J48" s="630"/>
      <c r="K48" s="630"/>
      <c r="L48" s="630"/>
      <c r="M48" s="630"/>
      <c r="N48" s="630"/>
      <c r="O48" s="630"/>
      <c r="P48" s="630"/>
      <c r="Q48" s="630"/>
    </row>
    <row r="49" spans="2:17" ht="15" customHeight="1">
      <c r="B49" s="630"/>
      <c r="C49" s="630"/>
      <c r="D49" s="630"/>
      <c r="E49" s="630"/>
      <c r="F49" s="630"/>
      <c r="G49" s="630"/>
      <c r="H49" s="630"/>
      <c r="I49" s="630"/>
      <c r="J49" s="630"/>
      <c r="K49" s="630"/>
      <c r="L49" s="630"/>
      <c r="M49" s="630"/>
      <c r="N49" s="630"/>
      <c r="O49" s="630"/>
      <c r="P49" s="630"/>
      <c r="Q49" s="630"/>
    </row>
    <row r="50" spans="2:17" ht="15" customHeight="1">
      <c r="B50" s="630"/>
      <c r="C50" s="630"/>
      <c r="D50" s="630"/>
      <c r="E50" s="630"/>
      <c r="F50" s="630"/>
      <c r="G50" s="630"/>
      <c r="H50" s="630"/>
      <c r="I50" s="630"/>
      <c r="J50" s="630"/>
      <c r="K50" s="630"/>
      <c r="L50" s="630"/>
      <c r="M50" s="630"/>
      <c r="N50" s="630"/>
      <c r="O50" s="630"/>
      <c r="P50" s="630"/>
      <c r="Q50" s="630"/>
    </row>
    <row r="51" spans="2:17" ht="15" customHeight="1">
      <c r="B51" s="630"/>
      <c r="C51" s="630"/>
      <c r="D51" s="630"/>
      <c r="E51" s="630"/>
      <c r="F51" s="630"/>
      <c r="G51" s="630"/>
      <c r="H51" s="630"/>
      <c r="I51" s="630"/>
      <c r="J51" s="630"/>
      <c r="K51" s="630"/>
      <c r="L51" s="630"/>
      <c r="M51" s="630"/>
      <c r="N51" s="630"/>
      <c r="O51" s="630"/>
      <c r="P51" s="630"/>
      <c r="Q51" s="630"/>
    </row>
    <row r="52" spans="2:17" ht="15" customHeight="1">
      <c r="B52" s="630"/>
      <c r="C52" s="630"/>
      <c r="D52" s="630"/>
      <c r="E52" s="630"/>
      <c r="F52" s="630"/>
      <c r="G52" s="630"/>
      <c r="H52" s="630"/>
      <c r="I52" s="630"/>
      <c r="J52" s="630"/>
      <c r="K52" s="630"/>
      <c r="L52" s="630"/>
      <c r="M52" s="630"/>
      <c r="N52" s="630"/>
      <c r="O52" s="630"/>
      <c r="P52" s="630"/>
      <c r="Q52" s="630"/>
    </row>
    <row r="53" spans="2:17" ht="15" customHeight="1">
      <c r="B53" s="630"/>
      <c r="C53" s="630"/>
      <c r="D53" s="630"/>
      <c r="E53" s="630"/>
      <c r="F53" s="630"/>
      <c r="G53" s="630"/>
      <c r="H53" s="630"/>
      <c r="I53" s="630"/>
      <c r="J53" s="630"/>
      <c r="K53" s="630"/>
      <c r="L53" s="630"/>
      <c r="M53" s="630"/>
      <c r="N53" s="630"/>
      <c r="O53" s="630"/>
      <c r="P53" s="630"/>
      <c r="Q53" s="630"/>
    </row>
    <row r="54" spans="2:17" ht="15" customHeight="1">
      <c r="B54" s="630"/>
      <c r="C54" s="630"/>
      <c r="D54" s="630"/>
      <c r="E54" s="630"/>
      <c r="F54" s="630"/>
      <c r="G54" s="630"/>
      <c r="H54" s="630"/>
      <c r="I54" s="630"/>
      <c r="J54" s="630"/>
      <c r="K54" s="630"/>
      <c r="L54" s="630"/>
      <c r="M54" s="630"/>
      <c r="N54" s="630"/>
      <c r="O54" s="630"/>
      <c r="P54" s="630"/>
      <c r="Q54" s="630"/>
    </row>
    <row r="55" spans="2:17" ht="15" customHeight="1">
      <c r="B55" s="630"/>
      <c r="C55" s="630"/>
      <c r="D55" s="630"/>
      <c r="E55" s="630"/>
      <c r="F55" s="630"/>
      <c r="G55" s="630"/>
      <c r="H55" s="630"/>
      <c r="I55" s="630"/>
      <c r="J55" s="630"/>
      <c r="K55" s="630"/>
      <c r="L55" s="630"/>
      <c r="M55" s="630"/>
      <c r="N55" s="630"/>
      <c r="O55" s="630"/>
      <c r="P55" s="630"/>
      <c r="Q55" s="630"/>
    </row>
    <row r="56" spans="2:17" ht="15" customHeight="1">
      <c r="B56" s="630"/>
      <c r="C56" s="630"/>
      <c r="D56" s="630"/>
      <c r="E56" s="630"/>
      <c r="F56" s="630"/>
      <c r="G56" s="630"/>
      <c r="H56" s="630"/>
      <c r="I56" s="630"/>
      <c r="J56" s="630"/>
      <c r="K56" s="630"/>
      <c r="L56" s="630"/>
      <c r="M56" s="630"/>
      <c r="N56" s="630"/>
      <c r="O56" s="630"/>
      <c r="P56" s="630"/>
      <c r="Q56" s="630"/>
    </row>
    <row r="57" spans="2:17" ht="15" customHeight="1">
      <c r="B57" s="630"/>
      <c r="C57" s="630"/>
      <c r="D57" s="630"/>
      <c r="E57" s="630"/>
      <c r="F57" s="630"/>
      <c r="G57" s="630"/>
      <c r="H57" s="630"/>
      <c r="I57" s="630"/>
      <c r="J57" s="630"/>
      <c r="K57" s="630"/>
      <c r="L57" s="630"/>
      <c r="M57" s="630"/>
      <c r="N57" s="630"/>
      <c r="O57" s="630"/>
      <c r="P57" s="630"/>
      <c r="Q57" s="630"/>
    </row>
    <row r="58" spans="2:17" ht="15" customHeight="1">
      <c r="B58" s="630"/>
      <c r="C58" s="630"/>
      <c r="D58" s="630"/>
      <c r="E58" s="630"/>
      <c r="F58" s="630"/>
      <c r="G58" s="630"/>
      <c r="H58" s="630"/>
      <c r="I58" s="630"/>
      <c r="J58" s="630"/>
      <c r="K58" s="630"/>
      <c r="L58" s="630"/>
      <c r="M58" s="630"/>
      <c r="N58" s="630"/>
      <c r="O58" s="630"/>
      <c r="P58" s="630"/>
      <c r="Q58" s="630"/>
    </row>
    <row r="59" spans="2:17" ht="15" customHeight="1">
      <c r="B59" s="630"/>
      <c r="C59" s="630"/>
      <c r="D59" s="630"/>
      <c r="E59" s="630"/>
      <c r="F59" s="630"/>
      <c r="G59" s="630"/>
      <c r="H59" s="630"/>
      <c r="I59" s="630"/>
      <c r="J59" s="630"/>
      <c r="K59" s="630"/>
      <c r="L59" s="630"/>
      <c r="M59" s="630"/>
      <c r="N59" s="630"/>
      <c r="O59" s="630"/>
      <c r="P59" s="630"/>
      <c r="Q59" s="630"/>
    </row>
    <row r="60" spans="2:17" ht="15" customHeight="1">
      <c r="B60" s="630"/>
      <c r="C60" s="630"/>
      <c r="D60" s="630"/>
      <c r="E60" s="630"/>
      <c r="F60" s="630"/>
      <c r="G60" s="630"/>
      <c r="H60" s="630"/>
      <c r="I60" s="630"/>
      <c r="J60" s="630"/>
      <c r="K60" s="630"/>
      <c r="L60" s="630"/>
      <c r="M60" s="630"/>
      <c r="N60" s="630"/>
      <c r="O60" s="630"/>
      <c r="P60" s="630"/>
      <c r="Q60" s="630"/>
    </row>
    <row r="61" spans="2:17" ht="15" customHeight="1">
      <c r="B61" s="630"/>
      <c r="C61" s="630"/>
      <c r="D61" s="630"/>
      <c r="E61" s="630"/>
      <c r="F61" s="630"/>
      <c r="G61" s="630"/>
      <c r="H61" s="630"/>
      <c r="I61" s="630"/>
      <c r="J61" s="630"/>
      <c r="K61" s="630"/>
      <c r="L61" s="630"/>
      <c r="M61" s="630"/>
      <c r="N61" s="630"/>
      <c r="O61" s="630"/>
      <c r="P61" s="630"/>
      <c r="Q61" s="630"/>
    </row>
    <row r="62" spans="2:17" ht="15" customHeight="1">
      <c r="B62" s="630"/>
      <c r="C62" s="630"/>
      <c r="D62" s="630"/>
      <c r="E62" s="630"/>
      <c r="F62" s="630"/>
      <c r="G62" s="630"/>
      <c r="H62" s="630"/>
      <c r="I62" s="630"/>
      <c r="J62" s="630"/>
      <c r="K62" s="630"/>
      <c r="L62" s="630"/>
      <c r="M62" s="630"/>
      <c r="N62" s="630"/>
      <c r="O62" s="630"/>
      <c r="P62" s="630"/>
      <c r="Q62" s="630"/>
    </row>
    <row r="63" spans="2:17" ht="15" customHeight="1">
      <c r="B63" s="630"/>
      <c r="C63" s="630"/>
      <c r="D63" s="630"/>
      <c r="E63" s="630"/>
      <c r="F63" s="630"/>
      <c r="G63" s="630"/>
      <c r="H63" s="630"/>
      <c r="I63" s="630"/>
      <c r="J63" s="630"/>
      <c r="K63" s="630"/>
      <c r="L63" s="630"/>
      <c r="M63" s="630"/>
      <c r="N63" s="630"/>
      <c r="O63" s="630"/>
      <c r="P63" s="630"/>
      <c r="Q63" s="630"/>
    </row>
    <row r="64" spans="2:17" ht="15" customHeight="1">
      <c r="B64" s="630"/>
      <c r="C64" s="630"/>
      <c r="D64" s="630"/>
      <c r="E64" s="630"/>
      <c r="F64" s="630"/>
      <c r="G64" s="630"/>
      <c r="H64" s="630"/>
      <c r="I64" s="630"/>
      <c r="J64" s="630"/>
      <c r="K64" s="630"/>
      <c r="L64" s="630"/>
      <c r="M64" s="630"/>
      <c r="N64" s="630"/>
      <c r="O64" s="630"/>
      <c r="P64" s="630"/>
      <c r="Q64" s="630"/>
    </row>
    <row r="65" spans="2:17" ht="15" customHeight="1">
      <c r="B65" s="630"/>
      <c r="C65" s="630"/>
      <c r="D65" s="630"/>
      <c r="E65" s="630"/>
      <c r="F65" s="630"/>
      <c r="G65" s="630"/>
      <c r="H65" s="630"/>
      <c r="I65" s="630"/>
      <c r="J65" s="630"/>
      <c r="K65" s="630"/>
      <c r="L65" s="630"/>
      <c r="M65" s="630"/>
      <c r="N65" s="630"/>
      <c r="O65" s="630"/>
      <c r="P65" s="630"/>
      <c r="Q65" s="630"/>
    </row>
    <row r="66" spans="2:17" ht="15" customHeight="1">
      <c r="B66" s="630"/>
      <c r="C66" s="630"/>
      <c r="D66" s="630"/>
      <c r="E66" s="630"/>
      <c r="F66" s="630"/>
      <c r="G66" s="630"/>
      <c r="H66" s="630"/>
      <c r="I66" s="630"/>
      <c r="J66" s="630"/>
      <c r="K66" s="630"/>
      <c r="L66" s="630"/>
      <c r="M66" s="630"/>
      <c r="N66" s="630"/>
      <c r="O66" s="630"/>
      <c r="P66" s="630"/>
      <c r="Q66" s="630"/>
    </row>
    <row r="67" spans="2:17" ht="15" customHeight="1">
      <c r="B67" s="630"/>
      <c r="C67" s="630"/>
      <c r="D67" s="630"/>
      <c r="E67" s="630"/>
      <c r="F67" s="630"/>
      <c r="G67" s="630"/>
      <c r="H67" s="630"/>
      <c r="I67" s="630"/>
      <c r="J67" s="630"/>
      <c r="K67" s="630"/>
      <c r="L67" s="630"/>
      <c r="M67" s="630"/>
      <c r="N67" s="630"/>
      <c r="O67" s="630"/>
      <c r="P67" s="630"/>
      <c r="Q67" s="630"/>
    </row>
    <row r="68" spans="2:17" ht="15" customHeight="1">
      <c r="B68" s="630"/>
      <c r="C68" s="630"/>
      <c r="D68" s="630"/>
      <c r="E68" s="630"/>
      <c r="F68" s="630"/>
      <c r="G68" s="630"/>
      <c r="H68" s="630"/>
      <c r="I68" s="630"/>
      <c r="J68" s="630"/>
      <c r="K68" s="630"/>
      <c r="L68" s="630"/>
      <c r="M68" s="630"/>
      <c r="N68" s="630"/>
      <c r="O68" s="630"/>
      <c r="P68" s="630"/>
      <c r="Q68" s="630"/>
    </row>
    <row r="69" spans="2:17" ht="15" customHeight="1">
      <c r="B69" s="630"/>
      <c r="C69" s="630"/>
      <c r="D69" s="630"/>
      <c r="E69" s="630"/>
      <c r="F69" s="630"/>
      <c r="G69" s="630"/>
      <c r="H69" s="630"/>
      <c r="I69" s="630"/>
      <c r="J69" s="630"/>
      <c r="K69" s="630"/>
      <c r="L69" s="630"/>
      <c r="M69" s="630"/>
      <c r="N69" s="630"/>
      <c r="O69" s="630"/>
      <c r="P69" s="630"/>
      <c r="Q69" s="630"/>
    </row>
    <row r="70" spans="2:17" ht="15" customHeight="1">
      <c r="B70" s="630"/>
      <c r="C70" s="630"/>
      <c r="D70" s="630"/>
      <c r="E70" s="630"/>
      <c r="F70" s="630"/>
      <c r="G70" s="630"/>
      <c r="H70" s="630"/>
      <c r="I70" s="630"/>
      <c r="J70" s="630"/>
      <c r="K70" s="630"/>
      <c r="L70" s="630"/>
      <c r="M70" s="630"/>
      <c r="N70" s="630"/>
      <c r="O70" s="630"/>
      <c r="P70" s="630"/>
      <c r="Q70" s="630"/>
    </row>
    <row r="71" spans="2:17" ht="15" customHeight="1">
      <c r="B71" s="630"/>
      <c r="C71" s="630"/>
      <c r="D71" s="630"/>
      <c r="E71" s="630"/>
      <c r="F71" s="630"/>
      <c r="G71" s="630"/>
      <c r="H71" s="630"/>
      <c r="I71" s="630"/>
      <c r="J71" s="630"/>
      <c r="K71" s="630"/>
      <c r="L71" s="630"/>
      <c r="M71" s="630"/>
      <c r="N71" s="630"/>
      <c r="O71" s="630"/>
      <c r="P71" s="630"/>
      <c r="Q71" s="630"/>
    </row>
    <row r="72" spans="2:17" ht="15" customHeight="1">
      <c r="B72" s="630"/>
      <c r="C72" s="630"/>
      <c r="D72" s="630"/>
      <c r="E72" s="630"/>
      <c r="F72" s="630"/>
      <c r="G72" s="630"/>
      <c r="H72" s="630"/>
      <c r="I72" s="630"/>
      <c r="J72" s="630"/>
      <c r="K72" s="630"/>
      <c r="L72" s="630"/>
      <c r="M72" s="630"/>
      <c r="N72" s="630"/>
      <c r="O72" s="630"/>
      <c r="P72" s="630"/>
      <c r="Q72" s="630"/>
    </row>
    <row r="73" spans="2:17" ht="15" customHeight="1">
      <c r="B73" s="630"/>
      <c r="C73" s="630"/>
      <c r="D73" s="630"/>
      <c r="E73" s="630"/>
      <c r="F73" s="630"/>
      <c r="G73" s="630"/>
      <c r="H73" s="630"/>
      <c r="I73" s="630"/>
      <c r="J73" s="630"/>
      <c r="K73" s="630"/>
      <c r="L73" s="630"/>
      <c r="M73" s="630"/>
      <c r="N73" s="630"/>
      <c r="O73" s="630"/>
      <c r="P73" s="630"/>
      <c r="Q73" s="630"/>
    </row>
    <row r="74" spans="2:17" ht="15" customHeight="1">
      <c r="B74" s="630"/>
      <c r="C74" s="630"/>
      <c r="D74" s="630"/>
      <c r="E74" s="630"/>
      <c r="F74" s="630"/>
      <c r="G74" s="630"/>
      <c r="H74" s="630"/>
      <c r="I74" s="630"/>
      <c r="J74" s="630"/>
      <c r="K74" s="630"/>
      <c r="L74" s="630"/>
      <c r="M74" s="630"/>
      <c r="N74" s="630"/>
      <c r="O74" s="630"/>
      <c r="P74" s="630"/>
      <c r="Q74" s="630"/>
    </row>
    <row r="75" spans="2:17" ht="15" customHeight="1">
      <c r="B75" s="630"/>
      <c r="C75" s="630"/>
      <c r="D75" s="630"/>
      <c r="E75" s="630"/>
      <c r="F75" s="630"/>
      <c r="G75" s="630"/>
      <c r="H75" s="630"/>
      <c r="I75" s="630"/>
      <c r="J75" s="630"/>
      <c r="K75" s="630"/>
      <c r="L75" s="630"/>
      <c r="M75" s="630"/>
      <c r="N75" s="630"/>
      <c r="O75" s="630"/>
      <c r="P75" s="630"/>
      <c r="Q75" s="630"/>
    </row>
    <row r="76" spans="2:17">
      <c r="B76" s="630"/>
      <c r="C76" s="630"/>
      <c r="D76" s="630"/>
      <c r="E76" s="630"/>
      <c r="F76" s="630"/>
      <c r="G76" s="630"/>
      <c r="H76" s="630"/>
      <c r="I76" s="630"/>
      <c r="J76" s="630"/>
      <c r="K76" s="630"/>
      <c r="L76" s="630"/>
      <c r="M76" s="630"/>
      <c r="N76" s="630"/>
      <c r="O76" s="630"/>
      <c r="P76" s="630"/>
      <c r="Q76" s="63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Dec 18th</vt:lpstr>
      <vt:lpstr>Oct 1st</vt:lpstr>
      <vt:lpstr>Oct 2nd</vt:lpstr>
      <vt:lpstr>Oct 5th</vt:lpstr>
      <vt:lpstr>Oct 6th</vt:lpstr>
      <vt:lpstr>Oct 7th</vt:lpstr>
      <vt:lpstr>Oct 8th </vt:lpstr>
      <vt:lpstr>Oct 9th-10th</vt:lpstr>
      <vt:lpstr>Oct 12th</vt:lpstr>
      <vt:lpstr>Oct 13th </vt:lpstr>
      <vt:lpstr>Oct 14th</vt:lpstr>
      <vt:lpstr>Oct 15th </vt:lpstr>
      <vt:lpstr>Oct  23rd </vt:lpstr>
      <vt:lpstr>Oct  27th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Reshelle Fleming</cp:lastModifiedBy>
  <cp:lastPrinted>2024-01-26T11:36:30Z</cp:lastPrinted>
  <dcterms:created xsi:type="dcterms:W3CDTF">2020-01-28T18:21:11Z</dcterms:created>
  <dcterms:modified xsi:type="dcterms:W3CDTF">2026-10-28T12:14:54Z</dcterms:modified>
</cp:coreProperties>
</file>