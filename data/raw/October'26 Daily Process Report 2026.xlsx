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C67DCB50-519B-4072-BC47-D12D30F03021}" xr6:coauthVersionLast="47" xr6:coauthVersionMax="47" xr10:uidLastSave="{00000000-0000-0000-0000-000000000000}"/>
  <bookViews>
    <workbookView xWindow="-120" yWindow="-120" windowWidth="29040" windowHeight="15720" tabRatio="599" firstSheet="1" activeTab="4" xr2:uid="{1120807F-7390-4E10-A66F-84111922E872}"/>
  </bookViews>
  <sheets>
    <sheet name="Dec 18th" sheetId="658" state="hidden" r:id="rId1"/>
    <sheet name="Oct 1st" sheetId="1082" r:id="rId2"/>
    <sheet name="Oct 2nd" sheetId="1083" r:id="rId3"/>
    <sheet name="Oct 5th" sheetId="1084" r:id="rId4"/>
    <sheet name="Oct 6th" sheetId="1085" r:id="rId5"/>
    <sheet name="MTD_Links" sheetId="18" r:id="rId6"/>
    <sheet name="YTD_Links" sheetId="19" r:id="rId7"/>
    <sheet name="KPIs" sheetId="20" state="hidden" r:id="rId8"/>
    <sheet name="Brewer Performance" sheetId="21" state="hidden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xlnm.Print_Area" localSheetId="8">'Brewer Performance'!$B$2:$K$35</definedName>
    <definedName name="_xlnm.Print_Area" localSheetId="5">MTD_Links!$B$2:$K$65</definedName>
    <definedName name="_xlnm.Print_Area" localSheetId="6">YTD_Links!$B$2:$K$65</definedName>
    <definedName name="ProductList" localSheetId="8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57" i="19" l="1"/>
  <c r="J58" i="19"/>
  <c r="J59" i="19"/>
  <c r="J60" i="19"/>
  <c r="J61" i="19"/>
  <c r="J62" i="19"/>
  <c r="J63" i="19"/>
  <c r="J64" i="19"/>
  <c r="J65" i="19"/>
  <c r="J56" i="19"/>
  <c r="D57" i="19"/>
  <c r="D58" i="19"/>
  <c r="D59" i="19"/>
  <c r="D60" i="19"/>
  <c r="D61" i="19"/>
  <c r="D62" i="19"/>
  <c r="D63" i="19"/>
  <c r="D64" i="19"/>
  <c r="D65" i="19"/>
  <c r="K76" i="1085"/>
  <c r="K63" i="1085"/>
  <c r="G76" i="1085" l="1"/>
  <c r="C76" i="1085"/>
  <c r="G63" i="1085"/>
  <c r="D63" i="1085"/>
  <c r="M34" i="1085"/>
  <c r="L34" i="1085"/>
  <c r="K34" i="1085"/>
  <c r="M35" i="1085"/>
  <c r="L35" i="1085"/>
  <c r="K35" i="1085"/>
  <c r="J35" i="1085"/>
  <c r="J34" i="1085"/>
  <c r="R13" i="1085"/>
  <c r="S13" i="1085"/>
  <c r="T13" i="1085"/>
  <c r="U13" i="1085"/>
  <c r="V13" i="1085"/>
  <c r="W13" i="1085"/>
  <c r="X13" i="1085"/>
  <c r="Y13" i="1085"/>
  <c r="Z13" i="1085"/>
  <c r="R14" i="1085"/>
  <c r="S14" i="1085"/>
  <c r="T14" i="1085"/>
  <c r="U14" i="1085"/>
  <c r="V14" i="1085"/>
  <c r="W14" i="1085"/>
  <c r="X14" i="1085"/>
  <c r="Y14" i="1085"/>
  <c r="Z14" i="1085"/>
  <c r="R15" i="1085"/>
  <c r="S15" i="1085"/>
  <c r="T15" i="1085"/>
  <c r="U15" i="1085"/>
  <c r="V15" i="1085"/>
  <c r="W15" i="1085"/>
  <c r="X15" i="1085"/>
  <c r="Y15" i="1085"/>
  <c r="Z15" i="1085"/>
  <c r="R16" i="1085"/>
  <c r="S16" i="1085"/>
  <c r="T16" i="1085"/>
  <c r="U16" i="1085"/>
  <c r="V16" i="1085"/>
  <c r="W16" i="1085"/>
  <c r="X16" i="1085"/>
  <c r="Y16" i="1085"/>
  <c r="Z16" i="1085"/>
  <c r="R17" i="1085"/>
  <c r="S17" i="1085"/>
  <c r="T17" i="1085"/>
  <c r="U17" i="1085"/>
  <c r="V17" i="1085"/>
  <c r="W17" i="1085"/>
  <c r="X17" i="1085"/>
  <c r="Y17" i="1085"/>
  <c r="Z17" i="1085"/>
  <c r="R18" i="1085"/>
  <c r="S18" i="1085"/>
  <c r="T18" i="1085"/>
  <c r="U18" i="1085"/>
  <c r="V18" i="1085"/>
  <c r="W18" i="1085"/>
  <c r="X18" i="1085"/>
  <c r="Y18" i="1085"/>
  <c r="Z18" i="1085"/>
  <c r="R19" i="1085"/>
  <c r="S19" i="1085"/>
  <c r="T19" i="1085"/>
  <c r="U19" i="1085"/>
  <c r="V19" i="1085"/>
  <c r="W19" i="1085"/>
  <c r="X19" i="1085"/>
  <c r="Y19" i="1085"/>
  <c r="Z19" i="1085"/>
  <c r="R20" i="1085"/>
  <c r="S20" i="1085"/>
  <c r="T20" i="1085"/>
  <c r="U20" i="1085"/>
  <c r="V20" i="1085"/>
  <c r="W20" i="1085"/>
  <c r="X20" i="1085"/>
  <c r="Y20" i="1085"/>
  <c r="Z20" i="1085"/>
  <c r="R21" i="1085"/>
  <c r="S21" i="1085"/>
  <c r="T21" i="1085"/>
  <c r="U21" i="1085"/>
  <c r="V21" i="1085"/>
  <c r="W21" i="1085"/>
  <c r="X21" i="1085"/>
  <c r="Y21" i="1085"/>
  <c r="Z21" i="1085"/>
  <c r="R22" i="1085"/>
  <c r="S22" i="1085"/>
  <c r="T22" i="1085"/>
  <c r="U22" i="1085"/>
  <c r="V22" i="1085"/>
  <c r="W22" i="1085"/>
  <c r="X22" i="1085"/>
  <c r="Y22" i="1085"/>
  <c r="Z22" i="1085"/>
  <c r="R23" i="1085"/>
  <c r="S23" i="1085"/>
  <c r="T23" i="1085"/>
  <c r="U23" i="1085"/>
  <c r="V23" i="1085"/>
  <c r="W23" i="1085"/>
  <c r="X23" i="1085"/>
  <c r="Y23" i="1085"/>
  <c r="Z23" i="1085"/>
  <c r="R24" i="1085"/>
  <c r="S24" i="1085"/>
  <c r="T24" i="1085"/>
  <c r="U24" i="1085"/>
  <c r="V24" i="1085"/>
  <c r="W24" i="1085"/>
  <c r="X24" i="1085"/>
  <c r="Y24" i="1085"/>
  <c r="Z24" i="1085"/>
  <c r="R25" i="1085"/>
  <c r="S25" i="1085"/>
  <c r="T25" i="1085"/>
  <c r="U25" i="1085"/>
  <c r="V25" i="1085"/>
  <c r="W25" i="1085"/>
  <c r="X25" i="1085"/>
  <c r="Y25" i="1085"/>
  <c r="Z25" i="1085"/>
  <c r="R26" i="1085"/>
  <c r="S26" i="1085"/>
  <c r="T26" i="1085"/>
  <c r="U26" i="1085"/>
  <c r="V26" i="1085"/>
  <c r="W26" i="1085"/>
  <c r="X26" i="1085"/>
  <c r="Y26" i="1085"/>
  <c r="Z26" i="1085"/>
  <c r="R27" i="1085"/>
  <c r="S27" i="1085"/>
  <c r="T27" i="1085"/>
  <c r="U27" i="1085"/>
  <c r="V27" i="1085"/>
  <c r="W27" i="1085"/>
  <c r="X27" i="1085"/>
  <c r="Y27" i="1085"/>
  <c r="Z27" i="1085"/>
  <c r="R28" i="1085"/>
  <c r="S28" i="1085"/>
  <c r="T28" i="1085"/>
  <c r="U28" i="1085"/>
  <c r="V28" i="1085"/>
  <c r="W28" i="1085"/>
  <c r="X28" i="1085"/>
  <c r="Y28" i="1085"/>
  <c r="Z28" i="1085"/>
  <c r="R29" i="1085"/>
  <c r="S29" i="1085"/>
  <c r="T29" i="1085"/>
  <c r="U29" i="1085"/>
  <c r="V29" i="1085"/>
  <c r="W29" i="1085"/>
  <c r="X29" i="1085"/>
  <c r="Y29" i="1085"/>
  <c r="Z29" i="1085"/>
  <c r="R30" i="1085"/>
  <c r="S30" i="1085"/>
  <c r="T30" i="1085"/>
  <c r="U30" i="1085"/>
  <c r="V30" i="1085"/>
  <c r="W30" i="1085"/>
  <c r="X30" i="1085"/>
  <c r="Y30" i="1085"/>
  <c r="Z30" i="1085"/>
  <c r="I16" i="1085"/>
  <c r="J16" i="1085"/>
  <c r="K16" i="1085"/>
  <c r="L16" i="1085"/>
  <c r="M16" i="1085"/>
  <c r="N16" i="1085"/>
  <c r="O16" i="1085"/>
  <c r="I17" i="1085"/>
  <c r="J17" i="1085"/>
  <c r="K17" i="1085"/>
  <c r="L17" i="1085"/>
  <c r="M17" i="1085"/>
  <c r="N17" i="1085"/>
  <c r="O17" i="1085"/>
  <c r="I18" i="1085"/>
  <c r="J18" i="1085"/>
  <c r="K18" i="1085"/>
  <c r="L18" i="1085"/>
  <c r="M18" i="1085"/>
  <c r="N18" i="1085"/>
  <c r="O18" i="1085"/>
  <c r="I19" i="1085"/>
  <c r="J19" i="1085"/>
  <c r="K19" i="1085"/>
  <c r="L19" i="1085"/>
  <c r="M19" i="1085"/>
  <c r="N19" i="1085"/>
  <c r="O19" i="1085"/>
  <c r="C16" i="1085"/>
  <c r="D16" i="1085"/>
  <c r="E16" i="1085"/>
  <c r="F16" i="1085"/>
  <c r="G16" i="1085"/>
  <c r="C17" i="1085"/>
  <c r="D17" i="1085"/>
  <c r="E17" i="1085"/>
  <c r="F17" i="1085"/>
  <c r="G17" i="1085"/>
  <c r="C18" i="1085"/>
  <c r="D18" i="1085"/>
  <c r="E18" i="1085"/>
  <c r="F18" i="1085"/>
  <c r="G18" i="1085"/>
  <c r="C19" i="1085"/>
  <c r="D19" i="1085"/>
  <c r="E19" i="1085"/>
  <c r="F19" i="1085"/>
  <c r="G19" i="1085"/>
  <c r="O20" i="1085"/>
  <c r="N20" i="1085"/>
  <c r="M20" i="1085"/>
  <c r="L20" i="1085"/>
  <c r="K20" i="1085"/>
  <c r="J20" i="1085"/>
  <c r="I20" i="1085"/>
  <c r="G20" i="1085"/>
  <c r="F20" i="1085"/>
  <c r="E20" i="1085"/>
  <c r="D20" i="1085"/>
  <c r="C20" i="1085"/>
  <c r="I10" i="1085"/>
  <c r="J10" i="1085"/>
  <c r="K10" i="1085"/>
  <c r="L10" i="1085"/>
  <c r="M10" i="1085"/>
  <c r="N10" i="1085"/>
  <c r="O10" i="1085"/>
  <c r="I11" i="1085"/>
  <c r="J11" i="1085"/>
  <c r="K11" i="1085"/>
  <c r="L11" i="1085"/>
  <c r="M11" i="1085"/>
  <c r="N11" i="1085"/>
  <c r="O11" i="1085"/>
  <c r="I12" i="1085"/>
  <c r="J12" i="1085"/>
  <c r="K12" i="1085"/>
  <c r="L12" i="1085"/>
  <c r="M12" i="1085"/>
  <c r="N12" i="1085"/>
  <c r="O12" i="1085"/>
  <c r="I13" i="1085"/>
  <c r="J13" i="1085"/>
  <c r="K13" i="1085"/>
  <c r="L13" i="1085"/>
  <c r="M13" i="1085"/>
  <c r="N13" i="1085"/>
  <c r="O13" i="1085"/>
  <c r="C10" i="1085"/>
  <c r="D10" i="1085"/>
  <c r="E10" i="1085"/>
  <c r="F10" i="1085"/>
  <c r="G10" i="1085"/>
  <c r="C11" i="1085"/>
  <c r="D11" i="1085"/>
  <c r="E11" i="1085"/>
  <c r="F11" i="1085"/>
  <c r="G11" i="1085"/>
  <c r="C12" i="1085"/>
  <c r="D12" i="1085"/>
  <c r="E12" i="1085"/>
  <c r="F12" i="1085"/>
  <c r="G12" i="1085"/>
  <c r="C13" i="1085"/>
  <c r="D13" i="1085"/>
  <c r="E13" i="1085"/>
  <c r="F13" i="1085"/>
  <c r="G13" i="1085"/>
  <c r="R10" i="1085"/>
  <c r="S10" i="1085"/>
  <c r="T10" i="1085"/>
  <c r="U10" i="1085"/>
  <c r="V10" i="1085"/>
  <c r="W10" i="1085"/>
  <c r="X10" i="1085"/>
  <c r="Y10" i="1085"/>
  <c r="Z10" i="1085"/>
  <c r="R11" i="1085"/>
  <c r="S11" i="1085"/>
  <c r="T11" i="1085"/>
  <c r="U11" i="1085"/>
  <c r="V11" i="1085"/>
  <c r="W11" i="1085"/>
  <c r="X11" i="1085"/>
  <c r="Y11" i="1085"/>
  <c r="Z11" i="1085"/>
  <c r="R12" i="1085"/>
  <c r="S12" i="1085"/>
  <c r="T12" i="1085"/>
  <c r="U12" i="1085"/>
  <c r="V12" i="1085"/>
  <c r="W12" i="1085"/>
  <c r="X12" i="1085"/>
  <c r="Y12" i="1085"/>
  <c r="Z12" i="1085"/>
  <c r="AX65" i="1085"/>
  <c r="AW65" i="1085"/>
  <c r="AV65" i="1085"/>
  <c r="AU65" i="1085"/>
  <c r="AT65" i="1085"/>
  <c r="AS65" i="1085"/>
  <c r="AR65" i="1085"/>
  <c r="AQ65" i="1085"/>
  <c r="AP65" i="1085"/>
  <c r="AO65" i="1085"/>
  <c r="AN65" i="1085"/>
  <c r="AM65" i="1085"/>
  <c r="AL65" i="1085"/>
  <c r="AK65" i="1085"/>
  <c r="AJ65" i="1085"/>
  <c r="AI65" i="1085"/>
  <c r="AH65" i="1085"/>
  <c r="AG65" i="1085"/>
  <c r="AF65" i="1085"/>
  <c r="AE65" i="1085"/>
  <c r="AD65" i="1085"/>
  <c r="AC65" i="1085"/>
  <c r="AB65" i="1085"/>
  <c r="L65" i="1085"/>
  <c r="B65" i="1085"/>
  <c r="AX64" i="1085"/>
  <c r="AW64" i="1085"/>
  <c r="AV64" i="1085"/>
  <c r="AU64" i="1085"/>
  <c r="AT64" i="1085"/>
  <c r="AS64" i="1085"/>
  <c r="AR64" i="1085"/>
  <c r="AQ64" i="1085"/>
  <c r="AP64" i="1085"/>
  <c r="AO64" i="1085"/>
  <c r="AN64" i="1085"/>
  <c r="AM64" i="1085"/>
  <c r="AL64" i="1085"/>
  <c r="AK64" i="1085"/>
  <c r="AJ64" i="1085"/>
  <c r="AI64" i="1085"/>
  <c r="AH64" i="1085"/>
  <c r="AG64" i="1085"/>
  <c r="AF64" i="1085"/>
  <c r="AE64" i="1085"/>
  <c r="AD64" i="1085"/>
  <c r="AC64" i="1085"/>
  <c r="AB64" i="1085"/>
  <c r="AX63" i="1085"/>
  <c r="AW63" i="1085"/>
  <c r="AV63" i="1085"/>
  <c r="AU63" i="1085"/>
  <c r="AT63" i="1085"/>
  <c r="AS63" i="1085"/>
  <c r="AR63" i="1085"/>
  <c r="AQ63" i="1085"/>
  <c r="AP63" i="1085"/>
  <c r="AO63" i="1085"/>
  <c r="AN63" i="1085"/>
  <c r="AM63" i="1085"/>
  <c r="AL63" i="1085"/>
  <c r="AK63" i="1085"/>
  <c r="AJ63" i="1085"/>
  <c r="AI63" i="1085"/>
  <c r="AH63" i="1085"/>
  <c r="AG63" i="1085"/>
  <c r="AF63" i="1085"/>
  <c r="AE63" i="1085"/>
  <c r="AD63" i="1085"/>
  <c r="AC63" i="1085"/>
  <c r="AB63" i="1085"/>
  <c r="L63" i="1085"/>
  <c r="B63" i="1085"/>
  <c r="K58" i="1085"/>
  <c r="L49" i="1085" s="1"/>
  <c r="M49" i="1085" s="1"/>
  <c r="Z45" i="1085"/>
  <c r="Y45" i="1085"/>
  <c r="X45" i="1085"/>
  <c r="W45" i="1085"/>
  <c r="V45" i="1085"/>
  <c r="U45" i="1085"/>
  <c r="T45" i="1085"/>
  <c r="S45" i="1085"/>
  <c r="R45" i="1085"/>
  <c r="Z44" i="1085"/>
  <c r="Y44" i="1085"/>
  <c r="X44" i="1085"/>
  <c r="W44" i="1085"/>
  <c r="V44" i="1085"/>
  <c r="U44" i="1085"/>
  <c r="T44" i="1085"/>
  <c r="S44" i="1085"/>
  <c r="R44" i="1085"/>
  <c r="Z43" i="1085"/>
  <c r="Y43" i="1085"/>
  <c r="X43" i="1085"/>
  <c r="W43" i="1085"/>
  <c r="V43" i="1085"/>
  <c r="U43" i="1085"/>
  <c r="T43" i="1085"/>
  <c r="S43" i="1085"/>
  <c r="R43" i="1085"/>
  <c r="Z42" i="1085"/>
  <c r="Y42" i="1085"/>
  <c r="X42" i="1085"/>
  <c r="W42" i="1085"/>
  <c r="V42" i="1085"/>
  <c r="U42" i="1085"/>
  <c r="T42" i="1085"/>
  <c r="S42" i="1085"/>
  <c r="R42" i="1085"/>
  <c r="Z41" i="1085"/>
  <c r="Y41" i="1085"/>
  <c r="X41" i="1085"/>
  <c r="W41" i="1085"/>
  <c r="V41" i="1085"/>
  <c r="U41" i="1085"/>
  <c r="T41" i="1085"/>
  <c r="S41" i="1085"/>
  <c r="R41" i="1085"/>
  <c r="Z40" i="1085"/>
  <c r="Y40" i="1085"/>
  <c r="X40" i="1085"/>
  <c r="W40" i="1085"/>
  <c r="V40" i="1085"/>
  <c r="U40" i="1085"/>
  <c r="T40" i="1085"/>
  <c r="S40" i="1085"/>
  <c r="R40" i="1085"/>
  <c r="M40" i="1085"/>
  <c r="Z39" i="1085"/>
  <c r="Y39" i="1085"/>
  <c r="X39" i="1085"/>
  <c r="W39" i="1085"/>
  <c r="V39" i="1085"/>
  <c r="U39" i="1085"/>
  <c r="T39" i="1085"/>
  <c r="S39" i="1085"/>
  <c r="R39" i="1085"/>
  <c r="M39" i="1085"/>
  <c r="Z38" i="1085"/>
  <c r="Y38" i="1085"/>
  <c r="X38" i="1085"/>
  <c r="W38" i="1085"/>
  <c r="V38" i="1085"/>
  <c r="U38" i="1085"/>
  <c r="T38" i="1085"/>
  <c r="S38" i="1085"/>
  <c r="R38" i="1085"/>
  <c r="Z37" i="1085"/>
  <c r="Y37" i="1085"/>
  <c r="X37" i="1085"/>
  <c r="W37" i="1085"/>
  <c r="V37" i="1085"/>
  <c r="U37" i="1085"/>
  <c r="T37" i="1085"/>
  <c r="S37" i="1085"/>
  <c r="R37" i="1085"/>
  <c r="M37" i="1085"/>
  <c r="Z36" i="1085"/>
  <c r="Y36" i="1085"/>
  <c r="X36" i="1085"/>
  <c r="W36" i="1085"/>
  <c r="V36" i="1085"/>
  <c r="U36" i="1085"/>
  <c r="T36" i="1085"/>
  <c r="S36" i="1085"/>
  <c r="R36" i="1085"/>
  <c r="M36" i="1085"/>
  <c r="Z35" i="1085"/>
  <c r="Y35" i="1085"/>
  <c r="X35" i="1085"/>
  <c r="W35" i="1085"/>
  <c r="V35" i="1085"/>
  <c r="U35" i="1085"/>
  <c r="T35" i="1085"/>
  <c r="S35" i="1085"/>
  <c r="R35" i="1085"/>
  <c r="Z34" i="1085"/>
  <c r="Y34" i="1085"/>
  <c r="X34" i="1085"/>
  <c r="W34" i="1085"/>
  <c r="V34" i="1085"/>
  <c r="U34" i="1085"/>
  <c r="T34" i="1085"/>
  <c r="S34" i="1085"/>
  <c r="R34" i="1085"/>
  <c r="Z33" i="1085"/>
  <c r="Y33" i="1085"/>
  <c r="X33" i="1085"/>
  <c r="W33" i="1085"/>
  <c r="V33" i="1085"/>
  <c r="U33" i="1085"/>
  <c r="T33" i="1085"/>
  <c r="S33" i="1085"/>
  <c r="R33" i="1085"/>
  <c r="Z32" i="1085"/>
  <c r="Y32" i="1085"/>
  <c r="X32" i="1085"/>
  <c r="W32" i="1085"/>
  <c r="V32" i="1085"/>
  <c r="U32" i="1085"/>
  <c r="T32" i="1085"/>
  <c r="S32" i="1085"/>
  <c r="R32" i="1085"/>
  <c r="Z31" i="1085"/>
  <c r="Y31" i="1085"/>
  <c r="X31" i="1085"/>
  <c r="W31" i="1085"/>
  <c r="V31" i="1085"/>
  <c r="U31" i="1085"/>
  <c r="T31" i="1085"/>
  <c r="S31" i="1085"/>
  <c r="R31" i="1085"/>
  <c r="K58" i="1084"/>
  <c r="K56" i="1084"/>
  <c r="K44" i="1085" l="1"/>
  <c r="L44" i="1085" s="1"/>
  <c r="M44" i="1085" s="1"/>
  <c r="K69" i="1084"/>
  <c r="G58" i="1084"/>
  <c r="G56" i="1084"/>
  <c r="D56" i="1084"/>
  <c r="G57" i="1082"/>
  <c r="B58" i="1084"/>
  <c r="L42" i="1084"/>
  <c r="M27" i="1084"/>
  <c r="L27" i="1084"/>
  <c r="K27" i="1084"/>
  <c r="K37" i="1084" s="1"/>
  <c r="R10" i="1084"/>
  <c r="S10" i="1084"/>
  <c r="T10" i="1084"/>
  <c r="U10" i="1084"/>
  <c r="V10" i="1084"/>
  <c r="W10" i="1084"/>
  <c r="X10" i="1084"/>
  <c r="Y10" i="1084"/>
  <c r="Z10" i="1084"/>
  <c r="R11" i="1084"/>
  <c r="S11" i="1084"/>
  <c r="T11" i="1084"/>
  <c r="U11" i="1084"/>
  <c r="V11" i="1084"/>
  <c r="W11" i="1084"/>
  <c r="X11" i="1084"/>
  <c r="Y11" i="1084"/>
  <c r="Z11" i="1084"/>
  <c r="R12" i="1084"/>
  <c r="S12" i="1084"/>
  <c r="T12" i="1084"/>
  <c r="U12" i="1084"/>
  <c r="V12" i="1084"/>
  <c r="W12" i="1084"/>
  <c r="X12" i="1084"/>
  <c r="Y12" i="1084"/>
  <c r="Z12" i="1084"/>
  <c r="R13" i="1084"/>
  <c r="S13" i="1084"/>
  <c r="T13" i="1084"/>
  <c r="U13" i="1084"/>
  <c r="V13" i="1084"/>
  <c r="W13" i="1084"/>
  <c r="X13" i="1084"/>
  <c r="Y13" i="1084"/>
  <c r="Z13" i="1084"/>
  <c r="R14" i="1084"/>
  <c r="S14" i="1084"/>
  <c r="T14" i="1084"/>
  <c r="U14" i="1084"/>
  <c r="V14" i="1084"/>
  <c r="W14" i="1084"/>
  <c r="X14" i="1084"/>
  <c r="Y14" i="1084"/>
  <c r="Z14" i="1084"/>
  <c r="R15" i="1084"/>
  <c r="S15" i="1084"/>
  <c r="T15" i="1084"/>
  <c r="U15" i="1084"/>
  <c r="V15" i="1084"/>
  <c r="W15" i="1084"/>
  <c r="X15" i="1084"/>
  <c r="Y15" i="1084"/>
  <c r="Z15" i="1084"/>
  <c r="R16" i="1084"/>
  <c r="S16" i="1084"/>
  <c r="T16" i="1084"/>
  <c r="U16" i="1084"/>
  <c r="V16" i="1084"/>
  <c r="W16" i="1084"/>
  <c r="X16" i="1084"/>
  <c r="Y16" i="1084"/>
  <c r="Z16" i="1084"/>
  <c r="R17" i="1084"/>
  <c r="S17" i="1084"/>
  <c r="T17" i="1084"/>
  <c r="U17" i="1084"/>
  <c r="V17" i="1084"/>
  <c r="W17" i="1084"/>
  <c r="X17" i="1084"/>
  <c r="Y17" i="1084"/>
  <c r="Z17" i="1084"/>
  <c r="R18" i="1084"/>
  <c r="S18" i="1084"/>
  <c r="T18" i="1084"/>
  <c r="U18" i="1084"/>
  <c r="V18" i="1084"/>
  <c r="W18" i="1084"/>
  <c r="X18" i="1084"/>
  <c r="Y18" i="1084"/>
  <c r="Z18" i="1084"/>
  <c r="R19" i="1084"/>
  <c r="S19" i="1084"/>
  <c r="T19" i="1084"/>
  <c r="U19" i="1084"/>
  <c r="V19" i="1084"/>
  <c r="W19" i="1084"/>
  <c r="X19" i="1084"/>
  <c r="Y19" i="1084"/>
  <c r="Z19" i="1084"/>
  <c r="I10" i="1084"/>
  <c r="J10" i="1084"/>
  <c r="K10" i="1084"/>
  <c r="L10" i="1084"/>
  <c r="M10" i="1084"/>
  <c r="N10" i="1084"/>
  <c r="O10" i="1084"/>
  <c r="I11" i="1084"/>
  <c r="J11" i="1084"/>
  <c r="K11" i="1084"/>
  <c r="L11" i="1084"/>
  <c r="M11" i="1084"/>
  <c r="N11" i="1084"/>
  <c r="O11" i="1084"/>
  <c r="I12" i="1084"/>
  <c r="J12" i="1084"/>
  <c r="K12" i="1084"/>
  <c r="L12" i="1084"/>
  <c r="M12" i="1084"/>
  <c r="N12" i="1084"/>
  <c r="O12" i="1084"/>
  <c r="I13" i="1084"/>
  <c r="J13" i="1084"/>
  <c r="K13" i="1084"/>
  <c r="L13" i="1084"/>
  <c r="M13" i="1084"/>
  <c r="N13" i="1084"/>
  <c r="O13" i="1084"/>
  <c r="I14" i="1084"/>
  <c r="J14" i="1084"/>
  <c r="K14" i="1084"/>
  <c r="L14" i="1084"/>
  <c r="M14" i="1084"/>
  <c r="N14" i="1084"/>
  <c r="O14" i="1084"/>
  <c r="I15" i="1084"/>
  <c r="J15" i="1084"/>
  <c r="K15" i="1084"/>
  <c r="L15" i="1084"/>
  <c r="M15" i="1084"/>
  <c r="N15" i="1084"/>
  <c r="O15" i="1084"/>
  <c r="I16" i="1084"/>
  <c r="J16" i="1084"/>
  <c r="K16" i="1084"/>
  <c r="L16" i="1084"/>
  <c r="M16" i="1084"/>
  <c r="N16" i="1084"/>
  <c r="O16" i="1084"/>
  <c r="I17" i="1084"/>
  <c r="J17" i="1084"/>
  <c r="K17" i="1084"/>
  <c r="L17" i="1084"/>
  <c r="M17" i="1084"/>
  <c r="N17" i="1084"/>
  <c r="O17" i="1084"/>
  <c r="C10" i="1084"/>
  <c r="D10" i="1084"/>
  <c r="E10" i="1084"/>
  <c r="F10" i="1084"/>
  <c r="G10" i="1084"/>
  <c r="C11" i="1084"/>
  <c r="D11" i="1084"/>
  <c r="E11" i="1084"/>
  <c r="F11" i="1084"/>
  <c r="G11" i="1084"/>
  <c r="C12" i="1084"/>
  <c r="D12" i="1084"/>
  <c r="E12" i="1084"/>
  <c r="F12" i="1084"/>
  <c r="G12" i="1084"/>
  <c r="C13" i="1084"/>
  <c r="D13" i="1084"/>
  <c r="E13" i="1084"/>
  <c r="F13" i="1084"/>
  <c r="G13" i="1084"/>
  <c r="C14" i="1084"/>
  <c r="D14" i="1084"/>
  <c r="E14" i="1084"/>
  <c r="F14" i="1084"/>
  <c r="G14" i="1084"/>
  <c r="C15" i="1084"/>
  <c r="D15" i="1084"/>
  <c r="E15" i="1084"/>
  <c r="F15" i="1084"/>
  <c r="G15" i="1084"/>
  <c r="C16" i="1084"/>
  <c r="D16" i="1084"/>
  <c r="E16" i="1084"/>
  <c r="F16" i="1084"/>
  <c r="G16" i="1084"/>
  <c r="C17" i="1084"/>
  <c r="D17" i="1084"/>
  <c r="E17" i="1084"/>
  <c r="F17" i="1084"/>
  <c r="G17" i="1084"/>
  <c r="AX58" i="1084"/>
  <c r="AW58" i="1084"/>
  <c r="AV58" i="1084"/>
  <c r="AU58" i="1084"/>
  <c r="AT58" i="1084"/>
  <c r="AS58" i="1084"/>
  <c r="AR58" i="1084"/>
  <c r="AQ58" i="1084"/>
  <c r="AP58" i="1084"/>
  <c r="AO58" i="1084"/>
  <c r="AN58" i="1084"/>
  <c r="AM58" i="1084"/>
  <c r="AL58" i="1084"/>
  <c r="AK58" i="1084"/>
  <c r="AJ58" i="1084"/>
  <c r="AI58" i="1084"/>
  <c r="AH58" i="1084"/>
  <c r="AG58" i="1084"/>
  <c r="AF58" i="1084"/>
  <c r="AE58" i="1084"/>
  <c r="AD58" i="1084"/>
  <c r="AC58" i="1084"/>
  <c r="AB58" i="1084"/>
  <c r="AX57" i="1084"/>
  <c r="AW57" i="1084"/>
  <c r="AV57" i="1084"/>
  <c r="AU57" i="1084"/>
  <c r="AT57" i="1084"/>
  <c r="AS57" i="1084"/>
  <c r="AR57" i="1084"/>
  <c r="AQ57" i="1084"/>
  <c r="AP57" i="1084"/>
  <c r="AO57" i="1084"/>
  <c r="AN57" i="1084"/>
  <c r="AM57" i="1084"/>
  <c r="AL57" i="1084"/>
  <c r="AK57" i="1084"/>
  <c r="AJ57" i="1084"/>
  <c r="AI57" i="1084"/>
  <c r="AH57" i="1084"/>
  <c r="AG57" i="1084"/>
  <c r="AF57" i="1084"/>
  <c r="AE57" i="1084"/>
  <c r="AD57" i="1084"/>
  <c r="AC57" i="1084"/>
  <c r="AB57" i="1084"/>
  <c r="AX56" i="1084"/>
  <c r="AW56" i="1084"/>
  <c r="AV56" i="1084"/>
  <c r="AU56" i="1084"/>
  <c r="AT56" i="1084"/>
  <c r="AS56" i="1084"/>
  <c r="AR56" i="1084"/>
  <c r="AQ56" i="1084"/>
  <c r="AP56" i="1084"/>
  <c r="AO56" i="1084"/>
  <c r="AN56" i="1084"/>
  <c r="AM56" i="1084"/>
  <c r="AL56" i="1084"/>
  <c r="AK56" i="1084"/>
  <c r="AJ56" i="1084"/>
  <c r="AI56" i="1084"/>
  <c r="AH56" i="1084"/>
  <c r="AG56" i="1084"/>
  <c r="AF56" i="1084"/>
  <c r="AE56" i="1084"/>
  <c r="AD56" i="1084"/>
  <c r="AC56" i="1084"/>
  <c r="AB56" i="1084"/>
  <c r="B56" i="1084"/>
  <c r="K51" i="1084"/>
  <c r="M42" i="1084"/>
  <c r="Z38" i="1084"/>
  <c r="Y38" i="1084"/>
  <c r="X38" i="1084"/>
  <c r="W38" i="1084"/>
  <c r="V38" i="1084"/>
  <c r="U38" i="1084"/>
  <c r="T38" i="1084"/>
  <c r="S38" i="1084"/>
  <c r="R38" i="1084"/>
  <c r="Z37" i="1084"/>
  <c r="Y37" i="1084"/>
  <c r="X37" i="1084"/>
  <c r="W37" i="1084"/>
  <c r="V37" i="1084"/>
  <c r="U37" i="1084"/>
  <c r="T37" i="1084"/>
  <c r="S37" i="1084"/>
  <c r="R37" i="1084"/>
  <c r="Z36" i="1084"/>
  <c r="Y36" i="1084"/>
  <c r="X36" i="1084"/>
  <c r="W36" i="1084"/>
  <c r="V36" i="1084"/>
  <c r="U36" i="1084"/>
  <c r="T36" i="1084"/>
  <c r="S36" i="1084"/>
  <c r="R36" i="1084"/>
  <c r="Z35" i="1084"/>
  <c r="Y35" i="1084"/>
  <c r="X35" i="1084"/>
  <c r="W35" i="1084"/>
  <c r="V35" i="1084"/>
  <c r="U35" i="1084"/>
  <c r="T35" i="1084"/>
  <c r="S35" i="1084"/>
  <c r="R35" i="1084"/>
  <c r="Z34" i="1084"/>
  <c r="Y34" i="1084"/>
  <c r="X34" i="1084"/>
  <c r="W34" i="1084"/>
  <c r="V34" i="1084"/>
  <c r="U34" i="1084"/>
  <c r="T34" i="1084"/>
  <c r="S34" i="1084"/>
  <c r="R34" i="1084"/>
  <c r="Z33" i="1084"/>
  <c r="Y33" i="1084"/>
  <c r="X33" i="1084"/>
  <c r="W33" i="1084"/>
  <c r="V33" i="1084"/>
  <c r="U33" i="1084"/>
  <c r="T33" i="1084"/>
  <c r="S33" i="1084"/>
  <c r="R33" i="1084"/>
  <c r="M33" i="1084"/>
  <c r="Z32" i="1084"/>
  <c r="Y32" i="1084"/>
  <c r="X32" i="1084"/>
  <c r="W32" i="1084"/>
  <c r="V32" i="1084"/>
  <c r="U32" i="1084"/>
  <c r="T32" i="1084"/>
  <c r="S32" i="1084"/>
  <c r="R32" i="1084"/>
  <c r="M32" i="1084"/>
  <c r="Z31" i="1084"/>
  <c r="Y31" i="1084"/>
  <c r="X31" i="1084"/>
  <c r="W31" i="1084"/>
  <c r="V31" i="1084"/>
  <c r="U31" i="1084"/>
  <c r="T31" i="1084"/>
  <c r="S31" i="1084"/>
  <c r="R31" i="1084"/>
  <c r="Z30" i="1084"/>
  <c r="Y30" i="1084"/>
  <c r="X30" i="1084"/>
  <c r="W30" i="1084"/>
  <c r="V30" i="1084"/>
  <c r="U30" i="1084"/>
  <c r="T30" i="1084"/>
  <c r="S30" i="1084"/>
  <c r="R30" i="1084"/>
  <c r="M30" i="1084"/>
  <c r="Z29" i="1084"/>
  <c r="Y29" i="1084"/>
  <c r="X29" i="1084"/>
  <c r="W29" i="1084"/>
  <c r="V29" i="1084"/>
  <c r="U29" i="1084"/>
  <c r="T29" i="1084"/>
  <c r="S29" i="1084"/>
  <c r="R29" i="1084"/>
  <c r="M29" i="1084"/>
  <c r="Z28" i="1084"/>
  <c r="Y28" i="1084"/>
  <c r="X28" i="1084"/>
  <c r="W28" i="1084"/>
  <c r="V28" i="1084"/>
  <c r="U28" i="1084"/>
  <c r="T28" i="1084"/>
  <c r="S28" i="1084"/>
  <c r="R28" i="1084"/>
  <c r="M28" i="1084"/>
  <c r="L28" i="1084"/>
  <c r="K28" i="1084"/>
  <c r="Z27" i="1084"/>
  <c r="Y27" i="1084"/>
  <c r="X27" i="1084"/>
  <c r="W27" i="1084"/>
  <c r="V27" i="1084"/>
  <c r="U27" i="1084"/>
  <c r="T27" i="1084"/>
  <c r="S27" i="1084"/>
  <c r="R27" i="1084"/>
  <c r="Z26" i="1084"/>
  <c r="Y26" i="1084"/>
  <c r="X26" i="1084"/>
  <c r="W26" i="1084"/>
  <c r="V26" i="1084"/>
  <c r="U26" i="1084"/>
  <c r="T26" i="1084"/>
  <c r="S26" i="1084"/>
  <c r="R26" i="1084"/>
  <c r="Z25" i="1084"/>
  <c r="Y25" i="1084"/>
  <c r="X25" i="1084"/>
  <c r="W25" i="1084"/>
  <c r="V25" i="1084"/>
  <c r="U25" i="1084"/>
  <c r="T25" i="1084"/>
  <c r="S25" i="1084"/>
  <c r="R25" i="1084"/>
  <c r="Z24" i="1084"/>
  <c r="Y24" i="1084"/>
  <c r="X24" i="1084"/>
  <c r="W24" i="1084"/>
  <c r="V24" i="1084"/>
  <c r="U24" i="1084"/>
  <c r="T24" i="1084"/>
  <c r="S24" i="1084"/>
  <c r="R24" i="1084"/>
  <c r="Z23" i="1084"/>
  <c r="Y23" i="1084"/>
  <c r="X23" i="1084"/>
  <c r="W23" i="1084"/>
  <c r="V23" i="1084"/>
  <c r="U23" i="1084"/>
  <c r="T23" i="1084"/>
  <c r="S23" i="1084"/>
  <c r="R23" i="1084"/>
  <c r="Z22" i="1084"/>
  <c r="Y22" i="1084"/>
  <c r="X22" i="1084"/>
  <c r="W22" i="1084"/>
  <c r="V22" i="1084"/>
  <c r="U22" i="1084"/>
  <c r="T22" i="1084"/>
  <c r="S22" i="1084"/>
  <c r="R22" i="1084"/>
  <c r="Z21" i="1084"/>
  <c r="Y21" i="1084"/>
  <c r="X21" i="1084"/>
  <c r="W21" i="1084"/>
  <c r="V21" i="1084"/>
  <c r="U21" i="1084"/>
  <c r="T21" i="1084"/>
  <c r="S21" i="1084"/>
  <c r="R21" i="1084"/>
  <c r="Z20" i="1084"/>
  <c r="Y20" i="1084"/>
  <c r="X20" i="1084"/>
  <c r="W20" i="1084"/>
  <c r="V20" i="1084"/>
  <c r="U20" i="1084"/>
  <c r="T20" i="1084"/>
  <c r="S20" i="1084"/>
  <c r="R20" i="1084"/>
  <c r="G49" i="1083"/>
  <c r="B49" i="1083"/>
  <c r="L35" i="1083"/>
  <c r="M20" i="1083"/>
  <c r="L20" i="1083"/>
  <c r="K20" i="1083"/>
  <c r="C12" i="1083"/>
  <c r="D12" i="1083"/>
  <c r="E12" i="1083"/>
  <c r="F12" i="1083"/>
  <c r="G12" i="1083"/>
  <c r="I10" i="1083"/>
  <c r="J10" i="1083"/>
  <c r="K10" i="1083"/>
  <c r="L10" i="1083"/>
  <c r="M10" i="1083"/>
  <c r="N10" i="1083"/>
  <c r="O10" i="1083"/>
  <c r="I11" i="1083"/>
  <c r="J11" i="1083"/>
  <c r="K11" i="1083"/>
  <c r="L11" i="1083"/>
  <c r="M11" i="1083"/>
  <c r="N11" i="1083"/>
  <c r="O11" i="1083"/>
  <c r="I12" i="1083"/>
  <c r="J12" i="1083"/>
  <c r="K12" i="1083"/>
  <c r="L12" i="1083"/>
  <c r="M12" i="1083"/>
  <c r="N12" i="1083"/>
  <c r="O12" i="1083"/>
  <c r="C10" i="1083"/>
  <c r="D10" i="1083"/>
  <c r="E10" i="1083"/>
  <c r="F10" i="1083"/>
  <c r="G10" i="1083"/>
  <c r="C11" i="1083"/>
  <c r="D11" i="1083"/>
  <c r="E11" i="1083"/>
  <c r="F11" i="1083"/>
  <c r="G11" i="1083"/>
  <c r="AX51" i="1083"/>
  <c r="AW51" i="1083"/>
  <c r="AV51" i="1083"/>
  <c r="AU51" i="1083"/>
  <c r="AT51" i="1083"/>
  <c r="AS51" i="1083"/>
  <c r="AR51" i="1083"/>
  <c r="AQ51" i="1083"/>
  <c r="AP51" i="1083"/>
  <c r="AO51" i="1083"/>
  <c r="AN51" i="1083"/>
  <c r="AM51" i="1083"/>
  <c r="AL51" i="1083"/>
  <c r="AK51" i="1083"/>
  <c r="AJ51" i="1083"/>
  <c r="AI51" i="1083"/>
  <c r="AH51" i="1083"/>
  <c r="AG51" i="1083"/>
  <c r="AF51" i="1083"/>
  <c r="AE51" i="1083"/>
  <c r="AD51" i="1083"/>
  <c r="AC51" i="1083"/>
  <c r="AB51" i="1083"/>
  <c r="G51" i="1083"/>
  <c r="D51" i="1083"/>
  <c r="B51" i="1083"/>
  <c r="AX50" i="1083"/>
  <c r="AW50" i="1083"/>
  <c r="AV50" i="1083"/>
  <c r="AU50" i="1083"/>
  <c r="AT50" i="1083"/>
  <c r="AS50" i="1083"/>
  <c r="AR50" i="1083"/>
  <c r="AQ50" i="1083"/>
  <c r="AP50" i="1083"/>
  <c r="AO50" i="1083"/>
  <c r="AN50" i="1083"/>
  <c r="AM50" i="1083"/>
  <c r="AL50" i="1083"/>
  <c r="AK50" i="1083"/>
  <c r="AJ50" i="1083"/>
  <c r="AI50" i="1083"/>
  <c r="AH50" i="1083"/>
  <c r="AG50" i="1083"/>
  <c r="AF50" i="1083"/>
  <c r="AE50" i="1083"/>
  <c r="AD50" i="1083"/>
  <c r="AC50" i="1083"/>
  <c r="AB50" i="1083"/>
  <c r="AX49" i="1083"/>
  <c r="AW49" i="1083"/>
  <c r="AV49" i="1083"/>
  <c r="AU49" i="1083"/>
  <c r="AT49" i="1083"/>
  <c r="AS49" i="1083"/>
  <c r="AR49" i="1083"/>
  <c r="AQ49" i="1083"/>
  <c r="AP49" i="1083"/>
  <c r="AO49" i="1083"/>
  <c r="AN49" i="1083"/>
  <c r="AM49" i="1083"/>
  <c r="AL49" i="1083"/>
  <c r="AK49" i="1083"/>
  <c r="AJ49" i="1083"/>
  <c r="AI49" i="1083"/>
  <c r="AH49" i="1083"/>
  <c r="AG49" i="1083"/>
  <c r="AF49" i="1083"/>
  <c r="AE49" i="1083"/>
  <c r="AD49" i="1083"/>
  <c r="AC49" i="1083"/>
  <c r="AB49" i="1083"/>
  <c r="K44" i="1083"/>
  <c r="M35" i="1083" s="1"/>
  <c r="Z31" i="1083"/>
  <c r="Y31" i="1083"/>
  <c r="X31" i="1083"/>
  <c r="W31" i="1083"/>
  <c r="V31" i="1083"/>
  <c r="U31" i="1083"/>
  <c r="T31" i="1083"/>
  <c r="S31" i="1083"/>
  <c r="R31" i="1083"/>
  <c r="Z30" i="1083"/>
  <c r="Y30" i="1083"/>
  <c r="X30" i="1083"/>
  <c r="W30" i="1083"/>
  <c r="V30" i="1083"/>
  <c r="U30" i="1083"/>
  <c r="T30" i="1083"/>
  <c r="S30" i="1083"/>
  <c r="R30" i="1083"/>
  <c r="Z29" i="1083"/>
  <c r="Y29" i="1083"/>
  <c r="X29" i="1083"/>
  <c r="W29" i="1083"/>
  <c r="V29" i="1083"/>
  <c r="U29" i="1083"/>
  <c r="T29" i="1083"/>
  <c r="S29" i="1083"/>
  <c r="R29" i="1083"/>
  <c r="Z28" i="1083"/>
  <c r="Y28" i="1083"/>
  <c r="X28" i="1083"/>
  <c r="W28" i="1083"/>
  <c r="V28" i="1083"/>
  <c r="U28" i="1083"/>
  <c r="T28" i="1083"/>
  <c r="S28" i="1083"/>
  <c r="R28" i="1083"/>
  <c r="Z27" i="1083"/>
  <c r="Y27" i="1083"/>
  <c r="X27" i="1083"/>
  <c r="W27" i="1083"/>
  <c r="V27" i="1083"/>
  <c r="U27" i="1083"/>
  <c r="T27" i="1083"/>
  <c r="S27" i="1083"/>
  <c r="R27" i="1083"/>
  <c r="Z26" i="1083"/>
  <c r="Y26" i="1083"/>
  <c r="X26" i="1083"/>
  <c r="W26" i="1083"/>
  <c r="V26" i="1083"/>
  <c r="U26" i="1083"/>
  <c r="T26" i="1083"/>
  <c r="S26" i="1083"/>
  <c r="R26" i="1083"/>
  <c r="M26" i="1083"/>
  <c r="Z25" i="1083"/>
  <c r="Y25" i="1083"/>
  <c r="X25" i="1083"/>
  <c r="W25" i="1083"/>
  <c r="V25" i="1083"/>
  <c r="U25" i="1083"/>
  <c r="T25" i="1083"/>
  <c r="S25" i="1083"/>
  <c r="R25" i="1083"/>
  <c r="M25" i="1083"/>
  <c r="Z24" i="1083"/>
  <c r="Y24" i="1083"/>
  <c r="X24" i="1083"/>
  <c r="W24" i="1083"/>
  <c r="V24" i="1083"/>
  <c r="U24" i="1083"/>
  <c r="T24" i="1083"/>
  <c r="S24" i="1083"/>
  <c r="R24" i="1083"/>
  <c r="Z23" i="1083"/>
  <c r="Y23" i="1083"/>
  <c r="X23" i="1083"/>
  <c r="W23" i="1083"/>
  <c r="V23" i="1083"/>
  <c r="U23" i="1083"/>
  <c r="T23" i="1083"/>
  <c r="S23" i="1083"/>
  <c r="R23" i="1083"/>
  <c r="M23" i="1083"/>
  <c r="Z22" i="1083"/>
  <c r="Y22" i="1083"/>
  <c r="X22" i="1083"/>
  <c r="W22" i="1083"/>
  <c r="V22" i="1083"/>
  <c r="U22" i="1083"/>
  <c r="T22" i="1083"/>
  <c r="S22" i="1083"/>
  <c r="R22" i="1083"/>
  <c r="M22" i="1083"/>
  <c r="Z21" i="1083"/>
  <c r="Y21" i="1083"/>
  <c r="X21" i="1083"/>
  <c r="W21" i="1083"/>
  <c r="V21" i="1083"/>
  <c r="U21" i="1083"/>
  <c r="T21" i="1083"/>
  <c r="S21" i="1083"/>
  <c r="R21" i="1083"/>
  <c r="M21" i="1083"/>
  <c r="L21" i="1083"/>
  <c r="K21" i="1083"/>
  <c r="Z20" i="1083"/>
  <c r="Y20" i="1083"/>
  <c r="X20" i="1083"/>
  <c r="W20" i="1083"/>
  <c r="V20" i="1083"/>
  <c r="U20" i="1083"/>
  <c r="T20" i="1083"/>
  <c r="S20" i="1083"/>
  <c r="R20" i="1083"/>
  <c r="Z19" i="1083"/>
  <c r="Y19" i="1083"/>
  <c r="X19" i="1083"/>
  <c r="W19" i="1083"/>
  <c r="V19" i="1083"/>
  <c r="U19" i="1083"/>
  <c r="T19" i="1083"/>
  <c r="S19" i="1083"/>
  <c r="R19" i="1083"/>
  <c r="Z18" i="1083"/>
  <c r="Y18" i="1083"/>
  <c r="X18" i="1083"/>
  <c r="W18" i="1083"/>
  <c r="V18" i="1083"/>
  <c r="U18" i="1083"/>
  <c r="T18" i="1083"/>
  <c r="S18" i="1083"/>
  <c r="R18" i="1083"/>
  <c r="Z17" i="1083"/>
  <c r="Y17" i="1083"/>
  <c r="X17" i="1083"/>
  <c r="W17" i="1083"/>
  <c r="V17" i="1083"/>
  <c r="U17" i="1083"/>
  <c r="T17" i="1083"/>
  <c r="S17" i="1083"/>
  <c r="R17" i="1083"/>
  <c r="Z16" i="1083"/>
  <c r="Y16" i="1083"/>
  <c r="X16" i="1083"/>
  <c r="W16" i="1083"/>
  <c r="V16" i="1083"/>
  <c r="U16" i="1083"/>
  <c r="T16" i="1083"/>
  <c r="S16" i="1083"/>
  <c r="R16" i="1083"/>
  <c r="Z15" i="1083"/>
  <c r="Y15" i="1083"/>
  <c r="X15" i="1083"/>
  <c r="W15" i="1083"/>
  <c r="V15" i="1083"/>
  <c r="U15" i="1083"/>
  <c r="T15" i="1083"/>
  <c r="S15" i="1083"/>
  <c r="R15" i="1083"/>
  <c r="Z14" i="1083"/>
  <c r="Y14" i="1083"/>
  <c r="X14" i="1083"/>
  <c r="W14" i="1083"/>
  <c r="V14" i="1083"/>
  <c r="U14" i="1083"/>
  <c r="T14" i="1083"/>
  <c r="S14" i="1083"/>
  <c r="R14" i="1083"/>
  <c r="Z13" i="1083"/>
  <c r="Y13" i="1083"/>
  <c r="X13" i="1083"/>
  <c r="W13" i="1083"/>
  <c r="V13" i="1083"/>
  <c r="U13" i="1083"/>
  <c r="T13" i="1083"/>
  <c r="S13" i="1083"/>
  <c r="R13" i="1083"/>
  <c r="Z12" i="1083"/>
  <c r="Y12" i="1083"/>
  <c r="X12" i="1083"/>
  <c r="W12" i="1083"/>
  <c r="V12" i="1083"/>
  <c r="U12" i="1083"/>
  <c r="T12" i="1083"/>
  <c r="S12" i="1083"/>
  <c r="R12" i="1083"/>
  <c r="Z11" i="1083"/>
  <c r="Y11" i="1083"/>
  <c r="X11" i="1083"/>
  <c r="W11" i="1083"/>
  <c r="V11" i="1083"/>
  <c r="U11" i="1083"/>
  <c r="T11" i="1083"/>
  <c r="S11" i="1083"/>
  <c r="R11" i="1083"/>
  <c r="Z10" i="1083"/>
  <c r="Y10" i="1083"/>
  <c r="X10" i="1083"/>
  <c r="W10" i="1083"/>
  <c r="V10" i="1083"/>
  <c r="U10" i="1083"/>
  <c r="T10" i="1083"/>
  <c r="S10" i="1083"/>
  <c r="R10" i="1083"/>
  <c r="E57" i="1082"/>
  <c r="K57" i="1082"/>
  <c r="K73" i="1082" s="1"/>
  <c r="L51" i="1083" l="1"/>
  <c r="G69" i="1084"/>
  <c r="D58" i="1084"/>
  <c r="J27" i="1084"/>
  <c r="J20" i="1083"/>
  <c r="D49" i="1083"/>
  <c r="L49" i="1083" s="1"/>
  <c r="C62" i="1083" s="1"/>
  <c r="L58" i="1084"/>
  <c r="L56" i="1084"/>
  <c r="C69" i="1084" s="1"/>
  <c r="L37" i="1084"/>
  <c r="M37" i="1084" s="1"/>
  <c r="K30" i="1083"/>
  <c r="L30" i="1083"/>
  <c r="M30" i="1083" s="1"/>
  <c r="B57" i="1082"/>
  <c r="M29" i="1082"/>
  <c r="M28" i="1082"/>
  <c r="L29" i="1082"/>
  <c r="L28" i="1082"/>
  <c r="K29" i="1082"/>
  <c r="K28" i="1082"/>
  <c r="K51" i="1083" l="1"/>
  <c r="G62" i="1083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K10" i="1082"/>
  <c r="L10" i="1082"/>
  <c r="M10" i="1082"/>
  <c r="N10" i="1082"/>
  <c r="O10" i="1082"/>
  <c r="I11" i="1082"/>
  <c r="J29" i="1082" s="1"/>
  <c r="J11" i="1082"/>
  <c r="K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57" i="18"/>
  <c r="J58" i="18"/>
  <c r="J59" i="18"/>
  <c r="J60" i="18"/>
  <c r="J61" i="18"/>
  <c r="J62" i="18"/>
  <c r="J63" i="18"/>
  <c r="J64" i="18"/>
  <c r="G57" i="18"/>
  <c r="G58" i="18"/>
  <c r="G60" i="18"/>
  <c r="G61" i="18"/>
  <c r="G62" i="18"/>
  <c r="G63" i="18"/>
  <c r="G64" i="18"/>
  <c r="G60" i="19"/>
  <c r="G63" i="19"/>
  <c r="G64" i="19"/>
  <c r="G56" i="18" l="1"/>
  <c r="J28" i="1082"/>
  <c r="D57" i="18"/>
  <c r="D58" i="18"/>
  <c r="D60" i="18"/>
  <c r="D61" i="18"/>
  <c r="D62" i="18"/>
  <c r="D63" i="18"/>
  <c r="D64" i="18"/>
  <c r="D56" i="18"/>
  <c r="AX59" i="1082" l="1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K38" i="1082" l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L38" i="1082" l="1"/>
  <c r="M38" i="1082" s="1"/>
  <c r="K49" i="1083" l="1"/>
  <c r="K62" i="1083" s="1"/>
  <c r="J56" i="18" l="1"/>
  <c r="J65" i="18" l="1"/>
  <c r="D59" i="1082" l="1"/>
  <c r="G59" i="1082" l="1"/>
  <c r="L59" i="1082" s="1"/>
  <c r="D57" i="1082" l="1"/>
  <c r="L57" i="1082" s="1"/>
  <c r="C73" i="1082" s="1"/>
  <c r="D59" i="18"/>
  <c r="K59" i="1082" l="1"/>
  <c r="G73" i="1082" l="1"/>
  <c r="D56" i="19" l="1"/>
  <c r="G62" i="19"/>
  <c r="G58" i="19"/>
  <c r="G59" i="18"/>
  <c r="G61" i="19" l="1"/>
  <c r="G57" i="19"/>
  <c r="D65" i="18"/>
  <c r="G65" i="18"/>
  <c r="G56" i="19" l="1"/>
  <c r="G59" i="19"/>
  <c r="G6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E5C4F00-6BBB-4927-83F9-9F87A32E91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D47CB0-482C-4F49-B731-EBEA93F31E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EFF0785-679A-4D0A-AAF8-638FA42352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8DEAECA-207F-42C4-86A9-3497222E4F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6563488-F615-40AD-AF92-F8B9A5FEC1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CF469BE-3572-4478-9087-C40CD9A51E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2861EA0-A086-4F78-A891-861515C0E1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D17A2181-D3A4-4DE3-8CF9-EFBE017CC6B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EF675BE-507B-4E6C-BED8-242C80853B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2FD9F78-E43D-4C71-B098-1861F8C093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619EF59-753F-4912-88F2-57069BB2D8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7AE382A-9777-43CC-B2E5-D852058BB7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C3F2C6C-235A-431E-A2F9-BCCAAD31506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8F0279D-CEB1-4DA1-950F-461F7468EA2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2C7B1AA-4BE0-4E23-B126-0A2ABD13F3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C7B0E94-8DCA-4A47-A65A-916D21767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ECD4FC-FF2F-451F-AE16-8DB976876E9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BE71496-EE66-414B-BB81-55A65C7FDC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9C3CA91-62A6-425B-A15A-F2AD71F2C7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F192936-3864-4A25-A565-E8A68A977D0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314E519-C443-424A-B453-D022B553F2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8B5982B-0856-4231-9993-2644DFA3D5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7DE6D3C-90E4-465D-B822-32BF0F3546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602154AE-21C5-4058-806A-5B98A36461F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716B9F5-2AEC-45B4-9740-AD834AA87C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6D3F975-84CB-48C9-BCCA-30AB44830DA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8C0BE51-577E-4BCC-9ACF-66BDFC23961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1E4621ED-2D0B-4AA9-929E-3244D9205B3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6AEA2F4-5023-498F-B8A8-E302F1FAFC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ADCF573-2617-407F-8F04-E3A90ECD8A0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47E4957D-BF64-4E63-89FA-A595077EE70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BF6A40D-4DA8-4ECF-AC12-6999E2011D0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8E1F1B0-4120-46EF-A66C-2DF76D43CF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<sst xmlns="http://schemas.openxmlformats.org/spreadsheetml/2006/main" count="915" uniqueCount="176">
  <si>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</si>
  <si>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</si>
  <si>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</si>
  <si>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</si>
  <si>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</si>
  <si>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</si>
  <si>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</si>
  <si>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</si>
  <si>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</si>
  <si>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</si>
  <si>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</si>
  <si>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</si>
  <si>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</si>
  <si>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</si>
  <si>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</si>
  <si>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</si>
  <si>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</si>
  <si>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</si>
  <si>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</si>
  <si>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</si>
  <si>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</si>
  <si>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</si>
  <si>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</si>
  <si>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</si>
  <si>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</si>
  <si>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</si>
  <si>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</si>
  <si>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</si>
  <si>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</si>
  <si>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</si>
  <si>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</si>
  <si>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</si>
  <si>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</si>
  <si>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</si>
  <si>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</si>
  <si>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</si>
  <si>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</si>
  <si>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</si>
  <si>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</si>
  <si>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</si>
  <si>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</si>
  <si>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</si>
  <si>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</si>
  <si>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</si>
  <si>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</si>
  <si>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</si>
  <si>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</si>
  <si>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</si>
  <si>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</si>
  <si>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</si>
  <si>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</si>
  <si>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</si>
  <si>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</si>
  <si>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</si>
  <si>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</si>
  <si>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</si>
  <si>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</si>
  <si>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</si>
  <si>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</si>
  <si>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</si>
  <si>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</si>
  <si>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</si>
  <si>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</si>
  <si>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</si>
  <si>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</si>
  <si>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</si>
  <si>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</si>
  <si>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</si>
  <si>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</si>
  <si>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</si>
  <si>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</si>
  <si>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</si>
  <si>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</si>
  <si>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</si>
  <si>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</si>
  <si>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</si>
  <si>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</si>
  <si>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</si>
  <si>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</si>
  <si>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</si>
  <si>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</si>
  <si>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</si>
  <si>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</si>
  <si>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</si>
  <si>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</si>
  <si>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</si>
  <si>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</si>
  <si>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</si>
  <si>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</si>
  <si>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</si>
  <si>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</si>
  <si>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</si>
  <si>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</si>
  <si>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</si>
  <si>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</si>
  <si>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</si>
  <si>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</si>
  <si>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</si>
  <si>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</si>
  <si>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</si>
  <si>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</si>
  <si>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</si>
  <si>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</si>
  <si>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</si>
  <si>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</si>
  <si>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</si>
  <si>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</si>
  <si>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</si>
  <si>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</si>
  <si>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</si>
  <si>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</si>
  <si>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</si>
  <si>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</si>
  <si>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</si>
  <si>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</si>
  <si>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</si>
  <si>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</si>
  <si>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</si>
  <si>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</si>
  <si>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</si>
  <si>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</si>
  <si>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</si>
  <si>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</si>
  <si>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</si>
  <si>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</si>
  <si>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</si>
  <si>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</si>
  <si>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</si>
  <si>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</si>
  <si>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</si>
  <si>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</si>
  <si>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</si>
  <si>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</si>
  <si>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</si>
  <si>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</si>
  <si>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</si>
  <si>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</si>
  <si>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</si>
  <si>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</si>
  <si>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</si>
  <si>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</si>
  <si>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</si>
  <si>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</si>
  <si>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</si>
  <si>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</si>
  <si>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</si>
  <si>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</si>
  <si>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</si>
  <si>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</si>
  <si>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</si>
  <si>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</si>
  <si>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</si>
  <si>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</si>
  <si>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</si>
  <si>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</si>
  <si>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</si>
  <si>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</si>
  <si>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</si>
  <si>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</si>
  <si>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</si>
  <si>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</si>
  <si>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</si>
  <si>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</si>
  <si>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</si>
  <si>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</si>
  <si>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</si>
  <si>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</si>
  <si>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</si>
  <si>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</si>
  <si>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</si>
  <si>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</si>
  <si>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</si>
  <si>
    <t>J. Nelson</t>
  </si>
  <si>
    <t>1 BREAK</t>
  </si>
  <si>
    <t>T. Chalres</t>
  </si>
  <si>
    <t xml:space="preserve">D. Emery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</si>
</sst>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30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10" fillId="0" borderId="10" xfId="3" applyFont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0" fillId="0" borderId="14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  <xf numFmtId="166" fontId="80" fillId="4" borderId="1" xfId="3" applyNumberFormat="1" applyFont="1" applyFill="1" applyBorder="1" applyAlignment="1">
      <alignment horizontal="center" vertical="center"/>
    </xf>
    <xf numFmtId="165" fontId="10" fillId="4" borderId="18" xfId="3" applyFont="1" applyFill="1" applyBorder="1" applyAlignment="1">
      <alignment horizontal="center" vertical="center" wrapText="1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966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53" Type="http://schemas.openxmlformats.org/officeDocument/2006/relationships/externalLink" Target="externalLinks/externalLink44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externalLink" Target="externalLinks/externalLink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94.056577044182816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99.034024996783444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96.894771830654662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99.461062893244474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V793">
            <v>59</v>
          </cell>
          <cell r="AF793">
            <v>50.4</v>
          </cell>
          <cell r="AG793">
            <v>11.7</v>
          </cell>
          <cell r="AI793">
            <v>50.3</v>
          </cell>
          <cell r="AU793">
            <v>98.010640304902878</v>
          </cell>
          <cell r="AV793">
            <v>98.770193886926663</v>
          </cell>
          <cell r="AX793" t="str">
            <v>K. Benjamin</v>
          </cell>
        </row>
        <row r="794">
          <cell r="A794" t="str">
            <v>CA744</v>
          </cell>
          <cell r="P794">
            <v>59</v>
          </cell>
          <cell r="Q794">
            <v>10.203327171903888</v>
          </cell>
          <cell r="T794">
            <v>1.1513888888888888</v>
          </cell>
          <cell r="U794">
            <v>1.2680555555555555</v>
          </cell>
          <cell r="V794">
            <v>64</v>
          </cell>
          <cell r="Z794">
            <v>0.24722222222222223</v>
          </cell>
          <cell r="AF794">
            <v>50.5</v>
          </cell>
          <cell r="AG794">
            <v>11.7</v>
          </cell>
          <cell r="AI794">
            <v>51.1</v>
          </cell>
          <cell r="AU794">
            <v>99.322178612780704</v>
          </cell>
          <cell r="AV794">
            <v>100.09199803047697</v>
          </cell>
          <cell r="AX794" t="str">
            <v>R. Sookram</v>
          </cell>
        </row>
        <row r="795">
          <cell r="A795" t="str">
            <v>CA745</v>
          </cell>
          <cell r="P795">
            <v>59</v>
          </cell>
          <cell r="Q795">
            <v>10.203327171903888</v>
          </cell>
          <cell r="T795">
            <v>0.24861111111111112</v>
          </cell>
          <cell r="U795">
            <v>0.36319444444444443</v>
          </cell>
          <cell r="V795">
            <v>59</v>
          </cell>
          <cell r="Z795">
            <v>0.25208333333333333</v>
          </cell>
          <cell r="AF795">
            <v>49.7</v>
          </cell>
          <cell r="AG795">
            <v>11.6</v>
          </cell>
          <cell r="AI795">
            <v>50.3</v>
          </cell>
          <cell r="AU795">
            <v>96.647863753507224</v>
          </cell>
          <cell r="AV795">
            <v>97.39705384664137</v>
          </cell>
          <cell r="AX795" t="str">
            <v>D. Gomaz</v>
          </cell>
        </row>
        <row r="796">
          <cell r="A796" t="str">
            <v>CA746</v>
          </cell>
          <cell r="P796">
            <v>58</v>
          </cell>
          <cell r="Q796">
            <v>10.018484288354902</v>
          </cell>
          <cell r="T796">
            <v>0.35555555555555557</v>
          </cell>
          <cell r="U796">
            <v>0.46527777777777779</v>
          </cell>
          <cell r="V796">
            <v>60</v>
          </cell>
          <cell r="Z796">
            <v>0.25694444444444442</v>
          </cell>
          <cell r="AF796">
            <v>49.4</v>
          </cell>
          <cell r="AG796">
            <v>11.8</v>
          </cell>
          <cell r="AI796">
            <v>49.8</v>
          </cell>
          <cell r="AU796">
            <v>99.393897008473871</v>
          </cell>
          <cell r="AV796">
            <v>100.16354837022554</v>
          </cell>
          <cell r="AX796" t="str">
            <v>D. Gomaz</v>
          </cell>
        </row>
        <row r="797">
          <cell r="A797" t="str">
            <v>CA747</v>
          </cell>
          <cell r="P797">
            <v>88</v>
          </cell>
          <cell r="Q797">
            <v>12.421441774491679</v>
          </cell>
          <cell r="T797">
            <v>0.27361111111111114</v>
          </cell>
          <cell r="U797">
            <v>0.42638888888888887</v>
          </cell>
          <cell r="V797">
            <v>61</v>
          </cell>
          <cell r="Z797">
            <v>0.32777777777777778</v>
          </cell>
          <cell r="AF797">
            <v>48.9</v>
          </cell>
          <cell r="AG797">
            <v>11.6</v>
          </cell>
          <cell r="AI797">
            <v>49.1</v>
          </cell>
          <cell r="AU797">
            <v>94.225435543653518</v>
          </cell>
          <cell r="AV797">
            <v>94.955895449291049</v>
          </cell>
          <cell r="AX797" t="str">
            <v>D. Gomaz</v>
          </cell>
        </row>
        <row r="798">
          <cell r="A798" t="str">
            <v>CA748</v>
          </cell>
          <cell r="P798">
            <v>60</v>
          </cell>
          <cell r="Q798">
            <v>10.388170055452859</v>
          </cell>
          <cell r="T798">
            <v>0.40416666666666667</v>
          </cell>
          <cell r="U798">
            <v>0.51597222222222228</v>
          </cell>
          <cell r="V798">
            <v>62</v>
          </cell>
          <cell r="Z798">
            <v>0.29236111111111118</v>
          </cell>
          <cell r="AF798">
            <v>49.2</v>
          </cell>
          <cell r="AG798">
            <v>11.6</v>
          </cell>
          <cell r="AI798">
            <v>49.6</v>
          </cell>
          <cell r="AU798">
            <v>96.984705758803429</v>
          </cell>
          <cell r="AV798">
            <v>97.735804113121233</v>
          </cell>
          <cell r="AX798" t="str">
            <v>D. Gomaz</v>
          </cell>
        </row>
        <row r="799">
          <cell r="A799" t="str">
            <v>CA749</v>
          </cell>
          <cell r="P799">
            <v>60</v>
          </cell>
          <cell r="Q799">
            <v>10.018484288354902</v>
          </cell>
          <cell r="T799">
            <v>0.49375000000000002</v>
          </cell>
          <cell r="U799">
            <v>0.60624999999999996</v>
          </cell>
          <cell r="V799">
            <v>58</v>
          </cell>
          <cell r="Z799">
            <v>0.28680555555555554</v>
          </cell>
          <cell r="AF799">
            <v>50.8</v>
          </cell>
          <cell r="AG799">
            <v>11.7</v>
          </cell>
          <cell r="AI799">
            <v>51.8</v>
          </cell>
          <cell r="AU799">
            <v>100.30908258387295</v>
          </cell>
          <cell r="AV799">
            <v>101.086704492183</v>
          </cell>
          <cell r="AX799" t="str">
            <v>D. Gomaz</v>
          </cell>
        </row>
        <row r="800">
          <cell r="A800" t="str">
            <v>CA750</v>
          </cell>
          <cell r="P800">
            <v>60</v>
          </cell>
          <cell r="Q800">
            <v>9.8336414048059151</v>
          </cell>
          <cell r="T800">
            <v>0.58888888888888891</v>
          </cell>
          <cell r="U800">
            <v>0.69861111111111107</v>
          </cell>
          <cell r="V800">
            <v>62</v>
          </cell>
          <cell r="Z800">
            <v>0.26111111111111107</v>
          </cell>
          <cell r="AF800">
            <v>49.5</v>
          </cell>
          <cell r="AG800">
            <v>11.9</v>
          </cell>
          <cell r="AI800">
            <v>49.8</v>
          </cell>
          <cell r="AU800">
            <v>98.292492578870025</v>
          </cell>
          <cell r="AV800">
            <v>99.05443142376123</v>
          </cell>
          <cell r="AX800" t="str">
            <v>D. Gomaz</v>
          </cell>
        </row>
        <row r="801">
          <cell r="A801" t="str">
            <v>CA751</v>
          </cell>
          <cell r="P801">
            <v>58</v>
          </cell>
          <cell r="Q801">
            <v>10.222222222222214</v>
          </cell>
          <cell r="T801">
            <v>0.71666666666666667</v>
          </cell>
          <cell r="U801">
            <v>0.82777777777777772</v>
          </cell>
          <cell r="V801">
            <v>61</v>
          </cell>
          <cell r="Z801">
            <v>0.29999999999999993</v>
          </cell>
          <cell r="AF801">
            <v>49.2</v>
          </cell>
          <cell r="AG801">
            <v>12</v>
          </cell>
          <cell r="AI801">
            <v>49.6</v>
          </cell>
          <cell r="AU801">
            <v>98.762703596416429</v>
          </cell>
          <cell r="AV801">
            <v>99.52828739963725</v>
          </cell>
          <cell r="AX801" t="str">
            <v>D. Gomaz</v>
          </cell>
        </row>
        <row r="802">
          <cell r="A802" t="str">
            <v>CA752</v>
          </cell>
          <cell r="P802">
            <v>58</v>
          </cell>
          <cell r="Q802">
            <v>11.127541589648803</v>
          </cell>
          <cell r="T802">
            <v>0.86805555555555558</v>
          </cell>
          <cell r="U802">
            <v>0.97291666666666665</v>
          </cell>
          <cell r="V802">
            <v>58</v>
          </cell>
          <cell r="Z802">
            <v>0.24375000000000002</v>
          </cell>
          <cell r="AF802">
            <v>48.8</v>
          </cell>
          <cell r="AG802">
            <v>12</v>
          </cell>
          <cell r="AI802">
            <v>49.3</v>
          </cell>
          <cell r="AU802">
            <v>98.40914048650491</v>
          </cell>
          <cell r="AV802">
            <v>99.171883191944957</v>
          </cell>
          <cell r="AX802" t="str">
            <v>R. Sookram</v>
          </cell>
        </row>
        <row r="803">
          <cell r="A803" t="str">
            <v>CA753</v>
          </cell>
          <cell r="P803">
            <v>60</v>
          </cell>
          <cell r="Q803">
            <v>11.682070240295749</v>
          </cell>
          <cell r="T803">
            <v>0.9770833333333333</v>
          </cell>
          <cell r="U803">
            <v>1.0909722222222222</v>
          </cell>
          <cell r="V803">
            <v>62</v>
          </cell>
          <cell r="Z803">
            <v>0.27152777777777781</v>
          </cell>
          <cell r="AF803">
            <v>48.5</v>
          </cell>
          <cell r="AG803">
            <v>11.8</v>
          </cell>
          <cell r="AI803">
            <v>49</v>
          </cell>
          <cell r="AU803">
            <v>95.977884419871557</v>
          </cell>
          <cell r="AV803">
            <v>96.721832118617428</v>
          </cell>
          <cell r="AX803" t="str">
            <v>R. Sookram</v>
          </cell>
        </row>
        <row r="804">
          <cell r="A804" t="str">
            <v>CA754</v>
          </cell>
          <cell r="P804">
            <v>61</v>
          </cell>
          <cell r="Q804">
            <v>10.407407407407403</v>
          </cell>
          <cell r="T804">
            <v>1.0784722222222223</v>
          </cell>
          <cell r="U804">
            <v>1.1958333333333333</v>
          </cell>
          <cell r="V804">
            <v>58</v>
          </cell>
          <cell r="Z804">
            <v>0.28611111111111109</v>
          </cell>
          <cell r="AF804">
            <v>49.1</v>
          </cell>
          <cell r="AG804">
            <v>12</v>
          </cell>
          <cell r="AI804">
            <v>49.6</v>
          </cell>
          <cell r="AU804">
            <v>98.275780445846266</v>
          </cell>
          <cell r="AV804">
            <v>99.037788718358144</v>
          </cell>
          <cell r="AX804" t="str">
            <v>R. Sookram</v>
          </cell>
        </row>
        <row r="805">
          <cell r="A805" t="str">
            <v>CA755</v>
          </cell>
          <cell r="P805">
            <v>60</v>
          </cell>
          <cell r="T805">
            <v>0.21041666666666667</v>
          </cell>
          <cell r="U805">
            <v>0.32916666666666666</v>
          </cell>
          <cell r="V805">
            <v>60</v>
          </cell>
          <cell r="Z805">
            <v>0.26666666666666666</v>
          </cell>
          <cell r="AF805">
            <v>47</v>
          </cell>
          <cell r="AG805">
            <v>11.9</v>
          </cell>
          <cell r="AI805">
            <v>48.3</v>
          </cell>
          <cell r="AU805">
            <v>95.450106055673373</v>
          </cell>
          <cell r="AV805">
            <v>96.189962817201078</v>
          </cell>
          <cell r="AX805" t="str">
            <v>K. Benjamin</v>
          </cell>
        </row>
        <row r="806">
          <cell r="A806" t="str">
            <v>CA756</v>
          </cell>
          <cell r="P806">
            <v>57</v>
          </cell>
          <cell r="T806">
            <v>0.31666666666666665</v>
          </cell>
          <cell r="U806">
            <v>0.42777777777777776</v>
          </cell>
          <cell r="V806">
            <v>63</v>
          </cell>
          <cell r="Z806">
            <v>0.27499999999999997</v>
          </cell>
          <cell r="AF806">
            <v>49.9</v>
          </cell>
          <cell r="AG806">
            <v>11.6</v>
          </cell>
          <cell r="AI806">
            <v>50.4</v>
          </cell>
          <cell r="AU806">
            <v>97.080507112150599</v>
          </cell>
          <cell r="AV806">
            <v>97.83295193865905</v>
          </cell>
          <cell r="AX806" t="str">
            <v>K. Benjamin</v>
          </cell>
        </row>
        <row r="807">
          <cell r="A807" t="str">
            <v>CA757</v>
          </cell>
          <cell r="P807">
            <v>59</v>
          </cell>
          <cell r="T807">
            <v>0.41458333333333336</v>
          </cell>
          <cell r="U807">
            <v>0.52083333333333337</v>
          </cell>
          <cell r="V807">
            <v>61</v>
          </cell>
          <cell r="Z807">
            <v>0.26388888888888895</v>
          </cell>
          <cell r="AF807">
            <v>49.9</v>
          </cell>
          <cell r="AG807">
            <v>11.8</v>
          </cell>
          <cell r="AI807">
            <v>50.4</v>
          </cell>
          <cell r="AU807">
            <v>98.232795893681612</v>
          </cell>
          <cell r="AV807">
            <v>98.994421335445963</v>
          </cell>
          <cell r="AX807" t="str">
            <v>K. Benjamin</v>
          </cell>
        </row>
        <row r="808">
          <cell r="A808" t="str">
            <v>CA758</v>
          </cell>
          <cell r="P808">
            <v>59</v>
          </cell>
          <cell r="T808">
            <v>0.51180555555555551</v>
          </cell>
          <cell r="U808">
            <v>0.62916666666666665</v>
          </cell>
          <cell r="V808">
            <v>61</v>
          </cell>
          <cell r="Z808">
            <v>0.27847222222222223</v>
          </cell>
          <cell r="AF808">
            <v>50.1</v>
          </cell>
          <cell r="AG808">
            <v>11.6</v>
          </cell>
          <cell r="AI808">
            <v>50.7</v>
          </cell>
          <cell r="AU808">
            <v>97.416435234648446</v>
          </cell>
          <cell r="AV808">
            <v>98.171583101883058</v>
          </cell>
          <cell r="AX808" t="str">
            <v>D. Gomaz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96.842013247113243</v>
          </cell>
        </row>
        <row r="382">
          <cell r="AS382">
            <v>96.205080152594675</v>
          </cell>
        </row>
        <row r="383">
          <cell r="AS383">
            <v>100.7558906165406</v>
          </cell>
        </row>
        <row r="384">
          <cell r="AS384">
            <v>100.40312538745988</v>
          </cell>
        </row>
        <row r="385">
          <cell r="AS385">
            <v>100.52504411165808</v>
          </cell>
        </row>
        <row r="386">
          <cell r="AS386">
            <v>102.38526134694594</v>
          </cell>
        </row>
        <row r="387">
          <cell r="AS387">
            <v>100.3442123348951</v>
          </cell>
        </row>
        <row r="388">
          <cell r="AS388">
            <v>100.78585591212124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98.847023873347482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99.266868267130036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  <row r="392">
          <cell r="A392" t="str">
            <v>ST333</v>
          </cell>
          <cell r="P392">
            <v>58</v>
          </cell>
          <cell r="Q392">
            <v>11.983082706766917</v>
          </cell>
          <cell r="T392">
            <v>0.71458333333333335</v>
          </cell>
          <cell r="U392">
            <v>0.82638888888888884</v>
          </cell>
          <cell r="V392">
            <v>61</v>
          </cell>
          <cell r="AB392">
            <v>53.2</v>
          </cell>
          <cell r="AE392">
            <v>11.6</v>
          </cell>
          <cell r="AG392">
            <v>49.7</v>
          </cell>
          <cell r="AS392">
            <v>96.764214336728287</v>
          </cell>
          <cell r="AT392">
            <v>97.389696666641669</v>
          </cell>
          <cell r="AV392" t="str">
            <v>R.Sookram</v>
          </cell>
          <cell r="AW392">
            <v>0.27777777777777768</v>
          </cell>
        </row>
        <row r="393">
          <cell r="A393" t="str">
            <v>ST334</v>
          </cell>
          <cell r="P393">
            <v>58</v>
          </cell>
          <cell r="Q393">
            <v>10.896226415094338</v>
          </cell>
          <cell r="T393">
            <v>0.80763888888888891</v>
          </cell>
          <cell r="U393">
            <v>0.92152777777777772</v>
          </cell>
          <cell r="V393">
            <v>61</v>
          </cell>
          <cell r="AB393">
            <v>53</v>
          </cell>
          <cell r="AE393">
            <v>11.9</v>
          </cell>
          <cell r="AG393">
            <v>49.7</v>
          </cell>
          <cell r="AS393">
            <v>98.288600505062334</v>
          </cell>
          <cell r="AT393">
            <v>98.925798193130305</v>
          </cell>
          <cell r="AV393" t="str">
            <v>R.Sookram</v>
          </cell>
          <cell r="AW393">
            <v>0.28263888888888888</v>
          </cell>
        </row>
        <row r="394">
          <cell r="A394" t="str">
            <v>ST335</v>
          </cell>
          <cell r="P394">
            <v>59</v>
          </cell>
          <cell r="Q394">
            <v>10.875706214689263</v>
          </cell>
          <cell r="T394">
            <v>0.90416666666666667</v>
          </cell>
          <cell r="U394">
            <v>1.0215277777777778</v>
          </cell>
          <cell r="V394">
            <v>55</v>
          </cell>
          <cell r="AB394">
            <v>53.1</v>
          </cell>
          <cell r="AE394">
            <v>11.8</v>
          </cell>
          <cell r="AG394">
            <v>48.7</v>
          </cell>
          <cell r="AS394">
            <v>97.025470988738689</v>
          </cell>
          <cell r="AT394">
            <v>97.651811894321455</v>
          </cell>
          <cell r="AV394" t="str">
            <v>R.Sookram</v>
          </cell>
          <cell r="AW394">
            <v>0.29236111111111118</v>
          </cell>
        </row>
        <row r="395">
          <cell r="A395" t="str">
            <v>ST336</v>
          </cell>
          <cell r="P395">
            <v>60</v>
          </cell>
          <cell r="Q395">
            <v>9.3867924528301909</v>
          </cell>
          <cell r="T395">
            <v>1.0062500000000001</v>
          </cell>
          <cell r="U395">
            <v>1.1208333333333333</v>
          </cell>
          <cell r="V395">
            <v>59</v>
          </cell>
          <cell r="AB395">
            <v>53</v>
          </cell>
          <cell r="AE395">
            <v>11.8</v>
          </cell>
          <cell r="AG395">
            <v>49.2</v>
          </cell>
          <cell r="AS395">
            <v>97.898131022692681</v>
          </cell>
          <cell r="AT395">
            <v>98.530315524604035</v>
          </cell>
          <cell r="AV395" t="str">
            <v>R.Sookram</v>
          </cell>
          <cell r="AW395">
            <v>0.28749999999999998</v>
          </cell>
        </row>
        <row r="396">
          <cell r="A396" t="str">
            <v>ST337</v>
          </cell>
          <cell r="P396">
            <v>60</v>
          </cell>
          <cell r="Q396">
            <v>9.3867924528301909</v>
          </cell>
          <cell r="T396">
            <v>1.1159722222222221</v>
          </cell>
          <cell r="U396">
            <v>1.2534722222222223</v>
          </cell>
          <cell r="V396">
            <v>59</v>
          </cell>
          <cell r="AB396">
            <v>53</v>
          </cell>
          <cell r="AE396">
            <v>11.7</v>
          </cell>
          <cell r="AG396">
            <v>49.1</v>
          </cell>
          <cell r="AS396">
            <v>96.950396118265601</v>
          </cell>
          <cell r="AT396">
            <v>97.57625238345571</v>
          </cell>
          <cell r="AV396" t="str">
            <v>R.Sookram</v>
          </cell>
          <cell r="AW396">
            <v>0.30208333333333348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 refreshError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</sheetData>
      <sheetData sheetId="2">
        <row r="17">
          <cell r="D17">
            <v>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  <sheetName val="Summary January '25 "/>
      <sheetName val="Summary December '25 (2)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92.124816670346675</v>
          </cell>
        </row>
        <row r="99">
          <cell r="AV99">
            <v>97.836600220342262</v>
          </cell>
        </row>
        <row r="100">
          <cell r="AV100">
            <v>97.268286296619394</v>
          </cell>
        </row>
        <row r="101">
          <cell r="AV101">
            <v>98.450637460218914</v>
          </cell>
        </row>
        <row r="102">
          <cell r="AV102">
            <v>98.439885250271644</v>
          </cell>
        </row>
        <row r="103">
          <cell r="AV103">
            <v>98.804599004474028</v>
          </cell>
        </row>
        <row r="104">
          <cell r="AV104">
            <v>97.631300789958658</v>
          </cell>
        </row>
        <row r="105">
          <cell r="AV105">
            <v>99.881339189324365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91.362987993240026</v>
          </cell>
        </row>
        <row r="104">
          <cell r="AY104">
            <v>99.215796863752757</v>
          </cell>
        </row>
        <row r="105">
          <cell r="AY105">
            <v>99.29801654311035</v>
          </cell>
        </row>
        <row r="106">
          <cell r="AY106">
            <v>98.233831289791937</v>
          </cell>
        </row>
        <row r="107">
          <cell r="AY107">
            <v>99.569274184400996</v>
          </cell>
        </row>
        <row r="108">
          <cell r="AY108">
            <v>98.888084432015162</v>
          </cell>
        </row>
        <row r="109">
          <cell r="AY109">
            <v>98.707910698105209</v>
          </cell>
        </row>
        <row r="110">
          <cell r="AY110">
            <v>96.344911241358759</v>
          </cell>
        </row>
      </sheetData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3">
          <cell r="Y13">
            <v>190.70000000000002</v>
          </cell>
        </row>
        <row r="17">
          <cell r="Y17">
            <v>184.3</v>
          </cell>
        </row>
      </sheetData>
      <sheetData sheetId="9">
        <row r="3">
          <cell r="E3">
            <v>178.8</v>
          </cell>
          <cell r="G3">
            <v>198.2</v>
          </cell>
          <cell r="H3">
            <v>324.89999999999998</v>
          </cell>
          <cell r="I3">
            <v>399.7</v>
          </cell>
          <cell r="AN3">
            <v>5.9479747077972824</v>
          </cell>
          <cell r="AQ3">
            <v>6.5080919887141917</v>
          </cell>
        </row>
        <row r="4">
          <cell r="AN4" t="e">
            <v>#DIV/0!</v>
          </cell>
          <cell r="AQ4">
            <v>5.9275658832823668</v>
          </cell>
        </row>
        <row r="5">
          <cell r="AN5" t="e">
            <v>#DIV/0!</v>
          </cell>
          <cell r="AQ5">
            <v>11.797659278069149</v>
          </cell>
        </row>
        <row r="6">
          <cell r="AN6">
            <v>4.0562064167659644</v>
          </cell>
          <cell r="AQ6">
            <v>4.7835858167498584</v>
          </cell>
        </row>
        <row r="7">
          <cell r="E7">
            <v>172.9</v>
          </cell>
          <cell r="G7">
            <v>189.1</v>
          </cell>
          <cell r="H7">
            <v>302.39999999999998</v>
          </cell>
          <cell r="I7">
            <v>379.9</v>
          </cell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 t="e">
            <v>#DIV/0!</v>
          </cell>
          <cell r="AQ9">
            <v>5.1096183510504902</v>
          </cell>
        </row>
        <row r="10">
          <cell r="AN10" t="e">
            <v>#DIV/0!</v>
          </cell>
          <cell r="AQ10" t="e">
            <v>#DIV/0!</v>
          </cell>
        </row>
        <row r="11">
          <cell r="E11">
            <v>4.7276713042744225</v>
          </cell>
          <cell r="G11">
            <v>4.4356796815713411</v>
          </cell>
          <cell r="H11">
            <v>7.9854576271950357</v>
          </cell>
          <cell r="I11">
            <v>5.5779930185734461</v>
          </cell>
          <cell r="AN11" t="e">
            <v>#DIV/0!</v>
          </cell>
          <cell r="AQ11" t="e">
            <v>#DIV/0!</v>
          </cell>
        </row>
        <row r="12">
          <cell r="AN12">
            <v>5.3009613651321894</v>
          </cell>
          <cell r="AQ12">
            <v>6.621228037011492</v>
          </cell>
        </row>
        <row r="65">
          <cell r="D65">
            <v>383.05</v>
          </cell>
        </row>
        <row r="70">
          <cell r="D70">
            <v>389</v>
          </cell>
        </row>
        <row r="74">
          <cell r="D74">
            <v>4.0562064167659644</v>
          </cell>
        </row>
      </sheetData>
      <sheetData sheetId="10" refreshError="1"/>
      <sheetData sheetId="1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>
        <row r="6"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5">
          <cell r="E5">
            <v>5.2015250544662273</v>
          </cell>
        </row>
        <row r="6">
          <cell r="E6" t="e">
            <v>#DIV/0!</v>
          </cell>
        </row>
        <row r="7">
          <cell r="E7" t="e">
            <v>#DIV/0!</v>
          </cell>
        </row>
        <row r="8">
          <cell r="E8">
            <v>2.6160971335586405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4.513507211618534</v>
          </cell>
        </row>
      </sheetData>
      <sheetData sheetId="11">
        <row r="5">
          <cell r="E5">
            <v>6.3942077441936389</v>
          </cell>
        </row>
        <row r="6">
          <cell r="E6">
            <v>6.034529382425224</v>
          </cell>
        </row>
        <row r="7">
          <cell r="E7">
            <v>10.890214570112384</v>
          </cell>
        </row>
        <row r="8">
          <cell r="E8">
            <v>4.6053599467161712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3.9973372218347856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6.3192809236064278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5">
          <cell r="Y25">
            <v>0.64666666666666672</v>
          </cell>
        </row>
      </sheetData>
      <sheetData sheetId="10">
        <row r="13">
          <cell r="AN13">
            <v>0.8331140350877192</v>
          </cell>
          <cell r="AQ13">
            <v>0.54990997457943147</v>
          </cell>
        </row>
        <row r="14">
          <cell r="AN14" t="e">
            <v>#DIV/0!</v>
          </cell>
          <cell r="AQ14">
            <v>0.68249290906882254</v>
          </cell>
        </row>
        <row r="15">
          <cell r="AN15" t="e">
            <v>#DIV/0!</v>
          </cell>
          <cell r="AQ15">
            <v>0.35370190356844494</v>
          </cell>
        </row>
        <row r="16">
          <cell r="AN16">
            <v>1.3649122807017544</v>
          </cell>
          <cell r="AQ16">
            <v>0.83244019138755987</v>
          </cell>
        </row>
        <row r="17">
          <cell r="AN17" t="e">
            <v>#DIV/0!</v>
          </cell>
          <cell r="AQ17" t="e">
            <v>#DIV/0!</v>
          </cell>
        </row>
        <row r="18">
          <cell r="E18">
            <v>0.60666666666666669</v>
          </cell>
          <cell r="G18">
            <v>0.33175438596491225</v>
          </cell>
          <cell r="H18">
            <v>1.0610526315789472</v>
          </cell>
          <cell r="I18">
            <v>1.3329824561403507</v>
          </cell>
          <cell r="AN18" t="e">
            <v>#DIV/0!</v>
          </cell>
          <cell r="AQ18">
            <v>0.5883625730994152</v>
          </cell>
        </row>
        <row r="19">
          <cell r="AN19" t="e">
            <v>#DIV/0!</v>
          </cell>
          <cell r="AQ19">
            <v>0.89057130004498408</v>
          </cell>
        </row>
        <row r="20">
          <cell r="AN20" t="e">
            <v>#DIV/0!</v>
          </cell>
          <cell r="AQ20" t="e">
            <v>#DIV/0!</v>
          </cell>
        </row>
        <row r="21">
          <cell r="AN21">
            <v>0</v>
          </cell>
          <cell r="AQ21" t="e">
            <v>#DIV/0!</v>
          </cell>
        </row>
        <row r="22">
          <cell r="AN22">
            <v>0.93947368421052635</v>
          </cell>
          <cell r="AQ22">
            <v>0.60442262108138456</v>
          </cell>
        </row>
        <row r="60">
          <cell r="D60">
            <v>1.3649122807017544</v>
          </cell>
        </row>
      </sheetData>
      <sheetData sheetId="11" refreshError="1"/>
      <sheetData sheetId="1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77" t="s">
        <v>0</v>
      </c>
      <c r="U1" s="577"/>
      <c r="V1" s="577" t="s">
        <v>1</v>
      </c>
      <c r="W1" s="577"/>
      <c r="X1" s="577" t="s">
        <v>2</v>
      </c>
      <c r="Y1" s="577"/>
      <c r="Z1" s="577" t="s">
        <v>124</v>
      </c>
      <c r="AA1" s="577"/>
    </row>
    <row r="2" spans="2:30" ht="15">
      <c r="B2" s="550" t="s">
        <v>3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45">
        <v>45278</v>
      </c>
      <c r="D4" s="545"/>
      <c r="J4" s="583" t="s">
        <v>153</v>
      </c>
      <c r="K4" s="583"/>
      <c r="L4" s="11"/>
      <c r="M4" s="551" t="s">
        <v>8</v>
      </c>
      <c r="N4" s="552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84"/>
      <c r="K5" s="584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78" t="s">
        <v>151</v>
      </c>
      <c r="K6" s="579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80"/>
      <c r="K7" s="581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3" t="s">
        <v>17</v>
      </c>
      <c r="C8" s="512" t="s">
        <v>18</v>
      </c>
      <c r="D8" s="512" t="s">
        <v>19</v>
      </c>
      <c r="E8" s="356" t="s">
        <v>20</v>
      </c>
      <c r="F8" s="356" t="s">
        <v>21</v>
      </c>
      <c r="G8" s="512" t="s">
        <v>22</v>
      </c>
      <c r="H8" s="547" t="s">
        <v>144</v>
      </c>
      <c r="I8" s="512" t="s">
        <v>152</v>
      </c>
      <c r="J8" s="538" t="s">
        <v>23</v>
      </c>
      <c r="K8" s="540" t="s">
        <v>142</v>
      </c>
      <c r="L8" s="542" t="s">
        <v>24</v>
      </c>
      <c r="M8" s="359" t="s">
        <v>25</v>
      </c>
      <c r="N8" s="17" t="s">
        <v>26</v>
      </c>
      <c r="O8" s="512"/>
      <c r="P8" s="505" t="s">
        <v>28</v>
      </c>
      <c r="Q8" s="568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46"/>
      <c r="C9" s="537"/>
      <c r="D9" s="537"/>
      <c r="E9" s="357" t="s">
        <v>30</v>
      </c>
      <c r="F9" s="357" t="s">
        <v>31</v>
      </c>
      <c r="G9" s="537"/>
      <c r="H9" s="548"/>
      <c r="I9" s="537"/>
      <c r="J9" s="539"/>
      <c r="K9" s="541"/>
      <c r="L9" s="543"/>
      <c r="M9" s="20" t="s">
        <v>32</v>
      </c>
      <c r="N9" s="21" t="s">
        <v>41</v>
      </c>
      <c r="O9" s="537"/>
      <c r="P9" s="582"/>
      <c r="Q9" s="569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31" t="s">
        <v>34</v>
      </c>
      <c r="J48" s="531"/>
      <c r="K48" s="531"/>
      <c r="L48" s="531"/>
      <c r="M48" s="531"/>
      <c r="N48" s="531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32" t="s">
        <v>35</v>
      </c>
      <c r="E49" s="533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0" t="s">
        <v>9</v>
      </c>
      <c r="C50" s="362">
        <v>11.8</v>
      </c>
      <c r="D50" s="519">
        <v>11.73</v>
      </c>
      <c r="E50" s="520"/>
      <c r="F50" s="294"/>
      <c r="G50" s="294"/>
      <c r="H50" s="294"/>
      <c r="I50" s="29" t="s">
        <v>6</v>
      </c>
      <c r="J50" s="323"/>
      <c r="K50" s="284">
        <f>COUNTA([19]Brewhouse!$A$1596:$A$1619)</f>
        <v>24</v>
      </c>
      <c r="L50" s="302">
        <f>AVERAGE([19]Brewhouse!$AU$1529,[19]Brewhouse!$AU$1531:$AU$1594,[19]Brewhouse!$AU$1596:$AU$1619)</f>
        <v>98.205761326291494</v>
      </c>
      <c r="M50" s="302">
        <f>AVERAGE([19]Brewhouse!$AU$849:$AU$924,[19]Brewhouse!$AU$926:$AU$971,[19]Brewhouse!$AU$973:$AU$1066,[19]Brewhouse!$AU$1068:$AU$1111,[19]Brewhouse!$AU$1113:$AU$1132,[19]Brewhouse!$AU$1134:$AU$1167,[19]Brewhouse!$AU$1169:$AU$1230,[19]Brewhouse!$AU$1232:$AU$1299,[19]Brewhouse!$AU$1301:$AU$1363,[19]Brewhouse!$AU$1365:$AU$1444,[19]Brewhouse!$AU$1446:$AU$1527,[19]Brewhouse!$AU$1529,[19]Brewhouse!$AU$1531:$AU$1594,[19]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35"/>
      <c r="C51" s="349">
        <v>11.9</v>
      </c>
      <c r="D51" s="521"/>
      <c r="E51" s="522"/>
      <c r="F51" s="294"/>
      <c r="G51" s="294"/>
      <c r="H51" s="32"/>
      <c r="I51" s="33" t="s">
        <v>9</v>
      </c>
      <c r="J51" s="323"/>
      <c r="K51" s="284">
        <f>COUNTA([20]Brewhouse!$A$976:$A$1007)</f>
        <v>32</v>
      </c>
      <c r="L51" s="302">
        <f>AVERAGE([20]Brewhouse!$AS$976:$AS$979,[20]Brewhouse!$AS$981:$AS$1007)</f>
        <v>98.538566771868645</v>
      </c>
      <c r="M51" s="302">
        <f>AVERAGE([20]Brewhouse!$AS$577:$AS$618,[20]Brewhouse!$AS$620:$AS$651,[20]Brewhouse!$AS$653:$AS$696,[20]Brewhouse!$AS$698:$AS$708,[20]Brewhouse!$AS$710:$AS$733,[20]Brewhouse!$AS$735:$AS$777,[20]Brewhouse!$AS$779:$AS$822,[20]Brewhouse!$AS$824:$AS$863,[20]Brewhouse!$AS$865:$AS$974,[20]Brewhouse!$AS$976:$AS$979,[20]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35"/>
      <c r="C52" s="349"/>
      <c r="D52" s="519"/>
      <c r="E52" s="520"/>
      <c r="F52" s="294"/>
      <c r="G52" s="294"/>
      <c r="H52" s="32"/>
      <c r="I52" s="34" t="s">
        <v>12</v>
      </c>
      <c r="J52" s="280"/>
      <c r="K52" s="284">
        <f>COUNTA([21]Brewhouse!$A$282:$A$289)</f>
        <v>8</v>
      </c>
      <c r="L52" s="302">
        <f>AVERAGE([21]Brewhouse!$AU$269:$AU$279,[21]Brewhouse!$AU$282:$AU$289)</f>
        <v>96.1861768599382</v>
      </c>
      <c r="M52" s="302">
        <f>AVERAGE([21]Brewhouse!$AU$161:$AU$176,[21]Brewhouse!$AU$178:$AU$195,[21]Brewhouse!$AU$197:$AU$208,[21]Brewhouse!$AU$210:$AU$221,[21]Brewhouse!$AU$223:$AU$232,[21]Brewhouse!$AU$234:$AU$279,[21]Brewhouse!$AU$282:$AU$289)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35"/>
      <c r="C53" s="349"/>
      <c r="D53" s="521"/>
      <c r="E53" s="522"/>
      <c r="F53" s="294"/>
      <c r="G53" s="294"/>
      <c r="H53" s="32"/>
      <c r="I53" s="22" t="s">
        <v>33</v>
      </c>
      <c r="J53" s="280"/>
      <c r="K53" s="284">
        <f>COUNTA([22]Brewhouse!$A$158:$A$163)</f>
        <v>6</v>
      </c>
      <c r="L53" s="302">
        <f>AVERAGE([22]Brewhouse!$AU$158:$AU$163)</f>
        <v>94.603050114691541</v>
      </c>
      <c r="M53" s="302">
        <f>AVERAGE([22]Brewhouse!$AU$91:$AU$101,[22]Brewhouse!$AU$103:$AU$112,[22]Brewhouse!$AU$114:$AU$123,[22]Brewhouse!$AU$125:$AU$134,[22]Brewhouse!$AU$136:$AU$145,[22]Brewhouse!$AU$147:$AU$156,[22]Brewhouse!$AU$158:$AU$163)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35"/>
      <c r="C54" s="349"/>
      <c r="D54" s="519"/>
      <c r="E54" s="520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35"/>
      <c r="C55" s="349"/>
      <c r="D55" s="521"/>
      <c r="E55" s="522"/>
      <c r="F55" s="294"/>
      <c r="G55" s="294"/>
      <c r="H55" s="32"/>
      <c r="I55" s="36" t="s">
        <v>15</v>
      </c>
      <c r="J55" s="323"/>
      <c r="K55" s="284"/>
      <c r="L55" s="302"/>
      <c r="M55" s="302">
        <f>AVERAGE([23]Brewhouse!$AT$74:$AT$79)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35"/>
      <c r="C56" s="349"/>
      <c r="D56" s="519"/>
      <c r="E56" s="520"/>
      <c r="F56" s="294"/>
      <c r="G56" s="294"/>
      <c r="H56" s="32"/>
      <c r="I56" s="37" t="s">
        <v>16</v>
      </c>
      <c r="J56" s="323"/>
      <c r="K56" s="284">
        <f>COUNTA([24]Brewhouse!$A$249:$A$254)</f>
        <v>6</v>
      </c>
      <c r="L56" s="302">
        <f>AVERAGE([24]Brewhouse!$AY$249:$AY$254)</f>
        <v>99.681996476494263</v>
      </c>
      <c r="M56" s="302">
        <f>AVERAGE([24]Brewhouse!$AY$138:$AY$143,[24]Brewhouse!$AY$145:$AY$153,[24]Brewhouse!$AY$155,[24]Brewhouse!$AY$156:$AY$174,[24]Brewhouse!$AY$176:$AY$185,[24]Brewhouse!$AY$187:$AY$198,[24]Brewhouse!$AY$200:$AY$247,[24]Brewhouse!$AY$249:$AY$254)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35"/>
      <c r="C57" s="349"/>
      <c r="D57" s="521"/>
      <c r="E57" s="522"/>
      <c r="F57" s="294"/>
      <c r="G57" s="294"/>
      <c r="H57" s="32"/>
      <c r="I57" s="306" t="s">
        <v>137</v>
      </c>
      <c r="J57" s="326"/>
      <c r="K57" s="284"/>
      <c r="L57" s="305"/>
      <c r="M57" s="305">
        <f>AVERAGE([25]Brewhouse!$AW$13:$AW$14,[25]Brewhouse!$AW$16:$AW$17)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35"/>
      <c r="C58" s="349"/>
      <c r="D58" s="572"/>
      <c r="E58" s="565"/>
      <c r="F58" s="294"/>
      <c r="G58" s="294"/>
      <c r="H58" s="32"/>
      <c r="I58" s="38" t="s">
        <v>125</v>
      </c>
      <c r="J58" s="327"/>
      <c r="K58" s="284"/>
      <c r="L58" s="328"/>
      <c r="M58" s="328">
        <f>AVERAGE([25]Brewhouse!$AW$13:$AW$14)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35"/>
      <c r="C59" s="349"/>
      <c r="D59" s="573"/>
      <c r="E59" s="574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AVERAGE('[26]Closing- January 2023'!$L$42,'[27]Feb. 28th'!$L$42,'[28]March 31st'!$L$75,'[29]Apri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35"/>
      <c r="C60" s="349"/>
      <c r="D60" s="572"/>
      <c r="E60" s="565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71"/>
      <c r="C61" s="350"/>
      <c r="D61" s="575"/>
      <c r="E61" s="576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57"/>
      <c r="C62" s="362"/>
      <c r="D62" s="560"/>
      <c r="E62" s="561"/>
      <c r="F62" s="43"/>
      <c r="G62" s="41"/>
      <c r="H62" s="41"/>
      <c r="I62" s="42"/>
      <c r="J62" s="562" t="s">
        <v>129</v>
      </c>
      <c r="K62" s="562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58"/>
      <c r="C63" s="349"/>
      <c r="D63" s="528"/>
      <c r="E63" s="522"/>
      <c r="F63" s="43"/>
      <c r="G63" s="41"/>
      <c r="H63" s="41"/>
      <c r="I63" s="42"/>
      <c r="J63" s="292" t="s">
        <v>17</v>
      </c>
      <c r="K63" s="293" t="s">
        <v>147</v>
      </c>
      <c r="L63" s="524" t="s">
        <v>136</v>
      </c>
      <c r="M63" s="524"/>
      <c r="N63" s="525"/>
      <c r="O63" s="294"/>
      <c r="P63" s="12"/>
      <c r="S63" s="23"/>
    </row>
    <row r="64" spans="1:27" ht="15" customHeight="1" thickBot="1">
      <c r="B64" s="558"/>
      <c r="C64" s="349"/>
      <c r="D64" s="563"/>
      <c r="E64" s="520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58"/>
      <c r="C65" s="349"/>
      <c r="D65" s="528"/>
      <c r="E65" s="522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AVERAGE(6,6,'[28]March 31st'!$L$80,'[30]June 30th  '!$L$71,6,L65,'[31]July 31st'!$L$108,'[32]Aug 30th'!$L$124,7,[33]Oct.31st!$L$51)</f>
        <v>#REF!</v>
      </c>
      <c r="N65" s="308">
        <v>9</v>
      </c>
      <c r="O65" s="294"/>
      <c r="P65" s="12"/>
      <c r="S65" s="23"/>
    </row>
    <row r="66" spans="2:58" ht="15" customHeight="1">
      <c r="B66" s="558"/>
      <c r="C66" s="349"/>
      <c r="D66" s="563"/>
      <c r="E66" s="520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58"/>
      <c r="C67" s="349"/>
      <c r="D67" s="528"/>
      <c r="E67" s="522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58"/>
      <c r="C68" s="349"/>
      <c r="D68" s="563"/>
      <c r="E68" s="520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58"/>
      <c r="C69" s="349"/>
      <c r="D69" s="528"/>
      <c r="E69" s="522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58"/>
      <c r="C70" s="349"/>
      <c r="D70" s="564"/>
      <c r="E70" s="565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59"/>
      <c r="C71" s="350"/>
      <c r="D71" s="566"/>
      <c r="E71" s="567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55">
        <f>AVERAGE(D50:E71)</f>
        <v>11.73</v>
      </c>
      <c r="E72" s="556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01" t="s">
        <v>17</v>
      </c>
      <c r="C77" s="501" t="s">
        <v>44</v>
      </c>
      <c r="D77" s="510" t="s">
        <v>45</v>
      </c>
      <c r="E77" s="512" t="s">
        <v>46</v>
      </c>
      <c r="F77" s="514" t="s">
        <v>47</v>
      </c>
      <c r="G77" s="499" t="s">
        <v>48</v>
      </c>
      <c r="H77" s="501" t="s">
        <v>49</v>
      </c>
      <c r="I77" s="553" t="s">
        <v>50</v>
      </c>
      <c r="J77" s="493" t="s">
        <v>28</v>
      </c>
      <c r="K77" s="503" t="s">
        <v>51</v>
      </c>
      <c r="L77" s="505" t="s">
        <v>52</v>
      </c>
      <c r="M77" s="493" t="s">
        <v>53</v>
      </c>
      <c r="N77" s="77"/>
      <c r="O77" s="13"/>
      <c r="P77" s="50"/>
    </row>
    <row r="78" spans="2:58" ht="28.5" customHeight="1" thickTop="1" thickBot="1">
      <c r="B78" s="509"/>
      <c r="C78" s="509"/>
      <c r="D78" s="511"/>
      <c r="E78" s="513"/>
      <c r="F78" s="515"/>
      <c r="G78" s="500"/>
      <c r="H78" s="509"/>
      <c r="I78" s="554"/>
      <c r="J78" s="494"/>
      <c r="K78" s="504"/>
      <c r="L78" s="506"/>
      <c r="M78" s="494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[34]December_2023!$U$13</f>
        <v>150.4</v>
      </c>
      <c r="E79" s="378"/>
      <c r="F79" s="379"/>
      <c r="G79" s="303">
        <f>[34]December_2023!$U$17</f>
        <v>120.8</v>
      </c>
      <c r="H79" s="381"/>
      <c r="I79" s="382"/>
      <c r="J79" s="360" t="s">
        <v>150</v>
      </c>
      <c r="K79" s="380">
        <f>[35]December_2023!$U$25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[18]January_2019!D8</f>
        <v>#DIV/0!</v>
      </c>
      <c r="V80" s="57">
        <f>[18]January_2019!E8</f>
        <v>1.0319298245614037</v>
      </c>
      <c r="W80" s="57">
        <f>[18]January_2019!F8</f>
        <v>1.7789473684210526</v>
      </c>
      <c r="X80" s="57">
        <f>[18]January_2019!G8</f>
        <v>0.51929824561403504</v>
      </c>
      <c r="Y80" s="57" t="e">
        <f>[18]January_2019!H8</f>
        <v>#DIV/0!</v>
      </c>
      <c r="Z80" s="57" t="e">
        <f>[18]January_2019!I8</f>
        <v>#DIV/0!</v>
      </c>
      <c r="AA80" s="57">
        <f>[18]January_2019!J8</f>
        <v>1.365263157894737</v>
      </c>
      <c r="AB80" s="57" t="e">
        <f>[18]January_2019!K8</f>
        <v>#DIV/0!</v>
      </c>
      <c r="AC80" s="57">
        <f>[18]January_2019!L8</f>
        <v>1.0028070175438597</v>
      </c>
      <c r="AD80" s="57">
        <f>[18]January_2019!M8</f>
        <v>1.7828070175438597</v>
      </c>
      <c r="AE80" s="57" t="e">
        <f>[18]January_2019!N8</f>
        <v>#DIV/0!</v>
      </c>
      <c r="AF80" s="57" t="e">
        <f>[18]January_2019!O8</f>
        <v>#DIV/0!</v>
      </c>
      <c r="AG80" s="57">
        <f>[18]January_2019!P8</f>
        <v>0.19222222222222221</v>
      </c>
      <c r="AH80" s="57">
        <f>[18]January_2019!Q8</f>
        <v>0.52219298245614032</v>
      </c>
      <c r="AI80" s="57">
        <f>[18]January_2019!R8</f>
        <v>0.42912280701754385</v>
      </c>
      <c r="AJ80" s="57" t="e">
        <f>[18]January_2019!S8</f>
        <v>#DIV/0!</v>
      </c>
      <c r="AK80" s="57">
        <f>[18]January_2019!T8</f>
        <v>1.0340350877192983</v>
      </c>
      <c r="AL80" s="57">
        <f>[18]January_2019!U8</f>
        <v>0.98421052631578942</v>
      </c>
      <c r="AM80" s="57" t="e">
        <f>[18]January_2019!V8</f>
        <v>#DIV/0!</v>
      </c>
      <c r="AN80" s="57" t="e">
        <f>[18]January_2019!W8</f>
        <v>#DIV/0!</v>
      </c>
      <c r="AO80" s="57">
        <f>[18]January_2019!X8</f>
        <v>0.66052631578947374</v>
      </c>
      <c r="AP80" s="57">
        <f>[18]January_2019!Y8</f>
        <v>1.0375438596491227</v>
      </c>
      <c r="AQ80" s="57">
        <f>[18]January_2019!Z8</f>
        <v>0.90456140350877201</v>
      </c>
      <c r="AR80" s="57">
        <f>[18]January_2019!AA8</f>
        <v>1.0217543859649123</v>
      </c>
      <c r="AS80" s="57">
        <f>[18]January_2019!AB8</f>
        <v>0.65614035087719302</v>
      </c>
      <c r="AT80" s="57" t="e">
        <f>[18]January_2019!AC8</f>
        <v>#DIV/0!</v>
      </c>
      <c r="AU80" s="57" t="e">
        <f>[18]January_2019!AD8</f>
        <v>#DIV/0!</v>
      </c>
      <c r="AV80" s="57">
        <f>[18]January_2019!AE8</f>
        <v>1.7021052631578948</v>
      </c>
      <c r="AW80" s="57">
        <f>[18]January_2019!AF8</f>
        <v>0.60192982456140354</v>
      </c>
      <c r="AX80" s="57">
        <f>[18]January_2019!AG8</f>
        <v>1.4870175438596491</v>
      </c>
      <c r="AY80" s="277" t="e">
        <f>[18]January_2019!AH8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495" t="s">
        <v>55</v>
      </c>
      <c r="C87" s="496"/>
      <c r="D87" s="496"/>
      <c r="E87" s="496"/>
      <c r="F87" s="497"/>
      <c r="G87" s="495" t="s">
        <v>56</v>
      </c>
      <c r="H87" s="496"/>
      <c r="I87" s="496"/>
      <c r="J87" s="497"/>
      <c r="K87" s="495" t="s">
        <v>51</v>
      </c>
      <c r="L87" s="496"/>
      <c r="M87" s="496"/>
      <c r="N87" s="498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[34]December_2023!$U$21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[36]May_2022!$M$43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965" priority="157" operator="notBetween">
      <formula>#REF!</formula>
      <formula>#REF!</formula>
    </cfRule>
  </conditionalFormatting>
  <conditionalFormatting sqref="C76">
    <cfRule type="cellIs" dxfId="964" priority="189" stopIfTrue="1" operator="lessThan">
      <formula>96</formula>
    </cfRule>
    <cfRule type="cellIs" dxfId="963" priority="190" stopIfTrue="1" operator="greaterThan">
      <formula>100</formula>
    </cfRule>
  </conditionalFormatting>
  <conditionalFormatting sqref="C90">
    <cfRule type="cellIs" dxfId="962" priority="106" stopIfTrue="1" operator="lessThanOrEqual">
      <formula>0</formula>
    </cfRule>
    <cfRule type="cellIs" dxfId="961" priority="212" stopIfTrue="1" operator="greaterThan">
      <formula>$F89</formula>
    </cfRule>
  </conditionalFormatting>
  <conditionalFormatting sqref="C91:C93">
    <cfRule type="cellIs" dxfId="960" priority="105" stopIfTrue="1" operator="greaterThan">
      <formula>$F91</formula>
    </cfRule>
  </conditionalFormatting>
  <conditionalFormatting sqref="C91:C94">
    <cfRule type="cellIs" dxfId="959" priority="129" stopIfTrue="1" operator="lessThanOrEqual">
      <formula>0</formula>
    </cfRule>
  </conditionalFormatting>
  <conditionalFormatting sqref="C94">
    <cfRule type="cellIs" dxfId="958" priority="128" stopIfTrue="1" operator="greaterThan">
      <formula>$J94</formula>
    </cfRule>
  </conditionalFormatting>
  <conditionalFormatting sqref="C95:C97">
    <cfRule type="cellIs" dxfId="957" priority="145" stopIfTrue="1" operator="greaterThan">
      <formula>$F95</formula>
    </cfRule>
    <cfRule type="cellIs" dxfId="956" priority="146" stopIfTrue="1" operator="lessThanOrEqual">
      <formula>0</formula>
    </cfRule>
  </conditionalFormatting>
  <conditionalFormatting sqref="C100:C104">
    <cfRule type="cellIs" dxfId="955" priority="181" stopIfTrue="1" operator="lessThanOrEqual">
      <formula>0</formula>
    </cfRule>
  </conditionalFormatting>
  <conditionalFormatting sqref="C101:C104">
    <cfRule type="cellIs" dxfId="954" priority="180" stopIfTrue="1" operator="greaterThan">
      <formula>$F$100</formula>
    </cfRule>
  </conditionalFormatting>
  <conditionalFormatting sqref="C106">
    <cfRule type="cellIs" dxfId="953" priority="182" stopIfTrue="1" operator="greaterThan">
      <formula>$F$100</formula>
    </cfRule>
    <cfRule type="cellIs" dxfId="952" priority="183" stopIfTrue="1" operator="lessThanOrEqual">
      <formula>0</formula>
    </cfRule>
  </conditionalFormatting>
  <conditionalFormatting sqref="C100:D100 D102:D108">
    <cfRule type="cellIs" dxfId="951" priority="175" stopIfTrue="1" operator="greaterThan">
      <formula>4.5</formula>
    </cfRule>
  </conditionalFormatting>
  <conditionalFormatting sqref="D72:D73">
    <cfRule type="cellIs" dxfId="950" priority="158" operator="notBetween">
      <formula>#REF!</formula>
      <formula>#REF!</formula>
    </cfRule>
  </conditionalFormatting>
  <conditionalFormatting sqref="D89:D96">
    <cfRule type="cellIs" dxfId="949" priority="144" stopIfTrue="1" operator="lessThanOrEqual">
      <formula>0</formula>
    </cfRule>
  </conditionalFormatting>
  <conditionalFormatting sqref="D97">
    <cfRule type="cellIs" dxfId="948" priority="143" stopIfTrue="1" operator="lessThanOrEqual">
      <formula>0</formula>
    </cfRule>
  </conditionalFormatting>
  <conditionalFormatting sqref="D100 D102:D108">
    <cfRule type="cellIs" dxfId="947" priority="176" stopIfTrue="1" operator="lessThanOrEqual">
      <formula>0</formula>
    </cfRule>
  </conditionalFormatting>
  <conditionalFormatting sqref="D101">
    <cfRule type="cellIs" dxfId="946" priority="167" stopIfTrue="1" operator="greaterThan">
      <formula>$F$100</formula>
    </cfRule>
    <cfRule type="cellIs" dxfId="945" priority="168" stopIfTrue="1" operator="lessThanOrEqual">
      <formula>0</formula>
    </cfRule>
  </conditionalFormatting>
  <conditionalFormatting sqref="D89:E97">
    <cfRule type="cellIs" dxfId="944" priority="135" stopIfTrue="1" operator="greaterThan">
      <formula>$F89</formula>
    </cfRule>
  </conditionalFormatting>
  <conditionalFormatting sqref="E10:E14">
    <cfRule type="cellIs" dxfId="943" priority="52" operator="lessThan">
      <formula>48</formula>
    </cfRule>
  </conditionalFormatting>
  <conditionalFormatting sqref="E33:E46">
    <cfRule type="cellIs" dxfId="942" priority="25" operator="lessThan">
      <formula>48</formula>
    </cfRule>
  </conditionalFormatting>
  <conditionalFormatting sqref="E76">
    <cfRule type="cellIs" dxfId="941" priority="169" stopIfTrue="1" operator="lessThan">
      <formula>96.8</formula>
    </cfRule>
    <cfRule type="cellIs" dxfId="940" priority="170" stopIfTrue="1" operator="greaterThan">
      <formula>100</formula>
    </cfRule>
  </conditionalFormatting>
  <conditionalFormatting sqref="E89:E97">
    <cfRule type="cellIs" dxfId="939" priority="136" stopIfTrue="1" operator="lessThanOrEqual">
      <formula>0</formula>
    </cfRule>
  </conditionalFormatting>
  <conditionalFormatting sqref="E100:E108">
    <cfRule type="cellIs" dxfId="938" priority="161" stopIfTrue="1" operator="greaterThan">
      <formula>4.5</formula>
    </cfRule>
    <cfRule type="cellIs" dxfId="937" priority="162" stopIfTrue="1" operator="lessThanOrEqual">
      <formula>0</formula>
    </cfRule>
  </conditionalFormatting>
  <conditionalFormatting sqref="E75:F76">
    <cfRule type="cellIs" dxfId="936" priority="171" stopIfTrue="1" operator="lessThan">
      <formula>96.5</formula>
    </cfRule>
    <cfRule type="cellIs" dxfId="935" priority="172" stopIfTrue="1" operator="greaterThan">
      <formula>100</formula>
    </cfRule>
  </conditionalFormatting>
  <conditionalFormatting sqref="F10:F12">
    <cfRule type="cellIs" dxfId="934" priority="62" operator="greaterThan">
      <formula>#REF!</formula>
    </cfRule>
  </conditionalFormatting>
  <conditionalFormatting sqref="F10:F47">
    <cfRule type="cellIs" dxfId="933" priority="15" operator="greaterThan">
      <formula>$AA10</formula>
    </cfRule>
  </conditionalFormatting>
  <conditionalFormatting sqref="F13">
    <cfRule type="cellIs" dxfId="932" priority="53" operator="greaterThan">
      <formula>$AA47</formula>
    </cfRule>
  </conditionalFormatting>
  <conditionalFormatting sqref="F14">
    <cfRule type="cellIs" dxfId="931" priority="196" operator="greaterThan">
      <formula>#REF!</formula>
    </cfRule>
  </conditionalFormatting>
  <conditionalFormatting sqref="F33:F46">
    <cfRule type="cellIs" dxfId="930" priority="26" operator="greaterThan">
      <formula>$AA48</formula>
    </cfRule>
  </conditionalFormatting>
  <conditionalFormatting sqref="F76">
    <cfRule type="cellIs" dxfId="929" priority="187" stopIfTrue="1" operator="lessThan">
      <formula>96.8</formula>
    </cfRule>
    <cfRule type="cellIs" dxfId="928" priority="188" stopIfTrue="1" operator="greaterThan">
      <formula>100</formula>
    </cfRule>
  </conditionalFormatting>
  <conditionalFormatting sqref="F97">
    <cfRule type="cellIs" dxfId="927" priority="137" stopIfTrue="1" operator="greaterThan">
      <formula>$F97</formula>
    </cfRule>
    <cfRule type="cellIs" dxfId="926" priority="138" stopIfTrue="1" operator="lessThanOrEqual">
      <formula>0</formula>
    </cfRule>
  </conditionalFormatting>
  <conditionalFormatting sqref="G10:G14">
    <cfRule type="expression" dxfId="925" priority="54">
      <formula>IF(+(IF(G10&lt;#REF!,0,IF(G10&gt;#REF!,0,1)))=0,1)</formula>
    </cfRule>
  </conditionalFormatting>
  <conditionalFormatting sqref="G33:G46">
    <cfRule type="expression" dxfId="924" priority="27">
      <formula>IF(+(IF(G33&lt;#REF!,0,IF(G33&gt;#REF!,0,1)))=0,1)</formula>
    </cfRule>
  </conditionalFormatting>
  <conditionalFormatting sqref="G90">
    <cfRule type="cellIs" dxfId="923" priority="70" stopIfTrue="1" operator="greaterThan">
      <formula>$F89</formula>
    </cfRule>
    <cfRule type="cellIs" dxfId="922" priority="71" stopIfTrue="1" operator="lessThanOrEqual">
      <formula>0</formula>
    </cfRule>
  </conditionalFormatting>
  <conditionalFormatting sqref="G90:G91">
    <cfRule type="cellIs" dxfId="921" priority="191" stopIfTrue="1" operator="greaterThan">
      <formula>$F89</formula>
    </cfRule>
    <cfRule type="cellIs" dxfId="920" priority="192" stopIfTrue="1" operator="lessThanOrEqual">
      <formula>0</formula>
    </cfRule>
  </conditionalFormatting>
  <conditionalFormatting sqref="G92">
    <cfRule type="cellIs" dxfId="919" priority="139" stopIfTrue="1" operator="greaterThan">
      <formula>$F92</formula>
    </cfRule>
    <cfRule type="cellIs" dxfId="918" priority="140" stopIfTrue="1" operator="lessThanOrEqual">
      <formula>0</formula>
    </cfRule>
  </conditionalFormatting>
  <conditionalFormatting sqref="G93:G96">
    <cfRule type="cellIs" dxfId="917" priority="148" stopIfTrue="1" operator="greaterThan">
      <formula>$J93</formula>
    </cfRule>
    <cfRule type="cellIs" dxfId="916" priority="149" stopIfTrue="1" operator="lessThanOrEqual">
      <formula>0</formula>
    </cfRule>
  </conditionalFormatting>
  <conditionalFormatting sqref="G97">
    <cfRule type="cellIs" dxfId="915" priority="147" operator="greaterThan">
      <formula>4.5</formula>
    </cfRule>
  </conditionalFormatting>
  <conditionalFormatting sqref="G102:G107 C105 C107">
    <cfRule type="cellIs" dxfId="914" priority="184" stopIfTrue="1" operator="greaterThan">
      <formula>4.5</formula>
    </cfRule>
    <cfRule type="cellIs" dxfId="913" priority="185" stopIfTrue="1" operator="lessThanOrEqual">
      <formula>0</formula>
    </cfRule>
  </conditionalFormatting>
  <conditionalFormatting sqref="G62:H62 G63:G73 H63:H74">
    <cfRule type="cellIs" dxfId="912" priority="163" stopIfTrue="1" operator="greaterThan">
      <formula>0</formula>
    </cfRule>
  </conditionalFormatting>
  <conditionalFormatting sqref="G101:H101">
    <cfRule type="cellIs" dxfId="911" priority="165" stopIfTrue="1" operator="greaterThan">
      <formula>$F$100</formula>
    </cfRule>
    <cfRule type="cellIs" dxfId="910" priority="166" stopIfTrue="1" operator="lessThanOrEqual">
      <formula>0</formula>
    </cfRule>
  </conditionalFormatting>
  <conditionalFormatting sqref="H10">
    <cfRule type="expression" dxfId="909" priority="63">
      <formula>IF(+(IF(H10&lt;T27,0,IF(H10&gt;U27,0,1)))=0,1)</formula>
    </cfRule>
  </conditionalFormatting>
  <conditionalFormatting sqref="H10:H12">
    <cfRule type="expression" dxfId="908" priority="64">
      <formula>IF(+(IF(H10&lt;#REF!,0,IF(H10&gt;#REF!,0,1)))=0,1)</formula>
    </cfRule>
  </conditionalFormatting>
  <conditionalFormatting sqref="H11:H12">
    <cfRule type="expression" dxfId="907" priority="207">
      <formula>IF(+(IF(H11&lt;T47,0,IF(H11&gt;U47,0,1)))=0,1)</formula>
    </cfRule>
  </conditionalFormatting>
  <conditionalFormatting sqref="H13">
    <cfRule type="expression" dxfId="906" priority="55">
      <formula>IF(+(IF(H13&lt;T56,0,IF(H13&gt;U56,0,1)))=0,1)</formula>
    </cfRule>
    <cfRule type="expression" dxfId="905" priority="56">
      <formula>IF(+(IF(H13&lt;T47,0,IF(H13&gt;U47,0,1)))=0,1)</formula>
    </cfRule>
  </conditionalFormatting>
  <conditionalFormatting sqref="H14">
    <cfRule type="expression" dxfId="904" priority="197">
      <formula>IF(+(IF(H14&lt;T50,0,IF(H14&gt;U50,0,1)))=0,1)</formula>
    </cfRule>
    <cfRule type="expression" dxfId="903" priority="198">
      <formula>IF(+(IF(H14&lt;#REF!,0,IF(H14&gt;#REF!,0,1)))=0,1)</formula>
    </cfRule>
  </conditionalFormatting>
  <conditionalFormatting sqref="H15:H32">
    <cfRule type="expression" dxfId="902" priority="209">
      <formula>IF(+(IF(H15&lt;T66,0,IF(H15&gt;U66,0,1)))=0,1)</formula>
    </cfRule>
  </conditionalFormatting>
  <conditionalFormatting sqref="H33:H46">
    <cfRule type="expression" dxfId="901" priority="28">
      <formula>IF(+(IF(H33&lt;T57,0,IF(H33&gt;U57,0,1)))=0,1)</formula>
    </cfRule>
    <cfRule type="expression" dxfId="900" priority="29">
      <formula>IF(+(IF(H33&lt;T48,0,IF(H33&gt;U48,0,1)))=0,1)</formula>
    </cfRule>
  </conditionalFormatting>
  <conditionalFormatting sqref="H47">
    <cfRule type="expression" dxfId="899" priority="193">
      <formula>IF(+(IF(H47&lt;#REF!,0,IF(H47&gt;#REF!,0,1)))=0,1)</formula>
    </cfRule>
  </conditionalFormatting>
  <conditionalFormatting sqref="H51:H61">
    <cfRule type="cellIs" dxfId="898" priority="159" stopIfTrue="1" operator="greaterThan">
      <formula>0</formula>
    </cfRule>
  </conditionalFormatting>
  <conditionalFormatting sqref="H79">
    <cfRule type="cellIs" dxfId="897" priority="2" stopIfTrue="1" operator="lessThanOrEqual">
      <formula>0</formula>
    </cfRule>
    <cfRule type="cellIs" dxfId="896" priority="3" stopIfTrue="1" operator="greaterThan">
      <formula>$F$53</formula>
    </cfRule>
    <cfRule type="cellIs" dxfId="895" priority="11" stopIfTrue="1" operator="greaterThan">
      <formula>$F$56</formula>
    </cfRule>
    <cfRule type="cellIs" dxfId="894" priority="12" stopIfTrue="1" operator="lessThanOrEqual">
      <formula>0</formula>
    </cfRule>
    <cfRule type="cellIs" dxfId="893" priority="13" stopIfTrue="1" operator="greaterThan">
      <formula>$F$54</formula>
    </cfRule>
    <cfRule type="cellIs" dxfId="892" priority="14" stopIfTrue="1" operator="lessThanOrEqual">
      <formula>0</formula>
    </cfRule>
  </conditionalFormatting>
  <conditionalFormatting sqref="H80">
    <cfRule type="cellIs" dxfId="891" priority="92" stopIfTrue="1" operator="lessThanOrEqual">
      <formula>0</formula>
    </cfRule>
    <cfRule type="cellIs" dxfId="890" priority="93" stopIfTrue="1" operator="greaterThan">
      <formula>$F$88</formula>
    </cfRule>
    <cfRule type="cellIs" dxfId="889" priority="101" stopIfTrue="1" operator="greaterThan">
      <formula>$F$91</formula>
    </cfRule>
    <cfRule type="cellIs" dxfId="888" priority="102" stopIfTrue="1" operator="lessThanOrEqual">
      <formula>0</formula>
    </cfRule>
    <cfRule type="cellIs" dxfId="887" priority="103" stopIfTrue="1" operator="greaterThan">
      <formula>$F$89</formula>
    </cfRule>
    <cfRule type="cellIs" dxfId="886" priority="104" stopIfTrue="1" operator="lessThanOrEqual">
      <formula>0</formula>
    </cfRule>
  </conditionalFormatting>
  <conditionalFormatting sqref="H81">
    <cfRule type="cellIs" dxfId="885" priority="35" stopIfTrue="1" operator="lessThanOrEqual">
      <formula>0</formula>
    </cfRule>
    <cfRule type="cellIs" dxfId="884" priority="36" stopIfTrue="1" operator="greaterThan">
      <formula>$F$72</formula>
    </cfRule>
    <cfRule type="cellIs" dxfId="883" priority="44" stopIfTrue="1" operator="greaterThan">
      <formula>$F$75</formula>
    </cfRule>
    <cfRule type="cellIs" dxfId="882" priority="45" stopIfTrue="1" operator="lessThanOrEqual">
      <formula>0</formula>
    </cfRule>
    <cfRule type="cellIs" dxfId="881" priority="46" stopIfTrue="1" operator="greaterThan">
      <formula>$F$73</formula>
    </cfRule>
    <cfRule type="cellIs" dxfId="880" priority="47" stopIfTrue="1" operator="lessThanOrEqual">
      <formula>0</formula>
    </cfRule>
  </conditionalFormatting>
  <conditionalFormatting sqref="H82">
    <cfRule type="cellIs" dxfId="879" priority="75" stopIfTrue="1" operator="lessThanOrEqual">
      <formula>0</formula>
    </cfRule>
    <cfRule type="cellIs" dxfId="878" priority="76" stopIfTrue="1" operator="greaterThan">
      <formula>#REF!</formula>
    </cfRule>
    <cfRule type="cellIs" dxfId="877" priority="84" stopIfTrue="1" operator="greaterThan">
      <formula>#REF!</formula>
    </cfRule>
  </conditionalFormatting>
  <conditionalFormatting sqref="H82:H84">
    <cfRule type="cellIs" dxfId="876" priority="85" stopIfTrue="1" operator="lessThanOrEqual">
      <formula>0</formula>
    </cfRule>
  </conditionalFormatting>
  <conditionalFormatting sqref="H83:H84">
    <cfRule type="cellIs" dxfId="875" priority="114" stopIfTrue="1" operator="greaterThan">
      <formula>$F$89</formula>
    </cfRule>
    <cfRule type="cellIs" dxfId="874" priority="122" stopIfTrue="1" operator="greaterThan">
      <formula>$F$92</formula>
    </cfRule>
    <cfRule type="cellIs" dxfId="873" priority="123" stopIfTrue="1" operator="lessThanOrEqual">
      <formula>0</formula>
    </cfRule>
    <cfRule type="cellIs" dxfId="872" priority="124" stopIfTrue="1" operator="greaterThan">
      <formula>$F$90</formula>
    </cfRule>
    <cfRule type="cellIs" dxfId="871" priority="125" stopIfTrue="1" operator="lessThanOrEqual">
      <formula>0</formula>
    </cfRule>
  </conditionalFormatting>
  <conditionalFormatting sqref="H85">
    <cfRule type="cellIs" dxfId="870" priority="153" stopIfTrue="1" operator="greaterThan">
      <formula>$F$86</formula>
    </cfRule>
    <cfRule type="cellIs" dxfId="869" priority="154" stopIfTrue="1" operator="lessThanOrEqual">
      <formula>0</formula>
    </cfRule>
    <cfRule type="cellIs" dxfId="868" priority="155" stopIfTrue="1" operator="greaterThan">
      <formula>$F$82</formula>
    </cfRule>
    <cfRule type="cellIs" dxfId="867" priority="156" stopIfTrue="1" operator="lessThanOrEqual">
      <formula>0</formula>
    </cfRule>
  </conditionalFormatting>
  <conditionalFormatting sqref="H89:H96">
    <cfRule type="cellIs" dxfId="866" priority="126" stopIfTrue="1" operator="greaterThan">
      <formula>$J89</formula>
    </cfRule>
    <cfRule type="cellIs" dxfId="865" priority="127" stopIfTrue="1" operator="lessThanOrEqual">
      <formula>0</formula>
    </cfRule>
  </conditionalFormatting>
  <conditionalFormatting sqref="H97">
    <cfRule type="cellIs" dxfId="864" priority="132" operator="greaterThan">
      <formula>5.3</formula>
    </cfRule>
  </conditionalFormatting>
  <conditionalFormatting sqref="H100 H102:H108">
    <cfRule type="cellIs" dxfId="863" priority="177" stopIfTrue="1" operator="greaterThan">
      <formula>4.5</formula>
    </cfRule>
    <cfRule type="cellIs" dxfId="862" priority="178" stopIfTrue="1" operator="lessThanOrEqual">
      <formula>0</formula>
    </cfRule>
  </conditionalFormatting>
  <conditionalFormatting sqref="H79:I79">
    <cfRule type="cellIs" dxfId="861" priority="1" stopIfTrue="1" operator="greaterThan">
      <formula>$F$55</formula>
    </cfRule>
    <cfRule type="cellIs" dxfId="860" priority="4" stopIfTrue="1" operator="lessThanOrEqual">
      <formula>0</formula>
    </cfRule>
  </conditionalFormatting>
  <conditionalFormatting sqref="H80:I80">
    <cfRule type="cellIs" dxfId="859" priority="91" stopIfTrue="1" operator="greaterThan">
      <formula>$F$90</formula>
    </cfRule>
    <cfRule type="cellIs" dxfId="858" priority="94" stopIfTrue="1" operator="lessThanOrEqual">
      <formula>0</formula>
    </cfRule>
  </conditionalFormatting>
  <conditionalFormatting sqref="H81:I81">
    <cfRule type="cellIs" dxfId="857" priority="34" stopIfTrue="1" operator="greaterThan">
      <formula>$F$74</formula>
    </cfRule>
    <cfRule type="cellIs" dxfId="856" priority="37" stopIfTrue="1" operator="lessThanOrEqual">
      <formula>0</formula>
    </cfRule>
  </conditionalFormatting>
  <conditionalFormatting sqref="H82:I82">
    <cfRule type="cellIs" dxfId="855" priority="74" stopIfTrue="1" operator="greaterThan">
      <formula>#REF!</formula>
    </cfRule>
    <cfRule type="cellIs" dxfId="854" priority="77" stopIfTrue="1" operator="lessThanOrEqual">
      <formula>0</formula>
    </cfRule>
    <cfRule type="cellIs" dxfId="853" priority="82" stopIfTrue="1" operator="greaterThan">
      <formula>#REF!</formula>
    </cfRule>
    <cfRule type="cellIs" dxfId="852" priority="83" stopIfTrue="1" operator="lessThanOrEqual">
      <formula>0</formula>
    </cfRule>
  </conditionalFormatting>
  <conditionalFormatting sqref="H83:I83">
    <cfRule type="cellIs" dxfId="851" priority="115" stopIfTrue="1" operator="lessThanOrEqual">
      <formula>0</formula>
    </cfRule>
  </conditionalFormatting>
  <conditionalFormatting sqref="H83:I84">
    <cfRule type="cellIs" dxfId="850" priority="72" stopIfTrue="1" operator="greaterThan">
      <formula>$F$91</formula>
    </cfRule>
  </conditionalFormatting>
  <conditionalFormatting sqref="H84:I84">
    <cfRule type="cellIs" dxfId="849" priority="73" stopIfTrue="1" operator="lessThanOrEqual">
      <formula>0</formula>
    </cfRule>
  </conditionalFormatting>
  <conditionalFormatting sqref="I10:I14">
    <cfRule type="cellIs" dxfId="848" priority="49" operator="lessThan">
      <formula>97.8</formula>
    </cfRule>
  </conditionalFormatting>
  <conditionalFormatting sqref="I10:I47">
    <cfRule type="cellIs" dxfId="847" priority="21" operator="lessThan">
      <formula>98</formula>
    </cfRule>
  </conditionalFormatting>
  <conditionalFormatting sqref="I33:I46">
    <cfRule type="cellIs" dxfId="846" priority="22" operator="lessThan">
      <formula>97.8</formula>
    </cfRule>
  </conditionalFormatting>
  <conditionalFormatting sqref="I79">
    <cfRule type="cellIs" dxfId="845" priority="5" stopIfTrue="1" operator="greaterThan">
      <formula>$F$53</formula>
    </cfRule>
    <cfRule type="cellIs" dxfId="844" priority="6" stopIfTrue="1" operator="lessThanOrEqual">
      <formula>0</formula>
    </cfRule>
    <cfRule type="cellIs" dxfId="843" priority="7" stopIfTrue="1" operator="greaterThan">
      <formula>$F$55</formula>
    </cfRule>
    <cfRule type="cellIs" dxfId="842" priority="8" stopIfTrue="1" operator="lessThanOrEqual">
      <formula>0</formula>
    </cfRule>
    <cfRule type="cellIs" dxfId="841" priority="9" stopIfTrue="1" operator="greaterThan">
      <formula>$F$53</formula>
    </cfRule>
    <cfRule type="cellIs" dxfId="840" priority="10" stopIfTrue="1" operator="lessThanOrEqual">
      <formula>0</formula>
    </cfRule>
  </conditionalFormatting>
  <conditionalFormatting sqref="I80">
    <cfRule type="cellIs" dxfId="839" priority="95" stopIfTrue="1" operator="greaterThan">
      <formula>$F$88</formula>
    </cfRule>
    <cfRule type="cellIs" dxfId="838" priority="96" stopIfTrue="1" operator="lessThanOrEqual">
      <formula>0</formula>
    </cfRule>
    <cfRule type="cellIs" dxfId="837" priority="97" stopIfTrue="1" operator="greaterThan">
      <formula>$F$90</formula>
    </cfRule>
    <cfRule type="cellIs" dxfId="836" priority="98" stopIfTrue="1" operator="lessThanOrEqual">
      <formula>0</formula>
    </cfRule>
    <cfRule type="cellIs" dxfId="835" priority="99" stopIfTrue="1" operator="greaterThan">
      <formula>$F$88</formula>
    </cfRule>
    <cfRule type="cellIs" dxfId="834" priority="100" stopIfTrue="1" operator="lessThanOrEqual">
      <formula>0</formula>
    </cfRule>
  </conditionalFormatting>
  <conditionalFormatting sqref="I81">
    <cfRule type="cellIs" dxfId="833" priority="38" stopIfTrue="1" operator="greaterThan">
      <formula>$F$72</formula>
    </cfRule>
    <cfRule type="cellIs" dxfId="832" priority="39" stopIfTrue="1" operator="lessThanOrEqual">
      <formula>0</formula>
    </cfRule>
    <cfRule type="cellIs" dxfId="831" priority="40" stopIfTrue="1" operator="greaterThan">
      <formula>$F$74</formula>
    </cfRule>
    <cfRule type="cellIs" dxfId="830" priority="41" stopIfTrue="1" operator="lessThanOrEqual">
      <formula>0</formula>
    </cfRule>
    <cfRule type="cellIs" dxfId="829" priority="42" stopIfTrue="1" operator="greaterThan">
      <formula>$F$72</formula>
    </cfRule>
    <cfRule type="cellIs" dxfId="828" priority="43" stopIfTrue="1" operator="lessThanOrEqual">
      <formula>0</formula>
    </cfRule>
  </conditionalFormatting>
  <conditionalFormatting sqref="I82">
    <cfRule type="cellIs" dxfId="827" priority="78" stopIfTrue="1" operator="greaterThan">
      <formula>#REF!</formula>
    </cfRule>
    <cfRule type="cellIs" dxfId="826" priority="79" stopIfTrue="1" operator="lessThanOrEqual">
      <formula>0</formula>
    </cfRule>
    <cfRule type="cellIs" dxfId="825" priority="80" stopIfTrue="1" operator="greaterThan">
      <formula>#REF!</formula>
    </cfRule>
    <cfRule type="cellIs" dxfId="824" priority="81" stopIfTrue="1" operator="lessThanOrEqual">
      <formula>0</formula>
    </cfRule>
  </conditionalFormatting>
  <conditionalFormatting sqref="I83:I84">
    <cfRule type="cellIs" dxfId="823" priority="116" stopIfTrue="1" operator="greaterThan">
      <formula>$F$89</formula>
    </cfRule>
    <cfRule type="cellIs" dxfId="822" priority="117" stopIfTrue="1" operator="lessThanOrEqual">
      <formula>0</formula>
    </cfRule>
    <cfRule type="cellIs" dxfId="821" priority="118" stopIfTrue="1" operator="greaterThan">
      <formula>$F$91</formula>
    </cfRule>
    <cfRule type="cellIs" dxfId="820" priority="119" stopIfTrue="1" operator="lessThanOrEqual">
      <formula>0</formula>
    </cfRule>
    <cfRule type="cellIs" dxfId="819" priority="120" stopIfTrue="1" operator="greaterThan">
      <formula>$F$89</formula>
    </cfRule>
    <cfRule type="cellIs" dxfId="818" priority="121" stopIfTrue="1" operator="lessThanOrEqual">
      <formula>0</formula>
    </cfRule>
  </conditionalFormatting>
  <conditionalFormatting sqref="I89:I97">
    <cfRule type="cellIs" dxfId="817" priority="133" stopIfTrue="1" operator="greaterThan">
      <formula>$J89</formula>
    </cfRule>
    <cfRule type="cellIs" dxfId="816" priority="134" stopIfTrue="1" operator="lessThanOrEqual">
      <formula>0</formula>
    </cfRule>
  </conditionalFormatting>
  <conditionalFormatting sqref="I100:I108">
    <cfRule type="cellIs" dxfId="815" priority="173" stopIfTrue="1" operator="greaterThan">
      <formula>4.5</formula>
    </cfRule>
    <cfRule type="cellIs" dxfId="814" priority="174" stopIfTrue="1" operator="lessThanOrEqual">
      <formula>0</formula>
    </cfRule>
  </conditionalFormatting>
  <conditionalFormatting sqref="J10:J14">
    <cfRule type="cellIs" dxfId="813" priority="51" operator="notBetween">
      <formula>98</formula>
      <formula>99.9</formula>
    </cfRule>
  </conditionalFormatting>
  <conditionalFormatting sqref="J10:J47">
    <cfRule type="cellIs" dxfId="812" priority="20" operator="lessThan">
      <formula>97.4</formula>
    </cfRule>
  </conditionalFormatting>
  <conditionalFormatting sqref="J33:J46">
    <cfRule type="cellIs" dxfId="811" priority="24" operator="notBetween">
      <formula>98</formula>
      <formula>99.9</formula>
    </cfRule>
  </conditionalFormatting>
  <conditionalFormatting sqref="J50:J52">
    <cfRule type="cellIs" dxfId="810" priority="107" stopIfTrue="1" operator="lessThan">
      <formula>96.8</formula>
    </cfRule>
    <cfRule type="cellIs" dxfId="809" priority="108" stopIfTrue="1" operator="greaterThan">
      <formula>100</formula>
    </cfRule>
    <cfRule type="cellIs" dxfId="808" priority="109" operator="lessThan">
      <formula>98</formula>
    </cfRule>
  </conditionalFormatting>
  <conditionalFormatting sqref="J50:J54">
    <cfRule type="cellIs" dxfId="807" priority="48" operator="lessThan">
      <formula>97.4</formula>
    </cfRule>
  </conditionalFormatting>
  <conditionalFormatting sqref="J55 L59:M59 L61:M61">
    <cfRule type="cellIs" dxfId="806" priority="110" operator="lessThan">
      <formula>98</formula>
    </cfRule>
  </conditionalFormatting>
  <conditionalFormatting sqref="J56:J57">
    <cfRule type="cellIs" dxfId="805" priority="111" stopIfTrue="1" operator="lessThan">
      <formula>96.8</formula>
    </cfRule>
    <cfRule type="cellIs" dxfId="804" priority="112" stopIfTrue="1" operator="greaterThan">
      <formula>100</formula>
    </cfRule>
  </conditionalFormatting>
  <conditionalFormatting sqref="J56:J58">
    <cfRule type="cellIs" dxfId="803" priority="113" operator="lessThan">
      <formula>98</formula>
    </cfRule>
  </conditionalFormatting>
  <conditionalFormatting sqref="K10:K14">
    <cfRule type="cellIs" dxfId="802" priority="50" operator="greaterThan">
      <formula>6.4</formula>
    </cfRule>
  </conditionalFormatting>
  <conditionalFormatting sqref="K10:K47">
    <cfRule type="cellIs" dxfId="801" priority="16" operator="greaterThan">
      <formula>6</formula>
    </cfRule>
    <cfRule type="cellIs" dxfId="800" priority="17" operator="lessThan">
      <formula>4</formula>
    </cfRule>
  </conditionalFormatting>
  <conditionalFormatting sqref="K33:K46">
    <cfRule type="cellIs" dxfId="799" priority="23" operator="greaterThan">
      <formula>6.4</formula>
    </cfRule>
  </conditionalFormatting>
  <conditionalFormatting sqref="K64:K73">
    <cfRule type="cellIs" dxfId="798" priority="141" operator="notEqual">
      <formula>#REF!</formula>
    </cfRule>
  </conditionalFormatting>
  <conditionalFormatting sqref="K79:K84 J85:K85 L89:N89 K90:N97">
    <cfRule type="cellIs" dxfId="797" priority="152" stopIfTrue="1" operator="lessThan">
      <formula>100%</formula>
    </cfRule>
  </conditionalFormatting>
  <conditionalFormatting sqref="K100:K105">
    <cfRule type="cellIs" dxfId="796" priority="179" stopIfTrue="1" operator="lessThan">
      <formula>100%</formula>
    </cfRule>
  </conditionalFormatting>
  <conditionalFormatting sqref="K107:K108">
    <cfRule type="cellIs" dxfId="795" priority="186" stopIfTrue="1" operator="lessThan">
      <formula>100%</formula>
    </cfRule>
  </conditionalFormatting>
  <conditionalFormatting sqref="L10:L47">
    <cfRule type="cellIs" dxfId="794" priority="18" operator="between">
      <formula>61</formula>
      <formula>65</formula>
    </cfRule>
    <cfRule type="cellIs" dxfId="793" priority="19" operator="greaterThan">
      <formula>65</formula>
    </cfRule>
  </conditionalFormatting>
  <conditionalFormatting sqref="L52:L58">
    <cfRule type="cellIs" dxfId="792" priority="88" operator="lessThan">
      <formula>98</formula>
    </cfRule>
  </conditionalFormatting>
  <conditionalFormatting sqref="L65:N65">
    <cfRule type="cellIs" dxfId="791" priority="87" operator="notEqual">
      <formula>#REF!</formula>
    </cfRule>
  </conditionalFormatting>
  <conditionalFormatting sqref="L100:N108">
    <cfRule type="cellIs" dxfId="790" priority="164" stopIfTrue="1" operator="lessThan">
      <formula>100%</formula>
    </cfRule>
  </conditionalFormatting>
  <conditionalFormatting sqref="M10:M11">
    <cfRule type="expression" dxfId="789" priority="65">
      <formula>IF(+(IF(M10&lt;V23,0,IF(M10&gt;W23,0,1)))=0,1)</formula>
    </cfRule>
  </conditionalFormatting>
  <conditionalFormatting sqref="M13">
    <cfRule type="expression" dxfId="788" priority="57">
      <formula>IF(+(IF(M13&lt;V52,0,IF(M13&gt;W52,0,1)))=0,1)</formula>
    </cfRule>
    <cfRule type="expression" dxfId="787" priority="58">
      <formula>IF(+(IF(M13&lt;V47,0,IF(M13&gt;W47,0,1)))=0,1)</formula>
    </cfRule>
  </conditionalFormatting>
  <conditionalFormatting sqref="M14">
    <cfRule type="expression" dxfId="786" priority="199">
      <formula>IF(+(IF(M14&lt;V27,0,IF(M14&gt;W27,0,1)))=0,1)</formula>
    </cfRule>
  </conditionalFormatting>
  <conditionalFormatting sqref="M15:M32">
    <cfRule type="expression" dxfId="785" priority="210">
      <formula>IF(+(IF(M15&lt;V62,0,IF(M15&gt;W62,0,1)))=0,1)</formula>
    </cfRule>
  </conditionalFormatting>
  <conditionalFormatting sqref="M33:M46">
    <cfRule type="expression" dxfId="784" priority="30">
      <formula>IF(+(IF(M33&lt;V53,0,IF(M33&gt;W53,0,1)))=0,1)</formula>
    </cfRule>
    <cfRule type="expression" dxfId="783" priority="31">
      <formula>IF(+(IF(M33&lt;V48,0,IF(M33&gt;W48,0,1)))=0,1)</formula>
    </cfRule>
  </conditionalFormatting>
  <conditionalFormatting sqref="M50:M58">
    <cfRule type="cellIs" dxfId="782" priority="86" operator="lessThan">
      <formula>98</formula>
    </cfRule>
  </conditionalFormatting>
  <conditionalFormatting sqref="M10:N12">
    <cfRule type="expression" dxfId="781" priority="66">
      <formula>IF(+(IF(M10&lt;#REF!,0,IF(M10&gt;#REF!,0,1)))=0,1)</formula>
    </cfRule>
  </conditionalFormatting>
  <conditionalFormatting sqref="M14:N14">
    <cfRule type="expression" dxfId="780" priority="200">
      <formula>IF(+(IF(M14&lt;#REF!,0,IF(M14&gt;#REF!,0,1)))=0,1)</formula>
    </cfRule>
  </conditionalFormatting>
  <conditionalFormatting sqref="M47:N47">
    <cfRule type="expression" dxfId="779" priority="194">
      <formula>IF(+(IF(M47&lt;#REF!,0,IF(M47&gt;#REF!,0,1)))=0,1)</formula>
    </cfRule>
  </conditionalFormatting>
  <conditionalFormatting sqref="N10:N11">
    <cfRule type="expression" dxfId="778" priority="67">
      <formula>IF(+(IF(N10&lt;X23,0,IF(N10&gt;Y23,0,1)))=0,1)</formula>
    </cfRule>
  </conditionalFormatting>
  <conditionalFormatting sqref="N13">
    <cfRule type="expression" dxfId="777" priority="59">
      <formula>IF(+(IF(N13&lt;X52,0,IF(N13&gt;Y52,0,1)))=0,1)</formula>
    </cfRule>
    <cfRule type="expression" dxfId="776" priority="60">
      <formula>IF(+(IF(N13&lt;X47,0,IF(N13&gt;Y47,0,1)))=0,1)</formula>
    </cfRule>
  </conditionalFormatting>
  <conditionalFormatting sqref="N14">
    <cfRule type="expression" dxfId="775" priority="203">
      <formula>IF(+(IF(N14&lt;X27,0,IF(N14&gt;Y27,0,1)))=0,1)</formula>
    </cfRule>
  </conditionalFormatting>
  <conditionalFormatting sqref="N15:N32">
    <cfRule type="expression" dxfId="774" priority="211">
      <formula>IF(+(IF(N15&lt;X62,0,IF(N15&gt;Y62,0,1)))=0,1)</formula>
    </cfRule>
  </conditionalFormatting>
  <conditionalFormatting sqref="N33:N46">
    <cfRule type="expression" dxfId="773" priority="32">
      <formula>IF(+(IF(N33&lt;X53,0,IF(N33&gt;Y53,0,1)))=0,1)</formula>
    </cfRule>
    <cfRule type="expression" dxfId="772" priority="33">
      <formula>IF(+(IF(N33&lt;X48,0,IF(N33&gt;Y48,0,1)))=0,1)</formula>
    </cfRule>
  </conditionalFormatting>
  <conditionalFormatting sqref="P6">
    <cfRule type="cellIs" dxfId="771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zoomScale="85" zoomScaleNormal="85" workbookViewId="0">
      <selection activeCell="B11" sqref="B11:O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49" t="s">
        <v>0</v>
      </c>
      <c r="T1" s="549"/>
      <c r="U1" s="549" t="s">
        <v>1</v>
      </c>
      <c r="V1" s="549"/>
      <c r="W1" s="549" t="s">
        <v>2</v>
      </c>
      <c r="X1" s="549"/>
      <c r="Y1" s="549" t="s">
        <v>124</v>
      </c>
      <c r="Z1" s="549"/>
    </row>
    <row r="2" spans="2:29" ht="15">
      <c r="B2" s="550" t="s">
        <v>3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5"/>
      <c r="D5" s="545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3" t="s">
        <v>17</v>
      </c>
      <c r="C8" s="512" t="s">
        <v>18</v>
      </c>
      <c r="D8" s="512" t="s">
        <v>19</v>
      </c>
      <c r="E8" s="356" t="s">
        <v>20</v>
      </c>
      <c r="F8" s="356" t="s">
        <v>21</v>
      </c>
      <c r="G8" s="512" t="s">
        <v>22</v>
      </c>
      <c r="H8" s="547" t="s">
        <v>144</v>
      </c>
      <c r="I8" s="512" t="s">
        <v>167</v>
      </c>
      <c r="J8" s="538" t="s">
        <v>23</v>
      </c>
      <c r="K8" s="540" t="s">
        <v>142</v>
      </c>
      <c r="L8" s="542" t="s">
        <v>24</v>
      </c>
      <c r="M8" s="359" t="s">
        <v>25</v>
      </c>
      <c r="N8" s="17" t="s">
        <v>166</v>
      </c>
      <c r="O8" s="512" t="s">
        <v>155</v>
      </c>
      <c r="P8" s="544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37"/>
      <c r="D9" s="537"/>
      <c r="E9" s="357" t="s">
        <v>30</v>
      </c>
      <c r="F9" s="357" t="s">
        <v>31</v>
      </c>
      <c r="G9" s="537"/>
      <c r="H9" s="548"/>
      <c r="I9" s="537"/>
      <c r="J9" s="539"/>
      <c r="K9" s="541"/>
      <c r="L9" s="543"/>
      <c r="M9" s="20" t="s">
        <v>32</v>
      </c>
      <c r="N9" s="21" t="s">
        <v>41</v>
      </c>
      <c r="O9" s="537"/>
      <c r="P9" s="537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[4]Brewhouse!$A390</f>
        <v>ST331</v>
      </c>
      <c r="D10" s="279">
        <f>[4]Brewhouse!$AB390</f>
        <v>53.1</v>
      </c>
      <c r="E10" s="279">
        <f>[4]Brewhouse!$AG390</f>
        <v>49.3</v>
      </c>
      <c r="F10" s="278">
        <f>[4]Brewhouse!$V390</f>
        <v>65</v>
      </c>
      <c r="G10" s="279">
        <f>[4]Brewhouse!$AE390</f>
        <v>11.9</v>
      </c>
      <c r="H10" s="396">
        <v>12</v>
      </c>
      <c r="I10" s="368">
        <f>[4]Brewhouse!$AS390</f>
        <v>98.847023873347482</v>
      </c>
      <c r="J10" s="368">
        <f>[4]Brewhouse!$AT390</f>
        <v>99.485547628646145</v>
      </c>
      <c r="K10" s="281">
        <f>[4]Brewhouse!$Q390</f>
        <v>11.064030131826742</v>
      </c>
      <c r="L10" s="276">
        <f>[4]Brewhouse!$P390</f>
        <v>57</v>
      </c>
      <c r="M10" s="374">
        <f>[4]Brewhouse!$U390-[4]Brewhouse!$T390</f>
        <v>0.12430555555555556</v>
      </c>
      <c r="N10" s="370">
        <f>[4]Brewhouse!$AW390</f>
        <v>0.26597222222222222</v>
      </c>
      <c r="O10" s="419" t="str">
        <f>[4]Brewhouse!$AV390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[4]Brewhouse!$A391</f>
        <v>ST332</v>
      </c>
      <c r="D11" s="279">
        <f>[4]Brewhouse!$AB391</f>
        <v>53.1</v>
      </c>
      <c r="E11" s="279">
        <f>[4]Brewhouse!$AG391</f>
        <v>50.4</v>
      </c>
      <c r="F11" s="278">
        <f>[4]Brewhouse!$V391</f>
        <v>60</v>
      </c>
      <c r="G11" s="279">
        <f>[4]Brewhouse!$AE391</f>
        <v>11.7</v>
      </c>
      <c r="H11" s="396">
        <v>11.8</v>
      </c>
      <c r="I11" s="368">
        <f>[4]Brewhouse!$AS391</f>
        <v>99.266868267130036</v>
      </c>
      <c r="J11" s="368">
        <f>[4]Brewhouse!$AT391</f>
        <v>99.908104098204518</v>
      </c>
      <c r="K11" s="281">
        <f>[4]Brewhouse!$Q391</f>
        <v>8.9924670433144982</v>
      </c>
      <c r="L11" s="276">
        <f>[4]Brewhouse!$P391</f>
        <v>57</v>
      </c>
      <c r="M11" s="374">
        <f>[4]Brewhouse!$U391-[4]Brewhouse!$T391</f>
        <v>0.11388888888888882</v>
      </c>
      <c r="N11" s="370">
        <f>[4]Brewhouse!$AW391</f>
        <v>0.26111111111111107</v>
      </c>
      <c r="O11" s="419" t="str">
        <f>[4]Brewhouse!$AV391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[3]Brewhouse!$A789</f>
        <v>CA739</v>
      </c>
      <c r="D13" s="279">
        <f>[3]Brewhouse!$AF789</f>
        <v>47.4</v>
      </c>
      <c r="E13" s="279">
        <f>[3]Brewhouse!$AI789</f>
        <v>47.9</v>
      </c>
      <c r="F13" s="278">
        <f>[3]Brewhouse!$V789</f>
        <v>55</v>
      </c>
      <c r="G13" s="279">
        <f>[3]Brewhouse!AG789</f>
        <v>11.8</v>
      </c>
      <c r="H13" s="490">
        <v>12.2</v>
      </c>
      <c r="I13" s="368">
        <f>[3]Brewhouse!$AU789</f>
        <v>94.056577044182816</v>
      </c>
      <c r="J13" s="368">
        <f>[3]Brewhouse!$AV789</f>
        <v>94.785536062602233</v>
      </c>
      <c r="K13" s="281">
        <f>[3]Brewhouse!$Q789</f>
        <v>15.037037037037033</v>
      </c>
      <c r="L13" s="276">
        <f>[3]Brewhouse!$P789</f>
        <v>63</v>
      </c>
      <c r="M13" s="374">
        <f>[3]Brewhouse!$U789-[3]Brewhouse!$T789</f>
        <v>0.1118055555555556</v>
      </c>
      <c r="N13" s="370">
        <f>[3]Brewhouse!$Z789</f>
        <v>0.24861111111111112</v>
      </c>
      <c r="O13" s="419" t="str">
        <f>[3]Brewhouse!$AX789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[3]Brewhouse!$A790</f>
        <v>CA740</v>
      </c>
      <c r="D14" s="279">
        <f>[3]Brewhouse!$AF790</f>
        <v>49.8</v>
      </c>
      <c r="E14" s="279">
        <f>[3]Brewhouse!$AI790</f>
        <v>50.3</v>
      </c>
      <c r="F14" s="278">
        <f>[3]Brewhouse!$V790</f>
        <v>55</v>
      </c>
      <c r="G14" s="279">
        <f>[3]Brewhouse!AG790</f>
        <v>11.9</v>
      </c>
      <c r="H14" s="490">
        <v>12.2</v>
      </c>
      <c r="I14" s="368">
        <f>[3]Brewhouse!$AU790</f>
        <v>99.034024996783444</v>
      </c>
      <c r="J14" s="368">
        <f>[3]Brewhouse!$AV790</f>
        <v>99.801812518911376</v>
      </c>
      <c r="K14" s="281">
        <f>[3]Brewhouse!$Q790</f>
        <v>12.074074074074066</v>
      </c>
      <c r="L14" s="276">
        <f>[3]Brewhouse!$P790</f>
        <v>61</v>
      </c>
      <c r="M14" s="374">
        <f>[3]Brewhouse!$U790-[3]Brewhouse!$T790</f>
        <v>0.10972222222222228</v>
      </c>
      <c r="N14" s="370">
        <f>[3]Brewhouse!$Z790</f>
        <v>0.24305555555555558</v>
      </c>
      <c r="O14" s="419" t="str">
        <f>[3]Brewhouse!$AX790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[3]Brewhouse!$A791</f>
        <v>CA741</v>
      </c>
      <c r="D15" s="279">
        <f>[3]Brewhouse!$AF791</f>
        <v>48.5</v>
      </c>
      <c r="E15" s="279">
        <f>[3]Brewhouse!$AI791</f>
        <v>49.1</v>
      </c>
      <c r="F15" s="278">
        <f>[3]Brewhouse!$V791</f>
        <v>58</v>
      </c>
      <c r="G15" s="279">
        <f>[3]Brewhouse!AG791</f>
        <v>11.8</v>
      </c>
      <c r="H15" s="396">
        <v>11.9</v>
      </c>
      <c r="I15" s="368">
        <f>[3]Brewhouse!$AU791</f>
        <v>96.894771830654662</v>
      </c>
      <c r="J15" s="368">
        <f>[3]Brewhouse!$AV791</f>
        <v>97.645527862092081</v>
      </c>
      <c r="K15" s="281">
        <f>[3]Brewhouse!$Q791</f>
        <v>12.259259259259254</v>
      </c>
      <c r="L15" s="276">
        <f>[3]Brewhouse!$P791</f>
        <v>60</v>
      </c>
      <c r="M15" s="374">
        <f>[3]Brewhouse!$U791-[3]Brewhouse!$T791</f>
        <v>0.11250000000000004</v>
      </c>
      <c r="N15" s="370">
        <f>[3]Brewhouse!$Z791</f>
        <v>0.24513888888888891</v>
      </c>
      <c r="O15" s="419" t="str">
        <f>[3]Brewhouse!$AX791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[3]Brewhouse!$A792</f>
        <v>CA742</v>
      </c>
      <c r="D16" s="279">
        <f>[3]Brewhouse!$AF792</f>
        <v>51.2</v>
      </c>
      <c r="E16" s="279">
        <f>[3]Brewhouse!$AI792</f>
        <v>51.7</v>
      </c>
      <c r="F16" s="278">
        <f>[3]Brewhouse!$V792</f>
        <v>64</v>
      </c>
      <c r="G16" s="279">
        <f>[3]Brewhouse!AG792</f>
        <v>11.6</v>
      </c>
      <c r="H16" s="396">
        <v>12</v>
      </c>
      <c r="I16" s="368">
        <f>[3]Brewhouse!$AU792</f>
        <v>99.461062893244474</v>
      </c>
      <c r="J16" s="368">
        <f>[3]Brewhouse!$AV792</f>
        <v>100.23200954727312</v>
      </c>
      <c r="K16" s="281">
        <f>[3]Brewhouse!$Q792</f>
        <v>10.573012939001845</v>
      </c>
      <c r="L16" s="276">
        <f>[3]Brewhouse!$P792</f>
        <v>60</v>
      </c>
      <c r="M16" s="374">
        <f>[3]Brewhouse!$U792-[3]Brewhouse!$T792</f>
        <v>0.11458333333333326</v>
      </c>
      <c r="N16" s="370">
        <f>[3]Brewhouse!$Z792</f>
        <v>0.24236111111111103</v>
      </c>
      <c r="O16" s="419" t="str">
        <f>[3]Brewhouse!$AX792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[3]Brewhouse!$A793</f>
        <v>CA743</v>
      </c>
      <c r="D17" s="279">
        <f>[3]Brewhouse!$AF793</f>
        <v>50.4</v>
      </c>
      <c r="E17" s="279">
        <f>[3]Brewhouse!$AI793</f>
        <v>50.3</v>
      </c>
      <c r="F17" s="278">
        <f>[3]Brewhouse!$V793</f>
        <v>59</v>
      </c>
      <c r="G17" s="279">
        <f>[3]Brewhouse!AG793</f>
        <v>11.7</v>
      </c>
      <c r="H17" s="396">
        <v>11.7</v>
      </c>
      <c r="I17" s="368">
        <f>[3]Brewhouse!$AU793</f>
        <v>98.010640304902878</v>
      </c>
      <c r="J17" s="368">
        <f>[3]Brewhouse!$AV793</f>
        <v>98.770193886926663</v>
      </c>
      <c r="K17" s="281">
        <f>[3]Brewhouse!$Q793</f>
        <v>10.388170055452859</v>
      </c>
      <c r="L17" s="276">
        <f>[3]Brewhouse!$P793</f>
        <v>60</v>
      </c>
      <c r="M17" s="492"/>
      <c r="N17" s="492"/>
      <c r="O17" s="419" t="str">
        <f>[3]Brewhouse!$AX793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31"/>
      <c r="J26" s="531"/>
      <c r="K26" s="531"/>
      <c r="L26" s="531"/>
      <c r="M26" s="531"/>
      <c r="N26" s="531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32" t="s">
        <v>35</v>
      </c>
      <c r="E27" s="533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534"/>
      <c r="C28" s="483"/>
      <c r="D28" s="519"/>
      <c r="E28" s="520"/>
      <c r="F28" s="294"/>
      <c r="G28" s="294"/>
      <c r="H28" s="348"/>
      <c r="I28" s="29" t="s">
        <v>6</v>
      </c>
      <c r="J28" s="323">
        <f>AVERAGE(I13:I17)</f>
        <v>97.491415413953661</v>
      </c>
      <c r="K28" s="284">
        <f>COUNTA([3]Brewhouse!$A$789:$A$793)</f>
        <v>5</v>
      </c>
      <c r="L28" s="305">
        <f>AVERAGE([3]Brewhouse!$AU$789:$AU$793)</f>
        <v>97.491415413953661</v>
      </c>
      <c r="M28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$793)</f>
        <v>98.325659418051686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35"/>
      <c r="C29" s="362"/>
      <c r="D29" s="521"/>
      <c r="E29" s="522"/>
      <c r="F29" s="294"/>
      <c r="G29" s="294"/>
      <c r="H29" s="348"/>
      <c r="I29" s="33" t="s">
        <v>9</v>
      </c>
      <c r="J29" s="323">
        <f>AVERAGE(I10:I11)</f>
        <v>99.056946070238752</v>
      </c>
      <c r="K29" s="284">
        <f>COUNTA([4]Brewhouse!$A$390:$A$391)</f>
        <v>2</v>
      </c>
      <c r="L29" s="302">
        <f>AVERAGE([4]Brewhouse!$AS$390:$AS$391)</f>
        <v>99.056946070238752</v>
      </c>
      <c r="M29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$391)</f>
        <v>98.311229916038556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35"/>
      <c r="C30" s="362"/>
      <c r="D30" s="526"/>
      <c r="E30" s="527"/>
      <c r="F30" s="294"/>
      <c r="G30" s="294"/>
      <c r="H30" s="348"/>
      <c r="I30" s="34" t="s">
        <v>12</v>
      </c>
      <c r="J30" s="323"/>
      <c r="K30" s="284"/>
      <c r="L30" s="302"/>
      <c r="M3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35"/>
      <c r="C31" s="362"/>
      <c r="D31" s="528"/>
      <c r="E31" s="522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35"/>
      <c r="C32" s="362"/>
      <c r="D32" s="526"/>
      <c r="E32" s="527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35"/>
      <c r="C33" s="362"/>
      <c r="D33" s="528"/>
      <c r="E33" s="522"/>
      <c r="F33" s="416"/>
      <c r="G33" s="294"/>
      <c r="H33" s="348"/>
      <c r="I33" s="36" t="s">
        <v>15</v>
      </c>
      <c r="J33" s="323"/>
      <c r="K33" s="284"/>
      <c r="L33" s="302"/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35"/>
      <c r="C34" s="362"/>
      <c r="D34" s="526"/>
      <c r="E34" s="527"/>
      <c r="F34" s="416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35"/>
      <c r="C35" s="362"/>
      <c r="D35" s="528"/>
      <c r="E35" s="522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35"/>
      <c r="C36" s="362"/>
      <c r="D36" s="526"/>
      <c r="E36" s="527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35"/>
      <c r="C37" s="362"/>
      <c r="D37" s="528"/>
      <c r="E37" s="522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35"/>
      <c r="C38" s="349"/>
      <c r="D38" s="519"/>
      <c r="E38" s="520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97.938709887177964</v>
      </c>
      <c r="M38" s="404">
        <f>AVERAGE('[9]Jan30th-31st'!$L$42,'[10]Feb 27th-28th'!$L$45,'[11]Mar 31st'!$L$42,'[12]Apr 30th'!$L$41,'[13]May 29th '!$L$35,'[14]June 30th'!$L$32,[15]July31st!$L$36,'[16]Aug 31st'!$L$32,L38)</f>
        <v>97.977815979789696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75" thickBot="1">
      <c r="B39" s="536"/>
      <c r="C39" s="350"/>
      <c r="D39" s="521"/>
      <c r="E39" s="522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75" thickBot="1">
      <c r="B40" s="516"/>
      <c r="C40" s="362"/>
      <c r="D40" s="519"/>
      <c r="E40" s="520"/>
      <c r="F40" s="294"/>
      <c r="G40" s="42"/>
      <c r="H40" s="41"/>
      <c r="I40" s="42"/>
      <c r="J40" s="523" t="s">
        <v>129</v>
      </c>
      <c r="K40" s="523"/>
      <c r="L40" s="294"/>
      <c r="M40" s="294"/>
      <c r="N40" s="294"/>
      <c r="O40" s="294"/>
      <c r="P40" s="12"/>
    </row>
    <row r="41" spans="1:56" ht="15.75" thickBot="1">
      <c r="B41" s="517"/>
      <c r="C41" s="362"/>
      <c r="D41" s="521"/>
      <c r="E41" s="522"/>
      <c r="F41" s="294"/>
      <c r="G41" s="42"/>
      <c r="H41" s="42"/>
      <c r="I41" s="42"/>
      <c r="J41" s="292" t="s">
        <v>17</v>
      </c>
      <c r="K41" s="293"/>
      <c r="L41" s="524" t="s">
        <v>136</v>
      </c>
      <c r="M41" s="524"/>
      <c r="N41" s="525"/>
      <c r="O41" s="294"/>
      <c r="P41" s="12"/>
    </row>
    <row r="42" spans="1:56" ht="15" customHeight="1" thickBot="1">
      <c r="B42" s="517"/>
      <c r="C42" s="349"/>
      <c r="D42" s="526"/>
      <c r="E42" s="527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517"/>
      <c r="C43" s="349"/>
      <c r="D43" s="528"/>
      <c r="E43" s="522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AVERAGE('[9]Jan30th-31st'!$L$47,L43,'[10]Feb 26th '!$L$39,'[11]Mar 31st'!$L$47,'[12]Apr 30th'!$L$46,'[13]May 29th '!$L$40,'[14]June 30th'!$L$39,[15]July31st!$L$41,'[16]Aug 31st'!$L$37,'[17]Sept 30th'!$L$37)</f>
        <v>6.5735341470124071</v>
      </c>
      <c r="N43" s="415">
        <v>9.1999999999999993</v>
      </c>
      <c r="O43" s="294"/>
      <c r="P43" s="12"/>
    </row>
    <row r="44" spans="1:56" ht="15" customHeight="1">
      <c r="B44" s="517"/>
      <c r="C44" s="349"/>
      <c r="D44" s="526"/>
      <c r="E44" s="527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517"/>
      <c r="C45" s="349"/>
      <c r="D45" s="528"/>
      <c r="E45" s="522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17"/>
      <c r="C46" s="349"/>
      <c r="D46" s="526"/>
      <c r="E46" s="527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17"/>
      <c r="C47" s="349"/>
      <c r="D47" s="528"/>
      <c r="E47" s="522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17"/>
      <c r="C48" s="349"/>
      <c r="D48" s="526"/>
      <c r="E48" s="527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18"/>
      <c r="C49" s="350"/>
      <c r="D49" s="529"/>
      <c r="E49" s="530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07"/>
      <c r="E50" s="508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01" t="s">
        <v>17</v>
      </c>
      <c r="C55" s="501" t="s">
        <v>44</v>
      </c>
      <c r="D55" s="510" t="s">
        <v>45</v>
      </c>
      <c r="E55" s="512" t="s">
        <v>46</v>
      </c>
      <c r="F55" s="514" t="s">
        <v>47</v>
      </c>
      <c r="G55" s="499" t="s">
        <v>48</v>
      </c>
      <c r="H55" s="501" t="s">
        <v>49</v>
      </c>
      <c r="I55" s="501" t="s">
        <v>50</v>
      </c>
      <c r="J55" s="493" t="s">
        <v>28</v>
      </c>
      <c r="K55" s="503" t="s">
        <v>51</v>
      </c>
      <c r="L55" s="505" t="s">
        <v>52</v>
      </c>
      <c r="M55" s="493" t="s">
        <v>53</v>
      </c>
      <c r="N55" s="13"/>
      <c r="O55" s="13"/>
      <c r="P55" s="50"/>
    </row>
    <row r="56" spans="2:57" ht="28.5" customHeight="1" thickTop="1" thickBot="1">
      <c r="B56" s="502"/>
      <c r="C56" s="509"/>
      <c r="D56" s="511"/>
      <c r="E56" s="513"/>
      <c r="F56" s="515"/>
      <c r="G56" s="500"/>
      <c r="H56" s="502"/>
      <c r="I56" s="502"/>
      <c r="J56" s="494"/>
      <c r="K56" s="504"/>
      <c r="L56" s="506"/>
      <c r="M56" s="494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[37]October_2026!$D$65</f>
        <v>383.05</v>
      </c>
      <c r="E57" s="442">
        <f>SUM([38]VITAMALT!$J$6:$J$13)</f>
        <v>16.399999999999999</v>
      </c>
      <c r="F57" s="443"/>
      <c r="G57" s="443">
        <f>[37]October_2026!$D$70</f>
        <v>389</v>
      </c>
      <c r="H57" s="457"/>
      <c r="I57" s="457"/>
      <c r="J57" s="447" t="s">
        <v>150</v>
      </c>
      <c r="K57" s="448">
        <f>[39]October_2026!$D$60</f>
        <v>1.3649122807017544</v>
      </c>
      <c r="L57" s="475">
        <f>(((D57+E57)-G57)/(D57+E57))*100</f>
        <v>2.6160971335586405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[18]January_2019!L5</f>
        <v>0</v>
      </c>
      <c r="AC57" s="57">
        <f>[18]January_2019!M5</f>
        <v>0</v>
      </c>
      <c r="AD57" s="57">
        <f>[18]January_2019!N5</f>
        <v>0</v>
      </c>
      <c r="AE57" s="57">
        <f>[18]January_2019!O5</f>
        <v>0</v>
      </c>
      <c r="AF57" s="57">
        <f>[18]January_2019!P5</f>
        <v>0</v>
      </c>
      <c r="AG57" s="57">
        <f>[18]January_2019!Q5</f>
        <v>0</v>
      </c>
      <c r="AH57" s="57">
        <f>[18]January_2019!R5</f>
        <v>0</v>
      </c>
      <c r="AI57" s="57">
        <f>[18]January_2019!S5</f>
        <v>0</v>
      </c>
      <c r="AJ57" s="57">
        <f>[18]January_2019!T5</f>
        <v>0</v>
      </c>
      <c r="AK57" s="57">
        <f>[18]January_2019!U5</f>
        <v>0</v>
      </c>
      <c r="AL57" s="57">
        <f>[18]January_2019!V5</f>
        <v>0</v>
      </c>
      <c r="AM57" s="57">
        <f>[18]January_2019!W5</f>
        <v>0</v>
      </c>
      <c r="AN57" s="57">
        <f>[18]January_2019!X5</f>
        <v>0</v>
      </c>
      <c r="AO57" s="57">
        <f>[18]January_2019!Y5</f>
        <v>0</v>
      </c>
      <c r="AP57" s="57">
        <f>[18]January_2019!Z5</f>
        <v>0</v>
      </c>
      <c r="AQ57" s="57">
        <f>[18]January_2019!AA5</f>
        <v>0</v>
      </c>
      <c r="AR57" s="57">
        <f>[18]January_2019!AB5</f>
        <v>0</v>
      </c>
      <c r="AS57" s="57">
        <f>[18]January_2019!AC5</f>
        <v>0</v>
      </c>
      <c r="AT57" s="57">
        <f>[18]January_2019!AD5</f>
        <v>0</v>
      </c>
      <c r="AU57" s="57">
        <f>[18]January_2019!AE5</f>
        <v>0</v>
      </c>
      <c r="AV57" s="57">
        <f>[18]January_2019!AF5</f>
        <v>0</v>
      </c>
      <c r="AW57" s="57">
        <f>[18]January_2019!AG5</f>
        <v>0</v>
      </c>
      <c r="AX57" s="277">
        <f>[18]January_2019!AH5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[18]January_2019!L6</f>
        <v>0</v>
      </c>
      <c r="AC58" s="57">
        <f>[18]January_2019!M6</f>
        <v>0</v>
      </c>
      <c r="AD58" s="57">
        <f>[18]January_2019!N6</f>
        <v>0</v>
      </c>
      <c r="AE58" s="57">
        <f>[18]January_2019!O6</f>
        <v>0</v>
      </c>
      <c r="AF58" s="57">
        <f>[18]January_2019!P6</f>
        <v>0</v>
      </c>
      <c r="AG58" s="57">
        <f>[18]January_2019!Q6</f>
        <v>0</v>
      </c>
      <c r="AH58" s="57">
        <f>[18]January_2019!R6</f>
        <v>0</v>
      </c>
      <c r="AI58" s="57">
        <f>[18]January_2019!S6</f>
        <v>0</v>
      </c>
      <c r="AJ58" s="57">
        <f>[18]January_2019!T6</f>
        <v>0</v>
      </c>
      <c r="AK58" s="57">
        <f>[18]January_2019!U6</f>
        <v>0</v>
      </c>
      <c r="AL58" s="57">
        <f>[18]January_2019!V6</f>
        <v>0</v>
      </c>
      <c r="AM58" s="57">
        <f>[18]January_2019!W6</f>
        <v>0</v>
      </c>
      <c r="AN58" s="57">
        <f>[18]January_2019!X6</f>
        <v>0</v>
      </c>
      <c r="AO58" s="57">
        <f>[18]January_2019!Y6</f>
        <v>0</v>
      </c>
      <c r="AP58" s="57">
        <f>[18]January_2019!Z6</f>
        <v>0</v>
      </c>
      <c r="AQ58" s="57">
        <f>[18]January_2019!AA6</f>
        <v>0</v>
      </c>
      <c r="AR58" s="57">
        <f>[18]January_2019!AB6</f>
        <v>0</v>
      </c>
      <c r="AS58" s="57">
        <f>[18]January_2019!AC6</f>
        <v>0</v>
      </c>
      <c r="AT58" s="57">
        <f>[18]January_2019!AD6</f>
        <v>0</v>
      </c>
      <c r="AU58" s="57">
        <f>[18]January_2019!AE6</f>
        <v>0</v>
      </c>
      <c r="AV58" s="57">
        <f>[18]January_2019!AF6</f>
        <v>0</v>
      </c>
      <c r="AW58" s="57">
        <f>[18]January_2019!AG6</f>
        <v>0</v>
      </c>
      <c r="AX58" s="277">
        <f>[18]January_2019!AH6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[37]September_2026!$Y$13</f>
        <v>190.70000000000002</v>
      </c>
      <c r="E59" s="442"/>
      <c r="F59" s="443"/>
      <c r="G59" s="443">
        <f>[37]September_2026!$Y$17</f>
        <v>184.3</v>
      </c>
      <c r="H59" s="445"/>
      <c r="I59" s="445"/>
      <c r="J59" s="447" t="s">
        <v>169</v>
      </c>
      <c r="K59" s="448">
        <f>[39]September_2026!$Y$25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[18]January_2019!L7</f>
        <v>285.8</v>
      </c>
      <c r="AC59" s="57">
        <f>[18]January_2019!M7</f>
        <v>508.1</v>
      </c>
      <c r="AD59" s="57">
        <f>[18]January_2019!N7</f>
        <v>0</v>
      </c>
      <c r="AE59" s="57">
        <f>[18]January_2019!O7</f>
        <v>0</v>
      </c>
      <c r="AF59" s="57">
        <f>[18]January_2019!P7</f>
        <v>109.56666666666666</v>
      </c>
      <c r="AG59" s="57">
        <f>[18]January_2019!Q7</f>
        <v>297.64999999999998</v>
      </c>
      <c r="AH59" s="57">
        <f>[18]January_2019!R7</f>
        <v>122.3</v>
      </c>
      <c r="AI59" s="57">
        <f>[18]January_2019!S7</f>
        <v>0</v>
      </c>
      <c r="AJ59" s="57">
        <f>[18]January_2019!T7</f>
        <v>294.7</v>
      </c>
      <c r="AK59" s="57">
        <f>[18]January_2019!U7</f>
        <v>280.5</v>
      </c>
      <c r="AL59" s="57">
        <f>[18]January_2019!V7</f>
        <v>0</v>
      </c>
      <c r="AM59" s="57">
        <f>[18]January_2019!W7</f>
        <v>0</v>
      </c>
      <c r="AN59" s="57">
        <f>[18]January_2019!X7</f>
        <v>188.25</v>
      </c>
      <c r="AO59" s="57">
        <f>[18]January_2019!Y7</f>
        <v>295.7</v>
      </c>
      <c r="AP59" s="57">
        <f>[18]January_2019!Z7</f>
        <v>257.8</v>
      </c>
      <c r="AQ59" s="57">
        <f>[18]January_2019!AA7</f>
        <v>291.2</v>
      </c>
      <c r="AR59" s="57">
        <f>[18]January_2019!AB7</f>
        <v>187</v>
      </c>
      <c r="AS59" s="57">
        <f>[18]January_2019!AC7</f>
        <v>0</v>
      </c>
      <c r="AT59" s="57">
        <f>[18]January_2019!AD7</f>
        <v>0</v>
      </c>
      <c r="AU59" s="57">
        <f>[18]January_2019!AE7</f>
        <v>485.1</v>
      </c>
      <c r="AV59" s="57">
        <f>[18]January_2019!AF7</f>
        <v>171.55</v>
      </c>
      <c r="AW59" s="57">
        <f>[18]January_2019!AG7</f>
        <v>423.8</v>
      </c>
      <c r="AX59" s="277">
        <f>[18]January_2019!AH7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495" t="s">
        <v>55</v>
      </c>
      <c r="C68" s="496"/>
      <c r="D68" s="496"/>
      <c r="E68" s="496"/>
      <c r="F68" s="497"/>
      <c r="G68" s="495" t="s">
        <v>56</v>
      </c>
      <c r="H68" s="496"/>
      <c r="I68" s="496"/>
      <c r="J68" s="497"/>
      <c r="K68" s="495" t="s">
        <v>51</v>
      </c>
      <c r="L68" s="496"/>
      <c r="M68" s="496"/>
      <c r="N68" s="498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>
        <f>L57</f>
        <v>2.6160971335586405</v>
      </c>
      <c r="D73" s="76">
        <v>3.1167855801727349</v>
      </c>
      <c r="E73" s="76">
        <v>4.8433372666231218</v>
      </c>
      <c r="F73" s="66">
        <v>3.3</v>
      </c>
      <c r="G73" s="65">
        <f>[37]October_2026!$D$74</f>
        <v>4.0562064167659644</v>
      </c>
      <c r="H73" s="76">
        <v>4.5494907025409468</v>
      </c>
      <c r="I73" s="76">
        <v>4.8361029025922759</v>
      </c>
      <c r="J73" s="66">
        <v>3.3</v>
      </c>
      <c r="K73" s="67">
        <f>K57</f>
        <v>1.3649122807017544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770" priority="127" operator="notBetween">
      <formula>#REF!</formula>
      <formula>#REF!</formula>
    </cfRule>
  </conditionalFormatting>
  <conditionalFormatting sqref="C54">
    <cfRule type="cellIs" dxfId="769" priority="209" stopIfTrue="1" operator="lessThan">
      <formula>96</formula>
    </cfRule>
    <cfRule type="cellIs" dxfId="768" priority="210" stopIfTrue="1" operator="greaterThan">
      <formula>100</formula>
    </cfRule>
  </conditionalFormatting>
  <conditionalFormatting sqref="C70:C71">
    <cfRule type="cellIs" dxfId="767" priority="90" stopIfTrue="1" operator="greaterThan">
      <formula>$F70</formula>
    </cfRule>
    <cfRule type="cellIs" dxfId="766" priority="91" stopIfTrue="1" operator="lessThanOrEqual">
      <formula>0</formula>
    </cfRule>
    <cfRule type="cellIs" dxfId="765" priority="92" stopIfTrue="1" operator="greaterThan">
      <formula>$F70</formula>
    </cfRule>
    <cfRule type="cellIs" dxfId="764" priority="93" stopIfTrue="1" operator="lessThanOrEqual">
      <formula>0</formula>
    </cfRule>
  </conditionalFormatting>
  <conditionalFormatting sqref="C72:C74 C76:C78">
    <cfRule type="cellIs" dxfId="763" priority="99" stopIfTrue="1" operator="greaterThan">
      <formula>$F75</formula>
    </cfRule>
  </conditionalFormatting>
  <conditionalFormatting sqref="C72:C74">
    <cfRule type="cellIs" dxfId="762" priority="100" stopIfTrue="1" operator="lessThanOrEqual">
      <formula>0</formula>
    </cfRule>
  </conditionalFormatting>
  <conditionalFormatting sqref="C75">
    <cfRule type="cellIs" dxfId="761" priority="211" stopIfTrue="1" operator="greaterThan">
      <formula>$F70</formula>
    </cfRule>
    <cfRule type="cellIs" dxfId="760" priority="212" stopIfTrue="1" operator="lessThanOrEqual">
      <formula>0</formula>
    </cfRule>
    <cfRule type="cellIs" dxfId="759" priority="213" stopIfTrue="1" operator="greaterThan">
      <formula>$F70</formula>
    </cfRule>
    <cfRule type="cellIs" dxfId="758" priority="214" stopIfTrue="1" operator="lessThanOrEqual">
      <formula>0</formula>
    </cfRule>
  </conditionalFormatting>
  <conditionalFormatting sqref="C76:C78">
    <cfRule type="cellIs" dxfId="757" priority="101" stopIfTrue="1" operator="lessThanOrEqual">
      <formula>0</formula>
    </cfRule>
  </conditionalFormatting>
  <conditionalFormatting sqref="C81:C85">
    <cfRule type="cellIs" dxfId="756" priority="201" stopIfTrue="1" operator="lessThanOrEqual">
      <formula>0</formula>
    </cfRule>
  </conditionalFormatting>
  <conditionalFormatting sqref="C82:C85">
    <cfRule type="cellIs" dxfId="755" priority="200" stopIfTrue="1" operator="greaterThan">
      <formula>$F$81</formula>
    </cfRule>
  </conditionalFormatting>
  <conditionalFormatting sqref="C87">
    <cfRule type="cellIs" dxfId="754" priority="202" stopIfTrue="1" operator="greaterThan">
      <formula>$F$81</formula>
    </cfRule>
    <cfRule type="cellIs" dxfId="753" priority="203" stopIfTrue="1" operator="lessThanOrEqual">
      <formula>0</formula>
    </cfRule>
  </conditionalFormatting>
  <conditionalFormatting sqref="C75:D75">
    <cfRule type="cellIs" dxfId="752" priority="88" stopIfTrue="1" operator="greaterThan">
      <formula>$J75</formula>
    </cfRule>
    <cfRule type="cellIs" dxfId="751" priority="89" stopIfTrue="1" operator="lessThanOrEqual">
      <formula>0</formula>
    </cfRule>
  </conditionalFormatting>
  <conditionalFormatting sqref="C81:D81 D83:D89">
    <cfRule type="cellIs" dxfId="750" priority="195" stopIfTrue="1" operator="greaterThan">
      <formula>4.5</formula>
    </cfRule>
  </conditionalFormatting>
  <conditionalFormatting sqref="D50:D51">
    <cfRule type="cellIs" dxfId="749" priority="128" operator="notBetween">
      <formula>#REF!</formula>
      <formula>#REF!</formula>
    </cfRule>
  </conditionalFormatting>
  <conditionalFormatting sqref="D70:D74 D76:D77">
    <cfRule type="cellIs" dxfId="748" priority="98" stopIfTrue="1" operator="lessThanOrEqual">
      <formula>0</formula>
    </cfRule>
  </conditionalFormatting>
  <conditionalFormatting sqref="D70:D74 D76:D79">
    <cfRule type="cellIs" dxfId="747" priority="94" stopIfTrue="1" operator="lessThanOrEqual">
      <formula>0</formula>
    </cfRule>
    <cfRule type="cellIs" dxfId="746" priority="95" stopIfTrue="1" operator="greaterThan">
      <formula>$F70</formula>
    </cfRule>
  </conditionalFormatting>
  <conditionalFormatting sqref="D78:D79">
    <cfRule type="cellIs" dxfId="745" priority="96" stopIfTrue="1" operator="lessThanOrEqual">
      <formula>0</formula>
    </cfRule>
  </conditionalFormatting>
  <conditionalFormatting sqref="D79">
    <cfRule type="cellIs" dxfId="744" priority="97" stopIfTrue="1" operator="lessThanOrEqual">
      <formula>0</formula>
    </cfRule>
  </conditionalFormatting>
  <conditionalFormatting sqref="D81 D83:D89">
    <cfRule type="cellIs" dxfId="743" priority="196" stopIfTrue="1" operator="lessThanOrEqual">
      <formula>0</formula>
    </cfRule>
  </conditionalFormatting>
  <conditionalFormatting sqref="D82">
    <cfRule type="cellIs" dxfId="742" priority="187" stopIfTrue="1" operator="greaterThan">
      <formula>$F$81</formula>
    </cfRule>
    <cfRule type="cellIs" dxfId="741" priority="188" stopIfTrue="1" operator="lessThanOrEqual">
      <formula>0</formula>
    </cfRule>
  </conditionalFormatting>
  <conditionalFormatting sqref="E10:E25">
    <cfRule type="cellIs" dxfId="740" priority="7" operator="lessThan">
      <formula>48</formula>
    </cfRule>
  </conditionalFormatting>
  <conditionalFormatting sqref="E53 E54:F54">
    <cfRule type="cellIs" dxfId="739" priority="192" stopIfTrue="1" operator="greaterThan">
      <formula>100</formula>
    </cfRule>
  </conditionalFormatting>
  <conditionalFormatting sqref="E54">
    <cfRule type="cellIs" dxfId="738" priority="189" stopIfTrue="1" operator="lessThan">
      <formula>96.8</formula>
    </cfRule>
    <cfRule type="cellIs" dxfId="737" priority="190" stopIfTrue="1" operator="greaterThan">
      <formula>100</formula>
    </cfRule>
  </conditionalFormatting>
  <conditionalFormatting sqref="E70:E78">
    <cfRule type="cellIs" dxfId="736" priority="61" stopIfTrue="1" operator="lessThanOrEqual">
      <formula>0</formula>
    </cfRule>
  </conditionalFormatting>
  <conditionalFormatting sqref="E70:E79">
    <cfRule type="cellIs" dxfId="735" priority="62" stopIfTrue="1" operator="greaterThan">
      <formula>$F70</formula>
    </cfRule>
    <cfRule type="cellIs" dxfId="734" priority="63" stopIfTrue="1" operator="lessThanOrEqual">
      <formula>0</formula>
    </cfRule>
  </conditionalFormatting>
  <conditionalFormatting sqref="E79">
    <cfRule type="cellIs" dxfId="733" priority="64" stopIfTrue="1" operator="lessThanOrEqual">
      <formula>0</formula>
    </cfRule>
  </conditionalFormatting>
  <conditionalFormatting sqref="E81:E89">
    <cfRule type="cellIs" dxfId="732" priority="181" stopIfTrue="1" operator="greaterThan">
      <formula>4.5</formula>
    </cfRule>
    <cfRule type="cellIs" dxfId="731" priority="182" stopIfTrue="1" operator="lessThanOrEqual">
      <formula>0</formula>
    </cfRule>
  </conditionalFormatting>
  <conditionalFormatting sqref="E54:F54 E53">
    <cfRule type="cellIs" dxfId="730" priority="191" stopIfTrue="1" operator="lessThan">
      <formula>96.5</formula>
    </cfRule>
  </conditionalFormatting>
  <conditionalFormatting sqref="F10:F25">
    <cfRule type="cellIs" dxfId="729" priority="8" operator="greaterThan">
      <formula>60</formula>
    </cfRule>
  </conditionalFormatting>
  <conditionalFormatting sqref="F54">
    <cfRule type="cellIs" dxfId="728" priority="207" stopIfTrue="1" operator="lessThan">
      <formula>96.8</formula>
    </cfRule>
    <cfRule type="cellIs" dxfId="727" priority="208" stopIfTrue="1" operator="greaterThan">
      <formula>100</formula>
    </cfRule>
  </conditionalFormatting>
  <conditionalFormatting sqref="G24">
    <cfRule type="expression" dxfId="726" priority="36">
      <formula>IF(+(IF(G24&lt;#REF!,0,IF(G24&gt;#REF!,0,1)))=0,1)</formula>
    </cfRule>
  </conditionalFormatting>
  <conditionalFormatting sqref="G25">
    <cfRule type="expression" dxfId="725" priority="35">
      <formula>IF(+(IF(G25&lt;S25,0,IF(G25&gt;T25,0,1)))=0,1)</formula>
    </cfRule>
  </conditionalFormatting>
  <conditionalFormatting sqref="G70:G73 F79">
    <cfRule type="cellIs" dxfId="724" priority="70" stopIfTrue="1" operator="greaterThan">
      <formula>$F70</formula>
    </cfRule>
    <cfRule type="cellIs" dxfId="723" priority="71" stopIfTrue="1" operator="lessThanOrEqual">
      <formula>0</formula>
    </cfRule>
  </conditionalFormatting>
  <conditionalFormatting sqref="G72:G73">
    <cfRule type="cellIs" dxfId="722" priority="56" stopIfTrue="1" operator="greaterThan">
      <formula>$F72</formula>
    </cfRule>
    <cfRule type="cellIs" dxfId="721" priority="57" stopIfTrue="1" operator="lessThanOrEqual">
      <formula>0</formula>
    </cfRule>
  </conditionalFormatting>
  <conditionalFormatting sqref="G74:G78">
    <cfRule type="cellIs" dxfId="720" priority="72" stopIfTrue="1" operator="greaterThan">
      <formula>$J74</formula>
    </cfRule>
    <cfRule type="cellIs" dxfId="719" priority="73" stopIfTrue="1" operator="lessThanOrEqual">
      <formula>0</formula>
    </cfRule>
  </conditionalFormatting>
  <conditionalFormatting sqref="G75">
    <cfRule type="cellIs" dxfId="718" priority="215" stopIfTrue="1" operator="greaterThan">
      <formula>$F70</formula>
    </cfRule>
    <cfRule type="cellIs" dxfId="717" priority="216" stopIfTrue="1" operator="lessThanOrEqual">
      <formula>0</formula>
    </cfRule>
  </conditionalFormatting>
  <conditionalFormatting sqref="G83:G88 C86 C88">
    <cfRule type="cellIs" dxfId="716" priority="204" stopIfTrue="1" operator="greaterThan">
      <formula>4.5</formula>
    </cfRule>
    <cfRule type="cellIs" dxfId="715" priority="205" stopIfTrue="1" operator="lessThanOrEqual">
      <formula>0</formula>
    </cfRule>
  </conditionalFormatting>
  <conditionalFormatting sqref="G82:H82">
    <cfRule type="cellIs" dxfId="714" priority="185" stopIfTrue="1" operator="greaterThan">
      <formula>$F$81</formula>
    </cfRule>
    <cfRule type="cellIs" dxfId="713" priority="186" stopIfTrue="1" operator="lessThanOrEqual">
      <formula>0</formula>
    </cfRule>
  </conditionalFormatting>
  <conditionalFormatting sqref="H10:H12 H19:H25">
    <cfRule type="expression" dxfId="712" priority="30">
      <formula>IF(+(IF(H10&lt;#REF!,0,IF(H10&gt;#REF!,0,1)))=0,1)</formula>
    </cfRule>
  </conditionalFormatting>
  <conditionalFormatting sqref="H39:H40 H53">
    <cfRule type="cellIs" dxfId="711" priority="183" stopIfTrue="1" operator="greaterThan">
      <formula>0</formula>
    </cfRule>
  </conditionalFormatting>
  <conditionalFormatting sqref="H57">
    <cfRule type="cellIs" dxfId="710" priority="75" stopIfTrue="1" operator="lessThanOrEqual">
      <formula>0</formula>
    </cfRule>
    <cfRule type="cellIs" dxfId="709" priority="76" stopIfTrue="1" operator="greaterThan">
      <formula>$F$70</formula>
    </cfRule>
    <cfRule type="cellIs" dxfId="708" priority="84" stopIfTrue="1" operator="greaterThan">
      <formula>$F$73</formula>
    </cfRule>
    <cfRule type="cellIs" dxfId="707" priority="85" stopIfTrue="1" operator="lessThanOrEqual">
      <formula>0</formula>
    </cfRule>
    <cfRule type="cellIs" dxfId="706" priority="86" stopIfTrue="1" operator="greaterThan">
      <formula>$F$71</formula>
    </cfRule>
  </conditionalFormatting>
  <conditionalFormatting sqref="H57:H58">
    <cfRule type="cellIs" dxfId="705" priority="87" stopIfTrue="1" operator="lessThanOrEqual">
      <formula>0</formula>
    </cfRule>
  </conditionalFormatting>
  <conditionalFormatting sqref="H58 H60:H61">
    <cfRule type="cellIs" dxfId="704" priority="113" stopIfTrue="1" operator="lessThanOrEqual">
      <formula>0</formula>
    </cfRule>
  </conditionalFormatting>
  <conditionalFormatting sqref="H58">
    <cfRule type="cellIs" dxfId="703" priority="102" stopIfTrue="1" operator="greaterThan">
      <formula>$F$70</formula>
    </cfRule>
    <cfRule type="cellIs" dxfId="702" priority="110" stopIfTrue="1" operator="greaterThan">
      <formula>$F$73</formula>
    </cfRule>
    <cfRule type="cellIs" dxfId="701" priority="111" stopIfTrue="1" operator="lessThanOrEqual">
      <formula>0</formula>
    </cfRule>
    <cfRule type="cellIs" dxfId="700" priority="112" stopIfTrue="1" operator="greaterThan">
      <formula>$F$71</formula>
    </cfRule>
  </conditionalFormatting>
  <conditionalFormatting sqref="H59">
    <cfRule type="cellIs" dxfId="699" priority="42" stopIfTrue="1" operator="lessThanOrEqual">
      <formula>0</formula>
    </cfRule>
    <cfRule type="cellIs" dxfId="698" priority="43" stopIfTrue="1" operator="greaterThan">
      <formula>$F$72</formula>
    </cfRule>
    <cfRule type="cellIs" dxfId="697" priority="51" stopIfTrue="1" operator="greaterThan">
      <formula>$F$75</formula>
    </cfRule>
    <cfRule type="cellIs" dxfId="696" priority="52" stopIfTrue="1" operator="lessThanOrEqual">
      <formula>0</formula>
    </cfRule>
    <cfRule type="cellIs" dxfId="695" priority="53" stopIfTrue="1" operator="greaterThan">
      <formula>$F$73</formula>
    </cfRule>
    <cfRule type="cellIs" dxfId="694" priority="54" stopIfTrue="1" operator="lessThanOrEqual">
      <formula>0</formula>
    </cfRule>
  </conditionalFormatting>
  <conditionalFormatting sqref="H60:H61">
    <cfRule type="cellIs" dxfId="693" priority="115" stopIfTrue="1" operator="greaterThan">
      <formula>$F$70</formula>
    </cfRule>
    <cfRule type="cellIs" dxfId="692" priority="123" stopIfTrue="1" operator="greaterThan">
      <formula>$F$73</formula>
    </cfRule>
    <cfRule type="cellIs" dxfId="691" priority="124" stopIfTrue="1" operator="lessThanOrEqual">
      <formula>0</formula>
    </cfRule>
    <cfRule type="cellIs" dxfId="690" priority="125" stopIfTrue="1" operator="greaterThan">
      <formula>$F$71</formula>
    </cfRule>
    <cfRule type="cellIs" dxfId="689" priority="126" stopIfTrue="1" operator="lessThanOrEqual">
      <formula>0</formula>
    </cfRule>
  </conditionalFormatting>
  <conditionalFormatting sqref="H62:H63">
    <cfRule type="cellIs" dxfId="688" priority="150" stopIfTrue="1" operator="lessThanOrEqual">
      <formula>0</formula>
    </cfRule>
    <cfRule type="cellIs" dxfId="687" priority="151" stopIfTrue="1" operator="greaterThan">
      <formula>#REF!</formula>
    </cfRule>
    <cfRule type="cellIs" dxfId="686" priority="159" stopIfTrue="1" operator="greaterThan">
      <formula>#REF!</formula>
    </cfRule>
    <cfRule type="cellIs" dxfId="685" priority="160" stopIfTrue="1" operator="lessThanOrEqual">
      <formula>0</formula>
    </cfRule>
  </conditionalFormatting>
  <conditionalFormatting sqref="H64">
    <cfRule type="cellIs" dxfId="684" priority="162" stopIfTrue="1" operator="lessThanOrEqual">
      <formula>0</formula>
    </cfRule>
    <cfRule type="cellIs" dxfId="683" priority="163" stopIfTrue="1" operator="greaterThan">
      <formula>$F$38</formula>
    </cfRule>
    <cfRule type="cellIs" dxfId="682" priority="171" stopIfTrue="1" operator="greaterThan">
      <formula>$F$41</formula>
    </cfRule>
    <cfRule type="cellIs" dxfId="681" priority="172" stopIfTrue="1" operator="lessThanOrEqual">
      <formula>0</formula>
    </cfRule>
    <cfRule type="cellIs" dxfId="680" priority="173" stopIfTrue="1" operator="greaterThan">
      <formula>$F$39</formula>
    </cfRule>
    <cfRule type="cellIs" dxfId="679" priority="174" stopIfTrue="1" operator="lessThanOrEqual">
      <formula>0</formula>
    </cfRule>
  </conditionalFormatting>
  <conditionalFormatting sqref="H65:H66">
    <cfRule type="cellIs" dxfId="678" priority="138" stopIfTrue="1" operator="lessThanOrEqual">
      <formula>0</formula>
    </cfRule>
    <cfRule type="cellIs" dxfId="677" priority="139" stopIfTrue="1" operator="greaterThan">
      <formula>#REF!</formula>
    </cfRule>
    <cfRule type="cellIs" dxfId="676" priority="147" stopIfTrue="1" operator="greaterThan">
      <formula>#REF!</formula>
    </cfRule>
    <cfRule type="cellIs" dxfId="675" priority="148" stopIfTrue="1" operator="lessThanOrEqual">
      <formula>0</formula>
    </cfRule>
  </conditionalFormatting>
  <conditionalFormatting sqref="H81 H83:H89">
    <cfRule type="cellIs" dxfId="674" priority="197" stopIfTrue="1" operator="greaterThan">
      <formula>4.5</formula>
    </cfRule>
    <cfRule type="cellIs" dxfId="673" priority="198" stopIfTrue="1" operator="lessThanOrEqual">
      <formula>0</formula>
    </cfRule>
  </conditionalFormatting>
  <conditionalFormatting sqref="H57:I57">
    <cfRule type="cellIs" dxfId="672" priority="77" stopIfTrue="1" operator="lessThanOrEqual">
      <formula>0</formula>
    </cfRule>
  </conditionalFormatting>
  <conditionalFormatting sqref="H57:I58 H60:I61">
    <cfRule type="cellIs" dxfId="671" priority="74" stopIfTrue="1" operator="greaterThan">
      <formula>$F$72</formula>
    </cfRule>
  </conditionalFormatting>
  <conditionalFormatting sqref="H58:I58">
    <cfRule type="cellIs" dxfId="670" priority="103" stopIfTrue="1" operator="lessThanOrEqual">
      <formula>0</formula>
    </cfRule>
  </conditionalFormatting>
  <conditionalFormatting sqref="H59:I59">
    <cfRule type="cellIs" dxfId="669" priority="41" stopIfTrue="1" operator="greaterThan">
      <formula>$F$74</formula>
    </cfRule>
    <cfRule type="cellIs" dxfId="668" priority="44" stopIfTrue="1" operator="lessThanOrEqual">
      <formula>0</formula>
    </cfRule>
  </conditionalFormatting>
  <conditionalFormatting sqref="H60:I61">
    <cfRule type="cellIs" dxfId="667" priority="116" stopIfTrue="1" operator="lessThanOrEqual">
      <formula>0</formula>
    </cfRule>
  </conditionalFormatting>
  <conditionalFormatting sqref="H62:I63">
    <cfRule type="cellIs" dxfId="666" priority="149" stopIfTrue="1" operator="greaterThan">
      <formula>#REF!</formula>
    </cfRule>
    <cfRule type="cellIs" dxfId="665" priority="152" stopIfTrue="1" operator="lessThanOrEqual">
      <formula>0</formula>
    </cfRule>
    <cfRule type="cellIs" dxfId="664" priority="157" stopIfTrue="1" operator="greaterThan">
      <formula>#REF!</formula>
    </cfRule>
    <cfRule type="cellIs" dxfId="663" priority="158" stopIfTrue="1" operator="lessThanOrEqual">
      <formula>0</formula>
    </cfRule>
  </conditionalFormatting>
  <conditionalFormatting sqref="H64:I64">
    <cfRule type="cellIs" dxfId="662" priority="161" stopIfTrue="1" operator="greaterThan">
      <formula>$F$40</formula>
    </cfRule>
    <cfRule type="cellIs" dxfId="661" priority="164" stopIfTrue="1" operator="lessThanOrEqual">
      <formula>0</formula>
    </cfRule>
  </conditionalFormatting>
  <conditionalFormatting sqref="H65:I66">
    <cfRule type="cellIs" dxfId="660" priority="137" stopIfTrue="1" operator="greaterThan">
      <formula>#REF!</formula>
    </cfRule>
    <cfRule type="cellIs" dxfId="659" priority="140" stopIfTrue="1" operator="lessThanOrEqual">
      <formula>0</formula>
    </cfRule>
    <cfRule type="cellIs" dxfId="658" priority="145" stopIfTrue="1" operator="greaterThan">
      <formula>#REF!</formula>
    </cfRule>
    <cfRule type="cellIs" dxfId="657" priority="146" stopIfTrue="1" operator="lessThanOrEqual">
      <formula>0</formula>
    </cfRule>
  </conditionalFormatting>
  <conditionalFormatting sqref="H70:I77">
    <cfRule type="cellIs" dxfId="656" priority="59" stopIfTrue="1" operator="greaterThan">
      <formula>$J70</formula>
    </cfRule>
    <cfRule type="cellIs" dxfId="655" priority="60" stopIfTrue="1" operator="lessThanOrEqual">
      <formula>0</formula>
    </cfRule>
  </conditionalFormatting>
  <conditionalFormatting sqref="H78:I78">
    <cfRule type="cellIs" dxfId="654" priority="67" operator="greaterThan">
      <formula>5.3</formula>
    </cfRule>
  </conditionalFormatting>
  <conditionalFormatting sqref="H79:I79">
    <cfRule type="cellIs" dxfId="653" priority="65" stopIfTrue="1" operator="greaterThan">
      <formula>$J79</formula>
    </cfRule>
    <cfRule type="cellIs" dxfId="652" priority="66" stopIfTrue="1" operator="lessThanOrEqual">
      <formula>0</formula>
    </cfRule>
  </conditionalFormatting>
  <conditionalFormatting sqref="I57">
    <cfRule type="cellIs" dxfId="651" priority="78" stopIfTrue="1" operator="greaterThan">
      <formula>$F$70</formula>
    </cfRule>
    <cfRule type="cellIs" dxfId="650" priority="79" stopIfTrue="1" operator="lessThanOrEqual">
      <formula>0</formula>
    </cfRule>
    <cfRule type="cellIs" dxfId="649" priority="80" stopIfTrue="1" operator="greaterThan">
      <formula>$F$72</formula>
    </cfRule>
    <cfRule type="cellIs" dxfId="648" priority="81" stopIfTrue="1" operator="lessThanOrEqual">
      <formula>0</formula>
    </cfRule>
    <cfRule type="cellIs" dxfId="647" priority="82" stopIfTrue="1" operator="greaterThan">
      <formula>$F$70</formula>
    </cfRule>
    <cfRule type="cellIs" dxfId="646" priority="83" stopIfTrue="1" operator="lessThanOrEqual">
      <formula>0</formula>
    </cfRule>
  </conditionalFormatting>
  <conditionalFormatting sqref="I58">
    <cfRule type="cellIs" dxfId="645" priority="104" stopIfTrue="1" operator="greaterThan">
      <formula>$F$70</formula>
    </cfRule>
    <cfRule type="cellIs" dxfId="644" priority="105" stopIfTrue="1" operator="lessThanOrEqual">
      <formula>0</formula>
    </cfRule>
    <cfRule type="cellIs" dxfId="643" priority="106" stopIfTrue="1" operator="greaterThan">
      <formula>$F$72</formula>
    </cfRule>
    <cfRule type="cellIs" dxfId="642" priority="107" stopIfTrue="1" operator="lessThanOrEqual">
      <formula>0</formula>
    </cfRule>
    <cfRule type="cellIs" dxfId="641" priority="108" stopIfTrue="1" operator="greaterThan">
      <formula>$F$70</formula>
    </cfRule>
    <cfRule type="cellIs" dxfId="640" priority="109" stopIfTrue="1" operator="lessThanOrEqual">
      <formula>0</formula>
    </cfRule>
  </conditionalFormatting>
  <conditionalFormatting sqref="I59">
    <cfRule type="cellIs" dxfId="639" priority="45" stopIfTrue="1" operator="greaterThan">
      <formula>$F$72</formula>
    </cfRule>
    <cfRule type="cellIs" dxfId="638" priority="46" stopIfTrue="1" operator="lessThanOrEqual">
      <formula>0</formula>
    </cfRule>
    <cfRule type="cellIs" dxfId="637" priority="47" stopIfTrue="1" operator="greaterThan">
      <formula>$F$74</formula>
    </cfRule>
    <cfRule type="cellIs" dxfId="636" priority="48" stopIfTrue="1" operator="lessThanOrEqual">
      <formula>0</formula>
    </cfRule>
    <cfRule type="cellIs" dxfId="635" priority="49" stopIfTrue="1" operator="greaterThan">
      <formula>$F$72</formula>
    </cfRule>
    <cfRule type="cellIs" dxfId="634" priority="50" stopIfTrue="1" operator="lessThanOrEqual">
      <formula>0</formula>
    </cfRule>
  </conditionalFormatting>
  <conditionalFormatting sqref="I60:I61">
    <cfRule type="cellIs" dxfId="633" priority="117" stopIfTrue="1" operator="greaterThan">
      <formula>$F$70</formula>
    </cfRule>
    <cfRule type="cellIs" dxfId="632" priority="118" stopIfTrue="1" operator="lessThanOrEqual">
      <formula>0</formula>
    </cfRule>
    <cfRule type="cellIs" dxfId="631" priority="119" stopIfTrue="1" operator="greaterThan">
      <formula>$F$72</formula>
    </cfRule>
    <cfRule type="cellIs" dxfId="630" priority="120" stopIfTrue="1" operator="lessThanOrEqual">
      <formula>0</formula>
    </cfRule>
    <cfRule type="cellIs" dxfId="629" priority="121" stopIfTrue="1" operator="greaterThan">
      <formula>$F$70</formula>
    </cfRule>
    <cfRule type="cellIs" dxfId="628" priority="122" stopIfTrue="1" operator="lessThanOrEqual">
      <formula>0</formula>
    </cfRule>
  </conditionalFormatting>
  <conditionalFormatting sqref="I62:I63">
    <cfRule type="cellIs" dxfId="627" priority="153" stopIfTrue="1" operator="greaterThan">
      <formula>#REF!</formula>
    </cfRule>
    <cfRule type="cellIs" dxfId="626" priority="154" stopIfTrue="1" operator="lessThanOrEqual">
      <formula>0</formula>
    </cfRule>
    <cfRule type="cellIs" dxfId="625" priority="155" stopIfTrue="1" operator="greaterThan">
      <formula>#REF!</formula>
    </cfRule>
    <cfRule type="cellIs" dxfId="624" priority="156" stopIfTrue="1" operator="lessThanOrEqual">
      <formula>0</formula>
    </cfRule>
  </conditionalFormatting>
  <conditionalFormatting sqref="I64">
    <cfRule type="cellIs" dxfId="623" priority="165" stopIfTrue="1" operator="greaterThan">
      <formula>$F$38</formula>
    </cfRule>
    <cfRule type="cellIs" dxfId="622" priority="166" stopIfTrue="1" operator="lessThanOrEqual">
      <formula>0</formula>
    </cfRule>
    <cfRule type="cellIs" dxfId="621" priority="167" stopIfTrue="1" operator="greaterThan">
      <formula>$F$40</formula>
    </cfRule>
    <cfRule type="cellIs" dxfId="620" priority="168" stopIfTrue="1" operator="lessThanOrEqual">
      <formula>0</formula>
    </cfRule>
    <cfRule type="cellIs" dxfId="619" priority="169" stopIfTrue="1" operator="greaterThan">
      <formula>$F$38</formula>
    </cfRule>
    <cfRule type="cellIs" dxfId="618" priority="170" stopIfTrue="1" operator="lessThanOrEqual">
      <formula>0</formula>
    </cfRule>
  </conditionalFormatting>
  <conditionalFormatting sqref="I65:I66">
    <cfRule type="cellIs" dxfId="617" priority="141" stopIfTrue="1" operator="greaterThan">
      <formula>#REF!</formula>
    </cfRule>
    <cfRule type="cellIs" dxfId="616" priority="142" stopIfTrue="1" operator="lessThanOrEqual">
      <formula>0</formula>
    </cfRule>
    <cfRule type="cellIs" dxfId="615" priority="143" stopIfTrue="1" operator="greaterThan">
      <formula>#REF!</formula>
    </cfRule>
    <cfRule type="cellIs" dxfId="614" priority="144" stopIfTrue="1" operator="lessThanOrEqual">
      <formula>0</formula>
    </cfRule>
  </conditionalFormatting>
  <conditionalFormatting sqref="I81:I89">
    <cfRule type="cellIs" dxfId="613" priority="193" stopIfTrue="1" operator="greaterThan">
      <formula>4.5</formula>
    </cfRule>
    <cfRule type="cellIs" dxfId="612" priority="194" stopIfTrue="1" operator="lessThanOrEqual">
      <formula>0</formula>
    </cfRule>
  </conditionalFormatting>
  <conditionalFormatting sqref="I10:J25">
    <cfRule type="cellIs" dxfId="611" priority="1" operator="lessThan">
      <formula>97.9</formula>
    </cfRule>
  </conditionalFormatting>
  <conditionalFormatting sqref="J28:J30">
    <cfRule type="cellIs" dxfId="610" priority="40" operator="lessThan">
      <formula>97.95</formula>
    </cfRule>
  </conditionalFormatting>
  <conditionalFormatting sqref="J29:J32">
    <cfRule type="cellIs" dxfId="609" priority="175" operator="lessThan">
      <formula>97.4</formula>
    </cfRule>
  </conditionalFormatting>
  <conditionalFormatting sqref="J33:J34">
    <cfRule type="cellIs" dxfId="608" priority="176" operator="lessThan">
      <formula>98</formula>
    </cfRule>
  </conditionalFormatting>
  <conditionalFormatting sqref="J35:J36">
    <cfRule type="cellIs" dxfId="607" priority="177" stopIfTrue="1" operator="lessThan">
      <formula>96.8</formula>
    </cfRule>
    <cfRule type="cellIs" dxfId="606" priority="178" stopIfTrue="1" operator="greaterThan">
      <formula>100</formula>
    </cfRule>
  </conditionalFormatting>
  <conditionalFormatting sqref="J35:J37">
    <cfRule type="cellIs" dxfId="605" priority="179" operator="lessThan">
      <formula>98</formula>
    </cfRule>
  </conditionalFormatting>
  <conditionalFormatting sqref="J66">
    <cfRule type="cellIs" dxfId="604" priority="129" stopIfTrue="1" operator="greaterThan">
      <formula>#REF!</formula>
    </cfRule>
    <cfRule type="cellIs" dxfId="603" priority="130" stopIfTrue="1" operator="lessThanOrEqual">
      <formula>0</formula>
    </cfRule>
    <cfRule type="cellIs" dxfId="602" priority="131" stopIfTrue="1" operator="greaterThan">
      <formula>#REF!</formula>
    </cfRule>
    <cfRule type="cellIs" dxfId="601" priority="132" stopIfTrue="1" operator="lessThanOrEqual">
      <formula>0</formula>
    </cfRule>
    <cfRule type="cellIs" dxfId="600" priority="133" stopIfTrue="1" operator="greaterThan">
      <formula>#REF!</formula>
    </cfRule>
    <cfRule type="cellIs" dxfId="599" priority="134" stopIfTrue="1" operator="lessThanOrEqual">
      <formula>0</formula>
    </cfRule>
    <cfRule type="cellIs" dxfId="598" priority="135" stopIfTrue="1" operator="greaterThan">
      <formula>#REF!</formula>
    </cfRule>
    <cfRule type="cellIs" dxfId="597" priority="136" stopIfTrue="1" operator="lessThanOrEqual">
      <formula>0</formula>
    </cfRule>
  </conditionalFormatting>
  <conditionalFormatting sqref="J79">
    <cfRule type="cellIs" dxfId="596" priority="68" stopIfTrue="1" operator="greaterThan">
      <formula>$F79</formula>
    </cfRule>
    <cfRule type="cellIs" dxfId="595" priority="69" stopIfTrue="1" operator="lessThanOrEqual">
      <formula>0</formula>
    </cfRule>
  </conditionalFormatting>
  <conditionalFormatting sqref="K10:K25">
    <cfRule type="cellIs" dxfId="594" priority="2" operator="greaterThan">
      <formula>6</formula>
    </cfRule>
    <cfRule type="cellIs" dxfId="593" priority="3" operator="lessThan">
      <formula>4</formula>
    </cfRule>
    <cfRule type="cellIs" dxfId="592" priority="4" operator="greaterThan">
      <formula>6.4</formula>
    </cfRule>
  </conditionalFormatting>
  <conditionalFormatting sqref="K57:K66">
    <cfRule type="cellIs" dxfId="591" priority="114" stopIfTrue="1" operator="lessThan">
      <formula>100%</formula>
    </cfRule>
  </conditionalFormatting>
  <conditionalFormatting sqref="K70:K78">
    <cfRule type="cellIs" dxfId="590" priority="58" stopIfTrue="1" operator="lessThan">
      <formula>100%</formula>
    </cfRule>
  </conditionalFormatting>
  <conditionalFormatting sqref="K81:K86">
    <cfRule type="cellIs" dxfId="589" priority="199" stopIfTrue="1" operator="lessThan">
      <formula>100%</formula>
    </cfRule>
  </conditionalFormatting>
  <conditionalFormatting sqref="K88:K89">
    <cfRule type="cellIs" dxfId="588" priority="206" stopIfTrue="1" operator="lessThan">
      <formula>100%</formula>
    </cfRule>
  </conditionalFormatting>
  <conditionalFormatting sqref="L10:L25">
    <cfRule type="cellIs" dxfId="587" priority="5" operator="between">
      <formula>61</formula>
      <formula>65</formula>
    </cfRule>
    <cfRule type="cellIs" dxfId="586" priority="6" operator="greaterThan">
      <formula>65</formula>
    </cfRule>
  </conditionalFormatting>
  <conditionalFormatting sqref="L28:M39">
    <cfRule type="cellIs" dxfId="585" priority="39" operator="lessThan">
      <formula>97.95</formula>
    </cfRule>
  </conditionalFormatting>
  <conditionalFormatting sqref="L43:N43">
    <cfRule type="cellIs" dxfId="584" priority="37" operator="notEqual">
      <formula>#REF!</formula>
    </cfRule>
  </conditionalFormatting>
  <conditionalFormatting sqref="L70:N79">
    <cfRule type="cellIs" dxfId="583" priority="55" stopIfTrue="1" operator="lessThan">
      <formula>100%</formula>
    </cfRule>
  </conditionalFormatting>
  <conditionalFormatting sqref="L81:N89">
    <cfRule type="cellIs" dxfId="582" priority="184" stopIfTrue="1" operator="lessThan">
      <formula>100%</formula>
    </cfRule>
  </conditionalFormatting>
  <conditionalFormatting sqref="M25">
    <cfRule type="expression" dxfId="581" priority="34">
      <formula>IF(+(IF(M25&lt;U25,0,IF(M25&gt;V25,0,1)))=0,1)</formula>
    </cfRule>
  </conditionalFormatting>
  <conditionalFormatting sqref="M10:N24 G13:H18">
    <cfRule type="expression" dxfId="580" priority="9">
      <formula>IF(+(IF(G10&lt;#REF!,0,IF(G10&gt;#REF!,0,1)))=0,1)</formula>
    </cfRule>
  </conditionalFormatting>
  <conditionalFormatting sqref="N10:N25">
    <cfRule type="expression" dxfId="579" priority="10">
      <formula>IF(+(IF(N10&lt;W10,0,IF(N10&gt;X10,0,1)))=0,1)</formula>
    </cfRule>
  </conditionalFormatting>
  <conditionalFormatting sqref="P6">
    <cfRule type="cellIs" dxfId="578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A88C-3B8C-4281-92DB-9434E86320FE}">
  <sheetPr>
    <pageSetUpPr fitToPage="1"/>
  </sheetPr>
  <dimension ref="A1:BE71"/>
  <sheetViews>
    <sheetView topLeftCell="A12" zoomScale="85" zoomScaleNormal="85" workbookViewId="0">
      <selection activeCell="J76" sqref="J7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49" t="s">
        <v>0</v>
      </c>
      <c r="T1" s="549"/>
      <c r="U1" s="549" t="s">
        <v>1</v>
      </c>
      <c r="V1" s="549"/>
      <c r="W1" s="549" t="s">
        <v>2</v>
      </c>
      <c r="X1" s="549"/>
      <c r="Y1" s="549" t="s">
        <v>124</v>
      </c>
      <c r="Z1" s="549"/>
    </row>
    <row r="2" spans="2:29" ht="15">
      <c r="B2" s="550" t="s">
        <v>3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46300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5"/>
      <c r="D5" s="545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3" t="s">
        <v>17</v>
      </c>
      <c r="C8" s="512" t="s">
        <v>18</v>
      </c>
      <c r="D8" s="512" t="s">
        <v>19</v>
      </c>
      <c r="E8" s="356" t="s">
        <v>20</v>
      </c>
      <c r="F8" s="356" t="s">
        <v>21</v>
      </c>
      <c r="G8" s="512" t="s">
        <v>22</v>
      </c>
      <c r="H8" s="547" t="s">
        <v>144</v>
      </c>
      <c r="I8" s="512" t="s">
        <v>167</v>
      </c>
      <c r="J8" s="538" t="s">
        <v>23</v>
      </c>
      <c r="K8" s="540" t="s">
        <v>142</v>
      </c>
      <c r="L8" s="542" t="s">
        <v>24</v>
      </c>
      <c r="M8" s="359" t="s">
        <v>25</v>
      </c>
      <c r="N8" s="17" t="s">
        <v>166</v>
      </c>
      <c r="O8" s="512" t="s">
        <v>155</v>
      </c>
      <c r="P8" s="544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37"/>
      <c r="D9" s="537"/>
      <c r="E9" s="357" t="s">
        <v>30</v>
      </c>
      <c r="F9" s="357" t="s">
        <v>31</v>
      </c>
      <c r="G9" s="537"/>
      <c r="H9" s="548"/>
      <c r="I9" s="537"/>
      <c r="J9" s="539"/>
      <c r="K9" s="541"/>
      <c r="L9" s="543"/>
      <c r="M9" s="20" t="s">
        <v>32</v>
      </c>
      <c r="N9" s="21" t="s">
        <v>41</v>
      </c>
      <c r="O9" s="537"/>
      <c r="P9" s="537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[3]Brewhouse!$A794</f>
        <v>CA744</v>
      </c>
      <c r="D10" s="279">
        <f>[3]Brewhouse!$AF794</f>
        <v>50.5</v>
      </c>
      <c r="E10" s="279">
        <f>[3]Brewhouse!$AI794</f>
        <v>51.1</v>
      </c>
      <c r="F10" s="278">
        <f>[3]Brewhouse!$V794</f>
        <v>64</v>
      </c>
      <c r="G10" s="279">
        <f>[3]Brewhouse!AG794</f>
        <v>11.7</v>
      </c>
      <c r="H10" s="396">
        <v>11.8</v>
      </c>
      <c r="I10" s="368">
        <f>[3]Brewhouse!$AU794</f>
        <v>99.322178612780704</v>
      </c>
      <c r="J10" s="368">
        <f>[3]Brewhouse!$AV794</f>
        <v>100.09199803047697</v>
      </c>
      <c r="K10" s="281">
        <f>[3]Brewhouse!$Q794</f>
        <v>10.203327171903888</v>
      </c>
      <c r="L10" s="276">
        <f>[3]Brewhouse!$P794</f>
        <v>59</v>
      </c>
      <c r="M10" s="374">
        <f>[3]Brewhouse!$U794-[3]Brewhouse!$T794</f>
        <v>0.1166666666666667</v>
      </c>
      <c r="N10" s="370">
        <f>[3]Brewhouse!$Z794</f>
        <v>0.24722222222222223</v>
      </c>
      <c r="O10" s="419" t="str">
        <f>[3]Brewhouse!$AX794</f>
        <v>R. Sookram</v>
      </c>
      <c r="P10" s="417"/>
      <c r="R10" s="277" t="str">
        <f t="shared" ref="R10:R31" si="0">B10</f>
        <v>CARIB</v>
      </c>
      <c r="S10" s="471">
        <f t="shared" ref="S10:S31" si="1">VLOOKUP($B10,$R$3:$X$9,2,FALSE)</f>
        <v>11.6</v>
      </c>
      <c r="T10" s="471">
        <f t="shared" ref="T10:T31" si="2">VLOOKUP($B10,$R$3:$X$9,3,FALSE)</f>
        <v>12</v>
      </c>
      <c r="U10" s="297">
        <f t="shared" ref="U10:U31" si="3">VLOOKUP($B10,$R$3:$X$9,4,FALSE)</f>
        <v>0</v>
      </c>
      <c r="V10" s="297">
        <f t="shared" ref="V10:V31" si="4">VLOOKUP($B10,$R$3:$X$9,5,FALSE)</f>
        <v>0.118055555555556</v>
      </c>
      <c r="W10" s="297">
        <f t="shared" ref="W10:W31" si="5">VLOOKUP($B10,$R$3:$X$9,6,FALSE)</f>
        <v>0.22569444444444445</v>
      </c>
      <c r="X10" s="297">
        <f t="shared" ref="X10:X31" si="6">VLOOKUP($B10,$R$3:$X$9,7,FALSE)</f>
        <v>0.2638888888888889</v>
      </c>
      <c r="Y10" s="297">
        <f t="shared" ref="Y10:Y31" si="7">VLOOKUP($B10,$R$3:$Z$9,8,FALSE)</f>
        <v>0</v>
      </c>
      <c r="Z10" s="471">
        <f t="shared" ref="Z10:Z31" si="8">VLOOKUP($B10,$R$3:$Z$9,9,FALSE)</f>
        <v>60</v>
      </c>
    </row>
    <row r="11" spans="2:29" ht="15" customHeight="1">
      <c r="B11" s="29" t="s">
        <v>6</v>
      </c>
      <c r="C11" s="366" t="str">
        <f>[3]Brewhouse!$A795</f>
        <v>CA745</v>
      </c>
      <c r="D11" s="279">
        <f>[3]Brewhouse!$AF795</f>
        <v>49.7</v>
      </c>
      <c r="E11" s="279">
        <f>[3]Brewhouse!$AI795</f>
        <v>50.3</v>
      </c>
      <c r="F11" s="278">
        <f>[3]Brewhouse!$V795</f>
        <v>59</v>
      </c>
      <c r="G11" s="279">
        <f>[3]Brewhouse!AG795</f>
        <v>11.6</v>
      </c>
      <c r="H11" s="490">
        <v>12.1</v>
      </c>
      <c r="I11" s="368">
        <f>[3]Brewhouse!$AU795</f>
        <v>96.647863753507224</v>
      </c>
      <c r="J11" s="368">
        <f>[3]Brewhouse!$AV795</f>
        <v>97.39705384664137</v>
      </c>
      <c r="K11" s="281">
        <f>[3]Brewhouse!$Q795</f>
        <v>10.203327171903888</v>
      </c>
      <c r="L11" s="276">
        <f>[3]Brewhouse!$P795</f>
        <v>59</v>
      </c>
      <c r="M11" s="374">
        <f>[3]Brewhouse!$U795-[3]Brewhouse!$T795</f>
        <v>0.11458333333333331</v>
      </c>
      <c r="N11" s="370">
        <f>[3]Brewhouse!$Z795</f>
        <v>0.25208333333333333</v>
      </c>
      <c r="O11" s="419" t="str">
        <f>[3]Brewhouse!$AX795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[3]Brewhouse!$A796</f>
        <v>CA746</v>
      </c>
      <c r="D12" s="279">
        <f>[3]Brewhouse!$AF796</f>
        <v>49.4</v>
      </c>
      <c r="E12" s="279">
        <f>[3]Brewhouse!$AI796</f>
        <v>49.8</v>
      </c>
      <c r="F12" s="278">
        <f>[3]Brewhouse!$V796</f>
        <v>60</v>
      </c>
      <c r="G12" s="279">
        <f>[3]Brewhouse!AG796</f>
        <v>11.8</v>
      </c>
      <c r="H12" s="396">
        <v>11.8</v>
      </c>
      <c r="I12" s="368">
        <f>[3]Brewhouse!$AU796</f>
        <v>99.393897008473871</v>
      </c>
      <c r="J12" s="368">
        <f>[3]Brewhouse!$AV796</f>
        <v>100.16354837022554</v>
      </c>
      <c r="K12" s="281">
        <f>[3]Brewhouse!$Q796</f>
        <v>10.018484288354902</v>
      </c>
      <c r="L12" s="276">
        <f>[3]Brewhouse!$P796</f>
        <v>58</v>
      </c>
      <c r="M12" s="374">
        <f>[3]Brewhouse!$U796-[3]Brewhouse!$T796</f>
        <v>0.10972222222222222</v>
      </c>
      <c r="N12" s="370">
        <f>[3]Brewhouse!$Z796</f>
        <v>0.25694444444444442</v>
      </c>
      <c r="O12" s="419" t="str">
        <f>[3]Brewhouse!$AX796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19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3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19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3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19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19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7"/>
      <c r="J17" s="487"/>
      <c r="K17" s="488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31"/>
      <c r="J18" s="531"/>
      <c r="K18" s="531"/>
      <c r="L18" s="531"/>
      <c r="M18" s="531"/>
      <c r="N18" s="531"/>
      <c r="O18" s="1"/>
      <c r="P18" s="12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7.25" customHeight="1" thickBot="1">
      <c r="B19" s="482" t="s">
        <v>162</v>
      </c>
      <c r="C19" s="388"/>
      <c r="D19" s="532" t="s">
        <v>35</v>
      </c>
      <c r="E19" s="533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0"/>
        <v xml:space="preserve">BRAND 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7.25" customHeight="1">
      <c r="A20" s="28"/>
      <c r="B20" s="534"/>
      <c r="C20" s="483"/>
      <c r="D20" s="519"/>
      <c r="E20" s="520"/>
      <c r="F20" s="294"/>
      <c r="G20" s="294"/>
      <c r="H20" s="348"/>
      <c r="I20" s="29" t="s">
        <v>6</v>
      </c>
      <c r="J20" s="323">
        <f>AVERAGE(I10:I12)</f>
        <v>98.454646458253933</v>
      </c>
      <c r="K20" s="284">
        <f>COUNTA([3]Brewhouse!$A$789:$A$796)</f>
        <v>8</v>
      </c>
      <c r="L20" s="305">
        <f>AVERAGE([3]Brewhouse!$AU$789:$AU$796)</f>
        <v>97.852627055566273</v>
      </c>
      <c r="M20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$796)</f>
        <v>98.326185180443801</v>
      </c>
      <c r="N20" s="30">
        <v>98</v>
      </c>
      <c r="O20" s="11"/>
      <c r="P20" s="31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customHeight="1">
      <c r="A21" s="28"/>
      <c r="B21" s="535"/>
      <c r="C21" s="362"/>
      <c r="D21" s="521"/>
      <c r="E21" s="522"/>
      <c r="F21" s="294"/>
      <c r="G21" s="294"/>
      <c r="H21" s="348"/>
      <c r="I21" s="33" t="s">
        <v>9</v>
      </c>
      <c r="J21" s="323"/>
      <c r="K21" s="284">
        <f>COUNTA([4]Brewhouse!$A$390:$A$391)</f>
        <v>2</v>
      </c>
      <c r="L21" s="302">
        <f>AVERAGE([4]Brewhouse!$AS$390:$AS$391)</f>
        <v>99.056946070238752</v>
      </c>
      <c r="M21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$391)</f>
        <v>98.311229916038556</v>
      </c>
      <c r="N21" s="30">
        <v>98</v>
      </c>
      <c r="O21" s="11"/>
      <c r="P21" s="31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4.65" customHeight="1">
      <c r="A22" s="28"/>
      <c r="B22" s="535"/>
      <c r="C22" s="362"/>
      <c r="D22" s="526"/>
      <c r="E22" s="527"/>
      <c r="F22" s="294"/>
      <c r="G22" s="294"/>
      <c r="H22" s="348"/>
      <c r="I22" s="34" t="s">
        <v>12</v>
      </c>
      <c r="J22" s="323"/>
      <c r="K22" s="284"/>
      <c r="L22" s="302"/>
      <c r="M22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2" s="30">
        <v>98</v>
      </c>
      <c r="O22" s="11"/>
      <c r="P22" s="31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4.65" customHeight="1">
      <c r="A23" s="28"/>
      <c r="B23" s="535"/>
      <c r="C23" s="362"/>
      <c r="D23" s="528"/>
      <c r="E23" s="522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4.65" customHeight="1">
      <c r="A24" s="28"/>
      <c r="B24" s="535"/>
      <c r="C24" s="362"/>
      <c r="D24" s="526"/>
      <c r="E24" s="527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35"/>
      <c r="C25" s="362"/>
      <c r="D25" s="528"/>
      <c r="E25" s="522"/>
      <c r="F25" s="416"/>
      <c r="G25" s="294"/>
      <c r="H25" s="348"/>
      <c r="I25" s="36" t="s">
        <v>15</v>
      </c>
      <c r="J25" s="323"/>
      <c r="K25" s="284"/>
      <c r="L25" s="302"/>
      <c r="M25" s="302">
        <f>AVERAGE([7]Brewhouse!$AT$4:$AT$11,[7]Brewhouse!$AT$13:$AT$16,[7]Brewhouse!$AT$18:$AT$30)</f>
        <v>93.22262799886262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5"/>
      <c r="C26" s="362"/>
      <c r="D26" s="526"/>
      <c r="E26" s="527"/>
      <c r="F26" s="416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6" s="30">
        <v>98</v>
      </c>
      <c r="O26" s="11"/>
      <c r="P26" s="31" t="s">
        <v>41</v>
      </c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5"/>
      <c r="C27" s="362"/>
      <c r="D27" s="528"/>
      <c r="E27" s="522"/>
      <c r="F27" s="294"/>
      <c r="G27" s="294"/>
      <c r="H27" s="348"/>
      <c r="I27" s="410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5"/>
      <c r="C28" s="362"/>
      <c r="D28" s="526"/>
      <c r="E28" s="527"/>
      <c r="F28" s="294"/>
      <c r="G28" s="294"/>
      <c r="H28" s="348"/>
      <c r="I28" s="409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  <c r="AA28" s="471"/>
    </row>
    <row r="29" spans="1:27" ht="15" customHeight="1" thickBot="1">
      <c r="A29" s="28"/>
      <c r="B29" s="535"/>
      <c r="C29" s="362"/>
      <c r="D29" s="528"/>
      <c r="E29" s="522"/>
      <c r="F29" s="294"/>
      <c r="G29" s="294"/>
      <c r="H29" s="348"/>
      <c r="I29" s="405" t="s">
        <v>156</v>
      </c>
      <c r="J29" s="327"/>
      <c r="K29" s="406"/>
      <c r="L29" s="407"/>
      <c r="M29" s="407"/>
      <c r="N29" s="408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  <c r="AA29" s="471"/>
    </row>
    <row r="30" spans="1:27" ht="15" customHeight="1" thickBot="1">
      <c r="A30" s="28"/>
      <c r="B30" s="535"/>
      <c r="C30" s="349"/>
      <c r="D30" s="519"/>
      <c r="E30" s="520"/>
      <c r="F30" s="294"/>
      <c r="G30" s="294"/>
      <c r="H30" s="348"/>
      <c r="I30" s="1"/>
      <c r="J30" s="39"/>
      <c r="K30" s="403">
        <f>SUM(K20:K29)</f>
        <v>10</v>
      </c>
      <c r="L30" s="404">
        <f>((L20*K20)+(L21*K21)+(L22*K22)+(L23*K23)+(L24*K24)+(K27*L27)+(L25*K25)+(L26*K26)+(L29*K29))/(K30)</f>
        <v>98.093490858500758</v>
      </c>
      <c r="M30" s="404">
        <f>AVERAGE('[9]Jan30th-31st'!$L$42,'[10]Feb 27th-28th'!$L$45,'[11]Mar 31st'!$L$42,'[12]Apr 30th'!$L$41,'[13]May 29th '!$L$35,'[14]June 30th'!$L$32,[15]July31st!$L$36,'[16]Aug 31st'!$L$32,L30)</f>
        <v>97.997163601205045</v>
      </c>
      <c r="N30" s="4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  <c r="AA30" s="471"/>
    </row>
    <row r="31" spans="1:27" ht="15.75" thickBot="1">
      <c r="B31" s="536"/>
      <c r="C31" s="350"/>
      <c r="D31" s="521"/>
      <c r="E31" s="522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.75" thickBot="1">
      <c r="B32" s="516"/>
      <c r="C32" s="362"/>
      <c r="D32" s="519"/>
      <c r="E32" s="520"/>
      <c r="F32" s="294"/>
      <c r="G32" s="42"/>
      <c r="H32" s="41"/>
      <c r="I32" s="42"/>
      <c r="J32" s="523" t="s">
        <v>129</v>
      </c>
      <c r="K32" s="523"/>
      <c r="L32" s="294"/>
      <c r="M32" s="294"/>
      <c r="N32" s="294"/>
      <c r="O32" s="294"/>
      <c r="P32" s="12"/>
    </row>
    <row r="33" spans="2:56" ht="15.75" thickBot="1">
      <c r="B33" s="517"/>
      <c r="C33" s="362"/>
      <c r="D33" s="521"/>
      <c r="E33" s="522"/>
      <c r="F33" s="294"/>
      <c r="G33" s="42"/>
      <c r="H33" s="42"/>
      <c r="I33" s="42"/>
      <c r="J33" s="292" t="s">
        <v>17</v>
      </c>
      <c r="K33" s="293"/>
      <c r="L33" s="524" t="s">
        <v>136</v>
      </c>
      <c r="M33" s="524"/>
      <c r="N33" s="525"/>
      <c r="O33" s="294"/>
      <c r="P33" s="12"/>
    </row>
    <row r="34" spans="2:56" ht="15" customHeight="1" thickBot="1">
      <c r="B34" s="517"/>
      <c r="C34" s="349"/>
      <c r="D34" s="526"/>
      <c r="E34" s="527"/>
      <c r="F34" s="294"/>
      <c r="G34" s="42"/>
      <c r="H34" s="42"/>
      <c r="I34" s="42"/>
      <c r="J34" s="287" t="s">
        <v>6</v>
      </c>
      <c r="K34" s="324">
        <v>3</v>
      </c>
      <c r="L34" s="472" t="s">
        <v>37</v>
      </c>
      <c r="M34" s="473" t="s">
        <v>38</v>
      </c>
      <c r="N34" s="473" t="s">
        <v>84</v>
      </c>
      <c r="O34" s="294"/>
      <c r="P34" s="12"/>
    </row>
    <row r="35" spans="2:56" ht="15.75" customHeight="1" thickBot="1">
      <c r="B35" s="517"/>
      <c r="C35" s="349"/>
      <c r="D35" s="528"/>
      <c r="E35" s="522"/>
      <c r="F35" s="294"/>
      <c r="G35" s="42"/>
      <c r="H35" s="42"/>
      <c r="I35" s="42"/>
      <c r="J35" s="345" t="s">
        <v>9</v>
      </c>
      <c r="K35" s="324"/>
      <c r="L35" s="484">
        <f>AVERAGE('Oct 1st'!K52,K44)</f>
        <v>5</v>
      </c>
      <c r="M35" s="485">
        <f>AVERAGE('[9]Jan30th-31st'!$L$47,L35,'[10]Feb 26th '!$L$39,'[11]Mar 31st'!$L$47,'[12]Apr 30th'!$L$46,'[13]May 29th '!$L$40,'[14]June 30th'!$L$39,[15]July31st!$L$41,'[16]Aug 31st'!$L$37,'[17]Sept 30th'!$L$37)</f>
        <v>6.3735341470124078</v>
      </c>
      <c r="N35" s="415">
        <v>9.1999999999999993</v>
      </c>
      <c r="O35" s="294"/>
      <c r="P35" s="12"/>
    </row>
    <row r="36" spans="2:56" ht="15" customHeight="1">
      <c r="B36" s="517"/>
      <c r="C36" s="349"/>
      <c r="D36" s="526"/>
      <c r="E36" s="527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17"/>
      <c r="C37" s="349"/>
      <c r="D37" s="528"/>
      <c r="E37" s="522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17"/>
      <c r="C38" s="349"/>
      <c r="D38" s="526"/>
      <c r="E38" s="527"/>
      <c r="F38" s="294"/>
      <c r="G38" s="42"/>
      <c r="H38" s="42"/>
      <c r="I38" s="42"/>
      <c r="J38" s="290" t="s">
        <v>16</v>
      </c>
      <c r="K38" s="324"/>
      <c r="L38" s="294"/>
      <c r="M38" s="294"/>
      <c r="N38" s="294"/>
      <c r="O38" s="294"/>
      <c r="P38" s="12"/>
      <c r="BC38" s="44"/>
      <c r="BD38" s="44"/>
    </row>
    <row r="39" spans="2:56" ht="15">
      <c r="B39" s="517"/>
      <c r="C39" s="349"/>
      <c r="D39" s="528"/>
      <c r="E39" s="522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17"/>
      <c r="C40" s="349"/>
      <c r="D40" s="526"/>
      <c r="E40" s="527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18"/>
      <c r="C41" s="350"/>
      <c r="D41" s="529"/>
      <c r="E41" s="530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07"/>
      <c r="E42" s="508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3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01" t="s">
        <v>17</v>
      </c>
      <c r="C47" s="501" t="s">
        <v>44</v>
      </c>
      <c r="D47" s="510" t="s">
        <v>45</v>
      </c>
      <c r="E47" s="512" t="s">
        <v>46</v>
      </c>
      <c r="F47" s="514" t="s">
        <v>47</v>
      </c>
      <c r="G47" s="499" t="s">
        <v>48</v>
      </c>
      <c r="H47" s="501" t="s">
        <v>49</v>
      </c>
      <c r="I47" s="501" t="s">
        <v>50</v>
      </c>
      <c r="J47" s="493" t="s">
        <v>28</v>
      </c>
      <c r="K47" s="503" t="s">
        <v>51</v>
      </c>
      <c r="L47" s="505" t="s">
        <v>52</v>
      </c>
      <c r="M47" s="493" t="s">
        <v>53</v>
      </c>
      <c r="N47" s="13"/>
      <c r="O47" s="13"/>
      <c r="P47" s="50"/>
    </row>
    <row r="48" spans="2:56" ht="28.5" customHeight="1" thickTop="1" thickBot="1">
      <c r="B48" s="502"/>
      <c r="C48" s="509"/>
      <c r="D48" s="511"/>
      <c r="E48" s="513"/>
      <c r="F48" s="515"/>
      <c r="G48" s="500"/>
      <c r="H48" s="502"/>
      <c r="I48" s="502"/>
      <c r="J48" s="494"/>
      <c r="K48" s="504"/>
      <c r="L48" s="506"/>
      <c r="M48" s="494"/>
      <c r="N48" s="13"/>
      <c r="O48" s="13"/>
      <c r="P48" s="50"/>
      <c r="Q48" s="355"/>
      <c r="AB48" s="474">
        <v>43474</v>
      </c>
      <c r="AC48" s="474">
        <v>43475</v>
      </c>
      <c r="AD48" s="474">
        <v>43476</v>
      </c>
      <c r="AE48" s="474">
        <v>43477</v>
      </c>
      <c r="AF48" s="474">
        <v>43478</v>
      </c>
      <c r="AG48" s="474">
        <v>43479</v>
      </c>
      <c r="AH48" s="474">
        <v>43480</v>
      </c>
      <c r="AI48" s="474">
        <v>43481</v>
      </c>
      <c r="AJ48" s="474">
        <v>43482</v>
      </c>
      <c r="AK48" s="474">
        <v>43483</v>
      </c>
      <c r="AL48" s="474">
        <v>43484</v>
      </c>
      <c r="AM48" s="474">
        <v>43485</v>
      </c>
      <c r="AN48" s="474">
        <v>43486</v>
      </c>
      <c r="AO48" s="474">
        <v>43487</v>
      </c>
      <c r="AP48" s="474">
        <v>43488</v>
      </c>
      <c r="AQ48" s="474">
        <v>43489</v>
      </c>
      <c r="AR48" s="474">
        <v>43490</v>
      </c>
      <c r="AS48" s="474">
        <v>43491</v>
      </c>
      <c r="AT48" s="474">
        <v>43492</v>
      </c>
      <c r="AU48" s="474">
        <v>43493</v>
      </c>
      <c r="AV48" s="474">
        <v>43494</v>
      </c>
      <c r="AW48" s="474">
        <v>43495</v>
      </c>
      <c r="AX48" s="474">
        <v>43496</v>
      </c>
    </row>
    <row r="49" spans="2:57" s="54" customFormat="1" ht="36.75" customHeight="1" thickBot="1">
      <c r="B49" s="455" t="str">
        <f>J34</f>
        <v>CARIB</v>
      </c>
      <c r="C49" s="478">
        <v>46297</v>
      </c>
      <c r="D49" s="444">
        <f>[37]October_2026!$E$3</f>
        <v>178.8</v>
      </c>
      <c r="E49" s="442"/>
      <c r="F49" s="443"/>
      <c r="G49" s="443">
        <f>[37]October_2026!$E$7</f>
        <v>172.9</v>
      </c>
      <c r="H49" s="457"/>
      <c r="I49" s="457"/>
      <c r="J49" s="447" t="s">
        <v>150</v>
      </c>
      <c r="K49" s="448">
        <f>[39]October_2026!$E$18</f>
        <v>0.60666666666666669</v>
      </c>
      <c r="L49" s="456">
        <f>(((D49+E49)-G49)/(D49+E49))*100</f>
        <v>3.2997762863534703</v>
      </c>
      <c r="M49" s="454" t="s">
        <v>172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[18]January_2019!L5</f>
        <v>0</v>
      </c>
      <c r="AC49" s="57">
        <f>[18]January_2019!M5</f>
        <v>0</v>
      </c>
      <c r="AD49" s="57">
        <f>[18]January_2019!N5</f>
        <v>0</v>
      </c>
      <c r="AE49" s="57">
        <f>[18]January_2019!O5</f>
        <v>0</v>
      </c>
      <c r="AF49" s="57">
        <f>[18]January_2019!P5</f>
        <v>0</v>
      </c>
      <c r="AG49" s="57">
        <f>[18]January_2019!Q5</f>
        <v>0</v>
      </c>
      <c r="AH49" s="57">
        <f>[18]January_2019!R5</f>
        <v>0</v>
      </c>
      <c r="AI49" s="57">
        <f>[18]January_2019!S5</f>
        <v>0</v>
      </c>
      <c r="AJ49" s="57">
        <f>[18]January_2019!T5</f>
        <v>0</v>
      </c>
      <c r="AK49" s="57">
        <f>[18]January_2019!U5</f>
        <v>0</v>
      </c>
      <c r="AL49" s="57">
        <f>[18]January_2019!V5</f>
        <v>0</v>
      </c>
      <c r="AM49" s="57">
        <f>[18]January_2019!W5</f>
        <v>0</v>
      </c>
      <c r="AN49" s="57">
        <f>[18]January_2019!X5</f>
        <v>0</v>
      </c>
      <c r="AO49" s="57">
        <f>[18]January_2019!Y5</f>
        <v>0</v>
      </c>
      <c r="AP49" s="57">
        <f>[18]January_2019!Z5</f>
        <v>0</v>
      </c>
      <c r="AQ49" s="57">
        <f>[18]January_2019!AA5</f>
        <v>0</v>
      </c>
      <c r="AR49" s="57">
        <f>[18]January_2019!AB5</f>
        <v>0</v>
      </c>
      <c r="AS49" s="57">
        <f>[18]January_2019!AC5</f>
        <v>0</v>
      </c>
      <c r="AT49" s="57">
        <f>[18]January_2019!AD5</f>
        <v>0</v>
      </c>
      <c r="AU49" s="57">
        <f>[18]January_2019!AE5</f>
        <v>0</v>
      </c>
      <c r="AV49" s="57">
        <f>[18]January_2019!AF5</f>
        <v>0</v>
      </c>
      <c r="AW49" s="57">
        <f>[18]January_2019!AG5</f>
        <v>0</v>
      </c>
      <c r="AX49" s="277">
        <f>[18]January_2019!AH5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hidden="1" customHeight="1" thickBot="1">
      <c r="B50" s="479"/>
      <c r="C50" s="478"/>
      <c r="D50" s="441"/>
      <c r="E50" s="442"/>
      <c r="F50" s="443"/>
      <c r="G50" s="444"/>
      <c r="H50" s="457"/>
      <c r="I50" s="457"/>
      <c r="J50" s="475"/>
      <c r="K50" s="448"/>
      <c r="L50" s="456"/>
      <c r="M50" s="454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[18]January_2019!L6</f>
        <v>0</v>
      </c>
      <c r="AC50" s="57">
        <f>[18]January_2019!M6</f>
        <v>0</v>
      </c>
      <c r="AD50" s="57">
        <f>[18]January_2019!N6</f>
        <v>0</v>
      </c>
      <c r="AE50" s="57">
        <f>[18]January_2019!O6</f>
        <v>0</v>
      </c>
      <c r="AF50" s="57">
        <f>[18]January_2019!P6</f>
        <v>0</v>
      </c>
      <c r="AG50" s="57">
        <f>[18]January_2019!Q6</f>
        <v>0</v>
      </c>
      <c r="AH50" s="57">
        <f>[18]January_2019!R6</f>
        <v>0</v>
      </c>
      <c r="AI50" s="57">
        <f>[18]January_2019!S6</f>
        <v>0</v>
      </c>
      <c r="AJ50" s="57">
        <f>[18]January_2019!T6</f>
        <v>0</v>
      </c>
      <c r="AK50" s="57">
        <f>[18]January_2019!U6</f>
        <v>0</v>
      </c>
      <c r="AL50" s="57">
        <f>[18]January_2019!V6</f>
        <v>0</v>
      </c>
      <c r="AM50" s="57">
        <f>[18]January_2019!W6</f>
        <v>0</v>
      </c>
      <c r="AN50" s="57">
        <f>[18]January_2019!X6</f>
        <v>0</v>
      </c>
      <c r="AO50" s="57">
        <f>[18]January_2019!Y6</f>
        <v>0</v>
      </c>
      <c r="AP50" s="57">
        <f>[18]January_2019!Z6</f>
        <v>0</v>
      </c>
      <c r="AQ50" s="57">
        <f>[18]January_2019!AA6</f>
        <v>0</v>
      </c>
      <c r="AR50" s="57">
        <f>[18]January_2019!AB6</f>
        <v>0</v>
      </c>
      <c r="AS50" s="57">
        <f>[18]January_2019!AC6</f>
        <v>0</v>
      </c>
      <c r="AT50" s="57">
        <f>[18]January_2019!AD6</f>
        <v>0</v>
      </c>
      <c r="AU50" s="57">
        <f>[18]January_2019!AE6</f>
        <v>0</v>
      </c>
      <c r="AV50" s="57">
        <f>[18]January_2019!AF6</f>
        <v>0</v>
      </c>
      <c r="AW50" s="57">
        <f>[18]January_2019!AG6</f>
        <v>0</v>
      </c>
      <c r="AX50" s="277">
        <f>[18]January_2019!AH6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hidden="1" customHeight="1" thickBot="1">
      <c r="B51" s="489" t="str">
        <f>J35</f>
        <v>STAG</v>
      </c>
      <c r="C51" s="478">
        <v>46287</v>
      </c>
      <c r="D51" s="441">
        <f>[37]September_2026!$Y$13</f>
        <v>190.70000000000002</v>
      </c>
      <c r="E51" s="442"/>
      <c r="F51" s="443"/>
      <c r="G51" s="443">
        <f>[37]September_2026!$Y$17</f>
        <v>184.3</v>
      </c>
      <c r="H51" s="445"/>
      <c r="I51" s="445"/>
      <c r="J51" s="447" t="s">
        <v>169</v>
      </c>
      <c r="K51" s="448">
        <f>[39]September_2026!$Y$25</f>
        <v>0.64666666666666672</v>
      </c>
      <c r="L51" s="456">
        <f>(((D51+E51)-G51)/(D51+E51))*100</f>
        <v>3.3560566334556925</v>
      </c>
      <c r="M51" s="454" t="s">
        <v>170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[18]January_2019!L7</f>
        <v>285.8</v>
      </c>
      <c r="AC51" s="57">
        <f>[18]January_2019!M7</f>
        <v>508.1</v>
      </c>
      <c r="AD51" s="57">
        <f>[18]January_2019!N7</f>
        <v>0</v>
      </c>
      <c r="AE51" s="57">
        <f>[18]January_2019!O7</f>
        <v>0</v>
      </c>
      <c r="AF51" s="57">
        <f>[18]January_2019!P7</f>
        <v>109.56666666666666</v>
      </c>
      <c r="AG51" s="57">
        <f>[18]January_2019!Q7</f>
        <v>297.64999999999998</v>
      </c>
      <c r="AH51" s="57">
        <f>[18]January_2019!R7</f>
        <v>122.3</v>
      </c>
      <c r="AI51" s="57">
        <f>[18]January_2019!S7</f>
        <v>0</v>
      </c>
      <c r="AJ51" s="57">
        <f>[18]January_2019!T7</f>
        <v>294.7</v>
      </c>
      <c r="AK51" s="57">
        <f>[18]January_2019!U7</f>
        <v>280.5</v>
      </c>
      <c r="AL51" s="57">
        <f>[18]January_2019!V7</f>
        <v>0</v>
      </c>
      <c r="AM51" s="57">
        <f>[18]January_2019!W7</f>
        <v>0</v>
      </c>
      <c r="AN51" s="57">
        <f>[18]January_2019!X7</f>
        <v>188.25</v>
      </c>
      <c r="AO51" s="57">
        <f>[18]January_2019!Y7</f>
        <v>295.7</v>
      </c>
      <c r="AP51" s="57">
        <f>[18]January_2019!Z7</f>
        <v>257.8</v>
      </c>
      <c r="AQ51" s="57">
        <f>[18]January_2019!AA7</f>
        <v>291.2</v>
      </c>
      <c r="AR51" s="57">
        <f>[18]January_2019!AB7</f>
        <v>187</v>
      </c>
      <c r="AS51" s="57">
        <f>[18]January_2019!AC7</f>
        <v>0</v>
      </c>
      <c r="AT51" s="57">
        <f>[18]January_2019!AD7</f>
        <v>0</v>
      </c>
      <c r="AU51" s="57">
        <f>[18]January_2019!AE7</f>
        <v>485.1</v>
      </c>
      <c r="AV51" s="57">
        <f>[18]January_2019!AF7</f>
        <v>171.55</v>
      </c>
      <c r="AW51" s="57">
        <f>[18]January_2019!AG7</f>
        <v>423.8</v>
      </c>
      <c r="AX51" s="277">
        <f>[18]January_2019!AH7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7"/>
      <c r="C52" s="429"/>
      <c r="D52" s="430"/>
      <c r="E52" s="431"/>
      <c r="F52" s="432"/>
      <c r="G52" s="433"/>
      <c r="H52" s="457"/>
      <c r="I52" s="457"/>
      <c r="J52" s="450"/>
      <c r="K52" s="435"/>
      <c r="L52" s="451"/>
      <c r="M52" s="420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6"/>
      <c r="C53" s="478"/>
      <c r="D53" s="441"/>
      <c r="E53" s="442"/>
      <c r="F53" s="443"/>
      <c r="G53" s="444"/>
      <c r="H53" s="457"/>
      <c r="I53" s="457"/>
      <c r="J53" s="447"/>
      <c r="K53" s="45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2"/>
      <c r="C54" s="429"/>
      <c r="D54" s="430"/>
      <c r="E54" s="431"/>
      <c r="F54" s="432"/>
      <c r="G54" s="433"/>
      <c r="H54" s="434"/>
      <c r="I54" s="449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0"/>
      <c r="C55" s="478"/>
      <c r="D55" s="441"/>
      <c r="E55" s="442"/>
      <c r="F55" s="443"/>
      <c r="G55" s="444"/>
      <c r="H55" s="445"/>
      <c r="I55" s="446"/>
      <c r="J55" s="447"/>
      <c r="K55" s="44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6"/>
      <c r="C56" s="422"/>
      <c r="D56" s="423"/>
      <c r="E56" s="424"/>
      <c r="F56" s="425"/>
      <c r="G56" s="426"/>
      <c r="H56" s="427"/>
      <c r="I56" s="437"/>
      <c r="J56" s="438"/>
      <c r="K56" s="428"/>
      <c r="L56" s="439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4"/>
      <c r="AC56" s="414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</row>
    <row r="57" spans="2:57" s="54" customFormat="1" ht="37.15" hidden="1" customHeight="1" thickBot="1">
      <c r="B57" s="455"/>
      <c r="C57" s="440"/>
      <c r="D57" s="441"/>
      <c r="E57" s="442"/>
      <c r="F57" s="443"/>
      <c r="G57" s="444"/>
      <c r="H57" s="445"/>
      <c r="I57" s="446"/>
      <c r="J57" s="447"/>
      <c r="K57" s="448"/>
      <c r="L57" s="456"/>
      <c r="M57" s="453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5"/>
      <c r="C58" s="429"/>
      <c r="D58" s="459"/>
      <c r="E58" s="460"/>
      <c r="F58" s="461"/>
      <c r="G58" s="459"/>
      <c r="H58" s="462"/>
      <c r="I58" s="462"/>
      <c r="J58" s="462"/>
      <c r="K58" s="463"/>
      <c r="L58" s="464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495" t="s">
        <v>55</v>
      </c>
      <c r="C60" s="496"/>
      <c r="D60" s="496"/>
      <c r="E60" s="496"/>
      <c r="F60" s="497"/>
      <c r="G60" s="495" t="s">
        <v>56</v>
      </c>
      <c r="H60" s="496"/>
      <c r="I60" s="496"/>
      <c r="J60" s="497"/>
      <c r="K60" s="495" t="s">
        <v>51</v>
      </c>
      <c r="L60" s="496"/>
      <c r="M60" s="496"/>
      <c r="N60" s="498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 t="s">
        <v>36</v>
      </c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>
        <f>L49</f>
        <v>3.2997762863534703</v>
      </c>
      <c r="D62" s="76">
        <v>5.1948051948052019</v>
      </c>
      <c r="E62" s="76">
        <v>6.4282927289657135</v>
      </c>
      <c r="F62" s="66">
        <v>4.8</v>
      </c>
      <c r="G62" s="65">
        <f>[37]October_2026!$E$11</f>
        <v>4.7276713042744225</v>
      </c>
      <c r="H62" s="476">
        <v>6.5947178334381018</v>
      </c>
      <c r="I62" s="476">
        <v>6.5259220948122536</v>
      </c>
      <c r="J62" s="66">
        <v>4.8</v>
      </c>
      <c r="K62" s="67">
        <f>K49</f>
        <v>0.60666666666666669</v>
      </c>
      <c r="L62" s="194">
        <v>0.35859649122807019</v>
      </c>
      <c r="M62" s="194">
        <v>0.53908627189124969</v>
      </c>
      <c r="N62" s="68">
        <v>1</v>
      </c>
      <c r="O62" s="56"/>
      <c r="P62" s="69"/>
    </row>
    <row r="63" spans="2:57" ht="15">
      <c r="B63" s="33" t="s">
        <v>9</v>
      </c>
      <c r="C63" s="65"/>
      <c r="D63" s="76"/>
      <c r="E63" s="76">
        <v>6.0345293824252026</v>
      </c>
      <c r="F63" s="66">
        <v>4.8</v>
      </c>
      <c r="G63" s="65"/>
      <c r="H63" s="76"/>
      <c r="I63" s="76">
        <v>5.9275658832823668</v>
      </c>
      <c r="J63" s="66">
        <v>4.8</v>
      </c>
      <c r="K63" s="67"/>
      <c r="L63" s="194"/>
      <c r="M63" s="194">
        <v>0.6824652535868081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10.912862882586603</v>
      </c>
      <c r="F64" s="66">
        <v>5.5</v>
      </c>
      <c r="G64" s="65"/>
      <c r="H64" s="76"/>
      <c r="I64" s="76">
        <v>11.819732298933111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>
        <v>2.6160971335586405</v>
      </c>
      <c r="E65" s="76">
        <v>4.8433372666231218</v>
      </c>
      <c r="F65" s="66">
        <v>3.3</v>
      </c>
      <c r="G65" s="65"/>
      <c r="H65" s="76">
        <v>4.0562064167659644</v>
      </c>
      <c r="I65" s="76">
        <v>4.7835858167498584</v>
      </c>
      <c r="J65" s="66">
        <v>3.3</v>
      </c>
      <c r="K65" s="67"/>
      <c r="L65" s="194">
        <v>1.3649122807017544</v>
      </c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6.3233965672990236</v>
      </c>
      <c r="F67" s="70">
        <v>5.5</v>
      </c>
      <c r="G67" s="65"/>
      <c r="H67" s="76"/>
      <c r="I67" s="76">
        <v>7.9667553186446929</v>
      </c>
      <c r="J67" s="66">
        <v>5.5</v>
      </c>
      <c r="K67" s="67"/>
      <c r="L67" s="194"/>
      <c r="M67" s="194">
        <v>0.5883625730994152</v>
      </c>
      <c r="N67" s="68">
        <v>1</v>
      </c>
      <c r="P67" s="69"/>
    </row>
    <row r="68" spans="2:16" ht="15">
      <c r="B68" s="37" t="s">
        <v>16</v>
      </c>
      <c r="C68" s="481"/>
      <c r="D68" s="76"/>
      <c r="E68" s="76">
        <v>3.9973372218347856</v>
      </c>
      <c r="F68" s="66">
        <v>3.3</v>
      </c>
      <c r="G68" s="282"/>
      <c r="H68" s="76"/>
      <c r="I68" s="76">
        <v>5.1096183510504902</v>
      </c>
      <c r="J68" s="66">
        <v>3.3</v>
      </c>
      <c r="K68" s="67"/>
      <c r="L68" s="194"/>
      <c r="M68" s="194">
        <v>0.89057130004498408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3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3.1641202562838857</v>
      </c>
      <c r="E71" s="76">
        <v>6.362317810863849</v>
      </c>
      <c r="F71" s="341">
        <v>5.5</v>
      </c>
      <c r="H71" s="76">
        <v>4.4573319835868546</v>
      </c>
      <c r="I71" s="76">
        <v>6.6333558982033063</v>
      </c>
      <c r="J71" s="341">
        <v>5.5</v>
      </c>
      <c r="L71" s="194">
        <v>0.86175438596491227</v>
      </c>
      <c r="M71" s="194">
        <v>0.59559710956710543</v>
      </c>
      <c r="N71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B32:B41"/>
    <mergeCell ref="D32:E33"/>
    <mergeCell ref="J32:K32"/>
    <mergeCell ref="L33:N33"/>
    <mergeCell ref="D34:E35"/>
    <mergeCell ref="D36:E37"/>
    <mergeCell ref="D38:E39"/>
    <mergeCell ref="D40:E41"/>
    <mergeCell ref="D42:E42"/>
    <mergeCell ref="B47:B48"/>
    <mergeCell ref="C47:C48"/>
    <mergeCell ref="D47:D48"/>
    <mergeCell ref="E47:E48"/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</mergeCells>
  <conditionalFormatting sqref="B42:B43">
    <cfRule type="cellIs" dxfId="577" priority="105" operator="notBetween">
      <formula>#REF!</formula>
      <formula>#REF!</formula>
    </cfRule>
  </conditionalFormatting>
  <conditionalFormatting sqref="C46">
    <cfRule type="cellIs" dxfId="576" priority="187" stopIfTrue="1" operator="lessThan">
      <formula>96</formula>
    </cfRule>
    <cfRule type="cellIs" dxfId="575" priority="188" stopIfTrue="1" operator="greaterThan">
      <formula>100</formula>
    </cfRule>
  </conditionalFormatting>
  <conditionalFormatting sqref="C62:C63">
    <cfRule type="cellIs" dxfId="574" priority="68" stopIfTrue="1" operator="greaterThan">
      <formula>$F62</formula>
    </cfRule>
    <cfRule type="cellIs" dxfId="573" priority="69" stopIfTrue="1" operator="lessThanOrEqual">
      <formula>0</formula>
    </cfRule>
    <cfRule type="cellIs" dxfId="572" priority="70" stopIfTrue="1" operator="greaterThan">
      <formula>$F62</formula>
    </cfRule>
    <cfRule type="cellIs" dxfId="571" priority="71" stopIfTrue="1" operator="lessThanOrEqual">
      <formula>0</formula>
    </cfRule>
  </conditionalFormatting>
  <conditionalFormatting sqref="C64:C66 C68:C70">
    <cfRule type="cellIs" dxfId="570" priority="77" stopIfTrue="1" operator="greaterThan">
      <formula>$F67</formula>
    </cfRule>
  </conditionalFormatting>
  <conditionalFormatting sqref="C64:C66">
    <cfRule type="cellIs" dxfId="569" priority="78" stopIfTrue="1" operator="lessThanOrEqual">
      <formula>0</formula>
    </cfRule>
  </conditionalFormatting>
  <conditionalFormatting sqref="C67">
    <cfRule type="cellIs" dxfId="568" priority="189" stopIfTrue="1" operator="greaterThan">
      <formula>$F62</formula>
    </cfRule>
    <cfRule type="cellIs" dxfId="567" priority="190" stopIfTrue="1" operator="lessThanOrEqual">
      <formula>0</formula>
    </cfRule>
    <cfRule type="cellIs" dxfId="566" priority="191" stopIfTrue="1" operator="greaterThan">
      <formula>$F62</formula>
    </cfRule>
    <cfRule type="cellIs" dxfId="565" priority="192" stopIfTrue="1" operator="lessThanOrEqual">
      <formula>0</formula>
    </cfRule>
  </conditionalFormatting>
  <conditionalFormatting sqref="C68:C70">
    <cfRule type="cellIs" dxfId="564" priority="79" stopIfTrue="1" operator="lessThanOrEqual">
      <formula>0</formula>
    </cfRule>
  </conditionalFormatting>
  <conditionalFormatting sqref="C73:C77">
    <cfRule type="cellIs" dxfId="563" priority="179" stopIfTrue="1" operator="lessThanOrEqual">
      <formula>0</formula>
    </cfRule>
  </conditionalFormatting>
  <conditionalFormatting sqref="C74:C77">
    <cfRule type="cellIs" dxfId="562" priority="178" stopIfTrue="1" operator="greaterThan">
      <formula>$F$73</formula>
    </cfRule>
  </conditionalFormatting>
  <conditionalFormatting sqref="C79">
    <cfRule type="cellIs" dxfId="561" priority="180" stopIfTrue="1" operator="greaterThan">
      <formula>$F$73</formula>
    </cfRule>
    <cfRule type="cellIs" dxfId="560" priority="181" stopIfTrue="1" operator="lessThanOrEqual">
      <formula>0</formula>
    </cfRule>
  </conditionalFormatting>
  <conditionalFormatting sqref="C67:D67">
    <cfRule type="cellIs" dxfId="559" priority="66" stopIfTrue="1" operator="greaterThan">
      <formula>$J67</formula>
    </cfRule>
    <cfRule type="cellIs" dxfId="558" priority="67" stopIfTrue="1" operator="lessThanOrEqual">
      <formula>0</formula>
    </cfRule>
  </conditionalFormatting>
  <conditionalFormatting sqref="C73:D73 D75:D81">
    <cfRule type="cellIs" dxfId="557" priority="173" stopIfTrue="1" operator="greaterThan">
      <formula>4.5</formula>
    </cfRule>
  </conditionalFormatting>
  <conditionalFormatting sqref="D42:D43">
    <cfRule type="cellIs" dxfId="556" priority="106" operator="notBetween">
      <formula>#REF!</formula>
      <formula>#REF!</formula>
    </cfRule>
  </conditionalFormatting>
  <conditionalFormatting sqref="D62:D66 D68:D69">
    <cfRule type="cellIs" dxfId="555" priority="76" stopIfTrue="1" operator="lessThanOrEqual">
      <formula>0</formula>
    </cfRule>
  </conditionalFormatting>
  <conditionalFormatting sqref="D62:D66 D68:D71">
    <cfRule type="cellIs" dxfId="554" priority="72" stopIfTrue="1" operator="lessThanOrEqual">
      <formula>0</formula>
    </cfRule>
    <cfRule type="cellIs" dxfId="553" priority="73" stopIfTrue="1" operator="greaterThan">
      <formula>$F62</formula>
    </cfRule>
  </conditionalFormatting>
  <conditionalFormatting sqref="D70:D71">
    <cfRule type="cellIs" dxfId="552" priority="74" stopIfTrue="1" operator="lessThanOrEqual">
      <formula>0</formula>
    </cfRule>
  </conditionalFormatting>
  <conditionalFormatting sqref="D71">
    <cfRule type="cellIs" dxfId="551" priority="75" stopIfTrue="1" operator="lessThanOrEqual">
      <formula>0</formula>
    </cfRule>
  </conditionalFormatting>
  <conditionalFormatting sqref="D73 D75:D81">
    <cfRule type="cellIs" dxfId="550" priority="174" stopIfTrue="1" operator="lessThanOrEqual">
      <formula>0</formula>
    </cfRule>
  </conditionalFormatting>
  <conditionalFormatting sqref="D74">
    <cfRule type="cellIs" dxfId="549" priority="165" stopIfTrue="1" operator="greaterThan">
      <formula>$F$73</formula>
    </cfRule>
    <cfRule type="cellIs" dxfId="548" priority="166" stopIfTrue="1" operator="lessThanOrEqual">
      <formula>0</formula>
    </cfRule>
  </conditionalFormatting>
  <conditionalFormatting sqref="E10:E17">
    <cfRule type="cellIs" dxfId="547" priority="8" operator="lessThan">
      <formula>48</formula>
    </cfRule>
  </conditionalFormatting>
  <conditionalFormatting sqref="E45 E46:F46">
    <cfRule type="cellIs" dxfId="546" priority="170" stopIfTrue="1" operator="greaterThan">
      <formula>100</formula>
    </cfRule>
  </conditionalFormatting>
  <conditionalFormatting sqref="E46">
    <cfRule type="cellIs" dxfId="545" priority="167" stopIfTrue="1" operator="lessThan">
      <formula>96.8</formula>
    </cfRule>
    <cfRule type="cellIs" dxfId="544" priority="168" stopIfTrue="1" operator="greaterThan">
      <formula>100</formula>
    </cfRule>
  </conditionalFormatting>
  <conditionalFormatting sqref="E62:E70">
    <cfRule type="cellIs" dxfId="543" priority="39" stopIfTrue="1" operator="lessThanOrEqual">
      <formula>0</formula>
    </cfRule>
  </conditionalFormatting>
  <conditionalFormatting sqref="E62:E71">
    <cfRule type="cellIs" dxfId="542" priority="40" stopIfTrue="1" operator="greaterThan">
      <formula>$F62</formula>
    </cfRule>
    <cfRule type="cellIs" dxfId="541" priority="41" stopIfTrue="1" operator="lessThanOrEqual">
      <formula>0</formula>
    </cfRule>
  </conditionalFormatting>
  <conditionalFormatting sqref="E71">
    <cfRule type="cellIs" dxfId="540" priority="42" stopIfTrue="1" operator="lessThanOrEqual">
      <formula>0</formula>
    </cfRule>
  </conditionalFormatting>
  <conditionalFormatting sqref="E73:E81">
    <cfRule type="cellIs" dxfId="539" priority="159" stopIfTrue="1" operator="greaterThan">
      <formula>4.5</formula>
    </cfRule>
    <cfRule type="cellIs" dxfId="538" priority="160" stopIfTrue="1" operator="lessThanOrEqual">
      <formula>0</formula>
    </cfRule>
  </conditionalFormatting>
  <conditionalFormatting sqref="E46:F46 E45">
    <cfRule type="cellIs" dxfId="537" priority="169" stopIfTrue="1" operator="lessThan">
      <formula>96.5</formula>
    </cfRule>
  </conditionalFormatting>
  <conditionalFormatting sqref="F10:F17">
    <cfRule type="cellIs" dxfId="536" priority="9" operator="greaterThan">
      <formula>60</formula>
    </cfRule>
  </conditionalFormatting>
  <conditionalFormatting sqref="F46">
    <cfRule type="cellIs" dxfId="535" priority="185" stopIfTrue="1" operator="lessThan">
      <formula>96.8</formula>
    </cfRule>
    <cfRule type="cellIs" dxfId="534" priority="186" stopIfTrue="1" operator="greaterThan">
      <formula>100</formula>
    </cfRule>
  </conditionalFormatting>
  <conditionalFormatting sqref="G10:G12">
    <cfRule type="expression" dxfId="533" priority="10">
      <formula>IF(+(IF(G10&lt;#REF!,0,IF(G10&gt;#REF!,0,1)))=0,1)</formula>
    </cfRule>
  </conditionalFormatting>
  <conditionalFormatting sqref="G17">
    <cfRule type="expression" dxfId="532" priority="14">
      <formula>IF(+(IF(G17&lt;S17,0,IF(G17&gt;T17,0,1)))=0,1)</formula>
    </cfRule>
  </conditionalFormatting>
  <conditionalFormatting sqref="G62:G65 F71">
    <cfRule type="cellIs" dxfId="531" priority="48" stopIfTrue="1" operator="greaterThan">
      <formula>$F62</formula>
    </cfRule>
    <cfRule type="cellIs" dxfId="530" priority="49" stopIfTrue="1" operator="lessThanOrEqual">
      <formula>0</formula>
    </cfRule>
  </conditionalFormatting>
  <conditionalFormatting sqref="G64:G65">
    <cfRule type="cellIs" dxfId="529" priority="34" stopIfTrue="1" operator="greaterThan">
      <formula>$F64</formula>
    </cfRule>
    <cfRule type="cellIs" dxfId="528" priority="35" stopIfTrue="1" operator="lessThanOrEqual">
      <formula>0</formula>
    </cfRule>
  </conditionalFormatting>
  <conditionalFormatting sqref="G66:G70">
    <cfRule type="cellIs" dxfId="527" priority="50" stopIfTrue="1" operator="greaterThan">
      <formula>$J66</formula>
    </cfRule>
    <cfRule type="cellIs" dxfId="526" priority="51" stopIfTrue="1" operator="lessThanOrEqual">
      <formula>0</formula>
    </cfRule>
  </conditionalFormatting>
  <conditionalFormatting sqref="G67">
    <cfRule type="cellIs" dxfId="525" priority="193" stopIfTrue="1" operator="greaterThan">
      <formula>$F62</formula>
    </cfRule>
    <cfRule type="cellIs" dxfId="524" priority="194" stopIfTrue="1" operator="lessThanOrEqual">
      <formula>0</formula>
    </cfRule>
  </conditionalFormatting>
  <conditionalFormatting sqref="G75:G80 C78 C80">
    <cfRule type="cellIs" dxfId="523" priority="182" stopIfTrue="1" operator="greaterThan">
      <formula>4.5</formula>
    </cfRule>
    <cfRule type="cellIs" dxfId="522" priority="183" stopIfTrue="1" operator="lessThanOrEqual">
      <formula>0</formula>
    </cfRule>
  </conditionalFormatting>
  <conditionalFormatting sqref="G74:H74">
    <cfRule type="cellIs" dxfId="521" priority="163" stopIfTrue="1" operator="greaterThan">
      <formula>$F$73</formula>
    </cfRule>
    <cfRule type="cellIs" dxfId="520" priority="164" stopIfTrue="1" operator="lessThanOrEqual">
      <formula>0</formula>
    </cfRule>
  </conditionalFormatting>
  <conditionalFormatting sqref="H10:H17">
    <cfRule type="expression" dxfId="519" priority="1">
      <formula>IF(+(IF(H10&lt;#REF!,0,IF(H10&gt;#REF!,0,1)))=0,1)</formula>
    </cfRule>
  </conditionalFormatting>
  <conditionalFormatting sqref="H31:H32 H45">
    <cfRule type="cellIs" dxfId="518" priority="161" stopIfTrue="1" operator="greaterThan">
      <formula>0</formula>
    </cfRule>
  </conditionalFormatting>
  <conditionalFormatting sqref="H49">
    <cfRule type="cellIs" dxfId="517" priority="53" stopIfTrue="1" operator="lessThanOrEqual">
      <formula>0</formula>
    </cfRule>
    <cfRule type="cellIs" dxfId="516" priority="54" stopIfTrue="1" operator="greaterThan">
      <formula>$F$62</formula>
    </cfRule>
    <cfRule type="cellIs" dxfId="515" priority="62" stopIfTrue="1" operator="greaterThan">
      <formula>$F$65</formula>
    </cfRule>
    <cfRule type="cellIs" dxfId="514" priority="63" stopIfTrue="1" operator="lessThanOrEqual">
      <formula>0</formula>
    </cfRule>
    <cfRule type="cellIs" dxfId="513" priority="64" stopIfTrue="1" operator="greaterThan">
      <formula>$F$63</formula>
    </cfRule>
  </conditionalFormatting>
  <conditionalFormatting sqref="H49:H50">
    <cfRule type="cellIs" dxfId="512" priority="65" stopIfTrue="1" operator="lessThanOrEqual">
      <formula>0</formula>
    </cfRule>
  </conditionalFormatting>
  <conditionalFormatting sqref="H50 H52:H53">
    <cfRule type="cellIs" dxfId="511" priority="91" stopIfTrue="1" operator="lessThanOrEqual">
      <formula>0</formula>
    </cfRule>
  </conditionalFormatting>
  <conditionalFormatting sqref="H50">
    <cfRule type="cellIs" dxfId="510" priority="80" stopIfTrue="1" operator="greaterThan">
      <formula>$F$62</formula>
    </cfRule>
    <cfRule type="cellIs" dxfId="509" priority="88" stopIfTrue="1" operator="greaterThan">
      <formula>$F$65</formula>
    </cfRule>
    <cfRule type="cellIs" dxfId="508" priority="89" stopIfTrue="1" operator="lessThanOrEqual">
      <formula>0</formula>
    </cfRule>
    <cfRule type="cellIs" dxfId="507" priority="90" stopIfTrue="1" operator="greaterThan">
      <formula>$F$63</formula>
    </cfRule>
  </conditionalFormatting>
  <conditionalFormatting sqref="H51">
    <cfRule type="cellIs" dxfId="506" priority="20" stopIfTrue="1" operator="lessThanOrEqual">
      <formula>0</formula>
    </cfRule>
    <cfRule type="cellIs" dxfId="505" priority="21" stopIfTrue="1" operator="greaterThan">
      <formula>$F$64</formula>
    </cfRule>
    <cfRule type="cellIs" dxfId="504" priority="29" stopIfTrue="1" operator="greaterThan">
      <formula>$F$67</formula>
    </cfRule>
    <cfRule type="cellIs" dxfId="503" priority="30" stopIfTrue="1" operator="lessThanOrEqual">
      <formula>0</formula>
    </cfRule>
    <cfRule type="cellIs" dxfId="502" priority="31" stopIfTrue="1" operator="greaterThan">
      <formula>$F$65</formula>
    </cfRule>
    <cfRule type="cellIs" dxfId="501" priority="32" stopIfTrue="1" operator="lessThanOrEqual">
      <formula>0</formula>
    </cfRule>
  </conditionalFormatting>
  <conditionalFormatting sqref="H52:H53">
    <cfRule type="cellIs" dxfId="500" priority="93" stopIfTrue="1" operator="greaterThan">
      <formula>$F$62</formula>
    </cfRule>
    <cfRule type="cellIs" dxfId="499" priority="101" stopIfTrue="1" operator="greaterThan">
      <formula>$F$65</formula>
    </cfRule>
    <cfRule type="cellIs" dxfId="498" priority="102" stopIfTrue="1" operator="lessThanOrEqual">
      <formula>0</formula>
    </cfRule>
    <cfRule type="cellIs" dxfId="497" priority="103" stopIfTrue="1" operator="greaterThan">
      <formula>$F$63</formula>
    </cfRule>
    <cfRule type="cellIs" dxfId="496" priority="104" stopIfTrue="1" operator="lessThanOrEqual">
      <formula>0</formula>
    </cfRule>
  </conditionalFormatting>
  <conditionalFormatting sqref="H54:H55">
    <cfRule type="cellIs" dxfId="495" priority="128" stopIfTrue="1" operator="lessThanOrEqual">
      <formula>0</formula>
    </cfRule>
    <cfRule type="cellIs" dxfId="494" priority="129" stopIfTrue="1" operator="greaterThan">
      <formula>#REF!</formula>
    </cfRule>
    <cfRule type="cellIs" dxfId="493" priority="137" stopIfTrue="1" operator="greaterThan">
      <formula>#REF!</formula>
    </cfRule>
    <cfRule type="cellIs" dxfId="492" priority="138" stopIfTrue="1" operator="lessThanOrEqual">
      <formula>0</formula>
    </cfRule>
  </conditionalFormatting>
  <conditionalFormatting sqref="H56">
    <cfRule type="cellIs" dxfId="491" priority="140" stopIfTrue="1" operator="lessThanOrEqual">
      <formula>0</formula>
    </cfRule>
    <cfRule type="cellIs" dxfId="490" priority="141" stopIfTrue="1" operator="greaterThan">
      <formula>$F$30</formula>
    </cfRule>
    <cfRule type="cellIs" dxfId="489" priority="149" stopIfTrue="1" operator="greaterThan">
      <formula>$F$33</formula>
    </cfRule>
    <cfRule type="cellIs" dxfId="488" priority="150" stopIfTrue="1" operator="lessThanOrEqual">
      <formula>0</formula>
    </cfRule>
    <cfRule type="cellIs" dxfId="487" priority="151" stopIfTrue="1" operator="greaterThan">
      <formula>$F$31</formula>
    </cfRule>
    <cfRule type="cellIs" dxfId="486" priority="152" stopIfTrue="1" operator="lessThanOrEqual">
      <formula>0</formula>
    </cfRule>
  </conditionalFormatting>
  <conditionalFormatting sqref="H57:H58">
    <cfRule type="cellIs" dxfId="485" priority="116" stopIfTrue="1" operator="lessThanOrEqual">
      <formula>0</formula>
    </cfRule>
    <cfRule type="cellIs" dxfId="484" priority="117" stopIfTrue="1" operator="greaterThan">
      <formula>#REF!</formula>
    </cfRule>
    <cfRule type="cellIs" dxfId="483" priority="125" stopIfTrue="1" operator="greaterThan">
      <formula>#REF!</formula>
    </cfRule>
    <cfRule type="cellIs" dxfId="482" priority="126" stopIfTrue="1" operator="lessThanOrEqual">
      <formula>0</formula>
    </cfRule>
  </conditionalFormatting>
  <conditionalFormatting sqref="H73 H75:H81">
    <cfRule type="cellIs" dxfId="481" priority="175" stopIfTrue="1" operator="greaterThan">
      <formula>4.5</formula>
    </cfRule>
    <cfRule type="cellIs" dxfId="480" priority="176" stopIfTrue="1" operator="lessThanOrEqual">
      <formula>0</formula>
    </cfRule>
  </conditionalFormatting>
  <conditionalFormatting sqref="H49:I49">
    <cfRule type="cellIs" dxfId="479" priority="55" stopIfTrue="1" operator="lessThanOrEqual">
      <formula>0</formula>
    </cfRule>
  </conditionalFormatting>
  <conditionalFormatting sqref="H49:I50 H52:I53">
    <cfRule type="cellIs" dxfId="478" priority="52" stopIfTrue="1" operator="greaterThan">
      <formula>$F$64</formula>
    </cfRule>
  </conditionalFormatting>
  <conditionalFormatting sqref="H50:I50">
    <cfRule type="cellIs" dxfId="477" priority="81" stopIfTrue="1" operator="lessThanOrEqual">
      <formula>0</formula>
    </cfRule>
  </conditionalFormatting>
  <conditionalFormatting sqref="H51:I51">
    <cfRule type="cellIs" dxfId="476" priority="19" stopIfTrue="1" operator="greaterThan">
      <formula>$F$66</formula>
    </cfRule>
    <cfRule type="cellIs" dxfId="475" priority="22" stopIfTrue="1" operator="lessThanOrEqual">
      <formula>0</formula>
    </cfRule>
  </conditionalFormatting>
  <conditionalFormatting sqref="H52:I53">
    <cfRule type="cellIs" dxfId="474" priority="94" stopIfTrue="1" operator="lessThanOrEqual">
      <formula>0</formula>
    </cfRule>
  </conditionalFormatting>
  <conditionalFormatting sqref="H54:I55">
    <cfRule type="cellIs" dxfId="473" priority="127" stopIfTrue="1" operator="greaterThan">
      <formula>#REF!</formula>
    </cfRule>
    <cfRule type="cellIs" dxfId="472" priority="130" stopIfTrue="1" operator="lessThanOrEqual">
      <formula>0</formula>
    </cfRule>
    <cfRule type="cellIs" dxfId="471" priority="135" stopIfTrue="1" operator="greaterThan">
      <formula>#REF!</formula>
    </cfRule>
    <cfRule type="cellIs" dxfId="470" priority="136" stopIfTrue="1" operator="lessThanOrEqual">
      <formula>0</formula>
    </cfRule>
  </conditionalFormatting>
  <conditionalFormatting sqref="H56:I56">
    <cfRule type="cellIs" dxfId="469" priority="139" stopIfTrue="1" operator="greaterThan">
      <formula>$F$32</formula>
    </cfRule>
    <cfRule type="cellIs" dxfId="468" priority="142" stopIfTrue="1" operator="lessThanOrEqual">
      <formula>0</formula>
    </cfRule>
  </conditionalFormatting>
  <conditionalFormatting sqref="H57:I58">
    <cfRule type="cellIs" dxfId="467" priority="115" stopIfTrue="1" operator="greaterThan">
      <formula>#REF!</formula>
    </cfRule>
    <cfRule type="cellIs" dxfId="466" priority="118" stopIfTrue="1" operator="lessThanOrEqual">
      <formula>0</formula>
    </cfRule>
    <cfRule type="cellIs" dxfId="465" priority="123" stopIfTrue="1" operator="greaterThan">
      <formula>#REF!</formula>
    </cfRule>
    <cfRule type="cellIs" dxfId="464" priority="124" stopIfTrue="1" operator="lessThanOrEqual">
      <formula>0</formula>
    </cfRule>
  </conditionalFormatting>
  <conditionalFormatting sqref="H62:I69">
    <cfRule type="cellIs" dxfId="463" priority="37" stopIfTrue="1" operator="greaterThan">
      <formula>$J62</formula>
    </cfRule>
    <cfRule type="cellIs" dxfId="462" priority="38" stopIfTrue="1" operator="lessThanOrEqual">
      <formula>0</formula>
    </cfRule>
  </conditionalFormatting>
  <conditionalFormatting sqref="H70:I70">
    <cfRule type="cellIs" dxfId="461" priority="45" operator="greaterThan">
      <formula>5.3</formula>
    </cfRule>
  </conditionalFormatting>
  <conditionalFormatting sqref="H71:I71">
    <cfRule type="cellIs" dxfId="460" priority="43" stopIfTrue="1" operator="greaterThan">
      <formula>$J71</formula>
    </cfRule>
    <cfRule type="cellIs" dxfId="459" priority="44" stopIfTrue="1" operator="lessThanOrEqual">
      <formula>0</formula>
    </cfRule>
  </conditionalFormatting>
  <conditionalFormatting sqref="I49">
    <cfRule type="cellIs" dxfId="458" priority="56" stopIfTrue="1" operator="greaterThan">
      <formula>$F$62</formula>
    </cfRule>
    <cfRule type="cellIs" dxfId="457" priority="57" stopIfTrue="1" operator="lessThanOrEqual">
      <formula>0</formula>
    </cfRule>
    <cfRule type="cellIs" dxfId="456" priority="58" stopIfTrue="1" operator="greaterThan">
      <formula>$F$64</formula>
    </cfRule>
    <cfRule type="cellIs" dxfId="455" priority="59" stopIfTrue="1" operator="lessThanOrEqual">
      <formula>0</formula>
    </cfRule>
    <cfRule type="cellIs" dxfId="454" priority="60" stopIfTrue="1" operator="greaterThan">
      <formula>$F$62</formula>
    </cfRule>
    <cfRule type="cellIs" dxfId="453" priority="61" stopIfTrue="1" operator="lessThanOrEqual">
      <formula>0</formula>
    </cfRule>
  </conditionalFormatting>
  <conditionalFormatting sqref="I50">
    <cfRule type="cellIs" dxfId="452" priority="82" stopIfTrue="1" operator="greaterThan">
      <formula>$F$62</formula>
    </cfRule>
    <cfRule type="cellIs" dxfId="451" priority="83" stopIfTrue="1" operator="lessThanOrEqual">
      <formula>0</formula>
    </cfRule>
    <cfRule type="cellIs" dxfId="450" priority="84" stopIfTrue="1" operator="greaterThan">
      <formula>$F$64</formula>
    </cfRule>
    <cfRule type="cellIs" dxfId="449" priority="85" stopIfTrue="1" operator="lessThanOrEqual">
      <formula>0</formula>
    </cfRule>
    <cfRule type="cellIs" dxfId="448" priority="86" stopIfTrue="1" operator="greaterThan">
      <formula>$F$62</formula>
    </cfRule>
    <cfRule type="cellIs" dxfId="447" priority="87" stopIfTrue="1" operator="lessThanOrEqual">
      <formula>0</formula>
    </cfRule>
  </conditionalFormatting>
  <conditionalFormatting sqref="I51">
    <cfRule type="cellIs" dxfId="446" priority="23" stopIfTrue="1" operator="greaterThan">
      <formula>$F$64</formula>
    </cfRule>
    <cfRule type="cellIs" dxfId="445" priority="24" stopIfTrue="1" operator="lessThanOrEqual">
      <formula>0</formula>
    </cfRule>
    <cfRule type="cellIs" dxfId="444" priority="25" stopIfTrue="1" operator="greaterThan">
      <formula>$F$66</formula>
    </cfRule>
    <cfRule type="cellIs" dxfId="443" priority="26" stopIfTrue="1" operator="lessThanOrEqual">
      <formula>0</formula>
    </cfRule>
    <cfRule type="cellIs" dxfId="442" priority="27" stopIfTrue="1" operator="greaterThan">
      <formula>$F$64</formula>
    </cfRule>
    <cfRule type="cellIs" dxfId="441" priority="28" stopIfTrue="1" operator="lessThanOrEqual">
      <formula>0</formula>
    </cfRule>
  </conditionalFormatting>
  <conditionalFormatting sqref="I52:I53">
    <cfRule type="cellIs" dxfId="440" priority="95" stopIfTrue="1" operator="greaterThan">
      <formula>$F$62</formula>
    </cfRule>
    <cfRule type="cellIs" dxfId="439" priority="96" stopIfTrue="1" operator="lessThanOrEqual">
      <formula>0</formula>
    </cfRule>
    <cfRule type="cellIs" dxfId="438" priority="97" stopIfTrue="1" operator="greaterThan">
      <formula>$F$64</formula>
    </cfRule>
    <cfRule type="cellIs" dxfId="437" priority="98" stopIfTrue="1" operator="lessThanOrEqual">
      <formula>0</formula>
    </cfRule>
    <cfRule type="cellIs" dxfId="436" priority="99" stopIfTrue="1" operator="greaterThan">
      <formula>$F$62</formula>
    </cfRule>
    <cfRule type="cellIs" dxfId="435" priority="100" stopIfTrue="1" operator="lessThanOrEqual">
      <formula>0</formula>
    </cfRule>
  </conditionalFormatting>
  <conditionalFormatting sqref="I54:I55">
    <cfRule type="cellIs" dxfId="434" priority="131" stopIfTrue="1" operator="greaterThan">
      <formula>#REF!</formula>
    </cfRule>
    <cfRule type="cellIs" dxfId="433" priority="132" stopIfTrue="1" operator="lessThanOrEqual">
      <formula>0</formula>
    </cfRule>
    <cfRule type="cellIs" dxfId="432" priority="133" stopIfTrue="1" operator="greaterThan">
      <formula>#REF!</formula>
    </cfRule>
    <cfRule type="cellIs" dxfId="431" priority="134" stopIfTrue="1" operator="lessThanOrEqual">
      <formula>0</formula>
    </cfRule>
  </conditionalFormatting>
  <conditionalFormatting sqref="I56">
    <cfRule type="cellIs" dxfId="430" priority="143" stopIfTrue="1" operator="greaterThan">
      <formula>$F$30</formula>
    </cfRule>
    <cfRule type="cellIs" dxfId="429" priority="144" stopIfTrue="1" operator="lessThanOrEqual">
      <formula>0</formula>
    </cfRule>
    <cfRule type="cellIs" dxfId="428" priority="145" stopIfTrue="1" operator="greaterThan">
      <formula>$F$32</formula>
    </cfRule>
    <cfRule type="cellIs" dxfId="427" priority="146" stopIfTrue="1" operator="lessThanOrEqual">
      <formula>0</formula>
    </cfRule>
    <cfRule type="cellIs" dxfId="426" priority="147" stopIfTrue="1" operator="greaterThan">
      <formula>$F$30</formula>
    </cfRule>
    <cfRule type="cellIs" dxfId="425" priority="148" stopIfTrue="1" operator="lessThanOrEqual">
      <formula>0</formula>
    </cfRule>
  </conditionalFormatting>
  <conditionalFormatting sqref="I57:I58">
    <cfRule type="cellIs" dxfId="424" priority="119" stopIfTrue="1" operator="greaterThan">
      <formula>#REF!</formula>
    </cfRule>
    <cfRule type="cellIs" dxfId="423" priority="120" stopIfTrue="1" operator="lessThanOrEqual">
      <formula>0</formula>
    </cfRule>
    <cfRule type="cellIs" dxfId="422" priority="121" stopIfTrue="1" operator="greaterThan">
      <formula>#REF!</formula>
    </cfRule>
    <cfRule type="cellIs" dxfId="421" priority="122" stopIfTrue="1" operator="lessThanOrEqual">
      <formula>0</formula>
    </cfRule>
  </conditionalFormatting>
  <conditionalFormatting sqref="I73:I81">
    <cfRule type="cellIs" dxfId="420" priority="171" stopIfTrue="1" operator="greaterThan">
      <formula>4.5</formula>
    </cfRule>
    <cfRule type="cellIs" dxfId="419" priority="172" stopIfTrue="1" operator="lessThanOrEqual">
      <formula>0</formula>
    </cfRule>
  </conditionalFormatting>
  <conditionalFormatting sqref="I10:J17">
    <cfRule type="cellIs" dxfId="418" priority="2" operator="lessThan">
      <formula>97.9</formula>
    </cfRule>
  </conditionalFormatting>
  <conditionalFormatting sqref="J20:J22">
    <cfRule type="cellIs" dxfId="417" priority="18" operator="lessThan">
      <formula>97.95</formula>
    </cfRule>
  </conditionalFormatting>
  <conditionalFormatting sqref="J21:J24">
    <cfRule type="cellIs" dxfId="416" priority="153" operator="lessThan">
      <formula>97.4</formula>
    </cfRule>
  </conditionalFormatting>
  <conditionalFormatting sqref="J25:J26">
    <cfRule type="cellIs" dxfId="415" priority="154" operator="lessThan">
      <formula>98</formula>
    </cfRule>
  </conditionalFormatting>
  <conditionalFormatting sqref="J27:J28">
    <cfRule type="cellIs" dxfId="414" priority="155" stopIfTrue="1" operator="lessThan">
      <formula>96.8</formula>
    </cfRule>
    <cfRule type="cellIs" dxfId="413" priority="156" stopIfTrue="1" operator="greaterThan">
      <formula>100</formula>
    </cfRule>
  </conditionalFormatting>
  <conditionalFormatting sqref="J27:J29">
    <cfRule type="cellIs" dxfId="412" priority="157" operator="lessThan">
      <formula>98</formula>
    </cfRule>
  </conditionalFormatting>
  <conditionalFormatting sqref="J58">
    <cfRule type="cellIs" dxfId="411" priority="107" stopIfTrue="1" operator="greaterThan">
      <formula>#REF!</formula>
    </cfRule>
    <cfRule type="cellIs" dxfId="410" priority="108" stopIfTrue="1" operator="lessThanOrEqual">
      <formula>0</formula>
    </cfRule>
    <cfRule type="cellIs" dxfId="409" priority="109" stopIfTrue="1" operator="greaterThan">
      <formula>#REF!</formula>
    </cfRule>
    <cfRule type="cellIs" dxfId="408" priority="110" stopIfTrue="1" operator="lessThanOrEqual">
      <formula>0</formula>
    </cfRule>
    <cfRule type="cellIs" dxfId="407" priority="111" stopIfTrue="1" operator="greaterThan">
      <formula>#REF!</formula>
    </cfRule>
    <cfRule type="cellIs" dxfId="406" priority="112" stopIfTrue="1" operator="lessThanOrEqual">
      <formula>0</formula>
    </cfRule>
    <cfRule type="cellIs" dxfId="405" priority="113" stopIfTrue="1" operator="greaterThan">
      <formula>#REF!</formula>
    </cfRule>
    <cfRule type="cellIs" dxfId="404" priority="114" stopIfTrue="1" operator="lessThanOrEqual">
      <formula>0</formula>
    </cfRule>
  </conditionalFormatting>
  <conditionalFormatting sqref="J71">
    <cfRule type="cellIs" dxfId="403" priority="46" stopIfTrue="1" operator="greaterThan">
      <formula>$F71</formula>
    </cfRule>
    <cfRule type="cellIs" dxfId="402" priority="47" stopIfTrue="1" operator="lessThanOrEqual">
      <formula>0</formula>
    </cfRule>
  </conditionalFormatting>
  <conditionalFormatting sqref="K10:K17">
    <cfRule type="cellIs" dxfId="401" priority="3" operator="greaterThan">
      <formula>6</formula>
    </cfRule>
    <cfRule type="cellIs" dxfId="400" priority="4" operator="lessThan">
      <formula>4</formula>
    </cfRule>
    <cfRule type="cellIs" dxfId="399" priority="5" operator="greaterThan">
      <formula>6.4</formula>
    </cfRule>
  </conditionalFormatting>
  <conditionalFormatting sqref="K49:K58">
    <cfRule type="cellIs" dxfId="398" priority="92" stopIfTrue="1" operator="lessThan">
      <formula>100%</formula>
    </cfRule>
  </conditionalFormatting>
  <conditionalFormatting sqref="K62:K70">
    <cfRule type="cellIs" dxfId="397" priority="36" stopIfTrue="1" operator="lessThan">
      <formula>100%</formula>
    </cfRule>
  </conditionalFormatting>
  <conditionalFormatting sqref="K73:K78">
    <cfRule type="cellIs" dxfId="396" priority="177" stopIfTrue="1" operator="lessThan">
      <formula>100%</formula>
    </cfRule>
  </conditionalFormatting>
  <conditionalFormatting sqref="K80:K81">
    <cfRule type="cellIs" dxfId="395" priority="184" stopIfTrue="1" operator="lessThan">
      <formula>100%</formula>
    </cfRule>
  </conditionalFormatting>
  <conditionalFormatting sqref="L10:L17">
    <cfRule type="cellIs" dxfId="394" priority="6" operator="between">
      <formula>61</formula>
      <formula>65</formula>
    </cfRule>
    <cfRule type="cellIs" dxfId="393" priority="7" operator="greaterThan">
      <formula>65</formula>
    </cfRule>
  </conditionalFormatting>
  <conditionalFormatting sqref="L20:M31">
    <cfRule type="cellIs" dxfId="392" priority="17" operator="lessThan">
      <formula>97.95</formula>
    </cfRule>
  </conditionalFormatting>
  <conditionalFormatting sqref="L35:N35">
    <cfRule type="cellIs" dxfId="391" priority="16" operator="notEqual">
      <formula>#REF!</formula>
    </cfRule>
  </conditionalFormatting>
  <conditionalFormatting sqref="L62:N71">
    <cfRule type="cellIs" dxfId="390" priority="33" stopIfTrue="1" operator="lessThan">
      <formula>100%</formula>
    </cfRule>
  </conditionalFormatting>
  <conditionalFormatting sqref="L73:N81">
    <cfRule type="cellIs" dxfId="389" priority="162" stopIfTrue="1" operator="lessThan">
      <formula>100%</formula>
    </cfRule>
  </conditionalFormatting>
  <conditionalFormatting sqref="M17">
    <cfRule type="expression" dxfId="388" priority="13">
      <formula>IF(+(IF(M17&lt;U17,0,IF(M17&gt;V17,0,1)))=0,1)</formula>
    </cfRule>
  </conditionalFormatting>
  <conditionalFormatting sqref="M10:N16 G16">
    <cfRule type="expression" dxfId="387" priority="15">
      <formula>IF(+(IF(G10&lt;#REF!,0,IF(G10&gt;#REF!,0,1)))=0,1)</formula>
    </cfRule>
  </conditionalFormatting>
  <conditionalFormatting sqref="N10:N17">
    <cfRule type="expression" dxfId="386" priority="11">
      <formula>IF(+(IF(N10&lt;W10,0,IF(N10&gt;X10,0,1)))=0,1)</formula>
    </cfRule>
  </conditionalFormatting>
  <conditionalFormatting sqref="P6">
    <cfRule type="cellIs" dxfId="385" priority="158" operator="greaterThanOrEqual">
      <formula>19</formula>
    </cfRule>
  </conditionalFormatting>
  <dataValidations count="1">
    <dataValidation type="list" allowBlank="1" showInputMessage="1" showErrorMessage="1" sqref="R8" xr:uid="{7EA32A39-B519-4BC5-87E0-8BA2B213EBB7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EE03-7479-43C5-91A0-28BA464CB902}">
  <sheetPr>
    <pageSetUpPr fitToPage="1"/>
  </sheetPr>
  <dimension ref="A1:BE78"/>
  <sheetViews>
    <sheetView topLeftCell="A4" zoomScale="85" zoomScaleNormal="85" workbookViewId="0">
      <selection activeCell="N10" sqref="N10:N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49" t="s">
        <v>0</v>
      </c>
      <c r="T1" s="549"/>
      <c r="U1" s="549" t="s">
        <v>1</v>
      </c>
      <c r="V1" s="549"/>
      <c r="W1" s="549" t="s">
        <v>2</v>
      </c>
      <c r="X1" s="549"/>
      <c r="Y1" s="549" t="s">
        <v>124</v>
      </c>
      <c r="Z1" s="549"/>
    </row>
    <row r="2" spans="2:29" ht="15">
      <c r="B2" s="550" t="s">
        <v>3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46301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5"/>
      <c r="D5" s="545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3" t="s">
        <v>17</v>
      </c>
      <c r="C8" s="512" t="s">
        <v>18</v>
      </c>
      <c r="D8" s="512" t="s">
        <v>19</v>
      </c>
      <c r="E8" s="356" t="s">
        <v>20</v>
      </c>
      <c r="F8" s="356" t="s">
        <v>21</v>
      </c>
      <c r="G8" s="512" t="s">
        <v>22</v>
      </c>
      <c r="H8" s="547" t="s">
        <v>144</v>
      </c>
      <c r="I8" s="512" t="s">
        <v>167</v>
      </c>
      <c r="J8" s="538" t="s">
        <v>23</v>
      </c>
      <c r="K8" s="540" t="s">
        <v>142</v>
      </c>
      <c r="L8" s="542" t="s">
        <v>24</v>
      </c>
      <c r="M8" s="359" t="s">
        <v>25</v>
      </c>
      <c r="N8" s="17" t="s">
        <v>166</v>
      </c>
      <c r="O8" s="512" t="s">
        <v>155</v>
      </c>
      <c r="P8" s="544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37"/>
      <c r="D9" s="537"/>
      <c r="E9" s="357" t="s">
        <v>30</v>
      </c>
      <c r="F9" s="357" t="s">
        <v>31</v>
      </c>
      <c r="G9" s="537"/>
      <c r="H9" s="548"/>
      <c r="I9" s="537"/>
      <c r="J9" s="539"/>
      <c r="K9" s="541"/>
      <c r="L9" s="543"/>
      <c r="M9" s="20" t="s">
        <v>32</v>
      </c>
      <c r="N9" s="21" t="s">
        <v>41</v>
      </c>
      <c r="O9" s="537"/>
      <c r="P9" s="537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[3]Brewhouse!$A797</f>
        <v>CA747</v>
      </c>
      <c r="D10" s="279">
        <f>[3]Brewhouse!$AF797</f>
        <v>48.9</v>
      </c>
      <c r="E10" s="279">
        <f>[3]Brewhouse!$AI797</f>
        <v>49.1</v>
      </c>
      <c r="F10" s="278">
        <f>[3]Brewhouse!$V797</f>
        <v>61</v>
      </c>
      <c r="G10" s="279">
        <f>[3]Brewhouse!AG797</f>
        <v>11.6</v>
      </c>
      <c r="H10" s="396">
        <v>11.8</v>
      </c>
      <c r="I10" s="368">
        <f>[3]Brewhouse!$AU797</f>
        <v>94.225435543653518</v>
      </c>
      <c r="J10" s="368">
        <f>[3]Brewhouse!$AV797</f>
        <v>94.955895449291049</v>
      </c>
      <c r="K10" s="281">
        <f>[3]Brewhouse!$Q797</f>
        <v>12.421441774491679</v>
      </c>
      <c r="L10" s="276">
        <f>[3]Brewhouse!$P797</f>
        <v>88</v>
      </c>
      <c r="M10" s="374">
        <f>[3]Brewhouse!$U797-[3]Brewhouse!$T797</f>
        <v>0.15277777777777773</v>
      </c>
      <c r="N10" s="370">
        <f>[3]Brewhouse!$Z797</f>
        <v>0.32777777777777778</v>
      </c>
      <c r="O10" s="419" t="str">
        <f>[3]Brewhouse!$AX797</f>
        <v>D. Gomaz</v>
      </c>
      <c r="P10" s="417"/>
      <c r="R10" s="277" t="str">
        <f t="shared" ref="R10:R19" si="0">B10</f>
        <v>CARIB</v>
      </c>
      <c r="S10" s="471">
        <f t="shared" ref="S10:S19" si="1">VLOOKUP($B10,$R$3:$X$9,2,FALSE)</f>
        <v>11.6</v>
      </c>
      <c r="T10" s="471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1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[3]Brewhouse!$A798</f>
        <v>CA748</v>
      </c>
      <c r="D11" s="279">
        <f>[3]Brewhouse!$AF798</f>
        <v>49.2</v>
      </c>
      <c r="E11" s="279">
        <f>[3]Brewhouse!$AI798</f>
        <v>49.6</v>
      </c>
      <c r="F11" s="278">
        <f>[3]Brewhouse!$V798</f>
        <v>62</v>
      </c>
      <c r="G11" s="279">
        <f>[3]Brewhouse!AG798</f>
        <v>11.6</v>
      </c>
      <c r="H11" s="490">
        <v>12.1</v>
      </c>
      <c r="I11" s="368">
        <f>[3]Brewhouse!$AU798</f>
        <v>96.984705758803429</v>
      </c>
      <c r="J11" s="368">
        <f>[3]Brewhouse!$AV798</f>
        <v>97.735804113121233</v>
      </c>
      <c r="K11" s="281">
        <f>[3]Brewhouse!$Q798</f>
        <v>10.388170055452859</v>
      </c>
      <c r="L11" s="276">
        <f>[3]Brewhouse!$P798</f>
        <v>60</v>
      </c>
      <c r="M11" s="374">
        <f>[3]Brewhouse!$U798-[3]Brewhouse!$T798</f>
        <v>0.1118055555555556</v>
      </c>
      <c r="N11" s="370">
        <f>[3]Brewhouse!$Z798</f>
        <v>0.29236111111111118</v>
      </c>
      <c r="O11" s="419" t="str">
        <f>[3]Brewhouse!$AX798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[3]Brewhouse!$A799</f>
        <v>CA749</v>
      </c>
      <c r="D12" s="279">
        <f>[3]Brewhouse!$AF799</f>
        <v>50.8</v>
      </c>
      <c r="E12" s="279">
        <f>[3]Brewhouse!$AI799</f>
        <v>51.8</v>
      </c>
      <c r="F12" s="278">
        <f>[3]Brewhouse!$V799</f>
        <v>58</v>
      </c>
      <c r="G12" s="279">
        <f>[3]Brewhouse!AG799</f>
        <v>11.7</v>
      </c>
      <c r="H12" s="396">
        <v>11.8</v>
      </c>
      <c r="I12" s="368">
        <f>[3]Brewhouse!$AU799</f>
        <v>100.30908258387295</v>
      </c>
      <c r="J12" s="368">
        <f>[3]Brewhouse!$AV799</f>
        <v>101.086704492183</v>
      </c>
      <c r="K12" s="281">
        <f>[3]Brewhouse!$Q799</f>
        <v>10.018484288354902</v>
      </c>
      <c r="L12" s="276">
        <f>[3]Brewhouse!$P799</f>
        <v>60</v>
      </c>
      <c r="M12" s="374">
        <f>[3]Brewhouse!$U799-[3]Brewhouse!$T799</f>
        <v>0.11249999999999993</v>
      </c>
      <c r="N12" s="370">
        <f>[3]Brewhouse!$Z799</f>
        <v>0.28680555555555554</v>
      </c>
      <c r="O12" s="419" t="str">
        <f>[3]Brewhouse!$AX799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[3]Brewhouse!$A800</f>
        <v>CA750</v>
      </c>
      <c r="D13" s="279">
        <f>[3]Brewhouse!$AF800</f>
        <v>49.5</v>
      </c>
      <c r="E13" s="279">
        <f>[3]Brewhouse!$AI800</f>
        <v>49.8</v>
      </c>
      <c r="F13" s="278">
        <f>[3]Brewhouse!$V800</f>
        <v>62</v>
      </c>
      <c r="G13" s="279">
        <f>[3]Brewhouse!AG800</f>
        <v>11.9</v>
      </c>
      <c r="H13" s="396">
        <v>11.9</v>
      </c>
      <c r="I13" s="368">
        <f>[3]Brewhouse!$AU800</f>
        <v>98.292492578870025</v>
      </c>
      <c r="J13" s="368">
        <f>[3]Brewhouse!$AV800</f>
        <v>99.05443142376123</v>
      </c>
      <c r="K13" s="281">
        <f>[3]Brewhouse!$Q800</f>
        <v>9.8336414048059151</v>
      </c>
      <c r="L13" s="276">
        <f>[3]Brewhouse!$P800</f>
        <v>60</v>
      </c>
      <c r="M13" s="374">
        <f>[3]Brewhouse!$U800-[3]Brewhouse!$T800</f>
        <v>0.10972222222222217</v>
      </c>
      <c r="N13" s="370">
        <f>[3]Brewhouse!$Z800</f>
        <v>0.26111111111111107</v>
      </c>
      <c r="O13" s="419" t="str">
        <f>[3]Brewhouse!$AX800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[3]Brewhouse!$A801</f>
        <v>CA751</v>
      </c>
      <c r="D14" s="279">
        <f>[3]Brewhouse!$AF801</f>
        <v>49.2</v>
      </c>
      <c r="E14" s="279">
        <f>[3]Brewhouse!$AI801</f>
        <v>49.6</v>
      </c>
      <c r="F14" s="278">
        <f>[3]Brewhouse!$V801</f>
        <v>61</v>
      </c>
      <c r="G14" s="279">
        <f>[3]Brewhouse!AG801</f>
        <v>12</v>
      </c>
      <c r="H14" s="396">
        <v>12</v>
      </c>
      <c r="I14" s="368">
        <f>[3]Brewhouse!$AU801</f>
        <v>98.762703596416429</v>
      </c>
      <c r="J14" s="368">
        <f>[3]Brewhouse!$AV801</f>
        <v>99.52828739963725</v>
      </c>
      <c r="K14" s="281">
        <f>[3]Brewhouse!$Q801</f>
        <v>10.222222222222214</v>
      </c>
      <c r="L14" s="276">
        <f>[3]Brewhouse!$P801</f>
        <v>58</v>
      </c>
      <c r="M14" s="374">
        <f>[3]Brewhouse!$U801-[3]Brewhouse!$T801</f>
        <v>0.11111111111111105</v>
      </c>
      <c r="N14" s="370">
        <f>[3]Brewhouse!$Z801</f>
        <v>0.29999999999999993</v>
      </c>
      <c r="O14" s="419" t="str">
        <f>[3]Brewhouse!$AX801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[3]Brewhouse!$A802</f>
        <v>CA752</v>
      </c>
      <c r="D15" s="279">
        <f>[3]Brewhouse!$AF802</f>
        <v>48.8</v>
      </c>
      <c r="E15" s="279">
        <f>[3]Brewhouse!$AI802</f>
        <v>49.3</v>
      </c>
      <c r="F15" s="278">
        <f>[3]Brewhouse!$V802</f>
        <v>58</v>
      </c>
      <c r="G15" s="279">
        <f>[3]Brewhouse!AG802</f>
        <v>12</v>
      </c>
      <c r="H15" s="490">
        <v>12.1</v>
      </c>
      <c r="I15" s="368">
        <f>[3]Brewhouse!$AU802</f>
        <v>98.40914048650491</v>
      </c>
      <c r="J15" s="368">
        <f>[3]Brewhouse!$AV802</f>
        <v>99.171883191944957</v>
      </c>
      <c r="K15" s="281">
        <f>[3]Brewhouse!$Q802</f>
        <v>11.127541589648803</v>
      </c>
      <c r="L15" s="276">
        <f>[3]Brewhouse!$P802</f>
        <v>58</v>
      </c>
      <c r="M15" s="374">
        <f>[3]Brewhouse!$U802-[3]Brewhouse!$T802</f>
        <v>0.10486111111111107</v>
      </c>
      <c r="N15" s="370">
        <f>[3]Brewhouse!$Z802</f>
        <v>0.24375000000000002</v>
      </c>
      <c r="O15" s="419" t="str">
        <f>[3]Brewhouse!$AX802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[3]Brewhouse!$A803</f>
        <v>CA753</v>
      </c>
      <c r="D16" s="279">
        <f>[3]Brewhouse!$AF803</f>
        <v>48.5</v>
      </c>
      <c r="E16" s="279">
        <f>[3]Brewhouse!$AI803</f>
        <v>49</v>
      </c>
      <c r="F16" s="278">
        <f>[3]Brewhouse!$V803</f>
        <v>62</v>
      </c>
      <c r="G16" s="279">
        <f>[3]Brewhouse!AG803</f>
        <v>11.8</v>
      </c>
      <c r="H16" s="490">
        <v>12.2</v>
      </c>
      <c r="I16" s="368">
        <f>[3]Brewhouse!$AU803</f>
        <v>95.977884419871557</v>
      </c>
      <c r="J16" s="368">
        <f>[3]Brewhouse!$AV803</f>
        <v>96.721832118617428</v>
      </c>
      <c r="K16" s="281">
        <f>[3]Brewhouse!$Q803</f>
        <v>11.682070240295749</v>
      </c>
      <c r="L16" s="276">
        <f>[3]Brewhouse!$P803</f>
        <v>60</v>
      </c>
      <c r="M16" s="374">
        <f>[3]Brewhouse!$U803-[3]Brewhouse!$T803</f>
        <v>0.11388888888888893</v>
      </c>
      <c r="N16" s="370">
        <f>[3]Brewhouse!$Z803</f>
        <v>0.27152777777777781</v>
      </c>
      <c r="O16" s="419" t="str">
        <f>[3]Brewhouse!$AX803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[3]Brewhouse!$A804</f>
        <v>CA754</v>
      </c>
      <c r="D17" s="279">
        <f>[3]Brewhouse!$AF804</f>
        <v>49.1</v>
      </c>
      <c r="E17" s="279">
        <f>[3]Brewhouse!$AI804</f>
        <v>49.6</v>
      </c>
      <c r="F17" s="278">
        <f>[3]Brewhouse!$V804</f>
        <v>58</v>
      </c>
      <c r="G17" s="279">
        <f>[3]Brewhouse!AG804</f>
        <v>12</v>
      </c>
      <c r="H17" s="490">
        <v>12.3</v>
      </c>
      <c r="I17" s="368">
        <f>[3]Brewhouse!$AU804</f>
        <v>98.275780445846266</v>
      </c>
      <c r="J17" s="368">
        <f>[3]Brewhouse!$AV804</f>
        <v>99.037788718358144</v>
      </c>
      <c r="K17" s="281">
        <f>[3]Brewhouse!$Q804</f>
        <v>10.407407407407403</v>
      </c>
      <c r="L17" s="276">
        <f>[3]Brewhouse!$P804</f>
        <v>61</v>
      </c>
      <c r="M17" s="374">
        <f>[3]Brewhouse!$U804-[3]Brewhouse!$T804</f>
        <v>0.11736111111111103</v>
      </c>
      <c r="N17" s="370">
        <f>[3]Brewhouse!$Z804</f>
        <v>0.28611111111111109</v>
      </c>
      <c r="O17" s="419" t="str">
        <f>[3]Brewhouse!$AX804</f>
        <v>R. Sookram</v>
      </c>
      <c r="P17" s="417"/>
      <c r="R17" s="277" t="str">
        <f t="shared" si="0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ref="R20:R38" si="9">B20</f>
        <v>0</v>
      </c>
      <c r="S20" s="471" t="e">
        <f t="shared" ref="S20:S38" si="10">VLOOKUP($B20,$R$3:$X$9,2,FALSE)</f>
        <v>#N/A</v>
      </c>
      <c r="T20" s="471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1" t="e">
        <f t="shared" ref="Z20:Z38" si="17">VLOOKUP($B20,$R$3:$Z$9,9,FALSE)</f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7"/>
      <c r="J24" s="487"/>
      <c r="K24" s="488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31"/>
      <c r="J25" s="531"/>
      <c r="K25" s="531"/>
      <c r="L25" s="531"/>
      <c r="M25" s="531"/>
      <c r="N25" s="531"/>
      <c r="O25" s="1"/>
      <c r="P25" s="12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6" ht="17.25" customHeight="1" thickBot="1">
      <c r="B26" s="482" t="s">
        <v>162</v>
      </c>
      <c r="C26" s="388"/>
      <c r="D26" s="532" t="s">
        <v>35</v>
      </c>
      <c r="E26" s="533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6" ht="17.25" customHeight="1">
      <c r="A27" s="28"/>
      <c r="B27" s="534"/>
      <c r="C27" s="483"/>
      <c r="D27" s="519"/>
      <c r="E27" s="520"/>
      <c r="F27" s="294"/>
      <c r="G27" s="294"/>
      <c r="H27" s="348"/>
      <c r="I27" s="29" t="s">
        <v>6</v>
      </c>
      <c r="J27" s="323">
        <f>AVERAGE(I10:I17)</f>
        <v>97.65465317672988</v>
      </c>
      <c r="K27" s="284">
        <f>COUNTA([3]Brewhouse!$A$789:$A$804)</f>
        <v>16</v>
      </c>
      <c r="L27" s="305">
        <f>AVERAGE([3]Brewhouse!$AU$789:$AU$804)</f>
        <v>97.753640116148077</v>
      </c>
      <c r="M27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$804)</f>
        <v>98.318964406210327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6" ht="15" customHeight="1">
      <c r="A28" s="28"/>
      <c r="B28" s="535"/>
      <c r="C28" s="362"/>
      <c r="D28" s="521"/>
      <c r="E28" s="522"/>
      <c r="F28" s="294"/>
      <c r="G28" s="294"/>
      <c r="H28" s="348"/>
      <c r="I28" s="33" t="s">
        <v>9</v>
      </c>
      <c r="J28" s="323"/>
      <c r="K28" s="284">
        <f>COUNTA([4]Brewhouse!$A$390:$A$391)</f>
        <v>2</v>
      </c>
      <c r="L28" s="302">
        <f>AVERAGE([4]Brewhouse!$AS$390:$AS$391)</f>
        <v>99.056946070238752</v>
      </c>
      <c r="M28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$391)</f>
        <v>98.311229916038556</v>
      </c>
      <c r="N28" s="30">
        <v>98</v>
      </c>
      <c r="O28" s="11"/>
      <c r="P28" s="31"/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6" ht="14.65" customHeight="1">
      <c r="A29" s="28"/>
      <c r="B29" s="535"/>
      <c r="C29" s="362"/>
      <c r="D29" s="526"/>
      <c r="E29" s="527"/>
      <c r="F29" s="294"/>
      <c r="G29" s="294"/>
      <c r="H29" s="348"/>
      <c r="I29" s="34" t="s">
        <v>12</v>
      </c>
      <c r="J29" s="323"/>
      <c r="K29" s="284"/>
      <c r="L29" s="302"/>
      <c r="M29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6" ht="14.65" customHeight="1">
      <c r="A30" s="28"/>
      <c r="B30" s="535"/>
      <c r="C30" s="362"/>
      <c r="D30" s="528"/>
      <c r="E30" s="522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</row>
    <row r="31" spans="1:26" ht="14.65" customHeight="1">
      <c r="A31" s="28"/>
      <c r="B31" s="535"/>
      <c r="C31" s="362"/>
      <c r="D31" s="526"/>
      <c r="E31" s="527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</row>
    <row r="32" spans="1:26" ht="14.65" customHeight="1">
      <c r="A32" s="28"/>
      <c r="B32" s="535"/>
      <c r="C32" s="362"/>
      <c r="D32" s="528"/>
      <c r="E32" s="522"/>
      <c r="F32" s="416"/>
      <c r="G32" s="294"/>
      <c r="H32" s="348"/>
      <c r="I32" s="36" t="s">
        <v>15</v>
      </c>
      <c r="J32" s="323"/>
      <c r="K32" s="284"/>
      <c r="L32" s="302"/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</row>
    <row r="33" spans="1:56" ht="14.65" customHeight="1">
      <c r="A33" s="28"/>
      <c r="B33" s="535"/>
      <c r="C33" s="362"/>
      <c r="D33" s="526"/>
      <c r="E33" s="527"/>
      <c r="F33" s="416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3" s="30">
        <v>98</v>
      </c>
      <c r="O33" s="11"/>
      <c r="P33" s="31" t="s">
        <v>41</v>
      </c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</row>
    <row r="34" spans="1:56" ht="14.65" customHeight="1">
      <c r="A34" s="28"/>
      <c r="B34" s="535"/>
      <c r="C34" s="362"/>
      <c r="D34" s="528"/>
      <c r="E34" s="522"/>
      <c r="F34" s="294"/>
      <c r="G34" s="294"/>
      <c r="H34" s="348"/>
      <c r="I34" s="410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1" t="e">
        <f t="shared" si="10"/>
        <v>#N/A</v>
      </c>
      <c r="T34" s="471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1" t="e">
        <f t="shared" si="17"/>
        <v>#N/A</v>
      </c>
    </row>
    <row r="35" spans="1:56" ht="14.65" customHeight="1">
      <c r="A35" s="28"/>
      <c r="B35" s="535"/>
      <c r="C35" s="362"/>
      <c r="D35" s="526"/>
      <c r="E35" s="527"/>
      <c r="F35" s="294"/>
      <c r="G35" s="294"/>
      <c r="H35" s="348"/>
      <c r="I35" s="409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1" t="e">
        <f t="shared" si="10"/>
        <v>#N/A</v>
      </c>
      <c r="T35" s="471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1" t="e">
        <f t="shared" si="17"/>
        <v>#N/A</v>
      </c>
      <c r="AA35" s="471"/>
    </row>
    <row r="36" spans="1:56" ht="15" customHeight="1" thickBot="1">
      <c r="A36" s="28"/>
      <c r="B36" s="535"/>
      <c r="C36" s="362"/>
      <c r="D36" s="528"/>
      <c r="E36" s="522"/>
      <c r="F36" s="294"/>
      <c r="G36" s="294"/>
      <c r="H36" s="348"/>
      <c r="I36" s="405" t="s">
        <v>156</v>
      </c>
      <c r="J36" s="327"/>
      <c r="K36" s="406"/>
      <c r="L36" s="407"/>
      <c r="M36" s="407"/>
      <c r="N36" s="408">
        <v>98</v>
      </c>
      <c r="O36" s="11"/>
      <c r="P36" s="31"/>
      <c r="R36" s="277">
        <f t="shared" si="9"/>
        <v>0</v>
      </c>
      <c r="S36" s="471" t="e">
        <f t="shared" si="10"/>
        <v>#N/A</v>
      </c>
      <c r="T36" s="471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1" t="e">
        <f t="shared" si="17"/>
        <v>#N/A</v>
      </c>
      <c r="AA36" s="471"/>
    </row>
    <row r="37" spans="1:56" ht="15" customHeight="1" thickBot="1">
      <c r="A37" s="28"/>
      <c r="B37" s="535"/>
      <c r="C37" s="349"/>
      <c r="D37" s="519"/>
      <c r="E37" s="520"/>
      <c r="F37" s="294"/>
      <c r="G37" s="294"/>
      <c r="H37" s="348"/>
      <c r="I37" s="1"/>
      <c r="J37" s="39"/>
      <c r="K37" s="403">
        <f>SUM(K27:K36)</f>
        <v>18</v>
      </c>
      <c r="L37" s="404">
        <f>((L27*K27)+(L28*K28)+(L29*K29)+(L30*K30)+(L31*K31)+(K34*L34)+(L32*K32)+(L33*K33)+(L36*K36))/(K37)</f>
        <v>97.898451888824809</v>
      </c>
      <c r="M37" s="404">
        <f>AVERAGE('[9]Jan30th-31st'!$L$42,'[10]Feb 27th-28th'!$L$45,'[11]Mar 31st'!$L$42,'[12]Apr 30th'!$L$41,'[13]May 29th '!$L$35,'[14]June 30th'!$L$32,[15]July31st!$L$36,'[16]Aug 31st'!$L$32,L37)</f>
        <v>97.972783729995541</v>
      </c>
      <c r="N37" s="40">
        <v>98</v>
      </c>
      <c r="O37" s="11"/>
      <c r="P37" s="31"/>
      <c r="R37" s="277">
        <f t="shared" si="9"/>
        <v>0</v>
      </c>
      <c r="S37" s="471" t="e">
        <f t="shared" si="10"/>
        <v>#N/A</v>
      </c>
      <c r="T37" s="471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1" t="e">
        <f t="shared" si="17"/>
        <v>#N/A</v>
      </c>
      <c r="AA37" s="471"/>
    </row>
    <row r="38" spans="1:56" ht="15.75" thickBot="1">
      <c r="B38" s="536"/>
      <c r="C38" s="350"/>
      <c r="D38" s="521"/>
      <c r="E38" s="522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1" t="e">
        <f t="shared" si="10"/>
        <v>#N/A</v>
      </c>
      <c r="T38" s="471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1" t="e">
        <f t="shared" si="17"/>
        <v>#N/A</v>
      </c>
      <c r="AA38" s="471"/>
    </row>
    <row r="39" spans="1:56" ht="15.75" thickBot="1">
      <c r="B39" s="516"/>
      <c r="C39" s="362"/>
      <c r="D39" s="519"/>
      <c r="E39" s="520"/>
      <c r="F39" s="294"/>
      <c r="G39" s="42"/>
      <c r="H39" s="41"/>
      <c r="I39" s="42"/>
      <c r="J39" s="523" t="s">
        <v>129</v>
      </c>
      <c r="K39" s="523"/>
      <c r="L39" s="294"/>
      <c r="M39" s="294"/>
      <c r="N39" s="294"/>
      <c r="O39" s="294"/>
      <c r="P39" s="12"/>
    </row>
    <row r="40" spans="1:56" ht="15.75" thickBot="1">
      <c r="B40" s="517"/>
      <c r="C40" s="362"/>
      <c r="D40" s="521"/>
      <c r="E40" s="522"/>
      <c r="F40" s="294"/>
      <c r="G40" s="42"/>
      <c r="H40" s="42"/>
      <c r="I40" s="42"/>
      <c r="J40" s="292" t="s">
        <v>17</v>
      </c>
      <c r="K40" s="293"/>
      <c r="L40" s="524" t="s">
        <v>136</v>
      </c>
      <c r="M40" s="524"/>
      <c r="N40" s="525"/>
      <c r="O40" s="294"/>
      <c r="P40" s="12"/>
    </row>
    <row r="41" spans="1:56" ht="15" customHeight="1" thickBot="1">
      <c r="B41" s="517"/>
      <c r="C41" s="349"/>
      <c r="D41" s="526"/>
      <c r="E41" s="527"/>
      <c r="F41" s="294"/>
      <c r="G41" s="42"/>
      <c r="H41" s="42"/>
      <c r="I41" s="42"/>
      <c r="J41" s="287" t="s">
        <v>6</v>
      </c>
      <c r="K41" s="324">
        <v>8</v>
      </c>
      <c r="L41" s="472" t="s">
        <v>37</v>
      </c>
      <c r="M41" s="473" t="s">
        <v>38</v>
      </c>
      <c r="N41" s="473" t="s">
        <v>84</v>
      </c>
      <c r="O41" s="294"/>
      <c r="P41" s="12"/>
    </row>
    <row r="42" spans="1:56" ht="15.75" customHeight="1" thickBot="1">
      <c r="B42" s="517"/>
      <c r="C42" s="349"/>
      <c r="D42" s="528"/>
      <c r="E42" s="522"/>
      <c r="F42" s="294"/>
      <c r="G42" s="42"/>
      <c r="H42" s="42"/>
      <c r="I42" s="42"/>
      <c r="J42" s="345" t="s">
        <v>9</v>
      </c>
      <c r="K42" s="324"/>
      <c r="L42" s="484">
        <f>AVERAGE('Oct 1st'!K52,'Oct 2nd'!K44,K51)</f>
        <v>6</v>
      </c>
      <c r="M42" s="485">
        <f>AVERAGE('[9]Jan30th-31st'!$L$47,L42,'[10]Feb 26th '!$L$39,'[11]Mar 31st'!$L$47,'[12]Apr 30th'!$L$46,'[13]May 29th '!$L$40,'[14]June 30th'!$L$39,[15]July31st!$L$41,'[16]Aug 31st'!$L$37,'[17]Sept 30th'!$L$37)</f>
        <v>6.4735341470124066</v>
      </c>
      <c r="N42" s="415">
        <v>9.1999999999999993</v>
      </c>
      <c r="O42" s="294"/>
      <c r="P42" s="12"/>
    </row>
    <row r="43" spans="1:56" ht="15" customHeight="1">
      <c r="B43" s="517"/>
      <c r="C43" s="349"/>
      <c r="D43" s="526"/>
      <c r="E43" s="527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17"/>
      <c r="C44" s="349"/>
      <c r="D44" s="528"/>
      <c r="E44" s="522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17"/>
      <c r="C45" s="349"/>
      <c r="D45" s="526"/>
      <c r="E45" s="527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17"/>
      <c r="C46" s="349"/>
      <c r="D46" s="528"/>
      <c r="E46" s="522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17"/>
      <c r="C47" s="349"/>
      <c r="D47" s="526"/>
      <c r="E47" s="527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18"/>
      <c r="C48" s="350"/>
      <c r="D48" s="529"/>
      <c r="E48" s="530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07"/>
      <c r="E49" s="508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01" t="s">
        <v>17</v>
      </c>
      <c r="C54" s="501" t="s">
        <v>44</v>
      </c>
      <c r="D54" s="510" t="s">
        <v>45</v>
      </c>
      <c r="E54" s="512" t="s">
        <v>46</v>
      </c>
      <c r="F54" s="514" t="s">
        <v>47</v>
      </c>
      <c r="G54" s="499" t="s">
        <v>48</v>
      </c>
      <c r="H54" s="501" t="s">
        <v>49</v>
      </c>
      <c r="I54" s="501" t="s">
        <v>50</v>
      </c>
      <c r="J54" s="493" t="s">
        <v>28</v>
      </c>
      <c r="K54" s="503" t="s">
        <v>51</v>
      </c>
      <c r="L54" s="505" t="s">
        <v>52</v>
      </c>
      <c r="M54" s="493" t="s">
        <v>53</v>
      </c>
      <c r="N54" s="13"/>
      <c r="O54" s="13"/>
      <c r="P54" s="50"/>
    </row>
    <row r="55" spans="2:57" ht="28.5" customHeight="1" thickTop="1" thickBot="1">
      <c r="B55" s="502"/>
      <c r="C55" s="509"/>
      <c r="D55" s="511"/>
      <c r="E55" s="513"/>
      <c r="F55" s="515"/>
      <c r="G55" s="500"/>
      <c r="H55" s="502"/>
      <c r="I55" s="502"/>
      <c r="J55" s="494"/>
      <c r="K55" s="504"/>
      <c r="L55" s="506"/>
      <c r="M55" s="494"/>
      <c r="N55" s="13"/>
      <c r="O55" s="13"/>
      <c r="P55" s="50"/>
      <c r="Q55" s="355"/>
      <c r="AB55" s="474">
        <v>43474</v>
      </c>
      <c r="AC55" s="474">
        <v>43475</v>
      </c>
      <c r="AD55" s="474">
        <v>43476</v>
      </c>
      <c r="AE55" s="474">
        <v>43477</v>
      </c>
      <c r="AF55" s="474">
        <v>43478</v>
      </c>
      <c r="AG55" s="474">
        <v>43479</v>
      </c>
      <c r="AH55" s="474">
        <v>43480</v>
      </c>
      <c r="AI55" s="474">
        <v>43481</v>
      </c>
      <c r="AJ55" s="474">
        <v>43482</v>
      </c>
      <c r="AK55" s="474">
        <v>43483</v>
      </c>
      <c r="AL55" s="474">
        <v>43484</v>
      </c>
      <c r="AM55" s="474">
        <v>43485</v>
      </c>
      <c r="AN55" s="474">
        <v>43486</v>
      </c>
      <c r="AO55" s="474">
        <v>43487</v>
      </c>
      <c r="AP55" s="474">
        <v>43488</v>
      </c>
      <c r="AQ55" s="474">
        <v>43489</v>
      </c>
      <c r="AR55" s="474">
        <v>43490</v>
      </c>
      <c r="AS55" s="474">
        <v>43491</v>
      </c>
      <c r="AT55" s="474">
        <v>43492</v>
      </c>
      <c r="AU55" s="474">
        <v>43493</v>
      </c>
      <c r="AV55" s="474">
        <v>43494</v>
      </c>
      <c r="AW55" s="474">
        <v>43495</v>
      </c>
      <c r="AX55" s="474">
        <v>43496</v>
      </c>
    </row>
    <row r="56" spans="2:57" s="54" customFormat="1" ht="36.75" customHeight="1" thickBot="1">
      <c r="B56" s="455" t="str">
        <f>J41</f>
        <v>CARIB</v>
      </c>
      <c r="C56" s="478">
        <v>46300</v>
      </c>
      <c r="D56" s="444">
        <f>[37]October_2026!$H$3</f>
        <v>324.89999999999998</v>
      </c>
      <c r="E56" s="442"/>
      <c r="F56" s="443"/>
      <c r="G56" s="443">
        <f>[37]October_2026!$H$7</f>
        <v>302.39999999999998</v>
      </c>
      <c r="H56" s="457"/>
      <c r="I56" s="457"/>
      <c r="J56" s="447" t="s">
        <v>150</v>
      </c>
      <c r="K56" s="448">
        <f>[39]October_2026!$H$18</f>
        <v>1.0610526315789472</v>
      </c>
      <c r="L56" s="456">
        <f>(((D56+E56)-G56)/(D56+E56))*100</f>
        <v>6.9252077562326875</v>
      </c>
      <c r="M56" s="454" t="s">
        <v>174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[18]January_2019!L5</f>
        <v>0</v>
      </c>
      <c r="AC56" s="57">
        <f>[18]January_2019!M5</f>
        <v>0</v>
      </c>
      <c r="AD56" s="57">
        <f>[18]January_2019!N5</f>
        <v>0</v>
      </c>
      <c r="AE56" s="57">
        <f>[18]January_2019!O5</f>
        <v>0</v>
      </c>
      <c r="AF56" s="57">
        <f>[18]January_2019!P5</f>
        <v>0</v>
      </c>
      <c r="AG56" s="57">
        <f>[18]January_2019!Q5</f>
        <v>0</v>
      </c>
      <c r="AH56" s="57">
        <f>[18]January_2019!R5</f>
        <v>0</v>
      </c>
      <c r="AI56" s="57">
        <f>[18]January_2019!S5</f>
        <v>0</v>
      </c>
      <c r="AJ56" s="57">
        <f>[18]January_2019!T5</f>
        <v>0</v>
      </c>
      <c r="AK56" s="57">
        <f>[18]January_2019!U5</f>
        <v>0</v>
      </c>
      <c r="AL56" s="57">
        <f>[18]January_2019!V5</f>
        <v>0</v>
      </c>
      <c r="AM56" s="57">
        <f>[18]January_2019!W5</f>
        <v>0</v>
      </c>
      <c r="AN56" s="57">
        <f>[18]January_2019!X5</f>
        <v>0</v>
      </c>
      <c r="AO56" s="57">
        <f>[18]January_2019!Y5</f>
        <v>0</v>
      </c>
      <c r="AP56" s="57">
        <f>[18]January_2019!Z5</f>
        <v>0</v>
      </c>
      <c r="AQ56" s="57">
        <f>[18]January_2019!AA5</f>
        <v>0</v>
      </c>
      <c r="AR56" s="57">
        <f>[18]January_2019!AB5</f>
        <v>0</v>
      </c>
      <c r="AS56" s="57">
        <f>[18]January_2019!AC5</f>
        <v>0</v>
      </c>
      <c r="AT56" s="57">
        <f>[18]January_2019!AD5</f>
        <v>0</v>
      </c>
      <c r="AU56" s="57">
        <f>[18]January_2019!AE5</f>
        <v>0</v>
      </c>
      <c r="AV56" s="57">
        <f>[18]January_2019!AF5</f>
        <v>0</v>
      </c>
      <c r="AW56" s="57">
        <f>[18]January_2019!AG5</f>
        <v>0</v>
      </c>
      <c r="AX56" s="277">
        <f>[18]January_2019!AH5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79"/>
      <c r="C57" s="478"/>
      <c r="D57" s="441"/>
      <c r="E57" s="442"/>
      <c r="F57" s="443"/>
      <c r="G57" s="444"/>
      <c r="H57" s="457"/>
      <c r="I57" s="457"/>
      <c r="J57" s="475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[18]January_2019!L6</f>
        <v>0</v>
      </c>
      <c r="AC57" s="57">
        <f>[18]January_2019!M6</f>
        <v>0</v>
      </c>
      <c r="AD57" s="57">
        <f>[18]January_2019!N6</f>
        <v>0</v>
      </c>
      <c r="AE57" s="57">
        <f>[18]January_2019!O6</f>
        <v>0</v>
      </c>
      <c r="AF57" s="57">
        <f>[18]January_2019!P6</f>
        <v>0</v>
      </c>
      <c r="AG57" s="57">
        <f>[18]January_2019!Q6</f>
        <v>0</v>
      </c>
      <c r="AH57" s="57">
        <f>[18]January_2019!R6</f>
        <v>0</v>
      </c>
      <c r="AI57" s="57">
        <f>[18]January_2019!S6</f>
        <v>0</v>
      </c>
      <c r="AJ57" s="57">
        <f>[18]January_2019!T6</f>
        <v>0</v>
      </c>
      <c r="AK57" s="57">
        <f>[18]January_2019!U6</f>
        <v>0</v>
      </c>
      <c r="AL57" s="57">
        <f>[18]January_2019!V6</f>
        <v>0</v>
      </c>
      <c r="AM57" s="57">
        <f>[18]January_2019!W6</f>
        <v>0</v>
      </c>
      <c r="AN57" s="57">
        <f>[18]January_2019!X6</f>
        <v>0</v>
      </c>
      <c r="AO57" s="57">
        <f>[18]January_2019!Y6</f>
        <v>0</v>
      </c>
      <c r="AP57" s="57">
        <f>[18]January_2019!Z6</f>
        <v>0</v>
      </c>
      <c r="AQ57" s="57">
        <f>[18]January_2019!AA6</f>
        <v>0</v>
      </c>
      <c r="AR57" s="57">
        <f>[18]January_2019!AB6</f>
        <v>0</v>
      </c>
      <c r="AS57" s="57">
        <f>[18]January_2019!AC6</f>
        <v>0</v>
      </c>
      <c r="AT57" s="57">
        <f>[18]January_2019!AD6</f>
        <v>0</v>
      </c>
      <c r="AU57" s="57">
        <f>[18]January_2019!AE6</f>
        <v>0</v>
      </c>
      <c r="AV57" s="57">
        <f>[18]January_2019!AF6</f>
        <v>0</v>
      </c>
      <c r="AW57" s="57">
        <f>[18]January_2019!AG6</f>
        <v>0</v>
      </c>
      <c r="AX57" s="277">
        <f>[18]January_2019!AH6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 thickBot="1">
      <c r="B58" s="455" t="str">
        <f>J41</f>
        <v>CARIB</v>
      </c>
      <c r="C58" s="478">
        <v>46300</v>
      </c>
      <c r="D58" s="441">
        <f>[37]October_2026!$G$3</f>
        <v>198.2</v>
      </c>
      <c r="E58" s="442"/>
      <c r="F58" s="443"/>
      <c r="G58" s="443">
        <f>[37]October_2026!$G$7</f>
        <v>189.1</v>
      </c>
      <c r="H58" s="445"/>
      <c r="I58" s="445"/>
      <c r="J58" s="447" t="s">
        <v>173</v>
      </c>
      <c r="K58" s="448">
        <f>[39]October_2026!$G$18</f>
        <v>0.33175438596491225</v>
      </c>
      <c r="L58" s="456">
        <f>(((D58+E58)-G58)/(D58+E58))*100</f>
        <v>4.5913218970736605</v>
      </c>
      <c r="M58" s="454" t="s">
        <v>175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[18]January_2019!L7</f>
        <v>285.8</v>
      </c>
      <c r="AC58" s="57">
        <f>[18]January_2019!M7</f>
        <v>508.1</v>
      </c>
      <c r="AD58" s="57">
        <f>[18]January_2019!N7</f>
        <v>0</v>
      </c>
      <c r="AE58" s="57">
        <f>[18]January_2019!O7</f>
        <v>0</v>
      </c>
      <c r="AF58" s="57">
        <f>[18]January_2019!P7</f>
        <v>109.56666666666666</v>
      </c>
      <c r="AG58" s="57">
        <f>[18]January_2019!Q7</f>
        <v>297.64999999999998</v>
      </c>
      <c r="AH58" s="57">
        <f>[18]January_2019!R7</f>
        <v>122.3</v>
      </c>
      <c r="AI58" s="57">
        <f>[18]January_2019!S7</f>
        <v>0</v>
      </c>
      <c r="AJ58" s="57">
        <f>[18]January_2019!T7</f>
        <v>294.7</v>
      </c>
      <c r="AK58" s="57">
        <f>[18]January_2019!U7</f>
        <v>280.5</v>
      </c>
      <c r="AL58" s="57">
        <f>[18]January_2019!V7</f>
        <v>0</v>
      </c>
      <c r="AM58" s="57">
        <f>[18]January_2019!W7</f>
        <v>0</v>
      </c>
      <c r="AN58" s="57">
        <f>[18]January_2019!X7</f>
        <v>188.25</v>
      </c>
      <c r="AO58" s="57">
        <f>[18]January_2019!Y7</f>
        <v>295.7</v>
      </c>
      <c r="AP58" s="57">
        <f>[18]January_2019!Z7</f>
        <v>257.8</v>
      </c>
      <c r="AQ58" s="57">
        <f>[18]January_2019!AA7</f>
        <v>291.2</v>
      </c>
      <c r="AR58" s="57">
        <f>[18]January_2019!AB7</f>
        <v>187</v>
      </c>
      <c r="AS58" s="57">
        <f>[18]January_2019!AC7</f>
        <v>0</v>
      </c>
      <c r="AT58" s="57">
        <f>[18]January_2019!AD7</f>
        <v>0</v>
      </c>
      <c r="AU58" s="57">
        <f>[18]January_2019!AE7</f>
        <v>485.1</v>
      </c>
      <c r="AV58" s="57">
        <f>[18]January_2019!AF7</f>
        <v>171.55</v>
      </c>
      <c r="AW58" s="57">
        <f>[18]January_2019!AG7</f>
        <v>423.8</v>
      </c>
      <c r="AX58" s="277">
        <f>[18]January_2019!AH7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7"/>
      <c r="C59" s="429"/>
      <c r="D59" s="430"/>
      <c r="E59" s="431"/>
      <c r="F59" s="432"/>
      <c r="G59" s="433"/>
      <c r="H59" s="457"/>
      <c r="I59" s="457"/>
      <c r="J59" s="450"/>
      <c r="K59" s="435"/>
      <c r="L59" s="451"/>
      <c r="M59" s="42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6"/>
      <c r="C60" s="478"/>
      <c r="D60" s="441"/>
      <c r="E60" s="442"/>
      <c r="F60" s="443"/>
      <c r="G60" s="444"/>
      <c r="H60" s="457"/>
      <c r="I60" s="457"/>
      <c r="J60" s="447"/>
      <c r="K60" s="458"/>
      <c r="L60" s="456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.75" hidden="1" thickBot="1">
      <c r="B61" s="452"/>
      <c r="C61" s="429"/>
      <c r="D61" s="430"/>
      <c r="E61" s="431"/>
      <c r="F61" s="432"/>
      <c r="G61" s="433"/>
      <c r="H61" s="434"/>
      <c r="I61" s="449"/>
      <c r="J61" s="450"/>
      <c r="K61" s="435"/>
      <c r="L61" s="451"/>
      <c r="M61" s="42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0"/>
      <c r="C62" s="478"/>
      <c r="D62" s="441"/>
      <c r="E62" s="442"/>
      <c r="F62" s="443"/>
      <c r="G62" s="444"/>
      <c r="H62" s="445"/>
      <c r="I62" s="446"/>
      <c r="J62" s="447"/>
      <c r="K62" s="448"/>
      <c r="L62" s="456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6"/>
      <c r="C63" s="422"/>
      <c r="D63" s="423"/>
      <c r="E63" s="424"/>
      <c r="F63" s="425"/>
      <c r="G63" s="426"/>
      <c r="H63" s="427"/>
      <c r="I63" s="437"/>
      <c r="J63" s="438"/>
      <c r="K63" s="428"/>
      <c r="L63" s="439"/>
      <c r="M63" s="421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4"/>
      <c r="AC63" s="414"/>
      <c r="AD63" s="414"/>
      <c r="AE63" s="414"/>
      <c r="AF63" s="414"/>
      <c r="AG63" s="414"/>
      <c r="AH63" s="414"/>
      <c r="AI63" s="414"/>
      <c r="AJ63" s="414"/>
      <c r="AK63" s="414"/>
      <c r="AL63" s="414"/>
      <c r="AM63" s="414"/>
      <c r="AN63" s="414"/>
      <c r="AO63" s="414"/>
      <c r="AP63" s="414"/>
      <c r="AQ63" s="414"/>
      <c r="AR63" s="414"/>
      <c r="AS63" s="414"/>
      <c r="AT63" s="414"/>
      <c r="AU63" s="414"/>
      <c r="AV63" s="414"/>
      <c r="AW63" s="414"/>
    </row>
    <row r="64" spans="2:57" s="54" customFormat="1" ht="37.15" hidden="1" customHeight="1" thickBot="1">
      <c r="B64" s="455"/>
      <c r="C64" s="440"/>
      <c r="D64" s="441"/>
      <c r="E64" s="442"/>
      <c r="F64" s="443"/>
      <c r="G64" s="444"/>
      <c r="H64" s="445"/>
      <c r="I64" s="446"/>
      <c r="J64" s="447"/>
      <c r="K64" s="448"/>
      <c r="L64" s="456"/>
      <c r="M64" s="453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5"/>
      <c r="C65" s="429"/>
      <c r="D65" s="459"/>
      <c r="E65" s="460"/>
      <c r="F65" s="461"/>
      <c r="G65" s="459"/>
      <c r="H65" s="462"/>
      <c r="I65" s="462"/>
      <c r="J65" s="462"/>
      <c r="K65" s="463"/>
      <c r="L65" s="464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495" t="s">
        <v>55</v>
      </c>
      <c r="C67" s="496"/>
      <c r="D67" s="496"/>
      <c r="E67" s="496"/>
      <c r="F67" s="497"/>
      <c r="G67" s="495" t="s">
        <v>56</v>
      </c>
      <c r="H67" s="496"/>
      <c r="I67" s="496"/>
      <c r="J67" s="497"/>
      <c r="K67" s="495" t="s">
        <v>51</v>
      </c>
      <c r="L67" s="496"/>
      <c r="M67" s="496"/>
      <c r="N67" s="498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AVERAGE(L56,L58)</f>
        <v>5.758264826653174</v>
      </c>
      <c r="D69" s="76">
        <v>5.3426414019091037</v>
      </c>
      <c r="E69" s="76">
        <v>6.4104965182670099</v>
      </c>
      <c r="F69" s="66">
        <v>4.8</v>
      </c>
      <c r="G69" s="65">
        <f>AVERAGE([37]October_2026!$G$11:$H$11)</f>
        <v>6.2105686543831879</v>
      </c>
      <c r="H69" s="476">
        <v>6.1573549626417838</v>
      </c>
      <c r="I69" s="476">
        <v>6.5184572383851416</v>
      </c>
      <c r="J69" s="66">
        <v>4.8</v>
      </c>
      <c r="K69" s="67">
        <f>AVERAGE(K56,K58)</f>
        <v>0.6964035087719298</v>
      </c>
      <c r="L69" s="194">
        <v>0.66649122807017536</v>
      </c>
      <c r="M69" s="194">
        <v>0.53908627189124969</v>
      </c>
      <c r="N69" s="68">
        <v>1</v>
      </c>
      <c r="O69" s="56"/>
      <c r="P69" s="69"/>
    </row>
    <row r="70" spans="2:57" ht="15">
      <c r="B70" s="33" t="s">
        <v>9</v>
      </c>
      <c r="C70" s="65"/>
      <c r="D70" s="76"/>
      <c r="E70" s="76">
        <v>6.0345293824252026</v>
      </c>
      <c r="F70" s="66">
        <v>4.8</v>
      </c>
      <c r="G70" s="65"/>
      <c r="H70" s="76"/>
      <c r="I70" s="76">
        <v>5.9275658832823668</v>
      </c>
      <c r="J70" s="66">
        <v>4.8</v>
      </c>
      <c r="K70" s="67"/>
      <c r="L70" s="194"/>
      <c r="M70" s="194">
        <v>0.68249290906882254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10.912862882586603</v>
      </c>
      <c r="F71" s="66">
        <v>5.5</v>
      </c>
      <c r="G71" s="65"/>
      <c r="H71" s="76"/>
      <c r="I71" s="76">
        <v>11.797659278069149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>
        <v>2.6160971335586405</v>
      </c>
      <c r="E72" s="76">
        <v>4.8433372666231218</v>
      </c>
      <c r="F72" s="66">
        <v>3.3</v>
      </c>
      <c r="G72" s="65"/>
      <c r="H72" s="76">
        <v>4.0562064167659644</v>
      </c>
      <c r="I72" s="76">
        <v>4.7835858167498584</v>
      </c>
      <c r="J72" s="66">
        <v>3.3</v>
      </c>
      <c r="K72" s="67"/>
      <c r="L72" s="194">
        <v>1.3649122807017544</v>
      </c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/>
      <c r="E74" s="76">
        <v>6.3233965672990236</v>
      </c>
      <c r="F74" s="70">
        <v>5.5</v>
      </c>
      <c r="G74" s="65"/>
      <c r="H74" s="76"/>
      <c r="I74" s="76">
        <v>7.9667553186446929</v>
      </c>
      <c r="J74" s="66">
        <v>5.5</v>
      </c>
      <c r="K74" s="67"/>
      <c r="L74" s="194"/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1"/>
      <c r="D75" s="76"/>
      <c r="E75" s="76">
        <v>3.9973372218347856</v>
      </c>
      <c r="F75" s="66">
        <v>3.3</v>
      </c>
      <c r="G75" s="282"/>
      <c r="H75" s="76"/>
      <c r="I75" s="76">
        <v>5.1096183510504902</v>
      </c>
      <c r="J75" s="66">
        <v>3.3</v>
      </c>
      <c r="K75" s="67"/>
      <c r="L75" s="194"/>
      <c r="M75" s="194">
        <v>0.89057130004498408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3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4.3537476733100124</v>
      </c>
      <c r="E78" s="76">
        <v>6.362317810863849</v>
      </c>
      <c r="F78" s="341">
        <v>5.5</v>
      </c>
      <c r="H78" s="76">
        <v>5.2145324711715224</v>
      </c>
      <c r="I78" s="76">
        <v>6.626850683322365</v>
      </c>
      <c r="J78" s="341">
        <v>5.5</v>
      </c>
      <c r="L78" s="194">
        <v>0.84109649122807006</v>
      </c>
      <c r="M78" s="194">
        <v>0.59560326685792742</v>
      </c>
      <c r="N78" s="386">
        <v>1</v>
      </c>
    </row>
  </sheetData>
  <mergeCells count="51"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  <mergeCell ref="D49:E49"/>
    <mergeCell ref="B54:B55"/>
    <mergeCell ref="C54:C55"/>
    <mergeCell ref="D54:D55"/>
    <mergeCell ref="E54:E55"/>
    <mergeCell ref="B39:B48"/>
    <mergeCell ref="D39:E40"/>
    <mergeCell ref="J39:K39"/>
    <mergeCell ref="L40:N40"/>
    <mergeCell ref="D41:E42"/>
    <mergeCell ref="D43:E44"/>
    <mergeCell ref="D45:E46"/>
    <mergeCell ref="D47:E48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9:B50">
    <cfRule type="cellIs" dxfId="384" priority="104" operator="notBetween">
      <formula>#REF!</formula>
      <formula>#REF!</formula>
    </cfRule>
  </conditionalFormatting>
  <conditionalFormatting sqref="C53">
    <cfRule type="cellIs" dxfId="383" priority="186" stopIfTrue="1" operator="lessThan">
      <formula>96</formula>
    </cfRule>
    <cfRule type="cellIs" dxfId="382" priority="187" stopIfTrue="1" operator="greaterThan">
      <formula>100</formula>
    </cfRule>
  </conditionalFormatting>
  <conditionalFormatting sqref="C69:C70">
    <cfRule type="cellIs" dxfId="381" priority="67" stopIfTrue="1" operator="greaterThan">
      <formula>$F69</formula>
    </cfRule>
    <cfRule type="cellIs" dxfId="380" priority="68" stopIfTrue="1" operator="lessThanOrEqual">
      <formula>0</formula>
    </cfRule>
    <cfRule type="cellIs" dxfId="379" priority="69" stopIfTrue="1" operator="greaterThan">
      <formula>$F69</formula>
    </cfRule>
    <cfRule type="cellIs" dxfId="378" priority="70" stopIfTrue="1" operator="lessThanOrEqual">
      <formula>0</formula>
    </cfRule>
  </conditionalFormatting>
  <conditionalFormatting sqref="C71:C73 C75:C77">
    <cfRule type="cellIs" dxfId="377" priority="76" stopIfTrue="1" operator="greaterThan">
      <formula>$F74</formula>
    </cfRule>
  </conditionalFormatting>
  <conditionalFormatting sqref="C71:C73">
    <cfRule type="cellIs" dxfId="376" priority="77" stopIfTrue="1" operator="lessThanOrEqual">
      <formula>0</formula>
    </cfRule>
  </conditionalFormatting>
  <conditionalFormatting sqref="C74">
    <cfRule type="cellIs" dxfId="375" priority="188" stopIfTrue="1" operator="greaterThan">
      <formula>$F69</formula>
    </cfRule>
    <cfRule type="cellIs" dxfId="374" priority="189" stopIfTrue="1" operator="lessThanOrEqual">
      <formula>0</formula>
    </cfRule>
    <cfRule type="cellIs" dxfId="373" priority="190" stopIfTrue="1" operator="greaterThan">
      <formula>$F69</formula>
    </cfRule>
    <cfRule type="cellIs" dxfId="372" priority="191" stopIfTrue="1" operator="lessThanOrEqual">
      <formula>0</formula>
    </cfRule>
  </conditionalFormatting>
  <conditionalFormatting sqref="C75:C77">
    <cfRule type="cellIs" dxfId="371" priority="78" stopIfTrue="1" operator="lessThanOrEqual">
      <formula>0</formula>
    </cfRule>
  </conditionalFormatting>
  <conditionalFormatting sqref="C80:C84">
    <cfRule type="cellIs" dxfId="370" priority="178" stopIfTrue="1" operator="lessThanOrEqual">
      <formula>0</formula>
    </cfRule>
  </conditionalFormatting>
  <conditionalFormatting sqref="C81:C84">
    <cfRule type="cellIs" dxfId="369" priority="177" stopIfTrue="1" operator="greaterThan">
      <formula>$F$80</formula>
    </cfRule>
  </conditionalFormatting>
  <conditionalFormatting sqref="C86">
    <cfRule type="cellIs" dxfId="368" priority="179" stopIfTrue="1" operator="greaterThan">
      <formula>$F$80</formula>
    </cfRule>
    <cfRule type="cellIs" dxfId="367" priority="180" stopIfTrue="1" operator="lessThanOrEqual">
      <formula>0</formula>
    </cfRule>
  </conditionalFormatting>
  <conditionalFormatting sqref="C74:D74">
    <cfRule type="cellIs" dxfId="366" priority="65" stopIfTrue="1" operator="greaterThan">
      <formula>$J74</formula>
    </cfRule>
    <cfRule type="cellIs" dxfId="365" priority="66" stopIfTrue="1" operator="lessThanOrEqual">
      <formula>0</formula>
    </cfRule>
  </conditionalFormatting>
  <conditionalFormatting sqref="C80:D80 D82:D88">
    <cfRule type="cellIs" dxfId="364" priority="172" stopIfTrue="1" operator="greaterThan">
      <formula>4.5</formula>
    </cfRule>
  </conditionalFormatting>
  <conditionalFormatting sqref="D49:D50">
    <cfRule type="cellIs" dxfId="363" priority="105" operator="notBetween">
      <formula>#REF!</formula>
      <formula>#REF!</formula>
    </cfRule>
  </conditionalFormatting>
  <conditionalFormatting sqref="D69:D73 D75:D76">
    <cfRule type="cellIs" dxfId="362" priority="75" stopIfTrue="1" operator="lessThanOrEqual">
      <formula>0</formula>
    </cfRule>
  </conditionalFormatting>
  <conditionalFormatting sqref="D69:D73 D75:D78">
    <cfRule type="cellIs" dxfId="361" priority="71" stopIfTrue="1" operator="lessThanOrEqual">
      <formula>0</formula>
    </cfRule>
    <cfRule type="cellIs" dxfId="360" priority="72" stopIfTrue="1" operator="greaterThan">
      <formula>$F69</formula>
    </cfRule>
  </conditionalFormatting>
  <conditionalFormatting sqref="D77:D78">
    <cfRule type="cellIs" dxfId="359" priority="73" stopIfTrue="1" operator="lessThanOrEqual">
      <formula>0</formula>
    </cfRule>
  </conditionalFormatting>
  <conditionalFormatting sqref="D78">
    <cfRule type="cellIs" dxfId="358" priority="74" stopIfTrue="1" operator="lessThanOrEqual">
      <formula>0</formula>
    </cfRule>
  </conditionalFormatting>
  <conditionalFormatting sqref="D80 D82:D88">
    <cfRule type="cellIs" dxfId="357" priority="173" stopIfTrue="1" operator="lessThanOrEqual">
      <formula>0</formula>
    </cfRule>
  </conditionalFormatting>
  <conditionalFormatting sqref="D81">
    <cfRule type="cellIs" dxfId="356" priority="164" stopIfTrue="1" operator="greaterThan">
      <formula>$F$80</formula>
    </cfRule>
    <cfRule type="cellIs" dxfId="355" priority="165" stopIfTrue="1" operator="lessThanOrEqual">
      <formula>0</formula>
    </cfRule>
  </conditionalFormatting>
  <conditionalFormatting sqref="E10:E24">
    <cfRule type="cellIs" dxfId="354" priority="8" operator="lessThan">
      <formula>48</formula>
    </cfRule>
  </conditionalFormatting>
  <conditionalFormatting sqref="E52 E53:F53">
    <cfRule type="cellIs" dxfId="353" priority="169" stopIfTrue="1" operator="greaterThan">
      <formula>100</formula>
    </cfRule>
  </conditionalFormatting>
  <conditionalFormatting sqref="E53">
    <cfRule type="cellIs" dxfId="352" priority="166" stopIfTrue="1" operator="lessThan">
      <formula>96.8</formula>
    </cfRule>
    <cfRule type="cellIs" dxfId="351" priority="167" stopIfTrue="1" operator="greaterThan">
      <formula>100</formula>
    </cfRule>
  </conditionalFormatting>
  <conditionalFormatting sqref="E69:E77">
    <cfRule type="cellIs" dxfId="350" priority="38" stopIfTrue="1" operator="lessThanOrEqual">
      <formula>0</formula>
    </cfRule>
  </conditionalFormatting>
  <conditionalFormatting sqref="E69:E78">
    <cfRule type="cellIs" dxfId="349" priority="39" stopIfTrue="1" operator="greaterThan">
      <formula>$F69</formula>
    </cfRule>
    <cfRule type="cellIs" dxfId="348" priority="40" stopIfTrue="1" operator="lessThanOrEqual">
      <formula>0</formula>
    </cfRule>
  </conditionalFormatting>
  <conditionalFormatting sqref="E78">
    <cfRule type="cellIs" dxfId="347" priority="41" stopIfTrue="1" operator="lessThanOrEqual">
      <formula>0</formula>
    </cfRule>
  </conditionalFormatting>
  <conditionalFormatting sqref="E80:E88">
    <cfRule type="cellIs" dxfId="346" priority="158" stopIfTrue="1" operator="greaterThan">
      <formula>4.5</formula>
    </cfRule>
    <cfRule type="cellIs" dxfId="345" priority="159" stopIfTrue="1" operator="lessThanOrEqual">
      <formula>0</formula>
    </cfRule>
  </conditionalFormatting>
  <conditionalFormatting sqref="E53:F53 E52">
    <cfRule type="cellIs" dxfId="344" priority="168" stopIfTrue="1" operator="lessThan">
      <formula>96.5</formula>
    </cfRule>
  </conditionalFormatting>
  <conditionalFormatting sqref="F10:F24">
    <cfRule type="cellIs" dxfId="343" priority="9" operator="greaterThan">
      <formula>60</formula>
    </cfRule>
  </conditionalFormatting>
  <conditionalFormatting sqref="F53">
    <cfRule type="cellIs" dxfId="342" priority="184" stopIfTrue="1" operator="lessThan">
      <formula>96.8</formula>
    </cfRule>
    <cfRule type="cellIs" dxfId="341" priority="185" stopIfTrue="1" operator="greaterThan">
      <formula>100</formula>
    </cfRule>
  </conditionalFormatting>
  <conditionalFormatting sqref="G10:G19 M10:N23 H10:H24">
    <cfRule type="expression" dxfId="340" priority="10">
      <formula>IF(+(IF(G10&lt;#REF!,0,IF(G10&gt;#REF!,0,1)))=0,1)</formula>
    </cfRule>
  </conditionalFormatting>
  <conditionalFormatting sqref="G23">
    <cfRule type="expression" dxfId="339" priority="14">
      <formula>IF(+(IF(G23&lt;#REF!,0,IF(G23&gt;#REF!,0,1)))=0,1)</formula>
    </cfRule>
  </conditionalFormatting>
  <conditionalFormatting sqref="G24">
    <cfRule type="expression" dxfId="338" priority="13">
      <formula>IF(+(IF(G24&lt;S24,0,IF(G24&gt;T24,0,1)))=0,1)</formula>
    </cfRule>
  </conditionalFormatting>
  <conditionalFormatting sqref="G69:G72 F78">
    <cfRule type="cellIs" dxfId="337" priority="47" stopIfTrue="1" operator="greaterThan">
      <formula>$F69</formula>
    </cfRule>
    <cfRule type="cellIs" dxfId="336" priority="48" stopIfTrue="1" operator="lessThanOrEqual">
      <formula>0</formula>
    </cfRule>
  </conditionalFormatting>
  <conditionalFormatting sqref="G71:G72">
    <cfRule type="cellIs" dxfId="335" priority="33" stopIfTrue="1" operator="greaterThan">
      <formula>$F71</formula>
    </cfRule>
    <cfRule type="cellIs" dxfId="334" priority="34" stopIfTrue="1" operator="lessThanOrEqual">
      <formula>0</formula>
    </cfRule>
  </conditionalFormatting>
  <conditionalFormatting sqref="G73:G77">
    <cfRule type="cellIs" dxfId="333" priority="49" stopIfTrue="1" operator="greaterThan">
      <formula>$J73</formula>
    </cfRule>
    <cfRule type="cellIs" dxfId="332" priority="50" stopIfTrue="1" operator="lessThanOrEqual">
      <formula>0</formula>
    </cfRule>
  </conditionalFormatting>
  <conditionalFormatting sqref="G74">
    <cfRule type="cellIs" dxfId="331" priority="192" stopIfTrue="1" operator="greaterThan">
      <formula>$F69</formula>
    </cfRule>
    <cfRule type="cellIs" dxfId="330" priority="193" stopIfTrue="1" operator="lessThanOrEqual">
      <formula>0</formula>
    </cfRule>
  </conditionalFormatting>
  <conditionalFormatting sqref="G82:G87 C85 C87">
    <cfRule type="cellIs" dxfId="329" priority="181" stopIfTrue="1" operator="greaterThan">
      <formula>4.5</formula>
    </cfRule>
    <cfRule type="cellIs" dxfId="328" priority="182" stopIfTrue="1" operator="lessThanOrEqual">
      <formula>0</formula>
    </cfRule>
  </conditionalFormatting>
  <conditionalFormatting sqref="G81:H81">
    <cfRule type="cellIs" dxfId="327" priority="162" stopIfTrue="1" operator="greaterThan">
      <formula>$F$80</formula>
    </cfRule>
    <cfRule type="cellIs" dxfId="326" priority="163" stopIfTrue="1" operator="lessThanOrEqual">
      <formula>0</formula>
    </cfRule>
  </conditionalFormatting>
  <conditionalFormatting sqref="H38:H39 H52">
    <cfRule type="cellIs" dxfId="325" priority="160" stopIfTrue="1" operator="greaterThan">
      <formula>0</formula>
    </cfRule>
  </conditionalFormatting>
  <conditionalFormatting sqref="H56">
    <cfRule type="cellIs" dxfId="324" priority="52" stopIfTrue="1" operator="lessThanOrEqual">
      <formula>0</formula>
    </cfRule>
    <cfRule type="cellIs" dxfId="323" priority="53" stopIfTrue="1" operator="greaterThan">
      <formula>$F$69</formula>
    </cfRule>
    <cfRule type="cellIs" dxfId="322" priority="61" stopIfTrue="1" operator="greaterThan">
      <formula>$F$72</formula>
    </cfRule>
    <cfRule type="cellIs" dxfId="321" priority="62" stopIfTrue="1" operator="lessThanOrEqual">
      <formula>0</formula>
    </cfRule>
    <cfRule type="cellIs" dxfId="320" priority="63" stopIfTrue="1" operator="greaterThan">
      <formula>$F$70</formula>
    </cfRule>
  </conditionalFormatting>
  <conditionalFormatting sqref="H56:H57">
    <cfRule type="cellIs" dxfId="319" priority="64" stopIfTrue="1" operator="lessThanOrEqual">
      <formula>0</formula>
    </cfRule>
  </conditionalFormatting>
  <conditionalFormatting sqref="H57 H59:H60">
    <cfRule type="cellIs" dxfId="318" priority="90" stopIfTrue="1" operator="lessThanOrEqual">
      <formula>0</formula>
    </cfRule>
  </conditionalFormatting>
  <conditionalFormatting sqref="H57">
    <cfRule type="cellIs" dxfId="317" priority="79" stopIfTrue="1" operator="greaterThan">
      <formula>$F$69</formula>
    </cfRule>
    <cfRule type="cellIs" dxfId="316" priority="87" stopIfTrue="1" operator="greaterThan">
      <formula>$F$72</formula>
    </cfRule>
    <cfRule type="cellIs" dxfId="315" priority="88" stopIfTrue="1" operator="lessThanOrEqual">
      <formula>0</formula>
    </cfRule>
    <cfRule type="cellIs" dxfId="314" priority="89" stopIfTrue="1" operator="greaterThan">
      <formula>$F$70</formula>
    </cfRule>
  </conditionalFormatting>
  <conditionalFormatting sqref="H58">
    <cfRule type="cellIs" dxfId="313" priority="19" stopIfTrue="1" operator="lessThanOrEqual">
      <formula>0</formula>
    </cfRule>
    <cfRule type="cellIs" dxfId="312" priority="20" stopIfTrue="1" operator="greaterThan">
      <formula>$F$71</formula>
    </cfRule>
    <cfRule type="cellIs" dxfId="311" priority="28" stopIfTrue="1" operator="greaterThan">
      <formula>$F$74</formula>
    </cfRule>
    <cfRule type="cellIs" dxfId="310" priority="29" stopIfTrue="1" operator="lessThanOrEqual">
      <formula>0</formula>
    </cfRule>
    <cfRule type="cellIs" dxfId="309" priority="30" stopIfTrue="1" operator="greaterThan">
      <formula>$F$72</formula>
    </cfRule>
    <cfRule type="cellIs" dxfId="308" priority="31" stopIfTrue="1" operator="lessThanOrEqual">
      <formula>0</formula>
    </cfRule>
  </conditionalFormatting>
  <conditionalFormatting sqref="H59:H60">
    <cfRule type="cellIs" dxfId="307" priority="92" stopIfTrue="1" operator="greaterThan">
      <formula>$F$69</formula>
    </cfRule>
    <cfRule type="cellIs" dxfId="306" priority="100" stopIfTrue="1" operator="greaterThan">
      <formula>$F$72</formula>
    </cfRule>
    <cfRule type="cellIs" dxfId="305" priority="101" stopIfTrue="1" operator="lessThanOrEqual">
      <formula>0</formula>
    </cfRule>
    <cfRule type="cellIs" dxfId="304" priority="102" stopIfTrue="1" operator="greaterThan">
      <formula>$F$70</formula>
    </cfRule>
    <cfRule type="cellIs" dxfId="303" priority="103" stopIfTrue="1" operator="lessThanOrEqual">
      <formula>0</formula>
    </cfRule>
  </conditionalFormatting>
  <conditionalFormatting sqref="H61:H62">
    <cfRule type="cellIs" dxfId="302" priority="127" stopIfTrue="1" operator="lessThanOrEqual">
      <formula>0</formula>
    </cfRule>
    <cfRule type="cellIs" dxfId="301" priority="128" stopIfTrue="1" operator="greaterThan">
      <formula>#REF!</formula>
    </cfRule>
    <cfRule type="cellIs" dxfId="300" priority="136" stopIfTrue="1" operator="greaterThan">
      <formula>#REF!</formula>
    </cfRule>
    <cfRule type="cellIs" dxfId="299" priority="137" stopIfTrue="1" operator="lessThanOrEqual">
      <formula>0</formula>
    </cfRule>
  </conditionalFormatting>
  <conditionalFormatting sqref="H63">
    <cfRule type="cellIs" dxfId="298" priority="139" stopIfTrue="1" operator="lessThanOrEqual">
      <formula>0</formula>
    </cfRule>
    <cfRule type="cellIs" dxfId="297" priority="140" stopIfTrue="1" operator="greaterThan">
      <formula>$F$37</formula>
    </cfRule>
    <cfRule type="cellIs" dxfId="296" priority="148" stopIfTrue="1" operator="greaterThan">
      <formula>$F$40</formula>
    </cfRule>
    <cfRule type="cellIs" dxfId="295" priority="149" stopIfTrue="1" operator="lessThanOrEqual">
      <formula>0</formula>
    </cfRule>
    <cfRule type="cellIs" dxfId="294" priority="150" stopIfTrue="1" operator="greaterThan">
      <formula>$F$38</formula>
    </cfRule>
    <cfRule type="cellIs" dxfId="293" priority="151" stopIfTrue="1" operator="lessThanOrEqual">
      <formula>0</formula>
    </cfRule>
  </conditionalFormatting>
  <conditionalFormatting sqref="H64:H65">
    <cfRule type="cellIs" dxfId="292" priority="115" stopIfTrue="1" operator="lessThanOrEqual">
      <formula>0</formula>
    </cfRule>
    <cfRule type="cellIs" dxfId="291" priority="116" stopIfTrue="1" operator="greaterThan">
      <formula>#REF!</formula>
    </cfRule>
    <cfRule type="cellIs" dxfId="290" priority="124" stopIfTrue="1" operator="greaterThan">
      <formula>#REF!</formula>
    </cfRule>
    <cfRule type="cellIs" dxfId="289" priority="125" stopIfTrue="1" operator="lessThanOrEqual">
      <formula>0</formula>
    </cfRule>
  </conditionalFormatting>
  <conditionalFormatting sqref="H80 H82:H88">
    <cfRule type="cellIs" dxfId="288" priority="174" stopIfTrue="1" operator="greaterThan">
      <formula>4.5</formula>
    </cfRule>
    <cfRule type="cellIs" dxfId="287" priority="175" stopIfTrue="1" operator="lessThanOrEqual">
      <formula>0</formula>
    </cfRule>
  </conditionalFormatting>
  <conditionalFormatting sqref="H56:I56">
    <cfRule type="cellIs" dxfId="286" priority="54" stopIfTrue="1" operator="lessThanOrEqual">
      <formula>0</formula>
    </cfRule>
  </conditionalFormatting>
  <conditionalFormatting sqref="H56:I57 H59:I60">
    <cfRule type="cellIs" dxfId="285" priority="51" stopIfTrue="1" operator="greaterThan">
      <formula>$F$71</formula>
    </cfRule>
  </conditionalFormatting>
  <conditionalFormatting sqref="H57:I57">
    <cfRule type="cellIs" dxfId="284" priority="80" stopIfTrue="1" operator="lessThanOrEqual">
      <formula>0</formula>
    </cfRule>
  </conditionalFormatting>
  <conditionalFormatting sqref="H58:I58">
    <cfRule type="cellIs" dxfId="283" priority="18" stopIfTrue="1" operator="greaterThan">
      <formula>$F$73</formula>
    </cfRule>
    <cfRule type="cellIs" dxfId="282" priority="21" stopIfTrue="1" operator="lessThanOrEqual">
      <formula>0</formula>
    </cfRule>
  </conditionalFormatting>
  <conditionalFormatting sqref="H59:I60">
    <cfRule type="cellIs" dxfId="281" priority="93" stopIfTrue="1" operator="lessThanOrEqual">
      <formula>0</formula>
    </cfRule>
  </conditionalFormatting>
  <conditionalFormatting sqref="H61:I62">
    <cfRule type="cellIs" dxfId="280" priority="126" stopIfTrue="1" operator="greaterThan">
      <formula>#REF!</formula>
    </cfRule>
    <cfRule type="cellIs" dxfId="279" priority="129" stopIfTrue="1" operator="lessThanOrEqual">
      <formula>0</formula>
    </cfRule>
    <cfRule type="cellIs" dxfId="278" priority="134" stopIfTrue="1" operator="greaterThan">
      <formula>#REF!</formula>
    </cfRule>
    <cfRule type="cellIs" dxfId="277" priority="135" stopIfTrue="1" operator="lessThanOrEqual">
      <formula>0</formula>
    </cfRule>
  </conditionalFormatting>
  <conditionalFormatting sqref="H63:I63">
    <cfRule type="cellIs" dxfId="276" priority="138" stopIfTrue="1" operator="greaterThan">
      <formula>$F$39</formula>
    </cfRule>
    <cfRule type="cellIs" dxfId="275" priority="141" stopIfTrue="1" operator="lessThanOrEqual">
      <formula>0</formula>
    </cfRule>
  </conditionalFormatting>
  <conditionalFormatting sqref="H64:I65">
    <cfRule type="cellIs" dxfId="274" priority="114" stopIfTrue="1" operator="greaterThan">
      <formula>#REF!</formula>
    </cfRule>
    <cfRule type="cellIs" dxfId="273" priority="117" stopIfTrue="1" operator="lessThanOrEqual">
      <formula>0</formula>
    </cfRule>
    <cfRule type="cellIs" dxfId="272" priority="122" stopIfTrue="1" operator="greaterThan">
      <formula>#REF!</formula>
    </cfRule>
    <cfRule type="cellIs" dxfId="271" priority="123" stopIfTrue="1" operator="lessThanOrEqual">
      <formula>0</formula>
    </cfRule>
  </conditionalFormatting>
  <conditionalFormatting sqref="H69:I76">
    <cfRule type="cellIs" dxfId="270" priority="36" stopIfTrue="1" operator="greaterThan">
      <formula>$J69</formula>
    </cfRule>
    <cfRule type="cellIs" dxfId="269" priority="37" stopIfTrue="1" operator="lessThanOrEqual">
      <formula>0</formula>
    </cfRule>
  </conditionalFormatting>
  <conditionalFormatting sqref="H77:I77">
    <cfRule type="cellIs" dxfId="268" priority="44" operator="greaterThan">
      <formula>5.3</formula>
    </cfRule>
  </conditionalFormatting>
  <conditionalFormatting sqref="H78:I78">
    <cfRule type="cellIs" dxfId="267" priority="42" stopIfTrue="1" operator="greaterThan">
      <formula>$J78</formula>
    </cfRule>
    <cfRule type="cellIs" dxfId="266" priority="43" stopIfTrue="1" operator="lessThanOrEqual">
      <formula>0</formula>
    </cfRule>
  </conditionalFormatting>
  <conditionalFormatting sqref="I56">
    <cfRule type="cellIs" dxfId="265" priority="55" stopIfTrue="1" operator="greaterThan">
      <formula>$F$69</formula>
    </cfRule>
    <cfRule type="cellIs" dxfId="264" priority="56" stopIfTrue="1" operator="lessThanOrEqual">
      <formula>0</formula>
    </cfRule>
    <cfRule type="cellIs" dxfId="263" priority="57" stopIfTrue="1" operator="greaterThan">
      <formula>$F$71</formula>
    </cfRule>
    <cfRule type="cellIs" dxfId="262" priority="58" stopIfTrue="1" operator="lessThanOrEqual">
      <formula>0</formula>
    </cfRule>
    <cfRule type="cellIs" dxfId="261" priority="59" stopIfTrue="1" operator="greaterThan">
      <formula>$F$69</formula>
    </cfRule>
    <cfRule type="cellIs" dxfId="260" priority="60" stopIfTrue="1" operator="lessThanOrEqual">
      <formula>0</formula>
    </cfRule>
  </conditionalFormatting>
  <conditionalFormatting sqref="I57">
    <cfRule type="cellIs" dxfId="259" priority="81" stopIfTrue="1" operator="greaterThan">
      <formula>$F$69</formula>
    </cfRule>
    <cfRule type="cellIs" dxfId="258" priority="82" stopIfTrue="1" operator="lessThanOrEqual">
      <formula>0</formula>
    </cfRule>
    <cfRule type="cellIs" dxfId="257" priority="83" stopIfTrue="1" operator="greaterThan">
      <formula>$F$71</formula>
    </cfRule>
    <cfRule type="cellIs" dxfId="256" priority="84" stopIfTrue="1" operator="lessThanOrEqual">
      <formula>0</formula>
    </cfRule>
    <cfRule type="cellIs" dxfId="255" priority="85" stopIfTrue="1" operator="greaterThan">
      <formula>$F$69</formula>
    </cfRule>
    <cfRule type="cellIs" dxfId="254" priority="86" stopIfTrue="1" operator="lessThanOrEqual">
      <formula>0</formula>
    </cfRule>
  </conditionalFormatting>
  <conditionalFormatting sqref="I58">
    <cfRule type="cellIs" dxfId="253" priority="22" stopIfTrue="1" operator="greaterThan">
      <formula>$F$71</formula>
    </cfRule>
    <cfRule type="cellIs" dxfId="252" priority="23" stopIfTrue="1" operator="lessThanOrEqual">
      <formula>0</formula>
    </cfRule>
    <cfRule type="cellIs" dxfId="251" priority="24" stopIfTrue="1" operator="greaterThan">
      <formula>$F$73</formula>
    </cfRule>
    <cfRule type="cellIs" dxfId="250" priority="25" stopIfTrue="1" operator="lessThanOrEqual">
      <formula>0</formula>
    </cfRule>
    <cfRule type="cellIs" dxfId="249" priority="26" stopIfTrue="1" operator="greaterThan">
      <formula>$F$71</formula>
    </cfRule>
    <cfRule type="cellIs" dxfId="248" priority="27" stopIfTrue="1" operator="lessThanOrEqual">
      <formula>0</formula>
    </cfRule>
  </conditionalFormatting>
  <conditionalFormatting sqref="I59:I60">
    <cfRule type="cellIs" dxfId="247" priority="94" stopIfTrue="1" operator="greaterThan">
      <formula>$F$69</formula>
    </cfRule>
    <cfRule type="cellIs" dxfId="246" priority="95" stopIfTrue="1" operator="lessThanOrEqual">
      <formula>0</formula>
    </cfRule>
    <cfRule type="cellIs" dxfId="245" priority="96" stopIfTrue="1" operator="greaterThan">
      <formula>$F$71</formula>
    </cfRule>
    <cfRule type="cellIs" dxfId="244" priority="97" stopIfTrue="1" operator="lessThanOrEqual">
      <formula>0</formula>
    </cfRule>
    <cfRule type="cellIs" dxfId="243" priority="98" stopIfTrue="1" operator="greaterThan">
      <formula>$F$69</formula>
    </cfRule>
    <cfRule type="cellIs" dxfId="242" priority="99" stopIfTrue="1" operator="lessThanOrEqual">
      <formula>0</formula>
    </cfRule>
  </conditionalFormatting>
  <conditionalFormatting sqref="I61:I62">
    <cfRule type="cellIs" dxfId="241" priority="130" stopIfTrue="1" operator="greaterThan">
      <formula>#REF!</formula>
    </cfRule>
    <cfRule type="cellIs" dxfId="240" priority="131" stopIfTrue="1" operator="lessThanOrEqual">
      <formula>0</formula>
    </cfRule>
    <cfRule type="cellIs" dxfId="239" priority="132" stopIfTrue="1" operator="greaterThan">
      <formula>#REF!</formula>
    </cfRule>
    <cfRule type="cellIs" dxfId="238" priority="133" stopIfTrue="1" operator="lessThanOrEqual">
      <formula>0</formula>
    </cfRule>
  </conditionalFormatting>
  <conditionalFormatting sqref="I63">
    <cfRule type="cellIs" dxfId="237" priority="142" stopIfTrue="1" operator="greaterThan">
      <formula>$F$37</formula>
    </cfRule>
    <cfRule type="cellIs" dxfId="236" priority="143" stopIfTrue="1" operator="lessThanOrEqual">
      <formula>0</formula>
    </cfRule>
    <cfRule type="cellIs" dxfId="235" priority="144" stopIfTrue="1" operator="greaterThan">
      <formula>$F$39</formula>
    </cfRule>
    <cfRule type="cellIs" dxfId="234" priority="145" stopIfTrue="1" operator="lessThanOrEqual">
      <formula>0</formula>
    </cfRule>
    <cfRule type="cellIs" dxfId="233" priority="146" stopIfTrue="1" operator="greaterThan">
      <formula>$F$37</formula>
    </cfRule>
    <cfRule type="cellIs" dxfId="232" priority="147" stopIfTrue="1" operator="lessThanOrEqual">
      <formula>0</formula>
    </cfRule>
  </conditionalFormatting>
  <conditionalFormatting sqref="I64:I65">
    <cfRule type="cellIs" dxfId="231" priority="118" stopIfTrue="1" operator="greaterThan">
      <formula>#REF!</formula>
    </cfRule>
    <cfRule type="cellIs" dxfId="230" priority="119" stopIfTrue="1" operator="lessThanOrEqual">
      <formula>0</formula>
    </cfRule>
    <cfRule type="cellIs" dxfId="229" priority="120" stopIfTrue="1" operator="greaterThan">
      <formula>#REF!</formula>
    </cfRule>
    <cfRule type="cellIs" dxfId="228" priority="121" stopIfTrue="1" operator="lessThanOrEqual">
      <formula>0</formula>
    </cfRule>
  </conditionalFormatting>
  <conditionalFormatting sqref="I80:I88">
    <cfRule type="cellIs" dxfId="227" priority="170" stopIfTrue="1" operator="greaterThan">
      <formula>4.5</formula>
    </cfRule>
    <cfRule type="cellIs" dxfId="226" priority="171" stopIfTrue="1" operator="lessThanOrEqual">
      <formula>0</formula>
    </cfRule>
  </conditionalFormatting>
  <conditionalFormatting sqref="I10:J24">
    <cfRule type="cellIs" dxfId="225" priority="2" operator="lessThan">
      <formula>97.9</formula>
    </cfRule>
  </conditionalFormatting>
  <conditionalFormatting sqref="J27:J29">
    <cfRule type="cellIs" dxfId="224" priority="17" operator="lessThan">
      <formula>97.95</formula>
    </cfRule>
  </conditionalFormatting>
  <conditionalFormatting sqref="J28:J31">
    <cfRule type="cellIs" dxfId="223" priority="152" operator="lessThan">
      <formula>97.4</formula>
    </cfRule>
  </conditionalFormatting>
  <conditionalFormatting sqref="J32:J33">
    <cfRule type="cellIs" dxfId="222" priority="153" operator="lessThan">
      <formula>98</formula>
    </cfRule>
  </conditionalFormatting>
  <conditionalFormatting sqref="J34:J35">
    <cfRule type="cellIs" dxfId="221" priority="154" stopIfTrue="1" operator="lessThan">
      <formula>96.8</formula>
    </cfRule>
    <cfRule type="cellIs" dxfId="220" priority="155" stopIfTrue="1" operator="greaterThan">
      <formula>100</formula>
    </cfRule>
  </conditionalFormatting>
  <conditionalFormatting sqref="J34:J36">
    <cfRule type="cellIs" dxfId="219" priority="156" operator="lessThan">
      <formula>98</formula>
    </cfRule>
  </conditionalFormatting>
  <conditionalFormatting sqref="J65">
    <cfRule type="cellIs" dxfId="218" priority="106" stopIfTrue="1" operator="greaterThan">
      <formula>#REF!</formula>
    </cfRule>
    <cfRule type="cellIs" dxfId="217" priority="107" stopIfTrue="1" operator="lessThanOrEqual">
      <formula>0</formula>
    </cfRule>
    <cfRule type="cellIs" dxfId="216" priority="108" stopIfTrue="1" operator="greaterThan">
      <formula>#REF!</formula>
    </cfRule>
    <cfRule type="cellIs" dxfId="215" priority="109" stopIfTrue="1" operator="lessThanOrEqual">
      <formula>0</formula>
    </cfRule>
    <cfRule type="cellIs" dxfId="214" priority="110" stopIfTrue="1" operator="greaterThan">
      <formula>#REF!</formula>
    </cfRule>
    <cfRule type="cellIs" dxfId="213" priority="111" stopIfTrue="1" operator="lessThanOrEqual">
      <formula>0</formula>
    </cfRule>
    <cfRule type="cellIs" dxfId="212" priority="112" stopIfTrue="1" operator="greaterThan">
      <formula>#REF!</formula>
    </cfRule>
    <cfRule type="cellIs" dxfId="211" priority="113" stopIfTrue="1" operator="lessThanOrEqual">
      <formula>0</formula>
    </cfRule>
  </conditionalFormatting>
  <conditionalFormatting sqref="J78">
    <cfRule type="cellIs" dxfId="210" priority="45" stopIfTrue="1" operator="greaterThan">
      <formula>$F78</formula>
    </cfRule>
    <cfRule type="cellIs" dxfId="209" priority="46" stopIfTrue="1" operator="lessThanOrEqual">
      <formula>0</formula>
    </cfRule>
  </conditionalFormatting>
  <conditionalFormatting sqref="K10:K24">
    <cfRule type="cellIs" dxfId="208" priority="3" operator="greaterThan">
      <formula>6</formula>
    </cfRule>
    <cfRule type="cellIs" dxfId="207" priority="4" operator="lessThan">
      <formula>4</formula>
    </cfRule>
    <cfRule type="cellIs" dxfId="206" priority="5" operator="greaterThan">
      <formula>6.4</formula>
    </cfRule>
  </conditionalFormatting>
  <conditionalFormatting sqref="K56:K65">
    <cfRule type="cellIs" dxfId="205" priority="91" stopIfTrue="1" operator="lessThan">
      <formula>100%</formula>
    </cfRule>
  </conditionalFormatting>
  <conditionalFormatting sqref="K69:K77">
    <cfRule type="cellIs" dxfId="204" priority="35" stopIfTrue="1" operator="lessThan">
      <formula>100%</formula>
    </cfRule>
  </conditionalFormatting>
  <conditionalFormatting sqref="K80:K85">
    <cfRule type="cellIs" dxfId="203" priority="176" stopIfTrue="1" operator="lessThan">
      <formula>100%</formula>
    </cfRule>
  </conditionalFormatting>
  <conditionalFormatting sqref="K87:K88">
    <cfRule type="cellIs" dxfId="202" priority="183" stopIfTrue="1" operator="lessThan">
      <formula>100%</formula>
    </cfRule>
  </conditionalFormatting>
  <conditionalFormatting sqref="L10:L24">
    <cfRule type="cellIs" dxfId="201" priority="6" operator="between">
      <formula>61</formula>
      <formula>65</formula>
    </cfRule>
    <cfRule type="cellIs" dxfId="200" priority="7" operator="greaterThan">
      <formula>65</formula>
    </cfRule>
  </conditionalFormatting>
  <conditionalFormatting sqref="L27:M38">
    <cfRule type="cellIs" dxfId="199" priority="16" operator="lessThan">
      <formula>97.95</formula>
    </cfRule>
  </conditionalFormatting>
  <conditionalFormatting sqref="L42:N42">
    <cfRule type="cellIs" dxfId="198" priority="15" operator="notEqual">
      <formula>#REF!</formula>
    </cfRule>
  </conditionalFormatting>
  <conditionalFormatting sqref="L69:N78">
    <cfRule type="cellIs" dxfId="197" priority="32" stopIfTrue="1" operator="lessThan">
      <formula>100%</formula>
    </cfRule>
  </conditionalFormatting>
  <conditionalFormatting sqref="L80:N88">
    <cfRule type="cellIs" dxfId="196" priority="161" stopIfTrue="1" operator="lessThan">
      <formula>100%</formula>
    </cfRule>
  </conditionalFormatting>
  <conditionalFormatting sqref="M24">
    <cfRule type="expression" dxfId="195" priority="12">
      <formula>IF(+(IF(M24&lt;U24,0,IF(M24&gt;V24,0,1)))=0,1)</formula>
    </cfRule>
  </conditionalFormatting>
  <conditionalFormatting sqref="N10:N24">
    <cfRule type="expression" dxfId="194" priority="11">
      <formula>IF(+(IF(N10&lt;W10,0,IF(N10&gt;X10,0,1)))=0,1)</formula>
    </cfRule>
  </conditionalFormatting>
  <conditionalFormatting sqref="P6">
    <cfRule type="cellIs" dxfId="193" priority="157" operator="greaterThanOrEqual">
      <formula>19</formula>
    </cfRule>
  </conditionalFormatting>
  <dataValidations count="1">
    <dataValidation type="list" allowBlank="1" showInputMessage="1" showErrorMessage="1" sqref="R8" xr:uid="{5617642F-5465-4040-A6E8-0A559BC0D6F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BD59C-9B94-4D63-B3A3-C4E1A66ED3E5}">
  <sheetPr>
    <pageSetUpPr fitToPage="1"/>
  </sheetPr>
  <dimension ref="A1:BE85"/>
  <sheetViews>
    <sheetView tabSelected="1" zoomScale="85" zoomScaleNormal="85" workbookViewId="0">
      <selection activeCell="G16" sqref="G16:G20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49" t="s">
        <v>0</v>
      </c>
      <c r="T1" s="549"/>
      <c r="U1" s="549" t="s">
        <v>1</v>
      </c>
      <c r="V1" s="549"/>
      <c r="W1" s="549" t="s">
        <v>2</v>
      </c>
      <c r="X1" s="549"/>
      <c r="Y1" s="549" t="s">
        <v>124</v>
      </c>
      <c r="Z1" s="549"/>
    </row>
    <row r="2" spans="2:29" ht="15">
      <c r="B2" s="550" t="s">
        <v>3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46302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5"/>
      <c r="D5" s="545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3" t="s">
        <v>17</v>
      </c>
      <c r="C8" s="512" t="s">
        <v>18</v>
      </c>
      <c r="D8" s="512" t="s">
        <v>19</v>
      </c>
      <c r="E8" s="356" t="s">
        <v>20</v>
      </c>
      <c r="F8" s="356" t="s">
        <v>21</v>
      </c>
      <c r="G8" s="512" t="s">
        <v>22</v>
      </c>
      <c r="H8" s="547" t="s">
        <v>144</v>
      </c>
      <c r="I8" s="512" t="s">
        <v>167</v>
      </c>
      <c r="J8" s="538" t="s">
        <v>23</v>
      </c>
      <c r="K8" s="540" t="s">
        <v>142</v>
      </c>
      <c r="L8" s="542" t="s">
        <v>24</v>
      </c>
      <c r="M8" s="359" t="s">
        <v>25</v>
      </c>
      <c r="N8" s="17" t="s">
        <v>166</v>
      </c>
      <c r="O8" s="512" t="s">
        <v>155</v>
      </c>
      <c r="P8" s="544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37"/>
      <c r="D9" s="537"/>
      <c r="E9" s="357" t="s">
        <v>30</v>
      </c>
      <c r="F9" s="357" t="s">
        <v>31</v>
      </c>
      <c r="G9" s="537"/>
      <c r="H9" s="548"/>
      <c r="I9" s="537"/>
      <c r="J9" s="539"/>
      <c r="K9" s="541"/>
      <c r="L9" s="543"/>
      <c r="M9" s="20" t="s">
        <v>32</v>
      </c>
      <c r="N9" s="21" t="s">
        <v>41</v>
      </c>
      <c r="O9" s="537"/>
      <c r="P9" s="537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[3]Brewhouse!$A805</f>
        <v>CA755</v>
      </c>
      <c r="D10" s="279">
        <f>[3]Brewhouse!$AF805</f>
        <v>47</v>
      </c>
      <c r="E10" s="279">
        <f>[3]Brewhouse!$AI805</f>
        <v>48.3</v>
      </c>
      <c r="F10" s="278">
        <f>[3]Brewhouse!$V805</f>
        <v>60</v>
      </c>
      <c r="G10" s="279">
        <f>[3]Brewhouse!AG805</f>
        <v>11.9</v>
      </c>
      <c r="H10" s="396">
        <v>11.8</v>
      </c>
      <c r="I10" s="368">
        <f>[3]Brewhouse!$AU805</f>
        <v>95.450106055673373</v>
      </c>
      <c r="J10" s="368">
        <f>[3]Brewhouse!$AV805</f>
        <v>96.189962817201078</v>
      </c>
      <c r="K10" s="281">
        <f>[3]Brewhouse!$Q805</f>
        <v>0</v>
      </c>
      <c r="L10" s="276">
        <f>[3]Brewhouse!$P805</f>
        <v>60</v>
      </c>
      <c r="M10" s="374">
        <f>[3]Brewhouse!$U805-[3]Brewhouse!$T805</f>
        <v>0.11874999999999999</v>
      </c>
      <c r="N10" s="370">
        <f>[3]Brewhouse!$Z805</f>
        <v>0.26666666666666666</v>
      </c>
      <c r="O10" s="419" t="str">
        <f>[3]Brewhouse!$AX805</f>
        <v>K. Benjamin</v>
      </c>
      <c r="P10" s="417"/>
      <c r="R10" s="277" t="str">
        <f t="shared" ref="R10:R12" si="0">B10</f>
        <v>CARIB</v>
      </c>
      <c r="S10" s="471">
        <f t="shared" ref="S10:S45" si="1">VLOOKUP($B10,$R$3:$X$9,2,FALSE)</f>
        <v>11.6</v>
      </c>
      <c r="T10" s="471">
        <f t="shared" ref="T10:T45" si="2">VLOOKUP($B10,$R$3:$X$9,3,FALSE)</f>
        <v>12</v>
      </c>
      <c r="U10" s="297">
        <f t="shared" ref="U10:U45" si="3">VLOOKUP($B10,$R$3:$X$9,4,FALSE)</f>
        <v>0</v>
      </c>
      <c r="V10" s="297">
        <f t="shared" ref="V10:V45" si="4">VLOOKUP($B10,$R$3:$X$9,5,FALSE)</f>
        <v>0.118055555555556</v>
      </c>
      <c r="W10" s="297">
        <f t="shared" ref="W10:W45" si="5">VLOOKUP($B10,$R$3:$X$9,6,FALSE)</f>
        <v>0.22569444444444445</v>
      </c>
      <c r="X10" s="297">
        <f t="shared" ref="X10:X45" si="6">VLOOKUP($B10,$R$3:$X$9,7,FALSE)</f>
        <v>0.2638888888888889</v>
      </c>
      <c r="Y10" s="297">
        <f t="shared" ref="Y10:Y45" si="7">VLOOKUP($B10,$R$3:$Z$9,8,FALSE)</f>
        <v>0</v>
      </c>
      <c r="Z10" s="471">
        <f t="shared" ref="Z10:Z45" si="8">VLOOKUP($B10,$R$3:$Z$9,9,FALSE)</f>
        <v>60</v>
      </c>
    </row>
    <row r="11" spans="2:29" ht="15" customHeight="1">
      <c r="B11" s="29" t="s">
        <v>6</v>
      </c>
      <c r="C11" s="366" t="str">
        <f>[3]Brewhouse!$A806</f>
        <v>CA756</v>
      </c>
      <c r="D11" s="279">
        <f>[3]Brewhouse!$AF806</f>
        <v>49.9</v>
      </c>
      <c r="E11" s="279">
        <f>[3]Brewhouse!$AI806</f>
        <v>50.4</v>
      </c>
      <c r="F11" s="278">
        <f>[3]Brewhouse!$V806</f>
        <v>63</v>
      </c>
      <c r="G11" s="279">
        <f>[3]Brewhouse!AG806</f>
        <v>11.6</v>
      </c>
      <c r="H11" s="396">
        <v>11.7</v>
      </c>
      <c r="I11" s="368">
        <f>[3]Brewhouse!$AU806</f>
        <v>97.080507112150599</v>
      </c>
      <c r="J11" s="368">
        <f>[3]Brewhouse!$AV806</f>
        <v>97.83295193865905</v>
      </c>
      <c r="K11" s="281">
        <f>[3]Brewhouse!$Q806</f>
        <v>0</v>
      </c>
      <c r="L11" s="276">
        <f>[3]Brewhouse!$P806</f>
        <v>57</v>
      </c>
      <c r="M11" s="374">
        <f>[3]Brewhouse!$U806-[3]Brewhouse!$T806</f>
        <v>0.1111111111111111</v>
      </c>
      <c r="N11" s="370">
        <f>[3]Brewhouse!$Z806</f>
        <v>0.27499999999999997</v>
      </c>
      <c r="O11" s="419" t="str">
        <f>[3]Brewhouse!$AX806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[3]Brewhouse!$A807</f>
        <v>CA757</v>
      </c>
      <c r="D12" s="279">
        <f>[3]Brewhouse!$AF807</f>
        <v>49.9</v>
      </c>
      <c r="E12" s="279">
        <f>[3]Brewhouse!$AI807</f>
        <v>50.4</v>
      </c>
      <c r="F12" s="278">
        <f>[3]Brewhouse!$V807</f>
        <v>61</v>
      </c>
      <c r="G12" s="279">
        <f>[3]Brewhouse!AG807</f>
        <v>11.8</v>
      </c>
      <c r="H12" s="628"/>
      <c r="I12" s="368">
        <f>[3]Brewhouse!$AU807</f>
        <v>98.232795893681612</v>
      </c>
      <c r="J12" s="368">
        <f>[3]Brewhouse!$AV807</f>
        <v>98.994421335445963</v>
      </c>
      <c r="K12" s="281">
        <f>[3]Brewhouse!$Q807</f>
        <v>0</v>
      </c>
      <c r="L12" s="276">
        <f>[3]Brewhouse!$P807</f>
        <v>59</v>
      </c>
      <c r="M12" s="374">
        <f>[3]Brewhouse!$U807-[3]Brewhouse!$T807</f>
        <v>0.10625000000000001</v>
      </c>
      <c r="N12" s="370">
        <f>[3]Brewhouse!$Z807</f>
        <v>0.26388888888888895</v>
      </c>
      <c r="O12" s="419" t="str">
        <f>[3]Brewhouse!$AX807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[3]Brewhouse!$A808</f>
        <v>CA758</v>
      </c>
      <c r="D13" s="279">
        <f>[3]Brewhouse!$AF808</f>
        <v>50.1</v>
      </c>
      <c r="E13" s="279">
        <f>[3]Brewhouse!$AI808</f>
        <v>50.7</v>
      </c>
      <c r="F13" s="278">
        <f>[3]Brewhouse!$V808</f>
        <v>61</v>
      </c>
      <c r="G13" s="279">
        <f>[3]Brewhouse!AG808</f>
        <v>11.6</v>
      </c>
      <c r="H13" s="396">
        <v>11.7</v>
      </c>
      <c r="I13" s="368">
        <f>[3]Brewhouse!$AU808</f>
        <v>97.416435234648446</v>
      </c>
      <c r="J13" s="368">
        <f>[3]Brewhouse!$AV808</f>
        <v>98.171583101883058</v>
      </c>
      <c r="K13" s="281">
        <f>[3]Brewhouse!$Q808</f>
        <v>0</v>
      </c>
      <c r="L13" s="276">
        <f>[3]Brewhouse!$P808</f>
        <v>59</v>
      </c>
      <c r="M13" s="374">
        <f>[3]Brewhouse!$U808-[3]Brewhouse!$T808</f>
        <v>0.11736111111111114</v>
      </c>
      <c r="N13" s="370">
        <f>[3]Brewhouse!$Z808</f>
        <v>0.27847222222222223</v>
      </c>
      <c r="O13" s="419" t="str">
        <f>[3]Brewhouse!$AX808</f>
        <v>D. Gomaz</v>
      </c>
      <c r="P13" s="417"/>
      <c r="R13" s="277" t="str">
        <f t="shared" ref="R13:R30" si="9">B13</f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279"/>
      <c r="H14" s="490"/>
      <c r="I14" s="368"/>
      <c r="J14" s="368"/>
      <c r="K14" s="281"/>
      <c r="L14" s="276"/>
      <c r="M14" s="374"/>
      <c r="N14" s="370"/>
      <c r="O14" s="419"/>
      <c r="P14" s="417"/>
      <c r="R14" s="277">
        <f t="shared" si="9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29"/>
      <c r="C15" s="366"/>
      <c r="D15" s="279"/>
      <c r="E15" s="279"/>
      <c r="F15" s="278"/>
      <c r="G15" s="279"/>
      <c r="H15" s="490"/>
      <c r="I15" s="368"/>
      <c r="J15" s="368"/>
      <c r="K15" s="281"/>
      <c r="L15" s="276"/>
      <c r="M15" s="374"/>
      <c r="N15" s="370"/>
      <c r="O15" s="419"/>
      <c r="P15" s="417"/>
      <c r="R15" s="277">
        <f t="shared" si="9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33" t="s">
        <v>9</v>
      </c>
      <c r="C16" s="366" t="str">
        <f>[4]Brewhouse!$A392</f>
        <v>ST333</v>
      </c>
      <c r="D16" s="279">
        <f>[4]Brewhouse!$AB392</f>
        <v>53.2</v>
      </c>
      <c r="E16" s="279">
        <f>[4]Brewhouse!$AG392</f>
        <v>49.7</v>
      </c>
      <c r="F16" s="278">
        <f>[4]Brewhouse!$V392</f>
        <v>61</v>
      </c>
      <c r="G16" s="279">
        <f>[4]Brewhouse!$AE392</f>
        <v>11.6</v>
      </c>
      <c r="H16" s="396">
        <v>11.6</v>
      </c>
      <c r="I16" s="368">
        <f>[4]Brewhouse!$AS392</f>
        <v>96.764214336728287</v>
      </c>
      <c r="J16" s="368">
        <f>[4]Brewhouse!$AT392</f>
        <v>97.389696666641669</v>
      </c>
      <c r="K16" s="281">
        <f>[4]Brewhouse!$Q392</f>
        <v>11.983082706766917</v>
      </c>
      <c r="L16" s="276">
        <f>[4]Brewhouse!$P392</f>
        <v>58</v>
      </c>
      <c r="M16" s="374">
        <f>[4]Brewhouse!$U392-[4]Brewhouse!$T392</f>
        <v>0.11180555555555549</v>
      </c>
      <c r="N16" s="370">
        <f>[4]Brewhouse!$AW392</f>
        <v>0.27777777777777768</v>
      </c>
      <c r="O16" s="419" t="str">
        <f>[4]Brewhouse!$AV392</f>
        <v>R.Sookram</v>
      </c>
      <c r="P16" s="417"/>
      <c r="R16" s="277" t="str">
        <f t="shared" si="9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33" t="s">
        <v>9</v>
      </c>
      <c r="C17" s="366" t="str">
        <f>[4]Brewhouse!$A393</f>
        <v>ST334</v>
      </c>
      <c r="D17" s="279">
        <f>[4]Brewhouse!$AB393</f>
        <v>53</v>
      </c>
      <c r="E17" s="279">
        <f>[4]Brewhouse!$AG393</f>
        <v>49.7</v>
      </c>
      <c r="F17" s="278">
        <f>[4]Brewhouse!$V393</f>
        <v>61</v>
      </c>
      <c r="G17" s="279">
        <f>[4]Brewhouse!$AE393</f>
        <v>11.9</v>
      </c>
      <c r="H17" s="396">
        <v>11.9</v>
      </c>
      <c r="I17" s="368">
        <f>[4]Brewhouse!$AS393</f>
        <v>98.288600505062334</v>
      </c>
      <c r="J17" s="368">
        <f>[4]Brewhouse!$AT393</f>
        <v>98.925798193130305</v>
      </c>
      <c r="K17" s="281">
        <f>[4]Brewhouse!$Q393</f>
        <v>10.896226415094338</v>
      </c>
      <c r="L17" s="276">
        <f>[4]Brewhouse!$P393</f>
        <v>58</v>
      </c>
      <c r="M17" s="374">
        <f>[4]Brewhouse!$U393-[4]Brewhouse!$T393</f>
        <v>0.11388888888888882</v>
      </c>
      <c r="N17" s="370">
        <f>[4]Brewhouse!$AW393</f>
        <v>0.28263888888888888</v>
      </c>
      <c r="O17" s="419" t="str">
        <f>[4]Brewhouse!$AV393</f>
        <v>R.Sookram</v>
      </c>
      <c r="P17" s="417"/>
      <c r="R17" s="277" t="str">
        <f t="shared" si="9"/>
        <v>STAG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2:26" ht="15" customHeight="1">
      <c r="B18" s="33" t="s">
        <v>9</v>
      </c>
      <c r="C18" s="366" t="str">
        <f>[4]Brewhouse!$A394</f>
        <v>ST335</v>
      </c>
      <c r="D18" s="279">
        <f>[4]Brewhouse!$AB394</f>
        <v>53.1</v>
      </c>
      <c r="E18" s="279">
        <f>[4]Brewhouse!$AG394</f>
        <v>48.7</v>
      </c>
      <c r="F18" s="278">
        <f>[4]Brewhouse!$V394</f>
        <v>55</v>
      </c>
      <c r="G18" s="279">
        <f>[4]Brewhouse!$AE394</f>
        <v>11.8</v>
      </c>
      <c r="H18" s="490">
        <v>12.1</v>
      </c>
      <c r="I18" s="368">
        <f>[4]Brewhouse!$AS394</f>
        <v>97.025470988738689</v>
      </c>
      <c r="J18" s="368">
        <f>[4]Brewhouse!$AT394</f>
        <v>97.651811894321455</v>
      </c>
      <c r="K18" s="281">
        <f>[4]Brewhouse!$Q394</f>
        <v>10.875706214689263</v>
      </c>
      <c r="L18" s="276">
        <f>[4]Brewhouse!$P394</f>
        <v>59</v>
      </c>
      <c r="M18" s="374">
        <f>[4]Brewhouse!$U394-[4]Brewhouse!$T394</f>
        <v>0.11736111111111114</v>
      </c>
      <c r="N18" s="370">
        <f>[4]Brewhouse!$AW394</f>
        <v>0.29236111111111118</v>
      </c>
      <c r="O18" s="419" t="str">
        <f>[4]Brewhouse!$AV394</f>
        <v>R.Sookram</v>
      </c>
      <c r="P18" s="417"/>
      <c r="R18" s="277" t="str">
        <f t="shared" si="9"/>
        <v>STAG</v>
      </c>
      <c r="S18" s="471">
        <f t="shared" si="1"/>
        <v>11.6</v>
      </c>
      <c r="T18" s="471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1">
        <f t="shared" si="8"/>
        <v>60</v>
      </c>
    </row>
    <row r="19" spans="2:26" ht="15" customHeight="1">
      <c r="B19" s="33" t="s">
        <v>9</v>
      </c>
      <c r="C19" s="366" t="str">
        <f>[4]Brewhouse!$A395</f>
        <v>ST336</v>
      </c>
      <c r="D19" s="279">
        <f>[4]Brewhouse!$AB395</f>
        <v>53</v>
      </c>
      <c r="E19" s="279">
        <f>[4]Brewhouse!$AG395</f>
        <v>49.2</v>
      </c>
      <c r="F19" s="278">
        <f>[4]Brewhouse!$V395</f>
        <v>59</v>
      </c>
      <c r="G19" s="279">
        <f>[4]Brewhouse!$AE395</f>
        <v>11.8</v>
      </c>
      <c r="H19" s="490">
        <v>12.1</v>
      </c>
      <c r="I19" s="368">
        <f>[4]Brewhouse!$AS395</f>
        <v>97.898131022692681</v>
      </c>
      <c r="J19" s="368">
        <f>[4]Brewhouse!$AT395</f>
        <v>98.530315524604035</v>
      </c>
      <c r="K19" s="281">
        <f>[4]Brewhouse!$Q395</f>
        <v>9.3867924528301909</v>
      </c>
      <c r="L19" s="276">
        <f>[4]Brewhouse!$P395</f>
        <v>60</v>
      </c>
      <c r="M19" s="374">
        <f>[4]Brewhouse!$U395-[4]Brewhouse!$T395</f>
        <v>0.11458333333333326</v>
      </c>
      <c r="N19" s="370">
        <f>[4]Brewhouse!$AW395</f>
        <v>0.28749999999999998</v>
      </c>
      <c r="O19" s="419" t="str">
        <f>[4]Brewhouse!$AV395</f>
        <v>R.Sookram</v>
      </c>
      <c r="P19" s="417"/>
      <c r="R19" s="277" t="str">
        <f t="shared" si="9"/>
        <v>STAG</v>
      </c>
      <c r="S19" s="471">
        <f t="shared" si="1"/>
        <v>11.6</v>
      </c>
      <c r="T19" s="471">
        <f t="shared" si="2"/>
        <v>12</v>
      </c>
      <c r="U19" s="297">
        <f t="shared" si="3"/>
        <v>0</v>
      </c>
      <c r="V19" s="297">
        <f t="shared" si="4"/>
        <v>0.118055555555556</v>
      </c>
      <c r="W19" s="297">
        <f t="shared" si="5"/>
        <v>0.22569444444444445</v>
      </c>
      <c r="X19" s="297">
        <f t="shared" si="6"/>
        <v>0.2638888888888889</v>
      </c>
      <c r="Y19" s="297">
        <f t="shared" si="7"/>
        <v>0</v>
      </c>
      <c r="Z19" s="471">
        <f t="shared" si="8"/>
        <v>60</v>
      </c>
    </row>
    <row r="20" spans="2:26" ht="15" customHeight="1">
      <c r="B20" s="33" t="s">
        <v>9</v>
      </c>
      <c r="C20" s="366" t="str">
        <f>[4]Brewhouse!$A396</f>
        <v>ST337</v>
      </c>
      <c r="D20" s="279">
        <f>[4]Brewhouse!$AB396</f>
        <v>53</v>
      </c>
      <c r="E20" s="279">
        <f>[4]Brewhouse!$AG396</f>
        <v>49.1</v>
      </c>
      <c r="F20" s="278">
        <f>[4]Brewhouse!$V396</f>
        <v>59</v>
      </c>
      <c r="G20" s="279">
        <f>[4]Brewhouse!$AE396</f>
        <v>11.7</v>
      </c>
      <c r="H20" s="490">
        <v>12.1</v>
      </c>
      <c r="I20" s="368">
        <f>[4]Brewhouse!$AS396</f>
        <v>96.950396118265601</v>
      </c>
      <c r="J20" s="368">
        <f>[4]Brewhouse!$AT396</f>
        <v>97.57625238345571</v>
      </c>
      <c r="K20" s="281">
        <f>[4]Brewhouse!$Q396</f>
        <v>9.3867924528301909</v>
      </c>
      <c r="L20" s="276">
        <f>[4]Brewhouse!$P396</f>
        <v>60</v>
      </c>
      <c r="M20" s="374">
        <f>[4]Brewhouse!$U396-[4]Brewhouse!$T396</f>
        <v>0.13750000000000018</v>
      </c>
      <c r="N20" s="370">
        <f>[4]Brewhouse!$AW396</f>
        <v>0.30208333333333348</v>
      </c>
      <c r="O20" s="419" t="str">
        <f>[4]Brewhouse!$AV396</f>
        <v>R.Sookram</v>
      </c>
      <c r="P20" s="417"/>
      <c r="R20" s="277" t="str">
        <f t="shared" si="9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2:26" ht="15" customHeight="1">
      <c r="B21" s="33"/>
      <c r="C21" s="366"/>
      <c r="D21" s="279"/>
      <c r="E21" s="279"/>
      <c r="F21" s="278"/>
      <c r="G21" s="279"/>
      <c r="H21" s="490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2:26" ht="15" customHeight="1">
      <c r="B22" s="29"/>
      <c r="C22" s="366"/>
      <c r="D22" s="279"/>
      <c r="E22" s="279"/>
      <c r="F22" s="278"/>
      <c r="G22" s="279"/>
      <c r="H22" s="490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2:26" ht="15" customHeight="1">
      <c r="B23" s="29"/>
      <c r="C23" s="366"/>
      <c r="D23" s="279"/>
      <c r="E23" s="279"/>
      <c r="F23" s="278"/>
      <c r="G23" s="279"/>
      <c r="H23" s="490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2:26" ht="15" hidden="1" customHeight="1">
      <c r="B24" s="29"/>
      <c r="C24" s="366"/>
      <c r="D24" s="279"/>
      <c r="E24" s="279"/>
      <c r="F24" s="278"/>
      <c r="G24" s="279"/>
      <c r="H24" s="490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2:26" ht="15" hidden="1" customHeight="1">
      <c r="B25" s="29"/>
      <c r="C25" s="366"/>
      <c r="D25" s="279"/>
      <c r="E25" s="279"/>
      <c r="F25" s="278"/>
      <c r="G25" s="279"/>
      <c r="H25" s="396"/>
      <c r="I25" s="368"/>
      <c r="J25" s="368"/>
      <c r="K25" s="281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2:26" ht="15" hidden="1" customHeight="1">
      <c r="B26" s="29"/>
      <c r="C26" s="366"/>
      <c r="D26" s="279"/>
      <c r="E26" s="279"/>
      <c r="F26" s="278"/>
      <c r="G26" s="279"/>
      <c r="H26" s="396"/>
      <c r="I26" s="368"/>
      <c r="J26" s="368"/>
      <c r="K26" s="281"/>
      <c r="L26" s="276"/>
      <c r="M26" s="374"/>
      <c r="N26" s="370"/>
      <c r="O26" s="419"/>
      <c r="P26" s="417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2:26" ht="15" hidden="1" customHeight="1">
      <c r="B27" s="33"/>
      <c r="C27" s="366"/>
      <c r="D27" s="279"/>
      <c r="E27" s="279"/>
      <c r="F27" s="278"/>
      <c r="G27" s="279"/>
      <c r="H27" s="396"/>
      <c r="I27" s="368"/>
      <c r="J27" s="368"/>
      <c r="K27" s="281"/>
      <c r="L27" s="276"/>
      <c r="M27" s="374"/>
      <c r="N27" s="370"/>
      <c r="O27" s="419"/>
      <c r="P27" s="417"/>
      <c r="R27" s="277">
        <f t="shared" si="9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2:26" ht="15" hidden="1" customHeight="1">
      <c r="B28" s="33"/>
      <c r="C28" s="366"/>
      <c r="D28" s="279"/>
      <c r="E28" s="279"/>
      <c r="F28" s="278"/>
      <c r="G28" s="279"/>
      <c r="H28" s="396"/>
      <c r="I28" s="368"/>
      <c r="J28" s="368"/>
      <c r="K28" s="281"/>
      <c r="L28" s="276"/>
      <c r="M28" s="374"/>
      <c r="N28" s="370"/>
      <c r="O28" s="419"/>
      <c r="P28" s="417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hidden="1" customHeight="1">
      <c r="B29" s="33"/>
      <c r="C29" s="366"/>
      <c r="D29" s="279"/>
      <c r="E29" s="279"/>
      <c r="F29" s="278"/>
      <c r="G29" s="279"/>
      <c r="H29" s="396"/>
      <c r="I29" s="368"/>
      <c r="J29" s="368"/>
      <c r="K29" s="281"/>
      <c r="L29" s="276"/>
      <c r="M29" s="374"/>
      <c r="N29" s="370"/>
      <c r="O29" s="419"/>
      <c r="P29" s="417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2:26" ht="15" hidden="1" customHeight="1">
      <c r="B30" s="29"/>
      <c r="C30" s="366"/>
      <c r="D30" s="279"/>
      <c r="E30" s="279"/>
      <c r="F30" s="278"/>
      <c r="G30" s="279"/>
      <c r="H30" s="396"/>
      <c r="I30" s="368"/>
      <c r="J30" s="368"/>
      <c r="K30" s="281"/>
      <c r="L30" s="276"/>
      <c r="M30" s="374"/>
      <c r="N30" s="370"/>
      <c r="O30" s="419"/>
      <c r="P30" s="417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2:26" ht="15" hidden="1" customHeight="1">
      <c r="B31" s="36"/>
      <c r="C31" s="366"/>
      <c r="D31" s="279"/>
      <c r="E31" s="279"/>
      <c r="F31" s="278"/>
      <c r="G31" s="279"/>
      <c r="H31" s="396"/>
      <c r="I31" s="487"/>
      <c r="J31" s="487"/>
      <c r="K31" s="488"/>
      <c r="L31" s="276"/>
      <c r="M31" s="374"/>
      <c r="N31" s="370"/>
      <c r="O31" s="419"/>
      <c r="P31" s="417"/>
      <c r="R31" s="277">
        <f t="shared" ref="R31:R45" si="10">B31</f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2:26" ht="17.25" customHeight="1" thickBot="1">
      <c r="B32" s="358"/>
      <c r="C32" s="358"/>
      <c r="D32" s="358"/>
      <c r="E32" s="358"/>
      <c r="F32" s="294"/>
      <c r="G32" s="294"/>
      <c r="H32" s="348"/>
      <c r="I32" s="531"/>
      <c r="J32" s="531"/>
      <c r="K32" s="531"/>
      <c r="L32" s="531"/>
      <c r="M32" s="531"/>
      <c r="N32" s="531"/>
      <c r="O32" s="1"/>
      <c r="P32" s="12"/>
      <c r="R32" s="277">
        <f t="shared" si="1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27" ht="17.25" customHeight="1" thickBot="1">
      <c r="B33" s="482" t="s">
        <v>162</v>
      </c>
      <c r="C33" s="388"/>
      <c r="D33" s="532" t="s">
        <v>35</v>
      </c>
      <c r="E33" s="533"/>
      <c r="F33" s="294"/>
      <c r="G33" s="294"/>
      <c r="H33" s="348"/>
      <c r="I33" s="24" t="s">
        <v>17</v>
      </c>
      <c r="J33" s="25"/>
      <c r="K33" s="26" t="s">
        <v>138</v>
      </c>
      <c r="L33" s="25" t="s">
        <v>37</v>
      </c>
      <c r="M33" s="25" t="s">
        <v>38</v>
      </c>
      <c r="N33" s="27" t="s">
        <v>39</v>
      </c>
      <c r="O33" s="294"/>
      <c r="P33" s="12"/>
      <c r="R33" s="277" t="str">
        <f t="shared" si="10"/>
        <v xml:space="preserve">BRAND 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27" ht="17.25" customHeight="1">
      <c r="A34" s="28"/>
      <c r="B34" s="534"/>
      <c r="C34" s="483"/>
      <c r="D34" s="519"/>
      <c r="E34" s="520"/>
      <c r="F34" s="294"/>
      <c r="G34" s="294"/>
      <c r="H34" s="348"/>
      <c r="I34" s="29" t="s">
        <v>6</v>
      </c>
      <c r="J34" s="323">
        <f>AVERAGE(I10:I13)</f>
        <v>97.044961074038497</v>
      </c>
      <c r="K34" s="284">
        <f>COUNTA([3]Brewhouse!$A$789:$A$808)</f>
        <v>20</v>
      </c>
      <c r="L34" s="305">
        <f>AVERAGE([3]Brewhouse!$AU$789:$AU$808)</f>
        <v>97.611904307726164</v>
      </c>
      <c r="M34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$808)</f>
        <v>98.312151554166633</v>
      </c>
      <c r="N34" s="30">
        <v>98</v>
      </c>
      <c r="O34" s="11"/>
      <c r="P34" s="31"/>
      <c r="R34" s="277">
        <f t="shared" si="1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</row>
    <row r="35" spans="1:27" ht="15" customHeight="1">
      <c r="A35" s="28"/>
      <c r="B35" s="535"/>
      <c r="C35" s="362"/>
      <c r="D35" s="521"/>
      <c r="E35" s="522"/>
      <c r="F35" s="294"/>
      <c r="G35" s="294"/>
      <c r="H35" s="348"/>
      <c r="I35" s="33" t="s">
        <v>9</v>
      </c>
      <c r="J35" s="323">
        <f>AVERAGE(I16:I20)</f>
        <v>97.385362594297504</v>
      </c>
      <c r="K35" s="284">
        <f>COUNTA([4]Brewhouse!$A$390:$A$396)</f>
        <v>7</v>
      </c>
      <c r="L35" s="302">
        <f>AVERAGE([4]Brewhouse!$AS$390:$AS$396)</f>
        <v>97.862957873137887</v>
      </c>
      <c r="M35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$396)</f>
        <v>98.300965311584662</v>
      </c>
      <c r="N35" s="30">
        <v>98</v>
      </c>
      <c r="O35" s="11"/>
      <c r="P35" s="31"/>
      <c r="R35" s="277">
        <f t="shared" si="1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</row>
    <row r="36" spans="1:27" ht="14.65" customHeight="1">
      <c r="A36" s="28"/>
      <c r="B36" s="535"/>
      <c r="C36" s="362"/>
      <c r="D36" s="526"/>
      <c r="E36" s="527"/>
      <c r="F36" s="294"/>
      <c r="G36" s="294"/>
      <c r="H36" s="348"/>
      <c r="I36" s="34" t="s">
        <v>12</v>
      </c>
      <c r="J36" s="323"/>
      <c r="K36" s="284"/>
      <c r="L36" s="302"/>
      <c r="M36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6" s="30">
        <v>98</v>
      </c>
      <c r="O36" s="11"/>
      <c r="P36" s="31"/>
      <c r="R36" s="277">
        <f t="shared" si="1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</row>
    <row r="37" spans="1:27" ht="14.65" customHeight="1">
      <c r="A37" s="28"/>
      <c r="B37" s="535"/>
      <c r="C37" s="362"/>
      <c r="D37" s="528"/>
      <c r="E37" s="522"/>
      <c r="F37" s="294"/>
      <c r="G37" s="294"/>
      <c r="H37" s="348"/>
      <c r="I37" s="22" t="s">
        <v>33</v>
      </c>
      <c r="J37" s="280"/>
      <c r="K37" s="284"/>
      <c r="L37" s="302"/>
      <c r="M37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7" s="30">
        <v>98</v>
      </c>
      <c r="O37" s="11"/>
      <c r="P37" s="31"/>
      <c r="R37" s="277">
        <f t="shared" si="1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</row>
    <row r="38" spans="1:27" ht="14.65" customHeight="1">
      <c r="A38" s="28"/>
      <c r="B38" s="535"/>
      <c r="C38" s="362"/>
      <c r="D38" s="526"/>
      <c r="E38" s="527"/>
      <c r="F38" s="294"/>
      <c r="G38" s="294"/>
      <c r="H38" s="348"/>
      <c r="I38" s="35" t="s">
        <v>29</v>
      </c>
      <c r="J38" s="280"/>
      <c r="K38" s="284"/>
      <c r="L38" s="302"/>
      <c r="M38" s="302"/>
      <c r="N38" s="30">
        <v>98</v>
      </c>
      <c r="O38" s="11"/>
      <c r="P38" s="31"/>
      <c r="R38" s="277">
        <f t="shared" si="10"/>
        <v>0</v>
      </c>
      <c r="S38" s="471" t="e">
        <f t="shared" si="1"/>
        <v>#N/A</v>
      </c>
      <c r="T38" s="471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1" t="e">
        <f t="shared" si="8"/>
        <v>#N/A</v>
      </c>
    </row>
    <row r="39" spans="1:27" ht="14.65" customHeight="1">
      <c r="A39" s="28"/>
      <c r="B39" s="535"/>
      <c r="C39" s="362"/>
      <c r="D39" s="528"/>
      <c r="E39" s="522"/>
      <c r="F39" s="416"/>
      <c r="G39" s="294"/>
      <c r="H39" s="348"/>
      <c r="I39" s="36" t="s">
        <v>15</v>
      </c>
      <c r="J39" s="323"/>
      <c r="K39" s="284"/>
      <c r="L39" s="302"/>
      <c r="M39" s="302">
        <f>AVERAGE([7]Brewhouse!$AT$4:$AT$11,[7]Brewhouse!$AT$13:$AT$16,[7]Brewhouse!$AT$18:$AT$30)</f>
        <v>93.22262799886262</v>
      </c>
      <c r="N39" s="30">
        <v>98</v>
      </c>
      <c r="O39" s="11"/>
      <c r="P39" s="31"/>
      <c r="R39" s="277">
        <f t="shared" si="10"/>
        <v>0</v>
      </c>
      <c r="S39" s="471" t="e">
        <f t="shared" si="1"/>
        <v>#N/A</v>
      </c>
      <c r="T39" s="471" t="e">
        <f t="shared" si="2"/>
        <v>#N/A</v>
      </c>
      <c r="U39" s="297" t="e">
        <f t="shared" si="3"/>
        <v>#N/A</v>
      </c>
      <c r="V39" s="297" t="e">
        <f t="shared" si="4"/>
        <v>#N/A</v>
      </c>
      <c r="W39" s="297" t="e">
        <f t="shared" si="5"/>
        <v>#N/A</v>
      </c>
      <c r="X39" s="297" t="e">
        <f t="shared" si="6"/>
        <v>#N/A</v>
      </c>
      <c r="Y39" s="297" t="e">
        <f t="shared" si="7"/>
        <v>#N/A</v>
      </c>
      <c r="Z39" s="471" t="e">
        <f t="shared" si="8"/>
        <v>#N/A</v>
      </c>
    </row>
    <row r="40" spans="1:27" ht="14.65" customHeight="1">
      <c r="A40" s="28"/>
      <c r="B40" s="535"/>
      <c r="C40" s="362"/>
      <c r="D40" s="526"/>
      <c r="E40" s="527"/>
      <c r="F40" s="416"/>
      <c r="G40" s="294"/>
      <c r="H40" s="348"/>
      <c r="I40" s="37" t="s">
        <v>16</v>
      </c>
      <c r="J40" s="323"/>
      <c r="K40" s="284"/>
      <c r="L40" s="302"/>
      <c r="M40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40" s="30">
        <v>98</v>
      </c>
      <c r="O40" s="11"/>
      <c r="P40" s="31" t="s">
        <v>41</v>
      </c>
      <c r="R40" s="277">
        <f t="shared" si="10"/>
        <v>0</v>
      </c>
      <c r="S40" s="471" t="e">
        <f t="shared" si="1"/>
        <v>#N/A</v>
      </c>
      <c r="T40" s="471" t="e">
        <f t="shared" si="2"/>
        <v>#N/A</v>
      </c>
      <c r="U40" s="297" t="e">
        <f t="shared" si="3"/>
        <v>#N/A</v>
      </c>
      <c r="V40" s="297" t="e">
        <f t="shared" si="4"/>
        <v>#N/A</v>
      </c>
      <c r="W40" s="297" t="e">
        <f t="shared" si="5"/>
        <v>#N/A</v>
      </c>
      <c r="X40" s="297" t="e">
        <f t="shared" si="6"/>
        <v>#N/A</v>
      </c>
      <c r="Y40" s="297" t="e">
        <f t="shared" si="7"/>
        <v>#N/A</v>
      </c>
      <c r="Z40" s="471" t="e">
        <f t="shared" si="8"/>
        <v>#N/A</v>
      </c>
    </row>
    <row r="41" spans="1:27" ht="14.65" customHeight="1">
      <c r="A41" s="28"/>
      <c r="B41" s="535"/>
      <c r="C41" s="362"/>
      <c r="D41" s="528"/>
      <c r="E41" s="522"/>
      <c r="F41" s="294"/>
      <c r="G41" s="294"/>
      <c r="H41" s="348"/>
      <c r="I41" s="410" t="s">
        <v>158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"/>
        <v>#N/A</v>
      </c>
      <c r="T41" s="471" t="e">
        <f t="shared" si="2"/>
        <v>#N/A</v>
      </c>
      <c r="U41" s="297" t="e">
        <f t="shared" si="3"/>
        <v>#N/A</v>
      </c>
      <c r="V41" s="297" t="e">
        <f t="shared" si="4"/>
        <v>#N/A</v>
      </c>
      <c r="W41" s="297" t="e">
        <f t="shared" si="5"/>
        <v>#N/A</v>
      </c>
      <c r="X41" s="297" t="e">
        <f t="shared" si="6"/>
        <v>#N/A</v>
      </c>
      <c r="Y41" s="297" t="e">
        <f t="shared" si="7"/>
        <v>#N/A</v>
      </c>
      <c r="Z41" s="471" t="e">
        <f t="shared" si="8"/>
        <v>#N/A</v>
      </c>
    </row>
    <row r="42" spans="1:27" ht="14.65" customHeight="1">
      <c r="A42" s="28"/>
      <c r="B42" s="535"/>
      <c r="C42" s="362"/>
      <c r="D42" s="526"/>
      <c r="E42" s="527"/>
      <c r="F42" s="294"/>
      <c r="G42" s="294"/>
      <c r="H42" s="348"/>
      <c r="I42" s="409" t="s">
        <v>157</v>
      </c>
      <c r="J42" s="326"/>
      <c r="K42" s="284"/>
      <c r="L42" s="305"/>
      <c r="M42" s="305"/>
      <c r="N42" s="30">
        <v>98</v>
      </c>
      <c r="O42" s="11"/>
      <c r="P42" s="31"/>
      <c r="R42" s="277">
        <f t="shared" si="10"/>
        <v>0</v>
      </c>
      <c r="S42" s="471" t="e">
        <f t="shared" si="1"/>
        <v>#N/A</v>
      </c>
      <c r="T42" s="471" t="e">
        <f t="shared" si="2"/>
        <v>#N/A</v>
      </c>
      <c r="U42" s="297" t="e">
        <f t="shared" si="3"/>
        <v>#N/A</v>
      </c>
      <c r="V42" s="297" t="e">
        <f t="shared" si="4"/>
        <v>#N/A</v>
      </c>
      <c r="W42" s="297" t="e">
        <f t="shared" si="5"/>
        <v>#N/A</v>
      </c>
      <c r="X42" s="297" t="e">
        <f t="shared" si="6"/>
        <v>#N/A</v>
      </c>
      <c r="Y42" s="297" t="e">
        <f t="shared" si="7"/>
        <v>#N/A</v>
      </c>
      <c r="Z42" s="471" t="e">
        <f t="shared" si="8"/>
        <v>#N/A</v>
      </c>
      <c r="AA42" s="471"/>
    </row>
    <row r="43" spans="1:27" ht="15" customHeight="1" thickBot="1">
      <c r="A43" s="28"/>
      <c r="B43" s="535"/>
      <c r="C43" s="362"/>
      <c r="D43" s="528"/>
      <c r="E43" s="522"/>
      <c r="F43" s="294"/>
      <c r="G43" s="294"/>
      <c r="H43" s="348"/>
      <c r="I43" s="405" t="s">
        <v>156</v>
      </c>
      <c r="J43" s="327"/>
      <c r="K43" s="406"/>
      <c r="L43" s="407"/>
      <c r="M43" s="407"/>
      <c r="N43" s="408">
        <v>98</v>
      </c>
      <c r="O43" s="11"/>
      <c r="P43" s="31"/>
      <c r="R43" s="277">
        <f t="shared" si="10"/>
        <v>0</v>
      </c>
      <c r="S43" s="471" t="e">
        <f t="shared" si="1"/>
        <v>#N/A</v>
      </c>
      <c r="T43" s="471" t="e">
        <f t="shared" si="2"/>
        <v>#N/A</v>
      </c>
      <c r="U43" s="297" t="e">
        <f t="shared" si="3"/>
        <v>#N/A</v>
      </c>
      <c r="V43" s="297" t="e">
        <f t="shared" si="4"/>
        <v>#N/A</v>
      </c>
      <c r="W43" s="297" t="e">
        <f t="shared" si="5"/>
        <v>#N/A</v>
      </c>
      <c r="X43" s="297" t="e">
        <f t="shared" si="6"/>
        <v>#N/A</v>
      </c>
      <c r="Y43" s="297" t="e">
        <f t="shared" si="7"/>
        <v>#N/A</v>
      </c>
      <c r="Z43" s="471" t="e">
        <f t="shared" si="8"/>
        <v>#N/A</v>
      </c>
      <c r="AA43" s="471"/>
    </row>
    <row r="44" spans="1:27" ht="15" customHeight="1" thickBot="1">
      <c r="A44" s="28"/>
      <c r="B44" s="535"/>
      <c r="C44" s="349"/>
      <c r="D44" s="519"/>
      <c r="E44" s="520"/>
      <c r="F44" s="294"/>
      <c r="G44" s="294"/>
      <c r="H44" s="348"/>
      <c r="I44" s="1"/>
      <c r="J44" s="39"/>
      <c r="K44" s="403">
        <f>SUM(K34:K43)</f>
        <v>27</v>
      </c>
      <c r="L44" s="404">
        <f>((L34*K34)+(L35*K35)+(L36*K36)+(L37*K37)+(L38*K38)+(K41*L41)+(L39*K39)+(L40*K40)+(L43*K43))/(K44)</f>
        <v>97.676992269129201</v>
      </c>
      <c r="M44" s="404">
        <f>AVERAGE('[9]Jan30th-31st'!$L$42,'[10]Feb 27th-28th'!$L$45,'[11]Mar 31st'!$L$42,'[12]Apr 30th'!$L$41,'[13]May 29th '!$L$35,'[14]June 30th'!$L$32,[15]July31st!$L$36,'[16]Aug 31st'!$L$32,L44)</f>
        <v>97.945101277533595</v>
      </c>
      <c r="N44" s="40">
        <v>98</v>
      </c>
      <c r="O44" s="11"/>
      <c r="P44" s="31"/>
      <c r="R44" s="277">
        <f t="shared" si="10"/>
        <v>0</v>
      </c>
      <c r="S44" s="471" t="e">
        <f t="shared" si="1"/>
        <v>#N/A</v>
      </c>
      <c r="T44" s="471" t="e">
        <f t="shared" si="2"/>
        <v>#N/A</v>
      </c>
      <c r="U44" s="297" t="e">
        <f t="shared" si="3"/>
        <v>#N/A</v>
      </c>
      <c r="V44" s="297" t="e">
        <f t="shared" si="4"/>
        <v>#N/A</v>
      </c>
      <c r="W44" s="297" t="e">
        <f t="shared" si="5"/>
        <v>#N/A</v>
      </c>
      <c r="X44" s="297" t="e">
        <f t="shared" si="6"/>
        <v>#N/A</v>
      </c>
      <c r="Y44" s="297" t="e">
        <f t="shared" si="7"/>
        <v>#N/A</v>
      </c>
      <c r="Z44" s="471" t="e">
        <f t="shared" si="8"/>
        <v>#N/A</v>
      </c>
      <c r="AA44" s="471"/>
    </row>
    <row r="45" spans="1:27" ht="15.75" thickBot="1">
      <c r="B45" s="536"/>
      <c r="C45" s="350"/>
      <c r="D45" s="521"/>
      <c r="E45" s="522"/>
      <c r="F45" s="294"/>
      <c r="G45" s="42"/>
      <c r="H45" s="41"/>
      <c r="I45" s="42"/>
      <c r="J45" s="42"/>
      <c r="K45" s="351"/>
      <c r="L45" s="348"/>
      <c r="M45" s="348"/>
      <c r="N45" s="11"/>
      <c r="O45" s="294"/>
      <c r="P45" s="12"/>
      <c r="R45" s="277">
        <f t="shared" si="10"/>
        <v>0</v>
      </c>
      <c r="S45" s="471" t="e">
        <f t="shared" si="1"/>
        <v>#N/A</v>
      </c>
      <c r="T45" s="471" t="e">
        <f t="shared" si="2"/>
        <v>#N/A</v>
      </c>
      <c r="U45" s="297" t="e">
        <f t="shared" si="3"/>
        <v>#N/A</v>
      </c>
      <c r="V45" s="297" t="e">
        <f t="shared" si="4"/>
        <v>#N/A</v>
      </c>
      <c r="W45" s="297" t="e">
        <f t="shared" si="5"/>
        <v>#N/A</v>
      </c>
      <c r="X45" s="297" t="e">
        <f t="shared" si="6"/>
        <v>#N/A</v>
      </c>
      <c r="Y45" s="297" t="e">
        <f t="shared" si="7"/>
        <v>#N/A</v>
      </c>
      <c r="Z45" s="471" t="e">
        <f t="shared" si="8"/>
        <v>#N/A</v>
      </c>
      <c r="AA45" s="471"/>
    </row>
    <row r="46" spans="1:27" ht="15.75" thickBot="1">
      <c r="B46" s="516"/>
      <c r="C46" s="362"/>
      <c r="D46" s="519"/>
      <c r="E46" s="520"/>
      <c r="F46" s="294"/>
      <c r="G46" s="42"/>
      <c r="H46" s="41"/>
      <c r="I46" s="42"/>
      <c r="J46" s="523" t="s">
        <v>129</v>
      </c>
      <c r="K46" s="523"/>
      <c r="L46" s="294"/>
      <c r="M46" s="294"/>
      <c r="N46" s="294"/>
      <c r="O46" s="294"/>
      <c r="P46" s="12"/>
    </row>
    <row r="47" spans="1:27" ht="15.75" thickBot="1">
      <c r="B47" s="517"/>
      <c r="C47" s="362"/>
      <c r="D47" s="521"/>
      <c r="E47" s="522"/>
      <c r="F47" s="294"/>
      <c r="G47" s="42"/>
      <c r="H47" s="42"/>
      <c r="I47" s="42"/>
      <c r="J47" s="292" t="s">
        <v>17</v>
      </c>
      <c r="K47" s="293"/>
      <c r="L47" s="524" t="s">
        <v>136</v>
      </c>
      <c r="M47" s="524"/>
      <c r="N47" s="525"/>
      <c r="O47" s="294"/>
      <c r="P47" s="12"/>
    </row>
    <row r="48" spans="1:27" ht="15" customHeight="1" thickBot="1">
      <c r="B48" s="517"/>
      <c r="C48" s="349"/>
      <c r="D48" s="526"/>
      <c r="E48" s="527"/>
      <c r="F48" s="294"/>
      <c r="G48" s="42"/>
      <c r="H48" s="42"/>
      <c r="I48" s="42"/>
      <c r="J48" s="287" t="s">
        <v>6</v>
      </c>
      <c r="K48" s="324">
        <v>4</v>
      </c>
      <c r="L48" s="472" t="s">
        <v>37</v>
      </c>
      <c r="M48" s="473" t="s">
        <v>38</v>
      </c>
      <c r="N48" s="473" t="s">
        <v>84</v>
      </c>
      <c r="O48" s="294"/>
      <c r="P48" s="12"/>
    </row>
    <row r="49" spans="2:57" ht="15.75" customHeight="1" thickBot="1">
      <c r="B49" s="517"/>
      <c r="C49" s="349"/>
      <c r="D49" s="528"/>
      <c r="E49" s="522"/>
      <c r="F49" s="294"/>
      <c r="G49" s="42"/>
      <c r="H49" s="42"/>
      <c r="I49" s="42"/>
      <c r="J49" s="345" t="s">
        <v>9</v>
      </c>
      <c r="K49" s="324">
        <v>5</v>
      </c>
      <c r="L49" s="484">
        <f>AVERAGE('Oct 1st'!K52,'Oct 2nd'!K44,'Oct 5th'!K51,K58)</f>
        <v>6.75</v>
      </c>
      <c r="M49" s="485">
        <f>AVERAGE('[9]Jan30th-31st'!$L$47,L49,'[10]Feb 26th '!$L$39,'[11]Mar 31st'!$L$47,'[12]Apr 30th'!$L$46,'[13]May 29th '!$L$40,'[14]June 30th'!$L$39,[15]July31st!$L$41,'[16]Aug 31st'!$L$37,'[17]Sept 30th'!$L$37)</f>
        <v>6.5485341470124068</v>
      </c>
      <c r="N49" s="415">
        <v>9.1999999999999993</v>
      </c>
      <c r="O49" s="294"/>
      <c r="P49" s="12"/>
    </row>
    <row r="50" spans="2:57" ht="15" customHeight="1">
      <c r="B50" s="517"/>
      <c r="C50" s="349"/>
      <c r="D50" s="526"/>
      <c r="E50" s="527"/>
      <c r="F50" s="294"/>
      <c r="G50" s="42"/>
      <c r="H50" s="42"/>
      <c r="I50" s="42"/>
      <c r="J50" s="288" t="s">
        <v>40</v>
      </c>
      <c r="K50" s="324"/>
      <c r="L50" s="294"/>
      <c r="M50" s="294"/>
      <c r="N50" s="294"/>
      <c r="O50" s="294"/>
      <c r="P50" s="12"/>
    </row>
    <row r="51" spans="2:57" ht="15" customHeight="1">
      <c r="B51" s="517"/>
      <c r="C51" s="349"/>
      <c r="D51" s="528"/>
      <c r="E51" s="522"/>
      <c r="F51" s="294"/>
      <c r="G51" s="42"/>
      <c r="H51" s="42"/>
      <c r="I51" s="42"/>
      <c r="J51" s="289" t="s">
        <v>33</v>
      </c>
      <c r="K51" s="324"/>
      <c r="L51" s="294"/>
      <c r="M51" s="294"/>
      <c r="N51" s="294"/>
      <c r="O51" s="294"/>
      <c r="P51" s="12"/>
    </row>
    <row r="52" spans="2:57" ht="15">
      <c r="B52" s="517"/>
      <c r="C52" s="349"/>
      <c r="D52" s="526"/>
      <c r="E52" s="527"/>
      <c r="F52" s="294"/>
      <c r="G52" s="42"/>
      <c r="H52" s="42"/>
      <c r="I52" s="42"/>
      <c r="J52" s="290" t="s">
        <v>16</v>
      </c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517"/>
      <c r="C53" s="349"/>
      <c r="D53" s="528"/>
      <c r="E53" s="522"/>
      <c r="F53" s="294"/>
      <c r="G53" s="42"/>
      <c r="H53" s="42"/>
      <c r="I53" s="42"/>
      <c r="J53" s="291" t="s">
        <v>15</v>
      </c>
      <c r="K53" s="324"/>
      <c r="L53" s="294"/>
      <c r="M53" s="294"/>
      <c r="N53" s="294"/>
      <c r="O53" s="294"/>
      <c r="P53" s="12"/>
      <c r="BC53" s="44"/>
      <c r="BD53" s="44"/>
    </row>
    <row r="54" spans="2:57" ht="15">
      <c r="B54" s="517"/>
      <c r="C54" s="349"/>
      <c r="D54" s="526"/>
      <c r="E54" s="527"/>
      <c r="F54" s="294"/>
      <c r="G54" s="42"/>
      <c r="H54" s="42"/>
      <c r="I54" s="42"/>
      <c r="J54" s="291" t="s">
        <v>149</v>
      </c>
      <c r="K54" s="324"/>
      <c r="L54" s="294"/>
      <c r="M54" s="294"/>
      <c r="N54" s="294"/>
      <c r="O54" s="294"/>
      <c r="P54" s="12"/>
      <c r="BC54" s="44"/>
      <c r="BD54" s="44"/>
    </row>
    <row r="55" spans="2:57" ht="15.75" thickBot="1">
      <c r="B55" s="518"/>
      <c r="C55" s="350"/>
      <c r="D55" s="529"/>
      <c r="E55" s="530"/>
      <c r="F55" s="294" t="s">
        <v>165</v>
      </c>
      <c r="G55" s="42"/>
      <c r="H55" s="42"/>
      <c r="I55" s="42"/>
      <c r="J55" s="291" t="s">
        <v>148</v>
      </c>
      <c r="K55" s="324"/>
      <c r="L55" s="294"/>
      <c r="M55" s="294"/>
      <c r="N55" s="294" t="s">
        <v>41</v>
      </c>
      <c r="O55" s="294"/>
      <c r="P55" s="12"/>
      <c r="BC55" s="44"/>
      <c r="BD55" s="44"/>
    </row>
    <row r="56" spans="2:57" ht="17.649999999999999" customHeight="1" thickBot="1">
      <c r="B56" s="312" t="s">
        <v>139</v>
      </c>
      <c r="C56" s="313"/>
      <c r="D56" s="507"/>
      <c r="E56" s="508"/>
      <c r="F56" s="294"/>
      <c r="J56" s="295" t="s">
        <v>134</v>
      </c>
      <c r="K56" s="324"/>
      <c r="L56" s="294"/>
      <c r="M56" s="294"/>
      <c r="N56" s="294"/>
      <c r="O56" s="294"/>
      <c r="P56" s="12"/>
      <c r="BC56" s="44"/>
      <c r="BD56" s="44"/>
    </row>
    <row r="57" spans="2:57" ht="17.649999999999999" customHeight="1">
      <c r="B57" s="363"/>
      <c r="C57" s="364"/>
      <c r="D57" s="365"/>
      <c r="E57" s="365"/>
      <c r="F57" s="294"/>
      <c r="G57" s="42"/>
      <c r="H57" s="42"/>
      <c r="I57" s="42"/>
      <c r="J57" s="295" t="s">
        <v>131</v>
      </c>
      <c r="K57" s="324"/>
      <c r="L57" s="294"/>
      <c r="M57" s="294"/>
      <c r="N57" s="294"/>
      <c r="O57" s="294"/>
      <c r="P57" s="12"/>
      <c r="BC57" s="44"/>
      <c r="BD57" s="44"/>
    </row>
    <row r="58" spans="2:57" ht="15.6" customHeight="1">
      <c r="B58" s="45"/>
      <c r="C58" s="11"/>
      <c r="D58" s="11"/>
      <c r="E58" s="46"/>
      <c r="F58" s="294"/>
      <c r="G58" s="42"/>
      <c r="H58" s="42"/>
      <c r="I58" s="42"/>
      <c r="J58" s="346" t="s">
        <v>130</v>
      </c>
      <c r="K58" s="324">
        <f>SUM(K48:K57)</f>
        <v>9</v>
      </c>
      <c r="L58" s="294"/>
      <c r="M58" s="294"/>
      <c r="N58" s="294"/>
      <c r="O58" s="294"/>
      <c r="P58" s="12"/>
    </row>
    <row r="59" spans="2:57" ht="20.25" customHeight="1">
      <c r="B59" s="15" t="s">
        <v>42</v>
      </c>
      <c r="C59" s="1" t="s">
        <v>43</v>
      </c>
      <c r="D59" s="1"/>
      <c r="E59" s="1"/>
      <c r="F59" s="294"/>
      <c r="G59" s="42"/>
      <c r="H59" s="41"/>
      <c r="I59" s="42"/>
      <c r="L59" s="42"/>
      <c r="N59" s="315"/>
      <c r="P59" s="334"/>
    </row>
    <row r="60" spans="2:57" ht="15" customHeight="1" thickBot="1"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1"/>
      <c r="O60" s="48"/>
      <c r="P60" s="49"/>
    </row>
    <row r="61" spans="2:57" ht="15" customHeight="1" thickBot="1">
      <c r="B61" s="501" t="s">
        <v>17</v>
      </c>
      <c r="C61" s="501" t="s">
        <v>44</v>
      </c>
      <c r="D61" s="510" t="s">
        <v>45</v>
      </c>
      <c r="E61" s="512" t="s">
        <v>46</v>
      </c>
      <c r="F61" s="514" t="s">
        <v>47</v>
      </c>
      <c r="G61" s="499" t="s">
        <v>48</v>
      </c>
      <c r="H61" s="501" t="s">
        <v>49</v>
      </c>
      <c r="I61" s="501" t="s">
        <v>50</v>
      </c>
      <c r="J61" s="493" t="s">
        <v>28</v>
      </c>
      <c r="K61" s="503" t="s">
        <v>51</v>
      </c>
      <c r="L61" s="505" t="s">
        <v>52</v>
      </c>
      <c r="M61" s="493" t="s">
        <v>53</v>
      </c>
      <c r="N61" s="13"/>
      <c r="O61" s="13"/>
      <c r="P61" s="50"/>
    </row>
    <row r="62" spans="2:57" ht="28.5" customHeight="1" thickTop="1" thickBot="1">
      <c r="B62" s="502"/>
      <c r="C62" s="509"/>
      <c r="D62" s="511"/>
      <c r="E62" s="513"/>
      <c r="F62" s="515"/>
      <c r="G62" s="500"/>
      <c r="H62" s="502"/>
      <c r="I62" s="502"/>
      <c r="J62" s="494"/>
      <c r="K62" s="504"/>
      <c r="L62" s="506"/>
      <c r="M62" s="494"/>
      <c r="N62" s="13"/>
      <c r="O62" s="13"/>
      <c r="P62" s="50"/>
      <c r="Q62" s="355"/>
      <c r="AB62" s="474">
        <v>43474</v>
      </c>
      <c r="AC62" s="474">
        <v>43475</v>
      </c>
      <c r="AD62" s="474">
        <v>43476</v>
      </c>
      <c r="AE62" s="474">
        <v>43477</v>
      </c>
      <c r="AF62" s="474">
        <v>43478</v>
      </c>
      <c r="AG62" s="474">
        <v>43479</v>
      </c>
      <c r="AH62" s="474">
        <v>43480</v>
      </c>
      <c r="AI62" s="474">
        <v>43481</v>
      </c>
      <c r="AJ62" s="474">
        <v>43482</v>
      </c>
      <c r="AK62" s="474">
        <v>43483</v>
      </c>
      <c r="AL62" s="474">
        <v>43484</v>
      </c>
      <c r="AM62" s="474">
        <v>43485</v>
      </c>
      <c r="AN62" s="474">
        <v>43486</v>
      </c>
      <c r="AO62" s="474">
        <v>43487</v>
      </c>
      <c r="AP62" s="474">
        <v>43488</v>
      </c>
      <c r="AQ62" s="474">
        <v>43489</v>
      </c>
      <c r="AR62" s="474">
        <v>43490</v>
      </c>
      <c r="AS62" s="474">
        <v>43491</v>
      </c>
      <c r="AT62" s="474">
        <v>43492</v>
      </c>
      <c r="AU62" s="474">
        <v>43493</v>
      </c>
      <c r="AV62" s="474">
        <v>43494</v>
      </c>
      <c r="AW62" s="474">
        <v>43495</v>
      </c>
      <c r="AX62" s="474">
        <v>43496</v>
      </c>
    </row>
    <row r="63" spans="2:57" s="54" customFormat="1" ht="36.75" customHeight="1" thickBot="1">
      <c r="B63" s="455" t="str">
        <f>J48</f>
        <v>CARIB</v>
      </c>
      <c r="C63" s="478">
        <v>46301</v>
      </c>
      <c r="D63" s="444">
        <f>[37]October_2026!$I$3</f>
        <v>399.7</v>
      </c>
      <c r="E63" s="442"/>
      <c r="F63" s="443"/>
      <c r="G63" s="443">
        <f>[37]October_2026!$I$7</f>
        <v>379.9</v>
      </c>
      <c r="H63" s="457"/>
      <c r="I63" s="457"/>
      <c r="J63" s="447" t="s">
        <v>150</v>
      </c>
      <c r="K63" s="448">
        <f>[39]October_2026!$I$18</f>
        <v>1.3329824561403507</v>
      </c>
      <c r="L63" s="456">
        <f>(((D63+E63)-G63)/(D63+E63))*100</f>
        <v>4.9537152864648517</v>
      </c>
      <c r="M63" s="629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[18]January_2019!L5</f>
        <v>0</v>
      </c>
      <c r="AC63" s="57">
        <f>[18]January_2019!M5</f>
        <v>0</v>
      </c>
      <c r="AD63" s="57">
        <f>[18]January_2019!N5</f>
        <v>0</v>
      </c>
      <c r="AE63" s="57">
        <f>[18]January_2019!O5</f>
        <v>0</v>
      </c>
      <c r="AF63" s="57">
        <f>[18]January_2019!P5</f>
        <v>0</v>
      </c>
      <c r="AG63" s="57">
        <f>[18]January_2019!Q5</f>
        <v>0</v>
      </c>
      <c r="AH63" s="57">
        <f>[18]January_2019!R5</f>
        <v>0</v>
      </c>
      <c r="AI63" s="57">
        <f>[18]January_2019!S5</f>
        <v>0</v>
      </c>
      <c r="AJ63" s="57">
        <f>[18]January_2019!T5</f>
        <v>0</v>
      </c>
      <c r="AK63" s="57">
        <f>[18]January_2019!U5</f>
        <v>0</v>
      </c>
      <c r="AL63" s="57">
        <f>[18]January_2019!V5</f>
        <v>0</v>
      </c>
      <c r="AM63" s="57">
        <f>[18]January_2019!W5</f>
        <v>0</v>
      </c>
      <c r="AN63" s="57">
        <f>[18]January_2019!X5</f>
        <v>0</v>
      </c>
      <c r="AO63" s="57">
        <f>[18]January_2019!Y5</f>
        <v>0</v>
      </c>
      <c r="AP63" s="57">
        <f>[18]January_2019!Z5</f>
        <v>0</v>
      </c>
      <c r="AQ63" s="57">
        <f>[18]January_2019!AA5</f>
        <v>0</v>
      </c>
      <c r="AR63" s="57">
        <f>[18]January_2019!AB5</f>
        <v>0</v>
      </c>
      <c r="AS63" s="57">
        <f>[18]January_2019!AC5</f>
        <v>0</v>
      </c>
      <c r="AT63" s="57">
        <f>[18]January_2019!AD5</f>
        <v>0</v>
      </c>
      <c r="AU63" s="57">
        <f>[18]January_2019!AE5</f>
        <v>0</v>
      </c>
      <c r="AV63" s="57">
        <f>[18]January_2019!AF5</f>
        <v>0</v>
      </c>
      <c r="AW63" s="57">
        <f>[18]January_2019!AG5</f>
        <v>0</v>
      </c>
      <c r="AX63" s="277">
        <f>[18]January_2019!AH5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14.25" customHeight="1" thickBot="1">
      <c r="B64" s="479"/>
      <c r="C64" s="478"/>
      <c r="D64" s="441"/>
      <c r="E64" s="442"/>
      <c r="F64" s="443"/>
      <c r="G64" s="444"/>
      <c r="H64" s="457"/>
      <c r="I64" s="457"/>
      <c r="J64" s="475"/>
      <c r="K64" s="448"/>
      <c r="L64" s="456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[18]January_2019!L6</f>
        <v>0</v>
      </c>
      <c r="AC64" s="57">
        <f>[18]January_2019!M6</f>
        <v>0</v>
      </c>
      <c r="AD64" s="57">
        <f>[18]January_2019!N6</f>
        <v>0</v>
      </c>
      <c r="AE64" s="57">
        <f>[18]January_2019!O6</f>
        <v>0</v>
      </c>
      <c r="AF64" s="57">
        <f>[18]January_2019!P6</f>
        <v>0</v>
      </c>
      <c r="AG64" s="57">
        <f>[18]January_2019!Q6</f>
        <v>0</v>
      </c>
      <c r="AH64" s="57">
        <f>[18]January_2019!R6</f>
        <v>0</v>
      </c>
      <c r="AI64" s="57">
        <f>[18]January_2019!S6</f>
        <v>0</v>
      </c>
      <c r="AJ64" s="57">
        <f>[18]January_2019!T6</f>
        <v>0</v>
      </c>
      <c r="AK64" s="57">
        <f>[18]January_2019!U6</f>
        <v>0</v>
      </c>
      <c r="AL64" s="57">
        <f>[18]January_2019!V6</f>
        <v>0</v>
      </c>
      <c r="AM64" s="57">
        <f>[18]January_2019!W6</f>
        <v>0</v>
      </c>
      <c r="AN64" s="57">
        <f>[18]January_2019!X6</f>
        <v>0</v>
      </c>
      <c r="AO64" s="57">
        <f>[18]January_2019!Y6</f>
        <v>0</v>
      </c>
      <c r="AP64" s="57">
        <f>[18]January_2019!Z6</f>
        <v>0</v>
      </c>
      <c r="AQ64" s="57">
        <f>[18]January_2019!AA6</f>
        <v>0</v>
      </c>
      <c r="AR64" s="57">
        <f>[18]January_2019!AB6</f>
        <v>0</v>
      </c>
      <c r="AS64" s="57">
        <f>[18]January_2019!AC6</f>
        <v>0</v>
      </c>
      <c r="AT64" s="57">
        <f>[18]January_2019!AD6</f>
        <v>0</v>
      </c>
      <c r="AU64" s="57">
        <f>[18]January_2019!AE6</f>
        <v>0</v>
      </c>
      <c r="AV64" s="57">
        <f>[18]January_2019!AF6</f>
        <v>0</v>
      </c>
      <c r="AW64" s="57">
        <f>[18]January_2019!AG6</f>
        <v>0</v>
      </c>
      <c r="AX64" s="277">
        <f>[18]January_2019!AH6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37.15" hidden="1" customHeight="1" thickBot="1">
      <c r="B65" s="455" t="str">
        <f>J48</f>
        <v>CARIB</v>
      </c>
      <c r="C65" s="478">
        <v>46301</v>
      </c>
      <c r="D65" s="441"/>
      <c r="E65" s="442"/>
      <c r="F65" s="443"/>
      <c r="G65" s="443"/>
      <c r="H65" s="445"/>
      <c r="I65" s="445"/>
      <c r="J65" s="447" t="s">
        <v>150</v>
      </c>
      <c r="K65" s="448"/>
      <c r="L65" s="456" t="e">
        <f>(((D65+E65)-G65)/(D65+E65))*100</f>
        <v>#DIV/0!</v>
      </c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>
        <f>[18]January_2019!L7</f>
        <v>285.8</v>
      </c>
      <c r="AC65" s="57">
        <f>[18]January_2019!M7</f>
        <v>508.1</v>
      </c>
      <c r="AD65" s="57">
        <f>[18]January_2019!N7</f>
        <v>0</v>
      </c>
      <c r="AE65" s="57">
        <f>[18]January_2019!O7</f>
        <v>0</v>
      </c>
      <c r="AF65" s="57">
        <f>[18]January_2019!P7</f>
        <v>109.56666666666666</v>
      </c>
      <c r="AG65" s="57">
        <f>[18]January_2019!Q7</f>
        <v>297.64999999999998</v>
      </c>
      <c r="AH65" s="57">
        <f>[18]January_2019!R7</f>
        <v>122.3</v>
      </c>
      <c r="AI65" s="57">
        <f>[18]January_2019!S7</f>
        <v>0</v>
      </c>
      <c r="AJ65" s="57">
        <f>[18]January_2019!T7</f>
        <v>294.7</v>
      </c>
      <c r="AK65" s="57">
        <f>[18]January_2019!U7</f>
        <v>280.5</v>
      </c>
      <c r="AL65" s="57">
        <f>[18]January_2019!V7</f>
        <v>0</v>
      </c>
      <c r="AM65" s="57">
        <f>[18]January_2019!W7</f>
        <v>0</v>
      </c>
      <c r="AN65" s="57">
        <f>[18]January_2019!X7</f>
        <v>188.25</v>
      </c>
      <c r="AO65" s="57">
        <f>[18]January_2019!Y7</f>
        <v>295.7</v>
      </c>
      <c r="AP65" s="57">
        <f>[18]January_2019!Z7</f>
        <v>257.8</v>
      </c>
      <c r="AQ65" s="57">
        <f>[18]January_2019!AA7</f>
        <v>291.2</v>
      </c>
      <c r="AR65" s="57">
        <f>[18]January_2019!AB7</f>
        <v>187</v>
      </c>
      <c r="AS65" s="57">
        <f>[18]January_2019!AC7</f>
        <v>0</v>
      </c>
      <c r="AT65" s="57">
        <f>[18]January_2019!AD7</f>
        <v>0</v>
      </c>
      <c r="AU65" s="57">
        <f>[18]January_2019!AE7</f>
        <v>485.1</v>
      </c>
      <c r="AV65" s="57">
        <f>[18]January_2019!AF7</f>
        <v>171.55</v>
      </c>
      <c r="AW65" s="57">
        <f>[18]January_2019!AG7</f>
        <v>423.8</v>
      </c>
      <c r="AX65" s="277">
        <f>[18]January_2019!AH7</f>
        <v>0</v>
      </c>
      <c r="AY65" s="277"/>
      <c r="AZ65" s="277"/>
      <c r="BA65" s="277"/>
      <c r="BB65" s="277"/>
      <c r="BC65" s="277"/>
      <c r="BD65" s="277"/>
      <c r="BE65" s="277"/>
    </row>
    <row r="66" spans="2:57" s="54" customFormat="1" ht="18.600000000000001" hidden="1" customHeight="1" thickBot="1">
      <c r="B66" s="477"/>
      <c r="C66" s="429"/>
      <c r="D66" s="430"/>
      <c r="E66" s="431"/>
      <c r="F66" s="432"/>
      <c r="G66" s="433"/>
      <c r="H66" s="457"/>
      <c r="I66" s="457"/>
      <c r="J66" s="450"/>
      <c r="K66" s="435"/>
      <c r="L66" s="451"/>
      <c r="M66" s="42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38.65" hidden="1" customHeight="1" thickBot="1">
      <c r="B67" s="486"/>
      <c r="C67" s="478"/>
      <c r="D67" s="441"/>
      <c r="E67" s="442"/>
      <c r="F67" s="443"/>
      <c r="G67" s="444"/>
      <c r="H67" s="457"/>
      <c r="I67" s="457"/>
      <c r="J67" s="447"/>
      <c r="K67" s="458"/>
      <c r="L67" s="456"/>
      <c r="M67" s="454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15" hidden="1">
      <c r="B68" s="452"/>
      <c r="C68" s="429"/>
      <c r="D68" s="430"/>
      <c r="E68" s="431"/>
      <c r="F68" s="432"/>
      <c r="G68" s="433"/>
      <c r="H68" s="434"/>
      <c r="I68" s="449"/>
      <c r="J68" s="450"/>
      <c r="K68" s="435"/>
      <c r="L68" s="451"/>
      <c r="M68" s="420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37.15" hidden="1" customHeight="1" thickBot="1">
      <c r="B69" s="480"/>
      <c r="C69" s="478"/>
      <c r="D69" s="441"/>
      <c r="E69" s="442"/>
      <c r="F69" s="443"/>
      <c r="G69" s="444"/>
      <c r="H69" s="445"/>
      <c r="I69" s="446"/>
      <c r="J69" s="447"/>
      <c r="K69" s="448"/>
      <c r="L69" s="456"/>
      <c r="M69" s="454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277"/>
      <c r="AY69" s="277"/>
      <c r="AZ69" s="277"/>
      <c r="BA69" s="277"/>
      <c r="BB69" s="277"/>
      <c r="BC69" s="277"/>
      <c r="BD69" s="277"/>
      <c r="BE69" s="277"/>
    </row>
    <row r="70" spans="2:57" s="54" customFormat="1" ht="16.5" hidden="1" customHeight="1" thickBot="1">
      <c r="B70" s="436"/>
      <c r="C70" s="422"/>
      <c r="D70" s="423"/>
      <c r="E70" s="424"/>
      <c r="F70" s="425"/>
      <c r="G70" s="426"/>
      <c r="H70" s="427"/>
      <c r="I70" s="437"/>
      <c r="J70" s="438"/>
      <c r="K70" s="428"/>
      <c r="L70" s="439"/>
      <c r="M70" s="421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414"/>
      <c r="AC70" s="414"/>
      <c r="AD70" s="414"/>
      <c r="AE70" s="414"/>
      <c r="AF70" s="414"/>
      <c r="AG70" s="414"/>
      <c r="AH70" s="414"/>
      <c r="AI70" s="414"/>
      <c r="AJ70" s="414"/>
      <c r="AK70" s="414"/>
      <c r="AL70" s="414"/>
      <c r="AM70" s="414"/>
      <c r="AN70" s="414"/>
      <c r="AO70" s="414"/>
      <c r="AP70" s="414"/>
      <c r="AQ70" s="414"/>
      <c r="AR70" s="414"/>
      <c r="AS70" s="414"/>
      <c r="AT70" s="414"/>
      <c r="AU70" s="414"/>
      <c r="AV70" s="414"/>
      <c r="AW70" s="414"/>
    </row>
    <row r="71" spans="2:57" s="54" customFormat="1" ht="37.15" hidden="1" customHeight="1" thickBot="1">
      <c r="B71" s="455"/>
      <c r="C71" s="440"/>
      <c r="D71" s="441"/>
      <c r="E71" s="442"/>
      <c r="F71" s="443"/>
      <c r="G71" s="444"/>
      <c r="H71" s="445"/>
      <c r="I71" s="446"/>
      <c r="J71" s="447"/>
      <c r="K71" s="448"/>
      <c r="L71" s="456"/>
      <c r="M71" s="453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s="54" customFormat="1" ht="37.15" customHeight="1">
      <c r="B72" s="465"/>
      <c r="C72" s="429"/>
      <c r="D72" s="459"/>
      <c r="E72" s="460"/>
      <c r="F72" s="461"/>
      <c r="G72" s="459"/>
      <c r="H72" s="462"/>
      <c r="I72" s="462"/>
      <c r="J72" s="462"/>
      <c r="K72" s="463"/>
      <c r="L72" s="464"/>
      <c r="M72" s="50"/>
      <c r="N72" s="13"/>
      <c r="O72" s="13"/>
      <c r="P72" s="50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277"/>
      <c r="AY72" s="277"/>
      <c r="AZ72" s="277"/>
      <c r="BA72" s="277"/>
      <c r="BB72" s="277"/>
      <c r="BC72" s="277"/>
      <c r="BD72" s="277"/>
      <c r="BE72" s="277"/>
    </row>
    <row r="73" spans="2:57" ht="18" customHeight="1" thickBot="1">
      <c r="B73" s="59"/>
      <c r="C73" s="30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 t="s">
        <v>41</v>
      </c>
      <c r="O73" s="56"/>
      <c r="P73" s="60"/>
    </row>
    <row r="74" spans="2:57" ht="15.75" thickBot="1">
      <c r="B74" s="495" t="s">
        <v>55</v>
      </c>
      <c r="C74" s="496"/>
      <c r="D74" s="496"/>
      <c r="E74" s="496"/>
      <c r="F74" s="497"/>
      <c r="G74" s="495" t="s">
        <v>56</v>
      </c>
      <c r="H74" s="496"/>
      <c r="I74" s="496"/>
      <c r="J74" s="497"/>
      <c r="K74" s="495" t="s">
        <v>51</v>
      </c>
      <c r="L74" s="496"/>
      <c r="M74" s="496"/>
      <c r="N74" s="498"/>
      <c r="O74" s="56"/>
      <c r="P74" s="50"/>
    </row>
    <row r="75" spans="2:57" ht="15">
      <c r="B75" s="61" t="s">
        <v>17</v>
      </c>
      <c r="C75" s="62" t="s">
        <v>36</v>
      </c>
      <c r="D75" s="62" t="s">
        <v>37</v>
      </c>
      <c r="E75" s="62" t="s">
        <v>38</v>
      </c>
      <c r="F75" s="63" t="s">
        <v>39</v>
      </c>
      <c r="G75" s="62" t="s">
        <v>36</v>
      </c>
      <c r="H75" s="62" t="s">
        <v>37</v>
      </c>
      <c r="I75" s="62" t="s">
        <v>38</v>
      </c>
      <c r="J75" s="63" t="s">
        <v>39</v>
      </c>
      <c r="K75" s="62" t="s">
        <v>36</v>
      </c>
      <c r="L75" s="62" t="s">
        <v>37</v>
      </c>
      <c r="M75" s="62" t="s">
        <v>38</v>
      </c>
      <c r="N75" s="63" t="s">
        <v>39</v>
      </c>
      <c r="O75" s="56"/>
      <c r="P75" s="64"/>
    </row>
    <row r="76" spans="2:57" ht="15">
      <c r="B76" s="29" t="s">
        <v>6</v>
      </c>
      <c r="C76" s="65">
        <f>L63</f>
        <v>4.9537152864648517</v>
      </c>
      <c r="D76" s="76">
        <v>5.2015250544662273</v>
      </c>
      <c r="E76" s="76">
        <v>6.3942077441936389</v>
      </c>
      <c r="F76" s="66">
        <v>4.8</v>
      </c>
      <c r="G76" s="65">
        <f>[37]October_2026!$I$11</f>
        <v>5.5779930185734461</v>
      </c>
      <c r="H76" s="476">
        <v>5.9479747077972824</v>
      </c>
      <c r="I76" s="476">
        <v>6.5080919887141917</v>
      </c>
      <c r="J76" s="66">
        <v>4.8</v>
      </c>
      <c r="K76" s="67">
        <f>AVERAGE(K63)</f>
        <v>1.3329824561403507</v>
      </c>
      <c r="L76" s="194">
        <v>0.8331140350877192</v>
      </c>
      <c r="M76" s="194">
        <v>0.54990997457943147</v>
      </c>
      <c r="N76" s="68">
        <v>1</v>
      </c>
      <c r="O76" s="56"/>
      <c r="P76" s="69"/>
    </row>
    <row r="77" spans="2:57" ht="15">
      <c r="B77" s="33" t="s">
        <v>9</v>
      </c>
      <c r="C77" s="65"/>
      <c r="D77" s="76"/>
      <c r="E77" s="76">
        <v>6.034529382425224</v>
      </c>
      <c r="F77" s="66">
        <v>4.8</v>
      </c>
      <c r="G77" s="65"/>
      <c r="H77" s="76"/>
      <c r="I77" s="76">
        <v>5.9275658832823668</v>
      </c>
      <c r="J77" s="66">
        <v>4.8</v>
      </c>
      <c r="K77" s="67"/>
      <c r="L77" s="194"/>
      <c r="M77" s="194">
        <v>0.68249290906882254</v>
      </c>
      <c r="N77" s="68">
        <v>1</v>
      </c>
      <c r="P77" s="69"/>
    </row>
    <row r="78" spans="2:57" ht="15">
      <c r="B78" s="34" t="s">
        <v>40</v>
      </c>
      <c r="C78" s="65"/>
      <c r="D78" s="76"/>
      <c r="E78" s="76">
        <v>10.890214570112384</v>
      </c>
      <c r="F78" s="66">
        <v>5.5</v>
      </c>
      <c r="G78" s="65"/>
      <c r="H78" s="76"/>
      <c r="I78" s="76">
        <v>11.797659278069149</v>
      </c>
      <c r="J78" s="66">
        <v>5.5</v>
      </c>
      <c r="K78" s="67"/>
      <c r="L78" s="194"/>
      <c r="M78" s="194">
        <v>0.35370190356844494</v>
      </c>
      <c r="N78" s="68">
        <v>1</v>
      </c>
      <c r="P78" s="69"/>
    </row>
    <row r="79" spans="2:57" ht="15">
      <c r="B79" s="22" t="s">
        <v>33</v>
      </c>
      <c r="C79" s="65"/>
      <c r="D79" s="76">
        <v>2.6160971335586405</v>
      </c>
      <c r="E79" s="76">
        <v>4.6053599467161712</v>
      </c>
      <c r="F79" s="66">
        <v>3.3</v>
      </c>
      <c r="G79" s="65"/>
      <c r="H79" s="76">
        <v>4.0562064167659644</v>
      </c>
      <c r="I79" s="76">
        <v>4.7835858167498584</v>
      </c>
      <c r="J79" s="66">
        <v>3.3</v>
      </c>
      <c r="K79" s="67"/>
      <c r="L79" s="194">
        <v>1.3649122807017544</v>
      </c>
      <c r="M79" s="194">
        <v>0.83244019138755987</v>
      </c>
      <c r="N79" s="68">
        <v>1</v>
      </c>
      <c r="P79" s="69"/>
    </row>
    <row r="80" spans="2:57" ht="15">
      <c r="B80" s="35" t="s">
        <v>164</v>
      </c>
      <c r="C80" s="65"/>
      <c r="D80" s="76"/>
      <c r="E80" s="76"/>
      <c r="F80" s="66">
        <v>3.3</v>
      </c>
      <c r="G80" s="282"/>
      <c r="H80" s="76"/>
      <c r="I80" s="76"/>
      <c r="J80" s="66">
        <v>3</v>
      </c>
      <c r="K80" s="67"/>
      <c r="L80" s="194"/>
      <c r="M80" s="194"/>
      <c r="N80" s="68">
        <v>1</v>
      </c>
      <c r="P80" s="69"/>
    </row>
    <row r="81" spans="2:16" ht="15">
      <c r="B81" s="36" t="s">
        <v>15</v>
      </c>
      <c r="C81" s="65"/>
      <c r="D81" s="76"/>
      <c r="E81" s="76">
        <v>6.3233965672990236</v>
      </c>
      <c r="F81" s="70">
        <v>5.5</v>
      </c>
      <c r="G81" s="65"/>
      <c r="H81" s="76"/>
      <c r="I81" s="76">
        <v>7.9667553186446929</v>
      </c>
      <c r="J81" s="66">
        <v>5.5</v>
      </c>
      <c r="K81" s="67"/>
      <c r="L81" s="194"/>
      <c r="M81" s="194">
        <v>0.5883625730994152</v>
      </c>
      <c r="N81" s="68">
        <v>1</v>
      </c>
      <c r="P81" s="69"/>
    </row>
    <row r="82" spans="2:16" ht="15">
      <c r="B82" s="37" t="s">
        <v>16</v>
      </c>
      <c r="C82" s="481"/>
      <c r="D82" s="76"/>
      <c r="E82" s="76">
        <v>3.9973372218347856</v>
      </c>
      <c r="F82" s="66">
        <v>3.3</v>
      </c>
      <c r="G82" s="282"/>
      <c r="H82" s="76"/>
      <c r="I82" s="76">
        <v>5.1096183510504902</v>
      </c>
      <c r="J82" s="66">
        <v>3.3</v>
      </c>
      <c r="K82" s="67"/>
      <c r="L82" s="194"/>
      <c r="M82" s="194">
        <v>0.89057130004498408</v>
      </c>
      <c r="N82" s="71">
        <v>1</v>
      </c>
      <c r="P82" s="69"/>
    </row>
    <row r="83" spans="2:16" ht="15.75" thickBot="1">
      <c r="B83" s="38" t="s">
        <v>163</v>
      </c>
      <c r="C83" s="65"/>
      <c r="D83" s="76"/>
      <c r="E83" s="76"/>
      <c r="F83" s="66">
        <v>7.5</v>
      </c>
      <c r="G83" s="282"/>
      <c r="H83" s="76"/>
      <c r="I83" s="76"/>
      <c r="J83" s="66">
        <v>7.5</v>
      </c>
      <c r="K83" s="67"/>
      <c r="L83" s="194"/>
      <c r="M83" s="194"/>
      <c r="N83" s="71">
        <v>1</v>
      </c>
      <c r="P83" s="69"/>
    </row>
    <row r="84" spans="2:16" ht="15.75" thickBot="1">
      <c r="B84" s="413" t="s">
        <v>161</v>
      </c>
      <c r="C84" s="65"/>
      <c r="D84" s="76"/>
      <c r="E84" s="76"/>
      <c r="F84" s="66">
        <v>4.8</v>
      </c>
      <c r="G84" s="282"/>
      <c r="H84" s="76"/>
      <c r="I84" s="76"/>
      <c r="J84" s="66">
        <v>4.8</v>
      </c>
      <c r="K84" s="67"/>
      <c r="L84" s="194"/>
      <c r="M84" s="194"/>
      <c r="N84" s="71">
        <v>1</v>
      </c>
      <c r="O84" s="74"/>
      <c r="P84" s="75"/>
    </row>
    <row r="85" spans="2:16" ht="15">
      <c r="D85" s="76">
        <v>4.513507211618534</v>
      </c>
      <c r="E85" s="76">
        <v>6.3192809236064278</v>
      </c>
      <c r="F85" s="341">
        <v>5.5</v>
      </c>
      <c r="H85" s="76">
        <v>5.3009613651321894</v>
      </c>
      <c r="I85" s="76">
        <v>6.621228037011492</v>
      </c>
      <c r="J85" s="341">
        <v>5.5</v>
      </c>
      <c r="L85" s="194">
        <v>0.93947368421052635</v>
      </c>
      <c r="M85" s="194">
        <v>0.60442262108138456</v>
      </c>
      <c r="N8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32:N32"/>
    <mergeCell ref="D33:E33"/>
    <mergeCell ref="B34:B45"/>
    <mergeCell ref="D34:E35"/>
    <mergeCell ref="D36:E37"/>
    <mergeCell ref="D38:E39"/>
    <mergeCell ref="D40:E41"/>
    <mergeCell ref="D42:E43"/>
    <mergeCell ref="D44:E45"/>
    <mergeCell ref="B46:B55"/>
    <mergeCell ref="D46:E47"/>
    <mergeCell ref="J46:K46"/>
    <mergeCell ref="L47:N47"/>
    <mergeCell ref="D48:E49"/>
    <mergeCell ref="D50:E51"/>
    <mergeCell ref="D52:E53"/>
    <mergeCell ref="D54:E55"/>
    <mergeCell ref="D56:E56"/>
    <mergeCell ref="B61:B62"/>
    <mergeCell ref="C61:C62"/>
    <mergeCell ref="D61:D62"/>
    <mergeCell ref="E61:E62"/>
    <mergeCell ref="M61:M62"/>
    <mergeCell ref="B74:F74"/>
    <mergeCell ref="G74:J74"/>
    <mergeCell ref="K74:N74"/>
    <mergeCell ref="G61:G62"/>
    <mergeCell ref="H61:H62"/>
    <mergeCell ref="I61:I62"/>
    <mergeCell ref="J61:J62"/>
    <mergeCell ref="K61:K62"/>
    <mergeCell ref="L61:L62"/>
    <mergeCell ref="F61:F62"/>
  </mergeCells>
  <conditionalFormatting sqref="B56:B57">
    <cfRule type="cellIs" dxfId="192" priority="114" operator="notBetween">
      <formula>#REF!</formula>
      <formula>#REF!</formula>
    </cfRule>
  </conditionalFormatting>
  <conditionalFormatting sqref="C60">
    <cfRule type="cellIs" dxfId="191" priority="196" stopIfTrue="1" operator="lessThan">
      <formula>96</formula>
    </cfRule>
    <cfRule type="cellIs" dxfId="190" priority="197" stopIfTrue="1" operator="greaterThan">
      <formula>100</formula>
    </cfRule>
  </conditionalFormatting>
  <conditionalFormatting sqref="C76:C77">
    <cfRule type="cellIs" dxfId="189" priority="77" stopIfTrue="1" operator="greaterThan">
      <formula>$F76</formula>
    </cfRule>
    <cfRule type="cellIs" dxfId="188" priority="78" stopIfTrue="1" operator="lessThanOrEqual">
      <formula>0</formula>
    </cfRule>
    <cfRule type="cellIs" dxfId="187" priority="79" stopIfTrue="1" operator="greaterThan">
      <formula>$F76</formula>
    </cfRule>
    <cfRule type="cellIs" dxfId="186" priority="80" stopIfTrue="1" operator="lessThanOrEqual">
      <formula>0</formula>
    </cfRule>
  </conditionalFormatting>
  <conditionalFormatting sqref="C78:C80 C82:C84">
    <cfRule type="cellIs" dxfId="185" priority="86" stopIfTrue="1" operator="greaterThan">
      <formula>$F81</formula>
    </cfRule>
  </conditionalFormatting>
  <conditionalFormatting sqref="C78:C80">
    <cfRule type="cellIs" dxfId="184" priority="87" stopIfTrue="1" operator="lessThanOrEqual">
      <formula>0</formula>
    </cfRule>
  </conditionalFormatting>
  <conditionalFormatting sqref="C81">
    <cfRule type="cellIs" dxfId="183" priority="198" stopIfTrue="1" operator="greaterThan">
      <formula>$F76</formula>
    </cfRule>
    <cfRule type="cellIs" dxfId="182" priority="199" stopIfTrue="1" operator="lessThanOrEqual">
      <formula>0</formula>
    </cfRule>
    <cfRule type="cellIs" dxfId="181" priority="200" stopIfTrue="1" operator="greaterThan">
      <formula>$F76</formula>
    </cfRule>
    <cfRule type="cellIs" dxfId="180" priority="201" stopIfTrue="1" operator="lessThanOrEqual">
      <formula>0</formula>
    </cfRule>
  </conditionalFormatting>
  <conditionalFormatting sqref="C82:C84">
    <cfRule type="cellIs" dxfId="179" priority="88" stopIfTrue="1" operator="lessThanOrEqual">
      <formula>0</formula>
    </cfRule>
  </conditionalFormatting>
  <conditionalFormatting sqref="C87:C91">
    <cfRule type="cellIs" dxfId="178" priority="188" stopIfTrue="1" operator="lessThanOrEqual">
      <formula>0</formula>
    </cfRule>
  </conditionalFormatting>
  <conditionalFormatting sqref="C88:C91">
    <cfRule type="cellIs" dxfId="177" priority="187" stopIfTrue="1" operator="greaterThan">
      <formula>$F$87</formula>
    </cfRule>
  </conditionalFormatting>
  <conditionalFormatting sqref="C93">
    <cfRule type="cellIs" dxfId="176" priority="189" stopIfTrue="1" operator="greaterThan">
      <formula>$F$87</formula>
    </cfRule>
    <cfRule type="cellIs" dxfId="175" priority="190" stopIfTrue="1" operator="lessThanOrEqual">
      <formula>0</formula>
    </cfRule>
  </conditionalFormatting>
  <conditionalFormatting sqref="C81:D81">
    <cfRule type="cellIs" dxfId="174" priority="75" stopIfTrue="1" operator="greaterThan">
      <formula>$J81</formula>
    </cfRule>
    <cfRule type="cellIs" dxfId="173" priority="76" stopIfTrue="1" operator="lessThanOrEqual">
      <formula>0</formula>
    </cfRule>
  </conditionalFormatting>
  <conditionalFormatting sqref="C87:D87 D89:D95">
    <cfRule type="cellIs" dxfId="172" priority="182" stopIfTrue="1" operator="greaterThan">
      <formula>4.5</formula>
    </cfRule>
  </conditionalFormatting>
  <conditionalFormatting sqref="D56:D57">
    <cfRule type="cellIs" dxfId="171" priority="115" operator="notBetween">
      <formula>#REF!</formula>
      <formula>#REF!</formula>
    </cfRule>
  </conditionalFormatting>
  <conditionalFormatting sqref="D76:D80 D82:D83">
    <cfRule type="cellIs" dxfId="170" priority="85" stopIfTrue="1" operator="lessThanOrEqual">
      <formula>0</formula>
    </cfRule>
  </conditionalFormatting>
  <conditionalFormatting sqref="D76:D80 D82:D85">
    <cfRule type="cellIs" dxfId="169" priority="81" stopIfTrue="1" operator="lessThanOrEqual">
      <formula>0</formula>
    </cfRule>
    <cfRule type="cellIs" dxfId="168" priority="82" stopIfTrue="1" operator="greaterThan">
      <formula>$F76</formula>
    </cfRule>
  </conditionalFormatting>
  <conditionalFormatting sqref="D84:D85">
    <cfRule type="cellIs" dxfId="167" priority="83" stopIfTrue="1" operator="lessThanOrEqual">
      <formula>0</formula>
    </cfRule>
  </conditionalFormatting>
  <conditionalFormatting sqref="D85">
    <cfRule type="cellIs" dxfId="166" priority="84" stopIfTrue="1" operator="lessThanOrEqual">
      <formula>0</formula>
    </cfRule>
  </conditionalFormatting>
  <conditionalFormatting sqref="D87 D89:D95">
    <cfRule type="cellIs" dxfId="165" priority="183" stopIfTrue="1" operator="lessThanOrEqual">
      <formula>0</formula>
    </cfRule>
  </conditionalFormatting>
  <conditionalFormatting sqref="D88">
    <cfRule type="cellIs" dxfId="164" priority="174" stopIfTrue="1" operator="greaterThan">
      <formula>$F$87</formula>
    </cfRule>
    <cfRule type="cellIs" dxfId="163" priority="175" stopIfTrue="1" operator="lessThanOrEqual">
      <formula>0</formula>
    </cfRule>
  </conditionalFormatting>
  <conditionalFormatting sqref="E10:E31">
    <cfRule type="cellIs" dxfId="162" priority="18" operator="lessThan">
      <formula>48</formula>
    </cfRule>
  </conditionalFormatting>
  <conditionalFormatting sqref="E59 E60:F60">
    <cfRule type="cellIs" dxfId="161" priority="179" stopIfTrue="1" operator="greaterThan">
      <formula>100</formula>
    </cfRule>
  </conditionalFormatting>
  <conditionalFormatting sqref="E60">
    <cfRule type="cellIs" dxfId="160" priority="176" stopIfTrue="1" operator="lessThan">
      <formula>96.8</formula>
    </cfRule>
    <cfRule type="cellIs" dxfId="159" priority="177" stopIfTrue="1" operator="greaterThan">
      <formula>100</formula>
    </cfRule>
  </conditionalFormatting>
  <conditionalFormatting sqref="E76:E84">
    <cfRule type="cellIs" dxfId="158" priority="48" stopIfTrue="1" operator="lessThanOrEqual">
      <formula>0</formula>
    </cfRule>
  </conditionalFormatting>
  <conditionalFormatting sqref="E76:E85">
    <cfRule type="cellIs" dxfId="157" priority="49" stopIfTrue="1" operator="greaterThan">
      <formula>$F76</formula>
    </cfRule>
    <cfRule type="cellIs" dxfId="156" priority="50" stopIfTrue="1" operator="lessThanOrEqual">
      <formula>0</formula>
    </cfRule>
  </conditionalFormatting>
  <conditionalFormatting sqref="E85">
    <cfRule type="cellIs" dxfId="155" priority="51" stopIfTrue="1" operator="lessThanOrEqual">
      <formula>0</formula>
    </cfRule>
  </conditionalFormatting>
  <conditionalFormatting sqref="E87:E95">
    <cfRule type="cellIs" dxfId="154" priority="168" stopIfTrue="1" operator="greaterThan">
      <formula>4.5</formula>
    </cfRule>
    <cfRule type="cellIs" dxfId="153" priority="169" stopIfTrue="1" operator="lessThanOrEqual">
      <formula>0</formula>
    </cfRule>
  </conditionalFormatting>
  <conditionalFormatting sqref="E60:F60 E59">
    <cfRule type="cellIs" dxfId="152" priority="178" stopIfTrue="1" operator="lessThan">
      <formula>96.5</formula>
    </cfRule>
  </conditionalFormatting>
  <conditionalFormatting sqref="F10:F31">
    <cfRule type="cellIs" dxfId="151" priority="19" operator="greaterThan">
      <formula>60</formula>
    </cfRule>
  </conditionalFormatting>
  <conditionalFormatting sqref="F60">
    <cfRule type="cellIs" dxfId="150" priority="194" stopIfTrue="1" operator="lessThan">
      <formula>96.8</formula>
    </cfRule>
    <cfRule type="cellIs" dxfId="149" priority="195" stopIfTrue="1" operator="greaterThan">
      <formula>100</formula>
    </cfRule>
  </conditionalFormatting>
  <conditionalFormatting sqref="G30 G10:H15 M10:N30">
    <cfRule type="expression" dxfId="148" priority="24">
      <formula>IF(+(IF(G10&lt;#REF!,0,IF(G10&gt;#REF!,0,1)))=0,1)</formula>
    </cfRule>
  </conditionalFormatting>
  <conditionalFormatting sqref="G31">
    <cfRule type="expression" dxfId="147" priority="23">
      <formula>IF(+(IF(G31&lt;S31,0,IF(G31&gt;T31,0,1)))=0,1)</formula>
    </cfRule>
  </conditionalFormatting>
  <conditionalFormatting sqref="G76:G79 F85">
    <cfRule type="cellIs" dxfId="146" priority="57" stopIfTrue="1" operator="greaterThan">
      <formula>$F76</formula>
    </cfRule>
    <cfRule type="cellIs" dxfId="145" priority="58" stopIfTrue="1" operator="lessThanOrEqual">
      <formula>0</formula>
    </cfRule>
  </conditionalFormatting>
  <conditionalFormatting sqref="G78:G79">
    <cfRule type="cellIs" dxfId="144" priority="43" stopIfTrue="1" operator="greaterThan">
      <formula>$F78</formula>
    </cfRule>
    <cfRule type="cellIs" dxfId="143" priority="44" stopIfTrue="1" operator="lessThanOrEqual">
      <formula>0</formula>
    </cfRule>
  </conditionalFormatting>
  <conditionalFormatting sqref="G80:G84">
    <cfRule type="cellIs" dxfId="142" priority="59" stopIfTrue="1" operator="greaterThan">
      <formula>$J80</formula>
    </cfRule>
    <cfRule type="cellIs" dxfId="141" priority="60" stopIfTrue="1" operator="lessThanOrEqual">
      <formula>0</formula>
    </cfRule>
  </conditionalFormatting>
  <conditionalFormatting sqref="G81">
    <cfRule type="cellIs" dxfId="140" priority="202" stopIfTrue="1" operator="greaterThan">
      <formula>$F76</formula>
    </cfRule>
    <cfRule type="cellIs" dxfId="139" priority="203" stopIfTrue="1" operator="lessThanOrEqual">
      <formula>0</formula>
    </cfRule>
  </conditionalFormatting>
  <conditionalFormatting sqref="G89:G94 C92 C94">
    <cfRule type="cellIs" dxfId="138" priority="191" stopIfTrue="1" operator="greaterThan">
      <formula>4.5</formula>
    </cfRule>
    <cfRule type="cellIs" dxfId="137" priority="192" stopIfTrue="1" operator="lessThanOrEqual">
      <formula>0</formula>
    </cfRule>
  </conditionalFormatting>
  <conditionalFormatting sqref="G22:G26">
    <cfRule type="expression" dxfId="136" priority="20">
      <formula>IF(+(IF(G22&lt;#REF!,0,IF(G22&gt;#REF!,0,1)))=0,1)</formula>
    </cfRule>
  </conditionalFormatting>
  <conditionalFormatting sqref="G88:H88">
    <cfRule type="cellIs" dxfId="135" priority="172" stopIfTrue="1" operator="greaterThan">
      <formula>$F$87</formula>
    </cfRule>
    <cfRule type="cellIs" dxfId="134" priority="173" stopIfTrue="1" operator="lessThanOrEqual">
      <formula>0</formula>
    </cfRule>
  </conditionalFormatting>
  <conditionalFormatting sqref="H16:H31">
    <cfRule type="expression" dxfId="133" priority="11">
      <formula>IF(+(IF(H16&lt;#REF!,0,IF(H16&gt;#REF!,0,1)))=0,1)</formula>
    </cfRule>
  </conditionalFormatting>
  <conditionalFormatting sqref="H45:H46 H59">
    <cfRule type="cellIs" dxfId="132" priority="170" stopIfTrue="1" operator="greaterThan">
      <formula>0</formula>
    </cfRule>
  </conditionalFormatting>
  <conditionalFormatting sqref="H63">
    <cfRule type="cellIs" dxfId="131" priority="62" stopIfTrue="1" operator="lessThanOrEqual">
      <formula>0</formula>
    </cfRule>
    <cfRule type="cellIs" dxfId="130" priority="63" stopIfTrue="1" operator="greaterThan">
      <formula>$F$76</formula>
    </cfRule>
    <cfRule type="cellIs" dxfId="129" priority="71" stopIfTrue="1" operator="greaterThan">
      <formula>$F$79</formula>
    </cfRule>
    <cfRule type="cellIs" dxfId="128" priority="72" stopIfTrue="1" operator="lessThanOrEqual">
      <formula>0</formula>
    </cfRule>
    <cfRule type="cellIs" dxfId="127" priority="73" stopIfTrue="1" operator="greaterThan">
      <formula>$F$77</formula>
    </cfRule>
  </conditionalFormatting>
  <conditionalFormatting sqref="H63:H64">
    <cfRule type="cellIs" dxfId="126" priority="74" stopIfTrue="1" operator="lessThanOrEqual">
      <formula>0</formula>
    </cfRule>
  </conditionalFormatting>
  <conditionalFormatting sqref="H64 H66:H67">
    <cfRule type="cellIs" dxfId="125" priority="100" stopIfTrue="1" operator="lessThanOrEqual">
      <formula>0</formula>
    </cfRule>
  </conditionalFormatting>
  <conditionalFormatting sqref="H64">
    <cfRule type="cellIs" dxfId="124" priority="89" stopIfTrue="1" operator="greaterThan">
      <formula>$F$76</formula>
    </cfRule>
    <cfRule type="cellIs" dxfId="123" priority="97" stopIfTrue="1" operator="greaterThan">
      <formula>$F$79</formula>
    </cfRule>
    <cfRule type="cellIs" dxfId="122" priority="98" stopIfTrue="1" operator="lessThanOrEqual">
      <formula>0</formula>
    </cfRule>
    <cfRule type="cellIs" dxfId="121" priority="99" stopIfTrue="1" operator="greaterThan">
      <formula>$F$77</formula>
    </cfRule>
  </conditionalFormatting>
  <conditionalFormatting sqref="H65">
    <cfRule type="cellIs" dxfId="120" priority="29" stopIfTrue="1" operator="lessThanOrEqual">
      <formula>0</formula>
    </cfRule>
    <cfRule type="cellIs" dxfId="119" priority="30" stopIfTrue="1" operator="greaterThan">
      <formula>$F$78</formula>
    </cfRule>
    <cfRule type="cellIs" dxfId="118" priority="38" stopIfTrue="1" operator="greaterThan">
      <formula>$F$81</formula>
    </cfRule>
    <cfRule type="cellIs" dxfId="117" priority="39" stopIfTrue="1" operator="lessThanOrEqual">
      <formula>0</formula>
    </cfRule>
    <cfRule type="cellIs" dxfId="116" priority="40" stopIfTrue="1" operator="greaterThan">
      <formula>$F$79</formula>
    </cfRule>
    <cfRule type="cellIs" dxfId="115" priority="41" stopIfTrue="1" operator="lessThanOrEqual">
      <formula>0</formula>
    </cfRule>
  </conditionalFormatting>
  <conditionalFormatting sqref="H66:H67">
    <cfRule type="cellIs" dxfId="114" priority="102" stopIfTrue="1" operator="greaterThan">
      <formula>$F$76</formula>
    </cfRule>
    <cfRule type="cellIs" dxfId="113" priority="110" stopIfTrue="1" operator="greaterThan">
      <formula>$F$79</formula>
    </cfRule>
    <cfRule type="cellIs" dxfId="112" priority="111" stopIfTrue="1" operator="lessThanOrEqual">
      <formula>0</formula>
    </cfRule>
    <cfRule type="cellIs" dxfId="111" priority="112" stopIfTrue="1" operator="greaterThan">
      <formula>$F$77</formula>
    </cfRule>
    <cfRule type="cellIs" dxfId="110" priority="113" stopIfTrue="1" operator="lessThanOrEqual">
      <formula>0</formula>
    </cfRule>
  </conditionalFormatting>
  <conditionalFormatting sqref="H68:H69">
    <cfRule type="cellIs" dxfId="109" priority="137" stopIfTrue="1" operator="lessThanOrEqual">
      <formula>0</formula>
    </cfRule>
    <cfRule type="cellIs" dxfId="108" priority="138" stopIfTrue="1" operator="greaterThan">
      <formula>#REF!</formula>
    </cfRule>
    <cfRule type="cellIs" dxfId="107" priority="146" stopIfTrue="1" operator="greaterThan">
      <formula>#REF!</formula>
    </cfRule>
    <cfRule type="cellIs" dxfId="106" priority="147" stopIfTrue="1" operator="lessThanOrEqual">
      <formula>0</formula>
    </cfRule>
  </conditionalFormatting>
  <conditionalFormatting sqref="H70">
    <cfRule type="cellIs" dxfId="105" priority="149" stopIfTrue="1" operator="lessThanOrEqual">
      <formula>0</formula>
    </cfRule>
    <cfRule type="cellIs" dxfId="104" priority="150" stopIfTrue="1" operator="greaterThan">
      <formula>$F$44</formula>
    </cfRule>
    <cfRule type="cellIs" dxfId="103" priority="158" stopIfTrue="1" operator="greaterThan">
      <formula>$F$47</formula>
    </cfRule>
    <cfRule type="cellIs" dxfId="102" priority="159" stopIfTrue="1" operator="lessThanOrEqual">
      <formula>0</formula>
    </cfRule>
    <cfRule type="cellIs" dxfId="101" priority="160" stopIfTrue="1" operator="greaterThan">
      <formula>$F$45</formula>
    </cfRule>
    <cfRule type="cellIs" dxfId="100" priority="161" stopIfTrue="1" operator="lessThanOrEqual">
      <formula>0</formula>
    </cfRule>
  </conditionalFormatting>
  <conditionalFormatting sqref="H71:H72">
    <cfRule type="cellIs" dxfId="99" priority="125" stopIfTrue="1" operator="lessThanOrEqual">
      <formula>0</formula>
    </cfRule>
    <cfRule type="cellIs" dxfId="98" priority="126" stopIfTrue="1" operator="greaterThan">
      <formula>#REF!</formula>
    </cfRule>
    <cfRule type="cellIs" dxfId="97" priority="134" stopIfTrue="1" operator="greaterThan">
      <formula>#REF!</formula>
    </cfRule>
    <cfRule type="cellIs" dxfId="96" priority="135" stopIfTrue="1" operator="lessThanOrEqual">
      <formula>0</formula>
    </cfRule>
  </conditionalFormatting>
  <conditionalFormatting sqref="H87 H89:H95">
    <cfRule type="cellIs" dxfId="95" priority="184" stopIfTrue="1" operator="greaterThan">
      <formula>4.5</formula>
    </cfRule>
    <cfRule type="cellIs" dxfId="94" priority="185" stopIfTrue="1" operator="lessThanOrEqual">
      <formula>0</formula>
    </cfRule>
  </conditionalFormatting>
  <conditionalFormatting sqref="H63:I63">
    <cfRule type="cellIs" dxfId="93" priority="64" stopIfTrue="1" operator="lessThanOrEqual">
      <formula>0</formula>
    </cfRule>
  </conditionalFormatting>
  <conditionalFormatting sqref="H63:I64 H66:I67">
    <cfRule type="cellIs" dxfId="92" priority="61" stopIfTrue="1" operator="greaterThan">
      <formula>$F$78</formula>
    </cfRule>
  </conditionalFormatting>
  <conditionalFormatting sqref="H64:I64">
    <cfRule type="cellIs" dxfId="91" priority="90" stopIfTrue="1" operator="lessThanOrEqual">
      <formula>0</formula>
    </cfRule>
  </conditionalFormatting>
  <conditionalFormatting sqref="H65:I65">
    <cfRule type="cellIs" dxfId="90" priority="28" stopIfTrue="1" operator="greaterThan">
      <formula>$F$80</formula>
    </cfRule>
    <cfRule type="cellIs" dxfId="89" priority="31" stopIfTrue="1" operator="lessThanOrEqual">
      <formula>0</formula>
    </cfRule>
  </conditionalFormatting>
  <conditionalFormatting sqref="H66:I67">
    <cfRule type="cellIs" dxfId="88" priority="103" stopIfTrue="1" operator="lessThanOrEqual">
      <formula>0</formula>
    </cfRule>
  </conditionalFormatting>
  <conditionalFormatting sqref="H68:I69">
    <cfRule type="cellIs" dxfId="87" priority="136" stopIfTrue="1" operator="greaterThan">
      <formula>#REF!</formula>
    </cfRule>
    <cfRule type="cellIs" dxfId="86" priority="139" stopIfTrue="1" operator="lessThanOrEqual">
      <formula>0</formula>
    </cfRule>
    <cfRule type="cellIs" dxfId="85" priority="144" stopIfTrue="1" operator="greaterThan">
      <formula>#REF!</formula>
    </cfRule>
    <cfRule type="cellIs" dxfId="84" priority="145" stopIfTrue="1" operator="lessThanOrEqual">
      <formula>0</formula>
    </cfRule>
  </conditionalFormatting>
  <conditionalFormatting sqref="H70:I70">
    <cfRule type="cellIs" dxfId="83" priority="148" stopIfTrue="1" operator="greaterThan">
      <formula>$F$46</formula>
    </cfRule>
    <cfRule type="cellIs" dxfId="82" priority="151" stopIfTrue="1" operator="lessThanOrEqual">
      <formula>0</formula>
    </cfRule>
  </conditionalFormatting>
  <conditionalFormatting sqref="H71:I72">
    <cfRule type="cellIs" dxfId="81" priority="124" stopIfTrue="1" operator="greaterThan">
      <formula>#REF!</formula>
    </cfRule>
    <cfRule type="cellIs" dxfId="80" priority="127" stopIfTrue="1" operator="lessThanOrEqual">
      <formula>0</formula>
    </cfRule>
    <cfRule type="cellIs" dxfId="79" priority="132" stopIfTrue="1" operator="greaterThan">
      <formula>#REF!</formula>
    </cfRule>
    <cfRule type="cellIs" dxfId="78" priority="133" stopIfTrue="1" operator="lessThanOrEqual">
      <formula>0</formula>
    </cfRule>
  </conditionalFormatting>
  <conditionalFormatting sqref="H76:I83">
    <cfRule type="cellIs" dxfId="77" priority="46" stopIfTrue="1" operator="greaterThan">
      <formula>$J76</formula>
    </cfRule>
    <cfRule type="cellIs" dxfId="76" priority="47" stopIfTrue="1" operator="lessThanOrEqual">
      <formula>0</formula>
    </cfRule>
  </conditionalFormatting>
  <conditionalFormatting sqref="H84:I84">
    <cfRule type="cellIs" dxfId="75" priority="54" operator="greaterThan">
      <formula>5.3</formula>
    </cfRule>
  </conditionalFormatting>
  <conditionalFormatting sqref="H85:I85">
    <cfRule type="cellIs" dxfId="74" priority="52" stopIfTrue="1" operator="greaterThan">
      <formula>$J85</formula>
    </cfRule>
    <cfRule type="cellIs" dxfId="73" priority="53" stopIfTrue="1" operator="lessThanOrEqual">
      <formula>0</formula>
    </cfRule>
  </conditionalFormatting>
  <conditionalFormatting sqref="I63">
    <cfRule type="cellIs" dxfId="72" priority="65" stopIfTrue="1" operator="greaterThan">
      <formula>$F$76</formula>
    </cfRule>
    <cfRule type="cellIs" dxfId="71" priority="66" stopIfTrue="1" operator="lessThanOrEqual">
      <formula>0</formula>
    </cfRule>
    <cfRule type="cellIs" dxfId="70" priority="67" stopIfTrue="1" operator="greaterThan">
      <formula>$F$78</formula>
    </cfRule>
    <cfRule type="cellIs" dxfId="69" priority="68" stopIfTrue="1" operator="lessThanOrEqual">
      <formula>0</formula>
    </cfRule>
    <cfRule type="cellIs" dxfId="68" priority="69" stopIfTrue="1" operator="greaterThan">
      <formula>$F$76</formula>
    </cfRule>
    <cfRule type="cellIs" dxfId="67" priority="70" stopIfTrue="1" operator="lessThanOrEqual">
      <formula>0</formula>
    </cfRule>
  </conditionalFormatting>
  <conditionalFormatting sqref="I64">
    <cfRule type="cellIs" dxfId="66" priority="91" stopIfTrue="1" operator="greaterThan">
      <formula>$F$76</formula>
    </cfRule>
    <cfRule type="cellIs" dxfId="65" priority="92" stopIfTrue="1" operator="lessThanOrEqual">
      <formula>0</formula>
    </cfRule>
    <cfRule type="cellIs" dxfId="64" priority="93" stopIfTrue="1" operator="greaterThan">
      <formula>$F$78</formula>
    </cfRule>
    <cfRule type="cellIs" dxfId="63" priority="94" stopIfTrue="1" operator="lessThanOrEqual">
      <formula>0</formula>
    </cfRule>
    <cfRule type="cellIs" dxfId="62" priority="95" stopIfTrue="1" operator="greaterThan">
      <formula>$F$76</formula>
    </cfRule>
    <cfRule type="cellIs" dxfId="61" priority="96" stopIfTrue="1" operator="lessThanOrEqual">
      <formula>0</formula>
    </cfRule>
  </conditionalFormatting>
  <conditionalFormatting sqref="I65">
    <cfRule type="cellIs" dxfId="60" priority="32" stopIfTrue="1" operator="greaterThan">
      <formula>$F$78</formula>
    </cfRule>
    <cfRule type="cellIs" dxfId="59" priority="33" stopIfTrue="1" operator="lessThanOrEqual">
      <formula>0</formula>
    </cfRule>
    <cfRule type="cellIs" dxfId="58" priority="34" stopIfTrue="1" operator="greaterThan">
      <formula>$F$80</formula>
    </cfRule>
    <cfRule type="cellIs" dxfId="57" priority="35" stopIfTrue="1" operator="lessThanOrEqual">
      <formula>0</formula>
    </cfRule>
    <cfRule type="cellIs" dxfId="56" priority="36" stopIfTrue="1" operator="greaterThan">
      <formula>$F$78</formula>
    </cfRule>
    <cfRule type="cellIs" dxfId="55" priority="37" stopIfTrue="1" operator="lessThanOrEqual">
      <formula>0</formula>
    </cfRule>
  </conditionalFormatting>
  <conditionalFormatting sqref="I66:I67">
    <cfRule type="cellIs" dxfId="54" priority="104" stopIfTrue="1" operator="greaterThan">
      <formula>$F$76</formula>
    </cfRule>
    <cfRule type="cellIs" dxfId="53" priority="105" stopIfTrue="1" operator="lessThanOrEqual">
      <formula>0</formula>
    </cfRule>
    <cfRule type="cellIs" dxfId="52" priority="106" stopIfTrue="1" operator="greaterThan">
      <formula>$F$78</formula>
    </cfRule>
    <cfRule type="cellIs" dxfId="51" priority="107" stopIfTrue="1" operator="lessThanOrEqual">
      <formula>0</formula>
    </cfRule>
    <cfRule type="cellIs" dxfId="50" priority="108" stopIfTrue="1" operator="greaterThan">
      <formula>$F$76</formula>
    </cfRule>
    <cfRule type="cellIs" dxfId="49" priority="109" stopIfTrue="1" operator="lessThanOrEqual">
      <formula>0</formula>
    </cfRule>
  </conditionalFormatting>
  <conditionalFormatting sqref="I68:I69">
    <cfRule type="cellIs" dxfId="48" priority="140" stopIfTrue="1" operator="greaterThan">
      <formula>#REF!</formula>
    </cfRule>
    <cfRule type="cellIs" dxfId="47" priority="141" stopIfTrue="1" operator="lessThanOrEqual">
      <formula>0</formula>
    </cfRule>
    <cfRule type="cellIs" dxfId="46" priority="142" stopIfTrue="1" operator="greaterThan">
      <formula>#REF!</formula>
    </cfRule>
    <cfRule type="cellIs" dxfId="45" priority="143" stopIfTrue="1" operator="lessThanOrEqual">
      <formula>0</formula>
    </cfRule>
  </conditionalFormatting>
  <conditionalFormatting sqref="I70">
    <cfRule type="cellIs" dxfId="44" priority="152" stopIfTrue="1" operator="greaterThan">
      <formula>$F$44</formula>
    </cfRule>
    <cfRule type="cellIs" dxfId="43" priority="153" stopIfTrue="1" operator="lessThanOrEqual">
      <formula>0</formula>
    </cfRule>
    <cfRule type="cellIs" dxfId="42" priority="154" stopIfTrue="1" operator="greaterThan">
      <formula>$F$46</formula>
    </cfRule>
    <cfRule type="cellIs" dxfId="41" priority="155" stopIfTrue="1" operator="lessThanOrEqual">
      <formula>0</formula>
    </cfRule>
    <cfRule type="cellIs" dxfId="40" priority="156" stopIfTrue="1" operator="greaterThan">
      <formula>$F$44</formula>
    </cfRule>
    <cfRule type="cellIs" dxfId="39" priority="157" stopIfTrue="1" operator="lessThanOrEqual">
      <formula>0</formula>
    </cfRule>
  </conditionalFormatting>
  <conditionalFormatting sqref="I71:I72">
    <cfRule type="cellIs" dxfId="38" priority="128" stopIfTrue="1" operator="greaterThan">
      <formula>#REF!</formula>
    </cfRule>
    <cfRule type="cellIs" dxfId="37" priority="129" stopIfTrue="1" operator="lessThanOrEqual">
      <formula>0</formula>
    </cfRule>
    <cfRule type="cellIs" dxfId="36" priority="130" stopIfTrue="1" operator="greaterThan">
      <formula>#REF!</formula>
    </cfRule>
    <cfRule type="cellIs" dxfId="35" priority="131" stopIfTrue="1" operator="lessThanOrEqual">
      <formula>0</formula>
    </cfRule>
  </conditionalFormatting>
  <conditionalFormatting sqref="I87:I95">
    <cfRule type="cellIs" dxfId="34" priority="180" stopIfTrue="1" operator="greaterThan">
      <formula>4.5</formula>
    </cfRule>
    <cfRule type="cellIs" dxfId="33" priority="181" stopIfTrue="1" operator="lessThanOrEqual">
      <formula>0</formula>
    </cfRule>
  </conditionalFormatting>
  <conditionalFormatting sqref="I10:J31">
    <cfRule type="cellIs" dxfId="32" priority="12" operator="lessThan">
      <formula>97.9</formula>
    </cfRule>
  </conditionalFormatting>
  <conditionalFormatting sqref="J34:J36">
    <cfRule type="cellIs" dxfId="31" priority="27" operator="lessThan">
      <formula>97.95</formula>
    </cfRule>
  </conditionalFormatting>
  <conditionalFormatting sqref="J35:J38">
    <cfRule type="cellIs" dxfId="30" priority="162" operator="lessThan">
      <formula>97.4</formula>
    </cfRule>
  </conditionalFormatting>
  <conditionalFormatting sqref="J39:J40">
    <cfRule type="cellIs" dxfId="29" priority="163" operator="lessThan">
      <formula>98</formula>
    </cfRule>
  </conditionalFormatting>
  <conditionalFormatting sqref="J41:J42">
    <cfRule type="cellIs" dxfId="28" priority="164" stopIfTrue="1" operator="lessThan">
      <formula>96.8</formula>
    </cfRule>
    <cfRule type="cellIs" dxfId="27" priority="165" stopIfTrue="1" operator="greaterThan">
      <formula>100</formula>
    </cfRule>
  </conditionalFormatting>
  <conditionalFormatting sqref="J41:J43">
    <cfRule type="cellIs" dxfId="26" priority="166" operator="lessThan">
      <formula>98</formula>
    </cfRule>
  </conditionalFormatting>
  <conditionalFormatting sqref="J72">
    <cfRule type="cellIs" dxfId="25" priority="116" stopIfTrue="1" operator="greaterThan">
      <formula>#REF!</formula>
    </cfRule>
    <cfRule type="cellIs" dxfId="24" priority="117" stopIfTrue="1" operator="lessThanOrEqual">
      <formula>0</formula>
    </cfRule>
    <cfRule type="cellIs" dxfId="23" priority="118" stopIfTrue="1" operator="greaterThan">
      <formula>#REF!</formula>
    </cfRule>
    <cfRule type="cellIs" dxfId="22" priority="119" stopIfTrue="1" operator="lessThanOrEqual">
      <formula>0</formula>
    </cfRule>
    <cfRule type="cellIs" dxfId="21" priority="120" stopIfTrue="1" operator="greaterThan">
      <formula>#REF!</formula>
    </cfRule>
    <cfRule type="cellIs" dxfId="20" priority="121" stopIfTrue="1" operator="lessThanOrEqual">
      <formula>0</formula>
    </cfRule>
    <cfRule type="cellIs" dxfId="19" priority="122" stopIfTrue="1" operator="greaterThan">
      <formula>#REF!</formula>
    </cfRule>
    <cfRule type="cellIs" dxfId="18" priority="123" stopIfTrue="1" operator="lessThanOrEqual">
      <formula>0</formula>
    </cfRule>
  </conditionalFormatting>
  <conditionalFormatting sqref="J85">
    <cfRule type="cellIs" dxfId="17" priority="55" stopIfTrue="1" operator="greaterThan">
      <formula>$F85</formula>
    </cfRule>
    <cfRule type="cellIs" dxfId="16" priority="56" stopIfTrue="1" operator="lessThanOrEqual">
      <formula>0</formula>
    </cfRule>
  </conditionalFormatting>
  <conditionalFormatting sqref="K10:K31">
    <cfRule type="cellIs" dxfId="15" priority="13" operator="greaterThan">
      <formula>6</formula>
    </cfRule>
    <cfRule type="cellIs" dxfId="14" priority="14" operator="lessThan">
      <formula>4</formula>
    </cfRule>
    <cfRule type="cellIs" dxfId="13" priority="15" operator="greaterThan">
      <formula>6.4</formula>
    </cfRule>
  </conditionalFormatting>
  <conditionalFormatting sqref="K63:K72">
    <cfRule type="cellIs" dxfId="12" priority="101" stopIfTrue="1" operator="lessThan">
      <formula>100%</formula>
    </cfRule>
  </conditionalFormatting>
  <conditionalFormatting sqref="K76:K84">
    <cfRule type="cellIs" dxfId="11" priority="45" stopIfTrue="1" operator="lessThan">
      <formula>100%</formula>
    </cfRule>
  </conditionalFormatting>
  <conditionalFormatting sqref="K87:K92">
    <cfRule type="cellIs" dxfId="10" priority="186" stopIfTrue="1" operator="lessThan">
      <formula>100%</formula>
    </cfRule>
  </conditionalFormatting>
  <conditionalFormatting sqref="K94:K95">
    <cfRule type="cellIs" dxfId="9" priority="193" stopIfTrue="1" operator="lessThan">
      <formula>100%</formula>
    </cfRule>
  </conditionalFormatting>
  <conditionalFormatting sqref="L10:L31">
    <cfRule type="cellIs" dxfId="8" priority="16" operator="between">
      <formula>61</formula>
      <formula>65</formula>
    </cfRule>
    <cfRule type="cellIs" dxfId="7" priority="17" operator="greaterThan">
      <formula>65</formula>
    </cfRule>
  </conditionalFormatting>
  <conditionalFormatting sqref="L34:M45">
    <cfRule type="cellIs" dxfId="6" priority="26" operator="lessThan">
      <formula>97.95</formula>
    </cfRule>
  </conditionalFormatting>
  <conditionalFormatting sqref="L49:N49">
    <cfRule type="cellIs" dxfId="5" priority="25" operator="notEqual">
      <formula>#REF!</formula>
    </cfRule>
  </conditionalFormatting>
  <conditionalFormatting sqref="L76:N85">
    <cfRule type="cellIs" dxfId="4" priority="42" stopIfTrue="1" operator="lessThan">
      <formula>100%</formula>
    </cfRule>
  </conditionalFormatting>
  <conditionalFormatting sqref="L87:N95">
    <cfRule type="cellIs" dxfId="3" priority="171" stopIfTrue="1" operator="lessThan">
      <formula>100%</formula>
    </cfRule>
  </conditionalFormatting>
  <conditionalFormatting sqref="M31">
    <cfRule type="expression" dxfId="2" priority="22">
      <formula>IF(+(IF(M31&lt;U31,0,IF(M31&gt;V31,0,1)))=0,1)</formula>
    </cfRule>
  </conditionalFormatting>
  <conditionalFormatting sqref="N10:N31">
    <cfRule type="expression" dxfId="1" priority="21">
      <formula>IF(+(IF(N10&lt;W10,0,IF(N10&gt;X10,0,1)))=0,1)</formula>
    </cfRule>
  </conditionalFormatting>
  <conditionalFormatting sqref="P6">
    <cfRule type="cellIs" dxfId="0" priority="167" operator="greaterThanOrEqual">
      <formula>19</formula>
    </cfRule>
  </conditionalFormatting>
  <dataValidations count="1">
    <dataValidation type="list" allowBlank="1" showInputMessage="1" showErrorMessage="1" sqref="R8" xr:uid="{FB0E0E22-6B01-4BB5-AC17-17F99003DE1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9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J56" sqref="J56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2" t="s">
        <v>58</v>
      </c>
      <c r="C2" s="612"/>
      <c r="D2" s="612"/>
      <c r="E2" s="612"/>
      <c r="F2" s="612"/>
      <c r="G2" s="612"/>
      <c r="H2" s="612"/>
      <c r="I2" s="612"/>
      <c r="J2" s="612"/>
      <c r="K2" s="612"/>
    </row>
    <row r="3" spans="2:14" ht="15.75" hidden="1" thickBot="1">
      <c r="B3" s="79"/>
    </row>
    <row r="4" spans="2:14" ht="13.5" hidden="1" thickBot="1">
      <c r="B4" s="78" t="s">
        <v>7</v>
      </c>
      <c r="C4" s="613">
        <v>41431</v>
      </c>
      <c r="D4" s="613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0" t="s">
        <v>17</v>
      </c>
      <c r="C8" s="596" t="s">
        <v>18</v>
      </c>
      <c r="D8" s="596" t="s">
        <v>59</v>
      </c>
      <c r="E8" s="80" t="s">
        <v>20</v>
      </c>
      <c r="F8" s="81" t="s">
        <v>21</v>
      </c>
      <c r="G8" s="596" t="s">
        <v>60</v>
      </c>
      <c r="H8" s="596" t="s">
        <v>61</v>
      </c>
      <c r="I8" s="616" t="s">
        <v>62</v>
      </c>
      <c r="J8" s="82" t="s">
        <v>25</v>
      </c>
      <c r="K8" s="606" t="s">
        <v>28</v>
      </c>
    </row>
    <row r="9" spans="2:14" ht="26.25" hidden="1" thickBot="1">
      <c r="B9" s="614"/>
      <c r="C9" s="615"/>
      <c r="D9" s="615"/>
      <c r="E9" s="83" t="s">
        <v>30</v>
      </c>
      <c r="F9" s="84" t="s">
        <v>63</v>
      </c>
      <c r="G9" s="615"/>
      <c r="H9" s="615"/>
      <c r="I9" s="617"/>
      <c r="J9" s="85" t="s">
        <v>32</v>
      </c>
      <c r="K9" s="618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4" t="s">
        <v>69</v>
      </c>
      <c r="G21" s="605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0" t="s">
        <v>17</v>
      </c>
      <c r="C43" s="596" t="s">
        <v>18</v>
      </c>
      <c r="D43" s="596" t="s">
        <v>44</v>
      </c>
      <c r="E43" s="596" t="s">
        <v>79</v>
      </c>
      <c r="F43" s="596" t="s">
        <v>51</v>
      </c>
      <c r="G43" s="596" t="s">
        <v>48</v>
      </c>
      <c r="H43" s="598" t="s">
        <v>28</v>
      </c>
      <c r="I43" s="599"/>
      <c r="J43" s="599"/>
      <c r="K43" s="606" t="s">
        <v>27</v>
      </c>
    </row>
    <row r="44" spans="2:15" ht="15.75" hidden="1" customHeight="1" thickBot="1">
      <c r="B44" s="611"/>
      <c r="C44" s="597"/>
      <c r="D44" s="597"/>
      <c r="E44" s="597"/>
      <c r="F44" s="597"/>
      <c r="G44" s="597"/>
      <c r="H44" s="600"/>
      <c r="I44" s="601"/>
      <c r="J44" s="601"/>
      <c r="K44" s="60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08"/>
      <c r="I45" s="609"/>
      <c r="J45" s="609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2"/>
      <c r="I46" s="603"/>
      <c r="J46" s="603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2"/>
      <c r="I47" s="603"/>
      <c r="J47" s="603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2"/>
      <c r="I48" s="603"/>
      <c r="J48" s="603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4"/>
      <c r="I49" s="595"/>
      <c r="J49" s="595"/>
      <c r="K49" s="172"/>
    </row>
    <row r="50" spans="2:11" ht="13.5" hidden="1" thickBot="1">
      <c r="B50" s="173"/>
      <c r="C50" s="160"/>
      <c r="E50" s="168"/>
      <c r="F50" s="168"/>
      <c r="G50" s="145"/>
      <c r="H50" s="594"/>
      <c r="I50" s="595"/>
      <c r="J50" s="595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4"/>
      <c r="I51" s="595"/>
      <c r="J51" s="595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5"/>
      <c r="I52" s="586"/>
      <c r="J52" s="586"/>
      <c r="K52" s="183"/>
    </row>
    <row r="53" spans="2:11" ht="13.5" thickBot="1">
      <c r="B53" s="184"/>
      <c r="C53" s="117"/>
      <c r="D53" s="587" t="s">
        <v>80</v>
      </c>
      <c r="E53" s="587"/>
      <c r="F53" s="587"/>
      <c r="G53" s="587"/>
      <c r="H53" s="587"/>
      <c r="I53" s="587"/>
      <c r="J53" s="587"/>
      <c r="K53" s="185"/>
    </row>
    <row r="54" spans="2:11" ht="13.5" thickBot="1">
      <c r="B54" s="588" t="s">
        <v>55</v>
      </c>
      <c r="C54" s="589"/>
      <c r="D54" s="589"/>
      <c r="E54" s="590"/>
      <c r="F54" s="588" t="s">
        <v>56</v>
      </c>
      <c r="G54" s="589"/>
      <c r="H54" s="590"/>
      <c r="I54" s="591" t="s">
        <v>81</v>
      </c>
      <c r="J54" s="592"/>
      <c r="K54" s="593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[38]MTD!$E5</f>
        <v>5.2015250544662273</v>
      </c>
      <c r="E56" s="192">
        <v>5</v>
      </c>
      <c r="F56" s="191"/>
      <c r="G56" s="76">
        <f>[37]October_2026!$AN3</f>
        <v>5.9479747077972824</v>
      </c>
      <c r="H56" s="192">
        <v>5</v>
      </c>
      <c r="I56" s="193"/>
      <c r="J56" s="194">
        <f>[39]October_2026!$AN13</f>
        <v>0.8331140350877192</v>
      </c>
      <c r="K56" s="195">
        <v>1</v>
      </c>
    </row>
    <row r="57" spans="2:11" ht="15">
      <c r="B57" s="33" t="s">
        <v>72</v>
      </c>
      <c r="C57" s="191"/>
      <c r="D57" s="76" t="e">
        <f>[38]MTD!$E6</f>
        <v>#DIV/0!</v>
      </c>
      <c r="E57" s="192">
        <v>5</v>
      </c>
      <c r="F57" s="191"/>
      <c r="G57" s="76" t="e">
        <f>[37]October_2026!$AN4</f>
        <v>#DIV/0!</v>
      </c>
      <c r="H57" s="192">
        <v>5</v>
      </c>
      <c r="I57" s="196"/>
      <c r="J57" s="194" t="e">
        <f>[39]October_2026!$AN14</f>
        <v>#DIV/0!</v>
      </c>
      <c r="K57" s="195">
        <v>1</v>
      </c>
    </row>
    <row r="58" spans="2:11" ht="15">
      <c r="B58" s="34" t="s">
        <v>73</v>
      </c>
      <c r="C58" s="191"/>
      <c r="D58" s="76" t="e">
        <f>[38]MTD!$E7</f>
        <v>#DIV/0!</v>
      </c>
      <c r="E58" s="192">
        <v>5</v>
      </c>
      <c r="F58" s="191"/>
      <c r="G58" s="76" t="e">
        <f>[37]October_2026!$AN5</f>
        <v>#DIV/0!</v>
      </c>
      <c r="H58" s="192">
        <v>5</v>
      </c>
      <c r="I58" s="196"/>
      <c r="J58" s="194" t="e">
        <f>[39]October_2026!$AN15</f>
        <v>#DIV/0!</v>
      </c>
      <c r="K58" s="195">
        <v>1</v>
      </c>
    </row>
    <row r="59" spans="2:11" ht="15">
      <c r="B59" s="197" t="s">
        <v>74</v>
      </c>
      <c r="C59" s="191"/>
      <c r="D59" s="76">
        <f>[38]MTD!$E8</f>
        <v>2.6160971335586405</v>
      </c>
      <c r="E59" s="192">
        <v>3.5</v>
      </c>
      <c r="F59" s="191"/>
      <c r="G59" s="76">
        <f>[37]October_2026!$AN6</f>
        <v>4.0562064167659644</v>
      </c>
      <c r="H59" s="192">
        <v>3.5</v>
      </c>
      <c r="I59" s="196"/>
      <c r="J59" s="194">
        <f>[39]October_2026!$AN16</f>
        <v>1.3649122807017544</v>
      </c>
      <c r="K59" s="195">
        <v>1</v>
      </c>
    </row>
    <row r="60" spans="2:11" ht="15.75" thickBot="1">
      <c r="B60" s="38" t="s">
        <v>160</v>
      </c>
      <c r="C60" s="191"/>
      <c r="D60" s="76" t="e">
        <f>[38]MTD!$E9</f>
        <v>#DIV/0!</v>
      </c>
      <c r="E60" s="192">
        <v>3.5</v>
      </c>
      <c r="F60" s="198"/>
      <c r="G60" s="76" t="e">
        <f>[37]October_2026!$AN7</f>
        <v>#DIV/0!</v>
      </c>
      <c r="H60" s="192">
        <v>3.5</v>
      </c>
      <c r="I60" s="196"/>
      <c r="J60" s="194" t="e">
        <f>[39]October_2026!$AN17</f>
        <v>#DIV/0!</v>
      </c>
      <c r="K60" s="195">
        <v>1</v>
      </c>
    </row>
    <row r="61" spans="2:11" ht="15">
      <c r="B61" s="199" t="s">
        <v>76</v>
      </c>
      <c r="C61" s="191"/>
      <c r="D61" s="76" t="e">
        <f>[38]MTD!$E10</f>
        <v>#DIV/0!</v>
      </c>
      <c r="E61" s="200">
        <v>5</v>
      </c>
      <c r="F61" s="191"/>
      <c r="G61" s="76" t="e">
        <f>[37]October_2026!$AN8</f>
        <v>#DIV/0!</v>
      </c>
      <c r="H61" s="200">
        <v>5</v>
      </c>
      <c r="I61" s="196"/>
      <c r="J61" s="194" t="e">
        <f>[39]October_2026!$AN18</f>
        <v>#DIV/0!</v>
      </c>
      <c r="K61" s="195">
        <v>1</v>
      </c>
    </row>
    <row r="62" spans="2:11" ht="15">
      <c r="B62" s="201" t="s">
        <v>82</v>
      </c>
      <c r="C62" s="202"/>
      <c r="D62" s="76" t="e">
        <f>[38]MTD!$E11</f>
        <v>#DIV/0!</v>
      </c>
      <c r="E62" s="200">
        <v>3.3</v>
      </c>
      <c r="F62" s="202"/>
      <c r="G62" s="76" t="e">
        <f>[37]October_2026!$AN9</f>
        <v>#DIV/0!</v>
      </c>
      <c r="H62" s="200">
        <v>3.3</v>
      </c>
      <c r="I62" s="203"/>
      <c r="J62" s="194" t="e">
        <f>[39]October_2026!$AN19</f>
        <v>#DIV/0!</v>
      </c>
      <c r="K62" s="204">
        <v>1</v>
      </c>
    </row>
    <row r="63" spans="2:11" ht="15.75" thickBot="1">
      <c r="B63" s="38" t="s">
        <v>128</v>
      </c>
      <c r="C63" s="205"/>
      <c r="D63" s="76" t="e">
        <f>[38]MTD!$E12</f>
        <v>#DIV/0!</v>
      </c>
      <c r="E63" s="206">
        <v>3.5</v>
      </c>
      <c r="F63" s="205"/>
      <c r="G63" s="76" t="e">
        <f>[37]October_2026!$AN10</f>
        <v>#DIV/0!</v>
      </c>
      <c r="H63" s="206">
        <v>3.5</v>
      </c>
      <c r="I63" s="207"/>
      <c r="J63" s="194" t="e">
        <f>[39]October_2026!$AN20</f>
        <v>#DIV/0!</v>
      </c>
      <c r="K63" s="208">
        <v>1</v>
      </c>
    </row>
    <row r="64" spans="2:11" ht="15.75" thickBot="1">
      <c r="B64" s="412" t="s">
        <v>159</v>
      </c>
      <c r="C64" s="198"/>
      <c r="D64" s="76" t="e">
        <f>[38]MTD!$E13</f>
        <v>#DIV/0!</v>
      </c>
      <c r="E64" s="192">
        <v>5</v>
      </c>
      <c r="F64" s="198"/>
      <c r="G64" s="76" t="e">
        <f>[37]October_2026!$AN11</f>
        <v>#DIV/0!</v>
      </c>
      <c r="H64" s="192">
        <v>5</v>
      </c>
      <c r="I64" s="411"/>
      <c r="J64" s="194">
        <f>[39]October_2026!$AN21</f>
        <v>0</v>
      </c>
      <c r="K64" s="208">
        <v>1</v>
      </c>
    </row>
    <row r="65" spans="2:11">
      <c r="B65" s="209"/>
      <c r="C65" s="210"/>
      <c r="D65" s="76">
        <f>[38]MTD!$E14</f>
        <v>4.513507211618534</v>
      </c>
      <c r="E65" s="210"/>
      <c r="F65" s="210"/>
      <c r="G65" s="76">
        <f>[37]October_2026!$AN12</f>
        <v>5.3009613651321894</v>
      </c>
      <c r="H65" s="211"/>
      <c r="I65" s="212"/>
      <c r="J65" s="194">
        <f>[39]October_2026!$AN22</f>
        <v>0.93947368421052635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D56" sqref="D56:D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2" t="s">
        <v>58</v>
      </c>
      <c r="C2" s="612"/>
      <c r="D2" s="612"/>
      <c r="E2" s="612"/>
      <c r="F2" s="612"/>
      <c r="G2" s="612"/>
      <c r="H2" s="612"/>
      <c r="I2" s="612"/>
      <c r="J2" s="612"/>
      <c r="K2" s="612"/>
    </row>
    <row r="3" spans="2:14" ht="15.75" hidden="1" thickBot="1">
      <c r="B3" s="79"/>
    </row>
    <row r="4" spans="2:14" ht="13.5" hidden="1" thickBot="1">
      <c r="B4" s="78" t="s">
        <v>7</v>
      </c>
      <c r="C4" s="613">
        <v>41431</v>
      </c>
      <c r="D4" s="613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0" t="s">
        <v>17</v>
      </c>
      <c r="C8" s="596" t="s">
        <v>18</v>
      </c>
      <c r="D8" s="596" t="s">
        <v>59</v>
      </c>
      <c r="E8" s="80" t="s">
        <v>20</v>
      </c>
      <c r="F8" s="81" t="s">
        <v>21</v>
      </c>
      <c r="G8" s="596" t="s">
        <v>60</v>
      </c>
      <c r="H8" s="596" t="s">
        <v>61</v>
      </c>
      <c r="I8" s="616" t="s">
        <v>62</v>
      </c>
      <c r="J8" s="82" t="s">
        <v>25</v>
      </c>
      <c r="K8" s="606" t="s">
        <v>28</v>
      </c>
    </row>
    <row r="9" spans="2:14" ht="26.25" hidden="1" thickBot="1">
      <c r="B9" s="614"/>
      <c r="C9" s="615"/>
      <c r="D9" s="615"/>
      <c r="E9" s="83" t="s">
        <v>30</v>
      </c>
      <c r="F9" s="84" t="s">
        <v>63</v>
      </c>
      <c r="G9" s="615"/>
      <c r="H9" s="615"/>
      <c r="I9" s="617"/>
      <c r="J9" s="85" t="s">
        <v>32</v>
      </c>
      <c r="K9" s="618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4" t="s">
        <v>69</v>
      </c>
      <c r="G21" s="605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0" t="s">
        <v>17</v>
      </c>
      <c r="C43" s="596" t="s">
        <v>18</v>
      </c>
      <c r="D43" s="596" t="s">
        <v>44</v>
      </c>
      <c r="E43" s="596" t="s">
        <v>79</v>
      </c>
      <c r="F43" s="596" t="s">
        <v>51</v>
      </c>
      <c r="G43" s="596" t="s">
        <v>48</v>
      </c>
      <c r="H43" s="598" t="s">
        <v>28</v>
      </c>
      <c r="I43" s="599"/>
      <c r="J43" s="599"/>
      <c r="K43" s="606" t="s">
        <v>27</v>
      </c>
    </row>
    <row r="44" spans="2:15" ht="15.75" hidden="1" customHeight="1" thickBot="1">
      <c r="B44" s="611"/>
      <c r="C44" s="597"/>
      <c r="D44" s="597"/>
      <c r="E44" s="597"/>
      <c r="F44" s="597"/>
      <c r="G44" s="597"/>
      <c r="H44" s="600"/>
      <c r="I44" s="601"/>
      <c r="J44" s="601"/>
      <c r="K44" s="60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08"/>
      <c r="I45" s="609"/>
      <c r="J45" s="609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2"/>
      <c r="I46" s="603"/>
      <c r="J46" s="603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2"/>
      <c r="I47" s="603"/>
      <c r="J47" s="603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2"/>
      <c r="I48" s="603"/>
      <c r="J48" s="603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4"/>
      <c r="I49" s="595"/>
      <c r="J49" s="595"/>
      <c r="K49" s="172"/>
    </row>
    <row r="50" spans="2:11" ht="13.5" hidden="1" thickBot="1">
      <c r="B50" s="173"/>
      <c r="C50" s="160"/>
      <c r="E50" s="168"/>
      <c r="F50" s="168"/>
      <c r="G50" s="145"/>
      <c r="H50" s="594"/>
      <c r="I50" s="595"/>
      <c r="J50" s="595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4"/>
      <c r="I51" s="595"/>
      <c r="J51" s="595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5"/>
      <c r="I52" s="586"/>
      <c r="J52" s="586"/>
      <c r="K52" s="183"/>
    </row>
    <row r="53" spans="2:11" ht="13.5" thickBot="1">
      <c r="B53" s="184"/>
      <c r="C53" s="117"/>
      <c r="D53" s="587" t="s">
        <v>80</v>
      </c>
      <c r="E53" s="587"/>
      <c r="F53" s="587"/>
      <c r="G53" s="587"/>
      <c r="H53" s="587"/>
      <c r="I53" s="587"/>
      <c r="J53" s="587"/>
      <c r="K53" s="185"/>
    </row>
    <row r="54" spans="2:11" ht="13.5" thickBot="1">
      <c r="B54" s="588" t="s">
        <v>55</v>
      </c>
      <c r="C54" s="589"/>
      <c r="D54" s="589"/>
      <c r="E54" s="590"/>
      <c r="F54" s="588" t="s">
        <v>56</v>
      </c>
      <c r="G54" s="589"/>
      <c r="H54" s="590"/>
      <c r="I54" s="591" t="s">
        <v>81</v>
      </c>
      <c r="J54" s="592"/>
      <c r="K54" s="593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'[38]YTD 2026'!$E5</f>
        <v>6.3942077441936389</v>
      </c>
      <c r="E56" s="192">
        <v>5</v>
      </c>
      <c r="F56" s="191"/>
      <c r="G56" s="76">
        <f>[37]October_2026!$AQ3</f>
        <v>6.5080919887141917</v>
      </c>
      <c r="H56" s="192">
        <v>5</v>
      </c>
      <c r="I56" s="193"/>
      <c r="J56" s="194">
        <f>[39]October_2026!$AQ13</f>
        <v>0.54990997457943147</v>
      </c>
      <c r="K56" s="195">
        <v>1</v>
      </c>
    </row>
    <row r="57" spans="2:11" ht="15">
      <c r="B57" s="33" t="s">
        <v>72</v>
      </c>
      <c r="C57" s="191"/>
      <c r="D57" s="76">
        <f>'[38]YTD 2026'!$E6</f>
        <v>6.034529382425224</v>
      </c>
      <c r="E57" s="192">
        <v>5</v>
      </c>
      <c r="F57" s="191"/>
      <c r="G57" s="76">
        <f>[37]October_2026!$AQ4</f>
        <v>5.9275658832823668</v>
      </c>
      <c r="H57" s="192">
        <v>5</v>
      </c>
      <c r="I57" s="196"/>
      <c r="J57" s="194">
        <f>[39]October_2026!$AQ14</f>
        <v>0.68249290906882254</v>
      </c>
      <c r="K57" s="195">
        <v>1</v>
      </c>
    </row>
    <row r="58" spans="2:11" ht="15">
      <c r="B58" s="34" t="s">
        <v>73</v>
      </c>
      <c r="C58" s="191"/>
      <c r="D58" s="76">
        <f>'[38]YTD 2026'!$E7</f>
        <v>10.890214570112384</v>
      </c>
      <c r="E58" s="192">
        <v>5</v>
      </c>
      <c r="F58" s="191"/>
      <c r="G58" s="76">
        <f>[37]October_2026!$AQ5</f>
        <v>11.797659278069149</v>
      </c>
      <c r="H58" s="192">
        <v>5</v>
      </c>
      <c r="I58" s="196"/>
      <c r="J58" s="194">
        <f>[39]October_2026!$AQ15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'[38]YTD 2026'!$E8</f>
        <v>4.6053599467161712</v>
      </c>
      <c r="E59" s="192">
        <v>3.5</v>
      </c>
      <c r="F59" s="191"/>
      <c r="G59" s="76">
        <f>[37]October_2026!$AQ6</f>
        <v>4.7835858167498584</v>
      </c>
      <c r="H59" s="192">
        <v>3.5</v>
      </c>
      <c r="I59" s="196"/>
      <c r="J59" s="194">
        <f>[39]October_2026!$AQ16</f>
        <v>0.83244019138755987</v>
      </c>
      <c r="K59" s="195">
        <v>1</v>
      </c>
    </row>
    <row r="60" spans="2:11" ht="15.75" thickBot="1">
      <c r="B60" s="38" t="s">
        <v>160</v>
      </c>
      <c r="C60" s="191"/>
      <c r="D60" s="76" t="e">
        <f>'[38]YTD 2026'!$E9</f>
        <v>#DIV/0!</v>
      </c>
      <c r="E60" s="192">
        <v>3.5</v>
      </c>
      <c r="F60" s="198"/>
      <c r="G60" s="76" t="e">
        <f>[37]October_2026!$AQ7</f>
        <v>#DIV/0!</v>
      </c>
      <c r="H60" s="192">
        <v>3.5</v>
      </c>
      <c r="I60" s="196"/>
      <c r="J60" s="194" t="e">
        <f>[39]October_2026!$AQ17</f>
        <v>#DIV/0!</v>
      </c>
      <c r="K60" s="195">
        <v>1</v>
      </c>
    </row>
    <row r="61" spans="2:11" ht="15">
      <c r="B61" s="199" t="s">
        <v>76</v>
      </c>
      <c r="C61" s="191"/>
      <c r="D61" s="76">
        <f>'[38]YTD 2026'!$E10</f>
        <v>6.3233965672990236</v>
      </c>
      <c r="E61" s="200">
        <v>5</v>
      </c>
      <c r="F61" s="191"/>
      <c r="G61" s="76">
        <f>[37]October_2026!$AQ8</f>
        <v>7.9667553186446929</v>
      </c>
      <c r="H61" s="200">
        <v>5</v>
      </c>
      <c r="I61" s="196"/>
      <c r="J61" s="194">
        <f>[39]October_2026!$AQ18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'[38]YTD 2026'!$E11</f>
        <v>3.9973372218347856</v>
      </c>
      <c r="E62" s="200">
        <v>3.3</v>
      </c>
      <c r="F62" s="202"/>
      <c r="G62" s="76">
        <f>[37]October_2026!$AQ9</f>
        <v>5.1096183510504902</v>
      </c>
      <c r="H62" s="200">
        <v>3.3</v>
      </c>
      <c r="I62" s="203"/>
      <c r="J62" s="194">
        <f>[39]October_2026!$AQ19</f>
        <v>0.89057130004498408</v>
      </c>
      <c r="K62" s="204">
        <v>1</v>
      </c>
    </row>
    <row r="63" spans="2:11" ht="15.75" thickBot="1">
      <c r="B63" s="38" t="s">
        <v>128</v>
      </c>
      <c r="C63" s="205"/>
      <c r="D63" s="76" t="e">
        <f>'[38]YTD 2026'!$E12</f>
        <v>#DIV/0!</v>
      </c>
      <c r="E63" s="206">
        <v>3.5</v>
      </c>
      <c r="F63" s="205"/>
      <c r="G63" s="76" t="e">
        <f>[37]October_2026!$AQ10</f>
        <v>#DIV/0!</v>
      </c>
      <c r="H63" s="206">
        <v>3.5</v>
      </c>
      <c r="I63" s="207"/>
      <c r="J63" s="194" t="e">
        <f>[39]October_2026!$AQ20</f>
        <v>#DIV/0!</v>
      </c>
      <c r="K63" s="208">
        <v>1</v>
      </c>
    </row>
    <row r="64" spans="2:11" ht="15.75" thickBot="1">
      <c r="B64" s="412" t="s">
        <v>159</v>
      </c>
      <c r="C64" s="205"/>
      <c r="D64" s="76" t="e">
        <f>'[38]YTD 2026'!$E13</f>
        <v>#DIV/0!</v>
      </c>
      <c r="E64" s="206">
        <v>5</v>
      </c>
      <c r="F64" s="205"/>
      <c r="G64" s="76" t="e">
        <f>[37]October_2026!$AQ11</f>
        <v>#DIV/0!</v>
      </c>
      <c r="H64" s="206">
        <v>5</v>
      </c>
      <c r="I64" s="207"/>
      <c r="J64" s="194" t="e">
        <f>[39]October_2026!$AQ21</f>
        <v>#DIV/0!</v>
      </c>
      <c r="K64" s="208">
        <v>1</v>
      </c>
    </row>
    <row r="65" spans="2:11">
      <c r="B65" s="209"/>
      <c r="C65" s="210"/>
      <c r="D65" s="76">
        <f>'[38]YTD 2026'!$E14</f>
        <v>6.3192809236064278</v>
      </c>
      <c r="E65" s="210"/>
      <c r="F65" s="210"/>
      <c r="G65" s="76">
        <f>[37]October_2026!$AQ12</f>
        <v>6.621228037011492</v>
      </c>
      <c r="H65" s="211"/>
      <c r="I65" s="212"/>
      <c r="J65" s="194">
        <f>[39]October_2026!$AQ22</f>
        <v>0.60442262108138456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19" t="s">
        <v>34</v>
      </c>
      <c r="C2" s="619"/>
      <c r="D2" s="619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19" t="s">
        <v>100</v>
      </c>
      <c r="C14" s="619"/>
      <c r="D14" s="619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19" t="s">
        <v>101</v>
      </c>
      <c r="C27" s="619"/>
      <c r="D27" s="619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21" t="s">
        <v>102</v>
      </c>
      <c r="D3" s="622"/>
      <c r="E3" s="623">
        <f ca="1">TODAY()</f>
        <v>46302</v>
      </c>
      <c r="F3" s="623"/>
      <c r="G3" s="623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4" t="s">
        <v>143</v>
      </c>
      <c r="D14" s="624"/>
      <c r="E14" s="624"/>
      <c r="F14" s="624"/>
      <c r="G14" s="624"/>
      <c r="H14" s="624"/>
    </row>
    <row r="15" spans="3:23" ht="15" customHeight="1">
      <c r="C15" s="624"/>
      <c r="D15" s="624"/>
      <c r="E15" s="624"/>
      <c r="F15" s="624"/>
      <c r="G15" s="624"/>
      <c r="H15" s="624"/>
    </row>
    <row r="16" spans="3:23" ht="15" customHeight="1">
      <c r="C16" s="624"/>
      <c r="D16" s="624"/>
      <c r="E16" s="624"/>
      <c r="F16" s="624"/>
      <c r="G16" s="624"/>
      <c r="H16" s="624"/>
    </row>
    <row r="17" spans="3:8" ht="15" customHeight="1">
      <c r="C17" s="624"/>
      <c r="D17" s="624"/>
      <c r="E17" s="624"/>
      <c r="F17" s="624"/>
      <c r="G17" s="624"/>
      <c r="H17" s="624"/>
    </row>
    <row r="18" spans="3:8" ht="15" customHeight="1">
      <c r="C18" s="624"/>
      <c r="D18" s="624"/>
      <c r="E18" s="624"/>
      <c r="F18" s="624"/>
      <c r="G18" s="624"/>
      <c r="H18" s="624"/>
    </row>
    <row r="19" spans="3:8" ht="15" customHeight="1">
      <c r="C19" s="624"/>
      <c r="D19" s="624"/>
      <c r="E19" s="624"/>
      <c r="F19" s="624"/>
      <c r="G19" s="624"/>
      <c r="H19" s="624"/>
    </row>
    <row r="20" spans="3:8" ht="15" customHeight="1">
      <c r="C20" s="624"/>
      <c r="D20" s="624"/>
      <c r="E20" s="624"/>
      <c r="F20" s="624"/>
      <c r="G20" s="624"/>
      <c r="H20" s="624"/>
    </row>
    <row r="21" spans="3:8" ht="15" customHeight="1">
      <c r="C21" s="624"/>
      <c r="D21" s="624"/>
      <c r="E21" s="624"/>
      <c r="F21" s="624"/>
      <c r="G21" s="624"/>
      <c r="H21" s="624"/>
    </row>
    <row r="22" spans="3:8" ht="15" customHeight="1">
      <c r="C22" s="624"/>
      <c r="D22" s="624"/>
      <c r="E22" s="624"/>
      <c r="F22" s="624"/>
      <c r="G22" s="624"/>
      <c r="H22" s="624"/>
    </row>
    <row r="23" spans="3:8" ht="15" customHeight="1">
      <c r="C23" s="624"/>
      <c r="D23" s="624"/>
      <c r="E23" s="624"/>
      <c r="F23" s="624"/>
      <c r="G23" s="624"/>
      <c r="H23" s="624"/>
    </row>
    <row r="24" spans="3:8" ht="15" customHeight="1">
      <c r="C24" s="624"/>
      <c r="D24" s="624"/>
      <c r="E24" s="624"/>
      <c r="F24" s="624"/>
      <c r="G24" s="624"/>
      <c r="H24" s="624"/>
    </row>
    <row r="25" spans="3:8" ht="15" customHeight="1">
      <c r="C25" s="624"/>
      <c r="D25" s="624"/>
      <c r="E25" s="624"/>
      <c r="F25" s="624"/>
      <c r="G25" s="624"/>
      <c r="H25" s="624"/>
    </row>
    <row r="26" spans="3:8" ht="15" customHeight="1">
      <c r="C26" s="624"/>
      <c r="D26" s="624"/>
      <c r="E26" s="624"/>
      <c r="F26" s="624"/>
      <c r="G26" s="624"/>
      <c r="H26" s="624"/>
    </row>
    <row r="27" spans="3:8" ht="15" customHeight="1">
      <c r="C27" s="624"/>
      <c r="D27" s="624"/>
      <c r="E27" s="624"/>
      <c r="F27" s="624"/>
      <c r="G27" s="624"/>
      <c r="H27" s="624"/>
    </row>
    <row r="28" spans="3:8" ht="15" customHeight="1">
      <c r="C28" s="624"/>
      <c r="D28" s="624"/>
      <c r="E28" s="624"/>
      <c r="F28" s="624"/>
      <c r="G28" s="624"/>
      <c r="H28" s="624"/>
    </row>
    <row r="29" spans="3:8" ht="15" customHeight="1">
      <c r="C29" s="624"/>
      <c r="D29" s="624"/>
      <c r="E29" s="624"/>
      <c r="F29" s="624"/>
      <c r="G29" s="624"/>
      <c r="H29" s="624"/>
    </row>
    <row r="30" spans="3:8" ht="15" customHeight="1">
      <c r="C30" s="624"/>
      <c r="D30" s="624"/>
      <c r="E30" s="624"/>
      <c r="F30" s="624"/>
      <c r="G30" s="624"/>
      <c r="H30" s="624"/>
    </row>
    <row r="31" spans="3:8" ht="15" customHeight="1">
      <c r="C31" s="624"/>
      <c r="D31" s="624"/>
      <c r="E31" s="624"/>
      <c r="F31" s="624"/>
      <c r="G31" s="624"/>
      <c r="H31" s="624"/>
    </row>
    <row r="36" spans="2:17" ht="15" customHeight="1"/>
    <row r="37" spans="2:17" ht="15" customHeight="1"/>
    <row r="38" spans="2:17" ht="30.75" customHeight="1" thickBot="1">
      <c r="C38" s="625" t="s">
        <v>109</v>
      </c>
      <c r="D38" s="625"/>
      <c r="E38" s="625"/>
      <c r="F38" s="626">
        <f ca="1">TODAY()</f>
        <v>46302</v>
      </c>
      <c r="G38" s="626"/>
      <c r="H38" s="626"/>
      <c r="I38" s="626"/>
      <c r="J38" s="627" t="s">
        <v>110</v>
      </c>
      <c r="K38" s="627"/>
      <c r="L38" s="627"/>
      <c r="M38" s="627"/>
      <c r="N38" s="627"/>
      <c r="O38" s="627"/>
      <c r="P38" s="627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'[44]Brewer Performance'!D40</f>
        <v>96.507822129582451</v>
      </c>
      <c r="E40" s="259">
        <f>AVERAGE('[45]Feb. 1'!I12:I13,'[45]Feb. 2'!I11:I14,[45]Feb.4!I13,[45]Feb.8!I14:I16,[45]Feb.9!I14,[45]Feb.9!I17:I18,[45]Feb10!I13:I16,[45]Feb14!I17,[45]Feb14!I15:I17,[45]Feb17!I10,[45]Feb17!I19:I21,'[45]Feb 21'!I10:I12,'[45]Feb 22'!I11:I13,'[45]Feb 23'!I14:I16,'[45]Feb 24'!I10:I12,'[45]Feb 25'!I13:I15,'[45]Feb 28'!I15:I18)</f>
        <v>98.284801217583563</v>
      </c>
      <c r="F40" s="259">
        <v>98.226686244092193</v>
      </c>
      <c r="G40" s="259">
        <v>98.210530202427222</v>
      </c>
      <c r="H40" s="259">
        <f>'[46]Brewer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'[44]Brewer Performance'!D41</f>
        <v>97.99738587335284</v>
      </c>
      <c r="E41" s="259">
        <f>AVERAGE('[45]Feb. 1'!I10:I11,'[45]Feb. 2'!I10,[45]Feb.3!I11:I13,[45]Feb.4!I10:I12,[45]Feb.8!I10,[45]Feb.8!I13,[45]Feb.9!I10:I13,[45]Feb10!I10:I12,[45]Feb11!I11:I13,[45]Feb14!I13:I14,[45]Feb17!I16:I18,[45]Feb18!I13:I15,'[45]Feb 21'!I17:I19,'[45]Feb 22'!I10,'[45]Feb 22'!I20:I22,'[45]Feb 23'!I10:I11,'[45]Feb 23'!I21,'[45]Feb 25'!I10:I12,'[45]Feb 28'!I11:I14)</f>
        <v>97.918121549662388</v>
      </c>
      <c r="F41" s="259">
        <v>98.070081368185257</v>
      </c>
      <c r="G41" s="259">
        <v>97.79453968977019</v>
      </c>
      <c r="H41" s="259">
        <f>'[46]Brewer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'[44]Brewer Performance'!D43</f>
        <v>98.304611060419475</v>
      </c>
      <c r="E44" s="259">
        <f>AVERAGE('[45]Feb. 2'!I15,[45]Feb.3!I10,[45]Feb.4!I16:I17,[45]Feb.8!I19:I21,[45]Feb.9!I19:I20,[45]Feb10!I17:I18,[45]Feb11!I10,[45]Feb14!I10:I12,[45]Feb17!I11:I13,[45]Feb18!I10:I12,'[45]Feb 21'!I13,'[45]Feb 21'!I16,'[45]Feb 22'!I16:I19,'[45]Feb 23'!I17:I20,'[45]Feb 24'!I15:I18,'[45]Feb 25'!I16:I17,'[45]Feb 28'!I10,'[45]Feb 28'!I19:I20)</f>
        <v>97.289162940824014</v>
      </c>
      <c r="F44" s="259">
        <v>98.163642226187022</v>
      </c>
      <c r="G44" s="259">
        <v>97.964054285784258</v>
      </c>
      <c r="H44" s="259">
        <f>'[46]Brewer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'[44]Brewer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'[44]Brewer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0" t="s">
        <v>123</v>
      </c>
      <c r="C48" s="620"/>
      <c r="D48" s="620"/>
      <c r="E48" s="620"/>
      <c r="F48" s="620"/>
      <c r="G48" s="620"/>
      <c r="H48" s="620"/>
      <c r="I48" s="620"/>
      <c r="J48" s="620"/>
      <c r="K48" s="620"/>
      <c r="L48" s="620"/>
      <c r="M48" s="620"/>
      <c r="N48" s="620"/>
      <c r="O48" s="620"/>
      <c r="P48" s="620"/>
      <c r="Q48" s="620"/>
    </row>
    <row r="49" spans="2:17" ht="15" customHeight="1">
      <c r="B49" s="620"/>
      <c r="C49" s="620"/>
      <c r="D49" s="620"/>
      <c r="E49" s="620"/>
      <c r="F49" s="620"/>
      <c r="G49" s="620"/>
      <c r="H49" s="620"/>
      <c r="I49" s="620"/>
      <c r="J49" s="620"/>
      <c r="K49" s="620"/>
      <c r="L49" s="620"/>
      <c r="M49" s="620"/>
      <c r="N49" s="620"/>
      <c r="O49" s="620"/>
      <c r="P49" s="620"/>
      <c r="Q49" s="620"/>
    </row>
    <row r="50" spans="2:17" ht="15" customHeight="1">
      <c r="B50" s="620"/>
      <c r="C50" s="620"/>
      <c r="D50" s="620"/>
      <c r="E50" s="620"/>
      <c r="F50" s="620"/>
      <c r="G50" s="620"/>
      <c r="H50" s="620"/>
      <c r="I50" s="620"/>
      <c r="J50" s="620"/>
      <c r="K50" s="620"/>
      <c r="L50" s="620"/>
      <c r="M50" s="620"/>
      <c r="N50" s="620"/>
      <c r="O50" s="620"/>
      <c r="P50" s="620"/>
      <c r="Q50" s="620"/>
    </row>
    <row r="51" spans="2:17" ht="15" customHeight="1">
      <c r="B51" s="620"/>
      <c r="C51" s="620"/>
      <c r="D51" s="620"/>
      <c r="E51" s="620"/>
      <c r="F51" s="620"/>
      <c r="G51" s="620"/>
      <c r="H51" s="620"/>
      <c r="I51" s="620"/>
      <c r="J51" s="620"/>
      <c r="K51" s="620"/>
      <c r="L51" s="620"/>
      <c r="M51" s="620"/>
      <c r="N51" s="620"/>
      <c r="O51" s="620"/>
      <c r="P51" s="620"/>
      <c r="Q51" s="620"/>
    </row>
    <row r="52" spans="2:17" ht="15" customHeight="1">
      <c r="B52" s="620"/>
      <c r="C52" s="620"/>
      <c r="D52" s="620"/>
      <c r="E52" s="620"/>
      <c r="F52" s="620"/>
      <c r="G52" s="620"/>
      <c r="H52" s="620"/>
      <c r="I52" s="620"/>
      <c r="J52" s="620"/>
      <c r="K52" s="620"/>
      <c r="L52" s="620"/>
      <c r="M52" s="620"/>
      <c r="N52" s="620"/>
      <c r="O52" s="620"/>
      <c r="P52" s="620"/>
      <c r="Q52" s="620"/>
    </row>
    <row r="53" spans="2:17" ht="15" customHeight="1">
      <c r="B53" s="620"/>
      <c r="C53" s="620"/>
      <c r="D53" s="620"/>
      <c r="E53" s="620"/>
      <c r="F53" s="620"/>
      <c r="G53" s="620"/>
      <c r="H53" s="620"/>
      <c r="I53" s="620"/>
      <c r="J53" s="620"/>
      <c r="K53" s="620"/>
      <c r="L53" s="620"/>
      <c r="M53" s="620"/>
      <c r="N53" s="620"/>
      <c r="O53" s="620"/>
      <c r="P53" s="620"/>
      <c r="Q53" s="620"/>
    </row>
    <row r="54" spans="2:17" ht="15" customHeight="1">
      <c r="B54" s="620"/>
      <c r="C54" s="620"/>
      <c r="D54" s="620"/>
      <c r="E54" s="620"/>
      <c r="F54" s="620"/>
      <c r="G54" s="620"/>
      <c r="H54" s="620"/>
      <c r="I54" s="620"/>
      <c r="J54" s="620"/>
      <c r="K54" s="620"/>
      <c r="L54" s="620"/>
      <c r="M54" s="620"/>
      <c r="N54" s="620"/>
      <c r="O54" s="620"/>
      <c r="P54" s="620"/>
      <c r="Q54" s="620"/>
    </row>
    <row r="55" spans="2:17" ht="15" customHeight="1">
      <c r="B55" s="620"/>
      <c r="C55" s="620"/>
      <c r="D55" s="620"/>
      <c r="E55" s="620"/>
      <c r="F55" s="620"/>
      <c r="G55" s="620"/>
      <c r="H55" s="620"/>
      <c r="I55" s="620"/>
      <c r="J55" s="620"/>
      <c r="K55" s="620"/>
      <c r="L55" s="620"/>
      <c r="M55" s="620"/>
      <c r="N55" s="620"/>
      <c r="O55" s="620"/>
      <c r="P55" s="620"/>
      <c r="Q55" s="620"/>
    </row>
    <row r="56" spans="2:17" ht="15" customHeight="1">
      <c r="B56" s="620"/>
      <c r="C56" s="620"/>
      <c r="D56" s="620"/>
      <c r="E56" s="620"/>
      <c r="F56" s="620"/>
      <c r="G56" s="620"/>
      <c r="H56" s="620"/>
      <c r="I56" s="620"/>
      <c r="J56" s="620"/>
      <c r="K56" s="620"/>
      <c r="L56" s="620"/>
      <c r="M56" s="620"/>
      <c r="N56" s="620"/>
      <c r="O56" s="620"/>
      <c r="P56" s="620"/>
      <c r="Q56" s="620"/>
    </row>
    <row r="57" spans="2:17" ht="15" customHeight="1">
      <c r="B57" s="620"/>
      <c r="C57" s="620"/>
      <c r="D57" s="620"/>
      <c r="E57" s="620"/>
      <c r="F57" s="620"/>
      <c r="G57" s="620"/>
      <c r="H57" s="620"/>
      <c r="I57" s="620"/>
      <c r="J57" s="620"/>
      <c r="K57" s="620"/>
      <c r="L57" s="620"/>
      <c r="M57" s="620"/>
      <c r="N57" s="620"/>
      <c r="O57" s="620"/>
      <c r="P57" s="620"/>
      <c r="Q57" s="620"/>
    </row>
    <row r="58" spans="2:17" ht="15" customHeight="1">
      <c r="B58" s="620"/>
      <c r="C58" s="620"/>
      <c r="D58" s="620"/>
      <c r="E58" s="620"/>
      <c r="F58" s="620"/>
      <c r="G58" s="620"/>
      <c r="H58" s="620"/>
      <c r="I58" s="620"/>
      <c r="J58" s="620"/>
      <c r="K58" s="620"/>
      <c r="L58" s="620"/>
      <c r="M58" s="620"/>
      <c r="N58" s="620"/>
      <c r="O58" s="620"/>
      <c r="P58" s="620"/>
      <c r="Q58" s="620"/>
    </row>
    <row r="59" spans="2:17" ht="15" customHeight="1">
      <c r="B59" s="620"/>
      <c r="C59" s="620"/>
      <c r="D59" s="620"/>
      <c r="E59" s="620"/>
      <c r="F59" s="620"/>
      <c r="G59" s="620"/>
      <c r="H59" s="620"/>
      <c r="I59" s="620"/>
      <c r="J59" s="620"/>
      <c r="K59" s="620"/>
      <c r="L59" s="620"/>
      <c r="M59" s="620"/>
      <c r="N59" s="620"/>
      <c r="O59" s="620"/>
      <c r="P59" s="620"/>
      <c r="Q59" s="620"/>
    </row>
    <row r="60" spans="2:17" ht="15" customHeight="1">
      <c r="B60" s="620"/>
      <c r="C60" s="620"/>
      <c r="D60" s="620"/>
      <c r="E60" s="620"/>
      <c r="F60" s="620"/>
      <c r="G60" s="620"/>
      <c r="H60" s="620"/>
      <c r="I60" s="620"/>
      <c r="J60" s="620"/>
      <c r="K60" s="620"/>
      <c r="L60" s="620"/>
      <c r="M60" s="620"/>
      <c r="N60" s="620"/>
      <c r="O60" s="620"/>
      <c r="P60" s="620"/>
      <c r="Q60" s="620"/>
    </row>
    <row r="61" spans="2:17" ht="15" customHeight="1">
      <c r="B61" s="620"/>
      <c r="C61" s="620"/>
      <c r="D61" s="620"/>
      <c r="E61" s="620"/>
      <c r="F61" s="620"/>
      <c r="G61" s="620"/>
      <c r="H61" s="620"/>
      <c r="I61" s="620"/>
      <c r="J61" s="620"/>
      <c r="K61" s="620"/>
      <c r="L61" s="620"/>
      <c r="M61" s="620"/>
      <c r="N61" s="620"/>
      <c r="O61" s="620"/>
      <c r="P61" s="620"/>
      <c r="Q61" s="620"/>
    </row>
    <row r="62" spans="2:17" ht="15" customHeight="1">
      <c r="B62" s="620"/>
      <c r="C62" s="620"/>
      <c r="D62" s="620"/>
      <c r="E62" s="620"/>
      <c r="F62" s="620"/>
      <c r="G62" s="620"/>
      <c r="H62" s="620"/>
      <c r="I62" s="620"/>
      <c r="J62" s="620"/>
      <c r="K62" s="620"/>
      <c r="L62" s="620"/>
      <c r="M62" s="620"/>
      <c r="N62" s="620"/>
      <c r="O62" s="620"/>
      <c r="P62" s="620"/>
      <c r="Q62" s="620"/>
    </row>
    <row r="63" spans="2:17" ht="15" customHeight="1">
      <c r="B63" s="620"/>
      <c r="C63" s="620"/>
      <c r="D63" s="620"/>
      <c r="E63" s="620"/>
      <c r="F63" s="620"/>
      <c r="G63" s="620"/>
      <c r="H63" s="620"/>
      <c r="I63" s="620"/>
      <c r="J63" s="620"/>
      <c r="K63" s="620"/>
      <c r="L63" s="620"/>
      <c r="M63" s="620"/>
      <c r="N63" s="620"/>
      <c r="O63" s="620"/>
      <c r="P63" s="620"/>
      <c r="Q63" s="620"/>
    </row>
    <row r="64" spans="2:17" ht="15" customHeight="1">
      <c r="B64" s="620"/>
      <c r="C64" s="620"/>
      <c r="D64" s="620"/>
      <c r="E64" s="620"/>
      <c r="F64" s="620"/>
      <c r="G64" s="620"/>
      <c r="H64" s="620"/>
      <c r="I64" s="620"/>
      <c r="J64" s="620"/>
      <c r="K64" s="620"/>
      <c r="L64" s="620"/>
      <c r="M64" s="620"/>
      <c r="N64" s="620"/>
      <c r="O64" s="620"/>
      <c r="P64" s="620"/>
      <c r="Q64" s="620"/>
    </row>
    <row r="65" spans="2:17" ht="15" customHeight="1">
      <c r="B65" s="620"/>
      <c r="C65" s="620"/>
      <c r="D65" s="620"/>
      <c r="E65" s="620"/>
      <c r="F65" s="620"/>
      <c r="G65" s="620"/>
      <c r="H65" s="620"/>
      <c r="I65" s="620"/>
      <c r="J65" s="620"/>
      <c r="K65" s="620"/>
      <c r="L65" s="620"/>
      <c r="M65" s="620"/>
      <c r="N65" s="620"/>
      <c r="O65" s="620"/>
      <c r="P65" s="620"/>
      <c r="Q65" s="620"/>
    </row>
    <row r="66" spans="2:17" ht="15" customHeight="1">
      <c r="B66" s="620"/>
      <c r="C66" s="620"/>
      <c r="D66" s="620"/>
      <c r="E66" s="620"/>
      <c r="F66" s="620"/>
      <c r="G66" s="620"/>
      <c r="H66" s="620"/>
      <c r="I66" s="620"/>
      <c r="J66" s="620"/>
      <c r="K66" s="620"/>
      <c r="L66" s="620"/>
      <c r="M66" s="620"/>
      <c r="N66" s="620"/>
      <c r="O66" s="620"/>
      <c r="P66" s="620"/>
      <c r="Q66" s="620"/>
    </row>
    <row r="67" spans="2:17" ht="15" customHeight="1">
      <c r="B67" s="620"/>
      <c r="C67" s="620"/>
      <c r="D67" s="620"/>
      <c r="E67" s="620"/>
      <c r="F67" s="620"/>
      <c r="G67" s="620"/>
      <c r="H67" s="620"/>
      <c r="I67" s="620"/>
      <c r="J67" s="620"/>
      <c r="K67" s="620"/>
      <c r="L67" s="620"/>
      <c r="M67" s="620"/>
      <c r="N67" s="620"/>
      <c r="O67" s="620"/>
      <c r="P67" s="620"/>
      <c r="Q67" s="620"/>
    </row>
    <row r="68" spans="2:17" ht="15" customHeight="1">
      <c r="B68" s="620"/>
      <c r="C68" s="620"/>
      <c r="D68" s="620"/>
      <c r="E68" s="620"/>
      <c r="F68" s="620"/>
      <c r="G68" s="620"/>
      <c r="H68" s="620"/>
      <c r="I68" s="620"/>
      <c r="J68" s="620"/>
      <c r="K68" s="620"/>
      <c r="L68" s="620"/>
      <c r="M68" s="620"/>
      <c r="N68" s="620"/>
      <c r="O68" s="620"/>
      <c r="P68" s="620"/>
      <c r="Q68" s="620"/>
    </row>
    <row r="69" spans="2:17" ht="15" customHeight="1">
      <c r="B69" s="620"/>
      <c r="C69" s="620"/>
      <c r="D69" s="620"/>
      <c r="E69" s="620"/>
      <c r="F69" s="620"/>
      <c r="G69" s="620"/>
      <c r="H69" s="620"/>
      <c r="I69" s="620"/>
      <c r="J69" s="620"/>
      <c r="K69" s="620"/>
      <c r="L69" s="620"/>
      <c r="M69" s="620"/>
      <c r="N69" s="620"/>
      <c r="O69" s="620"/>
      <c r="P69" s="620"/>
      <c r="Q69" s="620"/>
    </row>
    <row r="70" spans="2:17" ht="15" customHeight="1">
      <c r="B70" s="620"/>
      <c r="C70" s="620"/>
      <c r="D70" s="620"/>
      <c r="E70" s="620"/>
      <c r="F70" s="620"/>
      <c r="G70" s="620"/>
      <c r="H70" s="620"/>
      <c r="I70" s="620"/>
      <c r="J70" s="620"/>
      <c r="K70" s="620"/>
      <c r="L70" s="620"/>
      <c r="M70" s="620"/>
      <c r="N70" s="620"/>
      <c r="O70" s="620"/>
      <c r="P70" s="620"/>
      <c r="Q70" s="620"/>
    </row>
    <row r="71" spans="2:17" ht="15" customHeight="1">
      <c r="B71" s="620"/>
      <c r="C71" s="620"/>
      <c r="D71" s="620"/>
      <c r="E71" s="620"/>
      <c r="F71" s="620"/>
      <c r="G71" s="620"/>
      <c r="H71" s="620"/>
      <c r="I71" s="620"/>
      <c r="J71" s="620"/>
      <c r="K71" s="620"/>
      <c r="L71" s="620"/>
      <c r="M71" s="620"/>
      <c r="N71" s="620"/>
      <c r="O71" s="620"/>
      <c r="P71" s="620"/>
      <c r="Q71" s="620"/>
    </row>
    <row r="72" spans="2:17" ht="15" customHeight="1">
      <c r="B72" s="620"/>
      <c r="C72" s="620"/>
      <c r="D72" s="620"/>
      <c r="E72" s="620"/>
      <c r="F72" s="620"/>
      <c r="G72" s="620"/>
      <c r="H72" s="620"/>
      <c r="I72" s="620"/>
      <c r="J72" s="620"/>
      <c r="K72" s="620"/>
      <c r="L72" s="620"/>
      <c r="M72" s="620"/>
      <c r="N72" s="620"/>
      <c r="O72" s="620"/>
      <c r="P72" s="620"/>
      <c r="Q72" s="620"/>
    </row>
    <row r="73" spans="2:17" ht="15" customHeight="1">
      <c r="B73" s="620"/>
      <c r="C73" s="620"/>
      <c r="D73" s="620"/>
      <c r="E73" s="620"/>
      <c r="F73" s="620"/>
      <c r="G73" s="620"/>
      <c r="H73" s="620"/>
      <c r="I73" s="620"/>
      <c r="J73" s="620"/>
      <c r="K73" s="620"/>
      <c r="L73" s="620"/>
      <c r="M73" s="620"/>
      <c r="N73" s="620"/>
      <c r="O73" s="620"/>
      <c r="P73" s="620"/>
      <c r="Q73" s="620"/>
    </row>
    <row r="74" spans="2:17" ht="15" customHeight="1">
      <c r="B74" s="620"/>
      <c r="C74" s="620"/>
      <c r="D74" s="620"/>
      <c r="E74" s="620"/>
      <c r="F74" s="620"/>
      <c r="G74" s="620"/>
      <c r="H74" s="620"/>
      <c r="I74" s="620"/>
      <c r="J74" s="620"/>
      <c r="K74" s="620"/>
      <c r="L74" s="620"/>
      <c r="M74" s="620"/>
      <c r="N74" s="620"/>
      <c r="O74" s="620"/>
      <c r="P74" s="620"/>
      <c r="Q74" s="620"/>
    </row>
    <row r="75" spans="2:17" ht="15" customHeight="1">
      <c r="B75" s="620"/>
      <c r="C75" s="620"/>
      <c r="D75" s="620"/>
      <c r="E75" s="620"/>
      <c r="F75" s="620"/>
      <c r="G75" s="620"/>
      <c r="H75" s="620"/>
      <c r="I75" s="620"/>
      <c r="J75" s="620"/>
      <c r="K75" s="620"/>
      <c r="L75" s="620"/>
      <c r="M75" s="620"/>
      <c r="N75" s="620"/>
      <c r="O75" s="620"/>
      <c r="P75" s="620"/>
      <c r="Q75" s="620"/>
    </row>
    <row r="76" spans="2:17">
      <c r="B76" s="620"/>
      <c r="C76" s="620"/>
      <c r="D76" s="620"/>
      <c r="E76" s="620"/>
      <c r="F76" s="620"/>
      <c r="G76" s="620"/>
      <c r="H76" s="620"/>
      <c r="I76" s="620"/>
      <c r="J76" s="620"/>
      <c r="K76" s="620"/>
      <c r="L76" s="620"/>
      <c r="M76" s="620"/>
      <c r="N76" s="620"/>
      <c r="O76" s="620"/>
      <c r="P76" s="620"/>
      <c r="Q76" s="620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Dec 18th</vt:lpstr>
      <vt:lpstr>Oct 1st</vt:lpstr>
      <vt:lpstr>Oct 2nd</vt:lpstr>
      <vt:lpstr>Oct 5th</vt:lpstr>
      <vt:lpstr>Oct 6th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2026-10-07T12:59:46Z</dcterms:modified>
</cp:coreProperties>
</file>